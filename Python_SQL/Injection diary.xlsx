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namedSheetViews/namedSheetView1.xml" ContentType="application/vnd.ms-excel.namedsheetview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namedSheetViews/namedSheetView2.xml" ContentType="application/vnd.ms-excel.namedsheetview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abhrajyoti.chakrabarti\Documents\GitHub\Injection_Diary_Database_BVC\Python_SQL\"/>
    </mc:Choice>
  </mc:AlternateContent>
  <xr:revisionPtr revIDLastSave="0" documentId="13_ncr:1_{C40A4EEE-5A86-4EE8-90E5-DDBCA41FC394}" xr6:coauthVersionLast="47" xr6:coauthVersionMax="47" xr10:uidLastSave="{00000000-0000-0000-0000-000000000000}"/>
  <bookViews>
    <workbookView xWindow="-28920" yWindow="-120" windowWidth="29040" windowHeight="15840" xr2:uid="{00000000-000D-0000-FFFF-FFFF00000000}"/>
  </bookViews>
  <sheets>
    <sheet name="All injections Liliom" sheetId="5" r:id="rId1"/>
    <sheet name="Summary Liliom" sheetId="6" r:id="rId2"/>
    <sheet name="Help" sheetId="7" r:id="rId3"/>
    <sheet name="old -- Summary Dobos" sheetId="4" state="hidden" r:id="rId4"/>
    <sheet name="Color coding" sheetId="3" state="hidden" r:id="rId5"/>
    <sheet name="Stats" sheetId="2" r:id="rId6"/>
    <sheet name="old -- All injections Dobos" sheetId="1" r:id="rId7"/>
  </sheets>
  <externalReferences>
    <externalReference r:id="rId8"/>
  </externalReferences>
  <definedNames>
    <definedName name="_xlnm._FilterDatabase" localSheetId="0" hidden="1">'All injections Liliom'!$A$3:$AF$3022</definedName>
    <definedName name="_xlnm._FilterDatabase" localSheetId="6" hidden="1">'old -- All injections Dobos'!$A$1:$Y$2932</definedName>
  </definedNames>
  <calcPr calcId="191028"/>
  <pivotCaches>
    <pivotCache cacheId="0" r:id="rId9"/>
    <pivotCache cacheId="1" r:id="rId10"/>
    <pivotCache cacheId="2" r:id="rId11"/>
    <pivotCache cacheId="3" r:id="rId12"/>
  </pivotCaches>
  <extLst>
    <ext xmlns:x15="http://schemas.microsoft.com/office/spreadsheetml/2010/11/main" uri="{140A7094-0E35-4892-8432-C4D2E57EDEB5}">
      <x15:workbookPr chartTrackingRefBase="1"/>
    </ext>
    <ext xmlns:xxlnp="http://schemas.microsoft.com/office/spreadsheetml/2019/extlinksprops" uri="{FCE6A71B-6B00-49CD-AB44-F6B1AE7CDE65}">
      <xxlnp:externalLinksPr autoRefresh="1"/>
    </ext>
  </extLst>
</workbook>
</file>

<file path=xl/calcChain.xml><?xml version="1.0" encoding="utf-8"?>
<calcChain xmlns="http://schemas.openxmlformats.org/spreadsheetml/2006/main">
  <c r="AH22" i="2" l="1"/>
  <c r="AH23" i="2"/>
  <c r="AH24" i="2"/>
  <c r="AH25" i="2"/>
  <c r="AH26" i="2"/>
  <c r="AH27" i="2"/>
  <c r="AH28" i="2"/>
  <c r="AH29" i="2"/>
  <c r="AH30" i="2"/>
  <c r="AH31" i="2"/>
  <c r="AH32" i="2"/>
  <c r="AH33" i="2"/>
  <c r="AH34" i="2"/>
  <c r="AH35" i="2"/>
  <c r="AH36" i="2"/>
  <c r="AH37" i="2"/>
  <c r="AH38" i="2"/>
  <c r="AH39" i="2"/>
  <c r="AH40" i="2"/>
  <c r="AH41" i="2"/>
  <c r="AH42" i="2"/>
  <c r="AH43" i="2"/>
  <c r="AH44" i="2"/>
  <c r="AH45" i="2"/>
  <c r="AH46" i="2"/>
  <c r="AH47" i="2"/>
  <c r="AH48" i="2"/>
  <c r="AH49" i="2"/>
  <c r="AH50" i="2"/>
  <c r="AH51" i="2"/>
  <c r="AH52" i="2"/>
  <c r="AH53" i="2"/>
  <c r="AH54" i="2"/>
  <c r="AH55" i="2"/>
  <c r="AH56" i="2"/>
  <c r="AH57" i="2"/>
  <c r="AH58" i="2"/>
  <c r="AH59" i="2"/>
  <c r="AH60" i="2"/>
  <c r="AH61" i="2"/>
  <c r="AH62" i="2"/>
  <c r="AH63" i="2"/>
  <c r="AH19" i="2"/>
  <c r="AH20" i="2"/>
  <c r="AH21" i="2"/>
  <c r="AH18" i="2"/>
  <c r="AF18" i="2"/>
  <c r="AH17" i="2"/>
  <c r="AF17" i="2"/>
  <c r="AH16" i="2"/>
  <c r="AF16" i="2"/>
  <c r="AH15" i="2"/>
  <c r="AF15" i="2"/>
  <c r="AH14" i="2"/>
  <c r="AF14" i="2"/>
  <c r="AH13" i="2"/>
  <c r="AF13" i="2"/>
  <c r="AH12" i="2"/>
  <c r="AF12" i="2"/>
  <c r="AH11" i="2"/>
  <c r="AF11" i="2"/>
  <c r="AI18" i="2" s="1"/>
  <c r="AF10" i="2"/>
  <c r="AF9" i="2"/>
  <c r="AF8" i="2"/>
  <c r="AF7" i="2"/>
  <c r="AF6" i="2"/>
  <c r="AF5" i="2"/>
  <c r="AF4" i="2"/>
  <c r="V48" i="2"/>
  <c r="W48" i="2"/>
  <c r="V49" i="2"/>
  <c r="W49" i="2"/>
  <c r="V50" i="2"/>
  <c r="W50" i="2"/>
  <c r="V51" i="2"/>
  <c r="W51" i="2"/>
  <c r="V52" i="2"/>
  <c r="W52" i="2"/>
  <c r="V53" i="2"/>
  <c r="W53" i="2"/>
  <c r="V54" i="2"/>
  <c r="W54" i="2"/>
  <c r="V55" i="2"/>
  <c r="W55" i="2"/>
  <c r="V56" i="2"/>
  <c r="W56" i="2"/>
  <c r="V57" i="2"/>
  <c r="W57" i="2"/>
  <c r="V58" i="2"/>
  <c r="W58" i="2"/>
  <c r="V59" i="2"/>
  <c r="W59" i="2"/>
  <c r="V60" i="2"/>
  <c r="W60" i="2"/>
  <c r="V61" i="2"/>
  <c r="W61" i="2"/>
  <c r="V62" i="2"/>
  <c r="W62" i="2"/>
  <c r="V63" i="2"/>
  <c r="W63" i="2"/>
  <c r="V64" i="2"/>
  <c r="W64" i="2"/>
  <c r="V65" i="2"/>
  <c r="W65" i="2"/>
  <c r="V66" i="2"/>
  <c r="W66" i="2"/>
  <c r="V67" i="2"/>
  <c r="W67" i="2"/>
  <c r="V68" i="2"/>
  <c r="W68" i="2"/>
  <c r="V69" i="2"/>
  <c r="W69" i="2"/>
  <c r="V70" i="2"/>
  <c r="W70" i="2"/>
  <c r="V71" i="2"/>
  <c r="W71" i="2"/>
  <c r="V72" i="2"/>
  <c r="W72" i="2"/>
  <c r="V73" i="2"/>
  <c r="W73" i="2"/>
  <c r="V74" i="2"/>
  <c r="W74" i="2"/>
  <c r="V75" i="2"/>
  <c r="W75" i="2"/>
  <c r="V76" i="2"/>
  <c r="W76" i="2"/>
  <c r="V77" i="2"/>
  <c r="W77" i="2"/>
  <c r="V78" i="2"/>
  <c r="W78" i="2"/>
  <c r="V79" i="2"/>
  <c r="W79" i="2"/>
  <c r="V80" i="2"/>
  <c r="W80" i="2"/>
  <c r="V81" i="2"/>
  <c r="W81" i="2"/>
  <c r="V82" i="2"/>
  <c r="W82" i="2"/>
  <c r="V83" i="2"/>
  <c r="W83" i="2"/>
  <c r="V84" i="2"/>
  <c r="W84" i="2"/>
  <c r="V85" i="2"/>
  <c r="W85" i="2"/>
  <c r="V86" i="2"/>
  <c r="W86" i="2"/>
  <c r="V87" i="2"/>
  <c r="W87" i="2"/>
  <c r="V88" i="2"/>
  <c r="W88" i="2"/>
  <c r="V89" i="2"/>
  <c r="W89" i="2"/>
  <c r="V90" i="2"/>
  <c r="W90" i="2"/>
  <c r="V91" i="2"/>
  <c r="W91" i="2"/>
  <c r="V92" i="2"/>
  <c r="W92" i="2"/>
  <c r="V93" i="2"/>
  <c r="W93" i="2"/>
  <c r="V94" i="2"/>
  <c r="W94" i="2"/>
  <c r="V95" i="2"/>
  <c r="W95" i="2"/>
  <c r="V96" i="2"/>
  <c r="W96" i="2"/>
  <c r="V97" i="2"/>
  <c r="W97" i="2"/>
  <c r="V98" i="2"/>
  <c r="W98" i="2"/>
  <c r="V99" i="2"/>
  <c r="W99" i="2"/>
  <c r="V100" i="2"/>
  <c r="W100" i="2"/>
  <c r="V101" i="2"/>
  <c r="W101" i="2"/>
  <c r="V102" i="2"/>
  <c r="W102" i="2"/>
  <c r="V103" i="2"/>
  <c r="W103" i="2"/>
  <c r="V104" i="2"/>
  <c r="W104" i="2"/>
  <c r="V105" i="2"/>
  <c r="W105" i="2"/>
  <c r="V106" i="2"/>
  <c r="W106" i="2"/>
  <c r="V107" i="2"/>
  <c r="W107" i="2"/>
  <c r="V108" i="2"/>
  <c r="W108" i="2"/>
  <c r="V109" i="2"/>
  <c r="W109" i="2"/>
  <c r="V110" i="2"/>
  <c r="W110" i="2"/>
  <c r="V111" i="2"/>
  <c r="W111" i="2"/>
  <c r="V112" i="2"/>
  <c r="W112" i="2"/>
  <c r="V113" i="2"/>
  <c r="W113" i="2"/>
  <c r="V114" i="2"/>
  <c r="W114" i="2"/>
  <c r="V115" i="2"/>
  <c r="W115" i="2"/>
  <c r="V116" i="2"/>
  <c r="W116" i="2"/>
  <c r="V117" i="2"/>
  <c r="W117" i="2"/>
  <c r="V118" i="2"/>
  <c r="W118" i="2"/>
  <c r="V119" i="2"/>
  <c r="W119" i="2"/>
  <c r="V120" i="2"/>
  <c r="W120" i="2"/>
  <c r="V121" i="2"/>
  <c r="W121" i="2"/>
  <c r="V122" i="2"/>
  <c r="W122" i="2"/>
  <c r="V123" i="2"/>
  <c r="W123" i="2"/>
  <c r="V124" i="2"/>
  <c r="W124" i="2"/>
  <c r="V125" i="2"/>
  <c r="W125" i="2"/>
  <c r="V126" i="2"/>
  <c r="W126" i="2"/>
  <c r="V127" i="2"/>
  <c r="W127" i="2"/>
  <c r="V128" i="2"/>
  <c r="W128" i="2"/>
  <c r="V129" i="2"/>
  <c r="W129" i="2"/>
  <c r="V130" i="2"/>
  <c r="W130" i="2"/>
  <c r="V131" i="2"/>
  <c r="W131" i="2"/>
  <c r="W47" i="2"/>
  <c r="V47"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52" i="2"/>
  <c r="P253" i="2"/>
  <c r="P254" i="2"/>
  <c r="P255" i="2"/>
  <c r="P256" i="2"/>
  <c r="P257" i="2"/>
  <c r="P258" i="2"/>
  <c r="P259" i="2"/>
  <c r="P260" i="2"/>
  <c r="P261" i="2"/>
  <c r="P262" i="2"/>
  <c r="P263" i="2"/>
  <c r="P264" i="2"/>
  <c r="P265" i="2"/>
  <c r="P266" i="2"/>
  <c r="P267" i="2"/>
  <c r="P268" i="2"/>
  <c r="P269" i="2"/>
  <c r="P270" i="2"/>
  <c r="P271" i="2"/>
  <c r="P272" i="2"/>
  <c r="P273" i="2"/>
  <c r="P274" i="2"/>
  <c r="P275" i="2"/>
  <c r="P276" i="2"/>
  <c r="P277" i="2"/>
  <c r="P278" i="2"/>
  <c r="P279" i="2"/>
  <c r="P280" i="2"/>
  <c r="P281" i="2"/>
  <c r="P282" i="2"/>
  <c r="P283" i="2"/>
  <c r="P284" i="2"/>
  <c r="P285" i="2"/>
  <c r="P286" i="2"/>
  <c r="P287" i="2"/>
  <c r="P288" i="2"/>
  <c r="P289" i="2"/>
  <c r="P290" i="2"/>
  <c r="P291" i="2"/>
  <c r="P292" i="2"/>
  <c r="P293" i="2"/>
  <c r="P294" i="2"/>
  <c r="P295" i="2"/>
  <c r="P296" i="2"/>
  <c r="P297" i="2"/>
  <c r="P298" i="2"/>
  <c r="P299" i="2"/>
  <c r="P300" i="2"/>
  <c r="P301" i="2"/>
  <c r="P302" i="2"/>
  <c r="P303" i="2"/>
  <c r="P304" i="2"/>
  <c r="P305" i="2"/>
  <c r="P306" i="2"/>
  <c r="P307" i="2"/>
  <c r="P308" i="2"/>
  <c r="P309" i="2"/>
  <c r="P310" i="2"/>
  <c r="P311" i="2"/>
  <c r="P312" i="2"/>
  <c r="P313" i="2"/>
  <c r="P314" i="2"/>
  <c r="P315" i="2"/>
  <c r="P316" i="2"/>
  <c r="P317" i="2"/>
  <c r="P318" i="2"/>
  <c r="P319" i="2"/>
  <c r="P320" i="2"/>
  <c r="P321" i="2"/>
  <c r="P322" i="2"/>
  <c r="P323" i="2"/>
  <c r="P324" i="2"/>
  <c r="P325" i="2"/>
  <c r="P326" i="2"/>
  <c r="P327" i="2"/>
  <c r="P328" i="2"/>
  <c r="P329" i="2"/>
  <c r="P330" i="2"/>
  <c r="P331" i="2"/>
  <c r="P332" i="2"/>
  <c r="P333" i="2"/>
  <c r="P334" i="2"/>
  <c r="P335" i="2"/>
  <c r="P336" i="2"/>
  <c r="P337" i="2"/>
  <c r="P338" i="2"/>
  <c r="P339" i="2"/>
  <c r="P340" i="2"/>
  <c r="P341" i="2"/>
  <c r="P342" i="2"/>
  <c r="P343" i="2"/>
  <c r="P344" i="2"/>
  <c r="P345" i="2"/>
  <c r="P346" i="2"/>
  <c r="P347" i="2"/>
  <c r="P348" i="2"/>
  <c r="P349" i="2"/>
  <c r="P350" i="2"/>
  <c r="P351" i="2"/>
  <c r="P352" i="2"/>
  <c r="P353" i="2"/>
  <c r="P354" i="2"/>
  <c r="P355" i="2"/>
  <c r="P356" i="2"/>
  <c r="P357" i="2"/>
  <c r="P358" i="2"/>
  <c r="P359" i="2"/>
  <c r="P360" i="2"/>
  <c r="P361" i="2"/>
  <c r="P362" i="2"/>
  <c r="P363" i="2"/>
  <c r="P364" i="2"/>
  <c r="P365" i="2"/>
  <c r="P366" i="2"/>
  <c r="P367" i="2"/>
  <c r="P368" i="2"/>
  <c r="P369" i="2"/>
  <c r="P370" i="2"/>
  <c r="P371" i="2"/>
  <c r="P372" i="2"/>
  <c r="P373" i="2"/>
  <c r="P374" i="2"/>
  <c r="P375" i="2"/>
  <c r="P376" i="2"/>
  <c r="P377" i="2"/>
  <c r="P378" i="2"/>
  <c r="P379" i="2"/>
  <c r="P380" i="2"/>
  <c r="P381" i="2"/>
  <c r="P382" i="2"/>
  <c r="P383" i="2"/>
  <c r="P384" i="2"/>
  <c r="P385" i="2"/>
  <c r="P386" i="2"/>
  <c r="P387" i="2"/>
  <c r="P388" i="2"/>
  <c r="P389" i="2"/>
  <c r="P390" i="2"/>
  <c r="P391" i="2"/>
  <c r="P392" i="2"/>
  <c r="P393" i="2"/>
  <c r="P394" i="2"/>
  <c r="P395" i="2"/>
  <c r="P396" i="2"/>
  <c r="P397" i="2"/>
  <c r="P398" i="2"/>
  <c r="P399" i="2"/>
  <c r="P400" i="2"/>
  <c r="P401" i="2"/>
  <c r="P402" i="2"/>
  <c r="P403" i="2"/>
  <c r="P404" i="2"/>
  <c r="P405" i="2"/>
  <c r="P406" i="2"/>
  <c r="P407" i="2"/>
  <c r="P408" i="2"/>
  <c r="P409" i="2"/>
  <c r="P410" i="2"/>
  <c r="P411" i="2"/>
  <c r="P412" i="2"/>
  <c r="P413" i="2"/>
  <c r="P414" i="2"/>
  <c r="P415" i="2"/>
  <c r="P416" i="2"/>
  <c r="P417" i="2"/>
  <c r="P418" i="2"/>
  <c r="P419" i="2"/>
  <c r="P420" i="2"/>
  <c r="P421" i="2"/>
  <c r="P422" i="2"/>
  <c r="P423" i="2"/>
  <c r="P424" i="2"/>
  <c r="P425" i="2"/>
  <c r="P426" i="2"/>
  <c r="P427" i="2"/>
  <c r="P428" i="2"/>
  <c r="P429" i="2"/>
  <c r="P430" i="2"/>
  <c r="P431" i="2"/>
  <c r="P432" i="2"/>
  <c r="P433" i="2"/>
  <c r="P434" i="2"/>
  <c r="P435" i="2"/>
  <c r="P436" i="2"/>
  <c r="P437" i="2"/>
  <c r="P438" i="2"/>
  <c r="P439" i="2"/>
  <c r="P440" i="2"/>
  <c r="P441" i="2"/>
  <c r="P442" i="2"/>
  <c r="P443" i="2"/>
  <c r="P444" i="2"/>
  <c r="P445" i="2"/>
  <c r="P446" i="2"/>
  <c r="P447" i="2"/>
  <c r="P448" i="2"/>
  <c r="P449" i="2"/>
  <c r="P450" i="2"/>
  <c r="P451" i="2"/>
  <c r="P452" i="2"/>
  <c r="P4" i="2"/>
  <c r="AL5" i="2"/>
  <c r="AI15" i="2"/>
  <c r="AF19" i="2"/>
  <c r="AG19" i="2" s="1"/>
  <c r="AF20" i="2"/>
  <c r="AG20" i="2" s="1"/>
  <c r="AF63" i="2"/>
  <c r="AG63" i="2" s="1"/>
  <c r="AF62" i="2"/>
  <c r="AG62" i="2" s="1"/>
  <c r="AF61" i="2"/>
  <c r="AG61" i="2" s="1"/>
  <c r="AF60" i="2"/>
  <c r="AG60" i="2" s="1"/>
  <c r="AF59" i="2"/>
  <c r="AG59" i="2" s="1"/>
  <c r="AF58" i="2"/>
  <c r="AG58" i="2" s="1"/>
  <c r="AF57" i="2"/>
  <c r="AG57" i="2" s="1"/>
  <c r="AF56" i="2"/>
  <c r="AG56" i="2" s="1"/>
  <c r="AF55" i="2"/>
  <c r="AG55" i="2" s="1"/>
  <c r="AF54" i="2"/>
  <c r="AG54" i="2" s="1"/>
  <c r="AF53" i="2"/>
  <c r="AG53" i="2" s="1"/>
  <c r="AF52" i="2"/>
  <c r="AG52" i="2" s="1"/>
  <c r="AF51" i="2"/>
  <c r="AG51" i="2" s="1"/>
  <c r="AF50" i="2"/>
  <c r="AG50" i="2" s="1"/>
  <c r="AF49" i="2"/>
  <c r="AG49" i="2" s="1"/>
  <c r="AF48" i="2"/>
  <c r="AG48" i="2" s="1"/>
  <c r="AF47" i="2"/>
  <c r="AG47" i="2" s="1"/>
  <c r="AF46" i="2"/>
  <c r="AG46" i="2" s="1"/>
  <c r="AF45" i="2"/>
  <c r="AG45" i="2" s="1"/>
  <c r="AF44" i="2"/>
  <c r="AG44" i="2" s="1"/>
  <c r="AF43" i="2"/>
  <c r="AG43" i="2" s="1"/>
  <c r="AF42" i="2"/>
  <c r="AG42" i="2" s="1"/>
  <c r="AF41" i="2"/>
  <c r="AG41" i="2" s="1"/>
  <c r="AF40" i="2"/>
  <c r="AG40" i="2" s="1"/>
  <c r="AF39" i="2"/>
  <c r="AG39" i="2" s="1"/>
  <c r="AF38" i="2"/>
  <c r="AG38" i="2" s="1"/>
  <c r="AF37" i="2"/>
  <c r="AG37" i="2" s="1"/>
  <c r="AF36" i="2"/>
  <c r="AG36" i="2" s="1"/>
  <c r="AF35" i="2"/>
  <c r="AG35" i="2" s="1"/>
  <c r="AF34" i="2"/>
  <c r="AG34" i="2" s="1"/>
  <c r="AF33" i="2"/>
  <c r="AG33" i="2" s="1"/>
  <c r="AF32" i="2"/>
  <c r="AG32" i="2" s="1"/>
  <c r="AF31" i="2"/>
  <c r="AG31" i="2" s="1"/>
  <c r="AF30" i="2"/>
  <c r="AG30" i="2" s="1"/>
  <c r="AF29" i="2"/>
  <c r="AG29" i="2" s="1"/>
  <c r="AF28" i="2"/>
  <c r="AG28" i="2" s="1"/>
  <c r="AF27" i="2"/>
  <c r="AG27" i="2" s="1"/>
  <c r="AF26" i="2"/>
  <c r="AG26" i="2" s="1"/>
  <c r="AF25" i="2"/>
  <c r="AG25" i="2" s="1"/>
  <c r="AF24" i="2"/>
  <c r="AG24" i="2" s="1"/>
  <c r="AF23" i="2"/>
  <c r="AG23" i="2" s="1"/>
  <c r="AF22" i="2"/>
  <c r="AG22" i="2" s="1"/>
  <c r="AF21" i="2"/>
  <c r="AG21" i="2" s="1"/>
  <c r="AJ11" i="2"/>
  <c r="AJ12" i="2" s="1"/>
  <c r="AJ13" i="2" s="1"/>
  <c r="AJ14" i="2" s="1"/>
  <c r="AJ15" i="2" s="1"/>
  <c r="AJ16" i="2" s="1"/>
  <c r="AJ17" i="2" s="1"/>
  <c r="AJ18" i="2" s="1"/>
  <c r="AJ19" i="2" s="1"/>
  <c r="AJ20" i="2" s="1"/>
  <c r="AJ21" i="2" s="1"/>
  <c r="AJ22" i="2" s="1"/>
  <c r="AJ23" i="2" s="1"/>
  <c r="AJ24" i="2" s="1"/>
  <c r="AJ25" i="2" s="1"/>
  <c r="AJ26" i="2" s="1"/>
  <c r="AJ27" i="2" s="1"/>
  <c r="AJ28" i="2" s="1"/>
  <c r="AJ29" i="2" s="1"/>
  <c r="AJ30" i="2" s="1"/>
  <c r="AJ31" i="2" s="1"/>
  <c r="AJ32" i="2" s="1"/>
  <c r="AJ33" i="2" s="1"/>
  <c r="AJ34" i="2" s="1"/>
  <c r="AJ35" i="2" s="1"/>
  <c r="AJ36" i="2" s="1"/>
  <c r="AJ37" i="2" s="1"/>
  <c r="AJ38" i="2" s="1"/>
  <c r="AJ39" i="2" s="1"/>
  <c r="AJ40" i="2" s="1"/>
  <c r="AJ41" i="2" s="1"/>
  <c r="AJ42" i="2" s="1"/>
  <c r="AJ43" i="2" s="1"/>
  <c r="AJ44" i="2" s="1"/>
  <c r="AJ45" i="2" s="1"/>
  <c r="AJ46" i="2" s="1"/>
  <c r="AJ47" i="2" s="1"/>
  <c r="AJ48" i="2" s="1"/>
  <c r="AJ49" i="2" s="1"/>
  <c r="AJ50" i="2" s="1"/>
  <c r="AJ51" i="2" s="1"/>
  <c r="AJ52" i="2" s="1"/>
  <c r="AJ53" i="2" s="1"/>
  <c r="AJ54" i="2" s="1"/>
  <c r="AJ55" i="2" s="1"/>
  <c r="AJ56" i="2" s="1"/>
  <c r="AJ57" i="2" s="1"/>
  <c r="AJ58" i="2" s="1"/>
  <c r="AJ59" i="2" s="1"/>
  <c r="AJ60" i="2" s="1"/>
  <c r="AJ61" i="2" s="1"/>
  <c r="AJ62" i="2" s="1"/>
  <c r="AJ63" i="2" s="1"/>
  <c r="AP5" i="2" s="1"/>
  <c r="N396" i="2"/>
  <c r="O396" i="2" s="1"/>
  <c r="N397" i="2"/>
  <c r="O397" i="2" s="1"/>
  <c r="N398" i="2"/>
  <c r="O398" i="2" s="1"/>
  <c r="N399" i="2"/>
  <c r="O399" i="2" s="1"/>
  <c r="N400" i="2"/>
  <c r="O400" i="2" s="1"/>
  <c r="N401" i="2"/>
  <c r="O401" i="2" s="1"/>
  <c r="N402" i="2"/>
  <c r="O402" i="2" s="1"/>
  <c r="N403" i="2"/>
  <c r="O403" i="2" s="1"/>
  <c r="N404" i="2"/>
  <c r="O404" i="2" s="1"/>
  <c r="N405" i="2"/>
  <c r="O405" i="2" s="1"/>
  <c r="N406" i="2"/>
  <c r="O406" i="2" s="1"/>
  <c r="N407" i="2"/>
  <c r="O407" i="2" s="1"/>
  <c r="N408" i="2"/>
  <c r="O408" i="2" s="1"/>
  <c r="N409" i="2"/>
  <c r="O409" i="2" s="1"/>
  <c r="N410" i="2"/>
  <c r="O410" i="2" s="1"/>
  <c r="N411" i="2"/>
  <c r="O411" i="2" s="1"/>
  <c r="N412" i="2"/>
  <c r="O412" i="2" s="1"/>
  <c r="N413" i="2"/>
  <c r="O413" i="2" s="1"/>
  <c r="N414" i="2"/>
  <c r="O414" i="2" s="1"/>
  <c r="N415" i="2"/>
  <c r="O415" i="2" s="1"/>
  <c r="N416" i="2"/>
  <c r="O416" i="2" s="1"/>
  <c r="N417" i="2"/>
  <c r="O417" i="2" s="1"/>
  <c r="N418" i="2"/>
  <c r="O418" i="2" s="1"/>
  <c r="N419" i="2"/>
  <c r="O419" i="2" s="1"/>
  <c r="N420" i="2"/>
  <c r="O420" i="2" s="1"/>
  <c r="N421" i="2"/>
  <c r="O421" i="2" s="1"/>
  <c r="N422" i="2"/>
  <c r="O422" i="2" s="1"/>
  <c r="N423" i="2"/>
  <c r="O423" i="2" s="1"/>
  <c r="N424" i="2"/>
  <c r="O424" i="2" s="1"/>
  <c r="N425" i="2"/>
  <c r="O425" i="2" s="1"/>
  <c r="N426" i="2"/>
  <c r="O426" i="2" s="1"/>
  <c r="N427" i="2"/>
  <c r="O427" i="2" s="1"/>
  <c r="N428" i="2"/>
  <c r="O428" i="2" s="1"/>
  <c r="N429" i="2"/>
  <c r="O429" i="2" s="1"/>
  <c r="N430" i="2"/>
  <c r="O430" i="2" s="1"/>
  <c r="N431" i="2"/>
  <c r="O431" i="2" s="1"/>
  <c r="N432" i="2"/>
  <c r="O432" i="2" s="1"/>
  <c r="N433" i="2"/>
  <c r="O433" i="2" s="1"/>
  <c r="N434" i="2"/>
  <c r="O434" i="2" s="1"/>
  <c r="N435" i="2"/>
  <c r="O435" i="2" s="1"/>
  <c r="N436" i="2"/>
  <c r="O436" i="2" s="1"/>
  <c r="N437" i="2"/>
  <c r="O437" i="2" s="1"/>
  <c r="N438" i="2"/>
  <c r="O438" i="2" s="1"/>
  <c r="N439" i="2"/>
  <c r="O439" i="2" s="1"/>
  <c r="N440" i="2"/>
  <c r="O440" i="2" s="1"/>
  <c r="N441" i="2"/>
  <c r="O441" i="2" s="1"/>
  <c r="N442" i="2"/>
  <c r="O442" i="2" s="1"/>
  <c r="N443" i="2"/>
  <c r="O443" i="2" s="1"/>
  <c r="N444" i="2"/>
  <c r="O444" i="2" s="1"/>
  <c r="N445" i="2"/>
  <c r="O445" i="2" s="1"/>
  <c r="N446" i="2"/>
  <c r="O446" i="2" s="1"/>
  <c r="N447" i="2"/>
  <c r="O447" i="2" s="1"/>
  <c r="N448" i="2"/>
  <c r="O448" i="2" s="1"/>
  <c r="N449" i="2"/>
  <c r="O449" i="2" s="1"/>
  <c r="N450" i="2"/>
  <c r="O450" i="2" s="1"/>
  <c r="N451" i="2"/>
  <c r="O451" i="2" s="1"/>
  <c r="N452" i="2"/>
  <c r="O452" i="2" s="1"/>
  <c r="E5" i="5"/>
  <c r="E6" i="5"/>
  <c r="E7" i="5"/>
  <c r="E8" i="5"/>
  <c r="E9" i="5"/>
  <c r="E10"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1"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4" i="5"/>
  <c r="B93" i="5"/>
  <c r="B94" i="5"/>
  <c r="B95" i="5"/>
  <c r="B96" i="5"/>
  <c r="B97" i="5"/>
  <c r="B98" i="5"/>
  <c r="B99" i="5"/>
  <c r="B100" i="5"/>
  <c r="B101" i="5"/>
  <c r="B102" i="5"/>
  <c r="B103" i="5"/>
  <c r="B104" i="5"/>
  <c r="B105" i="5"/>
  <c r="B106" i="5"/>
  <c r="B107" i="5"/>
  <c r="B108" i="5"/>
  <c r="B109" i="5"/>
  <c r="B110" i="5"/>
  <c r="B111" i="5"/>
  <c r="C111" i="5" s="1"/>
  <c r="B112" i="5"/>
  <c r="B113" i="5"/>
  <c r="B114" i="5"/>
  <c r="B115" i="5"/>
  <c r="B116" i="5"/>
  <c r="C116" i="5" s="1"/>
  <c r="B117" i="5"/>
  <c r="B118" i="5"/>
  <c r="B119" i="5"/>
  <c r="B120" i="5"/>
  <c r="B121" i="5"/>
  <c r="B122" i="5"/>
  <c r="B123" i="5"/>
  <c r="C123" i="5" s="1"/>
  <c r="B124" i="5"/>
  <c r="B125" i="5"/>
  <c r="C125" i="5" s="1"/>
  <c r="B126" i="5"/>
  <c r="C126" i="5" s="1"/>
  <c r="B127" i="5"/>
  <c r="B128" i="5"/>
  <c r="B129" i="5"/>
  <c r="C129" i="5" s="1"/>
  <c r="B130" i="5"/>
  <c r="C130" i="5" s="1"/>
  <c r="B131" i="5"/>
  <c r="C131" i="5" s="1"/>
  <c r="B132" i="5"/>
  <c r="B133" i="5"/>
  <c r="C133" i="5" s="1"/>
  <c r="B134" i="5"/>
  <c r="B135" i="5"/>
  <c r="B136" i="5"/>
  <c r="C136" i="5" s="1"/>
  <c r="B137" i="5"/>
  <c r="B138" i="5"/>
  <c r="B139" i="5"/>
  <c r="B140" i="5"/>
  <c r="B141" i="5"/>
  <c r="B142" i="5"/>
  <c r="B143" i="5"/>
  <c r="C143" i="5" s="1"/>
  <c r="B144" i="5"/>
  <c r="C144" i="5" s="1"/>
  <c r="B145" i="5"/>
  <c r="C145" i="5" s="1"/>
  <c r="B146" i="5"/>
  <c r="B147" i="5"/>
  <c r="B148" i="5"/>
  <c r="B149" i="5"/>
  <c r="B150" i="5"/>
  <c r="C150" i="5" s="1"/>
  <c r="B151" i="5"/>
  <c r="C151" i="5" s="1"/>
  <c r="B152" i="5"/>
  <c r="C152" i="5" s="1"/>
  <c r="B153" i="5"/>
  <c r="B154" i="5"/>
  <c r="C154" i="5" s="1"/>
  <c r="B155" i="5"/>
  <c r="B156" i="5"/>
  <c r="B157" i="5"/>
  <c r="B158" i="5"/>
  <c r="B159" i="5"/>
  <c r="C159" i="5" s="1"/>
  <c r="B160" i="5"/>
  <c r="C160" i="5" s="1"/>
  <c r="B161" i="5"/>
  <c r="C161" i="5" s="1"/>
  <c r="B162" i="5"/>
  <c r="C162" i="5" s="1"/>
  <c r="B163" i="5"/>
  <c r="B164" i="5"/>
  <c r="B165" i="5"/>
  <c r="C165" i="5" s="1"/>
  <c r="B166" i="5"/>
  <c r="C166" i="5" s="1"/>
  <c r="B167" i="5"/>
  <c r="C167" i="5" s="1"/>
  <c r="B168" i="5"/>
  <c r="C168" i="5" s="1"/>
  <c r="B169" i="5"/>
  <c r="C169" i="5" s="1"/>
  <c r="B170" i="5"/>
  <c r="B171" i="5"/>
  <c r="C171" i="5" s="1"/>
  <c r="B172" i="5"/>
  <c r="B173" i="5"/>
  <c r="C173" i="5" s="1"/>
  <c r="B174" i="5"/>
  <c r="C174" i="5" s="1"/>
  <c r="B175" i="5"/>
  <c r="C175" i="5" s="1"/>
  <c r="B176" i="5"/>
  <c r="C176" i="5" s="1"/>
  <c r="B177" i="5"/>
  <c r="B178" i="5"/>
  <c r="B179" i="5"/>
  <c r="C179" i="5" s="1"/>
  <c r="B180" i="5"/>
  <c r="B181" i="5"/>
  <c r="C181" i="5" s="1"/>
  <c r="B182" i="5"/>
  <c r="C182" i="5" s="1"/>
  <c r="B183" i="5"/>
  <c r="C183" i="5" s="1"/>
  <c r="B184" i="5"/>
  <c r="C184" i="5" s="1"/>
  <c r="B185" i="5"/>
  <c r="C185" i="5" s="1"/>
  <c r="B186" i="5"/>
  <c r="B187" i="5"/>
  <c r="B188" i="5"/>
  <c r="B189" i="5"/>
  <c r="B190" i="5"/>
  <c r="B191" i="5"/>
  <c r="B192" i="5"/>
  <c r="B193" i="5"/>
  <c r="B194" i="5"/>
  <c r="B195" i="5"/>
  <c r="B196" i="5"/>
  <c r="B197" i="5"/>
  <c r="B198" i="5"/>
  <c r="B199" i="5"/>
  <c r="C199" i="5" s="1"/>
  <c r="B200" i="5"/>
  <c r="B201" i="5"/>
  <c r="C201" i="5" s="1"/>
  <c r="B202" i="5"/>
  <c r="B203" i="5"/>
  <c r="C203" i="5" s="1"/>
  <c r="B204" i="5"/>
  <c r="B205" i="5"/>
  <c r="C205" i="5" s="1"/>
  <c r="B206" i="5"/>
  <c r="B207" i="5"/>
  <c r="B208" i="5"/>
  <c r="B209" i="5"/>
  <c r="C209" i="5" s="1"/>
  <c r="B210" i="5"/>
  <c r="C210" i="5" s="1"/>
  <c r="B211" i="5"/>
  <c r="B212" i="5"/>
  <c r="B213" i="5"/>
  <c r="B214" i="5"/>
  <c r="B215" i="5"/>
  <c r="B216" i="5"/>
  <c r="B217" i="5"/>
  <c r="B218" i="5"/>
  <c r="B219" i="5"/>
  <c r="B220" i="5"/>
  <c r="B221" i="5"/>
  <c r="B222" i="5"/>
  <c r="B223" i="5"/>
  <c r="B224" i="5"/>
  <c r="B225" i="5"/>
  <c r="C225" i="5" s="1"/>
  <c r="B70" i="5"/>
  <c r="B71" i="5"/>
  <c r="B72" i="5"/>
  <c r="B73" i="5"/>
  <c r="C73" i="5" s="1"/>
  <c r="B74" i="5"/>
  <c r="C74" i="5" s="1"/>
  <c r="B75" i="5"/>
  <c r="C75" i="5" s="1"/>
  <c r="B76" i="5"/>
  <c r="C76" i="5" s="1"/>
  <c r="B77" i="5"/>
  <c r="C77" i="5" s="1"/>
  <c r="B78" i="5"/>
  <c r="C78" i="5" s="1"/>
  <c r="B79" i="5"/>
  <c r="B80" i="5"/>
  <c r="C80" i="5" s="1"/>
  <c r="B81" i="5"/>
  <c r="C81" i="5" s="1"/>
  <c r="B82" i="5"/>
  <c r="C82" i="5" s="1"/>
  <c r="B83" i="5"/>
  <c r="C83" i="5" s="1"/>
  <c r="B84" i="5"/>
  <c r="B85" i="5"/>
  <c r="C85" i="5" s="1"/>
  <c r="B86" i="5"/>
  <c r="C86" i="5" s="1"/>
  <c r="B87" i="5"/>
  <c r="C87" i="5" s="1"/>
  <c r="B88" i="5"/>
  <c r="C88" i="5" s="1"/>
  <c r="B89" i="5"/>
  <c r="B90" i="5"/>
  <c r="C90" i="5" s="1"/>
  <c r="B91" i="5"/>
  <c r="B92" i="5"/>
  <c r="C92" i="5" s="1"/>
  <c r="B62" i="5"/>
  <c r="C62" i="5" s="1"/>
  <c r="B63" i="5"/>
  <c r="B64" i="5"/>
  <c r="C64" i="5" s="1"/>
  <c r="B65" i="5"/>
  <c r="B66" i="5"/>
  <c r="C66" i="5" s="1"/>
  <c r="B67" i="5"/>
  <c r="C67" i="5" s="1"/>
  <c r="B68" i="5"/>
  <c r="B69" i="5"/>
  <c r="C69" i="5" s="1"/>
  <c r="B53" i="5"/>
  <c r="C53" i="5" s="1"/>
  <c r="B54" i="5"/>
  <c r="B55" i="5"/>
  <c r="B56" i="5"/>
  <c r="B57" i="5"/>
  <c r="B58" i="5"/>
  <c r="C58" i="5" s="1"/>
  <c r="B59" i="5"/>
  <c r="B60" i="5"/>
  <c r="B61" i="5"/>
  <c r="C61" i="5" s="1"/>
  <c r="B47" i="5"/>
  <c r="B9" i="5"/>
  <c r="C9" i="5" s="1"/>
  <c r="B44" i="5"/>
  <c r="B43" i="5"/>
  <c r="C114" i="5"/>
  <c r="M138" i="5"/>
  <c r="M137" i="5"/>
  <c r="C7" i="2"/>
  <c r="C41" i="2"/>
  <c r="B42" i="5"/>
  <c r="B41" i="5"/>
  <c r="B40" i="5"/>
  <c r="B39" i="5"/>
  <c r="B38" i="5"/>
  <c r="B37" i="5"/>
  <c r="B35" i="5"/>
  <c r="M35" i="5"/>
  <c r="B36" i="5"/>
  <c r="M36" i="5"/>
  <c r="M43" i="5"/>
  <c r="M44" i="5"/>
  <c r="B33" i="5"/>
  <c r="C33" i="5" s="1"/>
  <c r="B32" i="5"/>
  <c r="B34" i="5"/>
  <c r="M34" i="5"/>
  <c r="B29" i="5"/>
  <c r="C29" i="5" s="1"/>
  <c r="B22" i="5"/>
  <c r="C22" i="5" s="1"/>
  <c r="B5" i="5"/>
  <c r="B7" i="5"/>
  <c r="C7" i="5" s="1"/>
  <c r="A22" i="6"/>
  <c r="E20" i="6"/>
  <c r="D20" i="6"/>
  <c r="C20" i="6"/>
  <c r="B20" i="6"/>
  <c r="E19" i="6"/>
  <c r="D19" i="6"/>
  <c r="C19" i="6"/>
  <c r="B19" i="6"/>
  <c r="A18" i="6"/>
  <c r="A17" i="6"/>
  <c r="A16" i="6"/>
  <c r="H15" i="6"/>
  <c r="A15" i="6"/>
  <c r="H14" i="6"/>
  <c r="I14" i="6" s="1"/>
  <c r="A14" i="6"/>
  <c r="H13" i="6"/>
  <c r="I13" i="6" s="1"/>
  <c r="A13" i="6"/>
  <c r="H12" i="6"/>
  <c r="I12" i="6" s="1"/>
  <c r="A12" i="6"/>
  <c r="H11" i="6"/>
  <c r="I11" i="6" s="1"/>
  <c r="A11" i="6"/>
  <c r="H10" i="6"/>
  <c r="I10" i="6" s="1"/>
  <c r="A10" i="6"/>
  <c r="H9" i="6"/>
  <c r="I9" i="6" s="1"/>
  <c r="A9" i="6"/>
  <c r="H8" i="6"/>
  <c r="I8" i="6" s="1"/>
  <c r="A8" i="6"/>
  <c r="H7" i="6"/>
  <c r="I7" i="6" s="1"/>
  <c r="A7" i="6"/>
  <c r="H6" i="6"/>
  <c r="I6" i="6" s="1"/>
  <c r="A6" i="6"/>
  <c r="H5" i="6"/>
  <c r="I5" i="6" s="1"/>
  <c r="A5" i="6"/>
  <c r="H4" i="6"/>
  <c r="I4" i="6" s="1"/>
  <c r="E4" i="6"/>
  <c r="D4" i="6"/>
  <c r="C4" i="6"/>
  <c r="B4" i="6"/>
  <c r="B6" i="5"/>
  <c r="C6" i="5" s="1"/>
  <c r="B8" i="5"/>
  <c r="C8" i="5" s="1"/>
  <c r="B10" i="5"/>
  <c r="C10" i="5" s="1"/>
  <c r="B11" i="5"/>
  <c r="C11" i="5" s="1"/>
  <c r="B12" i="5"/>
  <c r="C12" i="5" s="1"/>
  <c r="B13" i="5"/>
  <c r="C13" i="5" s="1"/>
  <c r="B14" i="5"/>
  <c r="C14" i="5" s="1"/>
  <c r="B15" i="5"/>
  <c r="C15" i="5" s="1"/>
  <c r="B16" i="5"/>
  <c r="C16" i="5" s="1"/>
  <c r="B17" i="5"/>
  <c r="C17" i="5" s="1"/>
  <c r="B18" i="5"/>
  <c r="C18" i="5" s="1"/>
  <c r="B19" i="5"/>
  <c r="B20" i="5"/>
  <c r="B21" i="5"/>
  <c r="B23" i="5"/>
  <c r="B24" i="5"/>
  <c r="C24" i="5" s="1"/>
  <c r="B25" i="5"/>
  <c r="C25" i="5" s="1"/>
  <c r="B26" i="5"/>
  <c r="C26" i="5" s="1"/>
  <c r="B27" i="5"/>
  <c r="B28" i="5"/>
  <c r="C28" i="5" s="1"/>
  <c r="B30" i="5"/>
  <c r="C30" i="5" s="1"/>
  <c r="B31" i="5"/>
  <c r="B45" i="5"/>
  <c r="C45" i="5" s="1"/>
  <c r="B46" i="5"/>
  <c r="C46" i="5" s="1"/>
  <c r="B48" i="5"/>
  <c r="B49" i="5"/>
  <c r="B50" i="5"/>
  <c r="B51" i="5"/>
  <c r="C51" i="5" s="1"/>
  <c r="B52" i="5"/>
  <c r="C52" i="5" s="1"/>
  <c r="C54" i="5"/>
  <c r="C63" i="5"/>
  <c r="C65" i="5"/>
  <c r="C68" i="5"/>
  <c r="C89" i="5"/>
  <c r="C93" i="5"/>
  <c r="C124" i="5"/>
  <c r="C132" i="5"/>
  <c r="C164" i="5"/>
  <c r="C170" i="5"/>
  <c r="C172" i="5"/>
  <c r="C177" i="5"/>
  <c r="C202" i="5"/>
  <c r="C204" i="5"/>
  <c r="B226" i="5"/>
  <c r="C226" i="5" s="1"/>
  <c r="B227" i="5"/>
  <c r="C227" i="5" s="1"/>
  <c r="B228" i="5"/>
  <c r="C228" i="5" s="1"/>
  <c r="B229" i="5"/>
  <c r="C229" i="5" s="1"/>
  <c r="B230" i="5"/>
  <c r="C230" i="5" s="1"/>
  <c r="B231" i="5"/>
  <c r="C231" i="5" s="1"/>
  <c r="B232" i="5"/>
  <c r="C232" i="5" s="1"/>
  <c r="B233" i="5"/>
  <c r="B234" i="5"/>
  <c r="B235" i="5"/>
  <c r="B236" i="5"/>
  <c r="B237" i="5"/>
  <c r="B238" i="5"/>
  <c r="B239" i="5"/>
  <c r="B240" i="5"/>
  <c r="B241" i="5"/>
  <c r="B242" i="5"/>
  <c r="B243" i="5"/>
  <c r="C243" i="5" s="1"/>
  <c r="B244" i="5"/>
  <c r="C244" i="5" s="1"/>
  <c r="B245" i="5"/>
  <c r="C245" i="5" s="1"/>
  <c r="B246" i="5"/>
  <c r="C246" i="5" s="1"/>
  <c r="B247" i="5"/>
  <c r="C247" i="5" s="1"/>
  <c r="B248" i="5"/>
  <c r="C248" i="5" s="1"/>
  <c r="B249" i="5"/>
  <c r="C249" i="5" s="1"/>
  <c r="B250" i="5"/>
  <c r="B251" i="5"/>
  <c r="B252" i="5"/>
  <c r="B253" i="5"/>
  <c r="B254" i="5"/>
  <c r="B255" i="5"/>
  <c r="C255" i="5" s="1"/>
  <c r="B256" i="5"/>
  <c r="B257" i="5"/>
  <c r="C257" i="5" s="1"/>
  <c r="B258" i="5"/>
  <c r="C258" i="5" s="1"/>
  <c r="B259" i="5"/>
  <c r="C259" i="5" s="1"/>
  <c r="B260" i="5"/>
  <c r="B261" i="5"/>
  <c r="B262" i="5"/>
  <c r="B263" i="5"/>
  <c r="B264" i="5"/>
  <c r="B265" i="5"/>
  <c r="C265" i="5" s="1"/>
  <c r="B266" i="5"/>
  <c r="C266" i="5" s="1"/>
  <c r="B267" i="5"/>
  <c r="C267" i="5" s="1"/>
  <c r="B268" i="5"/>
  <c r="C268" i="5" s="1"/>
  <c r="B269" i="5"/>
  <c r="C269" i="5" s="1"/>
  <c r="B270" i="5"/>
  <c r="C270" i="5" s="1"/>
  <c r="B271" i="5"/>
  <c r="C271" i="5" s="1"/>
  <c r="B272" i="5"/>
  <c r="C272" i="5" s="1"/>
  <c r="B273" i="5"/>
  <c r="C273" i="5" s="1"/>
  <c r="B274" i="5"/>
  <c r="C274" i="5" s="1"/>
  <c r="B275" i="5"/>
  <c r="C275" i="5" s="1"/>
  <c r="B276" i="5"/>
  <c r="C276" i="5" s="1"/>
  <c r="B277" i="5"/>
  <c r="C277" i="5" s="1"/>
  <c r="B278" i="5"/>
  <c r="C278" i="5" s="1"/>
  <c r="B279" i="5"/>
  <c r="C279" i="5" s="1"/>
  <c r="B280" i="5"/>
  <c r="C280" i="5" s="1"/>
  <c r="B281" i="5"/>
  <c r="C281" i="5" s="1"/>
  <c r="B282" i="5"/>
  <c r="C282" i="5" s="1"/>
  <c r="B283" i="5"/>
  <c r="C283" i="5" s="1"/>
  <c r="B284" i="5"/>
  <c r="C284" i="5" s="1"/>
  <c r="B285" i="5"/>
  <c r="C285" i="5" s="1"/>
  <c r="B286" i="5"/>
  <c r="C286" i="5" s="1"/>
  <c r="B287" i="5"/>
  <c r="C287" i="5" s="1"/>
  <c r="B288" i="5"/>
  <c r="C288" i="5" s="1"/>
  <c r="B289" i="5"/>
  <c r="C289" i="5" s="1"/>
  <c r="B290" i="5"/>
  <c r="C290" i="5" s="1"/>
  <c r="B291" i="5"/>
  <c r="C291" i="5" s="1"/>
  <c r="B292" i="5"/>
  <c r="C292" i="5" s="1"/>
  <c r="B293" i="5"/>
  <c r="C293" i="5" s="1"/>
  <c r="B294" i="5"/>
  <c r="C294" i="5" s="1"/>
  <c r="B295" i="5"/>
  <c r="C295" i="5" s="1"/>
  <c r="B296" i="5"/>
  <c r="C296" i="5" s="1"/>
  <c r="B297" i="5"/>
  <c r="C297" i="5" s="1"/>
  <c r="B298" i="5"/>
  <c r="C298" i="5" s="1"/>
  <c r="B299" i="5"/>
  <c r="C299" i="5" s="1"/>
  <c r="B300" i="5"/>
  <c r="C300" i="5" s="1"/>
  <c r="B301" i="5"/>
  <c r="C301" i="5" s="1"/>
  <c r="B302" i="5"/>
  <c r="C302" i="5" s="1"/>
  <c r="B303" i="5"/>
  <c r="C303" i="5" s="1"/>
  <c r="B304" i="5"/>
  <c r="C304" i="5" s="1"/>
  <c r="B305" i="5"/>
  <c r="C305" i="5" s="1"/>
  <c r="B306" i="5"/>
  <c r="C306" i="5" s="1"/>
  <c r="B307" i="5"/>
  <c r="C307" i="5" s="1"/>
  <c r="B308" i="5"/>
  <c r="C308" i="5" s="1"/>
  <c r="B309" i="5"/>
  <c r="C309" i="5" s="1"/>
  <c r="B310" i="5"/>
  <c r="C310" i="5" s="1"/>
  <c r="B311" i="5"/>
  <c r="C311" i="5" s="1"/>
  <c r="B312" i="5"/>
  <c r="C312" i="5" s="1"/>
  <c r="B313" i="5"/>
  <c r="C313" i="5" s="1"/>
  <c r="B314" i="5"/>
  <c r="C314" i="5" s="1"/>
  <c r="B315" i="5"/>
  <c r="C315" i="5" s="1"/>
  <c r="B316" i="5"/>
  <c r="C316" i="5" s="1"/>
  <c r="B317" i="5"/>
  <c r="C317" i="5" s="1"/>
  <c r="B318" i="5"/>
  <c r="C318" i="5" s="1"/>
  <c r="B319" i="5"/>
  <c r="C319" i="5" s="1"/>
  <c r="B320" i="5"/>
  <c r="C320" i="5" s="1"/>
  <c r="B321" i="5"/>
  <c r="C321" i="5" s="1"/>
  <c r="B322" i="5"/>
  <c r="C322" i="5" s="1"/>
  <c r="B323" i="5"/>
  <c r="C323" i="5" s="1"/>
  <c r="B324" i="5"/>
  <c r="C324" i="5" s="1"/>
  <c r="B325" i="5"/>
  <c r="C325" i="5" s="1"/>
  <c r="B326" i="5"/>
  <c r="C326" i="5" s="1"/>
  <c r="B327" i="5"/>
  <c r="C327" i="5" s="1"/>
  <c r="B328" i="5"/>
  <c r="C328" i="5" s="1"/>
  <c r="B329" i="5"/>
  <c r="C329" i="5" s="1"/>
  <c r="B330" i="5"/>
  <c r="C330" i="5" s="1"/>
  <c r="B331" i="5"/>
  <c r="C331" i="5" s="1"/>
  <c r="B332" i="5"/>
  <c r="C332" i="5" s="1"/>
  <c r="B333" i="5"/>
  <c r="C333" i="5" s="1"/>
  <c r="B334" i="5"/>
  <c r="C334" i="5" s="1"/>
  <c r="B335" i="5"/>
  <c r="C335" i="5" s="1"/>
  <c r="B336" i="5"/>
  <c r="C336" i="5" s="1"/>
  <c r="B337" i="5"/>
  <c r="C337" i="5" s="1"/>
  <c r="B338" i="5"/>
  <c r="C338" i="5" s="1"/>
  <c r="M9" i="5"/>
  <c r="M10" i="5"/>
  <c r="M11" i="5"/>
  <c r="M12" i="5"/>
  <c r="M13" i="5"/>
  <c r="M14" i="5"/>
  <c r="M15" i="5"/>
  <c r="M16" i="5"/>
  <c r="M17" i="5"/>
  <c r="M18" i="5"/>
  <c r="M19" i="5"/>
  <c r="M20" i="5"/>
  <c r="M21" i="5"/>
  <c r="M22" i="5"/>
  <c r="M23" i="5"/>
  <c r="M24" i="5"/>
  <c r="M25" i="5"/>
  <c r="M26" i="5"/>
  <c r="M27" i="5"/>
  <c r="M28" i="5"/>
  <c r="M29" i="5"/>
  <c r="M30" i="5"/>
  <c r="M31" i="5"/>
  <c r="M45" i="5"/>
  <c r="M46" i="5"/>
  <c r="M47" i="5"/>
  <c r="M48" i="5"/>
  <c r="M49" i="5"/>
  <c r="M50" i="5"/>
  <c r="M51" i="5"/>
  <c r="M52" i="5"/>
  <c r="M53" i="5"/>
  <c r="M54" i="5"/>
  <c r="M55" i="5"/>
  <c r="M56" i="5"/>
  <c r="M57" i="5"/>
  <c r="M58" i="5"/>
  <c r="M59" i="5"/>
  <c r="M60" i="5"/>
  <c r="M61" i="5"/>
  <c r="M62" i="5"/>
  <c r="M63" i="5"/>
  <c r="M64" i="5"/>
  <c r="M65" i="5"/>
  <c r="M66" i="5"/>
  <c r="M67" i="5"/>
  <c r="M68" i="5"/>
  <c r="M69" i="5"/>
  <c r="M70" i="5"/>
  <c r="M71" i="5"/>
  <c r="M72" i="5"/>
  <c r="M73" i="5"/>
  <c r="M74" i="5"/>
  <c r="M75" i="5"/>
  <c r="M76" i="5"/>
  <c r="M77" i="5"/>
  <c r="M78" i="5"/>
  <c r="M79" i="5"/>
  <c r="M80" i="5"/>
  <c r="M81" i="5"/>
  <c r="M82" i="5"/>
  <c r="M83" i="5"/>
  <c r="M84" i="5"/>
  <c r="M85" i="5"/>
  <c r="M86" i="5"/>
  <c r="M87" i="5"/>
  <c r="M88" i="5"/>
  <c r="M89" i="5"/>
  <c r="M90" i="5"/>
  <c r="M91" i="5"/>
  <c r="M92" i="5"/>
  <c r="M93" i="5"/>
  <c r="M94" i="5"/>
  <c r="M95" i="5"/>
  <c r="M96" i="5"/>
  <c r="M97" i="5"/>
  <c r="M98" i="5"/>
  <c r="M99" i="5"/>
  <c r="M100" i="5"/>
  <c r="M101" i="5"/>
  <c r="M102" i="5"/>
  <c r="M103" i="5"/>
  <c r="M104" i="5"/>
  <c r="M105" i="5"/>
  <c r="M106" i="5"/>
  <c r="M107" i="5"/>
  <c r="M108" i="5"/>
  <c r="M109" i="5"/>
  <c r="M110" i="5"/>
  <c r="M111" i="5"/>
  <c r="M112" i="5"/>
  <c r="M113" i="5"/>
  <c r="M114" i="5"/>
  <c r="M115" i="5"/>
  <c r="M116" i="5"/>
  <c r="M117" i="5"/>
  <c r="M118" i="5"/>
  <c r="M119" i="5"/>
  <c r="M120" i="5"/>
  <c r="M121" i="5"/>
  <c r="M122" i="5"/>
  <c r="M123" i="5"/>
  <c r="M124" i="5"/>
  <c r="M125" i="5"/>
  <c r="M126" i="5"/>
  <c r="M127" i="5"/>
  <c r="M128" i="5"/>
  <c r="M129" i="5"/>
  <c r="M130" i="5"/>
  <c r="M131" i="5"/>
  <c r="M132" i="5"/>
  <c r="M133" i="5"/>
  <c r="M134" i="5"/>
  <c r="M135" i="5"/>
  <c r="M139" i="5"/>
  <c r="M140" i="5"/>
  <c r="M141" i="5"/>
  <c r="M142" i="5"/>
  <c r="M143" i="5"/>
  <c r="M144" i="5"/>
  <c r="M145" i="5"/>
  <c r="M146" i="5"/>
  <c r="M147" i="5"/>
  <c r="M148" i="5"/>
  <c r="M149" i="5"/>
  <c r="M150" i="5"/>
  <c r="M151" i="5"/>
  <c r="M152" i="5"/>
  <c r="M153" i="5"/>
  <c r="M154" i="5"/>
  <c r="M155" i="5"/>
  <c r="M156" i="5"/>
  <c r="M157" i="5"/>
  <c r="M158" i="5"/>
  <c r="M159" i="5"/>
  <c r="M160" i="5"/>
  <c r="M161" i="5"/>
  <c r="M162" i="5"/>
  <c r="M163" i="5"/>
  <c r="M164" i="5"/>
  <c r="M165" i="5"/>
  <c r="M166" i="5"/>
  <c r="M167" i="5"/>
  <c r="M168" i="5"/>
  <c r="M169" i="5"/>
  <c r="M170" i="5"/>
  <c r="M171" i="5"/>
  <c r="M172" i="5"/>
  <c r="M173" i="5"/>
  <c r="M174" i="5"/>
  <c r="M175" i="5"/>
  <c r="M176" i="5"/>
  <c r="M177" i="5"/>
  <c r="M178" i="5"/>
  <c r="M179" i="5"/>
  <c r="M180" i="5"/>
  <c r="M181" i="5"/>
  <c r="M182" i="5"/>
  <c r="M183" i="5"/>
  <c r="M184" i="5"/>
  <c r="M185" i="5"/>
  <c r="M186" i="5"/>
  <c r="M187" i="5"/>
  <c r="M188" i="5"/>
  <c r="M189" i="5"/>
  <c r="M190" i="5"/>
  <c r="M191" i="5"/>
  <c r="M192" i="5"/>
  <c r="M193" i="5"/>
  <c r="M194" i="5"/>
  <c r="M195" i="5"/>
  <c r="M196" i="5"/>
  <c r="M197" i="5"/>
  <c r="M198" i="5"/>
  <c r="M199" i="5"/>
  <c r="M200" i="5"/>
  <c r="M201" i="5"/>
  <c r="M202" i="5"/>
  <c r="M203" i="5"/>
  <c r="M204" i="5"/>
  <c r="M205" i="5"/>
  <c r="M206" i="5"/>
  <c r="M207" i="5"/>
  <c r="M208" i="5"/>
  <c r="M209" i="5"/>
  <c r="M210" i="5"/>
  <c r="M211" i="5"/>
  <c r="M212" i="5"/>
  <c r="M213" i="5"/>
  <c r="M214" i="5"/>
  <c r="M215" i="5"/>
  <c r="M216" i="5"/>
  <c r="M217" i="5"/>
  <c r="M218" i="5"/>
  <c r="M219" i="5"/>
  <c r="M220" i="5"/>
  <c r="M221" i="5"/>
  <c r="M222" i="5"/>
  <c r="M223" i="5"/>
  <c r="M224" i="5"/>
  <c r="M225" i="5"/>
  <c r="M226" i="5"/>
  <c r="M227" i="5"/>
  <c r="M228" i="5"/>
  <c r="M229" i="5"/>
  <c r="M230" i="5"/>
  <c r="M231" i="5"/>
  <c r="M232" i="5"/>
  <c r="M233" i="5"/>
  <c r="M234" i="5"/>
  <c r="M235" i="5"/>
  <c r="M236" i="5"/>
  <c r="M237" i="5"/>
  <c r="M238" i="5"/>
  <c r="M239" i="5"/>
  <c r="M240" i="5"/>
  <c r="M241" i="5"/>
  <c r="M242" i="5"/>
  <c r="M243" i="5"/>
  <c r="M244" i="5"/>
  <c r="M245" i="5"/>
  <c r="M246" i="5"/>
  <c r="M247" i="5"/>
  <c r="M248" i="5"/>
  <c r="M249" i="5"/>
  <c r="M250" i="5"/>
  <c r="M251" i="5"/>
  <c r="M252" i="5"/>
  <c r="M253" i="5"/>
  <c r="M254" i="5"/>
  <c r="M255" i="5"/>
  <c r="M256" i="5"/>
  <c r="M257" i="5"/>
  <c r="M258" i="5"/>
  <c r="M259" i="5"/>
  <c r="M260" i="5"/>
  <c r="M261" i="5"/>
  <c r="M262" i="5"/>
  <c r="M263" i="5"/>
  <c r="M264" i="5"/>
  <c r="M265" i="5"/>
  <c r="M266" i="5"/>
  <c r="M267" i="5"/>
  <c r="M268" i="5"/>
  <c r="M269" i="5"/>
  <c r="M270" i="5"/>
  <c r="M271" i="5"/>
  <c r="M272" i="5"/>
  <c r="M273" i="5"/>
  <c r="M276" i="5"/>
  <c r="M277" i="5"/>
  <c r="M278" i="5"/>
  <c r="M279" i="5"/>
  <c r="M280" i="5"/>
  <c r="M281" i="5"/>
  <c r="M282" i="5"/>
  <c r="M283" i="5"/>
  <c r="M284" i="5"/>
  <c r="M285" i="5"/>
  <c r="M286" i="5"/>
  <c r="M287" i="5"/>
  <c r="M288" i="5"/>
  <c r="M289" i="5"/>
  <c r="M290" i="5"/>
  <c r="M291" i="5"/>
  <c r="M292" i="5"/>
  <c r="M293" i="5"/>
  <c r="M294" i="5"/>
  <c r="M295" i="5"/>
  <c r="M296" i="5"/>
  <c r="M297" i="5"/>
  <c r="M298" i="5"/>
  <c r="M299" i="5"/>
  <c r="M300" i="5"/>
  <c r="M301" i="5"/>
  <c r="M302" i="5"/>
  <c r="M303" i="5"/>
  <c r="M304" i="5"/>
  <c r="M305" i="5"/>
  <c r="M306" i="5"/>
  <c r="M307" i="5"/>
  <c r="M308" i="5"/>
  <c r="M309" i="5"/>
  <c r="M310" i="5"/>
  <c r="M311" i="5"/>
  <c r="M312" i="5"/>
  <c r="M313" i="5"/>
  <c r="M314" i="5"/>
  <c r="M315" i="5"/>
  <c r="M316" i="5"/>
  <c r="M317" i="5"/>
  <c r="M318" i="5"/>
  <c r="M319" i="5"/>
  <c r="M320" i="5"/>
  <c r="M321" i="5"/>
  <c r="M322" i="5"/>
  <c r="M323" i="5"/>
  <c r="M324" i="5"/>
  <c r="M325" i="5"/>
  <c r="M326" i="5"/>
  <c r="M327" i="5"/>
  <c r="M328" i="5"/>
  <c r="M329" i="5"/>
  <c r="M330" i="5"/>
  <c r="M331" i="5"/>
  <c r="M332" i="5"/>
  <c r="M333" i="5"/>
  <c r="M334" i="5"/>
  <c r="M335" i="5"/>
  <c r="M336" i="5"/>
  <c r="M337" i="5"/>
  <c r="M338" i="5"/>
  <c r="M5" i="5"/>
  <c r="M6" i="5"/>
  <c r="M7" i="5"/>
  <c r="M8" i="5"/>
  <c r="M4" i="5"/>
  <c r="B4" i="5"/>
  <c r="C4" i="5" s="1"/>
  <c r="B1044" i="1"/>
  <c r="B1045" i="1"/>
  <c r="D1045" i="1" s="1"/>
  <c r="B1046" i="1"/>
  <c r="B1047" i="1"/>
  <c r="D1047" i="1" s="1"/>
  <c r="B1048" i="1"/>
  <c r="D1048" i="1" s="1"/>
  <c r="B1049" i="1"/>
  <c r="D1049" i="1" s="1"/>
  <c r="B1079" i="1"/>
  <c r="D1079" i="1" s="1"/>
  <c r="B1276" i="1"/>
  <c r="D1276" i="1" s="1"/>
  <c r="B1275" i="1"/>
  <c r="D1275" i="1" s="1"/>
  <c r="B1274" i="1"/>
  <c r="D1274" i="1" s="1"/>
  <c r="B1273" i="1"/>
  <c r="D1273" i="1" s="1"/>
  <c r="B1272" i="1"/>
  <c r="D1272" i="1" s="1"/>
  <c r="B1271" i="1"/>
  <c r="D1271" i="1" s="1"/>
  <c r="B1270" i="1"/>
  <c r="D1270" i="1" s="1"/>
  <c r="B1269" i="1"/>
  <c r="D1269" i="1" s="1"/>
  <c r="B1268" i="1"/>
  <c r="D1268" i="1" s="1"/>
  <c r="B1267" i="1"/>
  <c r="D1267" i="1" s="1"/>
  <c r="B1266" i="1"/>
  <c r="D1266" i="1" s="1"/>
  <c r="B1265" i="1"/>
  <c r="D1265" i="1" s="1"/>
  <c r="B1264" i="1"/>
  <c r="D1264" i="1" s="1"/>
  <c r="B1263" i="1"/>
  <c r="B1262" i="1"/>
  <c r="D1262" i="1" s="1"/>
  <c r="B1261" i="1"/>
  <c r="D1261" i="1" s="1"/>
  <c r="B1260" i="1"/>
  <c r="D1260" i="1" s="1"/>
  <c r="B1259" i="1"/>
  <c r="B1258" i="1"/>
  <c r="B1257" i="1"/>
  <c r="B1256" i="1"/>
  <c r="B1255" i="1"/>
  <c r="B1254" i="1"/>
  <c r="B1253" i="1"/>
  <c r="D1253" i="1" s="1"/>
  <c r="B1252" i="1"/>
  <c r="B1277" i="1"/>
  <c r="B1278" i="1"/>
  <c r="B1279" i="1"/>
  <c r="B1466" i="1"/>
  <c r="D1466" i="1" s="1"/>
  <c r="B1465" i="1"/>
  <c r="D1465" i="1" s="1"/>
  <c r="B1464" i="1"/>
  <c r="D1464" i="1" s="1"/>
  <c r="B1463" i="1"/>
  <c r="B1462" i="1"/>
  <c r="D1462" i="1" s="1"/>
  <c r="B1461" i="1"/>
  <c r="D1461" i="1" s="1"/>
  <c r="B1460" i="1"/>
  <c r="B1459" i="1"/>
  <c r="D1459" i="1" s="1"/>
  <c r="B1458" i="1"/>
  <c r="D1458" i="1" s="1"/>
  <c r="B1457" i="1"/>
  <c r="D1457" i="1" s="1"/>
  <c r="B1456" i="1"/>
  <c r="D1456" i="1" s="1"/>
  <c r="B1455" i="1"/>
  <c r="D1455" i="1" s="1"/>
  <c r="B1454" i="1"/>
  <c r="D1454" i="1" s="1"/>
  <c r="B1453" i="1"/>
  <c r="B1452" i="1"/>
  <c r="B1451" i="1"/>
  <c r="D1451" i="1" s="1"/>
  <c r="B1450" i="1"/>
  <c r="D1450" i="1" s="1"/>
  <c r="B1449" i="1"/>
  <c r="D1449" i="1" s="1"/>
  <c r="B1448" i="1"/>
  <c r="D1448" i="1" s="1"/>
  <c r="B1447" i="1"/>
  <c r="D1447" i="1" s="1"/>
  <c r="B1446" i="1"/>
  <c r="B1445" i="1"/>
  <c r="D1445" i="1" s="1"/>
  <c r="B1444" i="1"/>
  <c r="D1444" i="1" s="1"/>
  <c r="B1443" i="1"/>
  <c r="D1443" i="1" s="1"/>
  <c r="B1442" i="1"/>
  <c r="B1441" i="1"/>
  <c r="D1441" i="1" s="1"/>
  <c r="B1440" i="1"/>
  <c r="D1440" i="1" s="1"/>
  <c r="B1439" i="1"/>
  <c r="D1439" i="1" s="1"/>
  <c r="B1438" i="1"/>
  <c r="D1438" i="1" s="1"/>
  <c r="B1437" i="1"/>
  <c r="D1437" i="1" s="1"/>
  <c r="B1436" i="1"/>
  <c r="D1436" i="1" s="1"/>
  <c r="B1435" i="1"/>
  <c r="B1434" i="1"/>
  <c r="B1433" i="1"/>
  <c r="B1432" i="1"/>
  <c r="B1431" i="1"/>
  <c r="B1430" i="1"/>
  <c r="D1430" i="1" s="1"/>
  <c r="B1429" i="1"/>
  <c r="D1429" i="1" s="1"/>
  <c r="B1428" i="1"/>
  <c r="B1427" i="1"/>
  <c r="B1426" i="1"/>
  <c r="B1425" i="1"/>
  <c r="B1424" i="1"/>
  <c r="B1423" i="1"/>
  <c r="B1422" i="1"/>
  <c r="D1422" i="1" s="1"/>
  <c r="B1421" i="1"/>
  <c r="B1420" i="1"/>
  <c r="D1420" i="1" s="1"/>
  <c r="B1419" i="1"/>
  <c r="D1419" i="1" s="1"/>
  <c r="B1418" i="1"/>
  <c r="D1418" i="1" s="1"/>
  <c r="B1417" i="1"/>
  <c r="D1417" i="1" s="1"/>
  <c r="B1416" i="1"/>
  <c r="D1416" i="1" s="1"/>
  <c r="B1415" i="1"/>
  <c r="D1415" i="1" s="1"/>
  <c r="B1414" i="1"/>
  <c r="B1413" i="1"/>
  <c r="D1413" i="1" s="1"/>
  <c r="B1412" i="1"/>
  <c r="D1412" i="1" s="1"/>
  <c r="B1411" i="1"/>
  <c r="D1411" i="1" s="1"/>
  <c r="B1410" i="1"/>
  <c r="D1410" i="1" s="1"/>
  <c r="B1409" i="1"/>
  <c r="D1409" i="1" s="1"/>
  <c r="B1408" i="1"/>
  <c r="B1407" i="1"/>
  <c r="D1407" i="1" s="1"/>
  <c r="B1406" i="1"/>
  <c r="D1406" i="1" s="1"/>
  <c r="B1405" i="1"/>
  <c r="D1405" i="1" s="1"/>
  <c r="B1404" i="1"/>
  <c r="B1403" i="1"/>
  <c r="D1403" i="1" s="1"/>
  <c r="B1402" i="1"/>
  <c r="D1402" i="1" s="1"/>
  <c r="B1401" i="1"/>
  <c r="D1401" i="1" s="1"/>
  <c r="B1400" i="1"/>
  <c r="B1399" i="1"/>
  <c r="B1398" i="1"/>
  <c r="B1397" i="1"/>
  <c r="B1396" i="1"/>
  <c r="B1395" i="1"/>
  <c r="D1395" i="1" s="1"/>
  <c r="B1394" i="1"/>
  <c r="D1394" i="1" s="1"/>
  <c r="B1393" i="1"/>
  <c r="D1393" i="1" s="1"/>
  <c r="B1392" i="1"/>
  <c r="D1392" i="1"/>
  <c r="B1391" i="1"/>
  <c r="D1391" i="1" s="1"/>
  <c r="B1390" i="1"/>
  <c r="B1389" i="1"/>
  <c r="D1389" i="1" s="1"/>
  <c r="B1388" i="1"/>
  <c r="D1388" i="1" s="1"/>
  <c r="B1387" i="1"/>
  <c r="D1387" i="1" s="1"/>
  <c r="B1386" i="1"/>
  <c r="D1386" i="1" s="1"/>
  <c r="B1385" i="1"/>
  <c r="D1385" i="1" s="1"/>
  <c r="B1384" i="1"/>
  <c r="D1384" i="1" s="1"/>
  <c r="B1383" i="1"/>
  <c r="D1383" i="1" s="1"/>
  <c r="B1382" i="1"/>
  <c r="D1382" i="1" s="1"/>
  <c r="B1381" i="1"/>
  <c r="D1381" i="1" s="1"/>
  <c r="B1380" i="1"/>
  <c r="D1380" i="1" s="1"/>
  <c r="B1379" i="1"/>
  <c r="D1379" i="1" s="1"/>
  <c r="B1378" i="1"/>
  <c r="D1378" i="1" s="1"/>
  <c r="B1377" i="1"/>
  <c r="B1376" i="1"/>
  <c r="D1376" i="1" s="1"/>
  <c r="B1375" i="1"/>
  <c r="D1375" i="1" s="1"/>
  <c r="B1374" i="1"/>
  <c r="D1374" i="1" s="1"/>
  <c r="B1373" i="1"/>
  <c r="D1373" i="1" s="1"/>
  <c r="B1372" i="1"/>
  <c r="D1372" i="1" s="1"/>
  <c r="B1371" i="1"/>
  <c r="D1371" i="1" s="1"/>
  <c r="B1370" i="1"/>
  <c r="D1370" i="1" s="1"/>
  <c r="B1369" i="1"/>
  <c r="D1369" i="1" s="1"/>
  <c r="B1368" i="1"/>
  <c r="D1368" i="1" s="1"/>
  <c r="B1367" i="1"/>
  <c r="D1367" i="1" s="1"/>
  <c r="B1366" i="1"/>
  <c r="D1366" i="1" s="1"/>
  <c r="B1365" i="1"/>
  <c r="D1365" i="1" s="1"/>
  <c r="B1364" i="1"/>
  <c r="D1364" i="1" s="1"/>
  <c r="B1363" i="1"/>
  <c r="D1363" i="1" s="1"/>
  <c r="B1362" i="1"/>
  <c r="D1362" i="1" s="1"/>
  <c r="B1361" i="1"/>
  <c r="D1361" i="1" s="1"/>
  <c r="B1360" i="1"/>
  <c r="D1360" i="1" s="1"/>
  <c r="B1359" i="1"/>
  <c r="D1359" i="1" s="1"/>
  <c r="B1358" i="1"/>
  <c r="D1358" i="1" s="1"/>
  <c r="B1357" i="1"/>
  <c r="D1357" i="1" s="1"/>
  <c r="B1356" i="1"/>
  <c r="D1356" i="1" s="1"/>
  <c r="B1355" i="1"/>
  <c r="D1355" i="1" s="1"/>
  <c r="B1354" i="1"/>
  <c r="D1354" i="1" s="1"/>
  <c r="B1353" i="1"/>
  <c r="D1353" i="1" s="1"/>
  <c r="B1352" i="1"/>
  <c r="D1352" i="1" s="1"/>
  <c r="B1351" i="1"/>
  <c r="D1351" i="1" s="1"/>
  <c r="B1350" i="1"/>
  <c r="D1350" i="1" s="1"/>
  <c r="B1349" i="1"/>
  <c r="D1349" i="1" s="1"/>
  <c r="B1348" i="1"/>
  <c r="D1348" i="1" s="1"/>
  <c r="B1347" i="1"/>
  <c r="D1347" i="1" s="1"/>
  <c r="B1346" i="1"/>
  <c r="B1345" i="1"/>
  <c r="B1344" i="1"/>
  <c r="D1344" i="1" s="1"/>
  <c r="B1343" i="1"/>
  <c r="D1343" i="1" s="1"/>
  <c r="B1342" i="1"/>
  <c r="D1342" i="1" s="1"/>
  <c r="B1341" i="1"/>
  <c r="D1341" i="1" s="1"/>
  <c r="B1340" i="1"/>
  <c r="B1339" i="1"/>
  <c r="D1339" i="1" s="1"/>
  <c r="B1338" i="1"/>
  <c r="B1337" i="1"/>
  <c r="B1336" i="1"/>
  <c r="D1336" i="1" s="1"/>
  <c r="B1335" i="1"/>
  <c r="D1335" i="1" s="1"/>
  <c r="B1334" i="1"/>
  <c r="D1334" i="1" s="1"/>
  <c r="B1333" i="1"/>
  <c r="B1332" i="1"/>
  <c r="B1331" i="1"/>
  <c r="D1331" i="1" s="1"/>
  <c r="B1330" i="1"/>
  <c r="D1330" i="1" s="1"/>
  <c r="B1329" i="1"/>
  <c r="D1329" i="1" s="1"/>
  <c r="B1328" i="1"/>
  <c r="D1328" i="1" s="1"/>
  <c r="B1327" i="1"/>
  <c r="D1327" i="1" s="1"/>
  <c r="B1326" i="1"/>
  <c r="D1326" i="1" s="1"/>
  <c r="B1325" i="1"/>
  <c r="B1324" i="1"/>
  <c r="D1324" i="1" s="1"/>
  <c r="B1323" i="1"/>
  <c r="D1323" i="1" s="1"/>
  <c r="B1322" i="1"/>
  <c r="B1321" i="1"/>
  <c r="B1320" i="1"/>
  <c r="D1320" i="1" s="1"/>
  <c r="B1319" i="1"/>
  <c r="D1319" i="1" s="1"/>
  <c r="B1318" i="1"/>
  <c r="D1318" i="1" s="1"/>
  <c r="B1317" i="1"/>
  <c r="D1317" i="1" s="1"/>
  <c r="B1316" i="1"/>
  <c r="D1316" i="1" s="1"/>
  <c r="B1315" i="1"/>
  <c r="D1315" i="1" s="1"/>
  <c r="B1314" i="1"/>
  <c r="B1313" i="1"/>
  <c r="D1313" i="1" s="1"/>
  <c r="B1312" i="1"/>
  <c r="D1312" i="1" s="1"/>
  <c r="B1311" i="1"/>
  <c r="D1311" i="1" s="1"/>
  <c r="B1310" i="1"/>
  <c r="D1310" i="1" s="1"/>
  <c r="B1309" i="1"/>
  <c r="B1308" i="1"/>
  <c r="D1308" i="1" s="1"/>
  <c r="B1307" i="1"/>
  <c r="D1307" i="1" s="1"/>
  <c r="B1306" i="1"/>
  <c r="D1306" i="1" s="1"/>
  <c r="B1305" i="1"/>
  <c r="B1304" i="1"/>
  <c r="D1304" i="1" s="1"/>
  <c r="B1303" i="1"/>
  <c r="B1302" i="1"/>
  <c r="D1302" i="1" s="1"/>
  <c r="B1301" i="1"/>
  <c r="B1300" i="1"/>
  <c r="B1299" i="1"/>
  <c r="B1298" i="1"/>
  <c r="D1298" i="1" s="1"/>
  <c r="B1297" i="1"/>
  <c r="B1296" i="1"/>
  <c r="B1295" i="1"/>
  <c r="B1294" i="1"/>
  <c r="D1294" i="1" s="1"/>
  <c r="B1293" i="1"/>
  <c r="D1293" i="1" s="1"/>
  <c r="B1292" i="1"/>
  <c r="D1292" i="1" s="1"/>
  <c r="B1291" i="1"/>
  <c r="D1291" i="1" s="1"/>
  <c r="B1290" i="1"/>
  <c r="B1289" i="1"/>
  <c r="B1288" i="1"/>
  <c r="B1287" i="1"/>
  <c r="B1286" i="1"/>
  <c r="B1285" i="1"/>
  <c r="B1284" i="1"/>
  <c r="D1284" i="1" s="1"/>
  <c r="B1283" i="1"/>
  <c r="B1282" i="1"/>
  <c r="B1281" i="1"/>
  <c r="D1281" i="1" s="1"/>
  <c r="B1280" i="1"/>
  <c r="B1184" i="1"/>
  <c r="B1468" i="1"/>
  <c r="D1468" i="1" s="1"/>
  <c r="B1469" i="1"/>
  <c r="B1470" i="1"/>
  <c r="B1471" i="1"/>
  <c r="D1471" i="1" s="1"/>
  <c r="B1472" i="1"/>
  <c r="D1472" i="1" s="1"/>
  <c r="B1473" i="1"/>
  <c r="D1473" i="1" s="1"/>
  <c r="B1474" i="1"/>
  <c r="D1474" i="1" s="1"/>
  <c r="B1475" i="1"/>
  <c r="B1476" i="1"/>
  <c r="D1476" i="1" s="1"/>
  <c r="B1477" i="1"/>
  <c r="B1478" i="1"/>
  <c r="D1478" i="1" s="1"/>
  <c r="B1479" i="1"/>
  <c r="D1479" i="1" s="1"/>
  <c r="B1480" i="1"/>
  <c r="B1481" i="1"/>
  <c r="D1481" i="1" s="1"/>
  <c r="B1482" i="1"/>
  <c r="D1482" i="1" s="1"/>
  <c r="B1483" i="1"/>
  <c r="D1483" i="1" s="1"/>
  <c r="B1484" i="1"/>
  <c r="D1484" i="1" s="1"/>
  <c r="B1485" i="1"/>
  <c r="D1485" i="1" s="1"/>
  <c r="B1486" i="1"/>
  <c r="D1486" i="1" s="1"/>
  <c r="B1487" i="1"/>
  <c r="D1487" i="1" s="1"/>
  <c r="B1488" i="1"/>
  <c r="D1488" i="1" s="1"/>
  <c r="B1489" i="1"/>
  <c r="B1490" i="1"/>
  <c r="D1490" i="1" s="1"/>
  <c r="B1491" i="1"/>
  <c r="D1491" i="1" s="1"/>
  <c r="B1492" i="1"/>
  <c r="D1492" i="1" s="1"/>
  <c r="B1493" i="1"/>
  <c r="B1494" i="1"/>
  <c r="B1495" i="1"/>
  <c r="D1495" i="1" s="1"/>
  <c r="B1496" i="1"/>
  <c r="D1496" i="1" s="1"/>
  <c r="B1497" i="1"/>
  <c r="D1497" i="1" s="1"/>
  <c r="B1498" i="1"/>
  <c r="D1498" i="1" s="1"/>
  <c r="B1499" i="1"/>
  <c r="D1499" i="1" s="1"/>
  <c r="B1500" i="1"/>
  <c r="D1500" i="1" s="1"/>
  <c r="B1501" i="1"/>
  <c r="D1501" i="1" s="1"/>
  <c r="B1502" i="1"/>
  <c r="D1502" i="1" s="1"/>
  <c r="B1503" i="1"/>
  <c r="D1503" i="1" s="1"/>
  <c r="B1504" i="1"/>
  <c r="D1504" i="1" s="1"/>
  <c r="B1505" i="1"/>
  <c r="D1505" i="1" s="1"/>
  <c r="B1506" i="1"/>
  <c r="D1506" i="1" s="1"/>
  <c r="B1507" i="1"/>
  <c r="D1507" i="1" s="1"/>
  <c r="B1508" i="1"/>
  <c r="D1508" i="1" s="1"/>
  <c r="B1509" i="1"/>
  <c r="D1509" i="1" s="1"/>
  <c r="B1510" i="1"/>
  <c r="D1510" i="1" s="1"/>
  <c r="B1511" i="1"/>
  <c r="D1511" i="1" s="1"/>
  <c r="B1512" i="1"/>
  <c r="B1513" i="1"/>
  <c r="D1513" i="1" s="1"/>
  <c r="B1514" i="1"/>
  <c r="D1514" i="1" s="1"/>
  <c r="B1515" i="1"/>
  <c r="D1515" i="1" s="1"/>
  <c r="B1516" i="1"/>
  <c r="D1516" i="1" s="1"/>
  <c r="B1517" i="1"/>
  <c r="D1517" i="1" s="1"/>
  <c r="B1518" i="1"/>
  <c r="D1518" i="1" s="1"/>
  <c r="B1519" i="1"/>
  <c r="D1519" i="1" s="1"/>
  <c r="B1520" i="1"/>
  <c r="D1520" i="1" s="1"/>
  <c r="B1521" i="1"/>
  <c r="D1521" i="1" s="1"/>
  <c r="B1522" i="1"/>
  <c r="D1522" i="1" s="1"/>
  <c r="B1523" i="1"/>
  <c r="D1523" i="1" s="1"/>
  <c r="B1524" i="1"/>
  <c r="D1524" i="1" s="1"/>
  <c r="B1525" i="1"/>
  <c r="B1526" i="1"/>
  <c r="D1526" i="1" s="1"/>
  <c r="B1527" i="1"/>
  <c r="D1527" i="1" s="1"/>
  <c r="B1528" i="1"/>
  <c r="D1528" i="1" s="1"/>
  <c r="B1529" i="1"/>
  <c r="D1529" i="1" s="1"/>
  <c r="B1530" i="1"/>
  <c r="D1530" i="1" s="1"/>
  <c r="B1531" i="1"/>
  <c r="D1531" i="1" s="1"/>
  <c r="B1532" i="1"/>
  <c r="D1532" i="1" s="1"/>
  <c r="B1533" i="1"/>
  <c r="D1533" i="1" s="1"/>
  <c r="B1534" i="1"/>
  <c r="D1534" i="1" s="1"/>
  <c r="B1535" i="1"/>
  <c r="D1535" i="1" s="1"/>
  <c r="B1536" i="1"/>
  <c r="D1536" i="1" s="1"/>
  <c r="B1537" i="1"/>
  <c r="B1538" i="1"/>
  <c r="D1538" i="1" s="1"/>
  <c r="B1539" i="1"/>
  <c r="D1539" i="1" s="1"/>
  <c r="B1540" i="1"/>
  <c r="D1540" i="1" s="1"/>
  <c r="B1541" i="1"/>
  <c r="D1541" i="1" s="1"/>
  <c r="B1542" i="1"/>
  <c r="D1542" i="1" s="1"/>
  <c r="B1543" i="1"/>
  <c r="D1543" i="1" s="1"/>
  <c r="B1544" i="1"/>
  <c r="D1544" i="1" s="1"/>
  <c r="B1545" i="1"/>
  <c r="D1545" i="1" s="1"/>
  <c r="B1546" i="1"/>
  <c r="D1546" i="1" s="1"/>
  <c r="B1547" i="1"/>
  <c r="D1547" i="1" s="1"/>
  <c r="B1548" i="1"/>
  <c r="B1549" i="1"/>
  <c r="D1549" i="1" s="1"/>
  <c r="B1550" i="1"/>
  <c r="D1550" i="1" s="1"/>
  <c r="B1551" i="1"/>
  <c r="D1551" i="1" s="1"/>
  <c r="B1552" i="1"/>
  <c r="D1552" i="1" s="1"/>
  <c r="B1553" i="1"/>
  <c r="D1553" i="1" s="1"/>
  <c r="B1554" i="1"/>
  <c r="D1554" i="1" s="1"/>
  <c r="B1555" i="1"/>
  <c r="D1555" i="1" s="1"/>
  <c r="B1556" i="1"/>
  <c r="B1557" i="1"/>
  <c r="D1557" i="1" s="1"/>
  <c r="B1558" i="1"/>
  <c r="D1558" i="1" s="1"/>
  <c r="B1559" i="1"/>
  <c r="D1559" i="1" s="1"/>
  <c r="B1560" i="1"/>
  <c r="D1560" i="1" s="1"/>
  <c r="B1561" i="1"/>
  <c r="D1561" i="1" s="1"/>
  <c r="B1562" i="1"/>
  <c r="D1562" i="1" s="1"/>
  <c r="B1563" i="1"/>
  <c r="B1564" i="1"/>
  <c r="D1564" i="1" s="1"/>
  <c r="B1565" i="1"/>
  <c r="D1565" i="1" s="1"/>
  <c r="B1566" i="1"/>
  <c r="D1566" i="1" s="1"/>
  <c r="B1567" i="1"/>
  <c r="D1567" i="1" s="1"/>
  <c r="B1568" i="1"/>
  <c r="D1568" i="1" s="1"/>
  <c r="B1569" i="1"/>
  <c r="B1570" i="1"/>
  <c r="D1570" i="1" s="1"/>
  <c r="B1571" i="1"/>
  <c r="D1571" i="1" s="1"/>
  <c r="B1572" i="1"/>
  <c r="D1572" i="1" s="1"/>
  <c r="B1573" i="1"/>
  <c r="D1573" i="1" s="1"/>
  <c r="B1574" i="1"/>
  <c r="D1574" i="1" s="1"/>
  <c r="B1575" i="1"/>
  <c r="D1575" i="1" s="1"/>
  <c r="B1576" i="1"/>
  <c r="B1577" i="1"/>
  <c r="D1577" i="1" s="1"/>
  <c r="B1578" i="1"/>
  <c r="D1578" i="1" s="1"/>
  <c r="B1579" i="1"/>
  <c r="D1579" i="1" s="1"/>
  <c r="B1580" i="1"/>
  <c r="B1581" i="1"/>
  <c r="D1581" i="1" s="1"/>
  <c r="B1582" i="1"/>
  <c r="D1582" i="1" s="1"/>
  <c r="B1583" i="1"/>
  <c r="D1583" i="1" s="1"/>
  <c r="B1584" i="1"/>
  <c r="D1584" i="1" s="1"/>
  <c r="B1585" i="1"/>
  <c r="B1586" i="1"/>
  <c r="D1586" i="1" s="1"/>
  <c r="B1587" i="1"/>
  <c r="B1588" i="1"/>
  <c r="D1588" i="1" s="1"/>
  <c r="B1589" i="1"/>
  <c r="B1590" i="1"/>
  <c r="B1591" i="1"/>
  <c r="D1591" i="1" s="1"/>
  <c r="B1592" i="1"/>
  <c r="D1592" i="1" s="1"/>
  <c r="B1593" i="1"/>
  <c r="B1594" i="1"/>
  <c r="D1594" i="1" s="1"/>
  <c r="B1595" i="1"/>
  <c r="B1596" i="1"/>
  <c r="D1596" i="1" s="1"/>
  <c r="B1597" i="1"/>
  <c r="D1597" i="1" s="1"/>
  <c r="B1598" i="1"/>
  <c r="D1598" i="1" s="1"/>
  <c r="B1599" i="1"/>
  <c r="D1599" i="1" s="1"/>
  <c r="B1600" i="1"/>
  <c r="D1600" i="1" s="1"/>
  <c r="B1601" i="1"/>
  <c r="B1602" i="1"/>
  <c r="D1602" i="1" s="1"/>
  <c r="B1603" i="1"/>
  <c r="B1604" i="1"/>
  <c r="B1605" i="1"/>
  <c r="B1606" i="1"/>
  <c r="D1606" i="1" s="1"/>
  <c r="B1607" i="1"/>
  <c r="D1607" i="1" s="1"/>
  <c r="B1608" i="1"/>
  <c r="D1608" i="1" s="1"/>
  <c r="B1609" i="1"/>
  <c r="D1609" i="1" s="1"/>
  <c r="B1610" i="1"/>
  <c r="D1610" i="1" s="1"/>
  <c r="B1611" i="1"/>
  <c r="B1612" i="1"/>
  <c r="D1612" i="1" s="1"/>
  <c r="B1613" i="1"/>
  <c r="D1613" i="1" s="1"/>
  <c r="B1614" i="1"/>
  <c r="D1614" i="1" s="1"/>
  <c r="B1615" i="1"/>
  <c r="D1615" i="1" s="1"/>
  <c r="B1616" i="1"/>
  <c r="D1616" i="1" s="1"/>
  <c r="B1617" i="1"/>
  <c r="B1618" i="1"/>
  <c r="D1618" i="1" s="1"/>
  <c r="B1619" i="1"/>
  <c r="B1620" i="1"/>
  <c r="D1620" i="1" s="1"/>
  <c r="B1621" i="1"/>
  <c r="D1621" i="1" s="1"/>
  <c r="B1622" i="1"/>
  <c r="D1622" i="1" s="1"/>
  <c r="B1623" i="1"/>
  <c r="D1623" i="1" s="1"/>
  <c r="B1624" i="1"/>
  <c r="B1625" i="1"/>
  <c r="B1626" i="1"/>
  <c r="D1626" i="1" s="1"/>
  <c r="B1627" i="1"/>
  <c r="D1627" i="1" s="1"/>
  <c r="B1628" i="1"/>
  <c r="D1628" i="1" s="1"/>
  <c r="B1629" i="1"/>
  <c r="D1629" i="1" s="1"/>
  <c r="B1630" i="1"/>
  <c r="D1630" i="1" s="1"/>
  <c r="B1631" i="1"/>
  <c r="D1631" i="1" s="1"/>
  <c r="B1632" i="1"/>
  <c r="D1632" i="1" s="1"/>
  <c r="B1633" i="1"/>
  <c r="B1634" i="1"/>
  <c r="D1634" i="1" s="1"/>
  <c r="B1635" i="1"/>
  <c r="B1636" i="1"/>
  <c r="D1636" i="1" s="1"/>
  <c r="B1637" i="1"/>
  <c r="D1637" i="1" s="1"/>
  <c r="B1638" i="1"/>
  <c r="D1638" i="1" s="1"/>
  <c r="B1639" i="1"/>
  <c r="D1639" i="1" s="1"/>
  <c r="B1640" i="1"/>
  <c r="D1640" i="1" s="1"/>
  <c r="B1641" i="1"/>
  <c r="B1642" i="1"/>
  <c r="D1642" i="1" s="1"/>
  <c r="B1643" i="1"/>
  <c r="D1643" i="1" s="1"/>
  <c r="B1644" i="1"/>
  <c r="D1644" i="1" s="1"/>
  <c r="B1645" i="1"/>
  <c r="D1645" i="1" s="1"/>
  <c r="B1646" i="1"/>
  <c r="D1646" i="1" s="1"/>
  <c r="B1647" i="1"/>
  <c r="D1647" i="1" s="1"/>
  <c r="B1648" i="1"/>
  <c r="D1648" i="1" s="1"/>
  <c r="B1649" i="1"/>
  <c r="D1649" i="1" s="1"/>
  <c r="B1650" i="1"/>
  <c r="D1650" i="1" s="1"/>
  <c r="B1651" i="1"/>
  <c r="D1651" i="1" s="1"/>
  <c r="B1652" i="1"/>
  <c r="B1653" i="1"/>
  <c r="D1653" i="1" s="1"/>
  <c r="B1654" i="1"/>
  <c r="D1654" i="1" s="1"/>
  <c r="B1655" i="1"/>
  <c r="D1655" i="1" s="1"/>
  <c r="B1656" i="1"/>
  <c r="D1656" i="1" s="1"/>
  <c r="B1657" i="1"/>
  <c r="D1657" i="1" s="1"/>
  <c r="B1658" i="1"/>
  <c r="D1658" i="1" s="1"/>
  <c r="B1659" i="1"/>
  <c r="B1660" i="1"/>
  <c r="D1660" i="1" s="1"/>
  <c r="B1661" i="1"/>
  <c r="D1661" i="1" s="1"/>
  <c r="B1662" i="1"/>
  <c r="D1662" i="1" s="1"/>
  <c r="B1663" i="1"/>
  <c r="D1663" i="1" s="1"/>
  <c r="B1664" i="1"/>
  <c r="D1664" i="1" s="1"/>
  <c r="B1665" i="1"/>
  <c r="D1665" i="1" s="1"/>
  <c r="B1666" i="1"/>
  <c r="D1666" i="1" s="1"/>
  <c r="B1667" i="1"/>
  <c r="D1667" i="1" s="1"/>
  <c r="B1668" i="1"/>
  <c r="D1668" i="1" s="1"/>
  <c r="B1669" i="1"/>
  <c r="D1669" i="1" s="1"/>
  <c r="B1670" i="1"/>
  <c r="D1670" i="1" s="1"/>
  <c r="B1671" i="1"/>
  <c r="D1671" i="1" s="1"/>
  <c r="B1672" i="1"/>
  <c r="D1672" i="1"/>
  <c r="B1673" i="1"/>
  <c r="D1673" i="1" s="1"/>
  <c r="B1674" i="1"/>
  <c r="D1674" i="1" s="1"/>
  <c r="B1675" i="1"/>
  <c r="B1676" i="1"/>
  <c r="B1677" i="1"/>
  <c r="D1677" i="1" s="1"/>
  <c r="B1678" i="1"/>
  <c r="B1679" i="1"/>
  <c r="D1679" i="1" s="1"/>
  <c r="B1680" i="1"/>
  <c r="D1680" i="1" s="1"/>
  <c r="B1681" i="1"/>
  <c r="D1681" i="1" s="1"/>
  <c r="B1682" i="1"/>
  <c r="D1682" i="1" s="1"/>
  <c r="B1683" i="1"/>
  <c r="B1684" i="1"/>
  <c r="D1684" i="1" s="1"/>
  <c r="B1685" i="1"/>
  <c r="D1685" i="1" s="1"/>
  <c r="B1686" i="1"/>
  <c r="B1687" i="1"/>
  <c r="D1687" i="1" s="1"/>
  <c r="B1688" i="1"/>
  <c r="D1688" i="1" s="1"/>
  <c r="B1689" i="1"/>
  <c r="D1689" i="1" s="1"/>
  <c r="B1690" i="1"/>
  <c r="D1690" i="1" s="1"/>
  <c r="B1691" i="1"/>
  <c r="B1692" i="1"/>
  <c r="D1692" i="1" s="1"/>
  <c r="B1693" i="1"/>
  <c r="D1693" i="1" s="1"/>
  <c r="B1694" i="1"/>
  <c r="B1695" i="1"/>
  <c r="D1695" i="1" s="1"/>
  <c r="B1696" i="1"/>
  <c r="D1696" i="1" s="1"/>
  <c r="B1697" i="1"/>
  <c r="D1697" i="1" s="1"/>
  <c r="B1698" i="1"/>
  <c r="D1698" i="1" s="1"/>
  <c r="B1699" i="1"/>
  <c r="B1700" i="1"/>
  <c r="D1700" i="1" s="1"/>
  <c r="B1701" i="1"/>
  <c r="D1701" i="1" s="1"/>
  <c r="B1702" i="1"/>
  <c r="D1702" i="1" s="1"/>
  <c r="B1703" i="1"/>
  <c r="D1703" i="1" s="1"/>
  <c r="B1704" i="1"/>
  <c r="D1704" i="1" s="1"/>
  <c r="B1705" i="1"/>
  <c r="B1706" i="1"/>
  <c r="D1706" i="1" s="1"/>
  <c r="B1707" i="1"/>
  <c r="D1707" i="1" s="1"/>
  <c r="B1708" i="1"/>
  <c r="D1708" i="1" s="1"/>
  <c r="B1709" i="1"/>
  <c r="D1709" i="1" s="1"/>
  <c r="B1710" i="1"/>
  <c r="D1710" i="1" s="1"/>
  <c r="B1711" i="1"/>
  <c r="D1711" i="1" s="1"/>
  <c r="B1712" i="1"/>
  <c r="D1712" i="1" s="1"/>
  <c r="B1713" i="1"/>
  <c r="B1714" i="1"/>
  <c r="D1714" i="1" s="1"/>
  <c r="B1715" i="1"/>
  <c r="D1715" i="1" s="1"/>
  <c r="B1716" i="1"/>
  <c r="D1716" i="1" s="1"/>
  <c r="B1717" i="1"/>
  <c r="D1717" i="1" s="1"/>
  <c r="B1718" i="1"/>
  <c r="D1718" i="1" s="1"/>
  <c r="B1719" i="1"/>
  <c r="D1719" i="1" s="1"/>
  <c r="B1720" i="1"/>
  <c r="D1720" i="1" s="1"/>
  <c r="B1721" i="1"/>
  <c r="D1721" i="1" s="1"/>
  <c r="B1722" i="1"/>
  <c r="D1722" i="1" s="1"/>
  <c r="B1723" i="1"/>
  <c r="D1723" i="1" s="1"/>
  <c r="B1724" i="1"/>
  <c r="D1724" i="1" s="1"/>
  <c r="B1725" i="1"/>
  <c r="D1725" i="1" s="1"/>
  <c r="B1726" i="1"/>
  <c r="D1726" i="1" s="1"/>
  <c r="B1727" i="1"/>
  <c r="D1727" i="1" s="1"/>
  <c r="B1728" i="1"/>
  <c r="D1728" i="1" s="1"/>
  <c r="B1729" i="1"/>
  <c r="B1730" i="1"/>
  <c r="D1730" i="1" s="1"/>
  <c r="B1731" i="1"/>
  <c r="D1731" i="1" s="1"/>
  <c r="B1732" i="1"/>
  <c r="D1732" i="1" s="1"/>
  <c r="B1733" i="1"/>
  <c r="D1733" i="1" s="1"/>
  <c r="B1734" i="1"/>
  <c r="D1734" i="1" s="1"/>
  <c r="B1735" i="1"/>
  <c r="D1735" i="1" s="1"/>
  <c r="B1736" i="1"/>
  <c r="D1736" i="1" s="1"/>
  <c r="B1737" i="1"/>
  <c r="B1738" i="1"/>
  <c r="D1738" i="1" s="1"/>
  <c r="B1739" i="1"/>
  <c r="B1740" i="1"/>
  <c r="B1741" i="1"/>
  <c r="B1742" i="1"/>
  <c r="B1743" i="1"/>
  <c r="D1743" i="1" s="1"/>
  <c r="B1744" i="1"/>
  <c r="D1744" i="1" s="1"/>
  <c r="B1745" i="1"/>
  <c r="B1746" i="1"/>
  <c r="D1746" i="1" s="1"/>
  <c r="B1747" i="1"/>
  <c r="D1747" i="1" s="1"/>
  <c r="B1748" i="1"/>
  <c r="D1748" i="1" s="1"/>
  <c r="B1749" i="1"/>
  <c r="D1749" i="1" s="1"/>
  <c r="B1750" i="1"/>
  <c r="D1750" i="1" s="1"/>
  <c r="B1751" i="1"/>
  <c r="D1751" i="1" s="1"/>
  <c r="B1752" i="1"/>
  <c r="D1752" i="1" s="1"/>
  <c r="B1753" i="1"/>
  <c r="D1753" i="1" s="1"/>
  <c r="B1754" i="1"/>
  <c r="D1754" i="1" s="1"/>
  <c r="B1755" i="1"/>
  <c r="D1755" i="1" s="1"/>
  <c r="B1756" i="1"/>
  <c r="D1756" i="1" s="1"/>
  <c r="B1757" i="1"/>
  <c r="D1757" i="1" s="1"/>
  <c r="B1758" i="1"/>
  <c r="D1758" i="1" s="1"/>
  <c r="B1759" i="1"/>
  <c r="D1759" i="1" s="1"/>
  <c r="B1760" i="1"/>
  <c r="D1760" i="1" s="1"/>
  <c r="B1761" i="1"/>
  <c r="D1761" i="1" s="1"/>
  <c r="B1762" i="1"/>
  <c r="D1762" i="1" s="1"/>
  <c r="B1763" i="1"/>
  <c r="D1763" i="1" s="1"/>
  <c r="B1764" i="1"/>
  <c r="D1764" i="1" s="1"/>
  <c r="B1765" i="1"/>
  <c r="D1765" i="1" s="1"/>
  <c r="B1766" i="1"/>
  <c r="D1766" i="1" s="1"/>
  <c r="B1767" i="1"/>
  <c r="D1767" i="1" s="1"/>
  <c r="B1768" i="1"/>
  <c r="D1768" i="1" s="1"/>
  <c r="B1769" i="1"/>
  <c r="B1770" i="1"/>
  <c r="D1770" i="1" s="1"/>
  <c r="B1771" i="1"/>
  <c r="D1771" i="1" s="1"/>
  <c r="B1772" i="1"/>
  <c r="D1772" i="1" s="1"/>
  <c r="B1773" i="1"/>
  <c r="D1773" i="1" s="1"/>
  <c r="B1774" i="1"/>
  <c r="D1774" i="1" s="1"/>
  <c r="B1775" i="1"/>
  <c r="D1775" i="1" s="1"/>
  <c r="B1776" i="1"/>
  <c r="B1777" i="1"/>
  <c r="D1777" i="1" s="1"/>
  <c r="B1778" i="1"/>
  <c r="D1778" i="1" s="1"/>
  <c r="B1779" i="1"/>
  <c r="B1780" i="1"/>
  <c r="D1780" i="1" s="1"/>
  <c r="B1781" i="1"/>
  <c r="D1781" i="1" s="1"/>
  <c r="B1782" i="1"/>
  <c r="D1782" i="1" s="1"/>
  <c r="B1783" i="1"/>
  <c r="D1783" i="1" s="1"/>
  <c r="B1784" i="1"/>
  <c r="D1784" i="1" s="1"/>
  <c r="B1785" i="1"/>
  <c r="D1785" i="1" s="1"/>
  <c r="B1786" i="1"/>
  <c r="D1786" i="1" s="1"/>
  <c r="B1787" i="1"/>
  <c r="B1788" i="1"/>
  <c r="D1788" i="1" s="1"/>
  <c r="B1789" i="1"/>
  <c r="D1789" i="1" s="1"/>
  <c r="B1790" i="1"/>
  <c r="D1790" i="1" s="1"/>
  <c r="B1791" i="1"/>
  <c r="D1791" i="1" s="1"/>
  <c r="B1792" i="1"/>
  <c r="D1792" i="1" s="1"/>
  <c r="B1793" i="1"/>
  <c r="D1793" i="1" s="1"/>
  <c r="B1794" i="1"/>
  <c r="D1794" i="1" s="1"/>
  <c r="B1795" i="1"/>
  <c r="B1796" i="1"/>
  <c r="D1796" i="1" s="1"/>
  <c r="B1797" i="1"/>
  <c r="D1797" i="1" s="1"/>
  <c r="B1798" i="1"/>
  <c r="D1798" i="1" s="1"/>
  <c r="B1799" i="1"/>
  <c r="D1799" i="1" s="1"/>
  <c r="B1800" i="1"/>
  <c r="B1801" i="1"/>
  <c r="B1802" i="1"/>
  <c r="D1802" i="1" s="1"/>
  <c r="B1803" i="1"/>
  <c r="B1804" i="1"/>
  <c r="D1804" i="1" s="1"/>
  <c r="B1805" i="1"/>
  <c r="D1805" i="1" s="1"/>
  <c r="N296" i="2"/>
  <c r="O296" i="2" s="1"/>
  <c r="N297" i="2"/>
  <c r="O297" i="2" s="1"/>
  <c r="N298" i="2"/>
  <c r="O298" i="2" s="1"/>
  <c r="N299" i="2"/>
  <c r="O299" i="2" s="1"/>
  <c r="N300" i="2"/>
  <c r="O300" i="2" s="1"/>
  <c r="N301" i="2"/>
  <c r="O301" i="2" s="1"/>
  <c r="N302" i="2"/>
  <c r="O302" i="2" s="1"/>
  <c r="N303" i="2"/>
  <c r="O303" i="2" s="1"/>
  <c r="N304" i="2"/>
  <c r="O304" i="2" s="1"/>
  <c r="N305" i="2"/>
  <c r="O305" i="2" s="1"/>
  <c r="N306" i="2"/>
  <c r="O306" i="2" s="1"/>
  <c r="N307" i="2"/>
  <c r="O307" i="2" s="1"/>
  <c r="N308" i="2"/>
  <c r="O308" i="2" s="1"/>
  <c r="N309" i="2"/>
  <c r="O309" i="2" s="1"/>
  <c r="N310" i="2"/>
  <c r="O310" i="2" s="1"/>
  <c r="N311" i="2"/>
  <c r="O311" i="2" s="1"/>
  <c r="N312" i="2"/>
  <c r="O312" i="2" s="1"/>
  <c r="N313" i="2"/>
  <c r="O313" i="2" s="1"/>
  <c r="N314" i="2"/>
  <c r="O314" i="2" s="1"/>
  <c r="N315" i="2"/>
  <c r="O315" i="2" s="1"/>
  <c r="N316" i="2"/>
  <c r="O316" i="2" s="1"/>
  <c r="N317" i="2"/>
  <c r="O317" i="2" s="1"/>
  <c r="N318" i="2"/>
  <c r="O318" i="2" s="1"/>
  <c r="N319" i="2"/>
  <c r="O319" i="2" s="1"/>
  <c r="N320" i="2"/>
  <c r="O320" i="2" s="1"/>
  <c r="N321" i="2"/>
  <c r="O321" i="2" s="1"/>
  <c r="N322" i="2"/>
  <c r="O322" i="2" s="1"/>
  <c r="N323" i="2"/>
  <c r="O323" i="2" s="1"/>
  <c r="N324" i="2"/>
  <c r="O324" i="2" s="1"/>
  <c r="N325" i="2"/>
  <c r="O325" i="2" s="1"/>
  <c r="N326" i="2"/>
  <c r="O326" i="2" s="1"/>
  <c r="N327" i="2"/>
  <c r="O327" i="2" s="1"/>
  <c r="N328" i="2"/>
  <c r="O328" i="2" s="1"/>
  <c r="N329" i="2"/>
  <c r="O329" i="2" s="1"/>
  <c r="N330" i="2"/>
  <c r="O330" i="2" s="1"/>
  <c r="N331" i="2"/>
  <c r="O331" i="2" s="1"/>
  <c r="N332" i="2"/>
  <c r="O332" i="2" s="1"/>
  <c r="N333" i="2"/>
  <c r="O333" i="2" s="1"/>
  <c r="N334" i="2"/>
  <c r="O334" i="2" s="1"/>
  <c r="N335" i="2"/>
  <c r="O335" i="2" s="1"/>
  <c r="N336" i="2"/>
  <c r="O336" i="2" s="1"/>
  <c r="N337" i="2"/>
  <c r="O337" i="2" s="1"/>
  <c r="N338" i="2"/>
  <c r="O338" i="2" s="1"/>
  <c r="N339" i="2"/>
  <c r="O339" i="2" s="1"/>
  <c r="N340" i="2"/>
  <c r="O340" i="2" s="1"/>
  <c r="N341" i="2"/>
  <c r="O341" i="2" s="1"/>
  <c r="N342" i="2"/>
  <c r="O342" i="2" s="1"/>
  <c r="N343" i="2"/>
  <c r="O343" i="2" s="1"/>
  <c r="N344" i="2"/>
  <c r="O344" i="2" s="1"/>
  <c r="N345" i="2"/>
  <c r="O345" i="2" s="1"/>
  <c r="N346" i="2"/>
  <c r="O346" i="2" s="1"/>
  <c r="N347" i="2"/>
  <c r="O347" i="2" s="1"/>
  <c r="N348" i="2"/>
  <c r="O348" i="2" s="1"/>
  <c r="N349" i="2"/>
  <c r="O349" i="2" s="1"/>
  <c r="N350" i="2"/>
  <c r="O350" i="2" s="1"/>
  <c r="N351" i="2"/>
  <c r="O351" i="2" s="1"/>
  <c r="N352" i="2"/>
  <c r="O352" i="2" s="1"/>
  <c r="N353" i="2"/>
  <c r="O353" i="2" s="1"/>
  <c r="N354" i="2"/>
  <c r="O354" i="2" s="1"/>
  <c r="N355" i="2"/>
  <c r="O355" i="2" s="1"/>
  <c r="N356" i="2"/>
  <c r="O356" i="2" s="1"/>
  <c r="N357" i="2"/>
  <c r="O357" i="2" s="1"/>
  <c r="N358" i="2"/>
  <c r="O358" i="2" s="1"/>
  <c r="N359" i="2"/>
  <c r="O359" i="2" s="1"/>
  <c r="N360" i="2"/>
  <c r="O360" i="2" s="1"/>
  <c r="N361" i="2"/>
  <c r="O361" i="2" s="1"/>
  <c r="N362" i="2"/>
  <c r="O362" i="2" s="1"/>
  <c r="N363" i="2"/>
  <c r="O363" i="2" s="1"/>
  <c r="N364" i="2"/>
  <c r="O364" i="2" s="1"/>
  <c r="N365" i="2"/>
  <c r="O365" i="2" s="1"/>
  <c r="N366" i="2"/>
  <c r="O366" i="2" s="1"/>
  <c r="N367" i="2"/>
  <c r="O367" i="2" s="1"/>
  <c r="N368" i="2"/>
  <c r="O368" i="2" s="1"/>
  <c r="N369" i="2"/>
  <c r="O369" i="2" s="1"/>
  <c r="N370" i="2"/>
  <c r="O370" i="2" s="1"/>
  <c r="N371" i="2"/>
  <c r="O371" i="2" s="1"/>
  <c r="N372" i="2"/>
  <c r="O372" i="2" s="1"/>
  <c r="N373" i="2"/>
  <c r="O373" i="2" s="1"/>
  <c r="N374" i="2"/>
  <c r="O374" i="2" s="1"/>
  <c r="N375" i="2"/>
  <c r="O375" i="2" s="1"/>
  <c r="N376" i="2"/>
  <c r="O376" i="2" s="1"/>
  <c r="N377" i="2"/>
  <c r="O377" i="2" s="1"/>
  <c r="N378" i="2"/>
  <c r="O378" i="2" s="1"/>
  <c r="N379" i="2"/>
  <c r="O379" i="2" s="1"/>
  <c r="N380" i="2"/>
  <c r="O380" i="2" s="1"/>
  <c r="N381" i="2"/>
  <c r="O381" i="2" s="1"/>
  <c r="N382" i="2"/>
  <c r="O382" i="2" s="1"/>
  <c r="N383" i="2"/>
  <c r="O383" i="2" s="1"/>
  <c r="N384" i="2"/>
  <c r="O384" i="2" s="1"/>
  <c r="N385" i="2"/>
  <c r="O385" i="2" s="1"/>
  <c r="N386" i="2"/>
  <c r="O386" i="2" s="1"/>
  <c r="N387" i="2"/>
  <c r="O387" i="2" s="1"/>
  <c r="N388" i="2"/>
  <c r="O388" i="2" s="1"/>
  <c r="N389" i="2"/>
  <c r="O389" i="2" s="1"/>
  <c r="N390" i="2"/>
  <c r="O390" i="2" s="1"/>
  <c r="N391" i="2"/>
  <c r="O391" i="2" s="1"/>
  <c r="N392" i="2"/>
  <c r="O392" i="2" s="1"/>
  <c r="N393" i="2"/>
  <c r="O393" i="2" s="1"/>
  <c r="N394" i="2"/>
  <c r="O394" i="2" s="1"/>
  <c r="N395" i="2"/>
  <c r="O395" i="2" s="1"/>
  <c r="N294" i="2"/>
  <c r="O294" i="2" s="1"/>
  <c r="N295" i="2"/>
  <c r="O295" i="2" s="1"/>
  <c r="C29" i="2"/>
  <c r="C51" i="2"/>
  <c r="C39" i="2"/>
  <c r="C11" i="2"/>
  <c r="C32" i="2"/>
  <c r="C13" i="2"/>
  <c r="C3" i="2"/>
  <c r="H5" i="4"/>
  <c r="I5" i="4" s="1"/>
  <c r="H6" i="4"/>
  <c r="I6" i="4" s="1"/>
  <c r="H7" i="4"/>
  <c r="I7" i="4" s="1"/>
  <c r="H8" i="4"/>
  <c r="I8" i="4" s="1"/>
  <c r="H9" i="4"/>
  <c r="I9" i="4" s="1"/>
  <c r="H10" i="4"/>
  <c r="I10" i="4" s="1"/>
  <c r="H11" i="4"/>
  <c r="I11" i="4" s="1"/>
  <c r="H12" i="4"/>
  <c r="I12" i="4" s="1"/>
  <c r="H13" i="4"/>
  <c r="I13" i="4" s="1"/>
  <c r="H14" i="4"/>
  <c r="I14" i="4" s="1"/>
  <c r="H15" i="4"/>
  <c r="H4" i="4"/>
  <c r="I4" i="4" s="1"/>
  <c r="A16" i="4"/>
  <c r="B1007" i="1"/>
  <c r="D1007" i="1" s="1"/>
  <c r="B19" i="4"/>
  <c r="C19" i="4"/>
  <c r="D19" i="4"/>
  <c r="E19" i="4"/>
  <c r="A5" i="4"/>
  <c r="A6" i="4"/>
  <c r="A7" i="4"/>
  <c r="A8" i="4"/>
  <c r="A9" i="4"/>
  <c r="A10" i="4"/>
  <c r="A11" i="4"/>
  <c r="A12" i="4"/>
  <c r="A13" i="4"/>
  <c r="A14" i="4"/>
  <c r="A15" i="4"/>
  <c r="A17" i="4"/>
  <c r="A18" i="4"/>
  <c r="B20" i="4"/>
  <c r="A22" i="4"/>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D11" i="4" s="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D842" i="1" s="1"/>
  <c r="B843" i="1"/>
  <c r="D843" i="1" s="1"/>
  <c r="B844" i="1"/>
  <c r="D844" i="1" s="1"/>
  <c r="B845" i="1"/>
  <c r="D845" i="1" s="1"/>
  <c r="B846" i="1"/>
  <c r="D846" i="1" s="1"/>
  <c r="B847" i="1"/>
  <c r="B848" i="1"/>
  <c r="B849" i="1"/>
  <c r="B850" i="1"/>
  <c r="B851" i="1"/>
  <c r="D851" i="1" s="1"/>
  <c r="B852" i="1"/>
  <c r="D852" i="1" s="1"/>
  <c r="B853" i="1"/>
  <c r="B854" i="1"/>
  <c r="B855" i="1"/>
  <c r="B856" i="1"/>
  <c r="B857" i="1"/>
  <c r="D857" i="1" s="1"/>
  <c r="B858" i="1"/>
  <c r="B859" i="1"/>
  <c r="B860" i="1"/>
  <c r="B861" i="1"/>
  <c r="D861" i="1" s="1"/>
  <c r="B862" i="1"/>
  <c r="D862" i="1" s="1"/>
  <c r="B863" i="1"/>
  <c r="D863" i="1" s="1"/>
  <c r="B864" i="1"/>
  <c r="B865" i="1"/>
  <c r="D865" i="1" s="1"/>
  <c r="B866" i="1"/>
  <c r="D866" i="1" s="1"/>
  <c r="B867" i="1"/>
  <c r="B868" i="1"/>
  <c r="B869" i="1"/>
  <c r="B870" i="1"/>
  <c r="B871" i="1"/>
  <c r="B872" i="1"/>
  <c r="B873" i="1"/>
  <c r="B874" i="1"/>
  <c r="B875" i="1"/>
  <c r="B876" i="1"/>
  <c r="B877" i="1"/>
  <c r="B878" i="1"/>
  <c r="B879" i="1"/>
  <c r="B880" i="1"/>
  <c r="B881" i="1"/>
  <c r="D881" i="1" s="1"/>
  <c r="B882" i="1"/>
  <c r="D882" i="1" s="1"/>
  <c r="B883" i="1"/>
  <c r="B884" i="1"/>
  <c r="B885" i="1"/>
  <c r="B886" i="1"/>
  <c r="D886" i="1" s="1"/>
  <c r="B887" i="1"/>
  <c r="D887" i="1" s="1"/>
  <c r="B888" i="1"/>
  <c r="B889" i="1"/>
  <c r="B890" i="1"/>
  <c r="B891" i="1"/>
  <c r="B892" i="1"/>
  <c r="B893" i="1"/>
  <c r="B894" i="1"/>
  <c r="D894" i="1" s="1"/>
  <c r="B895" i="1"/>
  <c r="D895" i="1" s="1"/>
  <c r="B896" i="1"/>
  <c r="B897" i="1"/>
  <c r="D897" i="1" s="1"/>
  <c r="B898" i="1"/>
  <c r="D898" i="1" s="1"/>
  <c r="B899" i="1"/>
  <c r="D899" i="1" s="1"/>
  <c r="B900" i="1"/>
  <c r="B901" i="1"/>
  <c r="B902" i="1"/>
  <c r="B903" i="1"/>
  <c r="D903" i="1" s="1"/>
  <c r="B904" i="1"/>
  <c r="D904" i="1" s="1"/>
  <c r="B905" i="1"/>
  <c r="B906" i="1"/>
  <c r="B907" i="1"/>
  <c r="D907" i="1" s="1"/>
  <c r="B908" i="1"/>
  <c r="D908" i="1" s="1"/>
  <c r="B909" i="1"/>
  <c r="D909" i="1" s="1"/>
  <c r="B910" i="1"/>
  <c r="D910" i="1" s="1"/>
  <c r="B911" i="1"/>
  <c r="D911" i="1" s="1"/>
  <c r="B912" i="1"/>
  <c r="D912" i="1" s="1"/>
  <c r="B913" i="1"/>
  <c r="D913" i="1" s="1"/>
  <c r="B914" i="1"/>
  <c r="D914" i="1" s="1"/>
  <c r="B915" i="1"/>
  <c r="D915" i="1" s="1"/>
  <c r="B916" i="1"/>
  <c r="B917" i="1"/>
  <c r="B918" i="1"/>
  <c r="B919" i="1"/>
  <c r="B920" i="1"/>
  <c r="B921" i="1"/>
  <c r="B922" i="1"/>
  <c r="B923" i="1"/>
  <c r="B924" i="1"/>
  <c r="D924" i="1" s="1"/>
  <c r="B925" i="1"/>
  <c r="B926" i="1"/>
  <c r="D926" i="1" s="1"/>
  <c r="B927" i="1"/>
  <c r="D927" i="1" s="1"/>
  <c r="B928" i="1"/>
  <c r="D928" i="1" s="1"/>
  <c r="B929" i="1"/>
  <c r="D929" i="1" s="1"/>
  <c r="B930" i="1"/>
  <c r="B931" i="1"/>
  <c r="B932" i="1"/>
  <c r="B933" i="1"/>
  <c r="D933" i="1" s="1"/>
  <c r="B934" i="1"/>
  <c r="D934" i="1" s="1"/>
  <c r="B935" i="1"/>
  <c r="D935" i="1" s="1"/>
  <c r="B936" i="1"/>
  <c r="D936" i="1" s="1"/>
  <c r="B937" i="1"/>
  <c r="D937" i="1" s="1"/>
  <c r="B938" i="1"/>
  <c r="D938" i="1" s="1"/>
  <c r="B939" i="1"/>
  <c r="D939" i="1" s="1"/>
  <c r="B940" i="1"/>
  <c r="D940" i="1" s="1"/>
  <c r="B941" i="1"/>
  <c r="D941" i="1" s="1"/>
  <c r="B942" i="1"/>
  <c r="D942" i="1" s="1"/>
  <c r="B943" i="1"/>
  <c r="B944" i="1"/>
  <c r="D944" i="1" s="1"/>
  <c r="B945" i="1"/>
  <c r="B946" i="1"/>
  <c r="D946" i="1" s="1"/>
  <c r="B947" i="1"/>
  <c r="B948" i="1"/>
  <c r="B949" i="1"/>
  <c r="B950" i="1"/>
  <c r="B951" i="1"/>
  <c r="D951" i="1" s="1"/>
  <c r="B952" i="1"/>
  <c r="D952" i="1" s="1"/>
  <c r="B953" i="1"/>
  <c r="D953" i="1" s="1"/>
  <c r="B954" i="1"/>
  <c r="D954" i="1" s="1"/>
  <c r="B955" i="1"/>
  <c r="B956" i="1"/>
  <c r="B957" i="1"/>
  <c r="B958" i="1"/>
  <c r="B959" i="1"/>
  <c r="D959" i="1" s="1"/>
  <c r="B960" i="1"/>
  <c r="D961" i="1"/>
  <c r="B962" i="1"/>
  <c r="D962" i="1" s="1"/>
  <c r="B963" i="1"/>
  <c r="B964" i="1"/>
  <c r="B965" i="1"/>
  <c r="B966" i="1"/>
  <c r="B967" i="1"/>
  <c r="B968" i="1"/>
  <c r="B969" i="1"/>
  <c r="D969" i="1" s="1"/>
  <c r="B970" i="1"/>
  <c r="D970" i="1" s="1"/>
  <c r="B971" i="1"/>
  <c r="D971" i="1" s="1"/>
  <c r="B972" i="1"/>
  <c r="D972" i="1" s="1"/>
  <c r="B973" i="1"/>
  <c r="B974" i="1"/>
  <c r="B975" i="1"/>
  <c r="B976" i="1"/>
  <c r="B977" i="1"/>
  <c r="B978" i="1"/>
  <c r="D978" i="1" s="1"/>
  <c r="B979" i="1"/>
  <c r="D979" i="1" s="1"/>
  <c r="B980" i="1"/>
  <c r="D980" i="1" s="1"/>
  <c r="B981" i="1"/>
  <c r="D981" i="1" s="1"/>
  <c r="B982" i="1"/>
  <c r="D982" i="1" s="1"/>
  <c r="B983" i="1"/>
  <c r="D983" i="1" s="1"/>
  <c r="B984" i="1"/>
  <c r="D984" i="1" s="1"/>
  <c r="B985" i="1"/>
  <c r="D985" i="1" s="1"/>
  <c r="B986" i="1"/>
  <c r="D986" i="1" s="1"/>
  <c r="B987" i="1"/>
  <c r="D987" i="1" s="1"/>
  <c r="B988" i="1"/>
  <c r="D988" i="1" s="1"/>
  <c r="B989" i="1"/>
  <c r="D989" i="1" s="1"/>
  <c r="B990" i="1"/>
  <c r="B991" i="1"/>
  <c r="B992" i="1"/>
  <c r="B993" i="1"/>
  <c r="B994" i="1"/>
  <c r="B995" i="1"/>
  <c r="D995" i="1" s="1"/>
  <c r="B996" i="1"/>
  <c r="D996" i="1"/>
  <c r="B997" i="1"/>
  <c r="D997" i="1" s="1"/>
  <c r="B998" i="1"/>
  <c r="D998" i="1" s="1"/>
  <c r="B999" i="1"/>
  <c r="D999" i="1" s="1"/>
  <c r="B1000" i="1"/>
  <c r="D1000" i="1" s="1"/>
  <c r="B1001" i="1"/>
  <c r="D1001" i="1" s="1"/>
  <c r="B1002" i="1"/>
  <c r="D1002" i="1" s="1"/>
  <c r="B1003" i="1"/>
  <c r="B1004" i="1"/>
  <c r="B1005" i="1"/>
  <c r="B1006" i="1"/>
  <c r="B1008" i="1"/>
  <c r="D1008" i="1" s="1"/>
  <c r="B1009" i="1"/>
  <c r="D1009" i="1" s="1"/>
  <c r="B1010" i="1"/>
  <c r="D1010" i="1" s="1"/>
  <c r="B1011" i="1"/>
  <c r="D1011" i="1" s="1"/>
  <c r="B1012" i="1"/>
  <c r="B1013" i="1"/>
  <c r="D1013" i="1" s="1"/>
  <c r="B1014" i="1"/>
  <c r="B1015" i="1"/>
  <c r="D1015" i="1" s="1"/>
  <c r="B1016" i="1"/>
  <c r="D1016" i="1" s="1"/>
  <c r="B1017" i="1"/>
  <c r="D1017" i="1" s="1"/>
  <c r="B1018" i="1"/>
  <c r="D1018" i="1" s="1"/>
  <c r="B1019" i="1"/>
  <c r="B1020" i="1"/>
  <c r="B1021" i="1"/>
  <c r="B1022" i="1"/>
  <c r="B1023" i="1"/>
  <c r="D1023" i="1" s="1"/>
  <c r="B1024" i="1"/>
  <c r="B1025" i="1"/>
  <c r="B1026" i="1"/>
  <c r="B1027" i="1"/>
  <c r="D1027" i="1" s="1"/>
  <c r="B1028" i="1"/>
  <c r="D1028" i="1"/>
  <c r="B1029" i="1"/>
  <c r="D1029" i="1" s="1"/>
  <c r="B1030" i="1"/>
  <c r="D1030" i="1" s="1"/>
  <c r="B1031" i="1"/>
  <c r="D1031" i="1" s="1"/>
  <c r="B1032" i="1"/>
  <c r="D1032" i="1" s="1"/>
  <c r="B1033" i="1"/>
  <c r="D1033" i="1" s="1"/>
  <c r="B1034" i="1"/>
  <c r="D1034" i="1" s="1"/>
  <c r="B1035" i="1"/>
  <c r="D1035" i="1" s="1"/>
  <c r="B1036" i="1"/>
  <c r="D1036" i="1" s="1"/>
  <c r="B1037" i="1"/>
  <c r="D1037" i="1" s="1"/>
  <c r="B1038" i="1"/>
  <c r="D1038" i="1" s="1"/>
  <c r="B1039" i="1"/>
  <c r="D1039" i="1" s="1"/>
  <c r="B1040" i="1"/>
  <c r="D1040" i="1" s="1"/>
  <c r="B1041" i="1"/>
  <c r="B1042" i="1"/>
  <c r="B1043" i="1"/>
  <c r="D1043" i="1" s="1"/>
  <c r="D1044" i="1"/>
  <c r="B1050" i="1"/>
  <c r="D1050" i="1" s="1"/>
  <c r="B1051" i="1"/>
  <c r="D1051" i="1" s="1"/>
  <c r="B1052" i="1"/>
  <c r="D1052" i="1" s="1"/>
  <c r="B1053" i="1"/>
  <c r="D1053" i="1" s="1"/>
  <c r="B1054" i="1"/>
  <c r="B1055" i="1"/>
  <c r="D1055" i="1" s="1"/>
  <c r="B1056" i="1"/>
  <c r="D1056" i="1" s="1"/>
  <c r="B1057" i="1"/>
  <c r="D1057" i="1" s="1"/>
  <c r="B1058" i="1"/>
  <c r="B1059" i="1"/>
  <c r="B1060" i="1"/>
  <c r="D1060" i="1" s="1"/>
  <c r="B1061" i="1"/>
  <c r="D1061" i="1" s="1"/>
  <c r="B1062" i="1"/>
  <c r="D1062" i="1" s="1"/>
  <c r="B1063" i="1"/>
  <c r="D1063" i="1" s="1"/>
  <c r="B1064" i="1"/>
  <c r="D1064" i="1" s="1"/>
  <c r="B1065" i="1"/>
  <c r="D1065" i="1" s="1"/>
  <c r="B1066" i="1"/>
  <c r="D1066" i="1" s="1"/>
  <c r="B1067" i="1"/>
  <c r="B1068" i="1"/>
  <c r="B1069" i="1"/>
  <c r="B1070" i="1"/>
  <c r="B1071" i="1"/>
  <c r="B1072" i="1"/>
  <c r="D1072" i="1" s="1"/>
  <c r="B1073" i="1"/>
  <c r="D1073" i="1" s="1"/>
  <c r="B1074" i="1"/>
  <c r="D1074" i="1" s="1"/>
  <c r="B1075" i="1"/>
  <c r="D1075" i="1" s="1"/>
  <c r="B1076" i="1"/>
  <c r="D1076" i="1" s="1"/>
  <c r="B1077" i="1"/>
  <c r="D1077" i="1" s="1"/>
  <c r="B1078" i="1"/>
  <c r="D1078" i="1" s="1"/>
  <c r="B1080" i="1"/>
  <c r="D1080" i="1" s="1"/>
  <c r="B1081" i="1"/>
  <c r="D1081" i="1" s="1"/>
  <c r="B1082" i="1"/>
  <c r="D1082" i="1" s="1"/>
  <c r="B1083" i="1"/>
  <c r="D1083" i="1" s="1"/>
  <c r="B1084" i="1"/>
  <c r="D1084" i="1" s="1"/>
  <c r="B1085" i="1"/>
  <c r="D1085" i="1" s="1"/>
  <c r="B1086" i="1"/>
  <c r="D1086" i="1" s="1"/>
  <c r="B1087" i="1"/>
  <c r="D1087" i="1" s="1"/>
  <c r="B1088" i="1"/>
  <c r="D1088" i="1" s="1"/>
  <c r="B1089" i="1"/>
  <c r="D1089" i="1" s="1"/>
  <c r="B1090" i="1"/>
  <c r="D1090" i="1" s="1"/>
  <c r="B1091" i="1"/>
  <c r="D1091" i="1" s="1"/>
  <c r="B1092" i="1"/>
  <c r="D1092" i="1" s="1"/>
  <c r="B1093" i="1"/>
  <c r="D1093" i="1" s="1"/>
  <c r="B1094" i="1"/>
  <c r="D1094" i="1" s="1"/>
  <c r="B1095" i="1"/>
  <c r="D1095" i="1" s="1"/>
  <c r="B1096" i="1"/>
  <c r="D1096" i="1" s="1"/>
  <c r="B1097" i="1"/>
  <c r="B1098" i="1"/>
  <c r="B1099" i="1"/>
  <c r="B1100" i="1"/>
  <c r="B1101" i="1"/>
  <c r="B1102" i="1"/>
  <c r="D1102" i="1" s="1"/>
  <c r="B1103" i="1"/>
  <c r="D1103" i="1" s="1"/>
  <c r="B1104" i="1"/>
  <c r="B1105" i="1"/>
  <c r="B1106" i="1"/>
  <c r="B1107" i="1"/>
  <c r="D1107" i="1" s="1"/>
  <c r="B1108" i="1"/>
  <c r="D1108" i="1" s="1"/>
  <c r="B1109" i="1"/>
  <c r="D1109" i="1" s="1"/>
  <c r="B1110" i="1"/>
  <c r="B1111" i="1"/>
  <c r="B1112" i="1"/>
  <c r="B1113" i="1"/>
  <c r="B1114" i="1"/>
  <c r="B1115" i="1"/>
  <c r="D1115" i="1" s="1"/>
  <c r="B1116" i="1"/>
  <c r="D1116" i="1" s="1"/>
  <c r="B1117" i="1"/>
  <c r="D1117" i="1" s="1"/>
  <c r="B1118" i="1"/>
  <c r="D1118" i="1" s="1"/>
  <c r="B1119" i="1"/>
  <c r="D1119" i="1" s="1"/>
  <c r="B1120" i="1"/>
  <c r="D1120" i="1" s="1"/>
  <c r="B1121" i="1"/>
  <c r="D1121" i="1" s="1"/>
  <c r="B1122" i="1"/>
  <c r="D1122" i="1" s="1"/>
  <c r="B1123" i="1"/>
  <c r="B1124" i="1"/>
  <c r="B1125" i="1"/>
  <c r="B1126" i="1"/>
  <c r="D1126" i="1" s="1"/>
  <c r="B1127" i="1"/>
  <c r="B1128" i="1"/>
  <c r="B1129" i="1"/>
  <c r="B1130" i="1"/>
  <c r="D1130" i="1" s="1"/>
  <c r="B1131" i="1"/>
  <c r="D1131" i="1" s="1"/>
  <c r="B1132" i="1"/>
  <c r="D1132" i="1" s="1"/>
  <c r="B1133" i="1"/>
  <c r="D1133" i="1" s="1"/>
  <c r="B1134" i="1"/>
  <c r="D1134" i="1" s="1"/>
  <c r="B1135" i="1"/>
  <c r="D1135" i="1" s="1"/>
  <c r="B1136" i="1"/>
  <c r="D1136" i="1" s="1"/>
  <c r="B1137" i="1"/>
  <c r="D1137" i="1" s="1"/>
  <c r="B1138" i="1"/>
  <c r="D1138" i="1" s="1"/>
  <c r="B1139" i="1"/>
  <c r="D1139" i="1" s="1"/>
  <c r="B1140" i="1"/>
  <c r="D1140" i="1" s="1"/>
  <c r="B1141" i="1"/>
  <c r="D1141" i="1" s="1"/>
  <c r="B1142" i="1"/>
  <c r="D1142" i="1" s="1"/>
  <c r="B1143" i="1"/>
  <c r="D1143" i="1" s="1"/>
  <c r="B1144" i="1"/>
  <c r="D1144" i="1" s="1"/>
  <c r="B1145" i="1"/>
  <c r="B1146" i="1"/>
  <c r="B1147" i="1"/>
  <c r="B1148" i="1"/>
  <c r="B1149" i="1"/>
  <c r="B1150" i="1"/>
  <c r="B1151" i="1"/>
  <c r="B1152" i="1"/>
  <c r="B1153" i="1"/>
  <c r="B1154" i="1"/>
  <c r="B1155" i="1"/>
  <c r="D1155" i="1" s="1"/>
  <c r="B1156" i="1"/>
  <c r="D1156" i="1" s="1"/>
  <c r="B1157" i="1"/>
  <c r="D1157" i="1" s="1"/>
  <c r="B1158" i="1"/>
  <c r="D1158" i="1" s="1"/>
  <c r="B1159" i="1"/>
  <c r="B1160" i="1"/>
  <c r="B1161" i="1"/>
  <c r="B1162" i="1"/>
  <c r="B1163" i="1"/>
  <c r="D1163" i="1" s="1"/>
  <c r="B1164" i="1"/>
  <c r="D1164" i="1" s="1"/>
  <c r="B1165" i="1"/>
  <c r="D1165" i="1" s="1"/>
  <c r="B1166" i="1"/>
  <c r="D1166" i="1" s="1"/>
  <c r="B1167" i="1"/>
  <c r="D1167" i="1" s="1"/>
  <c r="B1168" i="1"/>
  <c r="D1168" i="1" s="1"/>
  <c r="B1169" i="1"/>
  <c r="D1169" i="1" s="1"/>
  <c r="B1170" i="1"/>
  <c r="D1170" i="1" s="1"/>
  <c r="B1171" i="1"/>
  <c r="B1172" i="1"/>
  <c r="B1173" i="1"/>
  <c r="B1174" i="1"/>
  <c r="B1175" i="1"/>
  <c r="D1175" i="1" s="1"/>
  <c r="B1176" i="1"/>
  <c r="B1177" i="1"/>
  <c r="B1178" i="1"/>
  <c r="B1179" i="1"/>
  <c r="B1180" i="1"/>
  <c r="B1181" i="1"/>
  <c r="B1182" i="1"/>
  <c r="D1182" i="1" s="1"/>
  <c r="B1183" i="1"/>
  <c r="D1183" i="1" s="1"/>
  <c r="B1185" i="1"/>
  <c r="B1186" i="1"/>
  <c r="B1187" i="1"/>
  <c r="B1188" i="1"/>
  <c r="D1188" i="1" s="1"/>
  <c r="B1189" i="1"/>
  <c r="D1189" i="1" s="1"/>
  <c r="B1190" i="1"/>
  <c r="D1190" i="1" s="1"/>
  <c r="B1191" i="1"/>
  <c r="D1191" i="1" s="1"/>
  <c r="B1192" i="1"/>
  <c r="D1192" i="1" s="1"/>
  <c r="B1193" i="1"/>
  <c r="D1193" i="1" s="1"/>
  <c r="B1194" i="1"/>
  <c r="D1194" i="1" s="1"/>
  <c r="B1195" i="1"/>
  <c r="D1195" i="1" s="1"/>
  <c r="B1196" i="1"/>
  <c r="D1196" i="1" s="1"/>
  <c r="B1197" i="1"/>
  <c r="D1197" i="1" s="1"/>
  <c r="B1198" i="1"/>
  <c r="D1198" i="1" s="1"/>
  <c r="B1199" i="1"/>
  <c r="D1199" i="1" s="1"/>
  <c r="B1200" i="1"/>
  <c r="D1200" i="1" s="1"/>
  <c r="B1201" i="1"/>
  <c r="D1201" i="1" s="1"/>
  <c r="B1202" i="1"/>
  <c r="D1202" i="1" s="1"/>
  <c r="B1203" i="1"/>
  <c r="D1203" i="1" s="1"/>
  <c r="B1204" i="1"/>
  <c r="D1204" i="1" s="1"/>
  <c r="B1205" i="1"/>
  <c r="D1205" i="1" s="1"/>
  <c r="B1206" i="1"/>
  <c r="D1206" i="1" s="1"/>
  <c r="B1207" i="1"/>
  <c r="D1207" i="1" s="1"/>
  <c r="B1208" i="1"/>
  <c r="D1208" i="1" s="1"/>
  <c r="B1209" i="1"/>
  <c r="D1209" i="1" s="1"/>
  <c r="B1210" i="1"/>
  <c r="D1210" i="1" s="1"/>
  <c r="B1211" i="1"/>
  <c r="D1211" i="1" s="1"/>
  <c r="B1212" i="1"/>
  <c r="D1212" i="1" s="1"/>
  <c r="B1213" i="1"/>
  <c r="D1213" i="1" s="1"/>
  <c r="B1214" i="1"/>
  <c r="D1214" i="1" s="1"/>
  <c r="B1215" i="1"/>
  <c r="D1215" i="1" s="1"/>
  <c r="B1216" i="1"/>
  <c r="D1216" i="1" s="1"/>
  <c r="B1217" i="1"/>
  <c r="D1217" i="1" s="1"/>
  <c r="B1218" i="1"/>
  <c r="D1218" i="1" s="1"/>
  <c r="B1219" i="1"/>
  <c r="D1219" i="1" s="1"/>
  <c r="B1220" i="1"/>
  <c r="D1220" i="1" s="1"/>
  <c r="B1221" i="1"/>
  <c r="D1221" i="1" s="1"/>
  <c r="B1222" i="1"/>
  <c r="D1222" i="1" s="1"/>
  <c r="B1223" i="1"/>
  <c r="D1223" i="1" s="1"/>
  <c r="B1224" i="1"/>
  <c r="D1224" i="1" s="1"/>
  <c r="B1225" i="1"/>
  <c r="D1225" i="1" s="1"/>
  <c r="B1226" i="1"/>
  <c r="D1226" i="1" s="1"/>
  <c r="B1227" i="1"/>
  <c r="D1227" i="1" s="1"/>
  <c r="B1228" i="1"/>
  <c r="D1228" i="1" s="1"/>
  <c r="B1229" i="1"/>
  <c r="D1229" i="1" s="1"/>
  <c r="B1230" i="1"/>
  <c r="D1230" i="1" s="1"/>
  <c r="B1231" i="1"/>
  <c r="D1231" i="1" s="1"/>
  <c r="B1232" i="1"/>
  <c r="D1232" i="1" s="1"/>
  <c r="B1233" i="1"/>
  <c r="D1233" i="1" s="1"/>
  <c r="B1234" i="1"/>
  <c r="D1234" i="1" s="1"/>
  <c r="B1235" i="1"/>
  <c r="D1235" i="1" s="1"/>
  <c r="B1236" i="1"/>
  <c r="D1236" i="1" s="1"/>
  <c r="B1237" i="1"/>
  <c r="D1237" i="1" s="1"/>
  <c r="B1238" i="1"/>
  <c r="D1238" i="1" s="1"/>
  <c r="B1239" i="1"/>
  <c r="D1239" i="1"/>
  <c r="B1240" i="1"/>
  <c r="D1240" i="1" s="1"/>
  <c r="B1241" i="1"/>
  <c r="D1241" i="1" s="1"/>
  <c r="B1242" i="1"/>
  <c r="D1242" i="1" s="1"/>
  <c r="B1243" i="1"/>
  <c r="D1243" i="1" s="1"/>
  <c r="B1244" i="1"/>
  <c r="D1244" i="1" s="1"/>
  <c r="B1245" i="1"/>
  <c r="D1245" i="1" s="1"/>
  <c r="B1246" i="1"/>
  <c r="D1246" i="1" s="1"/>
  <c r="B1247" i="1"/>
  <c r="D1247" i="1" s="1"/>
  <c r="B1248" i="1"/>
  <c r="D1248" i="1" s="1"/>
  <c r="B1249" i="1"/>
  <c r="D1249" i="1" s="1"/>
  <c r="B1250" i="1"/>
  <c r="D1250" i="1" s="1"/>
  <c r="B1251" i="1"/>
  <c r="D1251" i="1" s="1"/>
  <c r="D1252" i="1"/>
  <c r="D1280" i="1"/>
  <c r="D1285" i="1"/>
  <c r="D1297" i="1"/>
  <c r="D1303" i="1"/>
  <c r="D1305" i="1"/>
  <c r="D1309" i="1"/>
  <c r="D1314" i="1"/>
  <c r="D1321" i="1"/>
  <c r="D1322" i="1"/>
  <c r="D1325" i="1"/>
  <c r="D1333" i="1"/>
  <c r="D1345" i="1"/>
  <c r="D1377" i="1"/>
  <c r="D1390" i="1"/>
  <c r="D1396" i="1"/>
  <c r="D1404" i="1"/>
  <c r="D1408" i="1"/>
  <c r="D1421" i="1"/>
  <c r="D1428" i="1"/>
  <c r="D1431" i="1"/>
  <c r="D1442" i="1"/>
  <c r="D1446" i="1"/>
  <c r="D1452" i="1"/>
  <c r="D1453" i="1"/>
  <c r="D1460" i="1"/>
  <c r="D1463" i="1"/>
  <c r="D1469" i="1"/>
  <c r="D1470" i="1"/>
  <c r="D1475" i="1"/>
  <c r="D1477" i="1"/>
  <c r="D1480" i="1"/>
  <c r="D1489" i="1"/>
  <c r="D1493" i="1"/>
  <c r="D1494" i="1"/>
  <c r="D1512" i="1"/>
  <c r="D1525" i="1"/>
  <c r="D1537" i="1"/>
  <c r="D1548" i="1"/>
  <c r="D1556" i="1"/>
  <c r="D1563" i="1"/>
  <c r="D1569" i="1"/>
  <c r="D1576" i="1"/>
  <c r="D1580" i="1"/>
  <c r="D1585" i="1"/>
  <c r="D1587" i="1"/>
  <c r="D1589" i="1"/>
  <c r="D1590" i="1"/>
  <c r="D1593" i="1"/>
  <c r="D1595" i="1"/>
  <c r="D1601" i="1"/>
  <c r="D1603" i="1"/>
  <c r="D1604" i="1"/>
  <c r="D1605" i="1"/>
  <c r="D1611" i="1"/>
  <c r="D1617" i="1"/>
  <c r="D1619" i="1"/>
  <c r="D1624" i="1"/>
  <c r="D1625" i="1"/>
  <c r="D1633" i="1"/>
  <c r="D1635" i="1"/>
  <c r="D1641" i="1"/>
  <c r="D1652" i="1"/>
  <c r="D1659" i="1"/>
  <c r="D1675" i="1"/>
  <c r="D1676" i="1"/>
  <c r="D1678" i="1"/>
  <c r="D1683" i="1"/>
  <c r="D1686" i="1"/>
  <c r="D1691" i="1"/>
  <c r="D1694" i="1"/>
  <c r="D1699" i="1"/>
  <c r="D1705" i="1"/>
  <c r="D1713" i="1"/>
  <c r="D1729" i="1"/>
  <c r="D1737" i="1"/>
  <c r="D1739" i="1"/>
  <c r="D1740" i="1"/>
  <c r="D1741" i="1"/>
  <c r="D1742" i="1"/>
  <c r="D1745" i="1"/>
  <c r="D1769" i="1"/>
  <c r="D1776" i="1"/>
  <c r="D1779" i="1"/>
  <c r="D1787" i="1"/>
  <c r="D1795" i="1"/>
  <c r="D1800" i="1"/>
  <c r="D1801" i="1"/>
  <c r="D1803" i="1"/>
  <c r="B1806" i="1"/>
  <c r="D1806" i="1" s="1"/>
  <c r="B1807" i="1"/>
  <c r="D1807" i="1" s="1"/>
  <c r="B1808" i="1"/>
  <c r="D1808" i="1" s="1"/>
  <c r="B1809" i="1"/>
  <c r="D1809" i="1" s="1"/>
  <c r="B1810" i="1"/>
  <c r="D1810" i="1" s="1"/>
  <c r="B1811" i="1"/>
  <c r="D1811" i="1" s="1"/>
  <c r="B1812" i="1"/>
  <c r="D1812" i="1" s="1"/>
  <c r="B1813" i="1"/>
  <c r="D1813" i="1" s="1"/>
  <c r="B1814" i="1"/>
  <c r="D1814" i="1" s="1"/>
  <c r="B1815" i="1"/>
  <c r="D1815" i="1" s="1"/>
  <c r="B1816" i="1"/>
  <c r="D1816" i="1" s="1"/>
  <c r="B1817" i="1"/>
  <c r="D1817" i="1" s="1"/>
  <c r="B1818" i="1"/>
  <c r="D1818" i="1" s="1"/>
  <c r="B1819" i="1"/>
  <c r="D1819" i="1" s="1"/>
  <c r="B1820" i="1"/>
  <c r="D1820" i="1" s="1"/>
  <c r="B1821" i="1"/>
  <c r="D1821" i="1" s="1"/>
  <c r="B1822" i="1"/>
  <c r="D1822" i="1" s="1"/>
  <c r="B1823" i="1"/>
  <c r="D1823" i="1" s="1"/>
  <c r="B1824" i="1"/>
  <c r="D1824" i="1" s="1"/>
  <c r="B1825" i="1"/>
  <c r="D1825" i="1" s="1"/>
  <c r="B1826" i="1"/>
  <c r="D1826" i="1" s="1"/>
  <c r="B1827" i="1"/>
  <c r="D1827" i="1" s="1"/>
  <c r="B1828" i="1"/>
  <c r="D1828" i="1" s="1"/>
  <c r="B1829" i="1"/>
  <c r="D1829" i="1" s="1"/>
  <c r="B1830" i="1"/>
  <c r="D1830" i="1" s="1"/>
  <c r="B1831" i="1"/>
  <c r="D1831" i="1" s="1"/>
  <c r="B1832" i="1"/>
  <c r="D1832" i="1" s="1"/>
  <c r="B1833" i="1"/>
  <c r="D1833" i="1" s="1"/>
  <c r="B1834" i="1"/>
  <c r="D1834" i="1" s="1"/>
  <c r="B1835" i="1"/>
  <c r="D1835" i="1" s="1"/>
  <c r="B1836" i="1"/>
  <c r="D1836" i="1" s="1"/>
  <c r="B1837" i="1"/>
  <c r="D1837" i="1" s="1"/>
  <c r="B1838" i="1"/>
  <c r="D1838" i="1" s="1"/>
  <c r="B1839" i="1"/>
  <c r="D1839" i="1" s="1"/>
  <c r="B1840" i="1"/>
  <c r="D1840" i="1" s="1"/>
  <c r="B1841" i="1"/>
  <c r="D1841" i="1" s="1"/>
  <c r="B1842" i="1"/>
  <c r="D1842" i="1" s="1"/>
  <c r="B1843" i="1"/>
  <c r="D1843" i="1" s="1"/>
  <c r="B1844" i="1"/>
  <c r="D1844" i="1" s="1"/>
  <c r="B1845" i="1"/>
  <c r="D1845" i="1" s="1"/>
  <c r="B1846" i="1"/>
  <c r="D1846" i="1" s="1"/>
  <c r="B1847" i="1"/>
  <c r="D1847" i="1" s="1"/>
  <c r="B1848" i="1"/>
  <c r="D1848" i="1" s="1"/>
  <c r="B1849" i="1"/>
  <c r="D1849" i="1" s="1"/>
  <c r="B1850" i="1"/>
  <c r="D1850" i="1" s="1"/>
  <c r="B1851" i="1"/>
  <c r="D1851" i="1" s="1"/>
  <c r="B1852" i="1"/>
  <c r="D1852" i="1" s="1"/>
  <c r="B1853" i="1"/>
  <c r="D1853" i="1" s="1"/>
  <c r="B1854" i="1"/>
  <c r="D1854" i="1" s="1"/>
  <c r="B1855" i="1"/>
  <c r="D1855" i="1" s="1"/>
  <c r="B1856" i="1"/>
  <c r="D1856" i="1" s="1"/>
  <c r="B1857" i="1"/>
  <c r="D1857" i="1" s="1"/>
  <c r="B1858" i="1"/>
  <c r="D1858" i="1" s="1"/>
  <c r="B1859" i="1"/>
  <c r="D1859" i="1" s="1"/>
  <c r="B1860" i="1"/>
  <c r="D1860" i="1" s="1"/>
  <c r="B1861" i="1"/>
  <c r="D1861" i="1" s="1"/>
  <c r="B1862" i="1"/>
  <c r="D1862" i="1" s="1"/>
  <c r="B1863" i="1"/>
  <c r="D1863" i="1" s="1"/>
  <c r="B1864" i="1"/>
  <c r="D1864" i="1" s="1"/>
  <c r="B1865" i="1"/>
  <c r="D1865" i="1" s="1"/>
  <c r="B1866" i="1"/>
  <c r="D1866" i="1" s="1"/>
  <c r="B1867" i="1"/>
  <c r="D1867" i="1" s="1"/>
  <c r="B1868" i="1"/>
  <c r="D1868" i="1" s="1"/>
  <c r="B1869" i="1"/>
  <c r="D1869" i="1" s="1"/>
  <c r="B1870" i="1"/>
  <c r="D1870" i="1"/>
  <c r="B1871" i="1"/>
  <c r="D1871" i="1" s="1"/>
  <c r="B1872" i="1"/>
  <c r="D1872" i="1" s="1"/>
  <c r="B1873" i="1"/>
  <c r="D1873" i="1" s="1"/>
  <c r="B1874" i="1"/>
  <c r="D1874" i="1" s="1"/>
  <c r="B1875" i="1"/>
  <c r="D1875" i="1" s="1"/>
  <c r="B1876" i="1"/>
  <c r="D1876" i="1" s="1"/>
  <c r="B1877" i="1"/>
  <c r="D1877" i="1" s="1"/>
  <c r="B1878" i="1"/>
  <c r="D1878" i="1" s="1"/>
  <c r="B1879" i="1"/>
  <c r="D1879" i="1" s="1"/>
  <c r="B1880" i="1"/>
  <c r="D1880" i="1" s="1"/>
  <c r="B1881" i="1"/>
  <c r="D1881" i="1" s="1"/>
  <c r="B1882" i="1"/>
  <c r="D1882" i="1" s="1"/>
  <c r="B1883" i="1"/>
  <c r="D1883" i="1" s="1"/>
  <c r="B1884" i="1"/>
  <c r="D1884" i="1" s="1"/>
  <c r="B1885" i="1"/>
  <c r="D1885" i="1" s="1"/>
  <c r="B1886" i="1"/>
  <c r="D1886" i="1" s="1"/>
  <c r="B1887" i="1"/>
  <c r="D1887" i="1" s="1"/>
  <c r="B1888" i="1"/>
  <c r="D1888" i="1" s="1"/>
  <c r="B1889" i="1"/>
  <c r="D1889" i="1" s="1"/>
  <c r="B1890" i="1"/>
  <c r="D1890" i="1" s="1"/>
  <c r="B1891" i="1"/>
  <c r="D1891" i="1" s="1"/>
  <c r="B1892" i="1"/>
  <c r="D1892" i="1" s="1"/>
  <c r="B1893" i="1"/>
  <c r="D1893" i="1" s="1"/>
  <c r="B1894" i="1"/>
  <c r="D1894" i="1" s="1"/>
  <c r="B1895" i="1"/>
  <c r="D1895" i="1" s="1"/>
  <c r="B1896" i="1"/>
  <c r="D1896" i="1" s="1"/>
  <c r="B1897" i="1"/>
  <c r="D1897" i="1" s="1"/>
  <c r="B1898" i="1"/>
  <c r="D1898" i="1"/>
  <c r="B1899" i="1"/>
  <c r="D1899" i="1" s="1"/>
  <c r="B1900" i="1"/>
  <c r="D1900" i="1" s="1"/>
  <c r="B1901" i="1"/>
  <c r="D1901" i="1" s="1"/>
  <c r="B1902" i="1"/>
  <c r="D1902" i="1" s="1"/>
  <c r="B1903" i="1"/>
  <c r="D1903" i="1" s="1"/>
  <c r="B1904" i="1"/>
  <c r="D1904" i="1" s="1"/>
  <c r="B1905" i="1"/>
  <c r="D1905" i="1" s="1"/>
  <c r="B1906" i="1"/>
  <c r="D1906" i="1" s="1"/>
  <c r="B1907" i="1"/>
  <c r="D1907" i="1" s="1"/>
  <c r="B1908" i="1"/>
  <c r="D1908" i="1" s="1"/>
  <c r="B1909" i="1"/>
  <c r="D1909" i="1" s="1"/>
  <c r="B1910" i="1"/>
  <c r="D1910" i="1" s="1"/>
  <c r="B1911" i="1"/>
  <c r="D1911" i="1" s="1"/>
  <c r="B1912" i="1"/>
  <c r="D1912" i="1" s="1"/>
  <c r="B1913" i="1"/>
  <c r="D1913" i="1" s="1"/>
  <c r="B1914" i="1"/>
  <c r="D1914" i="1" s="1"/>
  <c r="B1915" i="1"/>
  <c r="D1915" i="1" s="1"/>
  <c r="B1916" i="1"/>
  <c r="D1916" i="1" s="1"/>
  <c r="B1917" i="1"/>
  <c r="D1917" i="1" s="1"/>
  <c r="B1918" i="1"/>
  <c r="D1918" i="1" s="1"/>
  <c r="B1919" i="1"/>
  <c r="D1919" i="1" s="1"/>
  <c r="B1920" i="1"/>
  <c r="D1920" i="1" s="1"/>
  <c r="B1921" i="1"/>
  <c r="D1921" i="1" s="1"/>
  <c r="B1922" i="1"/>
  <c r="D1922" i="1" s="1"/>
  <c r="B1923" i="1"/>
  <c r="D1923" i="1" s="1"/>
  <c r="B1924" i="1"/>
  <c r="D1924" i="1" s="1"/>
  <c r="B1925" i="1"/>
  <c r="D1925" i="1" s="1"/>
  <c r="B1926" i="1"/>
  <c r="D1926" i="1" s="1"/>
  <c r="B1927" i="1"/>
  <c r="D1927" i="1" s="1"/>
  <c r="B1928" i="1"/>
  <c r="D1928" i="1" s="1"/>
  <c r="B1929" i="1"/>
  <c r="D1929" i="1" s="1"/>
  <c r="B1930" i="1"/>
  <c r="D1930" i="1" s="1"/>
  <c r="B1931" i="1"/>
  <c r="D1931" i="1" s="1"/>
  <c r="B1932" i="1"/>
  <c r="D1932" i="1" s="1"/>
  <c r="B1933" i="1"/>
  <c r="D1933" i="1" s="1"/>
  <c r="B1934" i="1"/>
  <c r="D1934" i="1" s="1"/>
  <c r="B1935" i="1"/>
  <c r="D1935" i="1" s="1"/>
  <c r="B1936" i="1"/>
  <c r="D1936" i="1" s="1"/>
  <c r="B1937" i="1"/>
  <c r="D1937" i="1" s="1"/>
  <c r="B1938" i="1"/>
  <c r="D1938" i="1" s="1"/>
  <c r="B1939" i="1"/>
  <c r="D1939" i="1" s="1"/>
  <c r="B1940" i="1"/>
  <c r="D1940" i="1" s="1"/>
  <c r="B1941" i="1"/>
  <c r="D1941" i="1" s="1"/>
  <c r="B1942" i="1"/>
  <c r="D1942" i="1" s="1"/>
  <c r="B1943" i="1"/>
  <c r="D1943" i="1" s="1"/>
  <c r="B1944" i="1"/>
  <c r="D1944" i="1" s="1"/>
  <c r="B1945" i="1"/>
  <c r="D1945" i="1" s="1"/>
  <c r="B1946" i="1"/>
  <c r="D1946" i="1" s="1"/>
  <c r="B1947" i="1"/>
  <c r="D1947" i="1" s="1"/>
  <c r="B1948" i="1"/>
  <c r="D1948" i="1" s="1"/>
  <c r="B1949" i="1"/>
  <c r="D1949" i="1" s="1"/>
  <c r="B1950" i="1"/>
  <c r="D1950" i="1" s="1"/>
  <c r="B1951" i="1"/>
  <c r="D1951" i="1" s="1"/>
  <c r="B1952" i="1"/>
  <c r="D1952" i="1" s="1"/>
  <c r="B1953" i="1"/>
  <c r="D1953" i="1" s="1"/>
  <c r="B1954" i="1"/>
  <c r="D1954" i="1" s="1"/>
  <c r="B1955" i="1"/>
  <c r="D1955" i="1" s="1"/>
  <c r="B1956" i="1"/>
  <c r="D1956" i="1" s="1"/>
  <c r="B1957" i="1"/>
  <c r="D1957" i="1" s="1"/>
  <c r="B1958" i="1"/>
  <c r="D1958" i="1" s="1"/>
  <c r="B1959" i="1"/>
  <c r="D1959" i="1" s="1"/>
  <c r="B1960" i="1"/>
  <c r="D1960" i="1" s="1"/>
  <c r="B1961" i="1"/>
  <c r="D1961" i="1" s="1"/>
  <c r="B1962" i="1"/>
  <c r="D1962" i="1" s="1"/>
  <c r="B1963" i="1"/>
  <c r="D1963" i="1" s="1"/>
  <c r="B1964" i="1"/>
  <c r="D1964" i="1" s="1"/>
  <c r="B1965" i="1"/>
  <c r="D1965" i="1" s="1"/>
  <c r="B1966" i="1"/>
  <c r="D1966" i="1" s="1"/>
  <c r="B1967" i="1"/>
  <c r="D1967" i="1" s="1"/>
  <c r="B1968" i="1"/>
  <c r="D1968" i="1" s="1"/>
  <c r="B1969" i="1"/>
  <c r="D1969" i="1" s="1"/>
  <c r="B1970" i="1"/>
  <c r="D1970" i="1" s="1"/>
  <c r="B1971" i="1"/>
  <c r="D1971" i="1" s="1"/>
  <c r="B1972" i="1"/>
  <c r="D1972" i="1" s="1"/>
  <c r="B1973" i="1"/>
  <c r="D1973" i="1" s="1"/>
  <c r="B1974" i="1"/>
  <c r="D1974" i="1" s="1"/>
  <c r="B1975" i="1"/>
  <c r="D1975" i="1" s="1"/>
  <c r="B1976" i="1"/>
  <c r="D1976" i="1" s="1"/>
  <c r="B1977" i="1"/>
  <c r="D1977" i="1" s="1"/>
  <c r="B1978" i="1"/>
  <c r="D1978" i="1" s="1"/>
  <c r="B1979" i="1"/>
  <c r="D1979" i="1" s="1"/>
  <c r="B1980" i="1"/>
  <c r="D1980" i="1" s="1"/>
  <c r="B1981" i="1"/>
  <c r="D1981" i="1" s="1"/>
  <c r="B1982" i="1"/>
  <c r="D1982" i="1" s="1"/>
  <c r="B1983" i="1"/>
  <c r="D1983" i="1" s="1"/>
  <c r="B1984" i="1"/>
  <c r="D1984" i="1" s="1"/>
  <c r="B1985" i="1"/>
  <c r="D1985" i="1" s="1"/>
  <c r="B1986" i="1"/>
  <c r="D1986" i="1" s="1"/>
  <c r="B1987" i="1"/>
  <c r="D1987" i="1" s="1"/>
  <c r="B1988" i="1"/>
  <c r="D1988" i="1" s="1"/>
  <c r="B1989" i="1"/>
  <c r="D1989" i="1" s="1"/>
  <c r="B1990" i="1"/>
  <c r="D1990" i="1" s="1"/>
  <c r="B1991" i="1"/>
  <c r="D1991" i="1" s="1"/>
  <c r="B1992" i="1"/>
  <c r="D1992" i="1" s="1"/>
  <c r="B1993" i="1"/>
  <c r="D1993" i="1" s="1"/>
  <c r="B1994" i="1"/>
  <c r="D1994" i="1" s="1"/>
  <c r="B1995" i="1"/>
  <c r="D1995" i="1" s="1"/>
  <c r="B1996" i="1"/>
  <c r="D1996" i="1" s="1"/>
  <c r="B1997" i="1"/>
  <c r="D1997" i="1" s="1"/>
  <c r="B1998" i="1"/>
  <c r="D1998" i="1" s="1"/>
  <c r="B1999" i="1"/>
  <c r="D1999" i="1" s="1"/>
  <c r="B2000" i="1"/>
  <c r="D2000" i="1" s="1"/>
  <c r="B2001" i="1"/>
  <c r="D2001" i="1" s="1"/>
  <c r="B2002" i="1"/>
  <c r="D2002" i="1" s="1"/>
  <c r="B2003" i="1"/>
  <c r="D2003" i="1" s="1"/>
  <c r="B2004" i="1"/>
  <c r="D2004" i="1" s="1"/>
  <c r="B2005" i="1"/>
  <c r="D2005" i="1" s="1"/>
  <c r="B2006" i="1"/>
  <c r="D2006" i="1" s="1"/>
  <c r="B2007" i="1"/>
  <c r="D2007" i="1" s="1"/>
  <c r="B2008" i="1"/>
  <c r="D2008" i="1" s="1"/>
  <c r="B2009" i="1"/>
  <c r="D2009" i="1" s="1"/>
  <c r="B2010" i="1"/>
  <c r="D2010" i="1" s="1"/>
  <c r="B2011" i="1"/>
  <c r="D2011" i="1" s="1"/>
  <c r="B2012" i="1"/>
  <c r="D2012" i="1" s="1"/>
  <c r="B2013" i="1"/>
  <c r="D2013" i="1" s="1"/>
  <c r="B2014" i="1"/>
  <c r="D2014" i="1" s="1"/>
  <c r="B2015" i="1"/>
  <c r="D2015" i="1" s="1"/>
  <c r="B2016" i="1"/>
  <c r="D2016" i="1" s="1"/>
  <c r="B2017" i="1"/>
  <c r="D2017" i="1" s="1"/>
  <c r="B2018" i="1"/>
  <c r="D2018" i="1" s="1"/>
  <c r="B2019" i="1"/>
  <c r="D2019" i="1" s="1"/>
  <c r="B2020" i="1"/>
  <c r="D2020" i="1" s="1"/>
  <c r="B2021" i="1"/>
  <c r="D2021" i="1" s="1"/>
  <c r="B2022" i="1"/>
  <c r="D2022" i="1" s="1"/>
  <c r="B2023" i="1"/>
  <c r="D2023" i="1" s="1"/>
  <c r="B2024" i="1"/>
  <c r="D2024" i="1" s="1"/>
  <c r="B2025" i="1"/>
  <c r="D2025" i="1" s="1"/>
  <c r="B2026" i="1"/>
  <c r="D2026" i="1" s="1"/>
  <c r="B2027" i="1"/>
  <c r="D2027" i="1" s="1"/>
  <c r="B2028" i="1"/>
  <c r="D2028" i="1" s="1"/>
  <c r="B2029" i="1"/>
  <c r="D2029" i="1" s="1"/>
  <c r="B2030" i="1"/>
  <c r="D2030" i="1" s="1"/>
  <c r="B2031" i="1"/>
  <c r="D2031" i="1" s="1"/>
  <c r="B2032" i="1"/>
  <c r="D2032" i="1" s="1"/>
  <c r="B2033" i="1"/>
  <c r="D2033" i="1" s="1"/>
  <c r="B2034" i="1"/>
  <c r="D2034" i="1" s="1"/>
  <c r="B2035" i="1"/>
  <c r="D2035" i="1" s="1"/>
  <c r="B2036" i="1"/>
  <c r="D2036" i="1" s="1"/>
  <c r="B2037" i="1"/>
  <c r="D2037" i="1" s="1"/>
  <c r="B2038" i="1"/>
  <c r="D2038" i="1" s="1"/>
  <c r="B2039" i="1"/>
  <c r="D2039" i="1" s="1"/>
  <c r="B2040" i="1"/>
  <c r="D2040" i="1" s="1"/>
  <c r="B2041" i="1"/>
  <c r="D2041" i="1" s="1"/>
  <c r="B2042" i="1"/>
  <c r="D2042" i="1" s="1"/>
  <c r="B2043" i="1"/>
  <c r="D2043" i="1" s="1"/>
  <c r="B2044" i="1"/>
  <c r="D2044" i="1" s="1"/>
  <c r="B2045" i="1"/>
  <c r="D2045" i="1" s="1"/>
  <c r="B2046" i="1"/>
  <c r="D2046" i="1" s="1"/>
  <c r="B2047" i="1"/>
  <c r="D2047" i="1" s="1"/>
  <c r="B2048" i="1"/>
  <c r="D2048" i="1" s="1"/>
  <c r="B2049" i="1"/>
  <c r="D2049" i="1" s="1"/>
  <c r="B2050" i="1"/>
  <c r="D2050" i="1" s="1"/>
  <c r="B2051" i="1"/>
  <c r="D2051" i="1" s="1"/>
  <c r="B2052" i="1"/>
  <c r="D2052" i="1" s="1"/>
  <c r="B2053" i="1"/>
  <c r="D2053" i="1" s="1"/>
  <c r="B2054" i="1"/>
  <c r="D2054" i="1" s="1"/>
  <c r="B2055" i="1"/>
  <c r="D2055" i="1" s="1"/>
  <c r="B2056" i="1"/>
  <c r="D2056" i="1" s="1"/>
  <c r="B2057" i="1"/>
  <c r="D2057" i="1" s="1"/>
  <c r="B2058" i="1"/>
  <c r="D2058" i="1" s="1"/>
  <c r="B2059" i="1"/>
  <c r="D2059" i="1" s="1"/>
  <c r="B2060" i="1"/>
  <c r="D2060" i="1" s="1"/>
  <c r="B2061" i="1"/>
  <c r="D2061" i="1" s="1"/>
  <c r="B2062" i="1"/>
  <c r="D2062" i="1" s="1"/>
  <c r="B2063" i="1"/>
  <c r="D2063" i="1" s="1"/>
  <c r="B2064" i="1"/>
  <c r="D2064" i="1" s="1"/>
  <c r="B2065" i="1"/>
  <c r="D2065" i="1" s="1"/>
  <c r="B2066" i="1"/>
  <c r="D2066" i="1" s="1"/>
  <c r="B2067" i="1"/>
  <c r="D2067" i="1" s="1"/>
  <c r="B2068" i="1"/>
  <c r="D2068" i="1" s="1"/>
  <c r="B2069" i="1"/>
  <c r="D2069" i="1" s="1"/>
  <c r="B2070" i="1"/>
  <c r="D2070" i="1" s="1"/>
  <c r="B2071" i="1"/>
  <c r="D2071" i="1" s="1"/>
  <c r="B2072" i="1"/>
  <c r="D2072" i="1" s="1"/>
  <c r="B2073" i="1"/>
  <c r="D2073" i="1" s="1"/>
  <c r="B2074" i="1"/>
  <c r="D2074" i="1" s="1"/>
  <c r="B2075" i="1"/>
  <c r="D2075" i="1" s="1"/>
  <c r="B2076" i="1"/>
  <c r="D2076" i="1" s="1"/>
  <c r="B2077" i="1"/>
  <c r="D2077" i="1" s="1"/>
  <c r="B2078" i="1"/>
  <c r="D2078" i="1" s="1"/>
  <c r="B2079" i="1"/>
  <c r="D2079" i="1" s="1"/>
  <c r="B2080" i="1"/>
  <c r="D2080" i="1" s="1"/>
  <c r="B2081" i="1"/>
  <c r="D2081" i="1" s="1"/>
  <c r="B2082" i="1"/>
  <c r="D2082" i="1" s="1"/>
  <c r="B2083" i="1"/>
  <c r="D2083" i="1" s="1"/>
  <c r="B2084" i="1"/>
  <c r="D2084" i="1" s="1"/>
  <c r="B2085" i="1"/>
  <c r="D2085" i="1" s="1"/>
  <c r="B2086" i="1"/>
  <c r="D2086" i="1" s="1"/>
  <c r="B2087" i="1"/>
  <c r="D2087" i="1" s="1"/>
  <c r="B2088" i="1"/>
  <c r="D2088" i="1" s="1"/>
  <c r="B2089" i="1"/>
  <c r="D2089" i="1" s="1"/>
  <c r="B2090" i="1"/>
  <c r="D2090" i="1" s="1"/>
  <c r="B2091" i="1"/>
  <c r="D2091" i="1" s="1"/>
  <c r="B2092" i="1"/>
  <c r="D2092" i="1" s="1"/>
  <c r="B2093" i="1"/>
  <c r="D2093" i="1" s="1"/>
  <c r="B2094" i="1"/>
  <c r="D2094" i="1" s="1"/>
  <c r="B2095" i="1"/>
  <c r="D2095" i="1" s="1"/>
  <c r="B2096" i="1"/>
  <c r="D2096" i="1" s="1"/>
  <c r="B2097" i="1"/>
  <c r="D2097" i="1" s="1"/>
  <c r="B2098" i="1"/>
  <c r="D2098" i="1" s="1"/>
  <c r="B2099" i="1"/>
  <c r="D2099" i="1" s="1"/>
  <c r="B2100" i="1"/>
  <c r="D2100" i="1" s="1"/>
  <c r="B2101" i="1"/>
  <c r="D2101" i="1" s="1"/>
  <c r="B2102" i="1"/>
  <c r="D2102" i="1" s="1"/>
  <c r="B2103" i="1"/>
  <c r="D2103" i="1" s="1"/>
  <c r="B2104" i="1"/>
  <c r="D2104" i="1" s="1"/>
  <c r="B2105" i="1"/>
  <c r="D2105" i="1" s="1"/>
  <c r="B2106" i="1"/>
  <c r="D2106" i="1" s="1"/>
  <c r="B2107" i="1"/>
  <c r="D2107" i="1" s="1"/>
  <c r="B2108" i="1"/>
  <c r="D2108" i="1" s="1"/>
  <c r="B2109" i="1"/>
  <c r="D2109" i="1" s="1"/>
  <c r="B2110" i="1"/>
  <c r="D2110" i="1" s="1"/>
  <c r="B2111" i="1"/>
  <c r="D2111" i="1" s="1"/>
  <c r="B2112" i="1"/>
  <c r="D2112" i="1" s="1"/>
  <c r="B2113" i="1"/>
  <c r="D2113" i="1" s="1"/>
  <c r="B2114" i="1"/>
  <c r="D2114" i="1" s="1"/>
  <c r="B2115" i="1"/>
  <c r="D2115" i="1" s="1"/>
  <c r="B2116" i="1"/>
  <c r="D2116" i="1" s="1"/>
  <c r="B2117" i="1"/>
  <c r="D2117" i="1" s="1"/>
  <c r="B2118" i="1"/>
  <c r="D2118" i="1" s="1"/>
  <c r="B2119" i="1"/>
  <c r="D2119" i="1" s="1"/>
  <c r="B2120" i="1"/>
  <c r="D2120" i="1" s="1"/>
  <c r="B2121" i="1"/>
  <c r="D2121" i="1" s="1"/>
  <c r="B2122" i="1"/>
  <c r="D2122" i="1" s="1"/>
  <c r="B2123" i="1"/>
  <c r="D2123" i="1" s="1"/>
  <c r="B2124" i="1"/>
  <c r="D2124" i="1" s="1"/>
  <c r="B2125" i="1"/>
  <c r="D2125" i="1" s="1"/>
  <c r="B2126" i="1"/>
  <c r="D2126" i="1" s="1"/>
  <c r="B2127" i="1"/>
  <c r="D2127" i="1" s="1"/>
  <c r="B2128" i="1"/>
  <c r="D2128" i="1" s="1"/>
  <c r="B2129" i="1"/>
  <c r="D2129" i="1" s="1"/>
  <c r="B2130" i="1"/>
  <c r="D2130" i="1" s="1"/>
  <c r="B2131" i="1"/>
  <c r="D2131" i="1" s="1"/>
  <c r="B2132" i="1"/>
  <c r="D2132" i="1" s="1"/>
  <c r="B2133" i="1"/>
  <c r="D2133" i="1" s="1"/>
  <c r="B2134" i="1"/>
  <c r="D2134" i="1" s="1"/>
  <c r="B2135" i="1"/>
  <c r="D2135" i="1" s="1"/>
  <c r="B2136" i="1"/>
  <c r="D2136" i="1" s="1"/>
  <c r="B2137" i="1"/>
  <c r="D2137" i="1" s="1"/>
  <c r="B2138" i="1"/>
  <c r="D2138" i="1" s="1"/>
  <c r="B2139" i="1"/>
  <c r="D2139" i="1" s="1"/>
  <c r="B2140" i="1"/>
  <c r="D2140" i="1" s="1"/>
  <c r="B2141" i="1"/>
  <c r="D2141" i="1" s="1"/>
  <c r="B2142" i="1"/>
  <c r="D2142" i="1" s="1"/>
  <c r="B2143" i="1"/>
  <c r="D2143" i="1" s="1"/>
  <c r="B2144" i="1"/>
  <c r="D2144" i="1" s="1"/>
  <c r="B2145" i="1"/>
  <c r="D2145" i="1" s="1"/>
  <c r="B2146" i="1"/>
  <c r="D2146" i="1" s="1"/>
  <c r="B2147" i="1"/>
  <c r="D2147" i="1" s="1"/>
  <c r="B2148" i="1"/>
  <c r="D2148" i="1" s="1"/>
  <c r="B2149" i="1"/>
  <c r="D2149" i="1" s="1"/>
  <c r="B2150" i="1"/>
  <c r="D2150" i="1" s="1"/>
  <c r="B2151" i="1"/>
  <c r="D2151" i="1" s="1"/>
  <c r="B2152" i="1"/>
  <c r="D2152" i="1" s="1"/>
  <c r="B2153" i="1"/>
  <c r="D2153" i="1" s="1"/>
  <c r="B2154" i="1"/>
  <c r="D2154" i="1" s="1"/>
  <c r="B2155" i="1"/>
  <c r="D2155" i="1" s="1"/>
  <c r="B2156" i="1"/>
  <c r="D2156" i="1" s="1"/>
  <c r="B2157" i="1"/>
  <c r="D2157" i="1" s="1"/>
  <c r="B2158" i="1"/>
  <c r="D2158" i="1" s="1"/>
  <c r="B2159" i="1"/>
  <c r="D2159" i="1" s="1"/>
  <c r="B2160" i="1"/>
  <c r="D2160" i="1" s="1"/>
  <c r="B2161" i="1"/>
  <c r="D2161" i="1" s="1"/>
  <c r="B2162" i="1"/>
  <c r="D2162" i="1" s="1"/>
  <c r="B2163" i="1"/>
  <c r="D2163" i="1" s="1"/>
  <c r="B2164" i="1"/>
  <c r="D2164" i="1" s="1"/>
  <c r="B2165" i="1"/>
  <c r="D2165" i="1" s="1"/>
  <c r="B2166" i="1"/>
  <c r="D2166" i="1" s="1"/>
  <c r="B2167" i="1"/>
  <c r="D2167" i="1" s="1"/>
  <c r="B2168" i="1"/>
  <c r="D2168" i="1" s="1"/>
  <c r="B2169" i="1"/>
  <c r="D2169" i="1" s="1"/>
  <c r="B2170" i="1"/>
  <c r="D2170" i="1" s="1"/>
  <c r="B2171" i="1"/>
  <c r="D2171" i="1" s="1"/>
  <c r="B2172" i="1"/>
  <c r="D2172" i="1" s="1"/>
  <c r="B2173" i="1"/>
  <c r="D2173" i="1" s="1"/>
  <c r="B2174" i="1"/>
  <c r="D2174" i="1" s="1"/>
  <c r="B2175" i="1"/>
  <c r="D2175" i="1" s="1"/>
  <c r="B2176" i="1"/>
  <c r="D2176" i="1" s="1"/>
  <c r="B2177" i="1"/>
  <c r="D2177" i="1" s="1"/>
  <c r="B2178" i="1"/>
  <c r="D2178" i="1" s="1"/>
  <c r="B2179" i="1"/>
  <c r="D2179" i="1" s="1"/>
  <c r="B2180" i="1"/>
  <c r="D2180" i="1" s="1"/>
  <c r="B2181" i="1"/>
  <c r="D2181" i="1" s="1"/>
  <c r="B2182" i="1"/>
  <c r="D2182" i="1" s="1"/>
  <c r="B2183" i="1"/>
  <c r="D2183" i="1" s="1"/>
  <c r="B2184" i="1"/>
  <c r="D2184" i="1" s="1"/>
  <c r="B2185" i="1"/>
  <c r="D2185" i="1" s="1"/>
  <c r="B2186" i="1"/>
  <c r="D2186" i="1" s="1"/>
  <c r="B2187" i="1"/>
  <c r="D2187" i="1" s="1"/>
  <c r="B2188" i="1"/>
  <c r="D2188" i="1" s="1"/>
  <c r="B2189" i="1"/>
  <c r="D2189" i="1" s="1"/>
  <c r="B2190" i="1"/>
  <c r="D2190" i="1" s="1"/>
  <c r="B2191" i="1"/>
  <c r="D2191" i="1" s="1"/>
  <c r="B2192" i="1"/>
  <c r="D2192" i="1" s="1"/>
  <c r="B2193" i="1"/>
  <c r="D2193" i="1" s="1"/>
  <c r="B2194" i="1"/>
  <c r="D2194" i="1" s="1"/>
  <c r="B2195" i="1"/>
  <c r="D2195" i="1" s="1"/>
  <c r="B2196" i="1"/>
  <c r="D2196" i="1" s="1"/>
  <c r="B2197" i="1"/>
  <c r="D2197" i="1" s="1"/>
  <c r="B2198" i="1"/>
  <c r="D2198" i="1" s="1"/>
  <c r="B2199" i="1"/>
  <c r="D2199" i="1" s="1"/>
  <c r="B2200" i="1"/>
  <c r="D2200" i="1" s="1"/>
  <c r="B2201" i="1"/>
  <c r="D2201" i="1" s="1"/>
  <c r="B2202" i="1"/>
  <c r="D2202" i="1" s="1"/>
  <c r="B2203" i="1"/>
  <c r="D2203" i="1" s="1"/>
  <c r="B2204" i="1"/>
  <c r="D2204" i="1" s="1"/>
  <c r="B2205" i="1"/>
  <c r="D2205" i="1" s="1"/>
  <c r="B2206" i="1"/>
  <c r="D2206" i="1" s="1"/>
  <c r="B2207" i="1"/>
  <c r="D2207" i="1" s="1"/>
  <c r="B2208" i="1"/>
  <c r="D2208" i="1" s="1"/>
  <c r="B2209" i="1"/>
  <c r="D2209" i="1" s="1"/>
  <c r="B2210" i="1"/>
  <c r="D2210" i="1" s="1"/>
  <c r="B2211" i="1"/>
  <c r="D2211" i="1" s="1"/>
  <c r="B2212" i="1"/>
  <c r="D2212" i="1" s="1"/>
  <c r="B2213" i="1"/>
  <c r="D2213" i="1" s="1"/>
  <c r="B2214" i="1"/>
  <c r="D2214" i="1" s="1"/>
  <c r="B2215" i="1"/>
  <c r="D2215" i="1" s="1"/>
  <c r="B2216" i="1"/>
  <c r="D2216" i="1" s="1"/>
  <c r="B2217" i="1"/>
  <c r="D2217" i="1" s="1"/>
  <c r="B2218" i="1"/>
  <c r="D2218" i="1" s="1"/>
  <c r="B2219" i="1"/>
  <c r="D2219" i="1" s="1"/>
  <c r="B2220" i="1"/>
  <c r="D2220" i="1" s="1"/>
  <c r="B2221" i="1"/>
  <c r="D2221" i="1" s="1"/>
  <c r="B2222" i="1"/>
  <c r="D2222" i="1" s="1"/>
  <c r="B2223" i="1"/>
  <c r="D2223" i="1" s="1"/>
  <c r="B2224" i="1"/>
  <c r="D2224" i="1" s="1"/>
  <c r="B2225" i="1"/>
  <c r="D2225" i="1" s="1"/>
  <c r="B2226" i="1"/>
  <c r="D2226" i="1" s="1"/>
  <c r="B2227" i="1"/>
  <c r="D2227" i="1" s="1"/>
  <c r="B2228" i="1"/>
  <c r="D2228" i="1" s="1"/>
  <c r="B2229" i="1"/>
  <c r="D2229" i="1" s="1"/>
  <c r="B2230" i="1"/>
  <c r="D2230" i="1" s="1"/>
  <c r="B2231" i="1"/>
  <c r="D2231" i="1" s="1"/>
  <c r="B2232" i="1"/>
  <c r="D2232" i="1" s="1"/>
  <c r="B2233" i="1"/>
  <c r="D2233" i="1" s="1"/>
  <c r="B2234" i="1"/>
  <c r="D2234" i="1" s="1"/>
  <c r="B2235" i="1"/>
  <c r="D2235" i="1" s="1"/>
  <c r="B2236" i="1"/>
  <c r="D2236" i="1" s="1"/>
  <c r="B2237" i="1"/>
  <c r="D2237" i="1" s="1"/>
  <c r="B2238" i="1"/>
  <c r="D2238" i="1" s="1"/>
  <c r="B2239" i="1"/>
  <c r="D2239" i="1" s="1"/>
  <c r="B2240" i="1"/>
  <c r="D2240" i="1" s="1"/>
  <c r="B2241" i="1"/>
  <c r="D2241" i="1" s="1"/>
  <c r="B2242" i="1"/>
  <c r="D2242" i="1" s="1"/>
  <c r="B2243" i="1"/>
  <c r="D2243" i="1" s="1"/>
  <c r="B2244" i="1"/>
  <c r="D2244" i="1" s="1"/>
  <c r="B2245" i="1"/>
  <c r="D2245" i="1" s="1"/>
  <c r="B2246" i="1"/>
  <c r="D2246" i="1" s="1"/>
  <c r="B2247" i="1"/>
  <c r="D2247" i="1" s="1"/>
  <c r="B2248" i="1"/>
  <c r="D2248" i="1" s="1"/>
  <c r="B2249" i="1"/>
  <c r="D2249" i="1" s="1"/>
  <c r="B2250" i="1"/>
  <c r="D2250" i="1" s="1"/>
  <c r="B2251" i="1"/>
  <c r="D2251" i="1" s="1"/>
  <c r="B2252" i="1"/>
  <c r="D2252" i="1" s="1"/>
  <c r="B2253" i="1"/>
  <c r="D2253" i="1" s="1"/>
  <c r="B2254" i="1"/>
  <c r="D2254" i="1" s="1"/>
  <c r="B2255" i="1"/>
  <c r="D2255" i="1" s="1"/>
  <c r="B2256" i="1"/>
  <c r="D2256" i="1" s="1"/>
  <c r="B2257" i="1"/>
  <c r="D2257" i="1" s="1"/>
  <c r="B2258" i="1"/>
  <c r="D2258" i="1" s="1"/>
  <c r="B2259" i="1"/>
  <c r="D2259" i="1" s="1"/>
  <c r="B2260" i="1"/>
  <c r="D2260" i="1" s="1"/>
  <c r="B2261" i="1"/>
  <c r="D2261" i="1" s="1"/>
  <c r="B2262" i="1"/>
  <c r="D2262" i="1" s="1"/>
  <c r="B2263" i="1"/>
  <c r="D2263" i="1" s="1"/>
  <c r="B2264" i="1"/>
  <c r="D2264" i="1" s="1"/>
  <c r="B2265" i="1"/>
  <c r="D2265" i="1" s="1"/>
  <c r="B2266" i="1"/>
  <c r="D2266" i="1" s="1"/>
  <c r="B2267" i="1"/>
  <c r="D2267" i="1" s="1"/>
  <c r="B2268" i="1"/>
  <c r="D2268" i="1" s="1"/>
  <c r="B2269" i="1"/>
  <c r="D2269" i="1"/>
  <c r="B2270" i="1"/>
  <c r="D2270" i="1" s="1"/>
  <c r="B2271" i="1"/>
  <c r="D2271" i="1" s="1"/>
  <c r="B2272" i="1"/>
  <c r="D2272" i="1" s="1"/>
  <c r="B2273" i="1"/>
  <c r="D2273" i="1" s="1"/>
  <c r="B2274" i="1"/>
  <c r="D2274" i="1" s="1"/>
  <c r="B2275" i="1"/>
  <c r="D2275" i="1" s="1"/>
  <c r="B2276" i="1"/>
  <c r="D2276" i="1" s="1"/>
  <c r="B2277" i="1"/>
  <c r="D2277" i="1" s="1"/>
  <c r="B2278" i="1"/>
  <c r="D2278" i="1" s="1"/>
  <c r="B2279" i="1"/>
  <c r="D2279" i="1" s="1"/>
  <c r="B2280" i="1"/>
  <c r="D2280" i="1" s="1"/>
  <c r="B2281" i="1"/>
  <c r="D2281" i="1" s="1"/>
  <c r="B2282" i="1"/>
  <c r="D2282" i="1" s="1"/>
  <c r="B2283" i="1"/>
  <c r="D2283" i="1" s="1"/>
  <c r="B2284" i="1"/>
  <c r="D2284" i="1" s="1"/>
  <c r="B2285" i="1"/>
  <c r="D2285" i="1" s="1"/>
  <c r="B2286" i="1"/>
  <c r="D2286" i="1" s="1"/>
  <c r="B2287" i="1"/>
  <c r="D2287" i="1" s="1"/>
  <c r="B2288" i="1"/>
  <c r="D2288" i="1" s="1"/>
  <c r="B2289" i="1"/>
  <c r="D2289" i="1"/>
  <c r="B2290" i="1"/>
  <c r="D2290" i="1" s="1"/>
  <c r="B2291" i="1"/>
  <c r="D2291" i="1" s="1"/>
  <c r="B2292" i="1"/>
  <c r="D2292" i="1" s="1"/>
  <c r="B2293" i="1"/>
  <c r="D2293" i="1" s="1"/>
  <c r="B2294" i="1"/>
  <c r="D2294" i="1" s="1"/>
  <c r="B2295" i="1"/>
  <c r="D2295" i="1" s="1"/>
  <c r="B2296" i="1"/>
  <c r="D2296" i="1" s="1"/>
  <c r="B2297" i="1"/>
  <c r="D2297" i="1" s="1"/>
  <c r="B2298" i="1"/>
  <c r="D2298" i="1" s="1"/>
  <c r="B2299" i="1"/>
  <c r="D2299" i="1" s="1"/>
  <c r="B2300" i="1"/>
  <c r="D2300" i="1" s="1"/>
  <c r="B2301" i="1"/>
  <c r="D2301" i="1" s="1"/>
  <c r="B2302" i="1"/>
  <c r="D2302" i="1" s="1"/>
  <c r="B2303" i="1"/>
  <c r="D2303" i="1" s="1"/>
  <c r="B2304" i="1"/>
  <c r="D2304" i="1" s="1"/>
  <c r="B2305" i="1"/>
  <c r="D2305" i="1" s="1"/>
  <c r="B2306" i="1"/>
  <c r="D2306" i="1" s="1"/>
  <c r="B2307" i="1"/>
  <c r="D2307" i="1" s="1"/>
  <c r="B2308" i="1"/>
  <c r="D2308" i="1" s="1"/>
  <c r="B2309" i="1"/>
  <c r="D2309" i="1" s="1"/>
  <c r="B2310" i="1"/>
  <c r="D2310" i="1" s="1"/>
  <c r="B2311" i="1"/>
  <c r="D2311" i="1" s="1"/>
  <c r="B2312" i="1"/>
  <c r="D2312" i="1" s="1"/>
  <c r="B2313" i="1"/>
  <c r="D2313" i="1" s="1"/>
  <c r="B2314" i="1"/>
  <c r="D2314" i="1" s="1"/>
  <c r="B2315" i="1"/>
  <c r="D2315" i="1" s="1"/>
  <c r="B2316" i="1"/>
  <c r="D2316" i="1" s="1"/>
  <c r="B2317" i="1"/>
  <c r="D2317" i="1" s="1"/>
  <c r="B2318" i="1"/>
  <c r="D2318" i="1" s="1"/>
  <c r="B2319" i="1"/>
  <c r="D2319" i="1" s="1"/>
  <c r="B2320" i="1"/>
  <c r="D2320" i="1" s="1"/>
  <c r="B2321" i="1"/>
  <c r="D2321" i="1" s="1"/>
  <c r="B2322" i="1"/>
  <c r="D2322" i="1" s="1"/>
  <c r="B2323" i="1"/>
  <c r="D2323" i="1" s="1"/>
  <c r="B2324" i="1"/>
  <c r="D2324" i="1" s="1"/>
  <c r="B2325" i="1"/>
  <c r="D2325" i="1" s="1"/>
  <c r="B2326" i="1"/>
  <c r="D2326" i="1" s="1"/>
  <c r="B2327" i="1"/>
  <c r="D2327" i="1" s="1"/>
  <c r="B2328" i="1"/>
  <c r="D2328" i="1" s="1"/>
  <c r="B2329" i="1"/>
  <c r="D2329" i="1" s="1"/>
  <c r="B2330" i="1"/>
  <c r="D2330" i="1" s="1"/>
  <c r="B2331" i="1"/>
  <c r="D2331" i="1" s="1"/>
  <c r="B2332" i="1"/>
  <c r="D2332" i="1" s="1"/>
  <c r="B2333" i="1"/>
  <c r="D2333" i="1" s="1"/>
  <c r="B2334" i="1"/>
  <c r="D2334" i="1" s="1"/>
  <c r="B2335" i="1"/>
  <c r="D2335" i="1" s="1"/>
  <c r="B2336" i="1"/>
  <c r="D2336" i="1" s="1"/>
  <c r="B2337" i="1"/>
  <c r="D2337" i="1" s="1"/>
  <c r="B2338" i="1"/>
  <c r="D2338" i="1" s="1"/>
  <c r="B2339" i="1"/>
  <c r="D2339" i="1" s="1"/>
  <c r="B2340" i="1"/>
  <c r="D2340" i="1" s="1"/>
  <c r="B2341" i="1"/>
  <c r="D2341" i="1" s="1"/>
  <c r="B2342" i="1"/>
  <c r="D2342" i="1" s="1"/>
  <c r="B2343" i="1"/>
  <c r="D2343" i="1" s="1"/>
  <c r="B2344" i="1"/>
  <c r="D2344" i="1" s="1"/>
  <c r="B2345" i="1"/>
  <c r="D2345" i="1" s="1"/>
  <c r="B2346" i="1"/>
  <c r="D2346" i="1" s="1"/>
  <c r="B2347" i="1"/>
  <c r="D2347" i="1" s="1"/>
  <c r="B2348" i="1"/>
  <c r="D2348" i="1" s="1"/>
  <c r="B2349" i="1"/>
  <c r="D2349" i="1" s="1"/>
  <c r="B2350" i="1"/>
  <c r="D2350" i="1" s="1"/>
  <c r="B2351" i="1"/>
  <c r="D2351" i="1" s="1"/>
  <c r="B2352" i="1"/>
  <c r="D2352" i="1" s="1"/>
  <c r="B2353" i="1"/>
  <c r="D2353" i="1" s="1"/>
  <c r="B2354" i="1"/>
  <c r="D2354" i="1" s="1"/>
  <c r="B2355" i="1"/>
  <c r="D2355" i="1" s="1"/>
  <c r="B2356" i="1"/>
  <c r="D2356" i="1" s="1"/>
  <c r="B2357" i="1"/>
  <c r="D2357" i="1" s="1"/>
  <c r="B2358" i="1"/>
  <c r="D2358" i="1" s="1"/>
  <c r="B2359" i="1"/>
  <c r="D2359" i="1" s="1"/>
  <c r="B2360" i="1"/>
  <c r="D2360" i="1" s="1"/>
  <c r="B2361" i="1"/>
  <c r="D2361" i="1" s="1"/>
  <c r="B2362" i="1"/>
  <c r="D2362" i="1" s="1"/>
  <c r="B2363" i="1"/>
  <c r="D2363" i="1" s="1"/>
  <c r="B2364" i="1"/>
  <c r="D2364" i="1" s="1"/>
  <c r="B2365" i="1"/>
  <c r="D2365" i="1" s="1"/>
  <c r="B2366" i="1"/>
  <c r="D2366" i="1" s="1"/>
  <c r="B2367" i="1"/>
  <c r="D2367" i="1" s="1"/>
  <c r="B2368" i="1"/>
  <c r="D2368" i="1" s="1"/>
  <c r="B2369" i="1"/>
  <c r="D2369" i="1" s="1"/>
  <c r="B2370" i="1"/>
  <c r="D2370" i="1" s="1"/>
  <c r="B2371" i="1"/>
  <c r="D2371" i="1" s="1"/>
  <c r="B2372" i="1"/>
  <c r="D2372" i="1" s="1"/>
  <c r="B2373" i="1"/>
  <c r="D2373" i="1" s="1"/>
  <c r="B2374" i="1"/>
  <c r="D2374" i="1" s="1"/>
  <c r="B2375" i="1"/>
  <c r="D2375" i="1" s="1"/>
  <c r="B2376" i="1"/>
  <c r="D2376" i="1" s="1"/>
  <c r="B2377" i="1"/>
  <c r="D2377" i="1" s="1"/>
  <c r="B2378" i="1"/>
  <c r="D2378" i="1" s="1"/>
  <c r="B2379" i="1"/>
  <c r="D2379" i="1" s="1"/>
  <c r="B2380" i="1"/>
  <c r="D2380" i="1" s="1"/>
  <c r="B2381" i="1"/>
  <c r="D2381" i="1" s="1"/>
  <c r="B2382" i="1"/>
  <c r="D2382" i="1" s="1"/>
  <c r="B2383" i="1"/>
  <c r="D2383" i="1" s="1"/>
  <c r="B2384" i="1"/>
  <c r="D2384" i="1" s="1"/>
  <c r="B2385" i="1"/>
  <c r="D2385" i="1" s="1"/>
  <c r="B2386" i="1"/>
  <c r="D2386" i="1" s="1"/>
  <c r="B2387" i="1"/>
  <c r="D2387" i="1" s="1"/>
  <c r="B2388" i="1"/>
  <c r="D2388" i="1" s="1"/>
  <c r="B2389" i="1"/>
  <c r="D2389" i="1" s="1"/>
  <c r="B2390" i="1"/>
  <c r="D2390" i="1" s="1"/>
  <c r="B2391" i="1"/>
  <c r="D2391" i="1" s="1"/>
  <c r="B2392" i="1"/>
  <c r="D2392" i="1" s="1"/>
  <c r="B2393" i="1"/>
  <c r="D2393" i="1" s="1"/>
  <c r="B2394" i="1"/>
  <c r="D2394" i="1" s="1"/>
  <c r="B2395" i="1"/>
  <c r="D2395" i="1"/>
  <c r="B2396" i="1"/>
  <c r="D2396" i="1" s="1"/>
  <c r="B2397" i="1"/>
  <c r="D2397" i="1" s="1"/>
  <c r="B2398" i="1"/>
  <c r="D2398" i="1" s="1"/>
  <c r="B2399" i="1"/>
  <c r="D2399" i="1" s="1"/>
  <c r="B2400" i="1"/>
  <c r="D2400" i="1" s="1"/>
  <c r="B2401" i="1"/>
  <c r="D2401" i="1" s="1"/>
  <c r="B2402" i="1"/>
  <c r="D2402" i="1" s="1"/>
  <c r="B2403" i="1"/>
  <c r="D2403" i="1" s="1"/>
  <c r="B2404" i="1"/>
  <c r="D2404" i="1" s="1"/>
  <c r="B2405" i="1"/>
  <c r="D2405" i="1" s="1"/>
  <c r="B2406" i="1"/>
  <c r="D2406" i="1" s="1"/>
  <c r="B2407" i="1"/>
  <c r="D2407" i="1" s="1"/>
  <c r="B2408" i="1"/>
  <c r="D2408" i="1" s="1"/>
  <c r="B2409" i="1"/>
  <c r="D2409" i="1" s="1"/>
  <c r="B2410" i="1"/>
  <c r="D2410" i="1" s="1"/>
  <c r="B2411" i="1"/>
  <c r="D2411" i="1" s="1"/>
  <c r="B2412" i="1"/>
  <c r="D2412" i="1" s="1"/>
  <c r="B2413" i="1"/>
  <c r="D2413" i="1" s="1"/>
  <c r="B2414" i="1"/>
  <c r="D2414" i="1" s="1"/>
  <c r="B2415" i="1"/>
  <c r="D2415" i="1" s="1"/>
  <c r="B2416" i="1"/>
  <c r="D2416" i="1" s="1"/>
  <c r="B2417" i="1"/>
  <c r="D2417" i="1" s="1"/>
  <c r="B2418" i="1"/>
  <c r="D2418" i="1" s="1"/>
  <c r="B2419" i="1"/>
  <c r="D2419" i="1" s="1"/>
  <c r="B2420" i="1"/>
  <c r="D2420" i="1" s="1"/>
  <c r="B2421" i="1"/>
  <c r="D2421" i="1" s="1"/>
  <c r="B2422" i="1"/>
  <c r="D2422" i="1" s="1"/>
  <c r="B2423" i="1"/>
  <c r="D2423" i="1" s="1"/>
  <c r="B2424" i="1"/>
  <c r="D2424" i="1" s="1"/>
  <c r="B2425" i="1"/>
  <c r="D2425" i="1" s="1"/>
  <c r="B2426" i="1"/>
  <c r="D2426" i="1" s="1"/>
  <c r="B2427" i="1"/>
  <c r="D2427" i="1" s="1"/>
  <c r="B2428" i="1"/>
  <c r="D2428" i="1" s="1"/>
  <c r="B2429" i="1"/>
  <c r="D2429" i="1" s="1"/>
  <c r="B2430" i="1"/>
  <c r="D2430" i="1" s="1"/>
  <c r="B2431" i="1"/>
  <c r="D2431" i="1" s="1"/>
  <c r="B2432" i="1"/>
  <c r="D2432" i="1" s="1"/>
  <c r="B2433" i="1"/>
  <c r="D2433" i="1" s="1"/>
  <c r="B2434" i="1"/>
  <c r="D2434" i="1" s="1"/>
  <c r="B2435" i="1"/>
  <c r="D2435" i="1" s="1"/>
  <c r="B2436" i="1"/>
  <c r="D2436" i="1" s="1"/>
  <c r="B2437" i="1"/>
  <c r="D2437" i="1" s="1"/>
  <c r="B2438" i="1"/>
  <c r="D2438" i="1" s="1"/>
  <c r="B2439" i="1"/>
  <c r="D2439" i="1" s="1"/>
  <c r="B2440" i="1"/>
  <c r="D2440" i="1" s="1"/>
  <c r="B2441" i="1"/>
  <c r="D2441" i="1" s="1"/>
  <c r="B2442" i="1"/>
  <c r="D2442" i="1" s="1"/>
  <c r="B2443" i="1"/>
  <c r="D2443" i="1" s="1"/>
  <c r="B2444" i="1"/>
  <c r="D2444" i="1" s="1"/>
  <c r="B2445" i="1"/>
  <c r="D2445" i="1" s="1"/>
  <c r="B2446" i="1"/>
  <c r="D2446" i="1" s="1"/>
  <c r="B2447" i="1"/>
  <c r="D2447" i="1" s="1"/>
  <c r="B2448" i="1"/>
  <c r="D2448" i="1" s="1"/>
  <c r="B2449" i="1"/>
  <c r="D2449" i="1" s="1"/>
  <c r="B2450" i="1"/>
  <c r="D2450" i="1" s="1"/>
  <c r="B2451" i="1"/>
  <c r="D2451" i="1" s="1"/>
  <c r="B2452" i="1"/>
  <c r="D2452" i="1" s="1"/>
  <c r="B2453" i="1"/>
  <c r="D2453" i="1" s="1"/>
  <c r="B2454" i="1"/>
  <c r="D2454" i="1" s="1"/>
  <c r="B2455" i="1"/>
  <c r="D2455" i="1" s="1"/>
  <c r="B2456" i="1"/>
  <c r="D2456" i="1" s="1"/>
  <c r="B2457" i="1"/>
  <c r="D2457" i="1" s="1"/>
  <c r="B2458" i="1"/>
  <c r="D2458" i="1" s="1"/>
  <c r="B2459" i="1"/>
  <c r="D2459" i="1" s="1"/>
  <c r="B2460" i="1"/>
  <c r="D2460" i="1" s="1"/>
  <c r="B2461" i="1"/>
  <c r="D2461" i="1" s="1"/>
  <c r="B2462" i="1"/>
  <c r="D2462" i="1" s="1"/>
  <c r="B2463" i="1"/>
  <c r="D2463" i="1" s="1"/>
  <c r="B2464" i="1"/>
  <c r="D2464" i="1" s="1"/>
  <c r="B2465" i="1"/>
  <c r="D2465" i="1" s="1"/>
  <c r="B2466" i="1"/>
  <c r="D2466" i="1" s="1"/>
  <c r="B2467" i="1"/>
  <c r="D2467" i="1" s="1"/>
  <c r="B2468" i="1"/>
  <c r="D2468" i="1" s="1"/>
  <c r="B2469" i="1"/>
  <c r="D2469" i="1" s="1"/>
  <c r="B2470" i="1"/>
  <c r="D2470" i="1" s="1"/>
  <c r="B2471" i="1"/>
  <c r="D2471" i="1" s="1"/>
  <c r="B2472" i="1"/>
  <c r="D2472" i="1" s="1"/>
  <c r="B2473" i="1"/>
  <c r="D2473" i="1" s="1"/>
  <c r="B2474" i="1"/>
  <c r="D2474" i="1" s="1"/>
  <c r="B2475" i="1"/>
  <c r="D2475" i="1" s="1"/>
  <c r="B2476" i="1"/>
  <c r="D2476" i="1" s="1"/>
  <c r="B2477" i="1"/>
  <c r="D2477" i="1" s="1"/>
  <c r="B2478" i="1"/>
  <c r="D2478" i="1" s="1"/>
  <c r="B2479" i="1"/>
  <c r="D2479" i="1" s="1"/>
  <c r="B2480" i="1"/>
  <c r="D2480" i="1" s="1"/>
  <c r="B2481" i="1"/>
  <c r="D2481" i="1" s="1"/>
  <c r="B2482" i="1"/>
  <c r="D2482" i="1" s="1"/>
  <c r="B2483" i="1"/>
  <c r="D2483" i="1" s="1"/>
  <c r="B2484" i="1"/>
  <c r="D2484" i="1" s="1"/>
  <c r="B2485" i="1"/>
  <c r="D2485" i="1" s="1"/>
  <c r="B2486" i="1"/>
  <c r="D2486" i="1" s="1"/>
  <c r="B2487" i="1"/>
  <c r="D2487" i="1" s="1"/>
  <c r="B2488" i="1"/>
  <c r="D2488" i="1" s="1"/>
  <c r="B2489" i="1"/>
  <c r="D2489" i="1" s="1"/>
  <c r="B2490" i="1"/>
  <c r="D2490" i="1" s="1"/>
  <c r="B2491" i="1"/>
  <c r="D2491" i="1" s="1"/>
  <c r="B2492" i="1"/>
  <c r="D2492" i="1" s="1"/>
  <c r="B2493" i="1"/>
  <c r="D2493" i="1"/>
  <c r="B2494" i="1"/>
  <c r="D2494" i="1" s="1"/>
  <c r="B2495" i="1"/>
  <c r="D2495" i="1" s="1"/>
  <c r="B2496" i="1"/>
  <c r="D2496" i="1" s="1"/>
  <c r="B2497" i="1"/>
  <c r="D2497" i="1" s="1"/>
  <c r="B2498" i="1"/>
  <c r="D2498" i="1" s="1"/>
  <c r="B2499" i="1"/>
  <c r="D2499" i="1" s="1"/>
  <c r="B2500" i="1"/>
  <c r="D2500" i="1" s="1"/>
  <c r="B2501" i="1"/>
  <c r="D2501" i="1" s="1"/>
  <c r="B2502" i="1"/>
  <c r="D2502" i="1" s="1"/>
  <c r="B2503" i="1"/>
  <c r="D2503" i="1" s="1"/>
  <c r="B2504" i="1"/>
  <c r="D2504" i="1" s="1"/>
  <c r="B2505" i="1"/>
  <c r="D2505" i="1" s="1"/>
  <c r="B2506" i="1"/>
  <c r="D2506" i="1" s="1"/>
  <c r="B2507" i="1"/>
  <c r="D2507" i="1" s="1"/>
  <c r="B2508" i="1"/>
  <c r="D2508" i="1" s="1"/>
  <c r="B2509" i="1"/>
  <c r="D2509" i="1" s="1"/>
  <c r="B2510" i="1"/>
  <c r="D2510" i="1" s="1"/>
  <c r="B2511" i="1"/>
  <c r="D2511" i="1" s="1"/>
  <c r="B2512" i="1"/>
  <c r="D2512" i="1" s="1"/>
  <c r="B2513" i="1"/>
  <c r="D2513" i="1" s="1"/>
  <c r="B2514" i="1"/>
  <c r="D2514" i="1" s="1"/>
  <c r="B2515" i="1"/>
  <c r="D2515" i="1" s="1"/>
  <c r="B2516" i="1"/>
  <c r="D2516" i="1" s="1"/>
  <c r="B2517" i="1"/>
  <c r="D2517" i="1" s="1"/>
  <c r="B2518" i="1"/>
  <c r="D2518" i="1" s="1"/>
  <c r="B2519" i="1"/>
  <c r="D2519" i="1" s="1"/>
  <c r="B2520" i="1"/>
  <c r="D2520" i="1" s="1"/>
  <c r="B2521" i="1"/>
  <c r="D2521" i="1" s="1"/>
  <c r="B2522" i="1"/>
  <c r="D2522" i="1" s="1"/>
  <c r="B2523" i="1"/>
  <c r="D2523" i="1" s="1"/>
  <c r="B2524" i="1"/>
  <c r="D2524" i="1" s="1"/>
  <c r="B2525" i="1"/>
  <c r="D2525" i="1" s="1"/>
  <c r="B2526" i="1"/>
  <c r="D2526" i="1" s="1"/>
  <c r="B2527" i="1"/>
  <c r="D2527" i="1" s="1"/>
  <c r="B2528" i="1"/>
  <c r="D2528" i="1" s="1"/>
  <c r="B2529" i="1"/>
  <c r="D2529" i="1" s="1"/>
  <c r="B2530" i="1"/>
  <c r="D2530" i="1" s="1"/>
  <c r="B2531" i="1"/>
  <c r="D2531" i="1" s="1"/>
  <c r="B2532" i="1"/>
  <c r="D2532" i="1" s="1"/>
  <c r="B2533" i="1"/>
  <c r="D2533" i="1" s="1"/>
  <c r="B2534" i="1"/>
  <c r="D2534" i="1" s="1"/>
  <c r="B2535" i="1"/>
  <c r="D2535" i="1" s="1"/>
  <c r="B2536" i="1"/>
  <c r="D2536" i="1" s="1"/>
  <c r="B2537" i="1"/>
  <c r="D2537" i="1" s="1"/>
  <c r="B2538" i="1"/>
  <c r="D2538" i="1" s="1"/>
  <c r="B2539" i="1"/>
  <c r="D2539" i="1" s="1"/>
  <c r="B2540" i="1"/>
  <c r="D2540" i="1" s="1"/>
  <c r="B2541" i="1"/>
  <c r="D2541" i="1" s="1"/>
  <c r="B2542" i="1"/>
  <c r="D2542" i="1" s="1"/>
  <c r="B2543" i="1"/>
  <c r="D2543" i="1" s="1"/>
  <c r="B2544" i="1"/>
  <c r="D2544" i="1" s="1"/>
  <c r="B2545" i="1"/>
  <c r="D2545" i="1" s="1"/>
  <c r="B2546" i="1"/>
  <c r="D2546" i="1" s="1"/>
  <c r="B2547" i="1"/>
  <c r="D2547" i="1" s="1"/>
  <c r="B2548" i="1"/>
  <c r="D2548" i="1" s="1"/>
  <c r="B2549" i="1"/>
  <c r="D2549" i="1" s="1"/>
  <c r="B2550" i="1"/>
  <c r="D2550" i="1" s="1"/>
  <c r="B2551" i="1"/>
  <c r="D2551" i="1" s="1"/>
  <c r="B2552" i="1"/>
  <c r="D2552" i="1" s="1"/>
  <c r="B2553" i="1"/>
  <c r="D2553" i="1" s="1"/>
  <c r="B2554" i="1"/>
  <c r="D2554" i="1" s="1"/>
  <c r="B2555" i="1"/>
  <c r="D2555" i="1" s="1"/>
  <c r="B2556" i="1"/>
  <c r="D2556" i="1" s="1"/>
  <c r="B2557" i="1"/>
  <c r="D2557" i="1" s="1"/>
  <c r="B2558" i="1"/>
  <c r="D2558" i="1" s="1"/>
  <c r="B2559" i="1"/>
  <c r="D2559" i="1" s="1"/>
  <c r="B2560" i="1"/>
  <c r="D2560" i="1" s="1"/>
  <c r="B2561" i="1"/>
  <c r="D2561" i="1" s="1"/>
  <c r="B2562" i="1"/>
  <c r="D2562" i="1" s="1"/>
  <c r="B2563" i="1"/>
  <c r="D2563" i="1" s="1"/>
  <c r="B2564" i="1"/>
  <c r="D2564" i="1" s="1"/>
  <c r="B2565" i="1"/>
  <c r="D2565" i="1" s="1"/>
  <c r="B2566" i="1"/>
  <c r="D2566" i="1" s="1"/>
  <c r="B2567" i="1"/>
  <c r="D2567" i="1" s="1"/>
  <c r="B2568" i="1"/>
  <c r="D2568" i="1" s="1"/>
  <c r="B2569" i="1"/>
  <c r="D2569" i="1" s="1"/>
  <c r="B2570" i="1"/>
  <c r="D2570" i="1" s="1"/>
  <c r="B2571" i="1"/>
  <c r="D2571" i="1" s="1"/>
  <c r="B2572" i="1"/>
  <c r="D2572" i="1" s="1"/>
  <c r="B2573" i="1"/>
  <c r="D2573" i="1" s="1"/>
  <c r="B2574" i="1"/>
  <c r="D2574" i="1" s="1"/>
  <c r="B2575" i="1"/>
  <c r="D2575" i="1" s="1"/>
  <c r="B2576" i="1"/>
  <c r="D2576" i="1" s="1"/>
  <c r="B2577" i="1"/>
  <c r="D2577" i="1" s="1"/>
  <c r="B2578" i="1"/>
  <c r="D2578" i="1" s="1"/>
  <c r="B2579" i="1"/>
  <c r="D2579" i="1" s="1"/>
  <c r="B2580" i="1"/>
  <c r="D2580" i="1" s="1"/>
  <c r="B2581" i="1"/>
  <c r="D2581" i="1" s="1"/>
  <c r="B2582" i="1"/>
  <c r="D2582" i="1" s="1"/>
  <c r="B2583" i="1"/>
  <c r="D2583" i="1" s="1"/>
  <c r="B2584" i="1"/>
  <c r="D2584" i="1" s="1"/>
  <c r="B2585" i="1"/>
  <c r="D2585" i="1" s="1"/>
  <c r="B2586" i="1"/>
  <c r="D2586" i="1" s="1"/>
  <c r="B2587" i="1"/>
  <c r="D2587" i="1" s="1"/>
  <c r="B2588" i="1"/>
  <c r="D2588" i="1" s="1"/>
  <c r="B2589" i="1"/>
  <c r="D2589" i="1" s="1"/>
  <c r="B2590" i="1"/>
  <c r="D2590" i="1" s="1"/>
  <c r="B2591" i="1"/>
  <c r="D2591" i="1" s="1"/>
  <c r="B2592" i="1"/>
  <c r="D2592" i="1" s="1"/>
  <c r="B2593" i="1"/>
  <c r="D2593" i="1" s="1"/>
  <c r="B2594" i="1"/>
  <c r="D2594" i="1" s="1"/>
  <c r="B2595" i="1"/>
  <c r="D2595" i="1" s="1"/>
  <c r="B2596" i="1"/>
  <c r="D2596" i="1" s="1"/>
  <c r="B2597" i="1"/>
  <c r="D2597" i="1" s="1"/>
  <c r="B2598" i="1"/>
  <c r="D2598" i="1" s="1"/>
  <c r="B2599" i="1"/>
  <c r="D2599" i="1" s="1"/>
  <c r="B2600" i="1"/>
  <c r="D2600" i="1" s="1"/>
  <c r="B2601" i="1"/>
  <c r="D2601" i="1" s="1"/>
  <c r="B2602" i="1"/>
  <c r="D2602" i="1" s="1"/>
  <c r="B2603" i="1"/>
  <c r="D2603" i="1" s="1"/>
  <c r="B2604" i="1"/>
  <c r="D2604" i="1" s="1"/>
  <c r="B2605" i="1"/>
  <c r="D2605" i="1" s="1"/>
  <c r="B2606" i="1"/>
  <c r="D2606" i="1" s="1"/>
  <c r="B2607" i="1"/>
  <c r="D2607" i="1" s="1"/>
  <c r="B2608" i="1"/>
  <c r="D2608" i="1" s="1"/>
  <c r="B2609" i="1"/>
  <c r="D2609" i="1" s="1"/>
  <c r="B2610" i="1"/>
  <c r="D2610" i="1" s="1"/>
  <c r="B2611" i="1"/>
  <c r="D2611" i="1" s="1"/>
  <c r="B2612" i="1"/>
  <c r="D2612" i="1" s="1"/>
  <c r="B2613" i="1"/>
  <c r="D2613" i="1" s="1"/>
  <c r="B2614" i="1"/>
  <c r="D2614" i="1" s="1"/>
  <c r="B2615" i="1"/>
  <c r="D2615" i="1" s="1"/>
  <c r="B2616" i="1"/>
  <c r="D2616" i="1" s="1"/>
  <c r="B2617" i="1"/>
  <c r="D2617" i="1" s="1"/>
  <c r="B2618" i="1"/>
  <c r="D2618" i="1" s="1"/>
  <c r="B2619" i="1"/>
  <c r="D2619" i="1" s="1"/>
  <c r="B2620" i="1"/>
  <c r="D2620" i="1" s="1"/>
  <c r="B2621" i="1"/>
  <c r="D2621" i="1" s="1"/>
  <c r="B2622" i="1"/>
  <c r="D2622" i="1" s="1"/>
  <c r="B2623" i="1"/>
  <c r="D2623" i="1" s="1"/>
  <c r="B2624" i="1"/>
  <c r="D2624" i="1" s="1"/>
  <c r="B2625" i="1"/>
  <c r="D2625" i="1" s="1"/>
  <c r="B2626" i="1"/>
  <c r="D2626" i="1" s="1"/>
  <c r="B2627" i="1"/>
  <c r="D2627" i="1" s="1"/>
  <c r="B2628" i="1"/>
  <c r="D2628" i="1" s="1"/>
  <c r="B2629" i="1"/>
  <c r="D2629" i="1" s="1"/>
  <c r="B2630" i="1"/>
  <c r="D2630" i="1" s="1"/>
  <c r="B2631" i="1"/>
  <c r="D2631" i="1" s="1"/>
  <c r="B2632" i="1"/>
  <c r="D2632" i="1" s="1"/>
  <c r="B2633" i="1"/>
  <c r="D2633" i="1" s="1"/>
  <c r="B2634" i="1"/>
  <c r="D2634" i="1" s="1"/>
  <c r="B2635" i="1"/>
  <c r="D2635" i="1" s="1"/>
  <c r="B2636" i="1"/>
  <c r="D2636" i="1" s="1"/>
  <c r="B2637" i="1"/>
  <c r="D2637" i="1" s="1"/>
  <c r="B2638" i="1"/>
  <c r="D2638" i="1" s="1"/>
  <c r="B2639" i="1"/>
  <c r="D2639" i="1" s="1"/>
  <c r="B2640" i="1"/>
  <c r="D2640" i="1" s="1"/>
  <c r="B2641" i="1"/>
  <c r="D2641" i="1" s="1"/>
  <c r="B2642" i="1"/>
  <c r="D2642" i="1" s="1"/>
  <c r="B2643" i="1"/>
  <c r="D2643" i="1" s="1"/>
  <c r="B2644" i="1"/>
  <c r="D2644" i="1" s="1"/>
  <c r="B2645" i="1"/>
  <c r="D2645" i="1" s="1"/>
  <c r="B2646" i="1"/>
  <c r="D2646" i="1" s="1"/>
  <c r="B2647" i="1"/>
  <c r="D2647" i="1" s="1"/>
  <c r="B2648" i="1"/>
  <c r="D2648" i="1" s="1"/>
  <c r="B2649" i="1"/>
  <c r="D2649" i="1" s="1"/>
  <c r="B2650" i="1"/>
  <c r="D2650" i="1" s="1"/>
  <c r="B2651" i="1"/>
  <c r="D2651" i="1" s="1"/>
  <c r="B2652" i="1"/>
  <c r="D2652" i="1" s="1"/>
  <c r="B2653" i="1"/>
  <c r="D2653" i="1" s="1"/>
  <c r="B2654" i="1"/>
  <c r="D2654" i="1" s="1"/>
  <c r="B2655" i="1"/>
  <c r="D2655" i="1" s="1"/>
  <c r="B2656" i="1"/>
  <c r="D2656" i="1" s="1"/>
  <c r="B2657" i="1"/>
  <c r="D2657" i="1" s="1"/>
  <c r="B2658" i="1"/>
  <c r="D2658" i="1" s="1"/>
  <c r="B2659" i="1"/>
  <c r="D2659" i="1" s="1"/>
  <c r="B2660" i="1"/>
  <c r="D2660" i="1" s="1"/>
  <c r="B2661" i="1"/>
  <c r="D2661" i="1" s="1"/>
  <c r="B2662" i="1"/>
  <c r="D2662" i="1" s="1"/>
  <c r="B2663" i="1"/>
  <c r="D2663" i="1" s="1"/>
  <c r="B2664" i="1"/>
  <c r="D2664" i="1" s="1"/>
  <c r="B2665" i="1"/>
  <c r="D2665" i="1" s="1"/>
  <c r="B2666" i="1"/>
  <c r="D2666" i="1" s="1"/>
  <c r="B2667" i="1"/>
  <c r="D2667" i="1" s="1"/>
  <c r="B2668" i="1"/>
  <c r="D2668" i="1" s="1"/>
  <c r="B2669" i="1"/>
  <c r="D2669" i="1" s="1"/>
  <c r="B2670" i="1"/>
  <c r="D2670" i="1" s="1"/>
  <c r="B2671" i="1"/>
  <c r="D2671" i="1" s="1"/>
  <c r="B2672" i="1"/>
  <c r="D2672" i="1" s="1"/>
  <c r="B2673" i="1"/>
  <c r="D2673" i="1" s="1"/>
  <c r="B2674" i="1"/>
  <c r="D2674" i="1" s="1"/>
  <c r="B2675" i="1"/>
  <c r="D2675" i="1" s="1"/>
  <c r="B2676" i="1"/>
  <c r="D2676" i="1" s="1"/>
  <c r="B2677" i="1"/>
  <c r="D2677" i="1" s="1"/>
  <c r="B2678" i="1"/>
  <c r="D2678" i="1" s="1"/>
  <c r="B2679" i="1"/>
  <c r="D2679" i="1" s="1"/>
  <c r="B2680" i="1"/>
  <c r="D2680" i="1" s="1"/>
  <c r="B2681" i="1"/>
  <c r="D2681" i="1" s="1"/>
  <c r="B2682" i="1"/>
  <c r="D2682" i="1" s="1"/>
  <c r="B2683" i="1"/>
  <c r="D2683" i="1" s="1"/>
  <c r="B2684" i="1"/>
  <c r="D2684" i="1" s="1"/>
  <c r="B2685" i="1"/>
  <c r="D2685" i="1" s="1"/>
  <c r="B2686" i="1"/>
  <c r="D2686" i="1" s="1"/>
  <c r="B2687" i="1"/>
  <c r="D2687" i="1" s="1"/>
  <c r="B2688" i="1"/>
  <c r="D2688" i="1" s="1"/>
  <c r="B2689" i="1"/>
  <c r="D2689" i="1" s="1"/>
  <c r="B2690" i="1"/>
  <c r="D2690" i="1" s="1"/>
  <c r="B2691" i="1"/>
  <c r="D2691" i="1" s="1"/>
  <c r="B2692" i="1"/>
  <c r="D2692" i="1" s="1"/>
  <c r="B2693" i="1"/>
  <c r="D2693" i="1" s="1"/>
  <c r="B2694" i="1"/>
  <c r="D2694" i="1" s="1"/>
  <c r="B2695" i="1"/>
  <c r="D2695" i="1" s="1"/>
  <c r="B2696" i="1"/>
  <c r="D2696" i="1" s="1"/>
  <c r="B2697" i="1"/>
  <c r="D2697" i="1" s="1"/>
  <c r="B2698" i="1"/>
  <c r="D2698" i="1" s="1"/>
  <c r="B2699" i="1"/>
  <c r="D2699" i="1" s="1"/>
  <c r="B2700" i="1"/>
  <c r="D2700" i="1" s="1"/>
  <c r="B2701" i="1"/>
  <c r="D2701" i="1" s="1"/>
  <c r="B2702" i="1"/>
  <c r="D2702" i="1"/>
  <c r="B2703" i="1"/>
  <c r="D2703" i="1" s="1"/>
  <c r="B2704" i="1"/>
  <c r="D2704" i="1" s="1"/>
  <c r="B2705" i="1"/>
  <c r="D2705" i="1" s="1"/>
  <c r="B2706" i="1"/>
  <c r="D2706" i="1" s="1"/>
  <c r="B2707" i="1"/>
  <c r="D2707" i="1" s="1"/>
  <c r="B2708" i="1"/>
  <c r="D2708" i="1" s="1"/>
  <c r="B2709" i="1"/>
  <c r="D2709" i="1" s="1"/>
  <c r="B2710" i="1"/>
  <c r="D2710" i="1" s="1"/>
  <c r="B2711" i="1"/>
  <c r="D2711" i="1" s="1"/>
  <c r="B2712" i="1"/>
  <c r="D2712" i="1" s="1"/>
  <c r="B2713" i="1"/>
  <c r="D2713" i="1" s="1"/>
  <c r="B2714" i="1"/>
  <c r="D2714" i="1" s="1"/>
  <c r="B2715" i="1"/>
  <c r="D2715" i="1" s="1"/>
  <c r="B2716" i="1"/>
  <c r="D2716" i="1" s="1"/>
  <c r="B2717" i="1"/>
  <c r="D2717" i="1" s="1"/>
  <c r="B2718" i="1"/>
  <c r="D2718" i="1" s="1"/>
  <c r="B2719" i="1"/>
  <c r="D2719" i="1" s="1"/>
  <c r="B2720" i="1"/>
  <c r="D2720" i="1" s="1"/>
  <c r="B2721" i="1"/>
  <c r="D2721" i="1" s="1"/>
  <c r="B2722" i="1"/>
  <c r="D2722" i="1" s="1"/>
  <c r="B2723" i="1"/>
  <c r="D2723" i="1" s="1"/>
  <c r="B2724" i="1"/>
  <c r="D2724" i="1" s="1"/>
  <c r="B2725" i="1"/>
  <c r="D2725" i="1" s="1"/>
  <c r="B2726" i="1"/>
  <c r="D2726" i="1" s="1"/>
  <c r="B2727" i="1"/>
  <c r="D2727" i="1" s="1"/>
  <c r="B2728" i="1"/>
  <c r="D2728" i="1" s="1"/>
  <c r="B2729" i="1"/>
  <c r="D2729" i="1" s="1"/>
  <c r="B2730" i="1"/>
  <c r="D2730" i="1" s="1"/>
  <c r="B2731" i="1"/>
  <c r="D2731" i="1" s="1"/>
  <c r="B2732" i="1"/>
  <c r="D2732" i="1" s="1"/>
  <c r="B2733" i="1"/>
  <c r="D2733" i="1" s="1"/>
  <c r="B2734" i="1"/>
  <c r="D2734" i="1" s="1"/>
  <c r="B2735" i="1"/>
  <c r="D2735" i="1" s="1"/>
  <c r="B2736" i="1"/>
  <c r="D2736" i="1" s="1"/>
  <c r="B2737" i="1"/>
  <c r="D2737" i="1" s="1"/>
  <c r="B2738" i="1"/>
  <c r="D2738" i="1" s="1"/>
  <c r="B2739" i="1"/>
  <c r="D2739" i="1" s="1"/>
  <c r="B2740" i="1"/>
  <c r="D2740" i="1" s="1"/>
  <c r="B2741" i="1"/>
  <c r="D2741" i="1" s="1"/>
  <c r="B2742" i="1"/>
  <c r="D2742" i="1" s="1"/>
  <c r="B2743" i="1"/>
  <c r="D2743" i="1" s="1"/>
  <c r="B2744" i="1"/>
  <c r="D2744" i="1" s="1"/>
  <c r="B2745" i="1"/>
  <c r="D2745" i="1"/>
  <c r="B2746" i="1"/>
  <c r="D2746" i="1" s="1"/>
  <c r="B2747" i="1"/>
  <c r="D2747" i="1" s="1"/>
  <c r="B2748" i="1"/>
  <c r="D2748" i="1" s="1"/>
  <c r="B2749" i="1"/>
  <c r="D2749" i="1" s="1"/>
  <c r="B2750" i="1"/>
  <c r="D2750" i="1" s="1"/>
  <c r="B2751" i="1"/>
  <c r="D2751" i="1" s="1"/>
  <c r="B2752" i="1"/>
  <c r="D2752" i="1" s="1"/>
  <c r="B2753" i="1"/>
  <c r="D2753" i="1" s="1"/>
  <c r="B2754" i="1"/>
  <c r="D2754" i="1" s="1"/>
  <c r="B2755" i="1"/>
  <c r="D2755" i="1" s="1"/>
  <c r="B2756" i="1"/>
  <c r="D2756" i="1" s="1"/>
  <c r="B2757" i="1"/>
  <c r="D2757" i="1" s="1"/>
  <c r="B2758" i="1"/>
  <c r="D2758" i="1" s="1"/>
  <c r="B2759" i="1"/>
  <c r="D2759" i="1" s="1"/>
  <c r="B2760" i="1"/>
  <c r="D2760" i="1" s="1"/>
  <c r="B2761" i="1"/>
  <c r="D2761" i="1" s="1"/>
  <c r="B2762" i="1"/>
  <c r="D2762" i="1" s="1"/>
  <c r="B2763" i="1"/>
  <c r="D2763" i="1" s="1"/>
  <c r="B2764" i="1"/>
  <c r="D2764" i="1" s="1"/>
  <c r="B2765" i="1"/>
  <c r="D2765" i="1" s="1"/>
  <c r="B2766" i="1"/>
  <c r="D2766" i="1" s="1"/>
  <c r="B2767" i="1"/>
  <c r="D2767" i="1" s="1"/>
  <c r="B2768" i="1"/>
  <c r="D2768" i="1" s="1"/>
  <c r="B2769" i="1"/>
  <c r="D2769" i="1" s="1"/>
  <c r="B2770" i="1"/>
  <c r="D2770" i="1" s="1"/>
  <c r="B2771" i="1"/>
  <c r="D2771" i="1" s="1"/>
  <c r="B2772" i="1"/>
  <c r="D2772" i="1" s="1"/>
  <c r="B2773" i="1"/>
  <c r="D2773" i="1" s="1"/>
  <c r="B2774" i="1"/>
  <c r="D2774" i="1" s="1"/>
  <c r="B2775" i="1"/>
  <c r="D2775" i="1" s="1"/>
  <c r="B2776" i="1"/>
  <c r="D2776" i="1" s="1"/>
  <c r="B2777" i="1"/>
  <c r="D2777" i="1" s="1"/>
  <c r="B2778" i="1"/>
  <c r="D2778" i="1" s="1"/>
  <c r="B2779" i="1"/>
  <c r="D2779" i="1" s="1"/>
  <c r="B2780" i="1"/>
  <c r="D2780" i="1" s="1"/>
  <c r="B2781" i="1"/>
  <c r="D2781" i="1" s="1"/>
  <c r="B2782" i="1"/>
  <c r="D2782" i="1" s="1"/>
  <c r="B2783" i="1"/>
  <c r="D2783" i="1" s="1"/>
  <c r="B2784" i="1"/>
  <c r="D2784" i="1" s="1"/>
  <c r="B2785" i="1"/>
  <c r="D2785" i="1" s="1"/>
  <c r="B2786" i="1"/>
  <c r="D2786" i="1" s="1"/>
  <c r="B2787" i="1"/>
  <c r="D2787" i="1" s="1"/>
  <c r="B2788" i="1"/>
  <c r="D2788" i="1" s="1"/>
  <c r="B2789" i="1"/>
  <c r="D2789" i="1" s="1"/>
  <c r="B2790" i="1"/>
  <c r="D2790" i="1" s="1"/>
  <c r="B2791" i="1"/>
  <c r="D2791" i="1" s="1"/>
  <c r="B2792" i="1"/>
  <c r="D2792" i="1" s="1"/>
  <c r="B2793" i="1"/>
  <c r="D2793" i="1" s="1"/>
  <c r="B2794" i="1"/>
  <c r="D2794" i="1" s="1"/>
  <c r="B2795" i="1"/>
  <c r="D2795" i="1" s="1"/>
  <c r="B2796" i="1"/>
  <c r="D2796" i="1" s="1"/>
  <c r="B2797" i="1"/>
  <c r="D2797" i="1" s="1"/>
  <c r="B2798" i="1"/>
  <c r="D2798" i="1" s="1"/>
  <c r="B2799" i="1"/>
  <c r="D2799" i="1" s="1"/>
  <c r="B2800" i="1"/>
  <c r="D2800" i="1" s="1"/>
  <c r="B2801" i="1"/>
  <c r="D2801" i="1" s="1"/>
  <c r="B2802" i="1"/>
  <c r="D2802" i="1" s="1"/>
  <c r="B2803" i="1"/>
  <c r="D2803" i="1" s="1"/>
  <c r="B2804" i="1"/>
  <c r="D2804" i="1" s="1"/>
  <c r="B2805" i="1"/>
  <c r="D2805" i="1" s="1"/>
  <c r="B2806" i="1"/>
  <c r="D2806" i="1" s="1"/>
  <c r="B2807" i="1"/>
  <c r="D2807" i="1" s="1"/>
  <c r="B2808" i="1"/>
  <c r="D2808" i="1" s="1"/>
  <c r="B2809" i="1"/>
  <c r="D2809" i="1" s="1"/>
  <c r="B2810" i="1"/>
  <c r="D2810" i="1" s="1"/>
  <c r="B2811" i="1"/>
  <c r="D2811" i="1" s="1"/>
  <c r="B2812" i="1"/>
  <c r="D2812" i="1" s="1"/>
  <c r="B2813" i="1"/>
  <c r="D2813" i="1" s="1"/>
  <c r="B2814" i="1"/>
  <c r="D2814" i="1" s="1"/>
  <c r="B2815" i="1"/>
  <c r="D2815" i="1" s="1"/>
  <c r="B2816" i="1"/>
  <c r="D2816" i="1" s="1"/>
  <c r="B2817" i="1"/>
  <c r="D2817" i="1" s="1"/>
  <c r="B2818" i="1"/>
  <c r="D2818" i="1" s="1"/>
  <c r="B2819" i="1"/>
  <c r="D2819" i="1" s="1"/>
  <c r="B2820" i="1"/>
  <c r="D2820" i="1" s="1"/>
  <c r="B2821" i="1"/>
  <c r="D2821" i="1" s="1"/>
  <c r="B2822" i="1"/>
  <c r="D2822" i="1" s="1"/>
  <c r="B2823" i="1"/>
  <c r="D2823" i="1" s="1"/>
  <c r="B2824" i="1"/>
  <c r="D2824" i="1" s="1"/>
  <c r="B2825" i="1"/>
  <c r="D2825" i="1" s="1"/>
  <c r="B2826" i="1"/>
  <c r="D2826" i="1" s="1"/>
  <c r="B2827" i="1"/>
  <c r="D2827" i="1" s="1"/>
  <c r="B2828" i="1"/>
  <c r="D2828" i="1" s="1"/>
  <c r="B2829" i="1"/>
  <c r="D2829" i="1" s="1"/>
  <c r="B2830" i="1"/>
  <c r="D2830" i="1" s="1"/>
  <c r="B2831" i="1"/>
  <c r="D2831" i="1" s="1"/>
  <c r="B2832" i="1"/>
  <c r="D2832" i="1" s="1"/>
  <c r="B2833" i="1"/>
  <c r="D2833" i="1" s="1"/>
  <c r="B2834" i="1"/>
  <c r="D2834" i="1" s="1"/>
  <c r="B2835" i="1"/>
  <c r="D2835" i="1" s="1"/>
  <c r="B2836" i="1"/>
  <c r="D2836" i="1" s="1"/>
  <c r="B2837" i="1"/>
  <c r="D2837" i="1" s="1"/>
  <c r="B2838" i="1"/>
  <c r="D2838" i="1" s="1"/>
  <c r="B2839" i="1"/>
  <c r="D2839" i="1" s="1"/>
  <c r="B2840" i="1"/>
  <c r="D2840" i="1" s="1"/>
  <c r="B2841" i="1"/>
  <c r="D2841" i="1" s="1"/>
  <c r="B2842" i="1"/>
  <c r="D2842" i="1"/>
  <c r="B2843" i="1"/>
  <c r="D2843" i="1" s="1"/>
  <c r="B2844" i="1"/>
  <c r="D2844" i="1" s="1"/>
  <c r="B2845" i="1"/>
  <c r="D2845" i="1" s="1"/>
  <c r="B2846" i="1"/>
  <c r="D2846" i="1" s="1"/>
  <c r="B2847" i="1"/>
  <c r="D2847" i="1" s="1"/>
  <c r="B2848" i="1"/>
  <c r="D2848" i="1" s="1"/>
  <c r="B2849" i="1"/>
  <c r="D2849" i="1" s="1"/>
  <c r="B2850" i="1"/>
  <c r="D2850" i="1" s="1"/>
  <c r="B2851" i="1"/>
  <c r="D2851" i="1" s="1"/>
  <c r="B2852" i="1"/>
  <c r="D2852" i="1" s="1"/>
  <c r="B2853" i="1"/>
  <c r="D2853" i="1" s="1"/>
  <c r="B2854" i="1"/>
  <c r="D2854" i="1" s="1"/>
  <c r="B2855" i="1"/>
  <c r="D2855" i="1" s="1"/>
  <c r="B2856" i="1"/>
  <c r="D2856" i="1" s="1"/>
  <c r="B2857" i="1"/>
  <c r="D2857" i="1" s="1"/>
  <c r="B2858" i="1"/>
  <c r="D2858" i="1" s="1"/>
  <c r="B2859" i="1"/>
  <c r="D2859" i="1" s="1"/>
  <c r="B2860" i="1"/>
  <c r="D2860" i="1" s="1"/>
  <c r="B2861" i="1"/>
  <c r="D2861" i="1" s="1"/>
  <c r="B2862" i="1"/>
  <c r="D2862" i="1" s="1"/>
  <c r="B2863" i="1"/>
  <c r="D2863" i="1" s="1"/>
  <c r="B2864" i="1"/>
  <c r="D2864" i="1" s="1"/>
  <c r="B2865" i="1"/>
  <c r="D2865" i="1" s="1"/>
  <c r="B2866" i="1"/>
  <c r="D2866" i="1" s="1"/>
  <c r="B2867" i="1"/>
  <c r="D2867" i="1" s="1"/>
  <c r="B2868" i="1"/>
  <c r="D2868" i="1" s="1"/>
  <c r="B2869" i="1"/>
  <c r="D2869" i="1" s="1"/>
  <c r="B2870" i="1"/>
  <c r="D2870" i="1" s="1"/>
  <c r="B2871" i="1"/>
  <c r="D2871" i="1" s="1"/>
  <c r="B2872" i="1"/>
  <c r="D2872" i="1" s="1"/>
  <c r="B2873" i="1"/>
  <c r="D2873" i="1" s="1"/>
  <c r="B2874" i="1"/>
  <c r="D2874" i="1" s="1"/>
  <c r="B2875" i="1"/>
  <c r="D2875" i="1" s="1"/>
  <c r="B2876" i="1"/>
  <c r="D2876" i="1" s="1"/>
  <c r="B2877" i="1"/>
  <c r="D2877" i="1" s="1"/>
  <c r="B2878" i="1"/>
  <c r="D2878" i="1" s="1"/>
  <c r="B2879" i="1"/>
  <c r="D2879" i="1" s="1"/>
  <c r="B2880" i="1"/>
  <c r="D2880" i="1" s="1"/>
  <c r="B2881" i="1"/>
  <c r="D2881" i="1" s="1"/>
  <c r="B2882" i="1"/>
  <c r="D2882" i="1" s="1"/>
  <c r="B2883" i="1"/>
  <c r="D2883" i="1" s="1"/>
  <c r="B2884" i="1"/>
  <c r="D2884" i="1" s="1"/>
  <c r="B2885" i="1"/>
  <c r="D2885" i="1" s="1"/>
  <c r="B2886" i="1"/>
  <c r="D2886" i="1" s="1"/>
  <c r="B2887" i="1"/>
  <c r="D2887" i="1" s="1"/>
  <c r="B2888" i="1"/>
  <c r="D2888" i="1" s="1"/>
  <c r="B2889" i="1"/>
  <c r="D2889" i="1" s="1"/>
  <c r="B2890" i="1"/>
  <c r="D2890" i="1" s="1"/>
  <c r="B2891" i="1"/>
  <c r="D2891" i="1" s="1"/>
  <c r="B2892" i="1"/>
  <c r="D2892" i="1" s="1"/>
  <c r="B2893" i="1"/>
  <c r="D2893" i="1" s="1"/>
  <c r="B2894" i="1"/>
  <c r="D2894" i="1" s="1"/>
  <c r="B2895" i="1"/>
  <c r="D2895" i="1" s="1"/>
  <c r="B2896" i="1"/>
  <c r="D2896" i="1" s="1"/>
  <c r="B2897" i="1"/>
  <c r="D2897" i="1" s="1"/>
  <c r="B2898" i="1"/>
  <c r="D2898" i="1" s="1"/>
  <c r="B2899" i="1"/>
  <c r="D2899" i="1" s="1"/>
  <c r="B2900" i="1"/>
  <c r="D2900" i="1" s="1"/>
  <c r="B2901" i="1"/>
  <c r="D2901" i="1" s="1"/>
  <c r="B2902" i="1"/>
  <c r="D2902" i="1" s="1"/>
  <c r="B2903" i="1"/>
  <c r="D2903" i="1" s="1"/>
  <c r="B2904" i="1"/>
  <c r="D2904" i="1" s="1"/>
  <c r="B2905" i="1"/>
  <c r="D2905" i="1"/>
  <c r="B2906" i="1"/>
  <c r="D2906" i="1" s="1"/>
  <c r="B2907" i="1"/>
  <c r="D2907" i="1" s="1"/>
  <c r="B2908" i="1"/>
  <c r="D2908" i="1" s="1"/>
  <c r="B2909" i="1"/>
  <c r="D2909" i="1" s="1"/>
  <c r="B2910" i="1"/>
  <c r="D2910" i="1" s="1"/>
  <c r="B2911" i="1"/>
  <c r="D2911" i="1" s="1"/>
  <c r="B2912" i="1"/>
  <c r="D2912" i="1" s="1"/>
  <c r="B2913" i="1"/>
  <c r="D2913" i="1" s="1"/>
  <c r="B2914" i="1"/>
  <c r="D2914" i="1" s="1"/>
  <c r="B2915" i="1"/>
  <c r="D2915" i="1" s="1"/>
  <c r="B2916" i="1"/>
  <c r="D2916" i="1" s="1"/>
  <c r="B2917" i="1"/>
  <c r="D2917" i="1" s="1"/>
  <c r="B2918" i="1"/>
  <c r="D2918" i="1" s="1"/>
  <c r="B2919" i="1"/>
  <c r="D2919" i="1" s="1"/>
  <c r="B2920" i="1"/>
  <c r="D2920" i="1" s="1"/>
  <c r="B2921" i="1"/>
  <c r="D2921" i="1" s="1"/>
  <c r="B2922" i="1"/>
  <c r="D2922" i="1" s="1"/>
  <c r="B2923" i="1"/>
  <c r="D2923" i="1" s="1"/>
  <c r="B2924" i="1"/>
  <c r="D2924" i="1" s="1"/>
  <c r="B2925" i="1"/>
  <c r="B2926" i="1"/>
  <c r="B2" i="1"/>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4" i="2"/>
  <c r="I55" i="2"/>
  <c r="I56" i="2"/>
  <c r="I57" i="2"/>
  <c r="I60" i="2"/>
  <c r="I61" i="2"/>
  <c r="I62" i="2"/>
  <c r="I63" i="2"/>
  <c r="I64" i="2"/>
  <c r="I66" i="2"/>
  <c r="I69" i="2"/>
  <c r="I70" i="2"/>
  <c r="I71" i="2"/>
  <c r="I72" i="2"/>
  <c r="I74" i="2"/>
  <c r="I75" i="2"/>
  <c r="I76" i="2"/>
  <c r="I77" i="2"/>
  <c r="I78" i="2"/>
  <c r="I79" i="2"/>
  <c r="I82" i="2"/>
  <c r="I83" i="2"/>
  <c r="I84" i="2"/>
  <c r="I85" i="2"/>
  <c r="I86" i="2"/>
  <c r="I87" i="2"/>
  <c r="I88" i="2"/>
  <c r="I89" i="2"/>
  <c r="I90" i="2"/>
  <c r="I91" i="2"/>
  <c r="I92" i="2"/>
  <c r="I93" i="2"/>
  <c r="I94" i="2"/>
  <c r="I95" i="2"/>
  <c r="I96" i="2"/>
  <c r="I97" i="2"/>
  <c r="I98" i="2"/>
  <c r="I99" i="2"/>
  <c r="I100" i="2"/>
  <c r="I101" i="2"/>
  <c r="I102" i="2"/>
  <c r="I103"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6" i="2"/>
  <c r="D4" i="4"/>
  <c r="C4" i="4"/>
  <c r="B4" i="4"/>
  <c r="E4" i="4"/>
  <c r="G797" i="1"/>
  <c r="B797" i="1" s="1"/>
  <c r="Y894" i="1"/>
  <c r="N5" i="2"/>
  <c r="O5" i="2" s="1"/>
  <c r="N6" i="2"/>
  <c r="O6" i="2" s="1"/>
  <c r="N7" i="2"/>
  <c r="N8" i="2"/>
  <c r="O8" i="2" s="1"/>
  <c r="N9" i="2"/>
  <c r="O9" i="2" s="1"/>
  <c r="N10" i="2"/>
  <c r="O10" i="2" s="1"/>
  <c r="N11" i="2"/>
  <c r="O11" i="2" s="1"/>
  <c r="N12" i="2"/>
  <c r="O12" i="2" s="1"/>
  <c r="N13" i="2"/>
  <c r="O13" i="2" s="1"/>
  <c r="N14" i="2"/>
  <c r="O14" i="2" s="1"/>
  <c r="N15" i="2"/>
  <c r="N16" i="2"/>
  <c r="O16" i="2" s="1"/>
  <c r="N17" i="2"/>
  <c r="O17" i="2" s="1"/>
  <c r="N18" i="2"/>
  <c r="O18" i="2" s="1"/>
  <c r="N19" i="2"/>
  <c r="O19" i="2" s="1"/>
  <c r="N20" i="2"/>
  <c r="O20" i="2" s="1"/>
  <c r="N21" i="2"/>
  <c r="O21" i="2" s="1"/>
  <c r="N22" i="2"/>
  <c r="O22" i="2" s="1"/>
  <c r="N23" i="2"/>
  <c r="N24" i="2"/>
  <c r="O24" i="2" s="1"/>
  <c r="N25" i="2"/>
  <c r="O25" i="2" s="1"/>
  <c r="N26" i="2"/>
  <c r="O26" i="2" s="1"/>
  <c r="N27" i="2"/>
  <c r="O27" i="2" s="1"/>
  <c r="N28" i="2"/>
  <c r="O28" i="2" s="1"/>
  <c r="N29" i="2"/>
  <c r="O29" i="2" s="1"/>
  <c r="N30" i="2"/>
  <c r="O30" i="2" s="1"/>
  <c r="N31" i="2"/>
  <c r="N32" i="2"/>
  <c r="O32" i="2" s="1"/>
  <c r="N33" i="2"/>
  <c r="O33" i="2" s="1"/>
  <c r="N34" i="2"/>
  <c r="O34" i="2" s="1"/>
  <c r="N35" i="2"/>
  <c r="O35" i="2" s="1"/>
  <c r="N36" i="2"/>
  <c r="O36" i="2" s="1"/>
  <c r="N37" i="2"/>
  <c r="O37" i="2" s="1"/>
  <c r="N38" i="2"/>
  <c r="O38" i="2" s="1"/>
  <c r="N39" i="2"/>
  <c r="N40" i="2"/>
  <c r="O40" i="2" s="1"/>
  <c r="N41" i="2"/>
  <c r="O41" i="2" s="1"/>
  <c r="N42" i="2"/>
  <c r="O42" i="2" s="1"/>
  <c r="N43" i="2"/>
  <c r="O43" i="2" s="1"/>
  <c r="N44" i="2"/>
  <c r="O44" i="2" s="1"/>
  <c r="N45" i="2"/>
  <c r="O45" i="2" s="1"/>
  <c r="N46" i="2"/>
  <c r="O46" i="2" s="1"/>
  <c r="N47" i="2"/>
  <c r="N48" i="2"/>
  <c r="O48" i="2" s="1"/>
  <c r="N49" i="2"/>
  <c r="O49" i="2" s="1"/>
  <c r="N50" i="2"/>
  <c r="O50" i="2" s="1"/>
  <c r="N51" i="2"/>
  <c r="O51" i="2" s="1"/>
  <c r="N52" i="2"/>
  <c r="O52" i="2" s="1"/>
  <c r="N53" i="2"/>
  <c r="O53" i="2" s="1"/>
  <c r="N54" i="2"/>
  <c r="O54" i="2" s="1"/>
  <c r="N55" i="2"/>
  <c r="N56" i="2"/>
  <c r="O56" i="2" s="1"/>
  <c r="N57" i="2"/>
  <c r="O57" i="2" s="1"/>
  <c r="N58" i="2"/>
  <c r="O58" i="2" s="1"/>
  <c r="N59" i="2"/>
  <c r="O59" i="2" s="1"/>
  <c r="N60" i="2"/>
  <c r="O60" i="2" s="1"/>
  <c r="N61" i="2"/>
  <c r="O61" i="2" s="1"/>
  <c r="N62" i="2"/>
  <c r="O62" i="2" s="1"/>
  <c r="N63" i="2"/>
  <c r="N64" i="2"/>
  <c r="O64" i="2" s="1"/>
  <c r="N65" i="2"/>
  <c r="O65" i="2" s="1"/>
  <c r="N66" i="2"/>
  <c r="O66" i="2" s="1"/>
  <c r="N67" i="2"/>
  <c r="O67" i="2" s="1"/>
  <c r="N68" i="2"/>
  <c r="O68" i="2" s="1"/>
  <c r="N69" i="2"/>
  <c r="O69" i="2" s="1"/>
  <c r="N70" i="2"/>
  <c r="O70" i="2" s="1"/>
  <c r="N71" i="2"/>
  <c r="N72" i="2"/>
  <c r="O72" i="2" s="1"/>
  <c r="N73" i="2"/>
  <c r="O73" i="2" s="1"/>
  <c r="N74" i="2"/>
  <c r="O74" i="2" s="1"/>
  <c r="N75" i="2"/>
  <c r="O75" i="2" s="1"/>
  <c r="N76" i="2"/>
  <c r="O76" i="2" s="1"/>
  <c r="N77" i="2"/>
  <c r="O77" i="2" s="1"/>
  <c r="N78" i="2"/>
  <c r="O78" i="2" s="1"/>
  <c r="N79" i="2"/>
  <c r="N80" i="2"/>
  <c r="O80" i="2" s="1"/>
  <c r="N81" i="2"/>
  <c r="O81" i="2" s="1"/>
  <c r="N82" i="2"/>
  <c r="O82" i="2" s="1"/>
  <c r="N83" i="2"/>
  <c r="O83" i="2" s="1"/>
  <c r="N84" i="2"/>
  <c r="O84" i="2" s="1"/>
  <c r="N85" i="2"/>
  <c r="O85" i="2" s="1"/>
  <c r="N86" i="2"/>
  <c r="O86" i="2" s="1"/>
  <c r="N87" i="2"/>
  <c r="N88" i="2"/>
  <c r="O88" i="2" s="1"/>
  <c r="N89" i="2"/>
  <c r="O89" i="2" s="1"/>
  <c r="N90" i="2"/>
  <c r="O90" i="2" s="1"/>
  <c r="N91" i="2"/>
  <c r="O91" i="2" s="1"/>
  <c r="N92" i="2"/>
  <c r="O92" i="2" s="1"/>
  <c r="N93" i="2"/>
  <c r="O93" i="2" s="1"/>
  <c r="N94" i="2"/>
  <c r="O94" i="2" s="1"/>
  <c r="N95" i="2"/>
  <c r="N96" i="2"/>
  <c r="O96" i="2" s="1"/>
  <c r="N97" i="2"/>
  <c r="O97" i="2" s="1"/>
  <c r="N98" i="2"/>
  <c r="O98" i="2" s="1"/>
  <c r="N99" i="2"/>
  <c r="O99" i="2" s="1"/>
  <c r="N100" i="2"/>
  <c r="O100" i="2" s="1"/>
  <c r="N101" i="2"/>
  <c r="O101" i="2" s="1"/>
  <c r="N102" i="2"/>
  <c r="O102" i="2" s="1"/>
  <c r="N103" i="2"/>
  <c r="N104" i="2"/>
  <c r="O104" i="2" s="1"/>
  <c r="N105" i="2"/>
  <c r="O105" i="2" s="1"/>
  <c r="N106" i="2"/>
  <c r="O106" i="2" s="1"/>
  <c r="N107" i="2"/>
  <c r="O107" i="2" s="1"/>
  <c r="N108" i="2"/>
  <c r="O108" i="2" s="1"/>
  <c r="N109" i="2"/>
  <c r="O109" i="2" s="1"/>
  <c r="N110" i="2"/>
  <c r="O110" i="2" s="1"/>
  <c r="N111" i="2"/>
  <c r="N112" i="2"/>
  <c r="O112" i="2" s="1"/>
  <c r="N113" i="2"/>
  <c r="O113" i="2" s="1"/>
  <c r="N114" i="2"/>
  <c r="O114" i="2" s="1"/>
  <c r="N115" i="2"/>
  <c r="O115" i="2" s="1"/>
  <c r="N116" i="2"/>
  <c r="O116" i="2" s="1"/>
  <c r="N117" i="2"/>
  <c r="O117" i="2" s="1"/>
  <c r="N118" i="2"/>
  <c r="O118" i="2" s="1"/>
  <c r="N119" i="2"/>
  <c r="N120" i="2"/>
  <c r="O120" i="2" s="1"/>
  <c r="N121" i="2"/>
  <c r="O121" i="2" s="1"/>
  <c r="N122" i="2"/>
  <c r="O122" i="2" s="1"/>
  <c r="N123" i="2"/>
  <c r="O123" i="2" s="1"/>
  <c r="N124" i="2"/>
  <c r="O124" i="2" s="1"/>
  <c r="N125" i="2"/>
  <c r="O125" i="2" s="1"/>
  <c r="N126" i="2"/>
  <c r="O126" i="2" s="1"/>
  <c r="N127" i="2"/>
  <c r="N128" i="2"/>
  <c r="O128" i="2" s="1"/>
  <c r="N129" i="2"/>
  <c r="O129" i="2" s="1"/>
  <c r="N130" i="2"/>
  <c r="O130" i="2" s="1"/>
  <c r="N131" i="2"/>
  <c r="O131" i="2" s="1"/>
  <c r="N132" i="2"/>
  <c r="O132" i="2" s="1"/>
  <c r="N133" i="2"/>
  <c r="O133" i="2" s="1"/>
  <c r="N134" i="2"/>
  <c r="O134" i="2" s="1"/>
  <c r="N135" i="2"/>
  <c r="N136" i="2"/>
  <c r="O136" i="2" s="1"/>
  <c r="N137" i="2"/>
  <c r="O137" i="2" s="1"/>
  <c r="N138" i="2"/>
  <c r="O138" i="2" s="1"/>
  <c r="N139" i="2"/>
  <c r="O139" i="2" s="1"/>
  <c r="N140" i="2"/>
  <c r="O140" i="2" s="1"/>
  <c r="N141" i="2"/>
  <c r="O141" i="2" s="1"/>
  <c r="N142" i="2"/>
  <c r="O142" i="2" s="1"/>
  <c r="N143" i="2"/>
  <c r="N144" i="2"/>
  <c r="O144" i="2" s="1"/>
  <c r="N145" i="2"/>
  <c r="O145" i="2" s="1"/>
  <c r="N146" i="2"/>
  <c r="O146" i="2" s="1"/>
  <c r="N147" i="2"/>
  <c r="O147" i="2" s="1"/>
  <c r="N148" i="2"/>
  <c r="O148" i="2" s="1"/>
  <c r="N149" i="2"/>
  <c r="O149" i="2" s="1"/>
  <c r="N150" i="2"/>
  <c r="O150" i="2" s="1"/>
  <c r="N151" i="2"/>
  <c r="N152" i="2"/>
  <c r="O152" i="2" s="1"/>
  <c r="N153" i="2"/>
  <c r="O153" i="2" s="1"/>
  <c r="N154" i="2"/>
  <c r="O154" i="2" s="1"/>
  <c r="N155" i="2"/>
  <c r="O155" i="2" s="1"/>
  <c r="N156" i="2"/>
  <c r="O156" i="2" s="1"/>
  <c r="N157" i="2"/>
  <c r="O157" i="2" s="1"/>
  <c r="N158" i="2"/>
  <c r="O158" i="2" s="1"/>
  <c r="N159" i="2"/>
  <c r="N160" i="2"/>
  <c r="O160" i="2" s="1"/>
  <c r="N161" i="2"/>
  <c r="O161" i="2" s="1"/>
  <c r="N162" i="2"/>
  <c r="O162" i="2" s="1"/>
  <c r="N163" i="2"/>
  <c r="O163" i="2" s="1"/>
  <c r="N164" i="2"/>
  <c r="O164" i="2" s="1"/>
  <c r="N165" i="2"/>
  <c r="O165" i="2" s="1"/>
  <c r="N166" i="2"/>
  <c r="O166" i="2" s="1"/>
  <c r="N167" i="2"/>
  <c r="N168" i="2"/>
  <c r="O168" i="2" s="1"/>
  <c r="N169" i="2"/>
  <c r="O169" i="2" s="1"/>
  <c r="N170" i="2"/>
  <c r="O170" i="2" s="1"/>
  <c r="N171" i="2"/>
  <c r="O171" i="2" s="1"/>
  <c r="N172" i="2"/>
  <c r="O172" i="2" s="1"/>
  <c r="N173" i="2"/>
  <c r="O173" i="2" s="1"/>
  <c r="N174" i="2"/>
  <c r="O174" i="2" s="1"/>
  <c r="N175" i="2"/>
  <c r="N176" i="2"/>
  <c r="O176" i="2" s="1"/>
  <c r="N177" i="2"/>
  <c r="O177" i="2" s="1"/>
  <c r="N178" i="2"/>
  <c r="O178" i="2" s="1"/>
  <c r="N179" i="2"/>
  <c r="O179" i="2" s="1"/>
  <c r="N180" i="2"/>
  <c r="O180" i="2" s="1"/>
  <c r="N181" i="2"/>
  <c r="O181" i="2" s="1"/>
  <c r="N182" i="2"/>
  <c r="O182" i="2" s="1"/>
  <c r="N183" i="2"/>
  <c r="N184" i="2"/>
  <c r="O184" i="2" s="1"/>
  <c r="N185" i="2"/>
  <c r="O185" i="2" s="1"/>
  <c r="N186" i="2"/>
  <c r="O186" i="2" s="1"/>
  <c r="N187" i="2"/>
  <c r="O187" i="2" s="1"/>
  <c r="N188" i="2"/>
  <c r="O188" i="2" s="1"/>
  <c r="N189" i="2"/>
  <c r="O189" i="2" s="1"/>
  <c r="N190" i="2"/>
  <c r="O190" i="2" s="1"/>
  <c r="N191" i="2"/>
  <c r="N192" i="2"/>
  <c r="O192" i="2" s="1"/>
  <c r="N193" i="2"/>
  <c r="O193" i="2" s="1"/>
  <c r="N194" i="2"/>
  <c r="O194" i="2" s="1"/>
  <c r="N195" i="2"/>
  <c r="O195" i="2" s="1"/>
  <c r="N196" i="2"/>
  <c r="O196" i="2" s="1"/>
  <c r="N197" i="2"/>
  <c r="O197" i="2" s="1"/>
  <c r="N198" i="2"/>
  <c r="O198" i="2" s="1"/>
  <c r="N199" i="2"/>
  <c r="N200" i="2"/>
  <c r="O200" i="2" s="1"/>
  <c r="N201" i="2"/>
  <c r="O201" i="2" s="1"/>
  <c r="N202" i="2"/>
  <c r="O202" i="2" s="1"/>
  <c r="N203" i="2"/>
  <c r="O203" i="2" s="1"/>
  <c r="N204" i="2"/>
  <c r="O204" i="2" s="1"/>
  <c r="N205" i="2"/>
  <c r="O205" i="2" s="1"/>
  <c r="N206" i="2"/>
  <c r="O206" i="2" s="1"/>
  <c r="N207" i="2"/>
  <c r="N208" i="2"/>
  <c r="O208" i="2" s="1"/>
  <c r="N209" i="2"/>
  <c r="O209" i="2" s="1"/>
  <c r="N210" i="2"/>
  <c r="O210" i="2" s="1"/>
  <c r="N211" i="2"/>
  <c r="O211" i="2" s="1"/>
  <c r="N212" i="2"/>
  <c r="O212" i="2" s="1"/>
  <c r="N213" i="2"/>
  <c r="O213" i="2" s="1"/>
  <c r="N214" i="2"/>
  <c r="O214" i="2" s="1"/>
  <c r="N215" i="2"/>
  <c r="N216" i="2"/>
  <c r="O216" i="2" s="1"/>
  <c r="N217" i="2"/>
  <c r="O217" i="2" s="1"/>
  <c r="N218" i="2"/>
  <c r="O218" i="2" s="1"/>
  <c r="N219" i="2"/>
  <c r="O219" i="2" s="1"/>
  <c r="N220" i="2"/>
  <c r="O220" i="2" s="1"/>
  <c r="N221" i="2"/>
  <c r="O221" i="2" s="1"/>
  <c r="N222" i="2"/>
  <c r="O222" i="2" s="1"/>
  <c r="N223" i="2"/>
  <c r="N224" i="2"/>
  <c r="O224" i="2" s="1"/>
  <c r="N225" i="2"/>
  <c r="O225" i="2" s="1"/>
  <c r="N226" i="2"/>
  <c r="O226" i="2" s="1"/>
  <c r="N227" i="2"/>
  <c r="O227" i="2" s="1"/>
  <c r="N228" i="2"/>
  <c r="O228" i="2" s="1"/>
  <c r="N229" i="2"/>
  <c r="O229" i="2" s="1"/>
  <c r="N230" i="2"/>
  <c r="O230" i="2" s="1"/>
  <c r="N231" i="2"/>
  <c r="N232" i="2"/>
  <c r="O232" i="2" s="1"/>
  <c r="N233" i="2"/>
  <c r="O233" i="2" s="1"/>
  <c r="N234" i="2"/>
  <c r="O234" i="2" s="1"/>
  <c r="N235" i="2"/>
  <c r="O235" i="2" s="1"/>
  <c r="N236" i="2"/>
  <c r="O236" i="2" s="1"/>
  <c r="N237" i="2"/>
  <c r="O237" i="2" s="1"/>
  <c r="N238" i="2"/>
  <c r="O238" i="2" s="1"/>
  <c r="N239" i="2"/>
  <c r="N240" i="2"/>
  <c r="O240" i="2" s="1"/>
  <c r="N241" i="2"/>
  <c r="O241" i="2" s="1"/>
  <c r="N242" i="2"/>
  <c r="O242" i="2" s="1"/>
  <c r="N243" i="2"/>
  <c r="O243" i="2" s="1"/>
  <c r="N244" i="2"/>
  <c r="O244" i="2" s="1"/>
  <c r="N245" i="2"/>
  <c r="O245" i="2" s="1"/>
  <c r="N246" i="2"/>
  <c r="O246" i="2" s="1"/>
  <c r="N247" i="2"/>
  <c r="N248" i="2"/>
  <c r="O248" i="2" s="1"/>
  <c r="N249" i="2"/>
  <c r="O249" i="2" s="1"/>
  <c r="N250" i="2"/>
  <c r="O250" i="2" s="1"/>
  <c r="N251" i="2"/>
  <c r="O251" i="2" s="1"/>
  <c r="N252" i="2"/>
  <c r="O252" i="2" s="1"/>
  <c r="N253" i="2"/>
  <c r="O253" i="2" s="1"/>
  <c r="N254" i="2"/>
  <c r="O254" i="2" s="1"/>
  <c r="N255" i="2"/>
  <c r="N256" i="2"/>
  <c r="O256" i="2" s="1"/>
  <c r="N257" i="2"/>
  <c r="O257" i="2" s="1"/>
  <c r="N258" i="2"/>
  <c r="O258" i="2" s="1"/>
  <c r="N259" i="2"/>
  <c r="O259" i="2" s="1"/>
  <c r="N260" i="2"/>
  <c r="O260" i="2" s="1"/>
  <c r="N261" i="2"/>
  <c r="O261" i="2" s="1"/>
  <c r="N262" i="2"/>
  <c r="O262" i="2" s="1"/>
  <c r="N263" i="2"/>
  <c r="N264" i="2"/>
  <c r="O264" i="2" s="1"/>
  <c r="N265" i="2"/>
  <c r="O265" i="2" s="1"/>
  <c r="N266" i="2"/>
  <c r="O266" i="2" s="1"/>
  <c r="N267" i="2"/>
  <c r="O267" i="2" s="1"/>
  <c r="N268" i="2"/>
  <c r="O268" i="2" s="1"/>
  <c r="N269" i="2"/>
  <c r="O269" i="2" s="1"/>
  <c r="N270" i="2"/>
  <c r="O270" i="2" s="1"/>
  <c r="N271" i="2"/>
  <c r="N272" i="2"/>
  <c r="O272" i="2" s="1"/>
  <c r="N273" i="2"/>
  <c r="O273" i="2" s="1"/>
  <c r="N274" i="2"/>
  <c r="O274" i="2" s="1"/>
  <c r="N275" i="2"/>
  <c r="O275" i="2" s="1"/>
  <c r="N276" i="2"/>
  <c r="O276" i="2" s="1"/>
  <c r="N277" i="2"/>
  <c r="O277" i="2" s="1"/>
  <c r="N278" i="2"/>
  <c r="O278" i="2" s="1"/>
  <c r="N279" i="2"/>
  <c r="N280" i="2"/>
  <c r="O280" i="2" s="1"/>
  <c r="N281" i="2"/>
  <c r="O281" i="2" s="1"/>
  <c r="N282" i="2"/>
  <c r="O282" i="2" s="1"/>
  <c r="N283" i="2"/>
  <c r="O283" i="2" s="1"/>
  <c r="N284" i="2"/>
  <c r="O284" i="2" s="1"/>
  <c r="N285" i="2"/>
  <c r="O285" i="2" s="1"/>
  <c r="N286" i="2"/>
  <c r="O286" i="2" s="1"/>
  <c r="N287" i="2"/>
  <c r="N288" i="2"/>
  <c r="O288" i="2" s="1"/>
  <c r="N289" i="2"/>
  <c r="O289" i="2" s="1"/>
  <c r="N290" i="2"/>
  <c r="O290" i="2" s="1"/>
  <c r="N291" i="2"/>
  <c r="O291" i="2" s="1"/>
  <c r="N292" i="2"/>
  <c r="O292" i="2" s="1"/>
  <c r="N293" i="2"/>
  <c r="O293" i="2" s="1"/>
  <c r="N4" i="2"/>
  <c r="O4" i="2" s="1"/>
  <c r="R4" i="2"/>
  <c r="R5" i="2" s="1"/>
  <c r="R6" i="2" s="1"/>
  <c r="R7" i="2" s="1"/>
  <c r="R8" i="2" s="1"/>
  <c r="R9" i="2" s="1"/>
  <c r="R10" i="2" s="1"/>
  <c r="R11" i="2" s="1"/>
  <c r="R12" i="2" s="1"/>
  <c r="R13" i="2" s="1"/>
  <c r="R14" i="2" s="1"/>
  <c r="R15" i="2" s="1"/>
  <c r="R16" i="2" s="1"/>
  <c r="R17" i="2" s="1"/>
  <c r="R18" i="2" s="1"/>
  <c r="R19" i="2" s="1"/>
  <c r="R20" i="2" s="1"/>
  <c r="R21" i="2" s="1"/>
  <c r="R22" i="2" s="1"/>
  <c r="R23" i="2" s="1"/>
  <c r="R24" i="2" s="1"/>
  <c r="R25" i="2" s="1"/>
  <c r="R26" i="2" s="1"/>
  <c r="R27" i="2" s="1"/>
  <c r="R28" i="2" s="1"/>
  <c r="R29" i="2" s="1"/>
  <c r="R30" i="2" s="1"/>
  <c r="R31" i="2" s="1"/>
  <c r="R32" i="2" s="1"/>
  <c r="R33" i="2" s="1"/>
  <c r="R34" i="2" s="1"/>
  <c r="R35" i="2" s="1"/>
  <c r="R36" i="2" s="1"/>
  <c r="R37" i="2" s="1"/>
  <c r="R38" i="2" s="1"/>
  <c r="R39" i="2" s="1"/>
  <c r="R40" i="2" s="1"/>
  <c r="R41" i="2" s="1"/>
  <c r="R42" i="2" s="1"/>
  <c r="R43" i="2" s="1"/>
  <c r="R44" i="2" s="1"/>
  <c r="R45" i="2" s="1"/>
  <c r="R46" i="2" s="1"/>
  <c r="R47" i="2" s="1"/>
  <c r="R48" i="2" s="1"/>
  <c r="R49" i="2" s="1"/>
  <c r="R50" i="2" s="1"/>
  <c r="R51" i="2" s="1"/>
  <c r="R52" i="2" s="1"/>
  <c r="R53" i="2" s="1"/>
  <c r="R54" i="2" s="1"/>
  <c r="R55" i="2" s="1"/>
  <c r="R56" i="2" s="1"/>
  <c r="R57" i="2" s="1"/>
  <c r="R58" i="2" s="1"/>
  <c r="R59" i="2" s="1"/>
  <c r="R60" i="2" s="1"/>
  <c r="R61" i="2" s="1"/>
  <c r="R62" i="2" s="1"/>
  <c r="R63" i="2" s="1"/>
  <c r="R64" i="2" s="1"/>
  <c r="R65" i="2" s="1"/>
  <c r="R66" i="2" s="1"/>
  <c r="R67" i="2" s="1"/>
  <c r="R68" i="2" s="1"/>
  <c r="R69" i="2" s="1"/>
  <c r="R70" i="2" s="1"/>
  <c r="R71" i="2" s="1"/>
  <c r="R72" i="2" s="1"/>
  <c r="R73" i="2" s="1"/>
  <c r="R74" i="2" s="1"/>
  <c r="R75" i="2" s="1"/>
  <c r="R76" i="2" s="1"/>
  <c r="R77" i="2" s="1"/>
  <c r="R78" i="2" s="1"/>
  <c r="R79" i="2" s="1"/>
  <c r="R80" i="2" s="1"/>
  <c r="R81" i="2" s="1"/>
  <c r="R82" i="2" s="1"/>
  <c r="R83" i="2" s="1"/>
  <c r="R84" i="2" s="1"/>
  <c r="R85" i="2" s="1"/>
  <c r="R86" i="2" s="1"/>
  <c r="R87" i="2" s="1"/>
  <c r="R88" i="2" s="1"/>
  <c r="R89" i="2" s="1"/>
  <c r="R90" i="2" s="1"/>
  <c r="R91" i="2" s="1"/>
  <c r="R92" i="2" s="1"/>
  <c r="R93" i="2" s="1"/>
  <c r="R94" i="2" s="1"/>
  <c r="R95" i="2" s="1"/>
  <c r="R96" i="2" s="1"/>
  <c r="R97" i="2" s="1"/>
  <c r="R98" i="2" s="1"/>
  <c r="R99" i="2" s="1"/>
  <c r="R100" i="2" s="1"/>
  <c r="R101" i="2" s="1"/>
  <c r="R102" i="2" s="1"/>
  <c r="R103" i="2" s="1"/>
  <c r="R104" i="2" s="1"/>
  <c r="R105" i="2" s="1"/>
  <c r="R106" i="2" s="1"/>
  <c r="R107" i="2" s="1"/>
  <c r="R108" i="2" s="1"/>
  <c r="R109" i="2" s="1"/>
  <c r="R110" i="2" s="1"/>
  <c r="R111" i="2" s="1"/>
  <c r="R112" i="2" s="1"/>
  <c r="R113" i="2" s="1"/>
  <c r="R114" i="2" s="1"/>
  <c r="R115" i="2" s="1"/>
  <c r="R116" i="2" s="1"/>
  <c r="R117" i="2" s="1"/>
  <c r="R118" i="2" s="1"/>
  <c r="R119" i="2" s="1"/>
  <c r="R120" i="2" s="1"/>
  <c r="R121" i="2" s="1"/>
  <c r="R122" i="2" s="1"/>
  <c r="R123" i="2" s="1"/>
  <c r="R124" i="2" s="1"/>
  <c r="R125" i="2" s="1"/>
  <c r="R126" i="2" s="1"/>
  <c r="R127" i="2" s="1"/>
  <c r="R128" i="2" s="1"/>
  <c r="R129" i="2" s="1"/>
  <c r="R130" i="2" s="1"/>
  <c r="R131" i="2" s="1"/>
  <c r="R132" i="2" s="1"/>
  <c r="R133" i="2" s="1"/>
  <c r="R134" i="2" s="1"/>
  <c r="R135" i="2" s="1"/>
  <c r="R136" i="2" s="1"/>
  <c r="R137" i="2" s="1"/>
  <c r="R138" i="2" s="1"/>
  <c r="R139" i="2" s="1"/>
  <c r="R140" i="2" s="1"/>
  <c r="R141" i="2" s="1"/>
  <c r="R142" i="2" s="1"/>
  <c r="R143" i="2" s="1"/>
  <c r="R144" i="2" s="1"/>
  <c r="R145" i="2" s="1"/>
  <c r="R146" i="2" s="1"/>
  <c r="R147" i="2" s="1"/>
  <c r="R148" i="2" s="1"/>
  <c r="R149" i="2" s="1"/>
  <c r="R150" i="2" s="1"/>
  <c r="R151" i="2" s="1"/>
  <c r="R152" i="2" s="1"/>
  <c r="R153" i="2" s="1"/>
  <c r="R154" i="2" s="1"/>
  <c r="R155" i="2" s="1"/>
  <c r="R156" i="2" s="1"/>
  <c r="R157" i="2" s="1"/>
  <c r="R158" i="2" s="1"/>
  <c r="R159" i="2" s="1"/>
  <c r="R160" i="2" s="1"/>
  <c r="R161" i="2" s="1"/>
  <c r="R162" i="2" s="1"/>
  <c r="R163" i="2" s="1"/>
  <c r="R164" i="2" s="1"/>
  <c r="R165" i="2" s="1"/>
  <c r="R166" i="2" s="1"/>
  <c r="R167" i="2" s="1"/>
  <c r="R168" i="2" s="1"/>
  <c r="R169" i="2" s="1"/>
  <c r="R170" i="2" s="1"/>
  <c r="R171" i="2" s="1"/>
  <c r="R172" i="2" s="1"/>
  <c r="R173" i="2" s="1"/>
  <c r="R174" i="2" s="1"/>
  <c r="R175" i="2" s="1"/>
  <c r="R176" i="2" s="1"/>
  <c r="R177" i="2" s="1"/>
  <c r="R178" i="2" s="1"/>
  <c r="R179" i="2" s="1"/>
  <c r="R180" i="2" s="1"/>
  <c r="R181" i="2" s="1"/>
  <c r="R182" i="2" s="1"/>
  <c r="R183" i="2" s="1"/>
  <c r="R184" i="2" s="1"/>
  <c r="R185" i="2" s="1"/>
  <c r="R186" i="2" s="1"/>
  <c r="R187" i="2" s="1"/>
  <c r="R188" i="2" s="1"/>
  <c r="R189" i="2" s="1"/>
  <c r="R190" i="2" s="1"/>
  <c r="R191" i="2" s="1"/>
  <c r="R192" i="2" s="1"/>
  <c r="R193" i="2" s="1"/>
  <c r="R194" i="2" s="1"/>
  <c r="R195" i="2" s="1"/>
  <c r="R196" i="2" s="1"/>
  <c r="R197" i="2" s="1"/>
  <c r="R198" i="2" s="1"/>
  <c r="R199" i="2" s="1"/>
  <c r="R200" i="2" s="1"/>
  <c r="R201" i="2" s="1"/>
  <c r="R202" i="2" s="1"/>
  <c r="R203" i="2" s="1"/>
  <c r="R204" i="2" s="1"/>
  <c r="R205" i="2" s="1"/>
  <c r="R206" i="2" s="1"/>
  <c r="R207" i="2" s="1"/>
  <c r="R208" i="2" s="1"/>
  <c r="R209" i="2" s="1"/>
  <c r="R210" i="2" s="1"/>
  <c r="R211" i="2" s="1"/>
  <c r="R212" i="2" s="1"/>
  <c r="R213" i="2" s="1"/>
  <c r="R214" i="2" s="1"/>
  <c r="R215" i="2" s="1"/>
  <c r="R216" i="2" s="1"/>
  <c r="R217" i="2" s="1"/>
  <c r="R218" i="2" s="1"/>
  <c r="R219" i="2" s="1"/>
  <c r="R220" i="2" s="1"/>
  <c r="R221" i="2" s="1"/>
  <c r="R222" i="2" s="1"/>
  <c r="R223" i="2" s="1"/>
  <c r="R224" i="2" s="1"/>
  <c r="R225" i="2" s="1"/>
  <c r="R226" i="2" s="1"/>
  <c r="R227" i="2" s="1"/>
  <c r="R228" i="2" s="1"/>
  <c r="R229" i="2" s="1"/>
  <c r="R230" i="2" s="1"/>
  <c r="R231" i="2" s="1"/>
  <c r="R232" i="2" s="1"/>
  <c r="R233" i="2" s="1"/>
  <c r="R234" i="2" s="1"/>
  <c r="R235" i="2" s="1"/>
  <c r="R236" i="2" s="1"/>
  <c r="R237" i="2" s="1"/>
  <c r="R238" i="2" s="1"/>
  <c r="R239" i="2" s="1"/>
  <c r="R240" i="2" s="1"/>
  <c r="R241" i="2" s="1"/>
  <c r="R242" i="2" s="1"/>
  <c r="R243" i="2" s="1"/>
  <c r="R244" i="2" s="1"/>
  <c r="R245" i="2" s="1"/>
  <c r="R246" i="2" s="1"/>
  <c r="R247" i="2" s="1"/>
  <c r="R248" i="2" s="1"/>
  <c r="R249" i="2" s="1"/>
  <c r="R250" i="2" s="1"/>
  <c r="R251" i="2" s="1"/>
  <c r="R252" i="2" s="1"/>
  <c r="R253" i="2" s="1"/>
  <c r="R254" i="2" s="1"/>
  <c r="R255" i="2" s="1"/>
  <c r="R256" i="2" s="1"/>
  <c r="R257" i="2" s="1"/>
  <c r="R258" i="2" s="1"/>
  <c r="R259" i="2" s="1"/>
  <c r="R260" i="2" s="1"/>
  <c r="R261" i="2" s="1"/>
  <c r="R262" i="2" s="1"/>
  <c r="R263" i="2" s="1"/>
  <c r="R264" i="2" s="1"/>
  <c r="R265" i="2" s="1"/>
  <c r="R266" i="2" s="1"/>
  <c r="R267" i="2" s="1"/>
  <c r="R268" i="2" s="1"/>
  <c r="R269" i="2" s="1"/>
  <c r="R270" i="2" s="1"/>
  <c r="R271" i="2" s="1"/>
  <c r="R272" i="2" s="1"/>
  <c r="R273" i="2" s="1"/>
  <c r="R274" i="2" s="1"/>
  <c r="R275" i="2" s="1"/>
  <c r="R276" i="2" s="1"/>
  <c r="R277" i="2" s="1"/>
  <c r="R278" i="2" s="1"/>
  <c r="R279" i="2" s="1"/>
  <c r="R280" i="2" s="1"/>
  <c r="R281" i="2" s="1"/>
  <c r="R282" i="2" s="1"/>
  <c r="R283" i="2" s="1"/>
  <c r="R284" i="2" s="1"/>
  <c r="R285" i="2" s="1"/>
  <c r="R286" i="2" s="1"/>
  <c r="R287" i="2" s="1"/>
  <c r="R288" i="2" s="1"/>
  <c r="R289" i="2" s="1"/>
  <c r="R290" i="2" s="1"/>
  <c r="R291" i="2" s="1"/>
  <c r="R292" i="2" s="1"/>
  <c r="R293" i="2" s="1"/>
  <c r="R294" i="2" s="1"/>
  <c r="R295" i="2" s="1"/>
  <c r="R296" i="2" s="1"/>
  <c r="R297" i="2" s="1"/>
  <c r="C47" i="2"/>
  <c r="C48" i="2"/>
  <c r="C49" i="2"/>
  <c r="C50" i="2"/>
  <c r="C21" i="2"/>
  <c r="C22" i="2"/>
  <c r="C23" i="2"/>
  <c r="C24" i="2"/>
  <c r="C25" i="2"/>
  <c r="C26" i="2"/>
  <c r="C27" i="2"/>
  <c r="C28" i="2"/>
  <c r="C30" i="2"/>
  <c r="C31" i="2"/>
  <c r="C33" i="2"/>
  <c r="C34" i="2"/>
  <c r="C35" i="2"/>
  <c r="C36" i="2"/>
  <c r="C37" i="2"/>
  <c r="C38" i="2"/>
  <c r="C40" i="2"/>
  <c r="C42" i="2"/>
  <c r="C43" i="2"/>
  <c r="C44" i="2"/>
  <c r="C45" i="2"/>
  <c r="C46" i="2"/>
  <c r="C5" i="2"/>
  <c r="C6" i="2"/>
  <c r="C8" i="2"/>
  <c r="C9" i="2"/>
  <c r="C10" i="2"/>
  <c r="C12" i="2"/>
  <c r="C14" i="2"/>
  <c r="C15" i="2"/>
  <c r="C17" i="2"/>
  <c r="C18" i="2"/>
  <c r="C16" i="2"/>
  <c r="C19" i="2"/>
  <c r="C20" i="2"/>
  <c r="C4" i="2"/>
  <c r="D20" i="4"/>
  <c r="E11" i="4"/>
  <c r="D9" i="4"/>
  <c r="E14" i="6"/>
  <c r="C14" i="6"/>
  <c r="D906" i="1"/>
  <c r="B14" i="6"/>
  <c r="D14" i="6"/>
  <c r="F4" i="6"/>
  <c r="F19" i="4"/>
  <c r="E20" i="4"/>
  <c r="C20" i="4"/>
  <c r="D8" i="6" l="1"/>
  <c r="E7" i="4"/>
  <c r="E7" i="6"/>
  <c r="F20" i="6"/>
  <c r="B11" i="4"/>
  <c r="D9" i="6"/>
  <c r="C16" i="6"/>
  <c r="E14" i="4"/>
  <c r="AI36" i="2"/>
  <c r="AI52" i="2"/>
  <c r="AI60" i="2"/>
  <c r="AI14" i="2"/>
  <c r="AG11" i="2"/>
  <c r="AG13" i="2"/>
  <c r="AG15" i="2"/>
  <c r="AG17" i="2"/>
  <c r="AI12" i="2"/>
  <c r="AI30" i="2"/>
  <c r="AI38" i="2"/>
  <c r="AI46" i="2"/>
  <c r="AI54" i="2"/>
  <c r="AI62" i="2"/>
  <c r="AI11" i="2"/>
  <c r="AI23" i="2"/>
  <c r="AI31" i="2"/>
  <c r="AI39" i="2"/>
  <c r="AI47" i="2"/>
  <c r="AI55" i="2"/>
  <c r="AI24" i="2"/>
  <c r="AI32" i="2"/>
  <c r="AI40" i="2"/>
  <c r="AI48" i="2"/>
  <c r="AI56" i="2"/>
  <c r="AI20" i="2"/>
  <c r="AG12" i="2"/>
  <c r="AG14" i="2"/>
  <c r="AG16" i="2"/>
  <c r="AG18" i="2"/>
  <c r="AI25" i="2"/>
  <c r="AI33" i="2"/>
  <c r="AI41" i="2"/>
  <c r="AI49" i="2"/>
  <c r="AI57" i="2"/>
  <c r="AI19" i="2"/>
  <c r="AI26" i="2"/>
  <c r="AI34" i="2"/>
  <c r="AI42" i="2"/>
  <c r="AI50" i="2"/>
  <c r="AI58" i="2"/>
  <c r="B6" i="6"/>
  <c r="D13" i="4"/>
  <c r="B7" i="6"/>
  <c r="C6" i="4"/>
  <c r="B8" i="4"/>
  <c r="I16" i="6"/>
  <c r="B16" i="4"/>
  <c r="E16" i="6"/>
  <c r="E13" i="4"/>
  <c r="B14" i="4"/>
  <c r="C7" i="6"/>
  <c r="D6" i="4"/>
  <c r="C14" i="4"/>
  <c r="E6" i="4"/>
  <c r="C11" i="6"/>
  <c r="D8" i="4"/>
  <c r="B13" i="6"/>
  <c r="D13" i="6"/>
  <c r="D11" i="6"/>
  <c r="B9" i="6"/>
  <c r="E13" i="6"/>
  <c r="C13" i="4"/>
  <c r="E16" i="4"/>
  <c r="B7" i="4"/>
  <c r="C9" i="4"/>
  <c r="B13" i="4"/>
  <c r="Q287" i="2"/>
  <c r="O287" i="2"/>
  <c r="Q279" i="2"/>
  <c r="O279" i="2"/>
  <c r="Q271" i="2"/>
  <c r="O271" i="2"/>
  <c r="Q263" i="2"/>
  <c r="O263" i="2"/>
  <c r="Q255" i="2"/>
  <c r="O255" i="2"/>
  <c r="Q247" i="2"/>
  <c r="O247" i="2"/>
  <c r="Q239" i="2"/>
  <c r="O239" i="2"/>
  <c r="Q231" i="2"/>
  <c r="O231" i="2"/>
  <c r="Q223" i="2"/>
  <c r="O223" i="2"/>
  <c r="Q215" i="2"/>
  <c r="O215" i="2"/>
  <c r="Q207" i="2"/>
  <c r="O207" i="2"/>
  <c r="Q199" i="2"/>
  <c r="O199" i="2"/>
  <c r="Q191" i="2"/>
  <c r="O191" i="2"/>
  <c r="Q183" i="2"/>
  <c r="O183" i="2"/>
  <c r="Q175" i="2"/>
  <c r="O175" i="2"/>
  <c r="Q167" i="2"/>
  <c r="O167" i="2"/>
  <c r="Q159" i="2"/>
  <c r="O159" i="2"/>
  <c r="Q151" i="2"/>
  <c r="O151" i="2"/>
  <c r="Q143" i="2"/>
  <c r="O143" i="2"/>
  <c r="Q135" i="2"/>
  <c r="O135" i="2"/>
  <c r="Q127" i="2"/>
  <c r="O127" i="2"/>
  <c r="Q119" i="2"/>
  <c r="O119" i="2"/>
  <c r="Q111" i="2"/>
  <c r="O111" i="2"/>
  <c r="Q103" i="2"/>
  <c r="O103" i="2"/>
  <c r="Q95" i="2"/>
  <c r="O95" i="2"/>
  <c r="Q87" i="2"/>
  <c r="O87" i="2"/>
  <c r="Q79" i="2"/>
  <c r="O79" i="2"/>
  <c r="Q71" i="2"/>
  <c r="O71" i="2"/>
  <c r="Q63" i="2"/>
  <c r="O63" i="2"/>
  <c r="Q55" i="2"/>
  <c r="O55" i="2"/>
  <c r="Q47" i="2"/>
  <c r="O47" i="2"/>
  <c r="Q39" i="2"/>
  <c r="O39" i="2"/>
  <c r="Q31" i="2"/>
  <c r="O31" i="2"/>
  <c r="Q23" i="2"/>
  <c r="O23" i="2"/>
  <c r="Q15" i="2"/>
  <c r="O15" i="2"/>
  <c r="Q7" i="2"/>
  <c r="O7" i="2"/>
  <c r="E8" i="4"/>
  <c r="AI63" i="2"/>
  <c r="AO5" i="2" s="1"/>
  <c r="AQ5" i="2" s="1"/>
  <c r="AI44" i="2"/>
  <c r="AI22" i="2"/>
  <c r="AI27" i="2"/>
  <c r="AI35" i="2"/>
  <c r="AI43" i="2"/>
  <c r="AI51" i="2"/>
  <c r="AI59" i="2"/>
  <c r="AI17" i="2"/>
  <c r="AI16" i="2"/>
  <c r="AI21" i="2"/>
  <c r="AI29" i="2"/>
  <c r="AI37" i="2"/>
  <c r="AI45" i="2"/>
  <c r="AI53" i="2"/>
  <c r="AI61" i="2"/>
  <c r="AI13" i="2"/>
  <c r="AI28" i="2"/>
  <c r="C15" i="4"/>
  <c r="Q293" i="2"/>
  <c r="Q285" i="2"/>
  <c r="Q277" i="2"/>
  <c r="Q269" i="2"/>
  <c r="Q261" i="2"/>
  <c r="D15" i="6"/>
  <c r="E15" i="6"/>
  <c r="Q290" i="2"/>
  <c r="Q282" i="2"/>
  <c r="Q274" i="2"/>
  <c r="Q266" i="2"/>
  <c r="Q258" i="2"/>
  <c r="Q250" i="2"/>
  <c r="Q242" i="2"/>
  <c r="Q234" i="2"/>
  <c r="Q226" i="2"/>
  <c r="Q218" i="2"/>
  <c r="Q210" i="2"/>
  <c r="Q202" i="2"/>
  <c r="Q194" i="2"/>
  <c r="Q186" i="2"/>
  <c r="Q178" i="2"/>
  <c r="Q170" i="2"/>
  <c r="Q162" i="2"/>
  <c r="Q154" i="2"/>
  <c r="Q146" i="2"/>
  <c r="Q138" i="2"/>
  <c r="Q130" i="2"/>
  <c r="Q122" i="2"/>
  <c r="Q114" i="2"/>
  <c r="Q106" i="2"/>
  <c r="Q98" i="2"/>
  <c r="Q90" i="2"/>
  <c r="Q82" i="2"/>
  <c r="Q74" i="2"/>
  <c r="Q66" i="2"/>
  <c r="Q58" i="2"/>
  <c r="Q50" i="2"/>
  <c r="Q42" i="2"/>
  <c r="Q34" i="2"/>
  <c r="Q26" i="2"/>
  <c r="Q18" i="2"/>
  <c r="Q10" i="2"/>
  <c r="B15" i="4"/>
  <c r="Q289" i="2"/>
  <c r="Q281" i="2"/>
  <c r="Q273" i="2"/>
  <c r="Q265" i="2"/>
  <c r="Q257" i="2"/>
  <c r="Q249" i="2"/>
  <c r="Q241" i="2"/>
  <c r="Q233" i="2"/>
  <c r="Q225" i="2"/>
  <c r="Q217" i="2"/>
  <c r="Q209" i="2"/>
  <c r="Q201" i="2"/>
  <c r="Q193" i="2"/>
  <c r="Q185" i="2"/>
  <c r="Q177" i="2"/>
  <c r="Q169" i="2"/>
  <c r="Q161" i="2"/>
  <c r="Q153" i="2"/>
  <c r="Q145" i="2"/>
  <c r="Q137" i="2"/>
  <c r="Q129" i="2"/>
  <c r="Q121" i="2"/>
  <c r="Q113" i="2"/>
  <c r="Q105" i="2"/>
  <c r="Q97" i="2"/>
  <c r="Q89" i="2"/>
  <c r="Q81" i="2"/>
  <c r="Q73" i="2"/>
  <c r="Q65" i="2"/>
  <c r="Q57" i="2"/>
  <c r="Q49" i="2"/>
  <c r="Q41" i="2"/>
  <c r="Q33" i="2"/>
  <c r="Q25" i="2"/>
  <c r="Q17" i="2"/>
  <c r="Q9" i="2"/>
  <c r="Q288" i="2"/>
  <c r="Q280" i="2"/>
  <c r="Q272" i="2"/>
  <c r="Q264" i="2"/>
  <c r="Q256" i="2"/>
  <c r="Q248" i="2"/>
  <c r="Q240" i="2"/>
  <c r="Q232" i="2"/>
  <c r="Q224" i="2"/>
  <c r="Q216" i="2"/>
  <c r="Q208" i="2"/>
  <c r="Q200" i="2"/>
  <c r="Q192" i="2"/>
  <c r="Q184" i="2"/>
  <c r="Q176" i="2"/>
  <c r="Q168" i="2"/>
  <c r="Q160" i="2"/>
  <c r="Q152" i="2"/>
  <c r="Q144" i="2"/>
  <c r="Q136" i="2"/>
  <c r="Q128" i="2"/>
  <c r="Q120" i="2"/>
  <c r="Q112" i="2"/>
  <c r="Q104" i="2"/>
  <c r="Q96" i="2"/>
  <c r="Q88" i="2"/>
  <c r="Q80" i="2"/>
  <c r="Q72" i="2"/>
  <c r="Q64" i="2"/>
  <c r="Q56" i="2"/>
  <c r="Q48" i="2"/>
  <c r="Q40" i="2"/>
  <c r="Q32" i="2"/>
  <c r="Q24" i="2"/>
  <c r="Q16" i="2"/>
  <c r="Q8" i="2"/>
  <c r="E9" i="6"/>
  <c r="D16" i="6"/>
  <c r="F16" i="6" s="1"/>
  <c r="F4" i="4"/>
  <c r="E5" i="6"/>
  <c r="E6" i="6"/>
  <c r="E8" i="6"/>
  <c r="E12" i="4"/>
  <c r="D7" i="4"/>
  <c r="Q4" i="2"/>
  <c r="Q410" i="2"/>
  <c r="Q314" i="2"/>
  <c r="Q442" i="2"/>
  <c r="Q316" i="2"/>
  <c r="Q378" i="2"/>
  <c r="Q380" i="2"/>
  <c r="Q346" i="2"/>
  <c r="Q286" i="2"/>
  <c r="Q278" i="2"/>
  <c r="Q270" i="2"/>
  <c r="Q262" i="2"/>
  <c r="Q254" i="2"/>
  <c r="Q246" i="2"/>
  <c r="Q238" i="2"/>
  <c r="Q230" i="2"/>
  <c r="Q222" i="2"/>
  <c r="Q214" i="2"/>
  <c r="Q206" i="2"/>
  <c r="Q198" i="2"/>
  <c r="Q190" i="2"/>
  <c r="Q182" i="2"/>
  <c r="Q174" i="2"/>
  <c r="Q166" i="2"/>
  <c r="Q158" i="2"/>
  <c r="Q150" i="2"/>
  <c r="Q142" i="2"/>
  <c r="Q134" i="2"/>
  <c r="Q126" i="2"/>
  <c r="Q118" i="2"/>
  <c r="Q110" i="2"/>
  <c r="Q102" i="2"/>
  <c r="Q94" i="2"/>
  <c r="Q86" i="2"/>
  <c r="Q78" i="2"/>
  <c r="Q70" i="2"/>
  <c r="Q62" i="2"/>
  <c r="Q54" i="2"/>
  <c r="Q46" i="2"/>
  <c r="Q38" i="2"/>
  <c r="Q30" i="2"/>
  <c r="Q22" i="2"/>
  <c r="Q14" i="2"/>
  <c r="Q6" i="2"/>
  <c r="F14" i="6"/>
  <c r="Q253" i="2"/>
  <c r="Q245" i="2"/>
  <c r="Q237" i="2"/>
  <c r="Q229" i="2"/>
  <c r="Q221" i="2"/>
  <c r="Q213" i="2"/>
  <c r="Q205" i="2"/>
  <c r="Q197" i="2"/>
  <c r="Q189" i="2"/>
  <c r="Q181" i="2"/>
  <c r="Q173" i="2"/>
  <c r="Q165" i="2"/>
  <c r="Q157" i="2"/>
  <c r="Q149" i="2"/>
  <c r="Q141" i="2"/>
  <c r="Q133" i="2"/>
  <c r="Q125" i="2"/>
  <c r="Q117" i="2"/>
  <c r="Q109" i="2"/>
  <c r="Q101" i="2"/>
  <c r="Q93" i="2"/>
  <c r="Q85" i="2"/>
  <c r="Q77" i="2"/>
  <c r="Q69" i="2"/>
  <c r="Q61" i="2"/>
  <c r="Q53" i="2"/>
  <c r="Q45" i="2"/>
  <c r="Q37" i="2"/>
  <c r="Q29" i="2"/>
  <c r="Q21" i="2"/>
  <c r="Q13" i="2"/>
  <c r="Q5" i="2"/>
  <c r="D17" i="4"/>
  <c r="B5" i="4"/>
  <c r="Q220" i="2"/>
  <c r="Q92" i="2"/>
  <c r="Q291" i="2"/>
  <c r="Q283" i="2"/>
  <c r="Q275" i="2"/>
  <c r="Q267" i="2"/>
  <c r="Q259" i="2"/>
  <c r="Q251" i="2"/>
  <c r="Q243" i="2"/>
  <c r="Q235" i="2"/>
  <c r="Q227" i="2"/>
  <c r="Q219" i="2"/>
  <c r="Q211" i="2"/>
  <c r="Q203" i="2"/>
  <c r="Q348" i="2"/>
  <c r="Q390" i="2"/>
  <c r="Q382" i="2"/>
  <c r="Q374" i="2"/>
  <c r="Q366" i="2"/>
  <c r="Q358" i="2"/>
  <c r="Q350" i="2"/>
  <c r="Q342" i="2"/>
  <c r="Q334" i="2"/>
  <c r="Q326" i="2"/>
  <c r="Q318" i="2"/>
  <c r="Q310" i="2"/>
  <c r="Q302" i="2"/>
  <c r="D15" i="4"/>
  <c r="Q444" i="2"/>
  <c r="Q412" i="2"/>
  <c r="Q292" i="2"/>
  <c r="Q284" i="2"/>
  <c r="Q276" i="2"/>
  <c r="Q268" i="2"/>
  <c r="Q260" i="2"/>
  <c r="Q252" i="2"/>
  <c r="Q244" i="2"/>
  <c r="Q236" i="2"/>
  <c r="Q228" i="2"/>
  <c r="Q212" i="2"/>
  <c r="Q204" i="2"/>
  <c r="Q196" i="2"/>
  <c r="Q188" i="2"/>
  <c r="Q180" i="2"/>
  <c r="Q172" i="2"/>
  <c r="Q164" i="2"/>
  <c r="Q156" i="2"/>
  <c r="Q148" i="2"/>
  <c r="Q140" i="2"/>
  <c r="Q132" i="2"/>
  <c r="Q124" i="2"/>
  <c r="Q116" i="2"/>
  <c r="Q108" i="2"/>
  <c r="Q100" i="2"/>
  <c r="Q84" i="2"/>
  <c r="Q76" i="2"/>
  <c r="Q68" i="2"/>
  <c r="Q60" i="2"/>
  <c r="Q52" i="2"/>
  <c r="Q44" i="2"/>
  <c r="Q36" i="2"/>
  <c r="Q28" i="2"/>
  <c r="Q20" i="2"/>
  <c r="Q12" i="2"/>
  <c r="Q195" i="2"/>
  <c r="Q187" i="2"/>
  <c r="Q179" i="2"/>
  <c r="Q171" i="2"/>
  <c r="Q163" i="2"/>
  <c r="Q155" i="2"/>
  <c r="Q147" i="2"/>
  <c r="Q139" i="2"/>
  <c r="Q131" i="2"/>
  <c r="Q123" i="2"/>
  <c r="Q115" i="2"/>
  <c r="Q107" i="2"/>
  <c r="Q99" i="2"/>
  <c r="Q91" i="2"/>
  <c r="Q83" i="2"/>
  <c r="Q75" i="2"/>
  <c r="Q67" i="2"/>
  <c r="Q59" i="2"/>
  <c r="Q51" i="2"/>
  <c r="Q43" i="2"/>
  <c r="Q35" i="2"/>
  <c r="Q27" i="2"/>
  <c r="Q19" i="2"/>
  <c r="Q11" i="2"/>
  <c r="B12" i="4"/>
  <c r="Q394" i="2"/>
  <c r="Q386" i="2"/>
  <c r="Q370" i="2"/>
  <c r="Q362" i="2"/>
  <c r="Q354" i="2"/>
  <c r="Q338" i="2"/>
  <c r="Q330" i="2"/>
  <c r="Q322" i="2"/>
  <c r="Q306" i="2"/>
  <c r="Q298" i="2"/>
  <c r="Q392" i="2"/>
  <c r="Q384" i="2"/>
  <c r="Q376" i="2"/>
  <c r="Q368" i="2"/>
  <c r="Q360" i="2"/>
  <c r="Q352" i="2"/>
  <c r="Q344" i="2"/>
  <c r="Q336" i="2"/>
  <c r="Q328" i="2"/>
  <c r="Q320" i="2"/>
  <c r="Q312" i="2"/>
  <c r="Q304" i="2"/>
  <c r="Q296" i="2"/>
  <c r="Q450" i="2"/>
  <c r="Q434" i="2"/>
  <c r="Q426" i="2"/>
  <c r="Q418" i="2"/>
  <c r="Q402" i="2"/>
  <c r="Q391" i="2"/>
  <c r="Q383" i="2"/>
  <c r="Q375" i="2"/>
  <c r="Q367" i="2"/>
  <c r="Q359" i="2"/>
  <c r="Q351" i="2"/>
  <c r="Q343" i="2"/>
  <c r="Q335" i="2"/>
  <c r="Q327" i="2"/>
  <c r="Q319" i="2"/>
  <c r="Q311" i="2"/>
  <c r="Q303" i="2"/>
  <c r="Q388" i="2"/>
  <c r="Q372" i="2"/>
  <c r="Q364" i="2"/>
  <c r="Q356" i="2"/>
  <c r="Q340" i="2"/>
  <c r="Q332" i="2"/>
  <c r="Q324" i="2"/>
  <c r="Q308" i="2"/>
  <c r="Q300" i="2"/>
  <c r="Q395" i="2"/>
  <c r="Q387" i="2"/>
  <c r="Q379" i="2"/>
  <c r="Q371" i="2"/>
  <c r="Q363" i="2"/>
  <c r="Q355" i="2"/>
  <c r="Q347" i="2"/>
  <c r="Q339" i="2"/>
  <c r="Q331" i="2"/>
  <c r="Q323" i="2"/>
  <c r="Q315" i="2"/>
  <c r="Q307" i="2"/>
  <c r="Q299" i="2"/>
  <c r="Q452" i="2"/>
  <c r="W5" i="2" s="1"/>
  <c r="Q436" i="2"/>
  <c r="Q428" i="2"/>
  <c r="Q420" i="2"/>
  <c r="Q404" i="2"/>
  <c r="Q396" i="2"/>
  <c r="Q451" i="2"/>
  <c r="Q443" i="2"/>
  <c r="Q435" i="2"/>
  <c r="Q427" i="2"/>
  <c r="Q419" i="2"/>
  <c r="Q411" i="2"/>
  <c r="Q403" i="2"/>
  <c r="Q446" i="2"/>
  <c r="Q438" i="2"/>
  <c r="Q430" i="2"/>
  <c r="Q422" i="2"/>
  <c r="Q414" i="2"/>
  <c r="Q406" i="2"/>
  <c r="Q398" i="2"/>
  <c r="Q393" i="2"/>
  <c r="Q385" i="2"/>
  <c r="Q377" i="2"/>
  <c r="Q369" i="2"/>
  <c r="Q361" i="2"/>
  <c r="Q353" i="2"/>
  <c r="Q345" i="2"/>
  <c r="Q337" i="2"/>
  <c r="Q329" i="2"/>
  <c r="Q321" i="2"/>
  <c r="Q313" i="2"/>
  <c r="Q305" i="2"/>
  <c r="Q297" i="2"/>
  <c r="Q445" i="2"/>
  <c r="Q437" i="2"/>
  <c r="Q429" i="2"/>
  <c r="Q421" i="2"/>
  <c r="Q413" i="2"/>
  <c r="Q405" i="2"/>
  <c r="Q397" i="2"/>
  <c r="Q295" i="2"/>
  <c r="Q389" i="2"/>
  <c r="Q381" i="2"/>
  <c r="Q373" i="2"/>
  <c r="Q365" i="2"/>
  <c r="Q357" i="2"/>
  <c r="Q349" i="2"/>
  <c r="Q341" i="2"/>
  <c r="Q333" i="2"/>
  <c r="Q325" i="2"/>
  <c r="Q317" i="2"/>
  <c r="Q309" i="2"/>
  <c r="Q301" i="2"/>
  <c r="Q449" i="2"/>
  <c r="Q441" i="2"/>
  <c r="Q433" i="2"/>
  <c r="Q425" i="2"/>
  <c r="Q417" i="2"/>
  <c r="Q409" i="2"/>
  <c r="Q401" i="2"/>
  <c r="Q294" i="2"/>
  <c r="Q448" i="2"/>
  <c r="Q440" i="2"/>
  <c r="Q432" i="2"/>
  <c r="Q424" i="2"/>
  <c r="Q416" i="2"/>
  <c r="Q408" i="2"/>
  <c r="Q400" i="2"/>
  <c r="Q447" i="2"/>
  <c r="Q439" i="2"/>
  <c r="Q431" i="2"/>
  <c r="Q423" i="2"/>
  <c r="Q415" i="2"/>
  <c r="Q407" i="2"/>
  <c r="Q399" i="2"/>
  <c r="C13" i="6"/>
  <c r="E11" i="6"/>
  <c r="B11" i="6"/>
  <c r="C11" i="4"/>
  <c r="F11" i="4" s="1"/>
  <c r="D12" i="4"/>
  <c r="B15" i="6"/>
  <c r="B17" i="6"/>
  <c r="C8" i="4"/>
  <c r="D16" i="4"/>
  <c r="E9" i="4"/>
  <c r="F9" i="4" s="1"/>
  <c r="B16" i="6"/>
  <c r="B12" i="6"/>
  <c r="D7" i="6"/>
  <c r="F20" i="4"/>
  <c r="C7" i="4"/>
  <c r="F7" i="4" s="1"/>
  <c r="C18" i="6"/>
  <c r="D6" i="6"/>
  <c r="B5" i="6"/>
  <c r="C17" i="6"/>
  <c r="B6" i="4"/>
  <c r="E17" i="4"/>
  <c r="B17" i="4"/>
  <c r="E18" i="4"/>
  <c r="C5" i="4"/>
  <c r="D12" i="6"/>
  <c r="D5" i="6"/>
  <c r="B8" i="6"/>
  <c r="E17" i="6"/>
  <c r="C5" i="6"/>
  <c r="C8" i="6"/>
  <c r="T5" i="2"/>
  <c r="C15" i="6"/>
  <c r="D968" i="1"/>
  <c r="D18" i="6"/>
  <c r="C12" i="4"/>
  <c r="B18" i="6"/>
  <c r="C6" i="6"/>
  <c r="D5" i="4"/>
  <c r="E18" i="6"/>
  <c r="E12" i="6"/>
  <c r="E5" i="4"/>
  <c r="B18" i="4"/>
  <c r="E15" i="4"/>
  <c r="C9" i="6"/>
  <c r="C16" i="4"/>
  <c r="C12" i="6"/>
  <c r="D14" i="4"/>
  <c r="D18" i="4"/>
  <c r="F19" i="6"/>
  <c r="AM5" i="2"/>
  <c r="I16" i="4"/>
  <c r="D1263" i="1"/>
  <c r="C17" i="4"/>
  <c r="B9" i="4"/>
  <c r="D17" i="6"/>
  <c r="C18" i="4"/>
  <c r="U5" i="2"/>
  <c r="R298" i="2"/>
  <c r="R299" i="2" s="1"/>
  <c r="R300" i="2" s="1"/>
  <c r="R301" i="2" s="1"/>
  <c r="R302" i="2" s="1"/>
  <c r="R303" i="2" s="1"/>
  <c r="R304" i="2" s="1"/>
  <c r="R305" i="2" s="1"/>
  <c r="R306" i="2" s="1"/>
  <c r="R307" i="2" s="1"/>
  <c r="R308" i="2" s="1"/>
  <c r="R309" i="2" s="1"/>
  <c r="R310" i="2" s="1"/>
  <c r="R311" i="2" s="1"/>
  <c r="R312" i="2" s="1"/>
  <c r="R313" i="2" s="1"/>
  <c r="R314" i="2" s="1"/>
  <c r="R315" i="2" s="1"/>
  <c r="R316" i="2" s="1"/>
  <c r="R317" i="2" s="1"/>
  <c r="R318" i="2" s="1"/>
  <c r="R319" i="2" s="1"/>
  <c r="R320" i="2" s="1"/>
  <c r="R321" i="2" s="1"/>
  <c r="R322" i="2" s="1"/>
  <c r="R323" i="2" s="1"/>
  <c r="R324" i="2" s="1"/>
  <c r="R325" i="2" s="1"/>
  <c r="R326" i="2" s="1"/>
  <c r="R327" i="2" s="1"/>
  <c r="R328" i="2" s="1"/>
  <c r="R329" i="2" s="1"/>
  <c r="R330" i="2" s="1"/>
  <c r="R331" i="2" s="1"/>
  <c r="R332" i="2" s="1"/>
  <c r="R333" i="2" s="1"/>
  <c r="R334" i="2" s="1"/>
  <c r="R335" i="2" s="1"/>
  <c r="R336" i="2" s="1"/>
  <c r="R337" i="2" s="1"/>
  <c r="R338" i="2" s="1"/>
  <c r="R339" i="2" s="1"/>
  <c r="R340" i="2" s="1"/>
  <c r="R341" i="2" s="1"/>
  <c r="R342" i="2" s="1"/>
  <c r="R343" i="2" s="1"/>
  <c r="R344" i="2" s="1"/>
  <c r="R345" i="2" s="1"/>
  <c r="R346" i="2" s="1"/>
  <c r="R347" i="2" s="1"/>
  <c r="R348" i="2" s="1"/>
  <c r="R349" i="2" s="1"/>
  <c r="R350" i="2" s="1"/>
  <c r="R351" i="2" s="1"/>
  <c r="R352" i="2" s="1"/>
  <c r="R353" i="2" s="1"/>
  <c r="R354" i="2" s="1"/>
  <c r="R355" i="2" s="1"/>
  <c r="R356" i="2" s="1"/>
  <c r="R357" i="2" s="1"/>
  <c r="R358" i="2" s="1"/>
  <c r="R359" i="2" s="1"/>
  <c r="R360" i="2" s="1"/>
  <c r="R361" i="2" s="1"/>
  <c r="R362" i="2" s="1"/>
  <c r="R363" i="2" s="1"/>
  <c r="R364" i="2" s="1"/>
  <c r="R365" i="2" s="1"/>
  <c r="R366" i="2" s="1"/>
  <c r="R367" i="2" s="1"/>
  <c r="R368" i="2" s="1"/>
  <c r="R369" i="2" s="1"/>
  <c r="R370" i="2" s="1"/>
  <c r="R371" i="2" s="1"/>
  <c r="R372" i="2" s="1"/>
  <c r="R373" i="2" s="1"/>
  <c r="R374" i="2" s="1"/>
  <c r="R375" i="2" s="1"/>
  <c r="R376" i="2" s="1"/>
  <c r="R377" i="2" s="1"/>
  <c r="R378" i="2" s="1"/>
  <c r="R379" i="2" s="1"/>
  <c r="R380" i="2" s="1"/>
  <c r="R381" i="2" s="1"/>
  <c r="R382" i="2" s="1"/>
  <c r="R383" i="2" s="1"/>
  <c r="R384" i="2" s="1"/>
  <c r="R385" i="2" s="1"/>
  <c r="R386" i="2" s="1"/>
  <c r="R387" i="2" s="1"/>
  <c r="R388" i="2" s="1"/>
  <c r="R389" i="2" s="1"/>
  <c r="R390" i="2" s="1"/>
  <c r="R391" i="2" s="1"/>
  <c r="R392" i="2" s="1"/>
  <c r="R393" i="2" s="1"/>
  <c r="R394" i="2" s="1"/>
  <c r="R395" i="2" s="1"/>
  <c r="R396" i="2" s="1"/>
  <c r="R397" i="2" s="1"/>
  <c r="R398" i="2" s="1"/>
  <c r="R399" i="2" s="1"/>
  <c r="R400" i="2" s="1"/>
  <c r="R401" i="2" s="1"/>
  <c r="R402" i="2" s="1"/>
  <c r="R403" i="2" s="1"/>
  <c r="R404" i="2" s="1"/>
  <c r="R405" i="2" s="1"/>
  <c r="R406" i="2" s="1"/>
  <c r="R407" i="2" s="1"/>
  <c r="R408" i="2" s="1"/>
  <c r="R409" i="2" s="1"/>
  <c r="R410" i="2" s="1"/>
  <c r="R411" i="2" s="1"/>
  <c r="R412" i="2" s="1"/>
  <c r="R413" i="2" s="1"/>
  <c r="R414" i="2" s="1"/>
  <c r="R415" i="2" s="1"/>
  <c r="R416" i="2" s="1"/>
  <c r="R417" i="2" s="1"/>
  <c r="R418" i="2" s="1"/>
  <c r="R419" i="2" s="1"/>
  <c r="R420" i="2" s="1"/>
  <c r="R421" i="2" s="1"/>
  <c r="R422" i="2" s="1"/>
  <c r="R423" i="2" s="1"/>
  <c r="R424" i="2" s="1"/>
  <c r="R425" i="2" s="1"/>
  <c r="R426" i="2" s="1"/>
  <c r="R427" i="2" s="1"/>
  <c r="R428" i="2" s="1"/>
  <c r="R429" i="2" s="1"/>
  <c r="R430" i="2" s="1"/>
  <c r="R431" i="2" s="1"/>
  <c r="R432" i="2" s="1"/>
  <c r="R433" i="2" s="1"/>
  <c r="R434" i="2" s="1"/>
  <c r="R435" i="2" s="1"/>
  <c r="R436" i="2" s="1"/>
  <c r="R437" i="2" s="1"/>
  <c r="R438" i="2" s="1"/>
  <c r="R439" i="2" s="1"/>
  <c r="R440" i="2" s="1"/>
  <c r="R441" i="2" s="1"/>
  <c r="R442" i="2" s="1"/>
  <c r="R443" i="2" s="1"/>
  <c r="R444" i="2" s="1"/>
  <c r="R445" i="2" s="1"/>
  <c r="R446" i="2" s="1"/>
  <c r="R447" i="2" s="1"/>
  <c r="R448" i="2" s="1"/>
  <c r="R449" i="2" s="1"/>
  <c r="R450" i="2" s="1"/>
  <c r="R451" i="2" s="1"/>
  <c r="R452" i="2" s="1"/>
  <c r="X5" i="2" s="1"/>
  <c r="E10" i="6"/>
  <c r="B10" i="6"/>
  <c r="C10" i="6"/>
  <c r="C10" i="4"/>
  <c r="D10" i="4"/>
  <c r="E10" i="4"/>
  <c r="B10" i="4"/>
  <c r="D10" i="6"/>
  <c r="F15" i="6" l="1"/>
  <c r="F13" i="6"/>
  <c r="F13" i="4"/>
  <c r="F6" i="4"/>
  <c r="F11" i="6"/>
  <c r="F8" i="4"/>
  <c r="F7" i="6"/>
  <c r="F9" i="6"/>
  <c r="F14" i="4"/>
  <c r="F16" i="4"/>
  <c r="E21" i="6"/>
  <c r="F15" i="4"/>
  <c r="F8" i="6"/>
  <c r="Y5" i="2"/>
  <c r="D21" i="6"/>
  <c r="F5" i="4"/>
  <c r="E21" i="4"/>
  <c r="F18" i="4"/>
  <c r="B21" i="6"/>
  <c r="F17" i="4"/>
  <c r="F12" i="6"/>
  <c r="D21" i="4"/>
  <c r="F6" i="6"/>
  <c r="C21" i="4"/>
  <c r="F17" i="6"/>
  <c r="C21" i="6"/>
  <c r="F18" i="6"/>
  <c r="F5" i="6"/>
  <c r="B21" i="4"/>
  <c r="F12" i="4"/>
  <c r="F10" i="4"/>
  <c r="F10" i="6"/>
  <c r="F21" i="4" l="1"/>
  <c r="F21"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tc={A3252C2C-88D4-4DCB-91BC-71BC319DC60C}</author>
  </authors>
  <commentList>
    <comment ref="B16" authorId="0" shapeId="0" xr:uid="{A3252C2C-88D4-4DCB-91BC-71BC319DC60C}">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melyik szín mit jelent? nem kötekedésből, de nem lenne jobb a zöld két árnyalata mint két meglévő szín (terminated (piros) és to be terminated (sárga)) élénkebb verziójának használata a csoportban volt és csoportban van egerek megkülönböztetésére?
</t>
        </r>
      </text>
    </comment>
  </commentList>
</comments>
</file>

<file path=xl/sharedStrings.xml><?xml version="1.0" encoding="utf-8"?>
<sst xmlns="http://schemas.openxmlformats.org/spreadsheetml/2006/main" count="19642" uniqueCount="5031">
  <si>
    <t xml:space="preserve">  </t>
  </si>
  <si>
    <t>Grey header cells - fill automatically, can not be edited :::: Blue header cells - limited editibility, i.e. drop down list :::: Green header - freely editable comment fields</t>
  </si>
  <si>
    <t>Drop down lists can be changed on the Stats page!</t>
  </si>
  <si>
    <t>Animal State</t>
  </si>
  <si>
    <t>Animal IDs</t>
  </si>
  <si>
    <t>Virus injection details</t>
  </si>
  <si>
    <t>Surgery</t>
  </si>
  <si>
    <t>Drop out</t>
  </si>
  <si>
    <t>Notes</t>
  </si>
  <si>
    <t>Animal number</t>
  </si>
  <si>
    <t>State</t>
  </si>
  <si>
    <t>Category</t>
  </si>
  <si>
    <t>Arrival date</t>
  </si>
  <si>
    <t>Age (days)</t>
  </si>
  <si>
    <t>OGR number</t>
  </si>
  <si>
    <t>Box #</t>
  </si>
  <si>
    <t>Line</t>
  </si>
  <si>
    <t>Sex</t>
  </si>
  <si>
    <t>Project approval #</t>
  </si>
  <si>
    <t>Owner</t>
  </si>
  <si>
    <t>Project</t>
  </si>
  <si>
    <t>Project # check</t>
  </si>
  <si>
    <t>Injection 
Date</t>
  </si>
  <si>
    <t>Injection
Pers.</t>
  </si>
  <si>
    <t>Vector
1</t>
  </si>
  <si>
    <t>Vector
2</t>
  </si>
  <si>
    <t>Vector
3</t>
  </si>
  <si>
    <t>Dill.</t>
  </si>
  <si>
    <t>Location</t>
  </si>
  <si>
    <t>Depth (µm)</t>
  </si>
  <si>
    <t>Quant.
(nl)</t>
  </si>
  <si>
    <t>Note for the injection</t>
  </si>
  <si>
    <t>Surgery
Date</t>
  </si>
  <si>
    <t>Surgery Person</t>
  </si>
  <si>
    <t>Note for surgery</t>
  </si>
  <si>
    <t>Drop out
Date</t>
  </si>
  <si>
    <t>Drop out reason</t>
  </si>
  <si>
    <t xml:space="preserve">Checkup </t>
  </si>
  <si>
    <t>Checkup 2.</t>
  </si>
  <si>
    <t>Checkup 3.</t>
  </si>
  <si>
    <t>Mouse_1</t>
  </si>
  <si>
    <t>999-01-241001-11-046</t>
  </si>
  <si>
    <t>o01/113</t>
  </si>
  <si>
    <t>C57Bl/6J</t>
  </si>
  <si>
    <t>Male ♂</t>
  </si>
  <si>
    <t>PE/EA/54-02/2019</t>
  </si>
  <si>
    <t>Freely moving</t>
  </si>
  <si>
    <t>S. Eszter</t>
  </si>
  <si>
    <t>AAV157</t>
  </si>
  <si>
    <t>AAV381</t>
  </si>
  <si>
    <t>1x, 1000</t>
  </si>
  <si>
    <t>V1</t>
  </si>
  <si>
    <t xml:space="preserve">left </t>
  </si>
  <si>
    <t xml:space="preserve">PL - Popara Lídia </t>
  </si>
  <si>
    <t>humane endpoint</t>
  </si>
  <si>
    <t>az a helyzet, hogy ezt az állatot megtaláltam a ketrecében, Forceos amúgy, szép expresszió, somák minden r.ben, jelek is vannak; allstaff\DATA\jasz.anna\VIP_dendrit\Measurements\VoltageSensors\FORCE\FORCE_checkup_202503212.mesc</t>
  </si>
  <si>
    <t>2025.02.28. fragments, N:\DATA\juhasz.gabor\Liliom\GCaMP6f_cage_113.mes</t>
  </si>
  <si>
    <t>nem lehet befogni szm.ba</t>
  </si>
  <si>
    <t>Mouse_2</t>
  </si>
  <si>
    <t>Behavior</t>
  </si>
  <si>
    <t>999-01-241001-11-047</t>
  </si>
  <si>
    <t>Wéber Katalin</t>
  </si>
  <si>
    <t>Moculus</t>
  </si>
  <si>
    <t>right</t>
  </si>
  <si>
    <t>becsontosodott</t>
  </si>
  <si>
    <t>Mouse_3</t>
  </si>
  <si>
    <t>999-01-241001-11-048</t>
  </si>
  <si>
    <t>AG54</t>
  </si>
  <si>
    <t>1x</t>
  </si>
  <si>
    <t>left+righ</t>
  </si>
  <si>
    <t>Nagyon szép exp, somák, dendritek jól látszódnak, de talán túl expr, jelek nem nagyon vannak, somák -550nál;  allstaff\DATA\jasz.anna\VIP_dendrit\Measurements\VoltageSensors\FORCE\FORCE_checkup_202503211.mesc</t>
  </si>
  <si>
    <t>-</t>
  </si>
  <si>
    <t>Mouse_4</t>
  </si>
  <si>
    <t>999-01-241001-11-049</t>
  </si>
  <si>
    <t>no sign</t>
  </si>
  <si>
    <t>anatomical test</t>
  </si>
  <si>
    <t>IGAZÁBÓL EZ A HALOTT (m1 helyett, fülek alapján)</t>
  </si>
  <si>
    <t>Mouse_5</t>
  </si>
  <si>
    <t>999-01-241106-11-090</t>
  </si>
  <si>
    <t>o01/111</t>
  </si>
  <si>
    <t>left</t>
  </si>
  <si>
    <t>death (sickness)</t>
  </si>
  <si>
    <t>ez egy FORCEos egér, gyenge jel, de van néhány sejt, volt rajtuk AP is; allstaff\DATA\jasz.anna\VIP_dendrit\Measurements\VoltageSensors\FORCE\FORCE_checkup_202503212_2.mesc</t>
  </si>
  <si>
    <t>2025.02.28. fragments, N:\DATA\juhasz.gabor\Liliom\GCaMP6fCheckUpcage111all.mes</t>
  </si>
  <si>
    <t>2023-03-05 fragmented cells (n:\DATA\szalay.gergely\mes2025\check-up\2025-03-05_mous5_check-up.mes)</t>
  </si>
  <si>
    <t>!!!</t>
  </si>
  <si>
    <t>Mouse_6</t>
  </si>
  <si>
    <t>999-01-241106-11-091</t>
  </si>
  <si>
    <t>szép gCampes állat, vis jelek, minden rétegben szép sejtek;  allstaff\DATA\jasz.anna\VIP_dendrit\Measurements\VoltageSensors\FORCE\FORCE_checkup_202503212_2.mesc</t>
  </si>
  <si>
    <t>2023-03-05 fragmented cells (n:\DATA\szalay.gergely\mes2025\check-up\2025-03-05_mous6_check-up.mes)</t>
  </si>
  <si>
    <t>Mouse_7</t>
  </si>
  <si>
    <t>999-01-241106-11-092</t>
  </si>
  <si>
    <t>double left</t>
  </si>
  <si>
    <t>szép gCamp jel visstimre is, szómák mélyen 500körül, iráényszelektív; allstaff\DATA\jasz.anna\VIP_dendrit\Measurements\VoltageSensors\FORCE\FORCE_checkup_202503212_2.mesc</t>
  </si>
  <si>
    <t>2023-03-05 fragmented cells (n:\DATA\szalay.gergely\mes2025\check-up\2025-03-05_mous7_check-up.mes)</t>
  </si>
  <si>
    <t>Mouse_8</t>
  </si>
  <si>
    <t>999-01-241111-11-032</t>
  </si>
  <si>
    <t>o01/112</t>
  </si>
  <si>
    <t xml:space="preserve">WK - Wéber Katalin </t>
  </si>
  <si>
    <t>2023-03-05 weak labeling, no signal (n:\DATA\szalay.gergely\mes2025\check-up\2025-03-05_mouse8_check-up.mes)</t>
  </si>
  <si>
    <t>Mouse_9</t>
  </si>
  <si>
    <t>999-01-241111-11-033</t>
  </si>
  <si>
    <t>szép exp., jelek vannak, van köztük szép is, sejtek mindenhol; allstaff\DATA\jasz.anna\VIP_dendrit\Measurements\VoltageSensors\FORCE\FORCE_checkup_202503211.mesc</t>
  </si>
  <si>
    <t>Mouse_10</t>
  </si>
  <si>
    <t>999-01-241111-11-034</t>
  </si>
  <si>
    <t>10x</t>
  </si>
  <si>
    <t>van szép expr., de kevés sejten, mélyen 400-500 között azokon van jel is Measurements\VoltageSensors\FORCE\FORCE_checkup_202503212_2.mesc</t>
  </si>
  <si>
    <t>2025-03-05 endothel labeling (n:\DATA\szalay.gergely\mes2025\check-up\2025-03-05_mouse10_check-up.mes)</t>
  </si>
  <si>
    <t>Mouse_11</t>
  </si>
  <si>
    <t>999-01-241111-11-035</t>
  </si>
  <si>
    <t>2023-03-05 weak labeling, no signal (n:\DATA\szalay.gergely\mes2025\check-up\2025-03-05_mouse14_check-up.mes)</t>
  </si>
  <si>
    <t>Mouse_12</t>
  </si>
  <si>
    <t>999-01-241001-21-051</t>
  </si>
  <si>
    <t>o01/114</t>
  </si>
  <si>
    <t>Female ♀</t>
  </si>
  <si>
    <t>2023-03-05 weak labeling, no signal (n:\DATA\szalay.gergely\mes2025\check-up\2025-03-05_mouse12_check-up.mes)</t>
  </si>
  <si>
    <t>atlas checkup:  ‪\\192.168.42.3\allstaff\DATA\kertesz.borbala\2025.03.13.m12_m13_m15_checkup.mesc</t>
  </si>
  <si>
    <t>Mouse_13</t>
  </si>
  <si>
    <t>999-01-241001-21-052</t>
  </si>
  <si>
    <t>2023-03-05 bown regrown</t>
  </si>
  <si>
    <t>Mouse_14</t>
  </si>
  <si>
    <t>999-01-241001-21-053</t>
  </si>
  <si>
    <t>szép expresszió, minden rétegben, szép jel, kicsit már öregszik;  allstaff\DATA\jasz.anna\VIP_dendrit\Measurements\VoltageSensors\FORCE\FORCE_checkup_202503210.mesc</t>
  </si>
  <si>
    <t>2025.02.27. no expression N:\DATA\soos.andras.aron\FORCE_checkup.mes</t>
  </si>
  <si>
    <t>N:\DATA\soos.andras.aron\m14_250307_force_vsstim.mesc</t>
  </si>
  <si>
    <t>Mouse_15</t>
  </si>
  <si>
    <t>999-01-241001-21-054</t>
  </si>
  <si>
    <t>2023-03-05 weak labeling, no signal (n:\DATA\szalay.gergely\mes2025\check-up\2025-03-05_mouse15_check-up.mes)</t>
  </si>
  <si>
    <t>Mouse_16</t>
  </si>
  <si>
    <t>A9F-01-24110821-111/356025</t>
  </si>
  <si>
    <t>o01/116</t>
  </si>
  <si>
    <t>TG_GCaMP6s_DA</t>
  </si>
  <si>
    <t>Tarján Balázs</t>
  </si>
  <si>
    <t>death (lost headplate)</t>
  </si>
  <si>
    <t>2025.02.27. nice expression  N:\DATA\soos.andras.aron\Gcamp6s_Force_checkup_116_111_113_114.mes</t>
  </si>
  <si>
    <t>2025.07.10. nice, N:\DATA\tarjan.balazs\2025.07.10.checkup-cage116-m32\2025-07-10-cage116null-cage116left1-m32_checkup.mesc</t>
  </si>
  <si>
    <t>Mouse_17</t>
  </si>
  <si>
    <t>A9F-01-24110821-111/356026</t>
  </si>
  <si>
    <t>2025.02.27. nice expression N:\DATA\soos.andras.aron\Gcamp6s_Force_checkup_116_111_113_114.mes</t>
  </si>
  <si>
    <t>Mouse_18</t>
  </si>
  <si>
    <t>A9F-01-241206-11-049</t>
  </si>
  <si>
    <t>o01/115</t>
  </si>
  <si>
    <t>no</t>
  </si>
  <si>
    <t>2025.02.28. nice, N:\DATA\juhasz.gabor\Liliom\transgeneGCaMP6sCheckUp.mes</t>
  </si>
  <si>
    <t>2025.07.09. nice, N:\DATA\tarjan.balazs\2025.07.09.checkup-cage152-cage115\2025-07-09-cage152-cage115_checkup.mesc</t>
  </si>
  <si>
    <t>Mouse_19</t>
  </si>
  <si>
    <t>A9F-01-241206-11-052</t>
  </si>
  <si>
    <t>2025.02.28. growth, N:\DATA\juhasz.gabor\Liliom\transgeneGCaMP6sCheckUp.mes</t>
  </si>
  <si>
    <t>Mouse_20</t>
  </si>
  <si>
    <t>o01/152</t>
  </si>
  <si>
    <t>Mouse_21</t>
  </si>
  <si>
    <t>628-49-241216-21-006</t>
  </si>
  <si>
    <t>Thy1-Cre</t>
  </si>
  <si>
    <t>KB - Kocsis Bálint</t>
  </si>
  <si>
    <t>AG53</t>
  </si>
  <si>
    <t>AAV428</t>
  </si>
  <si>
    <t>1x,10x</t>
  </si>
  <si>
    <t>PPKE in vitro-ra ; él, check up 2025/04/29</t>
  </si>
  <si>
    <t>Mouse_22</t>
  </si>
  <si>
    <t>628-49-241216-21-007</t>
  </si>
  <si>
    <t>death (other)</t>
  </si>
  <si>
    <t xml:space="preserve">PPKE in vitro-ra </t>
  </si>
  <si>
    <t>Mouse_23</t>
  </si>
  <si>
    <t>628-49-241216-21-008</t>
  </si>
  <si>
    <t>10x,10x</t>
  </si>
  <si>
    <t>Mouse_24</t>
  </si>
  <si>
    <t>628-49-241216-21-009</t>
  </si>
  <si>
    <t>none</t>
  </si>
  <si>
    <t>PPKE in vitro-ra , él, check up 2025/04/29 jó juelölés nincs, de valami van, nucleus festés ok</t>
  </si>
  <si>
    <t>Mouse_25</t>
  </si>
  <si>
    <t xml:space="preserve">999-01-241220-11-048	</t>
  </si>
  <si>
    <t>AG55</t>
  </si>
  <si>
    <t>J1 jelölésű egérben szép FORCE jel, DE 113 számú ketrec \\192.168.42.3\allstaff\DATA\soos.andras.aron\20250314_FORCE_checkup.mesc (beadási helyről fotó az Atlasz számítógépén desktopon: 2025-03-14_FORCEcheckup_m25_j1_113ketrec.ppt), befogható (!!!)</t>
  </si>
  <si>
    <t>Mouse_26</t>
  </si>
  <si>
    <t>999-01-241220-11-049</t>
  </si>
  <si>
    <t>szép jelölés, FORCE, jel is van, befogható(!!!)</t>
  </si>
  <si>
    <t>Mouse_27</t>
  </si>
  <si>
    <t>999-01-241220-11-050</t>
  </si>
  <si>
    <t>nagyon szép jel, FORCE, befogható(!!!)</t>
  </si>
  <si>
    <t>Mouse_28</t>
  </si>
  <si>
    <t>999-01-241220-11-059</t>
  </si>
  <si>
    <t>AAV197</t>
  </si>
  <si>
    <t>AAV262</t>
  </si>
  <si>
    <t>nagyon szép gCamp jel; N:\DATA\jasz.anna\VIP_dendrit\Measurements\VoltageSensors\FORCE\FORCE_checkup_202503212.mesc /12_2</t>
  </si>
  <si>
    <t>Mouse_29</t>
  </si>
  <si>
    <t>999-01-241220-11-060</t>
  </si>
  <si>
    <t>10000x,2x</t>
  </si>
  <si>
    <t>Mouse_30</t>
  </si>
  <si>
    <t>999-01-241220-11-061</t>
  </si>
  <si>
    <t>AG49</t>
  </si>
  <si>
    <t>JEDI</t>
  </si>
  <si>
    <t>Mouse_31</t>
  </si>
  <si>
    <t>Anatomy</t>
  </si>
  <si>
    <t>999-01-241111-21-036</t>
  </si>
  <si>
    <t>Mouse_32</t>
  </si>
  <si>
    <t>999-01-241111-21-037</t>
  </si>
  <si>
    <t>5x</t>
  </si>
  <si>
    <t>both</t>
  </si>
  <si>
    <t>injektálási területen benövés, szép jelölés postero laterális részen</t>
  </si>
  <si>
    <t>2025.07.10. csontbenoves, N:\DATA\tarjan.balazs\2025.07.10.checkup-cage116-m32\2025-07-10-cage116null-cage116left1-m32_checkup.mesc</t>
  </si>
  <si>
    <t>Mouse_33</t>
  </si>
  <si>
    <t>999-01-241111-21-038</t>
  </si>
  <si>
    <t>kis benövés, szép jelölés</t>
  </si>
  <si>
    <t>Mouse_34</t>
  </si>
  <si>
    <t>To define</t>
  </si>
  <si>
    <t>628-49-241216-21-010</t>
  </si>
  <si>
    <t>PE/EA/00329-6/2025</t>
  </si>
  <si>
    <t>Other</t>
  </si>
  <si>
    <t>AAV500</t>
  </si>
  <si>
    <t>lila cetlis 113 ketrec, bal egér - pár sejtszerű cucc (10-15um) -50 környékén, aktivitást nem láttam de talán, lejjebb semmi. \\192.168.42.3\allstaff\DATA\kertesz.borbala\_2025\3lilacetlis_force_checkup_250315.mesc</t>
  </si>
  <si>
    <t>Mouse_35</t>
  </si>
  <si>
    <t>628-49-241216-21-011</t>
  </si>
  <si>
    <t>lila cetlis 113 ketrec, bal-jobb egér - -250 körül volt egy sejt, szerintem aktivitás is.  \\192.168.42.3\allstaff\DATA\kertesz.borbala\_2025\3lilacetlis_force_checkup_250315.mesc</t>
  </si>
  <si>
    <t>Mouse_36</t>
  </si>
  <si>
    <t>628-49-241216-21-012</t>
  </si>
  <si>
    <t>lila cetlis 113 ketrec, bal-jobb egér - -100 körül vannak sejtek, aktivitásról nem vagyok meggyőzve.  \\192.168.42.3\allstaff\DATA\kertesz.borbala\_2025\3lilacetlis_force_checkup_250315.mesc</t>
  </si>
  <si>
    <t>Mouse_37</t>
  </si>
  <si>
    <t>628-49-241216-21-013</t>
  </si>
  <si>
    <t>van kifejeződés, FORCE, jel is, mouse 38, befogható(!!!)</t>
  </si>
  <si>
    <t>Mouse_38</t>
  </si>
  <si>
    <t>628-49-241216-21-014</t>
  </si>
  <si>
    <t>double right</t>
  </si>
  <si>
    <t>van kifejeződés, FORCE, jel is, mouse 36, befogható(!!!)</t>
  </si>
  <si>
    <t>Mouse_39</t>
  </si>
  <si>
    <t>628-49-241216-21-015</t>
  </si>
  <si>
    <t>van kifejeződés, FORCE, jel is, mouse 37, befogható(!!!)</t>
  </si>
  <si>
    <t>Mouse_40</t>
  </si>
  <si>
    <t>628-49-241201-21-002</t>
  </si>
  <si>
    <t>o01/153</t>
  </si>
  <si>
    <t>Mouse_41</t>
  </si>
  <si>
    <t>628-49-241201-21-003</t>
  </si>
  <si>
    <t>Mouse_42</t>
  </si>
  <si>
    <t>A9F-01-250207-11-048</t>
  </si>
  <si>
    <t>?</t>
  </si>
  <si>
    <t>Mouse_43</t>
  </si>
  <si>
    <t>A9F-01-250207-11-050</t>
  </si>
  <si>
    <t>Mouse_44</t>
  </si>
  <si>
    <t>AFH-26-250202-11-001</t>
  </si>
  <si>
    <t>109/427</t>
  </si>
  <si>
    <t>BAC_Scnn1a/cre(Tg3Aibs)</t>
  </si>
  <si>
    <t>VIP</t>
  </si>
  <si>
    <t>BSA - Bautista Soldevila Áron</t>
  </si>
  <si>
    <t>AG31</t>
  </si>
  <si>
    <t>B1J0</t>
  </si>
  <si>
    <t>2025.07.10</t>
  </si>
  <si>
    <t>2025.07.16: Van jel, mehet trainingezni</t>
  </si>
  <si>
    <t>Mouse_45</t>
  </si>
  <si>
    <t>AFH-26-250202-11-002</t>
  </si>
  <si>
    <t>Soós András</t>
  </si>
  <si>
    <t>B0J1</t>
  </si>
  <si>
    <t>Mouse_46</t>
  </si>
  <si>
    <t>AFH-26-250202-11-003</t>
  </si>
  <si>
    <t>B2J0</t>
  </si>
  <si>
    <t>Mouse_47</t>
  </si>
  <si>
    <t>AFH-26-250202-11-004</t>
  </si>
  <si>
    <t>J2B0</t>
  </si>
  <si>
    <t>2025.07.11</t>
  </si>
  <si>
    <t>2025.07.16: Nincs expresszió, talán megéri egy 2. checkup? Bal szemére vak</t>
  </si>
  <si>
    <t>Mouse_48</t>
  </si>
  <si>
    <t>536-01-250314-21-036</t>
  </si>
  <si>
    <t>110/321</t>
  </si>
  <si>
    <t>Rbp4-Cre</t>
  </si>
  <si>
    <t>Mouse_49</t>
  </si>
  <si>
    <t>536-01-250314-21-037</t>
  </si>
  <si>
    <t>Mouse_50</t>
  </si>
  <si>
    <t>536-01-250314-21-038</t>
  </si>
  <si>
    <t>Mouse_51</t>
  </si>
  <si>
    <t>536-01-250314-21-039</t>
  </si>
  <si>
    <t>Mouse_52</t>
  </si>
  <si>
    <t>321-01-250220-11-089</t>
  </si>
  <si>
    <t>205/368</t>
  </si>
  <si>
    <t>som/IRES_Cre</t>
  </si>
  <si>
    <t>Szadai Zoltán</t>
  </si>
  <si>
    <t>-350, -350</t>
  </si>
  <si>
    <t>Reversal Interneuron</t>
  </si>
  <si>
    <t>Mouse_53</t>
  </si>
  <si>
    <t>321-01-250220-11-090</t>
  </si>
  <si>
    <t>Mouse_54</t>
  </si>
  <si>
    <t>321-01-250220-11-091</t>
  </si>
  <si>
    <t>B0J0</t>
  </si>
  <si>
    <t>Mouse_55</t>
  </si>
  <si>
    <t>999-01-250317-11-001</t>
  </si>
  <si>
    <t>208/166</t>
  </si>
  <si>
    <t>Szalay Gergely</t>
  </si>
  <si>
    <t>Photostim</t>
  </si>
  <si>
    <t>VK - Varada Karankot</t>
  </si>
  <si>
    <t>Death due to cagemates</t>
  </si>
  <si>
    <t>Mouse_56</t>
  </si>
  <si>
    <t>999-01-250317-11-002</t>
  </si>
  <si>
    <t>Mouse_57</t>
  </si>
  <si>
    <t>999-01-250317-11-003</t>
  </si>
  <si>
    <t>B1J1</t>
  </si>
  <si>
    <t>Mouse_58</t>
  </si>
  <si>
    <t>999-01-241220-21-051</t>
  </si>
  <si>
    <t>208/193</t>
  </si>
  <si>
    <t>Mouse_59</t>
  </si>
  <si>
    <t>999-01-241220-21-062</t>
  </si>
  <si>
    <t>Mouse_60</t>
  </si>
  <si>
    <t>999-01-241220-21-063</t>
  </si>
  <si>
    <t>Mouse_61</t>
  </si>
  <si>
    <t>AIW-16-241021-11-031</t>
  </si>
  <si>
    <t>213/135</t>
  </si>
  <si>
    <t>VIP-cre</t>
  </si>
  <si>
    <t>AAV357</t>
  </si>
  <si>
    <t>AAV425</t>
  </si>
  <si>
    <t>2025.06.30, no labeling</t>
  </si>
  <si>
    <t>2025.07.04, Red and Green fluorescence mostly separate</t>
  </si>
  <si>
    <t>2025.07.08, Red and Green fluorescence mostly separate</t>
  </si>
  <si>
    <t>Mouse_62</t>
  </si>
  <si>
    <t>AIW-16-241021-11-032</t>
  </si>
  <si>
    <t>Mouse_63</t>
  </si>
  <si>
    <t>AIW-16-241021-11-033</t>
  </si>
  <si>
    <t>B0J2</t>
  </si>
  <si>
    <t>Mouse_64</t>
  </si>
  <si>
    <t>628-49-250208-21-006</t>
  </si>
  <si>
    <t>213/224</t>
  </si>
  <si>
    <t>AAV418</t>
  </si>
  <si>
    <t>Not good cells so handed over to Kati</t>
  </si>
  <si>
    <t>Mouse_65</t>
  </si>
  <si>
    <t>628-49-250208-21-007</t>
  </si>
  <si>
    <t>213/244</t>
  </si>
  <si>
    <t>Abhrajyoti Chakrabarti</t>
  </si>
  <si>
    <t>Mouse_66</t>
  </si>
  <si>
    <t>628-49-250208-21-008</t>
  </si>
  <si>
    <t>Mouse_67</t>
  </si>
  <si>
    <t>Imaging</t>
  </si>
  <si>
    <t>628-49-250208-21-009</t>
  </si>
  <si>
    <t>Very good cells found</t>
  </si>
  <si>
    <t>Mouse_68</t>
  </si>
  <si>
    <t>628-49-250303-11-001</t>
  </si>
  <si>
    <t>213/372</t>
  </si>
  <si>
    <t>2x</t>
  </si>
  <si>
    <t>Lump found on leg</t>
  </si>
  <si>
    <t>Mouse_69</t>
  </si>
  <si>
    <t>628-49-250303-11-002</t>
  </si>
  <si>
    <t>Good cells found</t>
  </si>
  <si>
    <t>Mouse_70</t>
  </si>
  <si>
    <t>628-49-250303-11-003</t>
  </si>
  <si>
    <t>Mouse_71</t>
  </si>
  <si>
    <t>628-49-250303-11-004</t>
  </si>
  <si>
    <t>Mouse_72</t>
  </si>
  <si>
    <t>628-49-250303-21-005</t>
  </si>
  <si>
    <t>213/375</t>
  </si>
  <si>
    <t xml:space="preserve"> handed over to Kati</t>
  </si>
  <si>
    <t>Mouse_73</t>
  </si>
  <si>
    <t>628-49-250303-21-006</t>
  </si>
  <si>
    <t>Mouse_74</t>
  </si>
  <si>
    <t>628-49-250303-21-007</t>
  </si>
  <si>
    <t>No good cells found so handed over to Kati</t>
  </si>
  <si>
    <t>Mouse_75</t>
  </si>
  <si>
    <t>628-49-250303-21-008</t>
  </si>
  <si>
    <t>Mouse_76</t>
  </si>
  <si>
    <t>999-43-250301-11-016</t>
  </si>
  <si>
    <t>110/455</t>
  </si>
  <si>
    <t>C57Bl6/NTac</t>
  </si>
  <si>
    <t>Kocsis Bálint</t>
  </si>
  <si>
    <t>Epilepsy</t>
  </si>
  <si>
    <t>AAV420</t>
  </si>
  <si>
    <t>PPC</t>
  </si>
  <si>
    <t>-200,-400</t>
  </si>
  <si>
    <t>Controll</t>
  </si>
  <si>
    <t>Mouse_77</t>
  </si>
  <si>
    <t>999-43-250301-11-017</t>
  </si>
  <si>
    <t>Controll (good expression)</t>
  </si>
  <si>
    <t>Mouse_78</t>
  </si>
  <si>
    <t>999-43-250301-11-018</t>
  </si>
  <si>
    <t>death (during surgery)</t>
  </si>
  <si>
    <t>Mouse_79</t>
  </si>
  <si>
    <t>999-43-250301-11-019</t>
  </si>
  <si>
    <t>Ablation (good expression)</t>
  </si>
  <si>
    <t>Mouse_80</t>
  </si>
  <si>
    <t>999-43-250301-11-020</t>
  </si>
  <si>
    <t>Mouse_81</t>
  </si>
  <si>
    <t>999-43-250302-11-014</t>
  </si>
  <si>
    <t>110/454</t>
  </si>
  <si>
    <t>Mouse_82</t>
  </si>
  <si>
    <t>999-43-250302-11-015</t>
  </si>
  <si>
    <t>Mouse_83</t>
  </si>
  <si>
    <t>999-43-250302-11-016</t>
  </si>
  <si>
    <t>Mouse_84</t>
  </si>
  <si>
    <t>999-43-250302-11-017</t>
  </si>
  <si>
    <t>Ablation (great expression)</t>
  </si>
  <si>
    <t>Mouse_85</t>
  </si>
  <si>
    <t>999-01-250420-11-043</t>
  </si>
  <si>
    <t>110/447</t>
  </si>
  <si>
    <t>SAA - Soós András Áron</t>
  </si>
  <si>
    <t>100x, 10000x, 10000x</t>
  </si>
  <si>
    <t>Mouse_86</t>
  </si>
  <si>
    <t>999-01-250420-11-044</t>
  </si>
  <si>
    <t>Mouse_87</t>
  </si>
  <si>
    <t>999-01-250420-11-056</t>
  </si>
  <si>
    <t>5x, 2x</t>
  </si>
  <si>
    <t>Mouse_88</t>
  </si>
  <si>
    <t>999-01-250420-11-057</t>
  </si>
  <si>
    <t>Bautista-Soldevilla Áron</t>
  </si>
  <si>
    <t>Mouse_89</t>
  </si>
  <si>
    <t>999-01-250423-11-107</t>
  </si>
  <si>
    <t>117/166</t>
  </si>
  <si>
    <t>Popara Lídia</t>
  </si>
  <si>
    <t>Mouse_90</t>
  </si>
  <si>
    <t>999-01-250423-11-108</t>
  </si>
  <si>
    <t>Mouse_91</t>
  </si>
  <si>
    <t>999-01-250424-11-056</t>
  </si>
  <si>
    <t>117/342</t>
  </si>
  <si>
    <t>Mouse_92</t>
  </si>
  <si>
    <t>999-01-250424-11-057</t>
  </si>
  <si>
    <t>Mouse_93</t>
  </si>
  <si>
    <t>Culling</t>
  </si>
  <si>
    <t>999-01-250424-11-058</t>
  </si>
  <si>
    <t>Mouse_94</t>
  </si>
  <si>
    <t>999-01-250424-11-059</t>
  </si>
  <si>
    <t>Mouse_95</t>
  </si>
  <si>
    <t>999-01-250424-11-060</t>
  </si>
  <si>
    <t>VSD</t>
  </si>
  <si>
    <t>AG8</t>
  </si>
  <si>
    <t>Andris Voltage</t>
  </si>
  <si>
    <t>Mouse_96</t>
  </si>
  <si>
    <t>628-49-250407-21-007</t>
  </si>
  <si>
    <t>211/412</t>
  </si>
  <si>
    <t>Szebik Huba</t>
  </si>
  <si>
    <t>Mouse_97</t>
  </si>
  <si>
    <t>628-49-250407-21-008</t>
  </si>
  <si>
    <t>Mouse_98</t>
  </si>
  <si>
    <t>628-49-250407-21-009</t>
  </si>
  <si>
    <t>Mouse_99</t>
  </si>
  <si>
    <t>628-49-250407-21-010</t>
  </si>
  <si>
    <t>Mouse_100</t>
  </si>
  <si>
    <t>628-49-250407-21-011</t>
  </si>
  <si>
    <t>Mouse_101</t>
  </si>
  <si>
    <t>628-49-250407-21-012</t>
  </si>
  <si>
    <t>Mouse_102</t>
  </si>
  <si>
    <t>628-49-250404-11-012</t>
  </si>
  <si>
    <t>211/457</t>
  </si>
  <si>
    <t>Mouse_103</t>
  </si>
  <si>
    <t>628-49-250404-11-013</t>
  </si>
  <si>
    <t>Mouse_104</t>
  </si>
  <si>
    <t>628-49-250407-11-001</t>
  </si>
  <si>
    <t>211/427</t>
  </si>
  <si>
    <t>Mouse_105</t>
  </si>
  <si>
    <t>628-49-250407-11-002</t>
  </si>
  <si>
    <t>Mouse_106</t>
  </si>
  <si>
    <t>628-49-250407-11-003</t>
  </si>
  <si>
    <t>Mouse_107</t>
  </si>
  <si>
    <t>628-49-250407-11-004</t>
  </si>
  <si>
    <t>Mouse_108</t>
  </si>
  <si>
    <t>628-49-250407-11-005</t>
  </si>
  <si>
    <t>Mouse_109</t>
  </si>
  <si>
    <t>322-26-250404-11-032</t>
  </si>
  <si>
    <t>109/322</t>
  </si>
  <si>
    <t>Reversal Interneuron? Bori</t>
  </si>
  <si>
    <t>Mouse_110</t>
  </si>
  <si>
    <t>322-26-250404-11-033</t>
  </si>
  <si>
    <t>Mouse_111</t>
  </si>
  <si>
    <t>322-26-250404-11-034</t>
  </si>
  <si>
    <t>Mouse_112</t>
  </si>
  <si>
    <t>536-01-250405-11-052</t>
  </si>
  <si>
    <t>112/113</t>
  </si>
  <si>
    <t>AAV473</t>
  </si>
  <si>
    <t>-500, -500</t>
  </si>
  <si>
    <t>HALIP Helén</t>
  </si>
  <si>
    <t>Mouse_113</t>
  </si>
  <si>
    <t>536-01-250405-11-053</t>
  </si>
  <si>
    <t>Mouse_114</t>
  </si>
  <si>
    <t>536-01-250424-11-033</t>
  </si>
  <si>
    <t>214/297</t>
  </si>
  <si>
    <t>Mouse_115</t>
  </si>
  <si>
    <t>536-01-250424-11-034</t>
  </si>
  <si>
    <t>Mouse_116</t>
  </si>
  <si>
    <t>999-01-250521-11-028</t>
  </si>
  <si>
    <t>208/195</t>
  </si>
  <si>
    <t>C57B1/6J</t>
  </si>
  <si>
    <t>AAV221</t>
  </si>
  <si>
    <t>Mouse_117</t>
  </si>
  <si>
    <t>999-01-250521-11-029</t>
  </si>
  <si>
    <t>Mouse_118</t>
  </si>
  <si>
    <t>999-01-250521-11-030</t>
  </si>
  <si>
    <t>Mouse_119</t>
  </si>
  <si>
    <t>999-01-250521-11-031</t>
  </si>
  <si>
    <t>v1</t>
  </si>
  <si>
    <t>Mouse_120</t>
  </si>
  <si>
    <t>628-49-250521-11-022</t>
  </si>
  <si>
    <t>213/111</t>
  </si>
  <si>
    <t>60x, 2x</t>
  </si>
  <si>
    <t>Cover glasses with beads</t>
  </si>
  <si>
    <t>Mouse_121</t>
  </si>
  <si>
    <t>628-49-250521-11-023</t>
  </si>
  <si>
    <t>Mouse_122</t>
  </si>
  <si>
    <t>628-49-250521-11-024</t>
  </si>
  <si>
    <t>30X, 2X</t>
  </si>
  <si>
    <t>Mouse_123</t>
  </si>
  <si>
    <t>628-49-250521-11-025</t>
  </si>
  <si>
    <t>Mouse_124</t>
  </si>
  <si>
    <t>628-49-250521-11-026</t>
  </si>
  <si>
    <t>AAV322</t>
  </si>
  <si>
    <t>Cover glasses with beads (ok cell found)</t>
  </si>
  <si>
    <t>Mouse_125</t>
  </si>
  <si>
    <t>628-49-250521-11-027</t>
  </si>
  <si>
    <t>Cover glasses with beads (best cell found)</t>
  </si>
  <si>
    <t>Mouse_126</t>
  </si>
  <si>
    <t>628-49-250430-11-022</t>
  </si>
  <si>
    <t>211/184</t>
  </si>
  <si>
    <t>AAV202</t>
  </si>
  <si>
    <t>5X</t>
  </si>
  <si>
    <t>-300 and -500</t>
  </si>
  <si>
    <t>Mouse_127</t>
  </si>
  <si>
    <t>628-49-250430-11-023</t>
  </si>
  <si>
    <t>Mouse_128</t>
  </si>
  <si>
    <t>628-49-250430-11-024</t>
  </si>
  <si>
    <t>Mouse_129</t>
  </si>
  <si>
    <t>628-49-250430-11-025</t>
  </si>
  <si>
    <t>B1j1</t>
  </si>
  <si>
    <t>Cells found but very deep at -500um at very high laser power 65%. One location with very good amount of cells. Cells found in several places.</t>
  </si>
  <si>
    <t>Mouse_130</t>
  </si>
  <si>
    <t>628-49-250430-11-026</t>
  </si>
  <si>
    <t>Cells found but very deep at -500um at very high laser power 65% only in 1 location</t>
  </si>
  <si>
    <t>Mouse_131</t>
  </si>
  <si>
    <t>536-01-250311-11-114</t>
  </si>
  <si>
    <t>110/352</t>
  </si>
  <si>
    <t>-350,-350</t>
  </si>
  <si>
    <t>Andris  rev PYR</t>
  </si>
  <si>
    <t>Mouse_132</t>
  </si>
  <si>
    <t>536-01-250311-11-115</t>
  </si>
  <si>
    <t>Mouse_133</t>
  </si>
  <si>
    <t>536-01-250311-11-116</t>
  </si>
  <si>
    <t>Mouse_134</t>
  </si>
  <si>
    <t>536-01-250405-21-054</t>
  </si>
  <si>
    <t>112/117</t>
  </si>
  <si>
    <t>AAV503</t>
  </si>
  <si>
    <t>-450, -450</t>
  </si>
  <si>
    <t>Anna/Andris</t>
  </si>
  <si>
    <t>Mouse_135</t>
  </si>
  <si>
    <t>321-01-250515-11-049</t>
  </si>
  <si>
    <t>205/454</t>
  </si>
  <si>
    <t>-300,-350</t>
  </si>
  <si>
    <t>Reversal Interneuron Bori</t>
  </si>
  <si>
    <t>Mouse_136</t>
  </si>
  <si>
    <t>321-01-250517-11-024</t>
  </si>
  <si>
    <t>Mouse_137</t>
  </si>
  <si>
    <t>321-01-250517-11-025</t>
  </si>
  <si>
    <t>Mouse_138</t>
  </si>
  <si>
    <t>321-01-250517-11-026</t>
  </si>
  <si>
    <t>Mouse_139</t>
  </si>
  <si>
    <t>628-49-250424-11-016</t>
  </si>
  <si>
    <t>211/132</t>
  </si>
  <si>
    <t>Mouse_140</t>
  </si>
  <si>
    <t>628-49-250424-11-017</t>
  </si>
  <si>
    <t>211/133</t>
  </si>
  <si>
    <t>Mouse_141</t>
  </si>
  <si>
    <t>628-49-250424-11-018</t>
  </si>
  <si>
    <t>211/134</t>
  </si>
  <si>
    <t>Mouse_142</t>
  </si>
  <si>
    <t>628-49-250424-11-019</t>
  </si>
  <si>
    <t>211/135</t>
  </si>
  <si>
    <t>Mouse_143</t>
  </si>
  <si>
    <t>536-01-250424-21-036</t>
  </si>
  <si>
    <t>214/225</t>
  </si>
  <si>
    <t>-400, -450</t>
  </si>
  <si>
    <t>Mouse_144</t>
  </si>
  <si>
    <t>536-01-250424-21-037</t>
  </si>
  <si>
    <t>Mouse_145</t>
  </si>
  <si>
    <t>TERMINATED</t>
  </si>
  <si>
    <t>536-01-250424-11-035</t>
  </si>
  <si>
    <t>Mouse_146</t>
  </si>
  <si>
    <t>190-01-250424-21-028</t>
  </si>
  <si>
    <t>214/376</t>
  </si>
  <si>
    <t>pva/IRES_cre</t>
  </si>
  <si>
    <t>Mouse_147</t>
  </si>
  <si>
    <t>190-01-250424-21-029</t>
  </si>
  <si>
    <t>Mouse_148</t>
  </si>
  <si>
    <t>190-01-250424-21-030</t>
  </si>
  <si>
    <t>Mouse_149</t>
  </si>
  <si>
    <t>190-01-250424-21-031</t>
  </si>
  <si>
    <t>Mouse_150</t>
  </si>
  <si>
    <t>628-49-250521-21-028</t>
  </si>
  <si>
    <t>213/127</t>
  </si>
  <si>
    <t>Mouse_151</t>
  </si>
  <si>
    <t>628-49-250521-21-029</t>
  </si>
  <si>
    <t>-350,-500</t>
  </si>
  <si>
    <t>Mouse_152</t>
  </si>
  <si>
    <t>999-01-250502-21-037</t>
  </si>
  <si>
    <t>110/125</t>
  </si>
  <si>
    <t>Jász Anna</t>
  </si>
  <si>
    <t>-300,-300</t>
  </si>
  <si>
    <t>Voltage</t>
  </si>
  <si>
    <t>Mouse_153</t>
  </si>
  <si>
    <t>999-01-250502-21-038</t>
  </si>
  <si>
    <t>Mouse_154</t>
  </si>
  <si>
    <t>999-01-250502-21-039</t>
  </si>
  <si>
    <t>Mouse_155</t>
  </si>
  <si>
    <t>999-01-250502-21-040</t>
  </si>
  <si>
    <t>Mouse_156</t>
  </si>
  <si>
    <t>999-01-250508-11-001</t>
  </si>
  <si>
    <t>112/247</t>
  </si>
  <si>
    <t>AAV507</t>
  </si>
  <si>
    <t>AG51</t>
  </si>
  <si>
    <t>Mouse_157</t>
  </si>
  <si>
    <t>999-01-250508-11-002</t>
  </si>
  <si>
    <t>Mouse_158</t>
  </si>
  <si>
    <t>999-01-250508-11-003</t>
  </si>
  <si>
    <t>Mouse_159</t>
  </si>
  <si>
    <t>999-01-250508-11-004</t>
  </si>
  <si>
    <t>Mouse_160</t>
  </si>
  <si>
    <t>999-01-250617-11-024</t>
  </si>
  <si>
    <t>117/452</t>
  </si>
  <si>
    <t>Mouse_161</t>
  </si>
  <si>
    <t>999-01-250617-11-025</t>
  </si>
  <si>
    <t>Mouse_162</t>
  </si>
  <si>
    <t>999-01-250617-11-026</t>
  </si>
  <si>
    <t>Mouse_163</t>
  </si>
  <si>
    <t>999-01-250617-11+118</t>
  </si>
  <si>
    <t>Mouse_164</t>
  </si>
  <si>
    <t>999-01-250619-11-027</t>
  </si>
  <si>
    <t>110/342</t>
  </si>
  <si>
    <t>Mouse_165</t>
  </si>
  <si>
    <t>999-01-250619-11-028</t>
  </si>
  <si>
    <t>Mouse_166</t>
  </si>
  <si>
    <t>999-01-250619-11-029</t>
  </si>
  <si>
    <t>Mouse_167</t>
  </si>
  <si>
    <t>999-01-250619-11-030</t>
  </si>
  <si>
    <t>Mouse_168</t>
  </si>
  <si>
    <t>999-01-250619-11-031</t>
  </si>
  <si>
    <t>LN-lenkey Nóra</t>
  </si>
  <si>
    <t>AAV449</t>
  </si>
  <si>
    <t>AAV24</t>
  </si>
  <si>
    <t>5x 2x 800x</t>
  </si>
  <si>
    <t>RSC</t>
  </si>
  <si>
    <t>100;200</t>
  </si>
  <si>
    <t>Left side: AG51 CamkII-Cre diluted in 1:400, then mixed with AAV24 syn-fl-GCamp in 1:1, inj 100 ml per site, depth: 200,500,700 - not sure about the surface , little bleeding . Right side: AAV449: AAV9-syn-GCamp6f 1:5 dil, 200 nl at 300</t>
  </si>
  <si>
    <t>Left:sparse labeling testing, right: GCamp in PC</t>
  </si>
  <si>
    <t>Mouse_169</t>
  </si>
  <si>
    <t>999-01-250619-11-032</t>
  </si>
  <si>
    <t>Mouse_170</t>
  </si>
  <si>
    <t>999-01-250526-11-006</t>
  </si>
  <si>
    <t>208/187</t>
  </si>
  <si>
    <t>Átadva Madarász Mikinek</t>
  </si>
  <si>
    <t>Mouse_171</t>
  </si>
  <si>
    <t>999-01-250526-11-007</t>
  </si>
  <si>
    <t>Mouse_172</t>
  </si>
  <si>
    <t>999-01-250526-11-015</t>
  </si>
  <si>
    <t>Mouse_173</t>
  </si>
  <si>
    <t>999-01-250526-11-016</t>
  </si>
  <si>
    <t>Mouse_174</t>
  </si>
  <si>
    <t>999-01-250526-11-017</t>
  </si>
  <si>
    <t>Mouse_175</t>
  </si>
  <si>
    <t>999-01-250801-11-035</t>
  </si>
  <si>
    <t>109/441</t>
  </si>
  <si>
    <t>AAV445</t>
  </si>
  <si>
    <t>1x 10x 100x</t>
  </si>
  <si>
    <t>v1 left</t>
  </si>
  <si>
    <t xml:space="preserve">B0J1 </t>
  </si>
  <si>
    <t>Fentanil used: 0.45ml</t>
  </si>
  <si>
    <t>2025. 12. 17. some expression in one quadrant N:\DATA\FREELY-MOVING\MESc files</t>
  </si>
  <si>
    <t>Mouse_176</t>
  </si>
  <si>
    <t>999-01-250801-11-036</t>
  </si>
  <si>
    <t>Fentanil used: 0.35ml</t>
  </si>
  <si>
    <t>Mouse_177</t>
  </si>
  <si>
    <t>999-01-250801-11-045</t>
  </si>
  <si>
    <t>109/442</t>
  </si>
  <si>
    <t>1x 10x 1000x</t>
  </si>
  <si>
    <t>v1 right</t>
  </si>
  <si>
    <t>2025. 12. 17. good expression in one half N:\DATA\FREELY-MOVING\MESc files</t>
  </si>
  <si>
    <t>Mouse_178</t>
  </si>
  <si>
    <t>536-01-250613-21-040</t>
  </si>
  <si>
    <t>117/263</t>
  </si>
  <si>
    <t>Mouse_179</t>
  </si>
  <si>
    <t>536-01-250613-11-038</t>
  </si>
  <si>
    <t>206/226</t>
  </si>
  <si>
    <t>Mouse_180</t>
  </si>
  <si>
    <t>536-01-250613-11-039</t>
  </si>
  <si>
    <t>Mouse_181</t>
  </si>
  <si>
    <t>999-01-250706-11-015</t>
  </si>
  <si>
    <t>208/142</t>
  </si>
  <si>
    <t>200;200</t>
  </si>
  <si>
    <t>Mouse_182</t>
  </si>
  <si>
    <t>999-01-250706-11-016</t>
  </si>
  <si>
    <t>FOUND DEAD WHILE BEDDING CHANGE</t>
  </si>
  <si>
    <t>Mouse_183</t>
  </si>
  <si>
    <t>999-01-250706-21-017</t>
  </si>
  <si>
    <t>208/144</t>
  </si>
  <si>
    <t>Mouse_184</t>
  </si>
  <si>
    <t>999-01-250706-21-018</t>
  </si>
  <si>
    <t>Mouse_185</t>
  </si>
  <si>
    <t>999-01-250706-21-019</t>
  </si>
  <si>
    <t>Mouse_186</t>
  </si>
  <si>
    <t>999-01-250628-21-012</t>
  </si>
  <si>
    <t>208/182</t>
  </si>
  <si>
    <t>AAV365</t>
  </si>
  <si>
    <t>Mouse_187</t>
  </si>
  <si>
    <t>999-01-250628-21-013</t>
  </si>
  <si>
    <t>Mouse_188</t>
  </si>
  <si>
    <t>999-01-250630-11-007</t>
  </si>
  <si>
    <t>208/161</t>
  </si>
  <si>
    <t>Mouse_189</t>
  </si>
  <si>
    <t>999-01-250630-11-008</t>
  </si>
  <si>
    <t>Mouse_190</t>
  </si>
  <si>
    <t>999-01-250630-11-009</t>
  </si>
  <si>
    <t>Mouse_191</t>
  </si>
  <si>
    <t>999-01-250630-11-010</t>
  </si>
  <si>
    <t>Mouse_192</t>
  </si>
  <si>
    <t>999-01-250628-11-008</t>
  </si>
  <si>
    <t>208/191</t>
  </si>
  <si>
    <t>Mouse_193</t>
  </si>
  <si>
    <t>999-01-250628-11-009</t>
  </si>
  <si>
    <t>Mouse_194</t>
  </si>
  <si>
    <t>999-01-250628-11-010</t>
  </si>
  <si>
    <t>Mouse_195</t>
  </si>
  <si>
    <t>999-01-250628-11-011</t>
  </si>
  <si>
    <t>Mouse_196</t>
  </si>
  <si>
    <t>999-01-250730-11-031</t>
  </si>
  <si>
    <t>208/212</t>
  </si>
  <si>
    <t>Mouse_197</t>
  </si>
  <si>
    <t>999-01-250730-11-032</t>
  </si>
  <si>
    <t>AAV508</t>
  </si>
  <si>
    <t>death</t>
  </si>
  <si>
    <t>Mouse_198</t>
  </si>
  <si>
    <t>999-01-250730-11-033</t>
  </si>
  <si>
    <t>Mouse_199</t>
  </si>
  <si>
    <t>999-01-250730-21-034</t>
  </si>
  <si>
    <t>208/216</t>
  </si>
  <si>
    <t>Mouse_200</t>
  </si>
  <si>
    <t>999-01-250730-21-035</t>
  </si>
  <si>
    <t>Mouse_201</t>
  </si>
  <si>
    <t>628-49-250424-11-020</t>
  </si>
  <si>
    <t>Mouse_202</t>
  </si>
  <si>
    <t>628-49-250424-11-021</t>
  </si>
  <si>
    <t xml:space="preserve">B0J0 </t>
  </si>
  <si>
    <t>Mouse_203</t>
  </si>
  <si>
    <t>628-49-250709-21-010</t>
  </si>
  <si>
    <t>211/233</t>
  </si>
  <si>
    <t>B0J0 ( cover glass with beads)</t>
  </si>
  <si>
    <t>Mouse_204</t>
  </si>
  <si>
    <t>628-49-250709-21-011</t>
  </si>
  <si>
    <t>B1J1 (cover glass with beads)</t>
  </si>
  <si>
    <t>Mouse_205</t>
  </si>
  <si>
    <t>628-49-250709-21-012</t>
  </si>
  <si>
    <t>B1J0 (cover glass with beads)</t>
  </si>
  <si>
    <t>ok cells not very good</t>
  </si>
  <si>
    <t>Mouse_206</t>
  </si>
  <si>
    <t>628-49-250404-21-014</t>
  </si>
  <si>
    <t>211/441</t>
  </si>
  <si>
    <t>Mouse_207</t>
  </si>
  <si>
    <t>628-49-250404-21-015</t>
  </si>
  <si>
    <t>Mouse_208</t>
  </si>
  <si>
    <t>628-49-250701-11-005</t>
  </si>
  <si>
    <t>213/412</t>
  </si>
  <si>
    <t>B0J0 (cover glass with beads)</t>
  </si>
  <si>
    <t>Good cells found but deep</t>
  </si>
  <si>
    <t>Mouse_209</t>
  </si>
  <si>
    <t>628-49-250701-11-006</t>
  </si>
  <si>
    <t>Mouse_210</t>
  </si>
  <si>
    <t>628-49-250701-11-007</t>
  </si>
  <si>
    <t>Mouse_211</t>
  </si>
  <si>
    <t>628-49-250701-11-008</t>
  </si>
  <si>
    <t>very Good cells found</t>
  </si>
  <si>
    <t>Mouse_212</t>
  </si>
  <si>
    <t>628-49-250701-21-009</t>
  </si>
  <si>
    <t>213/284</t>
  </si>
  <si>
    <t>Mouse_213</t>
  </si>
  <si>
    <t>628-49-250701-21-010</t>
  </si>
  <si>
    <t>very good cell found</t>
  </si>
  <si>
    <t>Mouse_214</t>
  </si>
  <si>
    <t>681-13-250605-21-005</t>
  </si>
  <si>
    <t>213/311</t>
  </si>
  <si>
    <t>TG_GCaMP6F(82)</t>
  </si>
  <si>
    <t>Mouse_215</t>
  </si>
  <si>
    <t>681-13-250605-21-006</t>
  </si>
  <si>
    <t>Mouse_216</t>
  </si>
  <si>
    <t>681-13-250605-21-007</t>
  </si>
  <si>
    <t>Mouse_217</t>
  </si>
  <si>
    <t>681-13-250603-21-010</t>
  </si>
  <si>
    <t>213/376</t>
  </si>
  <si>
    <t>Mouse_218</t>
  </si>
  <si>
    <t>681-13-250603-21-011</t>
  </si>
  <si>
    <t>Mouse_219</t>
  </si>
  <si>
    <t>681-13-250603-21-012</t>
  </si>
  <si>
    <t>Mouse_220</t>
  </si>
  <si>
    <t>681-13-250603-21-013</t>
  </si>
  <si>
    <t>test this line's GCamp signal in cortex</t>
  </si>
  <si>
    <t>Mouse_221</t>
  </si>
  <si>
    <t>681-13-250603-21-014</t>
  </si>
  <si>
    <t>Mouse_222</t>
  </si>
  <si>
    <t>628-49-250414-11-005</t>
  </si>
  <si>
    <t>213/382</t>
  </si>
  <si>
    <t>Mouse_223</t>
  </si>
  <si>
    <t>628-49-250414-11-006</t>
  </si>
  <si>
    <t>Mouse_224</t>
  </si>
  <si>
    <t>190-01-250523-21-106</t>
  </si>
  <si>
    <t>214/573</t>
  </si>
  <si>
    <t>Mouse_225</t>
  </si>
  <si>
    <t>190-01-250523-21-107</t>
  </si>
  <si>
    <t>Mouse_226</t>
  </si>
  <si>
    <t>190-01-250523-21-108</t>
  </si>
  <si>
    <t>Mouse_227</t>
  </si>
  <si>
    <t>190-01-250523-21-109</t>
  </si>
  <si>
    <t>dura off</t>
  </si>
  <si>
    <t>Mouse_228</t>
  </si>
  <si>
    <t>190-01-250523-21-110</t>
  </si>
  <si>
    <t>Mouse_229</t>
  </si>
  <si>
    <t>190-01-250523-21-111</t>
  </si>
  <si>
    <t>Mouse_230</t>
  </si>
  <si>
    <t>999-01-250821-11-024</t>
  </si>
  <si>
    <t>208/242</t>
  </si>
  <si>
    <t>-200,-200</t>
  </si>
  <si>
    <t>halip</t>
  </si>
  <si>
    <t>2025_10_13</t>
  </si>
  <si>
    <t>Mouse_231</t>
  </si>
  <si>
    <t>999-01-250821-11-025</t>
  </si>
  <si>
    <t>Mouse_232</t>
  </si>
  <si>
    <t>999-01-250821-11-026</t>
  </si>
  <si>
    <t>Mouse_233</t>
  </si>
  <si>
    <t>999-01-250821-11-027</t>
  </si>
  <si>
    <t>Mouse_234</t>
  </si>
  <si>
    <t>628-49-250904-21-005</t>
  </si>
  <si>
    <t>213/316</t>
  </si>
  <si>
    <t xml:space="preserve"> good cell</t>
  </si>
  <si>
    <t>Mouse_235</t>
  </si>
  <si>
    <t>628-49-250904-21-006</t>
  </si>
  <si>
    <t>Good cells</t>
  </si>
  <si>
    <t>Mouse_236</t>
  </si>
  <si>
    <t>628-49-250904-21-007</t>
  </si>
  <si>
    <t>very good cells</t>
  </si>
  <si>
    <t>Mouse_237</t>
  </si>
  <si>
    <t>628-49-250904-21-008</t>
  </si>
  <si>
    <t>Mouse_238</t>
  </si>
  <si>
    <t>628-49-250904-21-009</t>
  </si>
  <si>
    <t xml:space="preserve">ok cells </t>
  </si>
  <si>
    <t>Mouse_239</t>
  </si>
  <si>
    <t>628-49-250904-21-010</t>
  </si>
  <si>
    <t>No cells visible will try again on friday</t>
  </si>
  <si>
    <t>Mouse_240</t>
  </si>
  <si>
    <t>AFH-26-250825-11-001</t>
  </si>
  <si>
    <t>214/447</t>
  </si>
  <si>
    <t>-400,-400</t>
  </si>
  <si>
    <t>Mouse_241</t>
  </si>
  <si>
    <t>AFH-26-250825-11-002</t>
  </si>
  <si>
    <t>Mouse_242</t>
  </si>
  <si>
    <t>AFH-26-250825-11-003</t>
  </si>
  <si>
    <t>kevés vírus, fülke, mikroszkóp átrendezve, kedvezőtlen munkakörülmények, vírus elfolyt, stb. terminálva</t>
  </si>
  <si>
    <t>Mouse_243</t>
  </si>
  <si>
    <t>AFH-26-250825-11-004</t>
  </si>
  <si>
    <t>Fenta -related death</t>
  </si>
  <si>
    <t>Mouse_244</t>
  </si>
  <si>
    <t>AFH-26-250723-21-006</t>
  </si>
  <si>
    <t>110/555</t>
  </si>
  <si>
    <t>Mouse_245</t>
  </si>
  <si>
    <t>AFH-26-250723-21-007</t>
  </si>
  <si>
    <t>Mouse_246</t>
  </si>
  <si>
    <t>AFH-26-250723-21-008</t>
  </si>
  <si>
    <t>Mouse_247</t>
  </si>
  <si>
    <t>999-01-250821-21-028</t>
  </si>
  <si>
    <t>208/132</t>
  </si>
  <si>
    <t>Koponyacsont szétrohadt</t>
  </si>
  <si>
    <t>Mouse_248</t>
  </si>
  <si>
    <t>999-01-250821-21-029</t>
  </si>
  <si>
    <t>-200;-400</t>
  </si>
  <si>
    <t>Mouse_249</t>
  </si>
  <si>
    <t>999-01-250821-21-030</t>
  </si>
  <si>
    <t>Mouse_250</t>
  </si>
  <si>
    <t>999-01-250824-11-043</t>
  </si>
  <si>
    <t>208/185</t>
  </si>
  <si>
    <t>Mouse_251</t>
  </si>
  <si>
    <t>999-01-250824-11-044</t>
  </si>
  <si>
    <t>Mouse_252</t>
  </si>
  <si>
    <t>999-01-250824-11-045</t>
  </si>
  <si>
    <t>Mouse_253</t>
  </si>
  <si>
    <t>999-01-250824-11-046</t>
  </si>
  <si>
    <t>Mouse_254</t>
  </si>
  <si>
    <t>999-01-250827-21-047</t>
  </si>
  <si>
    <t>208/136</t>
  </si>
  <si>
    <t>Mouse_255</t>
  </si>
  <si>
    <t>999-01-250827-21-048</t>
  </si>
  <si>
    <t>Mouse_256</t>
  </si>
  <si>
    <t>999-01-250827-21-049</t>
  </si>
  <si>
    <t>Mouse_257</t>
  </si>
  <si>
    <t>628-49-250930-21-016</t>
  </si>
  <si>
    <t>211/113</t>
  </si>
  <si>
    <t>Really good cell with activity</t>
  </si>
  <si>
    <t>Mouse_258</t>
  </si>
  <si>
    <t>628-49-250930-21-017</t>
  </si>
  <si>
    <t>cell with activity but deep</t>
  </si>
  <si>
    <t>Mouse_259</t>
  </si>
  <si>
    <t>628-49-250930-21-018</t>
  </si>
  <si>
    <t>B0j0</t>
  </si>
  <si>
    <t>Mouse_260</t>
  </si>
  <si>
    <t>628-49-250930-21-005</t>
  </si>
  <si>
    <t>211/155</t>
  </si>
  <si>
    <t>Mouse_261</t>
  </si>
  <si>
    <t>628-49-250930-21-006</t>
  </si>
  <si>
    <t>Mouse_262</t>
  </si>
  <si>
    <t>628-49-250930-21-007</t>
  </si>
  <si>
    <t>Mouse_263</t>
  </si>
  <si>
    <t>628-49-250930-21-008</t>
  </si>
  <si>
    <t>surgery again 2026.01.29</t>
  </si>
  <si>
    <t>Mouse_264</t>
  </si>
  <si>
    <t>628-49-250930-21-009</t>
  </si>
  <si>
    <t>Mouse_265</t>
  </si>
  <si>
    <t>628-49-250930-21-015</t>
  </si>
  <si>
    <t>Mouse_266</t>
  </si>
  <si>
    <t>AIW-16-241021-21-026</t>
  </si>
  <si>
    <t>213/136</t>
  </si>
  <si>
    <t>VIP/IRES_CRE//BAC_CRE</t>
  </si>
  <si>
    <t>Mouse_267</t>
  </si>
  <si>
    <t>AIW-16-241021-21-029</t>
  </si>
  <si>
    <t>Mouse_268</t>
  </si>
  <si>
    <t>AIW-16-241001-21-006</t>
  </si>
  <si>
    <t>213/265</t>
  </si>
  <si>
    <t>Mouse_269</t>
  </si>
  <si>
    <t>AIW-16-241001-21-007</t>
  </si>
  <si>
    <t>Mouse_270</t>
  </si>
  <si>
    <t>AIW-16-241001-21-011</t>
  </si>
  <si>
    <t>Mouse_271</t>
  </si>
  <si>
    <t>A9F-01-250806-21-033</t>
  </si>
  <si>
    <t>206/482</t>
  </si>
  <si>
    <t>Mouse_272</t>
  </si>
  <si>
    <t>A9F-01-250806-21-034</t>
  </si>
  <si>
    <t>Mouse_273</t>
  </si>
  <si>
    <t>A9F-01-250806-21-035</t>
  </si>
  <si>
    <t>Mouse_274</t>
  </si>
  <si>
    <t>A9F-01-250806-21-036</t>
  </si>
  <si>
    <t>Mouse_275</t>
  </si>
  <si>
    <t>628-49-251027-21-020</t>
  </si>
  <si>
    <t>213/424</t>
  </si>
  <si>
    <t>surgery again 2026.01.28</t>
  </si>
  <si>
    <t>Mouse_276</t>
  </si>
  <si>
    <t>628-49-251027-21-021</t>
  </si>
  <si>
    <t>Mouse_277</t>
  </si>
  <si>
    <t>628-49-251027-21-022</t>
  </si>
  <si>
    <t>Mouse_278</t>
  </si>
  <si>
    <t>628-49-251027-21-023</t>
  </si>
  <si>
    <t>Mouse_279</t>
  </si>
  <si>
    <t>628-49-251027-21-024</t>
  </si>
  <si>
    <t>surgery again 2026.01.27</t>
  </si>
  <si>
    <t>Mouse_280</t>
  </si>
  <si>
    <t>628-49-251027-21-025</t>
  </si>
  <si>
    <t>Mouse_281</t>
  </si>
  <si>
    <t>A9F-01-250516-21-135</t>
  </si>
  <si>
    <t>214/527</t>
  </si>
  <si>
    <t>Lenkey Nóra</t>
  </si>
  <si>
    <t>Mouse_282</t>
  </si>
  <si>
    <t>A9F-01-250516-21-136</t>
  </si>
  <si>
    <t>Mouse_283</t>
  </si>
  <si>
    <t>A9F-01-250516-21-137</t>
  </si>
  <si>
    <t>Mouse_284</t>
  </si>
  <si>
    <t>628-49-251027-11-016</t>
  </si>
  <si>
    <t>213/422</t>
  </si>
  <si>
    <t>surgery again 2026.01.26</t>
  </si>
  <si>
    <t>Mouse_285</t>
  </si>
  <si>
    <t>628-49-251027-11-017</t>
  </si>
  <si>
    <t>Mouse_286</t>
  </si>
  <si>
    <t>628-49-251027-11-018</t>
  </si>
  <si>
    <t>Mouse_287</t>
  </si>
  <si>
    <t>628-49-251027-11-019</t>
  </si>
  <si>
    <t>Mouse_288</t>
  </si>
  <si>
    <t>321-01-250825-11-001</t>
  </si>
  <si>
    <t>113/127</t>
  </si>
  <si>
    <t>Mouse_289</t>
  </si>
  <si>
    <t>321-01-250825-11-002</t>
  </si>
  <si>
    <t>Mouse_290</t>
  </si>
  <si>
    <t>321-01-250825-11-003</t>
  </si>
  <si>
    <t>Mouse_291</t>
  </si>
  <si>
    <t>321-01-250825-11-004</t>
  </si>
  <si>
    <t>Mouse_292</t>
  </si>
  <si>
    <t>322-26-251020-21-003</t>
  </si>
  <si>
    <t>205/351</t>
  </si>
  <si>
    <t>Mouse_293</t>
  </si>
  <si>
    <t>322-26-251020-21-004</t>
  </si>
  <si>
    <t>Mouse_294</t>
  </si>
  <si>
    <t>322-26-251020-21-005</t>
  </si>
  <si>
    <t>Mouse_295</t>
  </si>
  <si>
    <t>322-26-251020-21-006</t>
  </si>
  <si>
    <t>Mouse_296</t>
  </si>
  <si>
    <t>999-01-251014-11-018</t>
  </si>
  <si>
    <t>001/152</t>
  </si>
  <si>
    <t>200*2</t>
  </si>
  <si>
    <t>Mouse_297</t>
  </si>
  <si>
    <t>999-01-251014-11-019</t>
  </si>
  <si>
    <t>Mouse_298</t>
  </si>
  <si>
    <t>999-01-251014-11-020</t>
  </si>
  <si>
    <t>Mouse_299</t>
  </si>
  <si>
    <t>999-01-251014-11-021</t>
  </si>
  <si>
    <t>001/153</t>
  </si>
  <si>
    <t>Mouse_300</t>
  </si>
  <si>
    <t>999-01-251014-11-022</t>
  </si>
  <si>
    <t>Mouse_301</t>
  </si>
  <si>
    <t>999-01-251014-11-023</t>
  </si>
  <si>
    <t>Mouse_302</t>
  </si>
  <si>
    <t>628-49-251118-21-001</t>
  </si>
  <si>
    <t>211/451</t>
  </si>
  <si>
    <t>10X</t>
  </si>
  <si>
    <t>-300,-500</t>
  </si>
  <si>
    <t>250*2</t>
  </si>
  <si>
    <t xml:space="preserve"> 4 location near to each othere</t>
  </si>
  <si>
    <t>Mouse_303</t>
  </si>
  <si>
    <t>628-49-251118-21-002</t>
  </si>
  <si>
    <t>Mouse_304</t>
  </si>
  <si>
    <t>628-49-251118-21-003</t>
  </si>
  <si>
    <t>Mouse_305</t>
  </si>
  <si>
    <t>628-49-251118-21-004</t>
  </si>
  <si>
    <t>2 locations</t>
  </si>
  <si>
    <t>Mouse_306</t>
  </si>
  <si>
    <t>628-49-251118-21-005</t>
  </si>
  <si>
    <t>Mouse_307</t>
  </si>
  <si>
    <t>190-01-251014-11-001</t>
  </si>
  <si>
    <t>117/333</t>
  </si>
  <si>
    <t>Mouse_308</t>
  </si>
  <si>
    <t>190-01-251014-11-002</t>
  </si>
  <si>
    <t>Mouse_309</t>
  </si>
  <si>
    <t>190-01-251014-11-003</t>
  </si>
  <si>
    <t>Mouse_310</t>
  </si>
  <si>
    <t>190-01-251014-11-004</t>
  </si>
  <si>
    <t>Mouse_311</t>
  </si>
  <si>
    <t>190-01-251014-11-005</t>
  </si>
  <si>
    <t>Mouse_312</t>
  </si>
  <si>
    <t>999-43-251202-11-030</t>
  </si>
  <si>
    <t>110/553</t>
  </si>
  <si>
    <t>Mouse_313</t>
  </si>
  <si>
    <t>999-43-251202-11-031</t>
  </si>
  <si>
    <t>Mouse_314</t>
  </si>
  <si>
    <t>999-43-251202-11-032</t>
  </si>
  <si>
    <t>Mouse_315</t>
  </si>
  <si>
    <t>999-43-251202-11-033</t>
  </si>
  <si>
    <t>Mouse_316</t>
  </si>
  <si>
    <t>999-43-251126-11-011</t>
  </si>
  <si>
    <t>112/421</t>
  </si>
  <si>
    <t>Mouse_317</t>
  </si>
  <si>
    <t>999-43-251126-11-012</t>
  </si>
  <si>
    <t>Mouse_318</t>
  </si>
  <si>
    <t>999-43-251126-11-016</t>
  </si>
  <si>
    <t>Mouse_319</t>
  </si>
  <si>
    <t>999-43-251126-11-017</t>
  </si>
  <si>
    <t>Mouse_320</t>
  </si>
  <si>
    <t>999-43-251126-11-018</t>
  </si>
  <si>
    <t>death (agression)</t>
  </si>
  <si>
    <t>Mouse_321</t>
  </si>
  <si>
    <t>999-43-251126-11-020</t>
  </si>
  <si>
    <t>112/422</t>
  </si>
  <si>
    <t>have seizure aftr KA injection</t>
  </si>
  <si>
    <t>Mouse_322</t>
  </si>
  <si>
    <t>999-43-251126-11-021</t>
  </si>
  <si>
    <t>Mouse_323</t>
  </si>
  <si>
    <t>999-43-251126-11-022</t>
  </si>
  <si>
    <t>Mouse_324</t>
  </si>
  <si>
    <t>539-01-251128-11-046</t>
  </si>
  <si>
    <t>214/668</t>
  </si>
  <si>
    <t>Mouse_325</t>
  </si>
  <si>
    <t>539-01-251128-11-047</t>
  </si>
  <si>
    <t>Mouse_326</t>
  </si>
  <si>
    <t>539-01-251128-11-048</t>
  </si>
  <si>
    <t>Mouse_327</t>
  </si>
  <si>
    <t>539-01-251128-11-049</t>
  </si>
  <si>
    <t>Mouse_328</t>
  </si>
  <si>
    <t>999-01-251013-21-005</t>
  </si>
  <si>
    <t>Mouse_329</t>
  </si>
  <si>
    <t>999-01-251013-21-006</t>
  </si>
  <si>
    <t>Mouse_330</t>
  </si>
  <si>
    <t>999-01-251013-21-007</t>
  </si>
  <si>
    <t>Mouse_331</t>
  </si>
  <si>
    <t>999-01-251009-21-022</t>
  </si>
  <si>
    <t>208/173</t>
  </si>
  <si>
    <t>Mouse_332</t>
  </si>
  <si>
    <t>999-01-251009-21-023</t>
  </si>
  <si>
    <t>Mouse_333</t>
  </si>
  <si>
    <t>999-01-251009-21-024</t>
  </si>
  <si>
    <t>Mouse_334</t>
  </si>
  <si>
    <t>999-01-251009-21-025</t>
  </si>
  <si>
    <t>Mouse_335</t>
  </si>
  <si>
    <t>999-01-251009-21-026</t>
  </si>
  <si>
    <t>Mouse_336</t>
  </si>
  <si>
    <t>Mouse_337</t>
  </si>
  <si>
    <t>Mouse_338</t>
  </si>
  <si>
    <t>Mouse_339</t>
  </si>
  <si>
    <t>Mouse_340</t>
  </si>
  <si>
    <t>Mouse_341</t>
  </si>
  <si>
    <t>Mouse_342</t>
  </si>
  <si>
    <t>Mouse_343</t>
  </si>
  <si>
    <t>Mouse_344</t>
  </si>
  <si>
    <t>Mouse_345</t>
  </si>
  <si>
    <t>Mouse_346</t>
  </si>
  <si>
    <t>Mouse_347</t>
  </si>
  <si>
    <t>Mouse_348</t>
  </si>
  <si>
    <t>Mouse_349</t>
  </si>
  <si>
    <t>Mouse_350</t>
  </si>
  <si>
    <t>Mouse_351</t>
  </si>
  <si>
    <t>Mouse_352</t>
  </si>
  <si>
    <t>Mouse_353</t>
  </si>
  <si>
    <t>Mouse_354</t>
  </si>
  <si>
    <t>Mouse_355</t>
  </si>
  <si>
    <t>Mouse_356</t>
  </si>
  <si>
    <t>Mouse_357</t>
  </si>
  <si>
    <t>Mouse_358</t>
  </si>
  <si>
    <t>Mouse_359</t>
  </si>
  <si>
    <t>Mouse_360</t>
  </si>
  <si>
    <t>Mouse_361</t>
  </si>
  <si>
    <t>Mouse_362</t>
  </si>
  <si>
    <t>Mouse_363</t>
  </si>
  <si>
    <t>Mouse_364</t>
  </si>
  <si>
    <t>Mouse_365</t>
  </si>
  <si>
    <t>Mouse_366</t>
  </si>
  <si>
    <t>Mouse_367</t>
  </si>
  <si>
    <t>Mouse_368</t>
  </si>
  <si>
    <t>Mouse_369</t>
  </si>
  <si>
    <t>Mouse_370</t>
  </si>
  <si>
    <t>Mouse_371</t>
  </si>
  <si>
    <t>Mouse_372</t>
  </si>
  <si>
    <t>Mouse_373</t>
  </si>
  <si>
    <t>Mouse_374</t>
  </si>
  <si>
    <t>Mouse_375</t>
  </si>
  <si>
    <t>Mouse_376</t>
  </si>
  <si>
    <t>Mouse_377</t>
  </si>
  <si>
    <t>Mouse_378</t>
  </si>
  <si>
    <t>Mouse_379</t>
  </si>
  <si>
    <t>Mouse_380</t>
  </si>
  <si>
    <t>Mouse_381</t>
  </si>
  <si>
    <t>Mouse_382</t>
  </si>
  <si>
    <t>Mouse_383</t>
  </si>
  <si>
    <t>Mouse_384</t>
  </si>
  <si>
    <t>Mouse_385</t>
  </si>
  <si>
    <t>Mouse_386</t>
  </si>
  <si>
    <t>Mouse_387</t>
  </si>
  <si>
    <t>Mouse_388</t>
  </si>
  <si>
    <t>Mouse_389</t>
  </si>
  <si>
    <t>Mouse_390</t>
  </si>
  <si>
    <t>Mouse_391</t>
  </si>
  <si>
    <t>Mouse_392</t>
  </si>
  <si>
    <t>Mouse_393</t>
  </si>
  <si>
    <t>Mouse_394</t>
  </si>
  <si>
    <t>Mouse_395</t>
  </si>
  <si>
    <t>Mouse_396</t>
  </si>
  <si>
    <t>Mouse_397</t>
  </si>
  <si>
    <t>Mouse_398</t>
  </si>
  <si>
    <t>Mouse_399</t>
  </si>
  <si>
    <t>Mouse_400</t>
  </si>
  <si>
    <t>Mouse_401</t>
  </si>
  <si>
    <t>Mouse_402</t>
  </si>
  <si>
    <t>Mouse_403</t>
  </si>
  <si>
    <t>Mouse_404</t>
  </si>
  <si>
    <t>Mouse_405</t>
  </si>
  <si>
    <t>Mouse_406</t>
  </si>
  <si>
    <t>Mouse_407</t>
  </si>
  <si>
    <t>Mouse_408</t>
  </si>
  <si>
    <t>Mouse_409</t>
  </si>
  <si>
    <t>Mouse_410</t>
  </si>
  <si>
    <t>Mouse_411</t>
  </si>
  <si>
    <t>Mouse_412</t>
  </si>
  <si>
    <t>Mouse_413</t>
  </si>
  <si>
    <t>Mouse_414</t>
  </si>
  <si>
    <t>Mouse_415</t>
  </si>
  <si>
    <t>Mouse_416</t>
  </si>
  <si>
    <t>Mouse_417</t>
  </si>
  <si>
    <t>Mouse_418</t>
  </si>
  <si>
    <t>Mouse_419</t>
  </si>
  <si>
    <t>Mouse_420</t>
  </si>
  <si>
    <t>Mouse_421</t>
  </si>
  <si>
    <t>Mouse_422</t>
  </si>
  <si>
    <t>Mouse_423</t>
  </si>
  <si>
    <t>Mouse_424</t>
  </si>
  <si>
    <t>Mouse_425</t>
  </si>
  <si>
    <t>Mouse_426</t>
  </si>
  <si>
    <t>Mouse_427</t>
  </si>
  <si>
    <t>Mouse_428</t>
  </si>
  <si>
    <t>Mouse_429</t>
  </si>
  <si>
    <t>Mouse_430</t>
  </si>
  <si>
    <t>Mouse_431</t>
  </si>
  <si>
    <t>Mouse_432</t>
  </si>
  <si>
    <t>Mouse_433</t>
  </si>
  <si>
    <t>Mouse_434</t>
  </si>
  <si>
    <t>Mouse_435</t>
  </si>
  <si>
    <t>Mouse_436</t>
  </si>
  <si>
    <t>Mouse_437</t>
  </si>
  <si>
    <t>Mouse_438</t>
  </si>
  <si>
    <t>Mouse_439</t>
  </si>
  <si>
    <t>Mouse_440</t>
  </si>
  <si>
    <t>Mouse_441</t>
  </si>
  <si>
    <t>Mouse_442</t>
  </si>
  <si>
    <t>Mouse_443</t>
  </si>
  <si>
    <t>Mouse_444</t>
  </si>
  <si>
    <t>Mouse_445</t>
  </si>
  <si>
    <t>Mouse_446</t>
  </si>
  <si>
    <t>Mouse_447</t>
  </si>
  <si>
    <t>Mouse_448</t>
  </si>
  <si>
    <t>Mouse_449</t>
  </si>
  <si>
    <t>Mouse_450</t>
  </si>
  <si>
    <t>Mouse_451</t>
  </si>
  <si>
    <t>Mouse_452</t>
  </si>
  <si>
    <t>Mouse_453</t>
  </si>
  <si>
    <t>Mouse_454</t>
  </si>
  <si>
    <t>Mouse_455</t>
  </si>
  <si>
    <t>Mouse_456</t>
  </si>
  <si>
    <t>Mouse_457</t>
  </si>
  <si>
    <t>Mouse_458</t>
  </si>
  <si>
    <t>Mouse_459</t>
  </si>
  <si>
    <t>Mouse_460</t>
  </si>
  <si>
    <t>Mouse_461</t>
  </si>
  <si>
    <t>Mouse_462</t>
  </si>
  <si>
    <t>Mouse_463</t>
  </si>
  <si>
    <t>Mouse_464</t>
  </si>
  <si>
    <t>Mouse_465</t>
  </si>
  <si>
    <t>Mouse_466</t>
  </si>
  <si>
    <t>Mouse_467</t>
  </si>
  <si>
    <t>Mouse_468</t>
  </si>
  <si>
    <t>Mouse_469</t>
  </si>
  <si>
    <t>Mouse_470</t>
  </si>
  <si>
    <t>Mouse_471</t>
  </si>
  <si>
    <t>Mouse_472</t>
  </si>
  <si>
    <t>Mouse_473</t>
  </si>
  <si>
    <t>Mouse_474</t>
  </si>
  <si>
    <t>Mouse_475</t>
  </si>
  <si>
    <t>Mouse_476</t>
  </si>
  <si>
    <t>Mouse_477</t>
  </si>
  <si>
    <t>Mouse_478</t>
  </si>
  <si>
    <t>Mouse_479</t>
  </si>
  <si>
    <t>Mouse_480</t>
  </si>
  <si>
    <t>Mouse_481</t>
  </si>
  <si>
    <t>Mouse_482</t>
  </si>
  <si>
    <t>Mouse_483</t>
  </si>
  <si>
    <t>Mouse_484</t>
  </si>
  <si>
    <t>Mouse_485</t>
  </si>
  <si>
    <t>Mouse_486</t>
  </si>
  <si>
    <t>Mouse_487</t>
  </si>
  <si>
    <t>Mouse_488</t>
  </si>
  <si>
    <t>Mouse_489</t>
  </si>
  <si>
    <t>Mouse_490</t>
  </si>
  <si>
    <t>Mouse_491</t>
  </si>
  <si>
    <t>Mouse_492</t>
  </si>
  <si>
    <t>Mouse_493</t>
  </si>
  <si>
    <t>Mouse_494</t>
  </si>
  <si>
    <t>Mouse_495</t>
  </si>
  <si>
    <t>Mouse_496</t>
  </si>
  <si>
    <t>Mouse_497</t>
  </si>
  <si>
    <t>Mouse_498</t>
  </si>
  <si>
    <t>Mouse_499</t>
  </si>
  <si>
    <t>Mouse_500</t>
  </si>
  <si>
    <t>Mouse_501</t>
  </si>
  <si>
    <t>Mouse_502</t>
  </si>
  <si>
    <t>Mouse_503</t>
  </si>
  <si>
    <t>Mouse_504</t>
  </si>
  <si>
    <t>Mouse_505</t>
  </si>
  <si>
    <t>Mouse_506</t>
  </si>
  <si>
    <t>Mouse_507</t>
  </si>
  <si>
    <t>Mouse_508</t>
  </si>
  <si>
    <t>Mouse_509</t>
  </si>
  <si>
    <t>Mouse_510</t>
  </si>
  <si>
    <t>Mouse_511</t>
  </si>
  <si>
    <t>Mouse_512</t>
  </si>
  <si>
    <t>Mouse_513</t>
  </si>
  <si>
    <t>Mouse_514</t>
  </si>
  <si>
    <t>Mouse_515</t>
  </si>
  <si>
    <t>Mouse_516</t>
  </si>
  <si>
    <t>Mouse_517</t>
  </si>
  <si>
    <t>Mouse_518</t>
  </si>
  <si>
    <t>Mouse_519</t>
  </si>
  <si>
    <t>Mouse_520</t>
  </si>
  <si>
    <t>Mouse_521</t>
  </si>
  <si>
    <t>Mouse_522</t>
  </si>
  <si>
    <t>Mouse_523</t>
  </si>
  <si>
    <t>Mouse_524</t>
  </si>
  <si>
    <t>Mouse_525</t>
  </si>
  <si>
    <t>Mouse_526</t>
  </si>
  <si>
    <t>Mouse_527</t>
  </si>
  <si>
    <t>Mouse_528</t>
  </si>
  <si>
    <t>Mouse_529</t>
  </si>
  <si>
    <t>Mouse_530</t>
  </si>
  <si>
    <t>Mouse_531</t>
  </si>
  <si>
    <t>Mouse_532</t>
  </si>
  <si>
    <t>Mouse_533</t>
  </si>
  <si>
    <t>Mouse_534</t>
  </si>
  <si>
    <t>Mouse_535</t>
  </si>
  <si>
    <t>Mouse_536</t>
  </si>
  <si>
    <t>Mouse_537</t>
  </si>
  <si>
    <t>Mouse_538</t>
  </si>
  <si>
    <t>Mouse_539</t>
  </si>
  <si>
    <t>Mouse_540</t>
  </si>
  <si>
    <t>Mouse_541</t>
  </si>
  <si>
    <t>Mouse_542</t>
  </si>
  <si>
    <t>Mouse_543</t>
  </si>
  <si>
    <t>Mouse_544</t>
  </si>
  <si>
    <t>Mouse_545</t>
  </si>
  <si>
    <t>Mouse_546</t>
  </si>
  <si>
    <t>Mouse_547</t>
  </si>
  <si>
    <t>Mouse_548</t>
  </si>
  <si>
    <t>Mouse_549</t>
  </si>
  <si>
    <t>Mouse_550</t>
  </si>
  <si>
    <t>Mouse_551</t>
  </si>
  <si>
    <t>Mouse_552</t>
  </si>
  <si>
    <t>Mouse_553</t>
  </si>
  <si>
    <t>Mouse_554</t>
  </si>
  <si>
    <t>Mouse_555</t>
  </si>
  <si>
    <t>Mouse_556</t>
  </si>
  <si>
    <t>Mouse_557</t>
  </si>
  <si>
    <t>Mouse_558</t>
  </si>
  <si>
    <t>Mouse_559</t>
  </si>
  <si>
    <t>Mouse_560</t>
  </si>
  <si>
    <t>Mouse_561</t>
  </si>
  <si>
    <t>Mouse_562</t>
  </si>
  <si>
    <t>Mouse_563</t>
  </si>
  <si>
    <t>Mouse_564</t>
  </si>
  <si>
    <t>Mouse_565</t>
  </si>
  <si>
    <t>Mouse_566</t>
  </si>
  <si>
    <t>Mouse_567</t>
  </si>
  <si>
    <t>Mouse_568</t>
  </si>
  <si>
    <t>Mouse_569</t>
  </si>
  <si>
    <t>Mouse_570</t>
  </si>
  <si>
    <t>Mouse_571</t>
  </si>
  <si>
    <t>Mouse_572</t>
  </si>
  <si>
    <t>Mouse_573</t>
  </si>
  <si>
    <t>Mouse_574</t>
  </si>
  <si>
    <t>Mouse_575</t>
  </si>
  <si>
    <t>Mouse_576</t>
  </si>
  <si>
    <t>Mouse_577</t>
  </si>
  <si>
    <t>Mouse_578</t>
  </si>
  <si>
    <t>Mouse_579</t>
  </si>
  <si>
    <t>Mouse_580</t>
  </si>
  <si>
    <t>Mouse_581</t>
  </si>
  <si>
    <t>Mouse_582</t>
  </si>
  <si>
    <t>Mouse_583</t>
  </si>
  <si>
    <t>Mouse_584</t>
  </si>
  <si>
    <t>Mouse_585</t>
  </si>
  <si>
    <t>Mouse_586</t>
  </si>
  <si>
    <t>Mouse_587</t>
  </si>
  <si>
    <t>Mouse_588</t>
  </si>
  <si>
    <t>Mouse_589</t>
  </si>
  <si>
    <t>Mouse_590</t>
  </si>
  <si>
    <t>Mouse_591</t>
  </si>
  <si>
    <t>Mouse_592</t>
  </si>
  <si>
    <t>Mouse_593</t>
  </si>
  <si>
    <t>Mouse_594</t>
  </si>
  <si>
    <t>Mouse_595</t>
  </si>
  <si>
    <t>Mouse_596</t>
  </si>
  <si>
    <t>Mouse_597</t>
  </si>
  <si>
    <t>Mouse_598</t>
  </si>
  <si>
    <t>Mouse_599</t>
  </si>
  <si>
    <t>Mouse_600</t>
  </si>
  <si>
    <t>Mouse_601</t>
  </si>
  <si>
    <t>Mouse_602</t>
  </si>
  <si>
    <t>Mouse_603</t>
  </si>
  <si>
    <t>Mouse_604</t>
  </si>
  <si>
    <t>Mouse_605</t>
  </si>
  <si>
    <t>Mouse_606</t>
  </si>
  <si>
    <t>Mouse_607</t>
  </si>
  <si>
    <t>Mouse_608</t>
  </si>
  <si>
    <t>Mouse_609</t>
  </si>
  <si>
    <t>Mouse_610</t>
  </si>
  <si>
    <t>Mouse_611</t>
  </si>
  <si>
    <t>Mouse_612</t>
  </si>
  <si>
    <t>Mouse_613</t>
  </si>
  <si>
    <t>Mouse_614</t>
  </si>
  <si>
    <t>Mouse_615</t>
  </si>
  <si>
    <t>Mouse_616</t>
  </si>
  <si>
    <t>Mouse_617</t>
  </si>
  <si>
    <t>Mouse_618</t>
  </si>
  <si>
    <t>Mouse_619</t>
  </si>
  <si>
    <t>Mouse_620</t>
  </si>
  <si>
    <t>Mouse_621</t>
  </si>
  <si>
    <t>Mouse_622</t>
  </si>
  <si>
    <t>Mouse_623</t>
  </si>
  <si>
    <t>Mouse_624</t>
  </si>
  <si>
    <t>Mouse_625</t>
  </si>
  <si>
    <t>Mouse_626</t>
  </si>
  <si>
    <t>Mouse_627</t>
  </si>
  <si>
    <t>Mouse_628</t>
  </si>
  <si>
    <t>Mouse_629</t>
  </si>
  <si>
    <t>Mouse_630</t>
  </si>
  <si>
    <t>Mouse_631</t>
  </si>
  <si>
    <t>Mouse_632</t>
  </si>
  <si>
    <t>Mouse_633</t>
  </si>
  <si>
    <t>Mouse_634</t>
  </si>
  <si>
    <t>Mouse_635</t>
  </si>
  <si>
    <t>Mouse_636</t>
  </si>
  <si>
    <t>Mouse_637</t>
  </si>
  <si>
    <t>Mouse_638</t>
  </si>
  <si>
    <t>Mouse_639</t>
  </si>
  <si>
    <t>Mouse_640</t>
  </si>
  <si>
    <t>Mouse_641</t>
  </si>
  <si>
    <t>Mouse_642</t>
  </si>
  <si>
    <t>Mouse_643</t>
  </si>
  <si>
    <t>Mouse_644</t>
  </si>
  <si>
    <t>Mouse_645</t>
  </si>
  <si>
    <t>Mouse_646</t>
  </si>
  <si>
    <t>Mouse_647</t>
  </si>
  <si>
    <t>Mouse_648</t>
  </si>
  <si>
    <t>Mouse_649</t>
  </si>
  <si>
    <t>Mouse_650</t>
  </si>
  <si>
    <t>Mouse_651</t>
  </si>
  <si>
    <t>Mouse_652</t>
  </si>
  <si>
    <t>Mouse_653</t>
  </si>
  <si>
    <t>Mouse_654</t>
  </si>
  <si>
    <t>Mouse_655</t>
  </si>
  <si>
    <t>Mouse_656</t>
  </si>
  <si>
    <t>Mouse_657</t>
  </si>
  <si>
    <t>Mouse_658</t>
  </si>
  <si>
    <t>Mouse_659</t>
  </si>
  <si>
    <t>Mouse_660</t>
  </si>
  <si>
    <t>Mouse_661</t>
  </si>
  <si>
    <t>Mouse_662</t>
  </si>
  <si>
    <t>Mouse_663</t>
  </si>
  <si>
    <t>Mouse_664</t>
  </si>
  <si>
    <t>Mouse_665</t>
  </si>
  <si>
    <t>Mouse_666</t>
  </si>
  <si>
    <t>Mouse_667</t>
  </si>
  <si>
    <t>Mouse_668</t>
  </si>
  <si>
    <t>Mouse_669</t>
  </si>
  <si>
    <t>Mouse_670</t>
  </si>
  <si>
    <t>Mouse_671</t>
  </si>
  <si>
    <t>Mouse_672</t>
  </si>
  <si>
    <t>Mouse_673</t>
  </si>
  <si>
    <t>Mouse_674</t>
  </si>
  <si>
    <t>Mouse_675</t>
  </si>
  <si>
    <t>Mouse_676</t>
  </si>
  <si>
    <t>Mouse_677</t>
  </si>
  <si>
    <t>Mouse_678</t>
  </si>
  <si>
    <t>Mouse_679</t>
  </si>
  <si>
    <t>Mouse_680</t>
  </si>
  <si>
    <t>Mouse_681</t>
  </si>
  <si>
    <t>Mouse_682</t>
  </si>
  <si>
    <t>Mouse_683</t>
  </si>
  <si>
    <t>Mouse_684</t>
  </si>
  <si>
    <t>Mouse_685</t>
  </si>
  <si>
    <t>Mouse_686</t>
  </si>
  <si>
    <t>Mouse_687</t>
  </si>
  <si>
    <t>Mouse_688</t>
  </si>
  <si>
    <t>Mouse_689</t>
  </si>
  <si>
    <t>Mouse_690</t>
  </si>
  <si>
    <t>Mouse_691</t>
  </si>
  <si>
    <t>Mouse_692</t>
  </si>
  <si>
    <t>Mouse_693</t>
  </si>
  <si>
    <t>Mouse_694</t>
  </si>
  <si>
    <t>Mouse_695</t>
  </si>
  <si>
    <t>Mouse_696</t>
  </si>
  <si>
    <t>Mouse_697</t>
  </si>
  <si>
    <t>Mouse_698</t>
  </si>
  <si>
    <t>Mouse_699</t>
  </si>
  <si>
    <t>Mouse_700</t>
  </si>
  <si>
    <t>Mouse_701</t>
  </si>
  <si>
    <t>Mouse_702</t>
  </si>
  <si>
    <t>Mouse_703</t>
  </si>
  <si>
    <t>Mouse_704</t>
  </si>
  <si>
    <t>Mouse_705</t>
  </si>
  <si>
    <t>Mouse_706</t>
  </si>
  <si>
    <t>Mouse_707</t>
  </si>
  <si>
    <t>Mouse_708</t>
  </si>
  <si>
    <t>Mouse_709</t>
  </si>
  <si>
    <t>Mouse_710</t>
  </si>
  <si>
    <t>Mouse_711</t>
  </si>
  <si>
    <t>Mouse_712</t>
  </si>
  <si>
    <t>Mouse_713</t>
  </si>
  <si>
    <t>Mouse_714</t>
  </si>
  <si>
    <t>Mouse_715</t>
  </si>
  <si>
    <t>Mouse_716</t>
  </si>
  <si>
    <t>Mouse_717</t>
  </si>
  <si>
    <t>Mouse_718</t>
  </si>
  <si>
    <t>Mouse_719</t>
  </si>
  <si>
    <t>Mouse_720</t>
  </si>
  <si>
    <t>Mouse_721</t>
  </si>
  <si>
    <t>Mouse_722</t>
  </si>
  <si>
    <t>Mouse_723</t>
  </si>
  <si>
    <t>Mouse_724</t>
  </si>
  <si>
    <t>Mouse_725</t>
  </si>
  <si>
    <t>Mouse_726</t>
  </si>
  <si>
    <t>Mouse_727</t>
  </si>
  <si>
    <t>Mouse_728</t>
  </si>
  <si>
    <t>Mouse_729</t>
  </si>
  <si>
    <t>Mouse_730</t>
  </si>
  <si>
    <t>Mouse_731</t>
  </si>
  <si>
    <t>Mouse_732</t>
  </si>
  <si>
    <t>Mouse_733</t>
  </si>
  <si>
    <t>Mouse_734</t>
  </si>
  <si>
    <t>Mouse_735</t>
  </si>
  <si>
    <t>Mouse_736</t>
  </si>
  <si>
    <t>Mouse_737</t>
  </si>
  <si>
    <t>Mouse_738</t>
  </si>
  <si>
    <t>Mouse_739</t>
  </si>
  <si>
    <t>Mouse_740</t>
  </si>
  <si>
    <t>Mouse_741</t>
  </si>
  <si>
    <t>Mouse_742</t>
  </si>
  <si>
    <t>Mouse_743</t>
  </si>
  <si>
    <t>Mouse_744</t>
  </si>
  <si>
    <t>Mouse_745</t>
  </si>
  <si>
    <t>Mouse_746</t>
  </si>
  <si>
    <t>Mouse_747</t>
  </si>
  <si>
    <t>Mouse_748</t>
  </si>
  <si>
    <t>Mouse_749</t>
  </si>
  <si>
    <t>Mouse_750</t>
  </si>
  <si>
    <t>Mouse_751</t>
  </si>
  <si>
    <t>Mouse_752</t>
  </si>
  <si>
    <t>Mouse_753</t>
  </si>
  <si>
    <t>Mouse_754</t>
  </si>
  <si>
    <t>Mouse_755</t>
  </si>
  <si>
    <t>Mouse_756</t>
  </si>
  <si>
    <t>Mouse_757</t>
  </si>
  <si>
    <t>Mouse_758</t>
  </si>
  <si>
    <t>Mouse_759</t>
  </si>
  <si>
    <t>Mouse_760</t>
  </si>
  <si>
    <t>Mouse_761</t>
  </si>
  <si>
    <t>Mouse_762</t>
  </si>
  <si>
    <t>Mouse_763</t>
  </si>
  <si>
    <t>Mouse_764</t>
  </si>
  <si>
    <t>Mouse_765</t>
  </si>
  <si>
    <t>Mouse_766</t>
  </si>
  <si>
    <t>Mouse_767</t>
  </si>
  <si>
    <t>Mouse_768</t>
  </si>
  <si>
    <t>Mouse_769</t>
  </si>
  <si>
    <t>Mouse_770</t>
  </si>
  <si>
    <t>Mouse_771</t>
  </si>
  <si>
    <t>Mouse_772</t>
  </si>
  <si>
    <t>Mouse_773</t>
  </si>
  <si>
    <t>Mouse_774</t>
  </si>
  <si>
    <t>Mouse_775</t>
  </si>
  <si>
    <t>Mouse_776</t>
  </si>
  <si>
    <t>Mouse_777</t>
  </si>
  <si>
    <t>Mouse_778</t>
  </si>
  <si>
    <t>Mouse_779</t>
  </si>
  <si>
    <t>Mouse_780</t>
  </si>
  <si>
    <t>Mouse_781</t>
  </si>
  <si>
    <t>Mouse_782</t>
  </si>
  <si>
    <t>Mouse_783</t>
  </si>
  <si>
    <t>Mouse_784</t>
  </si>
  <si>
    <t>Mouse_785</t>
  </si>
  <si>
    <t>Mouse_786</t>
  </si>
  <si>
    <t>Mouse_787</t>
  </si>
  <si>
    <t>Mouse_788</t>
  </si>
  <si>
    <t>Mouse_789</t>
  </si>
  <si>
    <t>Mouse_790</t>
  </si>
  <si>
    <t>Mouse_791</t>
  </si>
  <si>
    <t>Mouse_792</t>
  </si>
  <si>
    <t>Mouse_793</t>
  </si>
  <si>
    <t>Mouse_794</t>
  </si>
  <si>
    <t>Mouse_795</t>
  </si>
  <si>
    <t>Mouse_796</t>
  </si>
  <si>
    <t>Mouse_797</t>
  </si>
  <si>
    <t>Mouse_798</t>
  </si>
  <si>
    <t>Mouse_799</t>
  </si>
  <si>
    <t>Mouse_800</t>
  </si>
  <si>
    <t>Mouse_801</t>
  </si>
  <si>
    <t>Mouse_802</t>
  </si>
  <si>
    <t>Mouse_803</t>
  </si>
  <si>
    <t>Mouse_804</t>
  </si>
  <si>
    <t>Mouse_805</t>
  </si>
  <si>
    <t>Mouse_806</t>
  </si>
  <si>
    <t>Mouse_807</t>
  </si>
  <si>
    <t>Mouse_808</t>
  </si>
  <si>
    <t>Mouse_809</t>
  </si>
  <si>
    <t>Mouse_810</t>
  </si>
  <si>
    <t>Mouse_811</t>
  </si>
  <si>
    <t>Mouse_812</t>
  </si>
  <si>
    <t>Mouse_813</t>
  </si>
  <si>
    <t>Mouse_814</t>
  </si>
  <si>
    <t>Mouse_815</t>
  </si>
  <si>
    <t>Mouse_816</t>
  </si>
  <si>
    <t>Mouse_817</t>
  </si>
  <si>
    <t>Mouse_818</t>
  </si>
  <si>
    <t>Mouse_819</t>
  </si>
  <si>
    <t>Mouse_820</t>
  </si>
  <si>
    <t>Mouse_821</t>
  </si>
  <si>
    <t>Mouse_822</t>
  </si>
  <si>
    <t>Mouse_823</t>
  </si>
  <si>
    <t>Mouse_824</t>
  </si>
  <si>
    <t>Mouse_825</t>
  </si>
  <si>
    <t>Mouse_826</t>
  </si>
  <si>
    <t>Mouse_827</t>
  </si>
  <si>
    <t>Mouse_828</t>
  </si>
  <si>
    <t>Mouse_829</t>
  </si>
  <si>
    <t>Mouse_830</t>
  </si>
  <si>
    <t>Mouse_831</t>
  </si>
  <si>
    <t>Mouse_832</t>
  </si>
  <si>
    <t>Mouse_833</t>
  </si>
  <si>
    <t>Mouse_834</t>
  </si>
  <si>
    <t>Mouse_835</t>
  </si>
  <si>
    <t>Mouse_836</t>
  </si>
  <si>
    <t>Mouse_837</t>
  </si>
  <si>
    <t>Mouse_838</t>
  </si>
  <si>
    <t>Mouse_839</t>
  </si>
  <si>
    <t>Mouse_840</t>
  </si>
  <si>
    <t>Mouse_841</t>
  </si>
  <si>
    <t>Mouse_842</t>
  </si>
  <si>
    <t>Mouse_843</t>
  </si>
  <si>
    <t>Mouse_844</t>
  </si>
  <si>
    <t>Mouse_845</t>
  </si>
  <si>
    <t>Mouse_846</t>
  </si>
  <si>
    <t>Mouse_847</t>
  </si>
  <si>
    <t>Mouse_848</t>
  </si>
  <si>
    <t>Mouse_849</t>
  </si>
  <si>
    <t>Mouse_850</t>
  </si>
  <si>
    <t>Mouse_851</t>
  </si>
  <si>
    <t>Mouse_852</t>
  </si>
  <si>
    <t>Mouse_854</t>
  </si>
  <si>
    <t>Mouse_855</t>
  </si>
  <si>
    <t>Mouse_856</t>
  </si>
  <si>
    <t>Mouse_857</t>
  </si>
  <si>
    <t>Mouse_858</t>
  </si>
  <si>
    <t>Mouse_859</t>
  </si>
  <si>
    <t>Mouse_860</t>
  </si>
  <si>
    <t>Mouse_861</t>
  </si>
  <si>
    <t>Mouse_862</t>
  </si>
  <si>
    <t>Mouse_863</t>
  </si>
  <si>
    <t>Mouse_864</t>
  </si>
  <si>
    <t>Mouse_865</t>
  </si>
  <si>
    <t>Mouse_866</t>
  </si>
  <si>
    <t>Mouse_867</t>
  </si>
  <si>
    <t>Mouse_868</t>
  </si>
  <si>
    <t>Mouse_869</t>
  </si>
  <si>
    <t>Mouse_870</t>
  </si>
  <si>
    <t>Mouse_871</t>
  </si>
  <si>
    <t>Mouse_872</t>
  </si>
  <si>
    <t>Mouse_873</t>
  </si>
  <si>
    <t>Mouse_874</t>
  </si>
  <si>
    <t>Mouse_875</t>
  </si>
  <si>
    <t>Mouse_876</t>
  </si>
  <si>
    <t>Mouse_877</t>
  </si>
  <si>
    <t>Mouse_878</t>
  </si>
  <si>
    <t>Mouse_879</t>
  </si>
  <si>
    <t>Mouse_880</t>
  </si>
  <si>
    <t>Mouse_881</t>
  </si>
  <si>
    <t>Mouse_882</t>
  </si>
  <si>
    <t>Mouse_883</t>
  </si>
  <si>
    <t>Mouse_884</t>
  </si>
  <si>
    <t>Mouse_885</t>
  </si>
  <si>
    <t>Mouse_886</t>
  </si>
  <si>
    <t>Mouse_887</t>
  </si>
  <si>
    <t>Mouse_888</t>
  </si>
  <si>
    <t>Mouse_889</t>
  </si>
  <si>
    <t>Mouse_890</t>
  </si>
  <si>
    <t>Mouse_891</t>
  </si>
  <si>
    <t>Mouse_892</t>
  </si>
  <si>
    <t>Mouse_893</t>
  </si>
  <si>
    <t>Mouse_894</t>
  </si>
  <si>
    <t>Mouse_895</t>
  </si>
  <si>
    <t>Mouse_896</t>
  </si>
  <si>
    <t>Mouse_897</t>
  </si>
  <si>
    <t>Mouse_898</t>
  </si>
  <si>
    <t>Mouse_899</t>
  </si>
  <si>
    <t>Mouse_900</t>
  </si>
  <si>
    <t>Mouse_901</t>
  </si>
  <si>
    <t>Mouse_902</t>
  </si>
  <si>
    <t>Mouse_903</t>
  </si>
  <si>
    <t>Mouse_904</t>
  </si>
  <si>
    <t>Mouse_905</t>
  </si>
  <si>
    <t>Mouse_906</t>
  </si>
  <si>
    <t>Mouse_907</t>
  </si>
  <si>
    <t>Mouse_908</t>
  </si>
  <si>
    <t>Mouse_909</t>
  </si>
  <si>
    <t>Mouse_910</t>
  </si>
  <si>
    <t>Mouse_911</t>
  </si>
  <si>
    <t>Mouse_912</t>
  </si>
  <si>
    <t>Mouse_913</t>
  </si>
  <si>
    <t>Mouse_914</t>
  </si>
  <si>
    <t>Mouse_915</t>
  </si>
  <si>
    <t>Mouse_916</t>
  </si>
  <si>
    <t>Mouse_917</t>
  </si>
  <si>
    <t>Mouse_918</t>
  </si>
  <si>
    <t>Mouse_919</t>
  </si>
  <si>
    <t>Mouse_920</t>
  </si>
  <si>
    <t>Mouse_921</t>
  </si>
  <si>
    <t>Mouse_922</t>
  </si>
  <si>
    <t>Mouse_923</t>
  </si>
  <si>
    <t>Mouse_924</t>
  </si>
  <si>
    <t>Mouse_925</t>
  </si>
  <si>
    <t>Mouse_926</t>
  </si>
  <si>
    <t>Mouse_927</t>
  </si>
  <si>
    <t>Mouse_928</t>
  </si>
  <si>
    <t>Mouse_929</t>
  </si>
  <si>
    <t>Mouse_930</t>
  </si>
  <si>
    <t>Mouse_931</t>
  </si>
  <si>
    <t>Mouse_932</t>
  </si>
  <si>
    <t>Mouse_933</t>
  </si>
  <si>
    <t>Mouse_934</t>
  </si>
  <si>
    <t>Mouse_935</t>
  </si>
  <si>
    <t>Mouse_936</t>
  </si>
  <si>
    <t>Mouse_937</t>
  </si>
  <si>
    <t>Mouse_938</t>
  </si>
  <si>
    <t>Mouse_939</t>
  </si>
  <si>
    <t>Mouse_940</t>
  </si>
  <si>
    <t>Mouse_941</t>
  </si>
  <si>
    <t>Mouse_942</t>
  </si>
  <si>
    <t>Mouse_943</t>
  </si>
  <si>
    <t>Mouse_944</t>
  </si>
  <si>
    <t>Mouse_945</t>
  </si>
  <si>
    <t>Mouse_946</t>
  </si>
  <si>
    <t>Mouse_947</t>
  </si>
  <si>
    <t>Mouse_948</t>
  </si>
  <si>
    <t>Mouse_949</t>
  </si>
  <si>
    <t>Mouse_950</t>
  </si>
  <si>
    <t>Mouse_951</t>
  </si>
  <si>
    <t>Mouse_952</t>
  </si>
  <si>
    <t>Mouse_953</t>
  </si>
  <si>
    <t>Mouse_954</t>
  </si>
  <si>
    <t>Mouse_955</t>
  </si>
  <si>
    <t>Mouse_956</t>
  </si>
  <si>
    <t>Mouse_957</t>
  </si>
  <si>
    <t>Mouse_958</t>
  </si>
  <si>
    <t>Mouse_959</t>
  </si>
  <si>
    <t>Mouse_960</t>
  </si>
  <si>
    <t>Mouse_961</t>
  </si>
  <si>
    <t>Mouse_962</t>
  </si>
  <si>
    <t>Mouse_963</t>
  </si>
  <si>
    <t>Mouse_964</t>
  </si>
  <si>
    <t>Mouse_965</t>
  </si>
  <si>
    <t>Mouse_966</t>
  </si>
  <si>
    <t>Mouse_967</t>
  </si>
  <si>
    <t>Mouse_968</t>
  </si>
  <si>
    <t>Mouse_969</t>
  </si>
  <si>
    <t>Mouse_970</t>
  </si>
  <si>
    <t>Mouse_971</t>
  </si>
  <si>
    <t>Mouse_972</t>
  </si>
  <si>
    <t>Mouse_973</t>
  </si>
  <si>
    <t>Mouse_974</t>
  </si>
  <si>
    <t>Mouse_975</t>
  </si>
  <si>
    <t>Mouse_976</t>
  </si>
  <si>
    <t>Mouse_977</t>
  </si>
  <si>
    <t>Mouse_978</t>
  </si>
  <si>
    <t>Mouse_979</t>
  </si>
  <si>
    <t>Mouse_980</t>
  </si>
  <si>
    <t>Mouse_981</t>
  </si>
  <si>
    <t>Mouse_982</t>
  </si>
  <si>
    <t>Mouse_983</t>
  </si>
  <si>
    <t>Mouse_984</t>
  </si>
  <si>
    <t>Mouse_985</t>
  </si>
  <si>
    <t>Mouse_986</t>
  </si>
  <si>
    <t>Mouse_987</t>
  </si>
  <si>
    <t>Mouse_988</t>
  </si>
  <si>
    <t>Mouse_989</t>
  </si>
  <si>
    <t>Mouse_990</t>
  </si>
  <si>
    <t>Mouse_991</t>
  </si>
  <si>
    <t>Mouse_992</t>
  </si>
  <si>
    <t>Mouse_993</t>
  </si>
  <si>
    <t>Mouse_994</t>
  </si>
  <si>
    <t>Mouse_995</t>
  </si>
  <si>
    <t>Mouse_996</t>
  </si>
  <si>
    <t>Mouse_997</t>
  </si>
  <si>
    <t>Mouse_998</t>
  </si>
  <si>
    <t>Mouse_999</t>
  </si>
  <si>
    <t>Mouse_1000</t>
  </si>
  <si>
    <t>Mouse_1001</t>
  </si>
  <si>
    <t>Mouse_1002</t>
  </si>
  <si>
    <t>Mouse_1003</t>
  </si>
  <si>
    <t>Mouse_1004</t>
  </si>
  <si>
    <t>Mouse_1005</t>
  </si>
  <si>
    <t>Mouse_1006</t>
  </si>
  <si>
    <t>Mouse_1007</t>
  </si>
  <si>
    <t>Mouse_1008</t>
  </si>
  <si>
    <t>Mouse_1009</t>
  </si>
  <si>
    <t>Mouse_1010</t>
  </si>
  <si>
    <t>Mouse_1011</t>
  </si>
  <si>
    <t>Mouse_1012</t>
  </si>
  <si>
    <t>Mouse_1013</t>
  </si>
  <si>
    <t>Mouse_1014</t>
  </si>
  <si>
    <t>Mouse_1015</t>
  </si>
  <si>
    <t>Mouse_1016</t>
  </si>
  <si>
    <t>Mouse_1017</t>
  </si>
  <si>
    <t>Mouse_1018</t>
  </si>
  <si>
    <t>Mouse_1019</t>
  </si>
  <si>
    <t>Mouse_1020</t>
  </si>
  <si>
    <t>Mouse_1021</t>
  </si>
  <si>
    <t>Mouse_1022</t>
  </si>
  <si>
    <t>Mouse_1023</t>
  </si>
  <si>
    <t>Mouse_1024</t>
  </si>
  <si>
    <t>Mouse_1025</t>
  </si>
  <si>
    <t>Mouse_1026</t>
  </si>
  <si>
    <t>Mouse_1027</t>
  </si>
  <si>
    <t>Mouse_1028</t>
  </si>
  <si>
    <t>Mouse_1029</t>
  </si>
  <si>
    <t>Mouse_1030</t>
  </si>
  <si>
    <t>Mouse_1031</t>
  </si>
  <si>
    <t>Mouse_1032</t>
  </si>
  <si>
    <t>Mouse_1033</t>
  </si>
  <si>
    <t>Mouse_1034</t>
  </si>
  <si>
    <t>Mouse_1035</t>
  </si>
  <si>
    <t>Mouse_1036</t>
  </si>
  <si>
    <t>Mouse_1037</t>
  </si>
  <si>
    <t>Mouse_1038</t>
  </si>
  <si>
    <t>Mouse_1039</t>
  </si>
  <si>
    <t>Mouse_1040</t>
  </si>
  <si>
    <t>Mouse_1041</t>
  </si>
  <si>
    <t>Mouse_1042</t>
  </si>
  <si>
    <t>Mouse_1043</t>
  </si>
  <si>
    <t>Mouse_1044</t>
  </si>
  <si>
    <t>Mouse_1045</t>
  </si>
  <si>
    <t>Mouse_1046</t>
  </si>
  <si>
    <t>Mouse_1047</t>
  </si>
  <si>
    <t>Mouse_1048</t>
  </si>
  <si>
    <t>Mouse_1049</t>
  </si>
  <si>
    <t>Mouse_1050</t>
  </si>
  <si>
    <t>Mouse_1051</t>
  </si>
  <si>
    <t>Mouse_1052</t>
  </si>
  <si>
    <t>Mouse_1053</t>
  </si>
  <si>
    <t>Mouse_1054</t>
  </si>
  <si>
    <t>Mouse_1055</t>
  </si>
  <si>
    <t>Mouse_1056</t>
  </si>
  <si>
    <t>Mouse_1057</t>
  </si>
  <si>
    <t>Mouse_1058</t>
  </si>
  <si>
    <t>Mouse_1059</t>
  </si>
  <si>
    <t>Mouse_1060</t>
  </si>
  <si>
    <t>Mouse_1061</t>
  </si>
  <si>
    <t>Mouse_1062</t>
  </si>
  <si>
    <t>Mouse_1063</t>
  </si>
  <si>
    <t>Mouse_1064</t>
  </si>
  <si>
    <t>Mouse_1065</t>
  </si>
  <si>
    <t>Mouse_1066</t>
  </si>
  <si>
    <t>Mouse_1067</t>
  </si>
  <si>
    <t>Mouse_1068</t>
  </si>
  <si>
    <t>Mouse_1069</t>
  </si>
  <si>
    <t>Mouse_1070</t>
  </si>
  <si>
    <t>Mouse_1071</t>
  </si>
  <si>
    <t>Mouse_1072</t>
  </si>
  <si>
    <t>Mouse_1073</t>
  </si>
  <si>
    <t>Mouse_1074</t>
  </si>
  <si>
    <t>Mouse_1075</t>
  </si>
  <si>
    <t>Mouse_1076</t>
  </si>
  <si>
    <t>Mouse_1077</t>
  </si>
  <si>
    <t>Mouse_1078</t>
  </si>
  <si>
    <t>Mouse_1079</t>
  </si>
  <si>
    <t>Mouse_1080</t>
  </si>
  <si>
    <t>Mouse_1081</t>
  </si>
  <si>
    <t>Mouse_1082</t>
  </si>
  <si>
    <t>Mouse_1083</t>
  </si>
  <si>
    <t>Mouse_1084</t>
  </si>
  <si>
    <t>Mouse_1085</t>
  </si>
  <si>
    <t>Mouse_1086</t>
  </si>
  <si>
    <t>Mouse_1087</t>
  </si>
  <si>
    <t>Mouse_1088</t>
  </si>
  <si>
    <t>Mouse_1089</t>
  </si>
  <si>
    <t>Mouse_1090</t>
  </si>
  <si>
    <t>Mouse_1091</t>
  </si>
  <si>
    <t>Mouse_1092</t>
  </si>
  <si>
    <t>Mouse_1093</t>
  </si>
  <si>
    <t>Mouse_1094</t>
  </si>
  <si>
    <t>Mouse_1095</t>
  </si>
  <si>
    <t>Mouse_1096</t>
  </si>
  <si>
    <t>Mouse_1097</t>
  </si>
  <si>
    <t>Mouse_1098</t>
  </si>
  <si>
    <t>Mouse_1099</t>
  </si>
  <si>
    <t>Mouse_1100</t>
  </si>
  <si>
    <t>Mouse_1101</t>
  </si>
  <si>
    <t>Mouse_1102</t>
  </si>
  <si>
    <t>Mouse_1103</t>
  </si>
  <si>
    <t>Mouse_1104</t>
  </si>
  <si>
    <t>Mouse_1105</t>
  </si>
  <si>
    <t>Mouse_1106</t>
  </si>
  <si>
    <t>Mouse_1107</t>
  </si>
  <si>
    <t>Mouse_1108</t>
  </si>
  <si>
    <t>Mouse_1109</t>
  </si>
  <si>
    <t>Mouse_1110</t>
  </si>
  <si>
    <t>Mouse_1111</t>
  </si>
  <si>
    <t>Mouse_1112</t>
  </si>
  <si>
    <t>Mouse_1113</t>
  </si>
  <si>
    <t>Mouse_1114</t>
  </si>
  <si>
    <t>Mouse_1115</t>
  </si>
  <si>
    <t>Mouse_1116</t>
  </si>
  <si>
    <t>Mouse_1117</t>
  </si>
  <si>
    <t>Mouse_1118</t>
  </si>
  <si>
    <t>Mouse_1119</t>
  </si>
  <si>
    <t>Mouse_1120</t>
  </si>
  <si>
    <t>Mouse_1121</t>
  </si>
  <si>
    <t>Mouse_1122</t>
  </si>
  <si>
    <t>Mouse_1123</t>
  </si>
  <si>
    <t>Mouse_1124</t>
  </si>
  <si>
    <t>Mouse_1125</t>
  </si>
  <si>
    <t>Mouse_1126</t>
  </si>
  <si>
    <t>Mouse_1127</t>
  </si>
  <si>
    <t>Mouse_1128</t>
  </si>
  <si>
    <t>Mouse_1129</t>
  </si>
  <si>
    <t>Mouse_1130</t>
  </si>
  <si>
    <t>Mouse_1131</t>
  </si>
  <si>
    <t>Mouse_1132</t>
  </si>
  <si>
    <t>Mouse_1133</t>
  </si>
  <si>
    <t>Mouse_1134</t>
  </si>
  <si>
    <t>Mouse_1135</t>
  </si>
  <si>
    <t>Mouse_1136</t>
  </si>
  <si>
    <t>Mouse_1137</t>
  </si>
  <si>
    <t>Mouse_1138</t>
  </si>
  <si>
    <t>Mouse_1139</t>
  </si>
  <si>
    <t>Mouse_1140</t>
  </si>
  <si>
    <t>Mouse_1141</t>
  </si>
  <si>
    <t>Mouse_1142</t>
  </si>
  <si>
    <t>Mouse_1143</t>
  </si>
  <si>
    <t>Mouse_1144</t>
  </si>
  <si>
    <t>Mouse_1145</t>
  </si>
  <si>
    <t>Mouse_1146</t>
  </si>
  <si>
    <t>Mouse_1147</t>
  </si>
  <si>
    <t>Mouse_1148</t>
  </si>
  <si>
    <t>Mouse_1149</t>
  </si>
  <si>
    <t>Mouse_1150</t>
  </si>
  <si>
    <t>Mouse_1151</t>
  </si>
  <si>
    <t>Mouse_1152</t>
  </si>
  <si>
    <t>Mouse_1153</t>
  </si>
  <si>
    <t>Mouse_1154</t>
  </si>
  <si>
    <t>Mouse_1155</t>
  </si>
  <si>
    <t>Mouse_1156</t>
  </si>
  <si>
    <t>Mouse_1157</t>
  </si>
  <si>
    <t>Mouse_1158</t>
  </si>
  <si>
    <t>Mouse_1159</t>
  </si>
  <si>
    <t>Mouse_1160</t>
  </si>
  <si>
    <t>Mouse_1161</t>
  </si>
  <si>
    <t>Mouse_1162</t>
  </si>
  <si>
    <t>Mouse_1163</t>
  </si>
  <si>
    <t>Mouse_1164</t>
  </si>
  <si>
    <t>Mouse_1165</t>
  </si>
  <si>
    <t>Mouse_1166</t>
  </si>
  <si>
    <t>Mouse_1167</t>
  </si>
  <si>
    <t>Mouse_1168</t>
  </si>
  <si>
    <t>Mouse_1169</t>
  </si>
  <si>
    <t>Mouse_1170</t>
  </si>
  <si>
    <t>Mouse_1171</t>
  </si>
  <si>
    <t>Mouse_1172</t>
  </si>
  <si>
    <t>Mouse_1173</t>
  </si>
  <si>
    <t>Mouse_1174</t>
  </si>
  <si>
    <t>Mouse_1175</t>
  </si>
  <si>
    <t>Mouse_1176</t>
  </si>
  <si>
    <t>Mouse_1177</t>
  </si>
  <si>
    <t>Mouse_1178</t>
  </si>
  <si>
    <t>Mouse_1179</t>
  </si>
  <si>
    <t>Mouse_1180</t>
  </si>
  <si>
    <t>Mouse_1181</t>
  </si>
  <si>
    <t>Mouse_1182</t>
  </si>
  <si>
    <t>Mouse_1183</t>
  </si>
  <si>
    <t>Mouse_1184</t>
  </si>
  <si>
    <t>Mouse_1185</t>
  </si>
  <si>
    <t>Mouse_1186</t>
  </si>
  <si>
    <t>Mouse_1187</t>
  </si>
  <si>
    <t>Mouse_1188</t>
  </si>
  <si>
    <t>Mouse_1189</t>
  </si>
  <si>
    <t>Mouse_1190</t>
  </si>
  <si>
    <t>Mouse_1191</t>
  </si>
  <si>
    <t>Mouse_1192</t>
  </si>
  <si>
    <t>Mouse_1193</t>
  </si>
  <si>
    <t>Mouse_1194</t>
  </si>
  <si>
    <t>Mouse_1195</t>
  </si>
  <si>
    <t>Mouse_1196</t>
  </si>
  <si>
    <t>Mouse_1197</t>
  </si>
  <si>
    <t>Mouse_1198</t>
  </si>
  <si>
    <t>Mouse_1199</t>
  </si>
  <si>
    <t>Mouse_1200</t>
  </si>
  <si>
    <t>Mouse_1201</t>
  </si>
  <si>
    <t>Mouse_1202</t>
  </si>
  <si>
    <t>Mouse_1203</t>
  </si>
  <si>
    <t>Mouse_1204</t>
  </si>
  <si>
    <t>Mouse_1205</t>
  </si>
  <si>
    <t>Mouse_1206</t>
  </si>
  <si>
    <t>Mouse_1207</t>
  </si>
  <si>
    <t>Mouse_1208</t>
  </si>
  <si>
    <t>Mouse_1209</t>
  </si>
  <si>
    <t>Mouse_1210</t>
  </si>
  <si>
    <t>Mouse_1211</t>
  </si>
  <si>
    <t>Mouse_1212</t>
  </si>
  <si>
    <t>Mouse_1213</t>
  </si>
  <si>
    <t>Mouse_1214</t>
  </si>
  <si>
    <t>Mouse_1215</t>
  </si>
  <si>
    <t>Mouse_1216</t>
  </si>
  <si>
    <t>Mouse_1217</t>
  </si>
  <si>
    <t>Mouse_1218</t>
  </si>
  <si>
    <t>Mouse_1219</t>
  </si>
  <si>
    <t>Mouse_1220</t>
  </si>
  <si>
    <t>Mouse_1221</t>
  </si>
  <si>
    <t>Mouse_1222</t>
  </si>
  <si>
    <t>Mouse_1223</t>
  </si>
  <si>
    <t>Mouse_1224</t>
  </si>
  <si>
    <t>Mouse_1225</t>
  </si>
  <si>
    <t>Mouse_1226</t>
  </si>
  <si>
    <t>Mouse_1227</t>
  </si>
  <si>
    <t>Mouse_1228</t>
  </si>
  <si>
    <t>Mouse_1229</t>
  </si>
  <si>
    <t>Mouse_1230</t>
  </si>
  <si>
    <t>Mouse_1231</t>
  </si>
  <si>
    <t>Mouse_1232</t>
  </si>
  <si>
    <t>Mouse_1233</t>
  </si>
  <si>
    <t>Mouse_1234</t>
  </si>
  <si>
    <t>Mouse_1235</t>
  </si>
  <si>
    <t>Mouse_1236</t>
  </si>
  <si>
    <t>Mouse_1237</t>
  </si>
  <si>
    <t>Mouse_1238</t>
  </si>
  <si>
    <t>Mouse_1239</t>
  </si>
  <si>
    <t>Mouse_1240</t>
  </si>
  <si>
    <t>Mouse_1241</t>
  </si>
  <si>
    <t>Mouse_1242</t>
  </si>
  <si>
    <t>Mouse_1243</t>
  </si>
  <si>
    <t>Mouse_1244</t>
  </si>
  <si>
    <t>Mouse_1245</t>
  </si>
  <si>
    <t>Mouse_1246</t>
  </si>
  <si>
    <t>Mouse_1247</t>
  </si>
  <si>
    <t>Mouse_1248</t>
  </si>
  <si>
    <t>Mouse_1249</t>
  </si>
  <si>
    <t>Mouse_1250</t>
  </si>
  <si>
    <t>Mouse_1251</t>
  </si>
  <si>
    <t>Mouse_1252</t>
  </si>
  <si>
    <t>Mouse_1253</t>
  </si>
  <si>
    <t>Mouse_1254</t>
  </si>
  <si>
    <t>Mouse_1255</t>
  </si>
  <si>
    <t>Mouse_1256</t>
  </si>
  <si>
    <t>Mouse_1257</t>
  </si>
  <si>
    <t>Mouse_1258</t>
  </si>
  <si>
    <t>Mouse_1259</t>
  </si>
  <si>
    <t>Mouse_1260</t>
  </si>
  <si>
    <t>Mouse_1261</t>
  </si>
  <si>
    <t>Mouse_1262</t>
  </si>
  <si>
    <t>Mouse_1263</t>
  </si>
  <si>
    <t>Mouse_1264</t>
  </si>
  <si>
    <t>Mouse_1265</t>
  </si>
  <si>
    <t>Mouse_1266</t>
  </si>
  <si>
    <t>Mouse_1267</t>
  </si>
  <si>
    <t>Mouse_1268</t>
  </si>
  <si>
    <t>Mouse_1269</t>
  </si>
  <si>
    <t>Mouse_1270</t>
  </si>
  <si>
    <t>Mouse_1271</t>
  </si>
  <si>
    <t>Mouse_1272</t>
  </si>
  <si>
    <t>Mouse_1273</t>
  </si>
  <si>
    <t>Mouse_1274</t>
  </si>
  <si>
    <t>Mouse_1275</t>
  </si>
  <si>
    <t>Mouse_1276</t>
  </si>
  <si>
    <t>Mouse_1277</t>
  </si>
  <si>
    <t>Mouse_1278</t>
  </si>
  <si>
    <t>Mouse_1279</t>
  </si>
  <si>
    <t>Mouse_1280</t>
  </si>
  <si>
    <t>Mouse_1281</t>
  </si>
  <si>
    <t>Mouse_1282</t>
  </si>
  <si>
    <t>Mouse_1283</t>
  </si>
  <si>
    <t>Mouse_1284</t>
  </si>
  <si>
    <t>Mouse_1285</t>
  </si>
  <si>
    <t>Mouse_1286</t>
  </si>
  <si>
    <t>Mouse_1287</t>
  </si>
  <si>
    <t>Mouse_1288</t>
  </si>
  <si>
    <t>Mouse_1289</t>
  </si>
  <si>
    <t>Mouse_1290</t>
  </si>
  <si>
    <t>Mouse_1291</t>
  </si>
  <si>
    <t>Mouse_1292</t>
  </si>
  <si>
    <t>Mouse_1293</t>
  </si>
  <si>
    <t>Mouse_1294</t>
  </si>
  <si>
    <t>Mouse_1295</t>
  </si>
  <si>
    <t>Mouse_1296</t>
  </si>
  <si>
    <t>Mouse_1297</t>
  </si>
  <si>
    <t>Mouse_1298</t>
  </si>
  <si>
    <t>Mouse_1299</t>
  </si>
  <si>
    <t>Mouse_1300</t>
  </si>
  <si>
    <t>Mouse_1301</t>
  </si>
  <si>
    <t>Mouse_1302</t>
  </si>
  <si>
    <t>Mouse_1303</t>
  </si>
  <si>
    <t>Mouse_1304</t>
  </si>
  <si>
    <t>Mouse_1305</t>
  </si>
  <si>
    <t>Mouse_1306</t>
  </si>
  <si>
    <t>Mouse_1307</t>
  </si>
  <si>
    <t>Mouse_1308</t>
  </si>
  <si>
    <t>Mouse_1309</t>
  </si>
  <si>
    <t>Mouse_1310</t>
  </si>
  <si>
    <t>Mouse_1311</t>
  </si>
  <si>
    <t>Mouse_1312</t>
  </si>
  <si>
    <t>Mouse_1313</t>
  </si>
  <si>
    <t>Mouse_1314</t>
  </si>
  <si>
    <t>Mouse_1315</t>
  </si>
  <si>
    <t>Mouse_1316</t>
  </si>
  <si>
    <t>Mouse_1317</t>
  </si>
  <si>
    <t>Mouse_1319</t>
  </si>
  <si>
    <t>Mouse_1320</t>
  </si>
  <si>
    <t>Mouse_1321</t>
  </si>
  <si>
    <t>Mouse_1322</t>
  </si>
  <si>
    <t>Mouse_1323</t>
  </si>
  <si>
    <t>Mouse_1324</t>
  </si>
  <si>
    <t>Mouse_1325</t>
  </si>
  <si>
    <t>Mouse_1326</t>
  </si>
  <si>
    <t>Mouse_1327</t>
  </si>
  <si>
    <t>Mouse_1328</t>
  </si>
  <si>
    <t>Mouse_1329</t>
  </si>
  <si>
    <t>Mouse_1330</t>
  </si>
  <si>
    <t>Mouse_1331</t>
  </si>
  <si>
    <t>Mouse_1332</t>
  </si>
  <si>
    <t>Mouse_1333</t>
  </si>
  <si>
    <t>Mouse_1334</t>
  </si>
  <si>
    <t>Mouse_1335</t>
  </si>
  <si>
    <t>Mouse_1336</t>
  </si>
  <si>
    <t>Mouse_1337</t>
  </si>
  <si>
    <t>Mouse_1338</t>
  </si>
  <si>
    <t>Mouse_1339</t>
  </si>
  <si>
    <t>Mouse_1340</t>
  </si>
  <si>
    <t>Mouse_1341</t>
  </si>
  <si>
    <t>Mouse_1342</t>
  </si>
  <si>
    <t>Mouse_1343</t>
  </si>
  <si>
    <t>Mouse_1344</t>
  </si>
  <si>
    <t>Mouse_1345</t>
  </si>
  <si>
    <t>Mouse_1346</t>
  </si>
  <si>
    <t>Mouse_1347</t>
  </si>
  <si>
    <t>Mouse_1348</t>
  </si>
  <si>
    <t>Mouse_1349</t>
  </si>
  <si>
    <t>Mouse_1350</t>
  </si>
  <si>
    <t>Mouse_1351</t>
  </si>
  <si>
    <t>Mouse_1352</t>
  </si>
  <si>
    <t>Mouse_1353</t>
  </si>
  <si>
    <t>Mouse_1354</t>
  </si>
  <si>
    <t>Mouse_1355</t>
  </si>
  <si>
    <t>Mouse_1356</t>
  </si>
  <si>
    <t>Mouse_1357</t>
  </si>
  <si>
    <t>Mouse_1358</t>
  </si>
  <si>
    <t>Mouse_1359</t>
  </si>
  <si>
    <t>Mouse_1360</t>
  </si>
  <si>
    <t>Mouse_1361</t>
  </si>
  <si>
    <t>Mouse_1362</t>
  </si>
  <si>
    <t>Mouse_1363</t>
  </si>
  <si>
    <t>Mouse_1364</t>
  </si>
  <si>
    <t>Mouse_1365</t>
  </si>
  <si>
    <t>Mouse_1366</t>
  </si>
  <si>
    <t>Mouse_1367</t>
  </si>
  <si>
    <t>Mouse_1370</t>
  </si>
  <si>
    <t>Mouse_1371</t>
  </si>
  <si>
    <t>Mouse_1372</t>
  </si>
  <si>
    <t>Mouse_1374</t>
  </si>
  <si>
    <t>Mouse_1375</t>
  </si>
  <si>
    <t>Mouse_1376</t>
  </si>
  <si>
    <t>Mouse_1377</t>
  </si>
  <si>
    <t>Mouse_1378</t>
  </si>
  <si>
    <t>Mouse_1379</t>
  </si>
  <si>
    <t>Mouse_1380</t>
  </si>
  <si>
    <t>Mouse_1381</t>
  </si>
  <si>
    <t>Mouse_1382</t>
  </si>
  <si>
    <t>Mouse_1383</t>
  </si>
  <si>
    <t>Mouse_1384</t>
  </si>
  <si>
    <t>Mouse_1385</t>
  </si>
  <si>
    <t>Mouse_1386</t>
  </si>
  <si>
    <t>Mouse_1387</t>
  </si>
  <si>
    <t>Mouse_1388</t>
  </si>
  <si>
    <t>Mouse_1389</t>
  </si>
  <si>
    <t>Mouse_1390</t>
  </si>
  <si>
    <t>Mouse_1391</t>
  </si>
  <si>
    <t>Mouse_1392</t>
  </si>
  <si>
    <t>Mouse_1393</t>
  </si>
  <si>
    <t>Mouse_1394</t>
  </si>
  <si>
    <t>Mouse_1395</t>
  </si>
  <si>
    <t>Mouse_1396</t>
  </si>
  <si>
    <t>Mouse_1397</t>
  </si>
  <si>
    <t>Mouse_1398</t>
  </si>
  <si>
    <t>Mouse_1399</t>
  </si>
  <si>
    <t>Mouse_1400</t>
  </si>
  <si>
    <t>Mouse_1401</t>
  </si>
  <si>
    <t>Mouse_1402</t>
  </si>
  <si>
    <t>Mouse_1403</t>
  </si>
  <si>
    <t>Mouse_1404</t>
  </si>
  <si>
    <t>Mouse_1405</t>
  </si>
  <si>
    <t>Mouse_1406</t>
  </si>
  <si>
    <t>Mouse_1407</t>
  </si>
  <si>
    <t>Mouse_1408</t>
  </si>
  <si>
    <t>Mouse_1409</t>
  </si>
  <si>
    <t>Mouse_1410</t>
  </si>
  <si>
    <t>Mouse_1411</t>
  </si>
  <si>
    <t>Mouse_1412</t>
  </si>
  <si>
    <t>Mouse_1413</t>
  </si>
  <si>
    <t>Mouse_1414</t>
  </si>
  <si>
    <t>Mouse_1415</t>
  </si>
  <si>
    <t>Mouse_1416</t>
  </si>
  <si>
    <t>Mouse_1417</t>
  </si>
  <si>
    <t>Mouse_1418</t>
  </si>
  <si>
    <t>Mouse_1419</t>
  </si>
  <si>
    <t>Mouse_1420</t>
  </si>
  <si>
    <t>Mouse_1421</t>
  </si>
  <si>
    <t>Mouse_1422</t>
  </si>
  <si>
    <t>Mouse_1423</t>
  </si>
  <si>
    <t>Mouse_1424</t>
  </si>
  <si>
    <t>Mouse_1425</t>
  </si>
  <si>
    <t>Mouse_1426</t>
  </si>
  <si>
    <t>Mouse_1427</t>
  </si>
  <si>
    <t>Mouse_1428</t>
  </si>
  <si>
    <t>Mouse_1429</t>
  </si>
  <si>
    <t>Mouse_1430</t>
  </si>
  <si>
    <t>Mouse_1431</t>
  </si>
  <si>
    <t>Mouse_1432</t>
  </si>
  <si>
    <t>Mouse_1433</t>
  </si>
  <si>
    <t>Mouse_1434</t>
  </si>
  <si>
    <t>Mouse_1435</t>
  </si>
  <si>
    <t>Mouse_1436</t>
  </si>
  <si>
    <t>Mouse_1437</t>
  </si>
  <si>
    <t>Mouse_1438</t>
  </si>
  <si>
    <t>Mouse_1439</t>
  </si>
  <si>
    <t>Mouse_1440</t>
  </si>
  <si>
    <t>Mouse_1441</t>
  </si>
  <si>
    <t>Mouse_1442</t>
  </si>
  <si>
    <t>Mouse_1443</t>
  </si>
  <si>
    <t>Mouse_1444</t>
  </si>
  <si>
    <t>Mouse_1445</t>
  </si>
  <si>
    <t>Mouse_1446</t>
  </si>
  <si>
    <t>Mouse_1447</t>
  </si>
  <si>
    <t>Mouse_1448</t>
  </si>
  <si>
    <t>Mouse_1449</t>
  </si>
  <si>
    <t>Mouse_1450</t>
  </si>
  <si>
    <t>Mouse_1451</t>
  </si>
  <si>
    <t>Mouse_1452</t>
  </si>
  <si>
    <t>Mouse_1453</t>
  </si>
  <si>
    <t>Mouse_1454</t>
  </si>
  <si>
    <t>Mouse_1455</t>
  </si>
  <si>
    <t>Mouse_1456</t>
  </si>
  <si>
    <t>Mouse_1457</t>
  </si>
  <si>
    <t>Mouse_1458</t>
  </si>
  <si>
    <t>Mouse_1459</t>
  </si>
  <si>
    <t>Mouse_1460</t>
  </si>
  <si>
    <t>Mouse_1461</t>
  </si>
  <si>
    <t>Mouse_1462</t>
  </si>
  <si>
    <t>Mouse_1463</t>
  </si>
  <si>
    <t>Mouse_1464</t>
  </si>
  <si>
    <t>Mouse_1465</t>
  </si>
  <si>
    <t>Mouse_1467</t>
  </si>
  <si>
    <t>Mouse_1468</t>
  </si>
  <si>
    <t>Mouse_1469</t>
  </si>
  <si>
    <t>Mouse_1470</t>
  </si>
  <si>
    <t>Mouse_1471</t>
  </si>
  <si>
    <t>Mouse_1472</t>
  </si>
  <si>
    <t>Mouse_1473</t>
  </si>
  <si>
    <t>Mouse_1474</t>
  </si>
  <si>
    <t>Mouse_1475</t>
  </si>
  <si>
    <t>Mouse_1476</t>
  </si>
  <si>
    <t>Mouse_1477</t>
  </si>
  <si>
    <t>Mouse_1478</t>
  </si>
  <si>
    <t>Mouse_1479</t>
  </si>
  <si>
    <t>Mouse_1480</t>
  </si>
  <si>
    <t>Mouse_1481</t>
  </si>
  <si>
    <t>Mouse_1482</t>
  </si>
  <si>
    <t>Mouse_1483</t>
  </si>
  <si>
    <t>Mouse_1484</t>
  </si>
  <si>
    <t>Mouse_1485</t>
  </si>
  <si>
    <t>Mouse_1486</t>
  </si>
  <si>
    <t>Mouse_1487</t>
  </si>
  <si>
    <t>Mouse_1488</t>
  </si>
  <si>
    <t>Mouse_1489</t>
  </si>
  <si>
    <t>Mouse_1490</t>
  </si>
  <si>
    <t>Mouse_1491</t>
  </si>
  <si>
    <t>Mouse_1492</t>
  </si>
  <si>
    <t>Mouse_1493</t>
  </si>
  <si>
    <t>Mouse_1494</t>
  </si>
  <si>
    <t>Mouse_1495</t>
  </si>
  <si>
    <t>Mouse_1496</t>
  </si>
  <si>
    <t>Mouse_1497</t>
  </si>
  <si>
    <t>Mouse_1498</t>
  </si>
  <si>
    <t>Mouse_1499</t>
  </si>
  <si>
    <t>Mouse_1500</t>
  </si>
  <si>
    <t>Mouse_1501</t>
  </si>
  <si>
    <t>Mouse_1502</t>
  </si>
  <si>
    <t>Mouse_1503</t>
  </si>
  <si>
    <t>Mouse_1504</t>
  </si>
  <si>
    <t>Mouse_1505</t>
  </si>
  <si>
    <t>Mouse_1506</t>
  </si>
  <si>
    <t>Mouse_1507</t>
  </si>
  <si>
    <t>Mouse_1508</t>
  </si>
  <si>
    <t>Mouse_1509</t>
  </si>
  <si>
    <t>Mouse_1510</t>
  </si>
  <si>
    <t>Mouse_1511</t>
  </si>
  <si>
    <t>Mouse_1512</t>
  </si>
  <si>
    <t>Mouse_1513</t>
  </si>
  <si>
    <t>Mouse_1514</t>
  </si>
  <si>
    <t>Mouse_1515</t>
  </si>
  <si>
    <t>Mouse_1516</t>
  </si>
  <si>
    <t>Mouse_1517</t>
  </si>
  <si>
    <t>Mouse_1518</t>
  </si>
  <si>
    <t>Mouse_1519</t>
  </si>
  <si>
    <t>Mouse_1520</t>
  </si>
  <si>
    <t>Mouse_1521</t>
  </si>
  <si>
    <t>Mouse_1522</t>
  </si>
  <si>
    <t>Mouse_1523</t>
  </si>
  <si>
    <t>Mouse_1524</t>
  </si>
  <si>
    <t>Mouse_1525</t>
  </si>
  <si>
    <t>Mouse_1526</t>
  </si>
  <si>
    <t>Mouse_1527</t>
  </si>
  <si>
    <t>Mouse_1528</t>
  </si>
  <si>
    <t>Mouse_1529</t>
  </si>
  <si>
    <t>Mouse_1530</t>
  </si>
  <si>
    <t>Mouse_1531</t>
  </si>
  <si>
    <t>Mouse_1532</t>
  </si>
  <si>
    <t>Mouse_1533</t>
  </si>
  <si>
    <t>Mouse_1534</t>
  </si>
  <si>
    <t>Mouse_1535</t>
  </si>
  <si>
    <t>Mouse_1536</t>
  </si>
  <si>
    <t>Mouse_1537</t>
  </si>
  <si>
    <t>Mouse_1538</t>
  </si>
  <si>
    <t>Mouse_1539</t>
  </si>
  <si>
    <t>Mouse_1540</t>
  </si>
  <si>
    <t>Mouse_1541</t>
  </si>
  <si>
    <t>Mouse_1542</t>
  </si>
  <si>
    <t>Mouse_1543</t>
  </si>
  <si>
    <t>Mouse_1544</t>
  </si>
  <si>
    <t>Mouse_1545</t>
  </si>
  <si>
    <t>Mouse_1546</t>
  </si>
  <si>
    <t>Mouse_1547</t>
  </si>
  <si>
    <t>Mouse_1548</t>
  </si>
  <si>
    <t>Mouse_1549</t>
  </si>
  <si>
    <t>Mouse_1550</t>
  </si>
  <si>
    <t>Mouse_1551</t>
  </si>
  <si>
    <t>Mouse_1552</t>
  </si>
  <si>
    <t>Mouse_1553</t>
  </si>
  <si>
    <t>Mouse_1554</t>
  </si>
  <si>
    <t>Mouse_1555</t>
  </si>
  <si>
    <t>Mouse_1556</t>
  </si>
  <si>
    <t>Mouse_1557</t>
  </si>
  <si>
    <t>Mouse_1558</t>
  </si>
  <si>
    <t>Mouse_1559</t>
  </si>
  <si>
    <t>Mouse_1560</t>
  </si>
  <si>
    <t>Mouse_1561</t>
  </si>
  <si>
    <t>Mouse_1562</t>
  </si>
  <si>
    <t>Mouse_1563</t>
  </si>
  <si>
    <t>Mouse_1564</t>
  </si>
  <si>
    <t>Mouse_1565</t>
  </si>
  <si>
    <t>Mouse_1566</t>
  </si>
  <si>
    <t>Mouse_1567</t>
  </si>
  <si>
    <t>Mouse_1568</t>
  </si>
  <si>
    <t>Mouse_1569</t>
  </si>
  <si>
    <t>Mouse_1570</t>
  </si>
  <si>
    <t>Mouse_1571</t>
  </si>
  <si>
    <t>Mouse_1572</t>
  </si>
  <si>
    <t>Mouse_1573</t>
  </si>
  <si>
    <t>Mouse_1574</t>
  </si>
  <si>
    <t>Mouse_1575</t>
  </si>
  <si>
    <t>Mouse_1576</t>
  </si>
  <si>
    <t>Mouse_1577</t>
  </si>
  <si>
    <t>Mouse_1578</t>
  </si>
  <si>
    <t>Mouse_1579</t>
  </si>
  <si>
    <t>Mouse_1580</t>
  </si>
  <si>
    <t>Mouse_1581</t>
  </si>
  <si>
    <t>Mouse_1582</t>
  </si>
  <si>
    <t>Mouse_1583</t>
  </si>
  <si>
    <t>Mouse_1584</t>
  </si>
  <si>
    <t>Mouse_1585</t>
  </si>
  <si>
    <t>Mouse_1586</t>
  </si>
  <si>
    <t>Mouse_1587</t>
  </si>
  <si>
    <t>Mouse_1588</t>
  </si>
  <si>
    <t>Mouse_1589</t>
  </si>
  <si>
    <t>Mouse_1590</t>
  </si>
  <si>
    <t>Mouse_1591</t>
  </si>
  <si>
    <t>Mouse_1592</t>
  </si>
  <si>
    <t>Mouse_1593</t>
  </si>
  <si>
    <t>Mouse_1594</t>
  </si>
  <si>
    <t>Mouse_1595</t>
  </si>
  <si>
    <t>Mouse_1596</t>
  </si>
  <si>
    <t>Mouse_1597</t>
  </si>
  <si>
    <t>Mouse_1598</t>
  </si>
  <si>
    <t>Mouse_1599</t>
  </si>
  <si>
    <t>Mouse_1600</t>
  </si>
  <si>
    <t>Mouse_1601</t>
  </si>
  <si>
    <t>Mouse_1602</t>
  </si>
  <si>
    <t>Mouse_1603</t>
  </si>
  <si>
    <t>Mouse_1604</t>
  </si>
  <si>
    <t>Mouse_1605</t>
  </si>
  <si>
    <t>Mouse_1606</t>
  </si>
  <si>
    <t>Mouse_1607</t>
  </si>
  <si>
    <t>Mouse_1608</t>
  </si>
  <si>
    <t>Mouse_1609</t>
  </si>
  <si>
    <t>Mouse_1610</t>
  </si>
  <si>
    <t>Mouse_1611</t>
  </si>
  <si>
    <t>Mouse_1612</t>
  </si>
  <si>
    <t>Mouse_1613</t>
  </si>
  <si>
    <t>Mouse_1614</t>
  </si>
  <si>
    <t>Mouse_1615</t>
  </si>
  <si>
    <t>Mouse_1616</t>
  </si>
  <si>
    <t>Mouse_1617</t>
  </si>
  <si>
    <t>Mouse_1618</t>
  </si>
  <si>
    <t>Mouse_1619</t>
  </si>
  <si>
    <t>Mouse_1620</t>
  </si>
  <si>
    <t>Mouse_1621</t>
  </si>
  <si>
    <t>Mouse_1622</t>
  </si>
  <si>
    <t>Mouse_1623</t>
  </si>
  <si>
    <t>Mouse_1624</t>
  </si>
  <si>
    <t>Mouse_1625</t>
  </si>
  <si>
    <t>Mouse_1626</t>
  </si>
  <si>
    <t>Mouse_1627</t>
  </si>
  <si>
    <t>Mouse_1628</t>
  </si>
  <si>
    <t>Mouse_1629</t>
  </si>
  <si>
    <t>Mouse_1630</t>
  </si>
  <si>
    <t>Mouse_1631</t>
  </si>
  <si>
    <t>Mouse_1632</t>
  </si>
  <si>
    <t>Mouse_1633</t>
  </si>
  <si>
    <t>Mouse_1634</t>
  </si>
  <si>
    <t>Mouse_1635</t>
  </si>
  <si>
    <t>Mouse_1636</t>
  </si>
  <si>
    <t>Mouse_1637</t>
  </si>
  <si>
    <t>Mouse_1638</t>
  </si>
  <si>
    <t>Mouse_1639</t>
  </si>
  <si>
    <t>Mouse_1640</t>
  </si>
  <si>
    <t>Mouse_1641</t>
  </si>
  <si>
    <t>Mouse_1642</t>
  </si>
  <si>
    <t>Mouse_1643</t>
  </si>
  <si>
    <t>Mouse_1644</t>
  </si>
  <si>
    <t>Mouse_1645</t>
  </si>
  <si>
    <t>Mouse_1646</t>
  </si>
  <si>
    <t>Mouse_1647</t>
  </si>
  <si>
    <t>Mouse_1648</t>
  </si>
  <si>
    <t>Mouse_1649</t>
  </si>
  <si>
    <t>Mouse_1650</t>
  </si>
  <si>
    <t>Mouse_1651</t>
  </si>
  <si>
    <t>Mouse_1652</t>
  </si>
  <si>
    <t>Mouse_1653</t>
  </si>
  <si>
    <t>Mouse_1654</t>
  </si>
  <si>
    <t>Mouse_1655</t>
  </si>
  <si>
    <t>Mouse_1656</t>
  </si>
  <si>
    <t>Mouse_1657</t>
  </si>
  <si>
    <t>Mouse_1658</t>
  </si>
  <si>
    <t>Mouse_1659</t>
  </si>
  <si>
    <t>Mouse_1660</t>
  </si>
  <si>
    <t>Mouse_1661</t>
  </si>
  <si>
    <t>Mouse_1662</t>
  </si>
  <si>
    <t>Mouse_1663</t>
  </si>
  <si>
    <t>Mouse_1664</t>
  </si>
  <si>
    <t>Mouse_1665</t>
  </si>
  <si>
    <t>Mouse_1666</t>
  </si>
  <si>
    <t>Mouse_1667</t>
  </si>
  <si>
    <t>Mouse_1668</t>
  </si>
  <si>
    <t>Mouse_1669</t>
  </si>
  <si>
    <t>Mouse_1670</t>
  </si>
  <si>
    <t>Mouse_1671</t>
  </si>
  <si>
    <t>Mouse_1672</t>
  </si>
  <si>
    <t>Mouse_1673</t>
  </si>
  <si>
    <t>Mouse_1674</t>
  </si>
  <si>
    <t>Mouse_1675</t>
  </si>
  <si>
    <t>Mouse_1676</t>
  </si>
  <si>
    <t>Mouse_1677</t>
  </si>
  <si>
    <t>Mouse_1678</t>
  </si>
  <si>
    <t>Mouse_1679</t>
  </si>
  <si>
    <t>Mouse_1680</t>
  </si>
  <si>
    <t>Mouse_1681</t>
  </si>
  <si>
    <t>Mouse_1682</t>
  </si>
  <si>
    <t>Mouse_1683</t>
  </si>
  <si>
    <t>Mouse_1684</t>
  </si>
  <si>
    <t>Mouse_1685</t>
  </si>
  <si>
    <t>Mouse_1686</t>
  </si>
  <si>
    <t>Mouse_1687</t>
  </si>
  <si>
    <t>Mouse_1688</t>
  </si>
  <si>
    <t>Mouse_1689</t>
  </si>
  <si>
    <t>Mouse_1690</t>
  </si>
  <si>
    <t>Mouse_1691</t>
  </si>
  <si>
    <t>Mouse_1692</t>
  </si>
  <si>
    <t>Mouse_1693</t>
  </si>
  <si>
    <t>Mouse_1694</t>
  </si>
  <si>
    <t>Mouse_1695</t>
  </si>
  <si>
    <t>Mouse_1696</t>
  </si>
  <si>
    <t>Mouse_1697</t>
  </si>
  <si>
    <t>Mouse_1698</t>
  </si>
  <si>
    <t>Mouse_1699</t>
  </si>
  <si>
    <t>Mouse_1700</t>
  </si>
  <si>
    <t>Mouse_1701</t>
  </si>
  <si>
    <t>Mouse_1702</t>
  </si>
  <si>
    <t>Mouse_1703</t>
  </si>
  <si>
    <t>Mouse_1704</t>
  </si>
  <si>
    <t>Mouse_1705</t>
  </si>
  <si>
    <t>Mouse_1706</t>
  </si>
  <si>
    <t>Mouse_1707</t>
  </si>
  <si>
    <t>Mouse_1708</t>
  </si>
  <si>
    <t>Mouse_1709</t>
  </si>
  <si>
    <t>Mouse_1710</t>
  </si>
  <si>
    <t>Mouse_1711</t>
  </si>
  <si>
    <t>Mouse_1712</t>
  </si>
  <si>
    <t>Mouse_1713</t>
  </si>
  <si>
    <t>Mouse_1714</t>
  </si>
  <si>
    <t>Mouse_1715</t>
  </si>
  <si>
    <t>Mouse_1716</t>
  </si>
  <si>
    <t>Mouse_1717</t>
  </si>
  <si>
    <t>Mouse_1718</t>
  </si>
  <si>
    <t>Mouse_1719</t>
  </si>
  <si>
    <t>Mouse_1720</t>
  </si>
  <si>
    <t>Mouse_1721</t>
  </si>
  <si>
    <t>Mouse_1722</t>
  </si>
  <si>
    <t>Mouse_1723</t>
  </si>
  <si>
    <t>Mouse_1724</t>
  </si>
  <si>
    <t>Mouse_1725</t>
  </si>
  <si>
    <t>Mouse_1726</t>
  </si>
  <si>
    <t>Mouse_1727</t>
  </si>
  <si>
    <t>Mouse_1728</t>
  </si>
  <si>
    <t>Mouse_1729</t>
  </si>
  <si>
    <t>Mouse_1730</t>
  </si>
  <si>
    <t>Mouse_1731</t>
  </si>
  <si>
    <t>Mouse_1732</t>
  </si>
  <si>
    <t>Mouse_1733</t>
  </si>
  <si>
    <t>Mouse_1734</t>
  </si>
  <si>
    <t>Mouse_1735</t>
  </si>
  <si>
    <t>Mouse_1736</t>
  </si>
  <si>
    <t>Mouse_1737</t>
  </si>
  <si>
    <t>Mouse_1738</t>
  </si>
  <si>
    <t>Mouse_1739</t>
  </si>
  <si>
    <t>Mouse_1740</t>
  </si>
  <si>
    <t>Mouse_1741</t>
  </si>
  <si>
    <t>Mouse_1742</t>
  </si>
  <si>
    <t>Mouse_1743</t>
  </si>
  <si>
    <t>Mouse_1744</t>
  </si>
  <si>
    <t>Mouse_1745</t>
  </si>
  <si>
    <t>Mouse_1746</t>
  </si>
  <si>
    <t>Mouse_1747</t>
  </si>
  <si>
    <t>Mouse_1748</t>
  </si>
  <si>
    <t>Mouse_1749</t>
  </si>
  <si>
    <t>Mouse_1750</t>
  </si>
  <si>
    <t>Mouse_1751</t>
  </si>
  <si>
    <t>Mouse_1752</t>
  </si>
  <si>
    <t>Mouse_1753</t>
  </si>
  <si>
    <t>Mouse_1754</t>
  </si>
  <si>
    <t>Mouse_1755</t>
  </si>
  <si>
    <t>Mouse_1756</t>
  </si>
  <si>
    <t>Mouse_1757</t>
  </si>
  <si>
    <t>Mouse_1758</t>
  </si>
  <si>
    <t>Mouse_1759</t>
  </si>
  <si>
    <t>Mouse_1760</t>
  </si>
  <si>
    <t>Mouse_1761</t>
  </si>
  <si>
    <t>Mouse_1762</t>
  </si>
  <si>
    <t>Mouse_1763</t>
  </si>
  <si>
    <t>Mouse_1764</t>
  </si>
  <si>
    <t>Mouse_1765</t>
  </si>
  <si>
    <t>Mouse_1766</t>
  </si>
  <si>
    <t>Mouse_1767</t>
  </si>
  <si>
    <t>Mouse_1768</t>
  </si>
  <si>
    <t>Mouse_1769</t>
  </si>
  <si>
    <t>Mouse_1770</t>
  </si>
  <si>
    <t>Mouse_1771</t>
  </si>
  <si>
    <t>Mouse_1772</t>
  </si>
  <si>
    <t>Mouse_1773</t>
  </si>
  <si>
    <t>Mouse_1774</t>
  </si>
  <si>
    <t>Mouse_1775</t>
  </si>
  <si>
    <t>Mouse_1776</t>
  </si>
  <si>
    <t>Mouse_1777</t>
  </si>
  <si>
    <t>Mouse_1778</t>
  </si>
  <si>
    <t>Mouse_1779</t>
  </si>
  <si>
    <t>Mouse_1780</t>
  </si>
  <si>
    <t>Mouse_1781</t>
  </si>
  <si>
    <t>Mouse_1782</t>
  </si>
  <si>
    <t>Mouse_1783</t>
  </si>
  <si>
    <t>Mouse_1784</t>
  </si>
  <si>
    <t>Mouse_1785</t>
  </si>
  <si>
    <t>Mouse_1786</t>
  </si>
  <si>
    <t>Mouse_1787</t>
  </si>
  <si>
    <t>Mouse_1788</t>
  </si>
  <si>
    <t>Mouse_1789</t>
  </si>
  <si>
    <t>Mouse_1790</t>
  </si>
  <si>
    <t>Mouse_1791</t>
  </si>
  <si>
    <t>Mouse_1792</t>
  </si>
  <si>
    <t>Mouse_1793</t>
  </si>
  <si>
    <t>Mouse_1794</t>
  </si>
  <si>
    <t>Mouse_1795</t>
  </si>
  <si>
    <t>Mouse_1796</t>
  </si>
  <si>
    <t>Mouse_1797</t>
  </si>
  <si>
    <t>Mouse_1798</t>
  </si>
  <si>
    <t>Mouse_1799</t>
  </si>
  <si>
    <t>Mouse_1800</t>
  </si>
  <si>
    <t>Mouse_1801</t>
  </si>
  <si>
    <t>Mouse_1802</t>
  </si>
  <si>
    <t>Mouse_1803</t>
  </si>
  <si>
    <t>Mouse_1804</t>
  </si>
  <si>
    <t>Mouse_1805</t>
  </si>
  <si>
    <t>Mouse_1806</t>
  </si>
  <si>
    <t>Mouse_1807</t>
  </si>
  <si>
    <t>Mouse_1808</t>
  </si>
  <si>
    <t>Mouse_1809</t>
  </si>
  <si>
    <t>Mouse_1810</t>
  </si>
  <si>
    <t>Mouse_1811</t>
  </si>
  <si>
    <t>Mouse_1812</t>
  </si>
  <si>
    <t>Mouse_1813</t>
  </si>
  <si>
    <t>Mouse_1814</t>
  </si>
  <si>
    <t>Mouse_1815</t>
  </si>
  <si>
    <t>Mouse_1816</t>
  </si>
  <si>
    <t>Mouse_1817</t>
  </si>
  <si>
    <t>Mouse_1818</t>
  </si>
  <si>
    <t>Mouse_1819</t>
  </si>
  <si>
    <t>Mouse_1820</t>
  </si>
  <si>
    <t>Mouse_1821</t>
  </si>
  <si>
    <t>Mouse_1822</t>
  </si>
  <si>
    <t>Mouse_1823</t>
  </si>
  <si>
    <t>Mouse_1824</t>
  </si>
  <si>
    <t>Mouse_1825</t>
  </si>
  <si>
    <t>Mouse_1826</t>
  </si>
  <si>
    <t>Mouse_1827</t>
  </si>
  <si>
    <t>Mouse_1828</t>
  </si>
  <si>
    <t>Mouse_1829</t>
  </si>
  <si>
    <t>Mouse_1830</t>
  </si>
  <si>
    <t>Mouse_1831</t>
  </si>
  <si>
    <t>Mouse_1832</t>
  </si>
  <si>
    <t>Mouse_1833</t>
  </si>
  <si>
    <t>Mouse_1834</t>
  </si>
  <si>
    <t>Mouse_1835</t>
  </si>
  <si>
    <t>Mouse_1836</t>
  </si>
  <si>
    <t>Mouse_1837</t>
  </si>
  <si>
    <t>Mouse_1838</t>
  </si>
  <si>
    <t>Mouse_1839</t>
  </si>
  <si>
    <t>Mouse_1840</t>
  </si>
  <si>
    <t>Mouse_1841</t>
  </si>
  <si>
    <t>Mouse_1842</t>
  </si>
  <si>
    <t>Mouse_1843</t>
  </si>
  <si>
    <t>Mouse_1844</t>
  </si>
  <si>
    <t>Mouse_1845</t>
  </si>
  <si>
    <t>Mouse_1846</t>
  </si>
  <si>
    <t>Mouse_1847</t>
  </si>
  <si>
    <t>Mouse_1848</t>
  </si>
  <si>
    <t>Mouse_1849</t>
  </si>
  <si>
    <t>Mouse_1850</t>
  </si>
  <si>
    <t>Mouse_1851</t>
  </si>
  <si>
    <t>Mouse_1852</t>
  </si>
  <si>
    <t>Mouse_1853</t>
  </si>
  <si>
    <t>Mouse_1854</t>
  </si>
  <si>
    <t>Mouse_1855</t>
  </si>
  <si>
    <t>Mouse_1856</t>
  </si>
  <si>
    <t>Mouse_1857</t>
  </si>
  <si>
    <t>Mouse_1858</t>
  </si>
  <si>
    <t>Mouse_1859</t>
  </si>
  <si>
    <t>Mouse_1860</t>
  </si>
  <si>
    <t>Mouse_1861</t>
  </si>
  <si>
    <t>Mouse_1862</t>
  </si>
  <si>
    <t>Mouse_1863</t>
  </si>
  <si>
    <t>Mouse_1864</t>
  </si>
  <si>
    <t>Mouse_1865</t>
  </si>
  <si>
    <t>Mouse_1866</t>
  </si>
  <si>
    <t>Mouse_1867</t>
  </si>
  <si>
    <t>Mouse_1868</t>
  </si>
  <si>
    <t>Mouse_1869</t>
  </si>
  <si>
    <t>Mouse_1870</t>
  </si>
  <si>
    <t>Mouse_1871</t>
  </si>
  <si>
    <t>Mouse_1872</t>
  </si>
  <si>
    <t>Mouse_1873</t>
  </si>
  <si>
    <t>Mouse_1874</t>
  </si>
  <si>
    <t>Mouse_1875</t>
  </si>
  <si>
    <t>Mouse_1876</t>
  </si>
  <si>
    <t>Mouse_1877</t>
  </si>
  <si>
    <t>Mouse_1878</t>
  </si>
  <si>
    <t>Mouse_1879</t>
  </si>
  <si>
    <t>Mouse_1880</t>
  </si>
  <si>
    <t>Mouse_1881</t>
  </si>
  <si>
    <t>Mouse_1882</t>
  </si>
  <si>
    <t>Mouse_1883</t>
  </si>
  <si>
    <t>Mouse_1884</t>
  </si>
  <si>
    <t>Mouse_1885</t>
  </si>
  <si>
    <t>Mouse_1886</t>
  </si>
  <si>
    <t>Mouse_1887</t>
  </si>
  <si>
    <t>Mouse_1888</t>
  </si>
  <si>
    <t>Mouse_1889</t>
  </si>
  <si>
    <t>Mouse_1890</t>
  </si>
  <si>
    <t>Mouse_1891</t>
  </si>
  <si>
    <t>Mouse_1892</t>
  </si>
  <si>
    <t>Mouse_1893</t>
  </si>
  <si>
    <t>Mouse_1894</t>
  </si>
  <si>
    <t>Mouse_1895</t>
  </si>
  <si>
    <t>Mouse_1896</t>
  </si>
  <si>
    <t>Mouse_1897</t>
  </si>
  <si>
    <t>Mouse_1898</t>
  </si>
  <si>
    <t>Mouse_1899</t>
  </si>
  <si>
    <t>Mouse_1900</t>
  </si>
  <si>
    <t>Mouse_1901</t>
  </si>
  <si>
    <t>Mouse_1902</t>
  </si>
  <si>
    <t>Mouse_1903</t>
  </si>
  <si>
    <t>Mouse_1904</t>
  </si>
  <si>
    <t>Mouse_1905</t>
  </si>
  <si>
    <t>Mouse_1906</t>
  </si>
  <si>
    <t>Mouse_1907</t>
  </si>
  <si>
    <t>Mouse_1908</t>
  </si>
  <si>
    <t>Mouse_1909</t>
  </si>
  <si>
    <t>Mouse_1910</t>
  </si>
  <si>
    <t>Mouse_1911</t>
  </si>
  <si>
    <t>Mouse_1912</t>
  </si>
  <si>
    <t>Mouse_1913</t>
  </si>
  <si>
    <t>Mouse_1914</t>
  </si>
  <si>
    <t>Mouse_1915</t>
  </si>
  <si>
    <t>Mouse_1916</t>
  </si>
  <si>
    <t>Mouse_1917</t>
  </si>
  <si>
    <t>Mouse_1918</t>
  </si>
  <si>
    <t>Mouse_1919</t>
  </si>
  <si>
    <t>Mouse_1920</t>
  </si>
  <si>
    <t>Mouse_1921</t>
  </si>
  <si>
    <t>Mouse_1922</t>
  </si>
  <si>
    <t>Mouse_1923</t>
  </si>
  <si>
    <t>Mouse_1924</t>
  </si>
  <si>
    <t>Mouse_1925</t>
  </si>
  <si>
    <t>Mouse_1926</t>
  </si>
  <si>
    <t>Mouse_1927</t>
  </si>
  <si>
    <t>Mouse_1928</t>
  </si>
  <si>
    <t>Mouse_1929</t>
  </si>
  <si>
    <t>Mouse_1930</t>
  </si>
  <si>
    <t>Mouse_1931</t>
  </si>
  <si>
    <t>Mouse_1932</t>
  </si>
  <si>
    <t>Mouse_1933</t>
  </si>
  <si>
    <t>Mouse_1934</t>
  </si>
  <si>
    <t>Mouse_1935</t>
  </si>
  <si>
    <t>Mouse_1936</t>
  </si>
  <si>
    <t>Mouse_1937</t>
  </si>
  <si>
    <t>Mouse_1938</t>
  </si>
  <si>
    <t>Mouse_1939</t>
  </si>
  <si>
    <t>Mouse_1940</t>
  </si>
  <si>
    <t>Mouse_1941</t>
  </si>
  <si>
    <t>Mouse_1942</t>
  </si>
  <si>
    <t>Mouse_1943</t>
  </si>
  <si>
    <t>Mouse_1944</t>
  </si>
  <si>
    <t>Mouse_1945</t>
  </si>
  <si>
    <t>Mouse_1946</t>
  </si>
  <si>
    <t>Mouse_1947</t>
  </si>
  <si>
    <t>Mouse_1948</t>
  </si>
  <si>
    <t>Mouse_1949</t>
  </si>
  <si>
    <t>Mouse_1950</t>
  </si>
  <si>
    <t>Mouse_1951</t>
  </si>
  <si>
    <t>Mouse_1952</t>
  </si>
  <si>
    <t>Mouse_1953</t>
  </si>
  <si>
    <t>Mouse_1954</t>
  </si>
  <si>
    <t>Mouse_1955</t>
  </si>
  <si>
    <t>Mouse_1956</t>
  </si>
  <si>
    <t>Mouse_1957</t>
  </si>
  <si>
    <t>Mouse_1958</t>
  </si>
  <si>
    <t>Mouse_1959</t>
  </si>
  <si>
    <t>Mouse_1960</t>
  </si>
  <si>
    <t>Mouse_1961</t>
  </si>
  <si>
    <t>Mouse_1962</t>
  </si>
  <si>
    <t>Mouse_1963</t>
  </si>
  <si>
    <t>Mouse_1964</t>
  </si>
  <si>
    <t>Mouse_1965</t>
  </si>
  <si>
    <t>Mouse_1966</t>
  </si>
  <si>
    <t>Mouse_1967</t>
  </si>
  <si>
    <t>Mouse_1968</t>
  </si>
  <si>
    <t>Mouse_1969</t>
  </si>
  <si>
    <t>Mouse_1970</t>
  </si>
  <si>
    <t>Mouse_1971</t>
  </si>
  <si>
    <t>Mouse_1972</t>
  </si>
  <si>
    <t>Mouse_1973</t>
  </si>
  <si>
    <t>Mouse_1974</t>
  </si>
  <si>
    <t>Mouse_1975</t>
  </si>
  <si>
    <t>Mouse_1976</t>
  </si>
  <si>
    <t>Mouse_1977</t>
  </si>
  <si>
    <t>Mouse_1978</t>
  </si>
  <si>
    <t>Mouse_1979</t>
  </si>
  <si>
    <t>Mouse_1980</t>
  </si>
  <si>
    <t>Mouse_1981</t>
  </si>
  <si>
    <t>Mouse_1982</t>
  </si>
  <si>
    <t>Mouse_1983</t>
  </si>
  <si>
    <t>Mouse_1984</t>
  </si>
  <si>
    <t>Mouse_1985</t>
  </si>
  <si>
    <t>Mouse_1986</t>
  </si>
  <si>
    <t>Mouse_1987</t>
  </si>
  <si>
    <t>Mouse_1988</t>
  </si>
  <si>
    <t>Mouse_1989</t>
  </si>
  <si>
    <t>Mouse_1990</t>
  </si>
  <si>
    <t>Mouse_1991</t>
  </si>
  <si>
    <t>Mouse_1992</t>
  </si>
  <si>
    <t>Mouse_1993</t>
  </si>
  <si>
    <t>Mouse_1994</t>
  </si>
  <si>
    <t>Mouse_1995</t>
  </si>
  <si>
    <t>Mouse_1996</t>
  </si>
  <si>
    <t>Mouse_1997</t>
  </si>
  <si>
    <t>Mouse_1998</t>
  </si>
  <si>
    <t>Mouse_1999</t>
  </si>
  <si>
    <t>Mouse_2000</t>
  </si>
  <si>
    <t>Mouse_2001</t>
  </si>
  <si>
    <t>Mouse_2002</t>
  </si>
  <si>
    <t>Mouse_2003</t>
  </si>
  <si>
    <t>Mouse_2004</t>
  </si>
  <si>
    <t>Mouse_2005</t>
  </si>
  <si>
    <t>Mouse_2006</t>
  </si>
  <si>
    <t>Mouse_2007</t>
  </si>
  <si>
    <t>Mouse_2008</t>
  </si>
  <si>
    <t>Mouse_2009</t>
  </si>
  <si>
    <t>Mouse_2010</t>
  </si>
  <si>
    <t>Mouse_2011</t>
  </si>
  <si>
    <t>Mouse_2012</t>
  </si>
  <si>
    <t>Mouse_2013</t>
  </si>
  <si>
    <t>Mouse_2014</t>
  </si>
  <si>
    <t>Mouse_2015</t>
  </si>
  <si>
    <t>Mouse_2016</t>
  </si>
  <si>
    <t>Mouse_2017</t>
  </si>
  <si>
    <t>Mouse_2018</t>
  </si>
  <si>
    <t>Mouse_2019</t>
  </si>
  <si>
    <t>Mouse_2020</t>
  </si>
  <si>
    <t>Mouse_2021</t>
  </si>
  <si>
    <t>Mouse_2022</t>
  </si>
  <si>
    <t>Mouse_2023</t>
  </si>
  <si>
    <t>Mouse_2024</t>
  </si>
  <si>
    <t>Mouse_2025</t>
  </si>
  <si>
    <t>Mouse_2026</t>
  </si>
  <si>
    <t>Mouse_2027</t>
  </si>
  <si>
    <t>Mouse_2028</t>
  </si>
  <si>
    <t>Mouse_2029</t>
  </si>
  <si>
    <t>Mouse_2030</t>
  </si>
  <si>
    <t>Mouse_2031</t>
  </si>
  <si>
    <t>Mouse_2032</t>
  </si>
  <si>
    <t>Mouse_2033</t>
  </si>
  <si>
    <t>Mouse_2034</t>
  </si>
  <si>
    <t>Mouse_2035</t>
  </si>
  <si>
    <t>Mouse_2036</t>
  </si>
  <si>
    <t>Mouse_2037</t>
  </si>
  <si>
    <t>Mouse_2038</t>
  </si>
  <si>
    <t>Mouse_2039</t>
  </si>
  <si>
    <t>Mouse_2040</t>
  </si>
  <si>
    <t>Mouse_2041</t>
  </si>
  <si>
    <t>Mouse_2042</t>
  </si>
  <si>
    <t>Mouse_2043</t>
  </si>
  <si>
    <t>Mouse_2044</t>
  </si>
  <si>
    <t>Mouse_2045</t>
  </si>
  <si>
    <t>Mouse_2046</t>
  </si>
  <si>
    <t>Mouse_2047</t>
  </si>
  <si>
    <t>Mouse_2048</t>
  </si>
  <si>
    <t>Mouse_2049</t>
  </si>
  <si>
    <t>Mouse_2050</t>
  </si>
  <si>
    <t>Mouse_2051</t>
  </si>
  <si>
    <t>Mouse_2052</t>
  </si>
  <si>
    <t>Mouse_2053</t>
  </si>
  <si>
    <t>Mouse_2054</t>
  </si>
  <si>
    <t>Mouse_2055</t>
  </si>
  <si>
    <t>Mouse_2056</t>
  </si>
  <si>
    <t>Mouse_2057</t>
  </si>
  <si>
    <t>Mouse_2058</t>
  </si>
  <si>
    <t>Mouse_2059</t>
  </si>
  <si>
    <t>Mouse_2060</t>
  </si>
  <si>
    <t>Mouse_2061</t>
  </si>
  <si>
    <t>Mouse_2062</t>
  </si>
  <si>
    <t>Mouse_2063</t>
  </si>
  <si>
    <t>Mouse_2064</t>
  </si>
  <si>
    <t>Mouse_2065</t>
  </si>
  <si>
    <t>Mouse_2066</t>
  </si>
  <si>
    <t>Mouse_2067</t>
  </si>
  <si>
    <t>Mouse_2068</t>
  </si>
  <si>
    <t>Mouse_2069</t>
  </si>
  <si>
    <t>Mouse_2070</t>
  </si>
  <si>
    <t>Mouse_2071</t>
  </si>
  <si>
    <t>Mouse_2072</t>
  </si>
  <si>
    <t>Mouse_2073</t>
  </si>
  <si>
    <t>Mouse_2074</t>
  </si>
  <si>
    <t>Mouse_2075</t>
  </si>
  <si>
    <t>Mouse_2076</t>
  </si>
  <si>
    <t>Mouse_2077</t>
  </si>
  <si>
    <t>Mouse_2078</t>
  </si>
  <si>
    <t>Mouse_2079</t>
  </si>
  <si>
    <t>Mouse_2080</t>
  </si>
  <si>
    <t>Mouse_2081</t>
  </si>
  <si>
    <t>Mouse_2082</t>
  </si>
  <si>
    <t>Mouse_2083</t>
  </si>
  <si>
    <t>Mouse_2084</t>
  </si>
  <si>
    <t>Mouse_2085</t>
  </si>
  <si>
    <t>Mouse_2086</t>
  </si>
  <si>
    <t>Mouse_2087</t>
  </si>
  <si>
    <t>Mouse_2088</t>
  </si>
  <si>
    <t>Mouse_2089</t>
  </si>
  <si>
    <t>Mouse_2090</t>
  </si>
  <si>
    <t>Mouse_2091</t>
  </si>
  <si>
    <t>Mouse_2092</t>
  </si>
  <si>
    <t>Mouse_2093</t>
  </si>
  <si>
    <t>Mouse_2094</t>
  </si>
  <si>
    <t>Mouse_2095</t>
  </si>
  <si>
    <t>Mouse_2096</t>
  </si>
  <si>
    <t>Mouse_2097</t>
  </si>
  <si>
    <t>Mouse_2098</t>
  </si>
  <si>
    <t>Mouse_2099</t>
  </si>
  <si>
    <t>Mouse_2100</t>
  </si>
  <si>
    <t>Mouse_2101</t>
  </si>
  <si>
    <t>Mouse_2102</t>
  </si>
  <si>
    <t>Mouse_2103</t>
  </si>
  <si>
    <t>Mouse_2104</t>
  </si>
  <si>
    <t>Mouse_2105</t>
  </si>
  <si>
    <t>Mouse_2106</t>
  </si>
  <si>
    <t>Mouse_2107</t>
  </si>
  <si>
    <t>Mouse_2108</t>
  </si>
  <si>
    <t>Mouse_2109</t>
  </si>
  <si>
    <t>Mouse_2110</t>
  </si>
  <si>
    <t>Mouse_2111</t>
  </si>
  <si>
    <t>Mouse_2112</t>
  </si>
  <si>
    <t>Mouse_2113</t>
  </si>
  <si>
    <t>Mouse_2114</t>
  </si>
  <si>
    <t>Mouse_2115</t>
  </si>
  <si>
    <t>Mouse_2116</t>
  </si>
  <si>
    <t>Mouse_2117</t>
  </si>
  <si>
    <t>Mouse_2118</t>
  </si>
  <si>
    <t>Mouse_2119</t>
  </si>
  <si>
    <t>Mouse_2120</t>
  </si>
  <si>
    <t>Mouse_2121</t>
  </si>
  <si>
    <t>Mouse_2122</t>
  </si>
  <si>
    <t>Mouse_2123</t>
  </si>
  <si>
    <t>Mouse_2124</t>
  </si>
  <si>
    <t>Mouse_2125</t>
  </si>
  <si>
    <t>Mouse_2126</t>
  </si>
  <si>
    <t>Mouse_2127</t>
  </si>
  <si>
    <t>Mouse_2128</t>
  </si>
  <si>
    <t>Mouse_2129</t>
  </si>
  <si>
    <t>Mouse_2130</t>
  </si>
  <si>
    <t>Mouse_2131</t>
  </si>
  <si>
    <t>Mouse_2132</t>
  </si>
  <si>
    <t>Mouse_2133</t>
  </si>
  <si>
    <t>Mouse_2134</t>
  </si>
  <si>
    <t>Mouse_2135</t>
  </si>
  <si>
    <t>Mouse_2136</t>
  </si>
  <si>
    <t>Mouse_2137</t>
  </si>
  <si>
    <t>Mouse_2138</t>
  </si>
  <si>
    <t>Mouse_2139</t>
  </si>
  <si>
    <t>Mouse_2140</t>
  </si>
  <si>
    <t>Mouse_2141</t>
  </si>
  <si>
    <t>Mouse_2142</t>
  </si>
  <si>
    <t>Mouse_2143</t>
  </si>
  <si>
    <t>Mouse_2144</t>
  </si>
  <si>
    <t>Mouse_2145</t>
  </si>
  <si>
    <t>Mouse_2146</t>
  </si>
  <si>
    <t>Mouse_2147</t>
  </si>
  <si>
    <t>Mouse_2148</t>
  </si>
  <si>
    <t>Mouse_2149</t>
  </si>
  <si>
    <t>Mouse_2150</t>
  </si>
  <si>
    <t>Mouse_2151</t>
  </si>
  <si>
    <t>Mouse_2152</t>
  </si>
  <si>
    <t>Mouse_2153</t>
  </si>
  <si>
    <t>Mouse_2154</t>
  </si>
  <si>
    <t>Mouse_2155</t>
  </si>
  <si>
    <t>Mouse_2156</t>
  </si>
  <si>
    <t>Mouse_2157</t>
  </si>
  <si>
    <t>Mouse_2158</t>
  </si>
  <si>
    <t>Mouse_2159</t>
  </si>
  <si>
    <t>Mouse_2160</t>
  </si>
  <si>
    <t>Mouse_2161</t>
  </si>
  <si>
    <t>Mouse_2162</t>
  </si>
  <si>
    <t>Mouse_2163</t>
  </si>
  <si>
    <t>Mouse_2164</t>
  </si>
  <si>
    <t>Mouse_2165</t>
  </si>
  <si>
    <t>Mouse_2166</t>
  </si>
  <si>
    <t>Mouse_2167</t>
  </si>
  <si>
    <t>Mouse_2168</t>
  </si>
  <si>
    <t>Mouse_2169</t>
  </si>
  <si>
    <t>Mouse_2170</t>
  </si>
  <si>
    <t>Mouse_2171</t>
  </si>
  <si>
    <t>Mouse_2172</t>
  </si>
  <si>
    <t>Mouse_2173</t>
  </si>
  <si>
    <t>Mouse_2174</t>
  </si>
  <si>
    <t>Mouse_2175</t>
  </si>
  <si>
    <t>Mouse_2176</t>
  </si>
  <si>
    <t>Mouse_2177</t>
  </si>
  <si>
    <t>Mouse_2178</t>
  </si>
  <si>
    <t>Mouse_2179</t>
  </si>
  <si>
    <t>Mouse_2180</t>
  </si>
  <si>
    <t>Mouse_2181</t>
  </si>
  <si>
    <t>Mouse_2182</t>
  </si>
  <si>
    <t>Mouse_2183</t>
  </si>
  <si>
    <t>Mouse_2184</t>
  </si>
  <si>
    <t>Mouse_2185</t>
  </si>
  <si>
    <t>Mouse_2186</t>
  </si>
  <si>
    <t>Mouse_2187</t>
  </si>
  <si>
    <t>Mouse_2188</t>
  </si>
  <si>
    <t>Mouse_2189</t>
  </si>
  <si>
    <t>Mouse_2190</t>
  </si>
  <si>
    <t>Mouse_2191</t>
  </si>
  <si>
    <t>Mouse_2192</t>
  </si>
  <si>
    <t>Mouse_2193</t>
  </si>
  <si>
    <t>Mouse_2194</t>
  </si>
  <si>
    <t>Mouse_2195</t>
  </si>
  <si>
    <t>Mouse_2196</t>
  </si>
  <si>
    <t>Mouse_2197</t>
  </si>
  <si>
    <t>Mouse_2198</t>
  </si>
  <si>
    <t>Mouse_2199</t>
  </si>
  <si>
    <t>Mouse_2200</t>
  </si>
  <si>
    <t>Mouse_2201</t>
  </si>
  <si>
    <t>Mouse_2202</t>
  </si>
  <si>
    <t>Mouse_2203</t>
  </si>
  <si>
    <t>Mouse_2204</t>
  </si>
  <si>
    <t>Mouse_2205</t>
  </si>
  <si>
    <t>Mouse_2206</t>
  </si>
  <si>
    <t>Mouse_2207</t>
  </si>
  <si>
    <t>Mouse_2208</t>
  </si>
  <si>
    <t>Mouse_2209</t>
  </si>
  <si>
    <t>Mouse_2210</t>
  </si>
  <si>
    <t>Mouse_2211</t>
  </si>
  <si>
    <t>Mouse_2212</t>
  </si>
  <si>
    <t>Mouse_2213</t>
  </si>
  <si>
    <t>Mouse_2214</t>
  </si>
  <si>
    <t>Mouse_2215</t>
  </si>
  <si>
    <t>Mouse_2216</t>
  </si>
  <si>
    <t>Mouse_2217</t>
  </si>
  <si>
    <t>Mouse_2218</t>
  </si>
  <si>
    <t>Mouse_2219</t>
  </si>
  <si>
    <t>Mouse_2220</t>
  </si>
  <si>
    <t>Mouse_2221</t>
  </si>
  <si>
    <t>Mouse_2222</t>
  </si>
  <si>
    <t>Mouse_2223</t>
  </si>
  <si>
    <t>Mouse_2224</t>
  </si>
  <si>
    <t>Mouse_2225</t>
  </si>
  <si>
    <t>Mouse_2226</t>
  </si>
  <si>
    <t>Mouse_2227</t>
  </si>
  <si>
    <t>Mouse_2228</t>
  </si>
  <si>
    <t>Mouse_2229</t>
  </si>
  <si>
    <t>Mouse_2230</t>
  </si>
  <si>
    <t>Mouse_2231</t>
  </si>
  <si>
    <t>Mouse_2232</t>
  </si>
  <si>
    <t>Mouse_2233</t>
  </si>
  <si>
    <t>Mouse_2234</t>
  </si>
  <si>
    <t>Mouse_2235</t>
  </si>
  <si>
    <t>Mouse_2236</t>
  </si>
  <si>
    <t>Mouse_2237</t>
  </si>
  <si>
    <t>Mouse_2238</t>
  </si>
  <si>
    <t>Mouse_2239</t>
  </si>
  <si>
    <t>Mouse_2240</t>
  </si>
  <si>
    <t>Mouse_2241</t>
  </si>
  <si>
    <t>Mouse_2242</t>
  </si>
  <si>
    <t>Mouse_2243</t>
  </si>
  <si>
    <t>Mouse_2244</t>
  </si>
  <si>
    <t>Mouse_2245</t>
  </si>
  <si>
    <t>Mouse_2246</t>
  </si>
  <si>
    <t>Mouse_2247</t>
  </si>
  <si>
    <t>Mouse_2248</t>
  </si>
  <si>
    <t>Mouse_2249</t>
  </si>
  <si>
    <t>Mouse_2250</t>
  </si>
  <si>
    <t>Mouse_2251</t>
  </si>
  <si>
    <t>Mouse_2252</t>
  </si>
  <si>
    <t>Mouse_2253</t>
  </si>
  <si>
    <t>Mouse_2254</t>
  </si>
  <si>
    <t>Mouse_2255</t>
  </si>
  <si>
    <t>Mouse_2256</t>
  </si>
  <si>
    <t>Mouse_2257</t>
  </si>
  <si>
    <t>Mouse_2258</t>
  </si>
  <si>
    <t>Mouse_2259</t>
  </si>
  <si>
    <t>Mouse_2260</t>
  </si>
  <si>
    <t>Mouse_2261</t>
  </si>
  <si>
    <t>Mouse_2262</t>
  </si>
  <si>
    <t>Mouse_2263</t>
  </si>
  <si>
    <t>Mouse_2264</t>
  </si>
  <si>
    <t>Mouse_2265</t>
  </si>
  <si>
    <t>Mouse_2266</t>
  </si>
  <si>
    <t>Mouse_2267</t>
  </si>
  <si>
    <t>Mouse_2268</t>
  </si>
  <si>
    <t>Mouse_2269</t>
  </si>
  <si>
    <t>Mouse_2270</t>
  </si>
  <si>
    <t>Mouse_2271</t>
  </si>
  <si>
    <t>Mouse_2272</t>
  </si>
  <si>
    <t>Mouse_2273</t>
  </si>
  <si>
    <t>Mouse_2274</t>
  </si>
  <si>
    <t>Mouse_2275</t>
  </si>
  <si>
    <t>Mouse_2276</t>
  </si>
  <si>
    <t>Mouse_2277</t>
  </si>
  <si>
    <t>Mouse_2278</t>
  </si>
  <si>
    <t>Mouse_2279</t>
  </si>
  <si>
    <t>Mouse_2280</t>
  </si>
  <si>
    <t>Mouse_2281</t>
  </si>
  <si>
    <t>Mouse_2282</t>
  </si>
  <si>
    <t>Mouse_2283</t>
  </si>
  <si>
    <t>Mouse_2284</t>
  </si>
  <si>
    <t>Mouse_2285</t>
  </si>
  <si>
    <t>Mouse_2286</t>
  </si>
  <si>
    <t>Mouse_2287</t>
  </si>
  <si>
    <t>Mouse_2288</t>
  </si>
  <si>
    <t>Mouse_2289</t>
  </si>
  <si>
    <t>Mouse_2290</t>
  </si>
  <si>
    <t>Mouse_2291</t>
  </si>
  <si>
    <t>Mouse_2292</t>
  </si>
  <si>
    <t>Mouse_2293</t>
  </si>
  <si>
    <t>Mouse_2294</t>
  </si>
  <si>
    <t>Mouse_2295</t>
  </si>
  <si>
    <t>Mouse_2296</t>
  </si>
  <si>
    <t>Mouse_2297</t>
  </si>
  <si>
    <t>Mouse_2298</t>
  </si>
  <si>
    <t>Mouse_2299</t>
  </si>
  <si>
    <t>Mouse_2300</t>
  </si>
  <si>
    <t>Mouse_2301</t>
  </si>
  <si>
    <t>Mouse_2302</t>
  </si>
  <si>
    <t>Mouse_2303</t>
  </si>
  <si>
    <t>Mouse_2304</t>
  </si>
  <si>
    <t>Mouse_2305</t>
  </si>
  <si>
    <t>Mouse_2306</t>
  </si>
  <si>
    <t>Mouse_2307</t>
  </si>
  <si>
    <t>Mouse_2308</t>
  </si>
  <si>
    <t>Mouse_2309</t>
  </si>
  <si>
    <t>Mouse_2310</t>
  </si>
  <si>
    <t>Mouse_2311</t>
  </si>
  <si>
    <t>Mouse_2312</t>
  </si>
  <si>
    <t>Mouse_2313</t>
  </si>
  <si>
    <t>Mouse_2314</t>
  </si>
  <si>
    <t>Mouse_2315</t>
  </si>
  <si>
    <t>Mouse_2316</t>
  </si>
  <si>
    <t>Mouse_2317</t>
  </si>
  <si>
    <t>Mouse_2318</t>
  </si>
  <si>
    <t>Mouse_2319</t>
  </si>
  <si>
    <t>Mouse_2320</t>
  </si>
  <si>
    <t>Mouse_2321</t>
  </si>
  <si>
    <t>Mouse_2322</t>
  </si>
  <si>
    <t>Mouse_2323</t>
  </si>
  <si>
    <t>Mouse_2324</t>
  </si>
  <si>
    <t>Mouse_2325</t>
  </si>
  <si>
    <t>Mouse_2326</t>
  </si>
  <si>
    <t>Mouse_2327</t>
  </si>
  <si>
    <t>All animals stats</t>
  </si>
  <si>
    <t>Usage by line</t>
  </si>
  <si>
    <t>Alive</t>
  </si>
  <si>
    <t>Death</t>
  </si>
  <si>
    <t>Injected</t>
  </si>
  <si>
    <t>Check-up</t>
  </si>
  <si>
    <t>Experiment</t>
  </si>
  <si>
    <t>Animals</t>
  </si>
  <si>
    <t>SUM</t>
  </si>
  <si>
    <t>Online help document</t>
  </si>
  <si>
    <t>Mouse ID and virus injection table user manual</t>
  </si>
  <si>
    <t>in group/project</t>
  </si>
  <si>
    <t>bad checkup, not needed (only if checked at least twice)</t>
  </si>
  <si>
    <t>to be terminated</t>
  </si>
  <si>
    <t>terminated</t>
  </si>
  <si>
    <t>to be checked</t>
  </si>
  <si>
    <t>nézzünk vmi élénk színt a csoportos egerekre</t>
  </si>
  <si>
    <t>Data validation</t>
  </si>
  <si>
    <t>Injection summary by date</t>
  </si>
  <si>
    <t>Names</t>
  </si>
  <si>
    <t>AC - Abhrajyoti Chakrabarti</t>
  </si>
  <si>
    <t>Mouse lines</t>
  </si>
  <si>
    <t>Vectores</t>
  </si>
  <si>
    <t>Sorcímkék</t>
  </si>
  <si>
    <t>Mennyiség / Injection 
Date</t>
  </si>
  <si>
    <t>Date</t>
  </si>
  <si>
    <t>Month</t>
  </si>
  <si>
    <t>DB</t>
  </si>
  <si>
    <t>DAY</t>
  </si>
  <si>
    <t>All injections</t>
  </si>
  <si>
    <t>All</t>
  </si>
  <si>
    <t>AP - Andrius Plauska </t>
  </si>
  <si>
    <t>BAC-pva/gfp</t>
  </si>
  <si>
    <t>FLP-YFP</t>
  </si>
  <si>
    <t>by name</t>
  </si>
  <si>
    <t>by date</t>
  </si>
  <si>
    <t>day</t>
  </si>
  <si>
    <t>injection</t>
  </si>
  <si>
    <t>ratio</t>
  </si>
  <si>
    <t>BA - Burucs András</t>
  </si>
  <si>
    <t>NaCl</t>
  </si>
  <si>
    <t>BE - Báthory Eszter</t>
  </si>
  <si>
    <t>FVB/Ant</t>
  </si>
  <si>
    <t>CB - Chiovini Balázs </t>
  </si>
  <si>
    <t>PV-FLP</t>
  </si>
  <si>
    <t>FF - Fedor Flóra</t>
  </si>
  <si>
    <t>HM - Horvát Melinda</t>
  </si>
  <si>
    <t>Categories</t>
  </si>
  <si>
    <t>JA - Jász Anna</t>
  </si>
  <si>
    <t>TG82</t>
  </si>
  <si>
    <t>JE - Jámbor Évi</t>
  </si>
  <si>
    <t>JL - Sulcz Judák Linda</t>
  </si>
  <si>
    <t>KB - Kertész Borbála</t>
  </si>
  <si>
    <t>KN - Keserű Norbi</t>
  </si>
  <si>
    <t>KO - Karácsony Orsi</t>
  </si>
  <si>
    <t>Projects</t>
  </si>
  <si>
    <t>KP - Kovács Péter</t>
  </si>
  <si>
    <t>KR - Kiss Rita</t>
  </si>
  <si>
    <t>ASO</t>
  </si>
  <si>
    <t>KT - Kovács Trixi</t>
  </si>
  <si>
    <t>Collaboration</t>
  </si>
  <si>
    <t>LT - Lőrincz Tibor </t>
  </si>
  <si>
    <t>Columna</t>
  </si>
  <si>
    <t>MA - Matucsák Anett</t>
  </si>
  <si>
    <t>MS23</t>
  </si>
  <si>
    <t>MA - Mihály Anna</t>
  </si>
  <si>
    <t>MS71</t>
  </si>
  <si>
    <t>MG - Murányi Gábor</t>
  </si>
  <si>
    <t>MM - Madarász Miklós</t>
  </si>
  <si>
    <t>Multilayer</t>
  </si>
  <si>
    <t xml:space="preserve">SA - Szepesi Áron </t>
  </si>
  <si>
    <t>Spectral demixing</t>
  </si>
  <si>
    <t>Treadmill</t>
  </si>
  <si>
    <t>SB - Szmola Benedek</t>
  </si>
  <si>
    <t>Uncage</t>
  </si>
  <si>
    <t>SG - Szalay Gergely</t>
  </si>
  <si>
    <t>Vírus teszt</t>
  </si>
  <si>
    <t>SH - Szebik Huba</t>
  </si>
  <si>
    <t>SV - Szegedi Viki</t>
  </si>
  <si>
    <t>SZ - Szadai Zoltán</t>
  </si>
  <si>
    <t>Glutamate sensor</t>
  </si>
  <si>
    <t>SzV - Szigethy Virág</t>
  </si>
  <si>
    <t>TB - Tarján Balázs</t>
  </si>
  <si>
    <t>TI - Takács István</t>
  </si>
  <si>
    <t>VA - Vanco Anna</t>
  </si>
  <si>
    <t>Project approval number</t>
  </si>
  <si>
    <t>KV - Kiss Viki</t>
  </si>
  <si>
    <t>TT - Tompa Tamás</t>
  </si>
  <si>
    <t>Alumni</t>
  </si>
  <si>
    <t>CC - Csupenyák Csaba</t>
  </si>
  <si>
    <t>LA - Lakosa Alina</t>
  </si>
  <si>
    <t>Összeg / DB</t>
  </si>
  <si>
    <t>GB - Gulyás Bettina</t>
  </si>
  <si>
    <t>#ÉRTÉK!</t>
  </si>
  <si>
    <t>jún</t>
  </si>
  <si>
    <t>MM - Marosi Máté</t>
  </si>
  <si>
    <t>júl</t>
  </si>
  <si>
    <t>ND - Nagy Dominika</t>
  </si>
  <si>
    <t>szept</t>
  </si>
  <si>
    <t>PV - Paál Virág</t>
  </si>
  <si>
    <t>okt</t>
  </si>
  <si>
    <t>TA - Tóth Alexandra</t>
  </si>
  <si>
    <t>nov</t>
  </si>
  <si>
    <t xml:space="preserve">LR - Lányi Réka </t>
  </si>
  <si>
    <t>Owners</t>
  </si>
  <si>
    <t>Végösszeg</t>
  </si>
  <si>
    <t>Bartók Helén</t>
  </si>
  <si>
    <t>AAV6</t>
  </si>
  <si>
    <t>Lányi Réka</t>
  </si>
  <si>
    <t>Kertész Borbála</t>
  </si>
  <si>
    <t>Kiss Viktória</t>
  </si>
  <si>
    <t>AAV19</t>
  </si>
  <si>
    <t>Varada Karankot</t>
  </si>
  <si>
    <t>AAV23</t>
  </si>
  <si>
    <t>Lőrincz Tibor</t>
  </si>
  <si>
    <t>Mezriczky Zsolt</t>
  </si>
  <si>
    <t>Sulcz-Judák Linda</t>
  </si>
  <si>
    <t>(üres)</t>
  </si>
  <si>
    <t>AAV34</t>
  </si>
  <si>
    <t>AAV51</t>
  </si>
  <si>
    <t>AAV58</t>
  </si>
  <si>
    <t>AAV63</t>
  </si>
  <si>
    <t>AAV83</t>
  </si>
  <si>
    <t>AAV85</t>
  </si>
  <si>
    <t>AAV112</t>
  </si>
  <si>
    <t>Glut-sensor</t>
  </si>
  <si>
    <t>AAV410</t>
  </si>
  <si>
    <t>Add new by add inj. date!!</t>
  </si>
  <si>
    <r>
      <rPr>
        <b/>
        <sz val="12"/>
        <color rgb="FF000000"/>
        <rFont val="Calibri"/>
        <family val="2"/>
        <charset val="238"/>
      </rPr>
      <t xml:space="preserve">State
</t>
    </r>
    <r>
      <rPr>
        <sz val="12"/>
        <color rgb="FF000000"/>
        <rFont val="Calibri"/>
        <family val="2"/>
        <charset val="238"/>
      </rPr>
      <t>(Auto edit)</t>
    </r>
  </si>
  <si>
    <t>Surgery
Pers.</t>
  </si>
  <si>
    <t>NOTE</t>
  </si>
  <si>
    <t>Megjegyzés (műtéthez)</t>
  </si>
  <si>
    <t>Mouse_001</t>
  </si>
  <si>
    <t>C57b6</t>
  </si>
  <si>
    <t>AAV3a</t>
  </si>
  <si>
    <t>20x</t>
  </si>
  <si>
    <t>450-350-250</t>
  </si>
  <si>
    <t>150-150-100</t>
  </si>
  <si>
    <t>dura átszakadt, sok vírus feljött</t>
  </si>
  <si>
    <t>meghalt</t>
  </si>
  <si>
    <t>Mouse_002</t>
  </si>
  <si>
    <t>Mouse_003</t>
  </si>
  <si>
    <t>450-250</t>
  </si>
  <si>
    <t>230-170</t>
  </si>
  <si>
    <t>dura ép, de egy vastagabb eret átszúrt a pipetta, sok vérzés. Pipetta elvileg nem tömült el, ellenőriztem</t>
  </si>
  <si>
    <t>Mouse_004</t>
  </si>
  <si>
    <t>AG17</t>
  </si>
  <si>
    <t>1000; 800; 600</t>
  </si>
  <si>
    <t>150; 150; 150</t>
  </si>
  <si>
    <t>Mouse_005</t>
  </si>
  <si>
    <t>Mouse_006</t>
  </si>
  <si>
    <t>300-300-300</t>
  </si>
  <si>
    <t>NAVITAR</t>
  </si>
  <si>
    <t>terminálva</t>
  </si>
  <si>
    <t>Mouse_007</t>
  </si>
  <si>
    <t>AAV17</t>
  </si>
  <si>
    <t>vírus jött fel</t>
  </si>
  <si>
    <t>Mouse_008</t>
  </si>
  <si>
    <t>Mouse_009</t>
  </si>
  <si>
    <t>az elején minimális mennyiség feljött, pár um-rel arrébb mentem, ott már jó volt</t>
  </si>
  <si>
    <t>Mouse_010</t>
  </si>
  <si>
    <t>a pipetta kiemelésekor felbuggyant egy csomó :(</t>
  </si>
  <si>
    <t>Mouse_011</t>
  </si>
  <si>
    <t>AG13</t>
  </si>
  <si>
    <t>Mouse_012</t>
  </si>
  <si>
    <t>terminálva (2018.02.28)</t>
  </si>
  <si>
    <t>Mouse_013</t>
  </si>
  <si>
    <t>Mouse_014</t>
  </si>
  <si>
    <t>Mouse_015</t>
  </si>
  <si>
    <t>AG9</t>
  </si>
  <si>
    <t>AG4</t>
  </si>
  <si>
    <t>1:50</t>
  </si>
  <si>
    <t>Mouse_016</t>
  </si>
  <si>
    <t>Mouse_017</t>
  </si>
  <si>
    <t>Mouse_018</t>
  </si>
  <si>
    <t>Mouse_019</t>
  </si>
  <si>
    <t>Mouse_020</t>
  </si>
  <si>
    <t>Mouse_021</t>
  </si>
  <si>
    <t>AAV15a</t>
  </si>
  <si>
    <t>600-200</t>
  </si>
  <si>
    <t>Mouse_022</t>
  </si>
  <si>
    <t>Mouse_023</t>
  </si>
  <si>
    <t>Mouse_024</t>
  </si>
  <si>
    <t>500-200</t>
  </si>
  <si>
    <t>a három szürkénél sok volt a visszafolyás (a koponyára), a feketéknél semmi</t>
  </si>
  <si>
    <t>Mouse_025</t>
  </si>
  <si>
    <t>Mouse_026</t>
  </si>
  <si>
    <t>Mouse_027</t>
  </si>
  <si>
    <t>500-350-200</t>
  </si>
  <si>
    <t>Mouse_028</t>
  </si>
  <si>
    <t>500-350</t>
  </si>
  <si>
    <t>150-300</t>
  </si>
  <si>
    <t>viszonylag sok vírus feljött</t>
  </si>
  <si>
    <t>Mouse_029</t>
  </si>
  <si>
    <t>egy kevés feljött, újraszúrtam</t>
  </si>
  <si>
    <t>Mouse_030</t>
  </si>
  <si>
    <t>Mouse_031</t>
  </si>
  <si>
    <t>Mouse_032</t>
  </si>
  <si>
    <t>Mouse_033</t>
  </si>
  <si>
    <t>Mouse_034</t>
  </si>
  <si>
    <t>1000-350</t>
  </si>
  <si>
    <t>5x50nl</t>
  </si>
  <si>
    <t>Mouse_035</t>
  </si>
  <si>
    <t>Mouse_036</t>
  </si>
  <si>
    <t>Mouse_037</t>
  </si>
  <si>
    <t>Mouse_038</t>
  </si>
  <si>
    <t>Mouse_039</t>
  </si>
  <si>
    <t>Mouse_040</t>
  </si>
  <si>
    <t>műtét után pár nappal meghalt</t>
  </si>
  <si>
    <t>Mouse_041</t>
  </si>
  <si>
    <t>Mouse_042</t>
  </si>
  <si>
    <t>terminálva, 41-es eltörte a lábát és megtépte a hátát</t>
  </si>
  <si>
    <t>Mouse_043</t>
  </si>
  <si>
    <t>Mouse_044</t>
  </si>
  <si>
    <t>1000, 800, 500</t>
  </si>
  <si>
    <t>200, 200, 300</t>
  </si>
  <si>
    <t>@1000,800um jRGeCO, @500um GCaMP</t>
  </si>
  <si>
    <t>Mouse_045</t>
  </si>
  <si>
    <t>Mouse_046</t>
  </si>
  <si>
    <t>AG1</t>
  </si>
  <si>
    <t>1:1</t>
  </si>
  <si>
    <t>700, 400</t>
  </si>
  <si>
    <t>200, 200</t>
  </si>
  <si>
    <t>Mouse_047</t>
  </si>
  <si>
    <t>450-300</t>
  </si>
  <si>
    <t>a varrataik képlékenyek voltak....</t>
  </si>
  <si>
    <t>Mouse_048</t>
  </si>
  <si>
    <t>Mouse_049</t>
  </si>
  <si>
    <t>Mouse_050</t>
  </si>
  <si>
    <t>Mouse_051</t>
  </si>
  <si>
    <t>Mouse_052</t>
  </si>
  <si>
    <t>1000-400</t>
  </si>
  <si>
    <t>3*100 + 3*100</t>
  </si>
  <si>
    <t>@1000,900,800um jRGeCO, @600,500,400um GCaMP</t>
  </si>
  <si>
    <t>szét volt rohadva a koponyája, hosszútávra nem érdemes vele tervezni</t>
  </si>
  <si>
    <t>nincs meg</t>
  </si>
  <si>
    <t>Mouse_053</t>
  </si>
  <si>
    <t>szintén nagyon gyulladt koponya</t>
  </si>
  <si>
    <t>Mouse_054</t>
  </si>
  <si>
    <t>100-100</t>
  </si>
  <si>
    <t>Mouse_055</t>
  </si>
  <si>
    <t>2x100</t>
  </si>
  <si>
    <t>varratai képlékenyek voltak</t>
  </si>
  <si>
    <t>Mouse_056</t>
  </si>
  <si>
    <t>Mouse_057</t>
  </si>
  <si>
    <t>3x175</t>
  </si>
  <si>
    <t>Mouse_058</t>
  </si>
  <si>
    <t>Mouse_059</t>
  </si>
  <si>
    <t>bevérzett a műtét másnapján!  figyelni!</t>
  </si>
  <si>
    <t>Mouse_060</t>
  </si>
  <si>
    <t>Mouse_061</t>
  </si>
  <si>
    <t>800, 700, 600, 500</t>
  </si>
  <si>
    <t>4 x 100</t>
  </si>
  <si>
    <t>dura leszedve</t>
  </si>
  <si>
    <t>Mouse_062</t>
  </si>
  <si>
    <t>Mouse_063</t>
  </si>
  <si>
    <t>4x 110</t>
  </si>
  <si>
    <t>Mouse_064</t>
  </si>
  <si>
    <t>Mouse_065</t>
  </si>
  <si>
    <t>1000, 800, 600</t>
  </si>
  <si>
    <t>3 x 150</t>
  </si>
  <si>
    <t>Mouse_066</t>
  </si>
  <si>
    <t>Mouse_067</t>
  </si>
  <si>
    <t>Mouse_068</t>
  </si>
  <si>
    <t>korrekten vannak sejtek, kicsit talán ködösen AO-n, és nem túl mélyen</t>
  </si>
  <si>
    <t>terminálva 18/09/12</t>
  </si>
  <si>
    <t>Mouse_069</t>
  </si>
  <si>
    <t>sok feljött</t>
  </si>
  <si>
    <t>nagyon szép sejtek vannak még AO-n is, de kb 100 um-ig</t>
  </si>
  <si>
    <t>Dom Galvo: Bloody cranio, not very good, Found some cells ~100 um, some cells dead</t>
  </si>
  <si>
    <t>terminálva, erőteljes hús-ránövés a cementre, fejlemez már lötyögött</t>
  </si>
  <si>
    <t>Mouse_070</t>
  </si>
  <si>
    <t>AO, sok sejt, szép, -(300-400) µm környékén is látni sejteket</t>
  </si>
  <si>
    <t>Mouse_071</t>
  </si>
  <si>
    <t>AO, még több sejt, szép, kb -300ig lelátni itt is</t>
  </si>
  <si>
    <t>vizeletretenció miatt terminálva</t>
  </si>
  <si>
    <t>Mouse_072</t>
  </si>
  <si>
    <t>1100,900,700,500</t>
  </si>
  <si>
    <t>4x150</t>
  </si>
  <si>
    <t>3x3D Lot off cells up to 850 um</t>
  </si>
  <si>
    <t>Mouse_073</t>
  </si>
  <si>
    <t>3x3D Lot off cells up to 850 um, no dura, bleed</t>
  </si>
  <si>
    <t>Mouse_074</t>
  </si>
  <si>
    <t>Mouse_075</t>
  </si>
  <si>
    <t>Mouse_076</t>
  </si>
  <si>
    <t>Fentanyl -&gt;Wakeup + little amount of forane after surgery = respiration stopped</t>
  </si>
  <si>
    <t>Mouse_077</t>
  </si>
  <si>
    <t>Mouse_078</t>
  </si>
  <si>
    <t>350?</t>
  </si>
  <si>
    <t>1x350 1x150</t>
  </si>
  <si>
    <t>Craniotomy; 2 injection sites; virus with fast green, fast injection; go thru on the dura was problematic</t>
  </si>
  <si>
    <t>cells between -230 - -130 on GALVO;  AO check up +16d after injection: need max UG and Laser - cells are visible</t>
  </si>
  <si>
    <t xml:space="preserve"> </t>
  </si>
  <si>
    <t>Mouse_079</t>
  </si>
  <si>
    <t>2x150</t>
  </si>
  <si>
    <t>Craniotomy; 2 injection sites; virus with fast green, fast injection; go thru on the dura was problematic; ~30 degree penetration angle</t>
  </si>
  <si>
    <t>DEAD</t>
  </si>
  <si>
    <t>Mouse_080</t>
  </si>
  <si>
    <t>1x150</t>
  </si>
  <si>
    <t>Mouse_081</t>
  </si>
  <si>
    <t>nem folyt ki</t>
  </si>
  <si>
    <t>Mouse_082</t>
  </si>
  <si>
    <t>shity, no cells, just particulas</t>
  </si>
  <si>
    <t>Mouse_083</t>
  </si>
  <si>
    <t>lot of cells till -600, gud jab</t>
  </si>
  <si>
    <t>meghalt 2018.03.08</t>
  </si>
  <si>
    <t>Mouse_084</t>
  </si>
  <si>
    <t>550-350 um</t>
  </si>
  <si>
    <t>Mouse_085</t>
  </si>
  <si>
    <t>KOKI-ban van</t>
  </si>
  <si>
    <t>Mouse_086</t>
  </si>
  <si>
    <t>Mouse_087</t>
  </si>
  <si>
    <t>3x</t>
  </si>
  <si>
    <t>folyt ki, hegyesített kapilláris</t>
  </si>
  <si>
    <t>a few cell-like stuff, we should re-check a week later</t>
  </si>
  <si>
    <t>Mouse_087b</t>
  </si>
  <si>
    <t>1100,850,600,350</t>
  </si>
  <si>
    <t>4x200</t>
  </si>
  <si>
    <t>Mouse_088</t>
  </si>
  <si>
    <t>talán mikor kiemeltem folyt ki, hegyesített kapilláris</t>
  </si>
  <si>
    <t>noope, we should recheck</t>
  </si>
  <si>
    <t>Mouse_088b</t>
  </si>
  <si>
    <t>Mouse_089</t>
  </si>
  <si>
    <t xml:space="preserve">folyt ki </t>
  </si>
  <si>
    <t>dura felszakadt, felszín csúnyán bevérzett (nem biztos, hogy maradt imagelhető terület)</t>
  </si>
  <si>
    <t>Mouse_090</t>
  </si>
  <si>
    <t>folyt ki</t>
  </si>
  <si>
    <t>Dura elég trutymós, de rajta hagytam,mert átlátható</t>
  </si>
  <si>
    <t>KOKI-ban van terminálva 20218.12.05</t>
  </si>
  <si>
    <t>Mouse_091</t>
  </si>
  <si>
    <t>füle megjelölve</t>
  </si>
  <si>
    <t>Mouse_092</t>
  </si>
  <si>
    <t>galvo</t>
  </si>
  <si>
    <t>Mouse_093</t>
  </si>
  <si>
    <t>Mouse_094</t>
  </si>
  <si>
    <t>Mouse_095</t>
  </si>
  <si>
    <t>terminálva (cement alól vérzett)</t>
  </si>
  <si>
    <t>Mouse_096</t>
  </si>
  <si>
    <t>1000,800,600,400</t>
  </si>
  <si>
    <t>200-200-200</t>
  </si>
  <si>
    <t>not good</t>
  </si>
  <si>
    <t>Mouse_097</t>
  </si>
  <si>
    <t>Mouse_098</t>
  </si>
  <si>
    <t>Mouse_099</t>
  </si>
  <si>
    <t>425, 375</t>
  </si>
  <si>
    <t>150+150</t>
  </si>
  <si>
    <t>varratok képlékenyek</t>
  </si>
  <si>
    <t>meghalt(02.21)</t>
  </si>
  <si>
    <t>jubileumi, hihi, varratok képlékenyek</t>
  </si>
  <si>
    <t>meghalt(02.05)</t>
  </si>
  <si>
    <t>Craniotomy; virus with fast green,</t>
  </si>
  <si>
    <t>cells between 100-250 um (weak labeling - need more time)</t>
  </si>
  <si>
    <t>Craniotomy; virus with fast green</t>
  </si>
  <si>
    <t>beautiful - tons of cells :) (tilted surface - depth varies)</t>
  </si>
  <si>
    <t>terminálva 19/09/05</t>
  </si>
  <si>
    <t>350 (2 spots)</t>
  </si>
  <si>
    <t>200+100</t>
  </si>
  <si>
    <t>Craniotomy; 2 injection sites; virus with fast green,</t>
  </si>
  <si>
    <t>500-350um</t>
  </si>
  <si>
    <t>3x100</t>
  </si>
  <si>
    <t>szőr volt bevarrva, gyulladt, dura nincs</t>
  </si>
  <si>
    <t>0 cells :( 80% Ultra 3x3D, only crashed cells</t>
  </si>
  <si>
    <t>Bite! ...0 cells :( 80% Ultra 3x3D only crashed</t>
  </si>
  <si>
    <t>AG42</t>
  </si>
  <si>
    <t>retro-bulbus</t>
  </si>
  <si>
    <t>25  μl (J szem) 15 μl (B szem)</t>
  </si>
  <si>
    <t>J 1 jelölés</t>
  </si>
  <si>
    <t>One dot to holder</t>
  </si>
  <si>
    <t>40 μl összesen a 2 szembe</t>
  </si>
  <si>
    <t>J 2 jelölés</t>
  </si>
  <si>
    <t>40  μl (J szem) </t>
  </si>
  <si>
    <t>B 1 jelölés</t>
  </si>
  <si>
    <t xml:space="preserve">20-20  μl </t>
  </si>
  <si>
    <t>B 2 jelölés</t>
  </si>
  <si>
    <t>Two dot to holder</t>
  </si>
  <si>
    <t>AAV28</t>
  </si>
  <si>
    <t>nagyon szép, nem jött fel semmi (csiszolópapírral letört pipettahegy)</t>
  </si>
  <si>
    <t>AAV29</t>
  </si>
  <si>
    <t>AAV30</t>
  </si>
  <si>
    <t>Ő volt az utolsó injektált, előtte véletlenül letörtem a pipetta végéből kicsit csipesszel -&gt; valószínűleg tompa lett -&gt; feljött, ezért újraszúrtam kicsit arrébb, megint jött fel, ezért lementem 800-1000-ig, így már nem jött fel</t>
  </si>
  <si>
    <t>hosszabbított fejlemez</t>
  </si>
  <si>
    <t>AAV31</t>
  </si>
  <si>
    <t>meghalt (03.20)</t>
  </si>
  <si>
    <t>dura szakadt az injektálás helyénél</t>
  </si>
  <si>
    <t>hosszabbított fejlemez, hétvégén bevérzett</t>
  </si>
  <si>
    <t>150-150</t>
  </si>
  <si>
    <t>3 pötty</t>
  </si>
  <si>
    <t>Ok</t>
  </si>
  <si>
    <t>1100</t>
  </si>
  <si>
    <t>SKL 10-es sebességgel, vágott fülű</t>
  </si>
  <si>
    <t>1 pötty</t>
  </si>
  <si>
    <t>Very good</t>
  </si>
  <si>
    <t>2 pötty</t>
  </si>
  <si>
    <t>nincs pötty</t>
  </si>
  <si>
    <t>AAV9</t>
  </si>
  <si>
    <t>nagyon szép, nem jött fel semmi (csipesszel letört pipettahegy)</t>
  </si>
  <si>
    <t>meghalt, nem kelt fel ketaminos altatásból</t>
  </si>
  <si>
    <t>No cells, fragments</t>
  </si>
  <si>
    <t>megszaladt a fúró, viszonylas sok feljött, újraszúrtam -&gt; jobb lett(csipesszel letört pipettahegy)</t>
  </si>
  <si>
    <t>No cells fragments</t>
  </si>
  <si>
    <t>AAV41</t>
  </si>
  <si>
    <t>dura leszakadt, hosszú befogó</t>
  </si>
  <si>
    <t>AAV42</t>
  </si>
  <si>
    <t>AAV43</t>
  </si>
  <si>
    <t>AAV44</t>
  </si>
  <si>
    <t>letépte magát / terminálva2018.03.21</t>
  </si>
  <si>
    <t>bevérzett a gramofonon az ablak</t>
  </si>
  <si>
    <t xml:space="preserve">jobban néz ki. Galvo szép, rezo használható </t>
  </si>
  <si>
    <t>terminálva 2018.12.06</t>
  </si>
  <si>
    <t>nagyon szép iodeállis rezo-állat</t>
  </si>
  <si>
    <t>1200,950,700,450</t>
  </si>
  <si>
    <t>4x 200</t>
  </si>
  <si>
    <t>not good - recheck up needed</t>
  </si>
  <si>
    <t>nagyon gyulladt!</t>
  </si>
  <si>
    <t>rövid befogó</t>
  </si>
  <si>
    <t>"N:\DATA\DATA_Betanitas\!Mouse Gramophon\2_Imaging\group38\check ups"</t>
  </si>
  <si>
    <t>N:\DATA\DATA_Betanitas\!Mouse Gramophon\2_Imaging\group38\check ups</t>
  </si>
  <si>
    <t>1200, 1100</t>
  </si>
  <si>
    <t>200+50</t>
  </si>
  <si>
    <t>gyulladt koponya</t>
  </si>
  <si>
    <t>meghalt (2018.05.09)</t>
  </si>
  <si>
    <t>1100, 850, 600, 350</t>
  </si>
  <si>
    <t>füllyuk: bal0, jobb1</t>
  </si>
  <si>
    <t>meghalt 2018.04.16</t>
  </si>
  <si>
    <t>füllyuk: bal1, jobb1</t>
  </si>
  <si>
    <t>injektálás utáni reggelre meghalt, egyébként az összes nagyon érzékeny volt a fentanylra</t>
  </si>
  <si>
    <t>1100, 900, 700, 500</t>
  </si>
  <si>
    <t>füllyuk: bal0, jobb2</t>
  </si>
  <si>
    <t>ronda nagy bevérzés az injektálás helyén</t>
  </si>
  <si>
    <t xml:space="preserve">2018.04.27 not good </t>
  </si>
  <si>
    <t>füllyuk: nincs</t>
  </si>
  <si>
    <t>durát leszedtem,mert trutyis volt</t>
  </si>
  <si>
    <t>2018.04.27 not goog fragmented</t>
  </si>
  <si>
    <t>500, 400</t>
  </si>
  <si>
    <t>250, 100</t>
  </si>
  <si>
    <t>dura nagyon véres,de valszeg kitisztul</t>
  </si>
  <si>
    <t>2018.05.06 Duál not good</t>
  </si>
  <si>
    <t xml:space="preserve">2018.06.20 - NOTHING </t>
  </si>
  <si>
    <t>sikerült megmenteni a durát, de a lefedés után bevérzett</t>
  </si>
  <si>
    <t>2018.06.20 - NOTHING -+ bone regrow</t>
  </si>
  <si>
    <t>dura szakadt, inj.helyén vérzett</t>
  </si>
  <si>
    <t>jó</t>
  </si>
  <si>
    <t>2018.05.15.​ 3x3D not good</t>
  </si>
  <si>
    <t>3x3D !!!</t>
  </si>
  <si>
    <t>AAV61</t>
  </si>
  <si>
    <t>Kati; dura leszakadt</t>
  </si>
  <si>
    <t>terminálva 18/10/04</t>
  </si>
  <si>
    <t>nincs füllyuk</t>
  </si>
  <si>
    <t>AAV34 komtaminálódott vírus</t>
  </si>
  <si>
    <t>Csabi???</t>
  </si>
  <si>
    <t>bal füllyuk</t>
  </si>
  <si>
    <t>terminálva 18/10/17</t>
  </si>
  <si>
    <t>jobb füllyuk; megszaladt a fúró, és (valószínűleg ezért) jött fel a vírusból</t>
  </si>
  <si>
    <t>mindkét fül lyukas</t>
  </si>
  <si>
    <t>V1+retro-bulbus</t>
  </si>
  <si>
    <t>1050, 850, 650,</t>
  </si>
  <si>
    <t>200-200</t>
  </si>
  <si>
    <t>nincs vágás</t>
  </si>
  <si>
    <t>nagyon gyulladt az injektálás helyén, nagy hematóma alakult ki, így sérült a cortex =&gt;csoportba ne tedd!!</t>
  </si>
  <si>
    <t>jobb fül</t>
  </si>
  <si>
    <t>bal fül</t>
  </si>
  <si>
    <t>nagyon gyulladt koponya, dura leszedve</t>
  </si>
  <si>
    <t>2018-05-08, Csabi, sejt fragmentumok a felszínen, nem jó</t>
  </si>
  <si>
    <t>900, 450</t>
  </si>
  <si>
    <t>250-250</t>
  </si>
  <si>
    <t>2018-09-19, Csabi, not healthy cells</t>
  </si>
  <si>
    <t>egybe injektálás + cranio</t>
  </si>
  <si>
    <t>2018.07.17.</t>
  </si>
  <si>
    <t>terminálva 2018.12.04</t>
  </si>
  <si>
    <t>1 ul jRGECO egy batch AAV34-ben</t>
  </si>
  <si>
    <t>meg nem jó, újra checkup lesz</t>
  </si>
  <si>
    <t>1200, 1000, 800, 600, 400</t>
  </si>
  <si>
    <t>5x50</t>
  </si>
  <si>
    <t>kicsit megszaladt a fúró, füllyuk: 0,0</t>
  </si>
  <si>
    <t>füllyuk: 1,0</t>
  </si>
  <si>
    <t>füllyuk: 0,1</t>
  </si>
  <si>
    <t>füllyuk: 0,0</t>
  </si>
  <si>
    <t>1000, 800, 600, 400</t>
  </si>
  <si>
    <t>dura nincs</t>
  </si>
  <si>
    <t>2018.07.18.</t>
  </si>
  <si>
    <t>átadva epilepszia projektre terminálva 18/09/12</t>
  </si>
  <si>
    <t>1050, 750, 450</t>
  </si>
  <si>
    <t>150-150-150</t>
  </si>
  <si>
    <t>terminálva 18/10/03</t>
  </si>
  <si>
    <t>fél dura</t>
  </si>
  <si>
    <t>dura ép maradt, de véres, viszont várhatóan feltisztul</t>
  </si>
  <si>
    <t>füllyuk: 1,1</t>
  </si>
  <si>
    <t>2018.07.18. "\\fileserver.femtonics.local\allstaff\DATA\Betanitas\!Mouse Gramophon\2_Imaging\group38\Checkups"</t>
  </si>
  <si>
    <t>körbeforgós állat terminálva 18/10/04</t>
  </si>
  <si>
    <t>4x100</t>
  </si>
  <si>
    <t>elhunyt</t>
  </si>
  <si>
    <t>2018.08.02</t>
  </si>
  <si>
    <t>Good, csak EYP, no activity</t>
  </si>
  <si>
    <t>no good, yer</t>
  </si>
  <si>
    <t>eye</t>
  </si>
  <si>
    <t>~0.045 ul</t>
  </si>
  <si>
    <t>2018.08.01</t>
  </si>
  <si>
    <t>550-350</t>
  </si>
  <si>
    <t>Good - csoportba, 39C1 -&gt; DEMÓ</t>
  </si>
  <si>
    <t>terminálva(leesett a befogó)</t>
  </si>
  <si>
    <t>lezárás előtt dura alá bevérzett. javítottam rajta, de nem biztos hogy jó lesz</t>
  </si>
  <si>
    <t>AAV59</t>
  </si>
  <si>
    <t>10:1:9</t>
  </si>
  <si>
    <t>N:\DATA\Betanitas\!Mouse Gramophon\2_Imaging\group39\checkups\207</t>
  </si>
  <si>
    <t>terminálva 19/02/18</t>
  </si>
  <si>
    <t>N:\DATA\Betanitas\!Mouse Gramophon\2_Imaging\group39\checkups\208</t>
  </si>
  <si>
    <t>meghalt 19/09/24</t>
  </si>
  <si>
    <t>not so good</t>
  </si>
  <si>
    <t>meghalt 2018.07.25</t>
  </si>
  <si>
    <t>Bad</t>
  </si>
  <si>
    <t>vision test fail</t>
  </si>
  <si>
    <t>trutyis fehér izé - BAD window</t>
  </si>
  <si>
    <t>200+200+200</t>
  </si>
  <si>
    <t>nagyon gyulladt, injektálás nem a V1-be ment</t>
  </si>
  <si>
    <t>N:\DATA\tompa.tamas\2018_08_21_Crimson_checkup</t>
  </si>
  <si>
    <t>2018.09.05 --- nem látszik struktúra</t>
  </si>
  <si>
    <t>N:\DATA\tompa.tamas\2018_08_30_Crimson_checkup_3x3D\2018_08_30_Crimson_checkup_3x3D_217.mes</t>
  </si>
  <si>
    <t>1000-400 között</t>
  </si>
  <si>
    <t>~600</t>
  </si>
  <si>
    <t>2018.08.21 GREAT :)</t>
  </si>
  <si>
    <t>2018.08.21  need recheck up in a week</t>
  </si>
  <si>
    <t>Goodish, in group 40B1</t>
  </si>
  <si>
    <t>AAV70</t>
  </si>
  <si>
    <t>-850, -650, -450</t>
  </si>
  <si>
    <t>3x200</t>
  </si>
  <si>
    <t>long surgery, check headbar/ window sutrface/ glue before check up</t>
  </si>
  <si>
    <t>-1000, -700, -400</t>
  </si>
  <si>
    <t>3x150</t>
  </si>
  <si>
    <t>Fluffer</t>
  </si>
  <si>
    <t>terminálva 19/06/03</t>
  </si>
  <si>
    <t>AAV72</t>
  </si>
  <si>
    <t>retrobulb</t>
  </si>
  <si>
    <t>150 ul</t>
  </si>
  <si>
    <t>100 ul</t>
  </si>
  <si>
    <t>80 ul</t>
  </si>
  <si>
    <t>AAV75</t>
  </si>
  <si>
    <t>vannak sejtek és aktivitás is, de nem túl mélyen</t>
  </si>
  <si>
    <t>kevés sejt, de gyönyörű aktivitás</t>
  </si>
  <si>
    <t>400ul</t>
  </si>
  <si>
    <t>2018.09.24. törmelékes, de még véres</t>
  </si>
  <si>
    <t>vacak kifejeződés de phptostim-re aktivitás</t>
  </si>
  <si>
    <t>terminálva 19.05.17</t>
  </si>
  <si>
    <t>2018.09.24. néhány villogó zöld dendrit, egyéb éles zöld struktúrák, piros nem látszik</t>
  </si>
  <si>
    <t>3x170</t>
  </si>
  <si>
    <t>2018.09.28 sejt van aktivitás nincs</t>
  </si>
  <si>
    <t>2018.10.17</t>
  </si>
  <si>
    <t>2018.09.28 dzsuvás az ablak - hol a file?</t>
  </si>
  <si>
    <t>2018.09.28 dzsuvás az ablak</t>
  </si>
  <si>
    <t>-850, -650</t>
  </si>
  <si>
    <t>2x 200</t>
  </si>
  <si>
    <t>nagy terület aktivitás, közel a felszínhez aktivitás nincs</t>
  </si>
  <si>
    <t>2018.09.28. még véres 4 napja műtve</t>
  </si>
  <si>
    <t>nagy terület aktivitás, közel a felszínhez aktivitás nincs -500 körül sejtek</t>
  </si>
  <si>
    <t>AAV62</t>
  </si>
  <si>
    <t>4 x 150 nl</t>
  </si>
  <si>
    <t>2018.10.08. bad</t>
  </si>
  <si>
    <t>kicsit megszaladt a fúró, bal fülön 1 lyuk</t>
  </si>
  <si>
    <t>dura leszakadt</t>
  </si>
  <si>
    <t>2018.10.08. bad, vessels are not visible</t>
  </si>
  <si>
    <t>kevés vírus feljött</t>
  </si>
  <si>
    <t>2018.10.18</t>
  </si>
  <si>
    <t>good for Reso</t>
  </si>
  <si>
    <t xml:space="preserve">450 / 600 /1000 </t>
  </si>
  <si>
    <t>3x locations</t>
  </si>
  <si>
    <t>Alexa 40C1</t>
  </si>
  <si>
    <t>10.26-a környékén tesztelhető</t>
  </si>
  <si>
    <t>2018.11.06 bad</t>
  </si>
  <si>
    <t>2018.11.06 szuper, további tesztelés</t>
  </si>
  <si>
    <t>2018.11.19good</t>
  </si>
  <si>
    <t>2019.01.08</t>
  </si>
  <si>
    <t>2019.04.11 bad</t>
  </si>
  <si>
    <t>terminálva 19/07/16</t>
  </si>
  <si>
    <t>2018.11.06 jó, további tesztelés </t>
  </si>
  <si>
    <t>2018.11.08 unfortunately not good for photostimulation, opsin expression is really rare</t>
  </si>
  <si>
    <t>meghalt 2018.12.05.</t>
  </si>
  <si>
    <t>Csoportba - 40B2</t>
  </si>
  <si>
    <t>dura nincs, koponya gyulladt, cortex sérült!</t>
  </si>
  <si>
    <t>gcamp jó</t>
  </si>
  <si>
    <t>42C1</t>
  </si>
  <si>
    <t>2018.12.17 szép gcamp jelölés -500ig; piros nincs, csoport egérnek jó</t>
  </si>
  <si>
    <t>terminálva 19/09.123</t>
  </si>
  <si>
    <t>-900, -500</t>
  </si>
  <si>
    <t>2X300</t>
  </si>
  <si>
    <t>dura félig van</t>
  </si>
  <si>
    <t>jrgeco sejtek vannak, de nem elegen</t>
  </si>
  <si>
    <t>pár jrgeco sejt - saját geco teszt futatva</t>
  </si>
  <si>
    <t>-900, -650, -400</t>
  </si>
  <si>
    <t>3X200</t>
  </si>
  <si>
    <t>dura nincs, cortex felszín sérült!!</t>
  </si>
  <si>
    <t>@3x3D</t>
  </si>
  <si>
    <t>elpusztult (19.05.10)</t>
  </si>
  <si>
    <t>1:1:1°%</t>
  </si>
  <si>
    <t>@Dual</t>
  </si>
  <si>
    <t xml:space="preserve">retroorbitalisan </t>
  </si>
  <si>
    <t>40 mikro</t>
  </si>
  <si>
    <t>@Dual / 3x3D / AO</t>
  </si>
  <si>
    <t>termimálva 20/02/12</t>
  </si>
  <si>
    <t>3x3D some dentrite in L1</t>
  </si>
  <si>
    <t>Some cells / spont activity/ no photostim activity</t>
  </si>
  <si>
    <t>terminálva 2019.01.03. leesett a befogója</t>
  </si>
  <si>
    <t>-1000, -750, -500, -250</t>
  </si>
  <si>
    <t>4 x 150</t>
  </si>
  <si>
    <t>b1j1</t>
  </si>
  <si>
    <t>b1j0</t>
  </si>
  <si>
    <t>gyenge jelölés,de vannak sejtek -800-ig</t>
  </si>
  <si>
    <t>termiálva 19.05.03</t>
  </si>
  <si>
    <t>b0j0</t>
  </si>
  <si>
    <t>nagyon gyenge jelölés, nem elég :(</t>
  </si>
  <si>
    <t>AAV91</t>
  </si>
  <si>
    <t>3:1</t>
  </si>
  <si>
    <t>-1000, -800, -600, -400</t>
  </si>
  <si>
    <t>gyenge jelölés, csak egyfajta opszin</t>
  </si>
  <si>
    <t>2018.11.19</t>
  </si>
  <si>
    <t>week labeling_dual opsin visible</t>
  </si>
  <si>
    <t>images: n:\DATA\szalay.gergely\beszámolók\beszámoló 2019-02-19.pptx</t>
  </si>
  <si>
    <t>1:7</t>
  </si>
  <si>
    <t>a lot of virus came up, I've repenetrate the cortex several times</t>
  </si>
  <si>
    <t>BAD - fragments / ugly surface</t>
  </si>
  <si>
    <t>meghalt 19/10/10</t>
  </si>
  <si>
    <t>died 2 days after injection</t>
  </si>
  <si>
    <t>cells / spont activity/ no photostim activity</t>
  </si>
  <si>
    <t>Definetely some cells, but not photoactive. Playing mouse!</t>
  </si>
  <si>
    <t>terminálva 2019.11.14. (betört az üvege)</t>
  </si>
  <si>
    <t>Csoport mouse</t>
  </si>
  <si>
    <t>1-2 cells Lot of dendrites and fragments</t>
  </si>
  <si>
    <t>b0j1</t>
  </si>
  <si>
    <t>full bone regrowth</t>
  </si>
  <si>
    <t>AAV90</t>
  </si>
  <si>
    <t>No dot</t>
  </si>
  <si>
    <t>Messy cranio, no cells Fidelity, large green blob</t>
  </si>
  <si>
    <t>Died</t>
  </si>
  <si>
    <t>one dot</t>
  </si>
  <si>
    <t>Lot of green blobs</t>
  </si>
  <si>
    <t>Lot of green blobs Zstack crashed</t>
  </si>
  <si>
    <t>Died cell particles only - green</t>
  </si>
  <si>
    <t>-800, -550, -350</t>
  </si>
  <si>
    <t>300,150,50</t>
  </si>
  <si>
    <t>Cells -200-500, but bloody cranio and injuries, very jumpy mouse</t>
  </si>
  <si>
    <t>Nice cells, cranio cleaned</t>
  </si>
  <si>
    <t>b1j1 dot</t>
  </si>
  <si>
    <t>Few Cells - bloody crano, recheck needed</t>
  </si>
  <si>
    <t>GOOD</t>
  </si>
  <si>
    <t>mindenhonnan vérzik</t>
  </si>
  <si>
    <t xml:space="preserve">Small area column, 10-30 cells </t>
  </si>
  <si>
    <t>Goodish</t>
  </si>
  <si>
    <t>AAV93</t>
  </si>
  <si>
    <t>a lot of virus came up</t>
  </si>
  <si>
    <t>Nothing (folt found, but zero cells, only dendrites</t>
  </si>
  <si>
    <t>rossz</t>
  </si>
  <si>
    <t xml:space="preserve">cells are filled, usually they show simultaneous, seizure-like activity which can be seen on taken images too - bright stripes on the image. Cells are not photoactivatable anymore. </t>
  </si>
  <si>
    <t>karcos az üveg</t>
  </si>
  <si>
    <t>no somas, only dendrites (nice spines)</t>
  </si>
  <si>
    <t>maybe good for AO</t>
  </si>
  <si>
    <t>very few somas</t>
  </si>
  <si>
    <t>terminálva 2019.01.10. (vizeletretenció)</t>
  </si>
  <si>
    <t>-600, -400</t>
  </si>
  <si>
    <t>200+200</t>
  </si>
  <si>
    <t>meghalt 2018.12.17</t>
  </si>
  <si>
    <t>bone regrowth started</t>
  </si>
  <si>
    <t>meghalt 2019.02.22.</t>
  </si>
  <si>
    <t>Gary</t>
  </si>
  <si>
    <t>not enough cells</t>
  </si>
  <si>
    <t>terminálva 19/06/27</t>
  </si>
  <si>
    <t>good for AO</t>
  </si>
  <si>
    <t>-800, -600</t>
  </si>
  <si>
    <t>350 + 100</t>
  </si>
  <si>
    <t>a cement nem fedi teljesen a sebet</t>
  </si>
  <si>
    <t>2019.01.14 bad</t>
  </si>
  <si>
    <t>jan 27-30 körül</t>
  </si>
  <si>
    <t>Nothing (3 cells found)</t>
  </si>
  <si>
    <t>meghalt 19/08/29</t>
  </si>
  <si>
    <t>Nothing, growth cranio</t>
  </si>
  <si>
    <t>meghalt 20/01/09</t>
  </si>
  <si>
    <t>meghalt 20/01/17</t>
  </si>
  <si>
    <t>3:1:36</t>
  </si>
  <si>
    <t>-500, -250</t>
  </si>
  <si>
    <t>probably penetrated a big vessel, bled a lot, also a lot of virus came up, I've penetrated again</t>
  </si>
  <si>
    <t>dura nincs, sok vért vesztett</t>
  </si>
  <si>
    <t>bad, no neuronal form</t>
  </si>
  <si>
    <t>jan 21-26 között</t>
  </si>
  <si>
    <t>terminálva 19/12/28</t>
  </si>
  <si>
    <t>2 x 200</t>
  </si>
  <si>
    <t>meghalt 2019.06.07</t>
  </si>
  <si>
    <t>meghalt 2019.01.08</t>
  </si>
  <si>
    <t>nothing</t>
  </si>
  <si>
    <t>really sparse cells in deeper layers, but no expression :(</t>
  </si>
  <si>
    <t>dura mincs. erősen vérzett</t>
  </si>
  <si>
    <t>good</t>
  </si>
  <si>
    <t>bad</t>
  </si>
  <si>
    <t>Dominika: beautiful labeling, gorgeous expression, but no activity, nor responses were observed</t>
  </si>
  <si>
    <t>sok visszafolyt</t>
  </si>
  <si>
    <t>meghalt 2019.02.15</t>
  </si>
  <si>
    <t>Chrimson is really well-expressed in it, GCaMP was not injected into it</t>
  </si>
  <si>
    <t>AAV94</t>
  </si>
  <si>
    <t>bad. there is a really strong and wide expression, but all of the cells are filled, not showing any physiological sign, not photoactive</t>
  </si>
  <si>
    <t>AAV95</t>
  </si>
  <si>
    <t>100x</t>
  </si>
  <si>
    <t>no expression</t>
  </si>
  <si>
    <t>meghalt 19/07/01</t>
  </si>
  <si>
    <t>AAV96</t>
  </si>
  <si>
    <t>5:1</t>
  </si>
  <si>
    <t>nem látszott az inj. helye</t>
  </si>
  <si>
    <t>bad. There is expression till a deep level, but the cells are filled. </t>
  </si>
  <si>
    <t>terminálva 19/10/31</t>
  </si>
  <si>
    <t>bad. The expression is dense and can be seen till -600um, but the cells are filled and not showing any physiological response. </t>
  </si>
  <si>
    <t>terminálva 19/12/06</t>
  </si>
  <si>
    <t>bad. There is expression till a deep level, but the cells are filled. They show some kind of photoexcitability, but their synchronous activity is stronger, thus the network is probably disrupted</t>
  </si>
  <si>
    <t>AAV105</t>
  </si>
  <si>
    <t>50ul</t>
  </si>
  <si>
    <t>terminálva 19/10/03</t>
  </si>
  <si>
    <t>AAV106</t>
  </si>
  <si>
    <t>AAV97</t>
  </si>
  <si>
    <t>AAV104</t>
  </si>
  <si>
    <t>Not good</t>
  </si>
  <si>
    <t>műtét közben nagyon lelassult a légzése. Lélegeztetni kellett</t>
  </si>
  <si>
    <t>good, responsiveness should be checked</t>
  </si>
  <si>
    <t>good responses, separated expression on big FOV, some cells are dying</t>
  </si>
  <si>
    <t>terminálca 19/10/03</t>
  </si>
  <si>
    <t>a small peace of bone stucked under the skull, I couldn't remove it</t>
  </si>
  <si>
    <t>erős vérzés, sérült felszín</t>
  </si>
  <si>
    <t>nothing, should be rechecked</t>
  </si>
  <si>
    <t>Dominika: plenty red cells (nice expression) but no activity, nor responses were observed</t>
  </si>
  <si>
    <t>bleeded a lot</t>
  </si>
  <si>
    <t>dura lejött</t>
  </si>
  <si>
    <t>bad, no cell form, but its headplate felt off last week</t>
  </si>
  <si>
    <t>bad, no cell form</t>
  </si>
  <si>
    <t>-700, -600, -500, -400, -300</t>
  </si>
  <si>
    <t>slow injection</t>
  </si>
  <si>
    <t>looks really good, recheck wiht gcamp</t>
  </si>
  <si>
    <t>still, but with AO it's not so good</t>
  </si>
  <si>
    <t>terminálva 20/01/09</t>
  </si>
  <si>
    <t>bethadine</t>
  </si>
  <si>
    <t>quite inflammed, still you can see good expression, should be rechecked before gcamp expression</t>
  </si>
  <si>
    <t>couldn't see expression with AO</t>
  </si>
  <si>
    <t>couldn't see cell forms, should be rechecked before gcamp expression</t>
  </si>
  <si>
    <t xml:space="preserve">terminálca 19/11/18 feje csúnyán megsérült. </t>
  </si>
  <si>
    <t>400 (very slow)</t>
  </si>
  <si>
    <t>Bad, törmeklés</t>
  </si>
  <si>
    <t>Good for MS23 group</t>
  </si>
  <si>
    <t>erős vérzés koponya alól</t>
  </si>
  <si>
    <t>1:1000</t>
  </si>
  <si>
    <t>-600 ;  -400</t>
  </si>
  <si>
    <t xml:space="preserve">150 x2 </t>
  </si>
  <si>
    <t>2 location 2 different depth</t>
  </si>
  <si>
    <t>terminálva 19/07/19</t>
  </si>
  <si>
    <t>AAV99</t>
  </si>
  <si>
    <t>bad - no expression</t>
  </si>
  <si>
    <t>inflammed skin around cranio</t>
  </si>
  <si>
    <t>50+150</t>
  </si>
  <si>
    <t>ez Ropi</t>
  </si>
  <si>
    <t>cells</t>
  </si>
  <si>
    <t>Domi: no cells / foggy</t>
  </si>
  <si>
    <t>cranio+injection</t>
  </si>
  <si>
    <t>I had to cut the dura</t>
  </si>
  <si>
    <t>Chrimson is really well-expressed in it, but only a few cells expressed gcamp and those are not photoactivatable</t>
  </si>
  <si>
    <t>meghalt 19/12/06</t>
  </si>
  <si>
    <t>AAV114</t>
  </si>
  <si>
    <t>goodish - there are some eYFP cells</t>
  </si>
  <si>
    <t>a good amount of YFP expressing cells, no jRGECO can be seen</t>
  </si>
  <si>
    <t>valószínűleg a húgyhólyagjába adtam először fentanylt, bepisilt közben és nem is aludt el rendesen</t>
  </si>
  <si>
    <t>bad - nem látszik semmi, homályos volt a felszín is és véres a kranio :(</t>
  </si>
  <si>
    <t>terminálva 19/10/10</t>
  </si>
  <si>
    <t>1:10</t>
  </si>
  <si>
    <t>bad - empty</t>
  </si>
  <si>
    <t>AAV125</t>
  </si>
  <si>
    <t>10:10:1</t>
  </si>
  <si>
    <t xml:space="preserve"> + 10xdil Syn-Cre (on 2018.04.10 byCsabi)</t>
  </si>
  <si>
    <t>dunno - nice gcamp labeling, sometimes it's overexpressed. Amazing horizontal dendrite segments with spines. Very weak sign of mRuby can be seen in few cells</t>
  </si>
  <si>
    <t xml:space="preserve">Strong GCaMP, weak mRuby3 (opsin) expression. Spontaneous activity, but no photoactivation. </t>
  </si>
  <si>
    <t xml:space="preserve">No normal expression.  </t>
  </si>
  <si>
    <t>AG5</t>
  </si>
  <si>
    <t>bad - but nice GCaMP expression from -780 and projections can be traced all the way up until the surface</t>
  </si>
  <si>
    <t>bad - there must be some gcamp in it, but the surface is bloody and inflammed - should be rechecked</t>
  </si>
  <si>
    <t>bad - but nice GCaMP expression from -700 in layer 5 and projections can be traced all the way up until the surface</t>
  </si>
  <si>
    <t>2 cells, full of dendrites</t>
  </si>
  <si>
    <t>AAV122</t>
  </si>
  <si>
    <t xml:space="preserve">elpusztult (19.05.08) </t>
  </si>
  <si>
    <t>2x200</t>
  </si>
  <si>
    <t>2 sites</t>
  </si>
  <si>
    <t>3 sites</t>
  </si>
  <si>
    <t xml:space="preserve">tg GCaMP6 labeling can be seen, although I couldn't see activity. No sign of mRuby. </t>
  </si>
  <si>
    <t>mRuby expression looks really good, but no Ca signal</t>
  </si>
  <si>
    <t>terminálva 19/09/10</t>
  </si>
  <si>
    <t>1:1°%:1</t>
  </si>
  <si>
    <t>1:1:1</t>
  </si>
  <si>
    <t>-600, -300</t>
  </si>
  <si>
    <t>Zsemle</t>
  </si>
  <si>
    <t>*before antibiotic feeding. Fluorescence from EYFP can be seen, but not in definite cellforms, may it needs more time</t>
  </si>
  <si>
    <t>terminálva 20/01/28</t>
  </si>
  <si>
    <t>AAV127</t>
  </si>
  <si>
    <t>elpusztult 19/10/11</t>
  </si>
  <si>
    <t>Ez Sumér</t>
  </si>
  <si>
    <t>terminálva 19/10/11 leesett a befogó</t>
  </si>
  <si>
    <t>2x130</t>
  </si>
  <si>
    <t>2 sites (dura nehezen szakadt át)</t>
  </si>
  <si>
    <t>szép :)</t>
  </si>
  <si>
    <t>terminálva 20/01/31</t>
  </si>
  <si>
    <t xml:space="preserve">dzsuvás a dura felett </t>
  </si>
  <si>
    <t>terminálva 2020/04/23 begyulladt a szeme</t>
  </si>
  <si>
    <t>2 sites (dura nehezen szakadt át) véres az inkjektálás helye</t>
  </si>
  <si>
    <t>fehér izé az ablak közepén</t>
  </si>
  <si>
    <t>elpusztult 19/06/17</t>
  </si>
  <si>
    <t>AAV138</t>
  </si>
  <si>
    <t xml:space="preserve">The image quality is awful, although some cells can be seen. Most of them are overexpressing GCaMP which is strange regarding the very bad expression. These cells does not show photoactivatability. I found two cells, which can be barely seen but show nice, consistent photoexcitability with good kinetics. Because of the low gcamp level the signal is very weak but probably this is also the reason of the nice kinetics. Promising construct. </t>
  </si>
  <si>
    <t>bad, empty</t>
  </si>
  <si>
    <t>2x350</t>
  </si>
  <si>
    <t>dura nehezen szakadt át</t>
  </si>
  <si>
    <t>AAV129</t>
  </si>
  <si>
    <t>350 + 180</t>
  </si>
  <si>
    <t>2 sites (dura lejött)</t>
  </si>
  <si>
    <t>AG10</t>
  </si>
  <si>
    <t>150, 150</t>
  </si>
  <si>
    <t>dura nehezen szakadt át; csak 1 4mm coverslip</t>
  </si>
  <si>
    <t>dura leszedve; 4+3 +beads</t>
  </si>
  <si>
    <t>150, 150, 150</t>
  </si>
  <si>
    <t>AAV113</t>
  </si>
  <si>
    <t>terminálva 19/07/18</t>
  </si>
  <si>
    <t>150, 100</t>
  </si>
  <si>
    <t>44M1 T-Rex</t>
  </si>
  <si>
    <t>terminálva 19/09/12</t>
  </si>
  <si>
    <t>AAV126</t>
  </si>
  <si>
    <t>-700, -400</t>
  </si>
  <si>
    <t>250, 250</t>
  </si>
  <si>
    <t>26-án AAV121 injektálva és megműtve</t>
  </si>
  <si>
    <t>meghalt 20/03/26</t>
  </si>
  <si>
    <t>meghalt 2020.02.21.</t>
  </si>
  <si>
    <t>terminálva 19/10/11</t>
  </si>
  <si>
    <t>AG41</t>
  </si>
  <si>
    <t>nice GCaMP, no opsin. Cells have independent spontanious activity, althoug the ROI curves show some synchronous activities which are correlating with bigger movements</t>
  </si>
  <si>
    <t>termibélva 20/03030 lesett a befogó</t>
  </si>
  <si>
    <t>felső üveg megrepedt</t>
  </si>
  <si>
    <t>Nice GCaMP, no opsin. Cells have independent spontanious activity, althoug the ROI curves show some synchronous activities even in bacground areas.</t>
  </si>
  <si>
    <t>terminálva 2020/01/24 leesett aa beefogó</t>
  </si>
  <si>
    <t>2x250</t>
  </si>
  <si>
    <t>cortex sérülés az injektálás helyén</t>
  </si>
  <si>
    <t xml:space="preserve">The cells are practically dead, no activity can be seen on high speed measurements. Red signal is probably overheard GCaMP (green). </t>
  </si>
  <si>
    <t>AAV130</t>
  </si>
  <si>
    <t xml:space="preserve">GFP and jRGECO signal is also visible. No spontaneous or stimulated activity. </t>
  </si>
  <si>
    <t>cortex sérülés a szélén. dura nincs</t>
  </si>
  <si>
    <t xml:space="preserve">Both GFP and jRGECO are visible on 800nm. Strong jRGECO signal is visible on 1040nm. Unfortunatelly, spontaneous synchronous activity occurs frequently, none of the measured cells showed normal activity. </t>
  </si>
  <si>
    <t>termimálva 20/06/04</t>
  </si>
  <si>
    <t xml:space="preserve">In camera view, huge motion can be seen. I checked the fixing but it seemed to be okay. Expression is very low, I've seen a small area only.  </t>
  </si>
  <si>
    <t>AAV100</t>
  </si>
  <si>
    <t>-700-&gt;-500</t>
  </si>
  <si>
    <t>nagyon kevés sejt</t>
  </si>
  <si>
    <t>erősen vérzett</t>
  </si>
  <si>
    <t>meghalt 19.07.10</t>
  </si>
  <si>
    <t>1:9</t>
  </si>
  <si>
    <t>elpusztult</t>
  </si>
  <si>
    <t>nincs dura (dupla)</t>
  </si>
  <si>
    <t>250, 150</t>
  </si>
  <si>
    <t>when I pulled up to -250um some virus started to come up, I had to play with it a bit</t>
  </si>
  <si>
    <t>(dupla)</t>
  </si>
  <si>
    <t>230, 170</t>
  </si>
  <si>
    <t>(tripla) reoperálva: 08.27.</t>
  </si>
  <si>
    <t>Gyulladás a kraniáli ablak alatt, nem látszik egyátalán a felszín</t>
  </si>
  <si>
    <t>9:1</t>
  </si>
  <si>
    <t>2x225</t>
  </si>
  <si>
    <t xml:space="preserve">       </t>
  </si>
  <si>
    <t>megszaladt a fúró, elkaptam egy eret, erősebb vérzés</t>
  </si>
  <si>
    <t>(szimpla)</t>
  </si>
  <si>
    <t>meghalt 20/02/28</t>
  </si>
  <si>
    <t>nem sikerült olyan szépen a seblezárás</t>
  </si>
  <si>
    <t>dura lefedés után bevérzet (dupla)</t>
  </si>
  <si>
    <t>1:1°%</t>
  </si>
  <si>
    <t>-700, -700</t>
  </si>
  <si>
    <t>kwikSil + 2x3mm coverslip - decreased blood flow/pale brain surface</t>
  </si>
  <si>
    <t>2x3mm coverslip  - nice surface</t>
  </si>
  <si>
    <t>-700, -700, -300</t>
  </si>
  <si>
    <t>kwiksil + 2x3mm coverslip  - nice surface</t>
  </si>
  <si>
    <t>1:2</t>
  </si>
  <si>
    <t>B1 - egy eret eltalált a pipetta injektáláskor</t>
  </si>
  <si>
    <t>10.08 - nincs megfelelő piros kifejeződés</t>
  </si>
  <si>
    <t>10.08 - nincsennek kettősen jelölt sejtek, GCaMP szép</t>
  </si>
  <si>
    <t>elég gyulladt volt (dupla)</t>
  </si>
  <si>
    <t>-800, -680, -560, -440, -320</t>
  </si>
  <si>
    <t>4x5x50nl</t>
  </si>
  <si>
    <t>J0B0</t>
  </si>
  <si>
    <t>6 nap után már van jelölődés</t>
  </si>
  <si>
    <t>B1 - nyeszlet jószág</t>
  </si>
  <si>
    <t>B csoport</t>
  </si>
  <si>
    <t>AOra jó lehet 08.21.</t>
  </si>
  <si>
    <t>J1B1</t>
  </si>
  <si>
    <t>Kráteres - de vannak sejtek és aktivitás - csak nagyon mozog</t>
  </si>
  <si>
    <t>-500, -400</t>
  </si>
  <si>
    <t>100, 75</t>
  </si>
  <si>
    <t>2 spots</t>
  </si>
  <si>
    <t>08.21. - sok sejt, nagy folt - SZÉP</t>
  </si>
  <si>
    <t>Dura érintetlen</t>
  </si>
  <si>
    <t>08.21. fátyolos - vannak sejtek a folt széklén , de nem szép</t>
  </si>
  <si>
    <t>sokkal jobb</t>
  </si>
  <si>
    <t>-400, -400, -400</t>
  </si>
  <si>
    <t>50, 50, 50</t>
  </si>
  <si>
    <t>3 spots, kwik sil</t>
  </si>
  <si>
    <t>08.21. kicsi jelölt rész: vannak sejtek + aktivitás, de rezó-ra gyenge</t>
  </si>
  <si>
    <t>nem túl jó</t>
  </si>
  <si>
    <t>1:1:9</t>
  </si>
  <si>
    <t>a seb ragasztás szétjött a ketrecben, a koponyafelszín telement szőrrel. Kitisztítottam a sebet és újraragasztottam vetbonddal.</t>
  </si>
  <si>
    <t>terminálva 19/08/21</t>
  </si>
  <si>
    <t>a kortex sérülhetett</t>
  </si>
  <si>
    <t>empty</t>
  </si>
  <si>
    <t>2020.04.07 - still empty</t>
  </si>
  <si>
    <t>dura nincs (dupla)</t>
  </si>
  <si>
    <t>2020.04.07 - empty</t>
  </si>
  <si>
    <t>150, 100, 50</t>
  </si>
  <si>
    <t>OK. but need a little bit of time</t>
  </si>
  <si>
    <t>150, 100, 100</t>
  </si>
  <si>
    <t>4:1</t>
  </si>
  <si>
    <t>-600,-600,-600</t>
  </si>
  <si>
    <t>durát Máté leszedte</t>
  </si>
  <si>
    <t>[19/10/07] van több sejt, sok telített, de elmegy, szép nyúlványos</t>
  </si>
  <si>
    <t>AAV145</t>
  </si>
  <si>
    <t>-500, -300</t>
  </si>
  <si>
    <t>dupla</t>
  </si>
  <si>
    <t xml:space="preserve">250, 250 </t>
  </si>
  <si>
    <t>2020.04.07 - empty, dura néhol megvastagodott</t>
  </si>
  <si>
    <t>AAV149</t>
  </si>
  <si>
    <t>badyet</t>
  </si>
  <si>
    <t>2020.10.29.</t>
  </si>
  <si>
    <t>2019.09.24. másik megtépte.</t>
  </si>
  <si>
    <t>2020.11.27</t>
  </si>
  <si>
    <t>meghalt szegény</t>
  </si>
  <si>
    <t>ne műtsd</t>
  </si>
  <si>
    <t>jött fel folyadék, nem csak vírus (J1)</t>
  </si>
  <si>
    <t>vérzés indut pipetta leeresztésekor, de elált (b1)</t>
  </si>
  <si>
    <t>2020.10.22.</t>
  </si>
  <si>
    <t>jött fel vírus (j1)</t>
  </si>
  <si>
    <t>AAV154</t>
  </si>
  <si>
    <t>nope</t>
  </si>
  <si>
    <t>2020.02.24 still nothing</t>
  </si>
  <si>
    <t xml:space="preserve">dura nincs (dupla) </t>
  </si>
  <si>
    <t>dura alatt bevérzett (dupla)</t>
  </si>
  <si>
    <t xml:space="preserve">MIkék használták </t>
  </si>
  <si>
    <t>terminélva 2020.11.26</t>
  </si>
  <si>
    <t>Mikiék használták</t>
  </si>
  <si>
    <t>-600,-500</t>
  </si>
  <si>
    <t>Szép injektálás, van néhány fánk</t>
  </si>
  <si>
    <t>Csoportban volt 99/C3, Admirális</t>
  </si>
  <si>
    <t>cortex</t>
  </si>
  <si>
    <t>3x800</t>
  </si>
  <si>
    <t>5 mm</t>
  </si>
  <si>
    <t>2019-11-16 gyulladt, nincsennek sejtek</t>
  </si>
  <si>
    <t>1:1:8 arányt 60nl/sec-kel küldtem be véletlenül</t>
  </si>
  <si>
    <t>2019-11-18 gyulladt, nincsennek sejtek</t>
  </si>
  <si>
    <t>1:9, 1:19, 1:29 arány</t>
  </si>
  <si>
    <t>2019-11-20 néhány sejt van, piros-zöld szétválik</t>
  </si>
  <si>
    <t>5mm window</t>
  </si>
  <si>
    <t>sérült</t>
  </si>
  <si>
    <t>(dupla)
D csoport</t>
  </si>
  <si>
    <t>AAV147</t>
  </si>
  <si>
    <t>V1 (binokuláris régiót célozva)</t>
  </si>
  <si>
    <t>-500,-500</t>
  </si>
  <si>
    <t>-600,-400</t>
  </si>
  <si>
    <t>enyhén sérült a cortex (dupla);
C csoport</t>
  </si>
  <si>
    <t>(dupla); 
C csoport</t>
  </si>
  <si>
    <t>2020.10.08</t>
  </si>
  <si>
    <t>C csoport</t>
  </si>
  <si>
    <t>AG3</t>
  </si>
  <si>
    <t>két féltekében poszterior 2-2 injekció</t>
  </si>
  <si>
    <t>meghalt/terminálva 20/01/20</t>
  </si>
  <si>
    <t>1:1:8</t>
  </si>
  <si>
    <t>2020.03.03: csak törmelékek</t>
  </si>
  <si>
    <t>2020.03.10: vannak sejtek, de kevéd GCaMP</t>
  </si>
  <si>
    <t>2020.04.07: néhány sejt van, de az stimuláható is</t>
  </si>
  <si>
    <t>2020.06.24. használható, de elég sűrű kifejeződés, sok a zavaró feltörő dendrit</t>
  </si>
  <si>
    <t>2020.03.10: csak törmelékek</t>
  </si>
  <si>
    <t>2020.04.15: valószínűleg hamarosan elég jó lesz, kicsit sűrű a kifejeződés</t>
  </si>
  <si>
    <t xml:space="preserve">A párját nem akarom egyedül hagyni, szóval scak akkor terminálom, ha rosszul nézki, vagy  a másik is terminálandó. </t>
  </si>
  <si>
    <t>dura szakadt</t>
  </si>
  <si>
    <t>2020.03.11. patchy expression, nothing good</t>
  </si>
  <si>
    <t>noping</t>
  </si>
  <si>
    <t>2020.03.11. empty, only fragments</t>
  </si>
  <si>
    <t>AAV166</t>
  </si>
  <si>
    <t>2020-04-15,</t>
  </si>
  <si>
    <t>meghalt 20/03/19</t>
  </si>
  <si>
    <t>-300, -150</t>
  </si>
  <si>
    <t>200, 100</t>
  </si>
  <si>
    <t>meghalt 20/02/27</t>
  </si>
  <si>
    <t>2020-03-17- Betti</t>
  </si>
  <si>
    <t>-400, -280, -220</t>
  </si>
  <si>
    <t>3*100</t>
  </si>
  <si>
    <t>2020.03.17 közvetlen mutet utan, vannak sejttestek 450-470 körül, inaktiv, dendritek a felszinen, néhány dendrit látszik felmenni</t>
  </si>
  <si>
    <t>hippocampus, bregma -1.5, lateral: 1.5</t>
  </si>
  <si>
    <t>-1500, -1400, -1300</t>
  </si>
  <si>
    <t>3*150</t>
  </si>
  <si>
    <t>terminálva 2021.01.05</t>
  </si>
  <si>
    <t>9:10</t>
  </si>
  <si>
    <t>2020.04.17 néhány sejt van, de  nem sikerült stimulálni, még véres, újra kell majd tesztelni</t>
  </si>
  <si>
    <t>2020.04.25 semmi</t>
  </si>
  <si>
    <t>2020.04.25</t>
  </si>
  <si>
    <t>dura nincs (3+4)</t>
  </si>
  <si>
    <t>AG27</t>
  </si>
  <si>
    <t>hippocampus</t>
  </si>
  <si>
    <t>-1400, -1325, -1250, -750</t>
  </si>
  <si>
    <t>4*100</t>
  </si>
  <si>
    <t>AAV159</t>
  </si>
  <si>
    <t>-300, -250</t>
  </si>
  <si>
    <t>2*300</t>
  </si>
  <si>
    <t>sparse: opsin+gcamp+híg cre, (Chrimson+Ruby)</t>
  </si>
  <si>
    <t>(3+3+4)</t>
  </si>
  <si>
    <t>2020.04.24 4-5 szép sparson jelölt sejt, aktivitás is, de piros nem látszik (még)</t>
  </si>
  <si>
    <t>2020.04.24 hasonló, mint az 527, de nem olyan szépek a sejtek</t>
  </si>
  <si>
    <t>10x,1x</t>
  </si>
  <si>
    <t>Újraműtve 2020.05.09</t>
  </si>
  <si>
    <t>2x500</t>
  </si>
  <si>
    <t>dura nincs (3+3+4)</t>
  </si>
  <si>
    <t>2020.05.12: Vannak stimulálható sejtek, nem nagyon sok, de azok szépek</t>
  </si>
  <si>
    <t>upon removal of the pipette, a huge amount of virus came out from the hole, probably the whole amount I injected</t>
  </si>
  <si>
    <t>2020.05.12: Nagyon kevés sejt, kb. 2-3 stimulálható</t>
  </si>
  <si>
    <t>2020.06.24. meglepő kifejeződés, alapvetően alig találhatóak a sejtek, furcsa vörös göbök világítanak egy sávban, de sparse-osan vannak sejtek, amelyekben alacsony a piros jel, mégis durva fotoaktiváció érhető el</t>
  </si>
  <si>
    <t>10:1:1°%</t>
  </si>
  <si>
    <t xml:space="preserve"> (3+4)</t>
  </si>
  <si>
    <t>2020.05.05 bad yet</t>
  </si>
  <si>
    <t xml:space="preserve"> cortex enyhén sérült, dura nincs (3+3+4)</t>
  </si>
  <si>
    <t>beletörött a pipetta, nem tudni, mennyi injektálódott, de valamennyi biztos, -500 körül</t>
  </si>
  <si>
    <t>2020.09.14 bad, empty</t>
  </si>
  <si>
    <t>2x400</t>
  </si>
  <si>
    <t>a CS3-asból csak egy injektálódott, mert a vírusba olaj került. mivel felülúszó, jó lehet.</t>
  </si>
  <si>
    <t>eépusztult 2020/11/13</t>
  </si>
  <si>
    <t>220-05-20</t>
  </si>
  <si>
    <t>meghalt 2020.05.21</t>
  </si>
  <si>
    <t>-400,-200</t>
  </si>
  <si>
    <t>2x300</t>
  </si>
  <si>
    <t>próbaegér</t>
  </si>
  <si>
    <t>(3+4)</t>
  </si>
  <si>
    <t>~ -550</t>
  </si>
  <si>
    <t>300, 600, 900</t>
  </si>
  <si>
    <t>dura nincs (5+6)</t>
  </si>
  <si>
    <t>2020.08.29 nagyon szép sejtek találhatóak benne kb. 300 um vastagságban, kicsit sparse-os is a jelölés, nagyon fényérzékeny sejtek</t>
  </si>
  <si>
    <t>2020.05.06: csak törmelékek</t>
  </si>
  <si>
    <t>2020.05.06: vannak szép sejtek, sparse szerű jelölés, lehet stimulálni :)</t>
  </si>
  <si>
    <t>2020.05.06: vannak szép sejtek, sparse szerű jelölés</t>
  </si>
  <si>
    <t>2020.05.08: vannak szép sejtek, aktiválható</t>
  </si>
  <si>
    <t>2020.06.30 sejtek nagyreszt eltuntek</t>
  </si>
  <si>
    <t>jött fel vírus, felnyílt a seb</t>
  </si>
  <si>
    <t>2020.08.29 nem találtam benne celluláris kifejeződést, de maradjon az 551-es állatnak társként</t>
  </si>
  <si>
    <t>felnyílt a seb</t>
  </si>
  <si>
    <t>dura nincs. injektálás helyét nem találtam (3+3+4)</t>
  </si>
  <si>
    <t>feje gennyes (3+3+4)</t>
  </si>
  <si>
    <t>2020.08.29 nagyon szép sejtek találhatóak benne kb. 150 um vastagságban, nagyon fényérzékenyek a sejtek, hajlamos az állat a rohamra napfényen</t>
  </si>
  <si>
    <t>expression location from center: [-270; -500</t>
  </si>
  <si>
    <t>terminálva 2021.06.25. begyulladt a feje</t>
  </si>
  <si>
    <t>2020.08.29 gyulladt a feje, epilepsziás rohamai vannak napfény hatására (opszin mellékhatás), de nem találtam benne celluláris kifejeződést</t>
  </si>
  <si>
    <t>-1325, -1150</t>
  </si>
  <si>
    <t>2002.11.27</t>
  </si>
  <si>
    <t xml:space="preserve">v1   </t>
  </si>
  <si>
    <t>2*250</t>
  </si>
  <si>
    <t>2020/06/12 leesett a befogó</t>
  </si>
  <si>
    <t>lyukasfülü</t>
  </si>
  <si>
    <t>3+4, a kéreg valszeg sérült</t>
  </si>
  <si>
    <t>3+4, kicsit bevérzett</t>
  </si>
  <si>
    <t>3+4</t>
  </si>
  <si>
    <t>2020.08.05:nincs ebbe semmise</t>
  </si>
  <si>
    <t>2020.08.05: nem jo a jeloles</t>
  </si>
  <si>
    <t>eltört a pipetta</t>
  </si>
  <si>
    <t>2020.08.05: van jelölt sejtszerű dolog, viszonylag sok,de valszeg eltört a pipetta, és hát olyan is</t>
  </si>
  <si>
    <t>1:1:1%</t>
  </si>
  <si>
    <t>-300 és fölfelé 50</t>
  </si>
  <si>
    <t>1000x</t>
  </si>
  <si>
    <t>-500,-300</t>
  </si>
  <si>
    <t>10000x</t>
  </si>
  <si>
    <t>a nyolcszáz bizonytalan, valami technikai kérdés volt ott</t>
  </si>
  <si>
    <t>3+3+4</t>
  </si>
  <si>
    <t>628-28-200304-11</t>
  </si>
  <si>
    <t>-1500, -1300</t>
  </si>
  <si>
    <t>100, 300</t>
  </si>
  <si>
    <t>-500,-350</t>
  </si>
  <si>
    <t>nincs</t>
  </si>
  <si>
    <t>10x:1x</t>
  </si>
  <si>
    <t>2020-08-10: Semmi</t>
  </si>
  <si>
    <t>-400, -200</t>
  </si>
  <si>
    <t>2020-08-04: Nincsennek sejtek, csak ér festődés látszik, vszínű oda ment a vírus</t>
  </si>
  <si>
    <t>terminálva 2021.06.22</t>
  </si>
  <si>
    <t>500, 300</t>
  </si>
  <si>
    <t>dura nincs 3+4</t>
  </si>
  <si>
    <t>2020-08-04: Semmi</t>
  </si>
  <si>
    <t>terminálva 2021.06.18 benött a feje</t>
  </si>
  <si>
    <t>2020-08-04: Teljesen véres cranio, ilyen formában egyenlőre biztos nem használható</t>
  </si>
  <si>
    <t>leesett a befogó 2021.01.15</t>
  </si>
  <si>
    <t>V2</t>
  </si>
  <si>
    <t>-550; -350</t>
  </si>
  <si>
    <t>300, 300</t>
  </si>
  <si>
    <t>dura nincs 3+3+4 felső üveg megrepedt</t>
  </si>
  <si>
    <t>anyuka :)</t>
  </si>
  <si>
    <t>3+4 bevérzett egy kicsit</t>
  </si>
  <si>
    <t>Mouse_591/A</t>
  </si>
  <si>
    <t>Mouse_591/B</t>
  </si>
  <si>
    <t>Mouse_591/C</t>
  </si>
  <si>
    <t>2020-08-04: Kis területen, de vannak használható sejtek</t>
  </si>
  <si>
    <t>agya sérülhetet, bevérzett</t>
  </si>
  <si>
    <t>2020-08-10: Lekjött a befogó, Kati próbálja megmenteni</t>
  </si>
  <si>
    <t>terminálva 2020/08/10</t>
  </si>
  <si>
    <t>terminálva 221.4.16</t>
  </si>
  <si>
    <t>3P test</t>
  </si>
  <si>
    <t>AG12</t>
  </si>
  <si>
    <t>-1300, -1250</t>
  </si>
  <si>
    <t>-1300, -1250 ... -470</t>
  </si>
  <si>
    <t>400, ...200</t>
  </si>
  <si>
    <t>-1300, -1250... -470</t>
  </si>
  <si>
    <t>2020-08-11: Semmi</t>
  </si>
  <si>
    <t>-800, -400</t>
  </si>
  <si>
    <t>400 + 200</t>
  </si>
  <si>
    <t>2020-08-12: még véres, ezért kicsi a terület, de vannak sejtek, kb. -300-ig</t>
  </si>
  <si>
    <t>2020-09-16: egy csomóban, de sok sejt van</t>
  </si>
  <si>
    <t>J1 jelölt, folyt ki vírus</t>
  </si>
  <si>
    <t>dure nincs 3+4</t>
  </si>
  <si>
    <t>2020-08-12: csak -200-300-ig, de sok sejt van</t>
  </si>
  <si>
    <t>2020-09-18: már csak kevesebb sejt látszig</t>
  </si>
  <si>
    <t>2021.04.16</t>
  </si>
  <si>
    <t>2020-09-16: semmi</t>
  </si>
  <si>
    <t>2020-09-22: semmi, festék az erekben</t>
  </si>
  <si>
    <t>1st no cells</t>
  </si>
  <si>
    <t>Found a cluster 20 cells</t>
  </si>
  <si>
    <t>20-30 cells 60% laser :(</t>
  </si>
  <si>
    <t>Black blood cranio</t>
  </si>
  <si>
    <t>Nothing just blood</t>
  </si>
  <si>
    <t>Nothing -&gt; Licking</t>
  </si>
  <si>
    <t>terminálva 2021.02.18</t>
  </si>
  <si>
    <t>Fully blooded cranio during checkup</t>
  </si>
  <si>
    <t>Nothing -&gt; licking</t>
  </si>
  <si>
    <t>dura nincs 3+3+4</t>
  </si>
  <si>
    <t>Large clouds</t>
  </si>
  <si>
    <t>Some cells 3-4 in cloud</t>
  </si>
  <si>
    <t>Beautiful! Moculus</t>
  </si>
  <si>
    <t>Dieded</t>
  </si>
  <si>
    <t>a vírus vélhetően kiinjektálódott 300-nál</t>
  </si>
  <si>
    <t>Felhő/ szmötyis kranio</t>
  </si>
  <si>
    <t>Brutálisan sok szép sejt MAJESTIC</t>
  </si>
  <si>
    <t>J1B0, forditva volt</t>
  </si>
  <si>
    <t xml:space="preserve">T12 30 cells! igéretes </t>
  </si>
  <si>
    <t>2020-10-27: single+multilayer mérések, szép sok sejt</t>
  </si>
  <si>
    <t>pos: 3b1, név: AAV9 Syn.Flex.GCaMP6f.WPRE.SV40</t>
  </si>
  <si>
    <t>2020-09-23: sok sejt, de eléggé telítettek</t>
  </si>
  <si>
    <t>2020-10-21: nem olyan sok sejt, de legalább telítettek</t>
  </si>
  <si>
    <t>628-28-200622-21</t>
  </si>
  <si>
    <t>ua</t>
  </si>
  <si>
    <t>2020-09-23: csak törmelék látszott</t>
  </si>
  <si>
    <t>2020-10-21: vannak ferde fánkos sejtek nyúlványokkal, elég szépséges, de fura</t>
  </si>
  <si>
    <t xml:space="preserve"> 3+4</t>
  </si>
  <si>
    <t>2020-09-23: nagyon véres, még nem nézhető</t>
  </si>
  <si>
    <t>2020-10-21: akadnak sejtek, de nem sok és elég gyenge a jel, és nagyon véres még mindig a felszín</t>
  </si>
  <si>
    <t>lyukasfülü: lehet hogy került bele olaj</t>
  </si>
  <si>
    <t>2020-10-21: vannak sejten, sokan, szép</t>
  </si>
  <si>
    <t>2020-10-21: köcsög az egér, lötyög az agya, csak törmelék</t>
  </si>
  <si>
    <t>2021.05.20</t>
  </si>
  <si>
    <t>2020-10-21:hematómás a feje neki is, és nagyon mozog az agya</t>
  </si>
  <si>
    <t>AAV200</t>
  </si>
  <si>
    <t>1:1:3</t>
  </si>
  <si>
    <t xml:space="preserve">V1  </t>
  </si>
  <si>
    <t>-800 és -450</t>
  </si>
  <si>
    <t>2020-09-25: keves sejt, minimális aktivitás</t>
  </si>
  <si>
    <t>b1, jött fel folyadék</t>
  </si>
  <si>
    <t>2020-09-25: nem volt jó jelölés, érfestés látszott</t>
  </si>
  <si>
    <t>2020.10.29</t>
  </si>
  <si>
    <t>j1</t>
  </si>
  <si>
    <t>400 + 400</t>
  </si>
  <si>
    <t>J0B0, kicsit vérzet, de végül nem jött fel folyadék</t>
  </si>
  <si>
    <t>2020-10-30: semmi, ér festés</t>
  </si>
  <si>
    <t>2020.11.20</t>
  </si>
  <si>
    <t>J1B0</t>
  </si>
  <si>
    <t>2020-11-03(3x3d): halott sejtek tengere, de a mikroszkóp is elég zajos</t>
  </si>
  <si>
    <t>2020-10-06: egy sávban találhatóak sejtek  [-550, 200], nem túl szépen, de vannak, és fotostimulálhatóak</t>
  </si>
  <si>
    <t>2020-11-16 becsontosodott a kranio fele</t>
  </si>
  <si>
    <t>2020-09-30 I think gcamp expressed pretty well, but chrimson needs some more time for proper expression. No evoked activity upon excitation.</t>
  </si>
  <si>
    <t>2020-10-17 Successful photostimulation, weak signal</t>
  </si>
  <si>
    <t>2020-11-16 nothing new, the construct is working, but the signal is weak in this animal in a limited number of neurons - doesn't worth to plan measurements with it</t>
  </si>
  <si>
    <t>2020-10-17 empty</t>
  </si>
  <si>
    <t>B1J0, erősen vérzett, dura átszakadt</t>
  </si>
  <si>
    <t xml:space="preserve">3+4 </t>
  </si>
  <si>
    <t>2020-10-30: fejbefogó leesett</t>
  </si>
  <si>
    <t>befogó leesett, tulságosan visszanött a csont 2020.10.30</t>
  </si>
  <si>
    <t>az injektálás helye vérzett 3+4</t>
  </si>
  <si>
    <t>2020-10-30: (duálon) zöld sejtek gyönyörűek, piros jelölés egyátalán nem látszik</t>
  </si>
  <si>
    <t>2020-11-03 (3x3d): ferde a agya sok szép sejt, piros jelölés is rendben, stimulálhatóak. sűrűen, FÁNKOSAN sejtek.</t>
  </si>
  <si>
    <t>2020-11-16 Ez nem szép jelölés, szeparálódott az opszin és a szenzor. Aktiválódás sem látható, de a szeparált expresszió miatt nem is elvárható</t>
  </si>
  <si>
    <t>2020-10-30: (duálon) zöld sejtek gyönyörűek, piros jelölés halványan látszik</t>
  </si>
  <si>
    <t>2020-11-03(3x3d): lötyög az agya, de csodálatosan stimulálható sejtek, sok dendrit? szerú basz</t>
  </si>
  <si>
    <t>AAV205</t>
  </si>
  <si>
    <t>2x250 | 2x500</t>
  </si>
  <si>
    <t>2020-10-17 furcsa, göbös kifejeződés, de stimulálhatóak a sejtek</t>
  </si>
  <si>
    <t>2020-11-23 már nem láthatók annyira a sejtek</t>
  </si>
  <si>
    <t>J1B0 :: pipetta megsértett egy eret, vérzés volt, sok vírus feljött - kb első 200ul, utána ok</t>
  </si>
  <si>
    <t>enyhén bevérzett, az inj helye a jobb szélén 3+4</t>
  </si>
  <si>
    <t>2020-11-03(3x3d): nem látunk semmit se</t>
  </si>
  <si>
    <t>J0B1 :: szép, dura szépen szakadt át</t>
  </si>
  <si>
    <t>3+4 szép, nem történt bevérzés</t>
  </si>
  <si>
    <t>J1B1 :: minden ok, csak épp egy fúró fejnyi nyílás volt, volt egy nagy ér mellette, de kifelé nem volt vérzés</t>
  </si>
  <si>
    <t>2020.10.14.</t>
  </si>
  <si>
    <t>J0B0 :: fúrásnál nagyon vérzett, szinte teljesen elállt, de maradt egy nagyon pici agyfolyadék szivárgás</t>
  </si>
  <si>
    <t>3+3+4 szép, nem vérzett</t>
  </si>
  <si>
    <t>2020-10-30: semmi, csak a tetején törmelék</t>
  </si>
  <si>
    <t>hipp + V1</t>
  </si>
  <si>
    <t>-1300, -450</t>
  </si>
  <si>
    <t>400, 400</t>
  </si>
  <si>
    <t>J0B0 :: teljesen ok, nulla szivárgás</t>
  </si>
  <si>
    <t>J1B0 :: teljesen ok, nulla szivárgás</t>
  </si>
  <si>
    <t>3+4  dura nincs</t>
  </si>
  <si>
    <t>J0B1 :: műtét során volt foly. szivárgás, de elmúlt az injektálásra, egy ér elpattant, ahogy ment be a pipetta</t>
  </si>
  <si>
    <t>3+4     2020.11.03 ki lett cserélve a befogója</t>
  </si>
  <si>
    <t>terminálva 2021.01.08 leesett a befogója</t>
  </si>
  <si>
    <t>3+4 dura megszakítva injektálás helyén</t>
  </si>
  <si>
    <t>2020-11-06(3x3d): sok-sok törmelék, de nem találtunk sejtet, minimális érfestés</t>
  </si>
  <si>
    <t xml:space="preserve">2020-11-23 Ugyanúgy göbös kifejeződés, mint a 641-es állatnál, de itt találtam néhány "fánkosabbat" is. A sejtek aktiválhatók, főleg a kevésbé telítettek. Továbbra is érdekes és fontos konstrukció, dolgozni kell a kifejeződés javításán. </t>
  </si>
  <si>
    <t>2021-01-05: ugyanolyan gyenge a kifejeződés, mint korábban, ez már nem fog változni</t>
  </si>
  <si>
    <t>2021-01-05: ugyanúgy semmi</t>
  </si>
  <si>
    <t>J0B0 :: elcsesztesz az injektor beállítást, 10SKN-el ment be</t>
  </si>
  <si>
    <t>elpusztult 2020/11/13</t>
  </si>
  <si>
    <t xml:space="preserve">J0B1 :: vérzett fúrás után, </t>
  </si>
  <si>
    <t>2020-11-23: szép sejtek, sok mozgás. Az aktiválódás nem túl erőteljes, szerintem még várni kell az opszinra.</t>
  </si>
  <si>
    <t>2020-12-30: szépnek látszik a kifejeződés, van is jó pár sejt, de nincs aktiválódás. Ez az első eset AAV166-ot használva, hogy szép GCaMP fluoreszcencia mellett nem tudom aktiválni a sejteket</t>
  </si>
  <si>
    <t>J1B0 :: megint megszaladt a fúró, note to myself: ne injektálj péntek este</t>
  </si>
  <si>
    <t>3+3+4 nincs dura</t>
  </si>
  <si>
    <t>2020-11-23: üres</t>
  </si>
  <si>
    <t>2020-12-30: üres</t>
  </si>
  <si>
    <t xml:space="preserve">400, 400 </t>
  </si>
  <si>
    <t>J1B0 :: pici szivárgás volt az elején, de alapvetően minden ok</t>
  </si>
  <si>
    <t>2020-11-27: üres</t>
  </si>
  <si>
    <t>J0B0 :: miden ok</t>
  </si>
  <si>
    <t>(3+3+4) dura nincs</t>
  </si>
  <si>
    <t>1:1:6</t>
  </si>
  <si>
    <t>J1B1 :: vacak, vérzett is fúráskor, szivárgott is fel</t>
  </si>
  <si>
    <t>2020-11-27: zöld sejtek voltak (teliek), piros jelölést nem láttam, nem volt stimulálható</t>
  </si>
  <si>
    <t>J1B0 :: fúrás ok, pipetta szakította át a csontot, nagyon kevés szivárgás</t>
  </si>
  <si>
    <t xml:space="preserve">(3+3+4) </t>
  </si>
  <si>
    <t>2020-11-27: véres</t>
  </si>
  <si>
    <t>B1J0 :: pipetta behatoláskor egy ér elszakadt, vérzett, de elállt</t>
  </si>
  <si>
    <t>3+3+4 dura nincs, erősen vérzett</t>
  </si>
  <si>
    <t>2020-11-27: részben szétvált a zöld és piros jelölés, sok telített sejt, de valamennyire azért működik</t>
  </si>
  <si>
    <t>-1500,-1300</t>
  </si>
  <si>
    <t>sok vért vesztett</t>
  </si>
  <si>
    <t>B1J1 :: szép, nem volt szivárgás</t>
  </si>
  <si>
    <t>2020-12-01: telt, zöld sejtek, de sok</t>
  </si>
  <si>
    <t>2020-12-18: minden sejt megtelt</t>
  </si>
  <si>
    <t>B0J0 :: szép, nem volt szivárgás</t>
  </si>
  <si>
    <t>2020-12-01: vannak fánkos sejtek, de elég zajos</t>
  </si>
  <si>
    <t>B1J0 :: fúrás után vérzett, pici szivárgás is volt</t>
  </si>
  <si>
    <t>2020-12-01:sok sejt, teli zöldek is, de sok fánkos is, ő a legszebb</t>
  </si>
  <si>
    <t>B0J1 :: fúrás után vérzett, pici szivárgás is volt</t>
  </si>
  <si>
    <t>2020-12-01:nem túl barátságos a dög, nagyon mozog az agya; sok, telt sejt zöldell benne, de találtunk fánkokat is</t>
  </si>
  <si>
    <t>sérült a hip. sokat vérzett, a felső üveg megrepedt</t>
  </si>
  <si>
    <t>-1300, -1500</t>
  </si>
  <si>
    <t>-300, -600</t>
  </si>
  <si>
    <t>2021-01-18(3x3d):  "lejt" az agy, sejtek mélyen, kis területek, de villognak, nyúlványok!</t>
  </si>
  <si>
    <t>2021-01-18(3x3d): nem láttam sejteket, volt néhány fényes felszíni folt, de sejtek nem</t>
  </si>
  <si>
    <t>(3+4) dura nincs</t>
  </si>
  <si>
    <t>2021-01-18(3x3d): kb ua. mint a 671, akik vannak sejtek, azok szépek és aktívak, és vannak aktív nyúlványok is</t>
  </si>
  <si>
    <t>terminálva 2021.01.12. volt valami a hasán és fájdalom jeleit mutatta</t>
  </si>
  <si>
    <t>3+3+4 üveg</t>
  </si>
  <si>
    <t>2021.01.05: van kifejeződés, de elég gyenge. 140 sejtet tudtam kijelölni, a fluoreszcencia kevés a normális jel-zaj arányhoz</t>
  </si>
  <si>
    <t>terminálva 2021.06.25  feje és hasa nagyon sebes volt</t>
  </si>
  <si>
    <t>3+3+4 üveg, dura eltávolítva</t>
  </si>
  <si>
    <t>2021.01.06: nagyon szmötyis a kranio, alig látni az ereket zöld fényben. Pár sejtszerű foltot találtam, a jel nagyon gyenge.</t>
  </si>
  <si>
    <t>999-01-201014-21</t>
  </si>
  <si>
    <t>3+3+4 üveg, dura megmaradt, nehéz volt átszakítani a kapillárissal</t>
  </si>
  <si>
    <t>2021.01.06: szép, nagy mélységet átfogó kifejeződés (kb 250 um). Az aktiválódás ugyanakkor elég gyenge, talán még idő kell neki.</t>
  </si>
  <si>
    <t>x 2021.04.14: bad expression, few cells, small region</t>
  </si>
  <si>
    <t>500, 500</t>
  </si>
  <si>
    <t>3+3+4 üveg, de elég rosszul illeszkedett, nem hiszem, hogy teljesen beleült volna. Dura megszakítva az injektálás helyén. Először rosszul kezdtem el felvinni a cementet, el kellett távolítanom és újracsinálnom</t>
  </si>
  <si>
    <t>2021.01.06: szép, nagy mélységet átfogó kifejeződés (kb 220 um). Az aktiválódás ugyanakkor elég gyenge, talán még idő kell neki.</t>
  </si>
  <si>
    <t>3+3+4 üveg, de elég rosszul illeszkedett, nem hiszem, hogy teljesen beleült volna. Dura megszakítva az injektálás helyén.</t>
  </si>
  <si>
    <t>2021.01.19: elég gyenge kifejeződés, az 5x higítás már nem jó</t>
  </si>
  <si>
    <t>2021.01.19: üres</t>
  </si>
  <si>
    <t>B1J2 :: szar, fúrás után nagyon vérzett, injektáláskor erőssen vérzett</t>
  </si>
  <si>
    <t>2021-01-11(3x3d): nagyon mozog az agy, furcsa és telt sejtek, aktivitás nincs</t>
  </si>
  <si>
    <t>egyet megnézni ebből az 5-ösből</t>
  </si>
  <si>
    <t>628-28-200822-21</t>
  </si>
  <si>
    <t>B1J1 :: vérzett, de csak a csontból, folyt ki, de csak a legelején, utána ok</t>
  </si>
  <si>
    <t>2021-01-11(3x3d): még jobban mozog az agy, telt sejtek, itt sincs aktivitás</t>
  </si>
  <si>
    <t>B0J1 :: minden teljesen ok!</t>
  </si>
  <si>
    <t>2021-01-11(3x3d): bal szem vöröskönnyes, beteg, kis területen van csak jelölés és az sem jó semmire :(</t>
  </si>
  <si>
    <t>B1J0 :: fúráskor vérzett, de aztán minden ok, nem volt szivárgás se</t>
  </si>
  <si>
    <t>3+3+4 üveg magasabban van, vérzett a feje műtét után.</t>
  </si>
  <si>
    <t>2021-01-11(3x3d): mozgó agy, fura telt kicsit sejtek, nincs aktivitás</t>
  </si>
  <si>
    <t>B0J0 :: minden rendben ment</t>
  </si>
  <si>
    <t>2021-01-11(3x3d): hematómás felszín, mozgó agy, nyúlványok látszanak, de leginkább telt sejtek és nincs aktivitás; illetve barátságtalan és túlstresszelt a dög</t>
  </si>
  <si>
    <t>J1B0 :: vérzés nem volt, folyt ki vírus</t>
  </si>
  <si>
    <t>2021-02-08(dual): néhány sejt, kevés fánkos</t>
  </si>
  <si>
    <t>- (no opsin)</t>
  </si>
  <si>
    <t>J0B0 :: folyt ki vírus</t>
  </si>
  <si>
    <t>2021-02-08(dual): néhány sejt, rossz snr, több fánkos</t>
  </si>
  <si>
    <t>ok</t>
  </si>
  <si>
    <t>2021-02-08(dual): pocsék snr, alig van sejt</t>
  </si>
  <si>
    <t>x 2021-02-16(dual): rosszabb, mint múltkor; egyáltalán nem látok sejtet, képminőség pocsék</t>
  </si>
  <si>
    <t>sok folyt ki</t>
  </si>
  <si>
    <t>3+3+4 nagyon rosszul sikerült a műtét</t>
  </si>
  <si>
    <t>2021-02-16(dual): felszín nem látszódik kamera képen, mélyen sejtek, sok, de nem tűnnek túl egészségesnek; MESc nem működött, APT driver-t nem látta a szoftver ezért nem indult el</t>
  </si>
  <si>
    <t>x 2021-04-14: bone regrow, not good</t>
  </si>
  <si>
    <t>fúráskor először vérzett, de aztán minden ok</t>
  </si>
  <si>
    <t>2021-02-16(dual): egy kis részen találtam csak egy pár sejtet, de ők sem tűntek annyira egészségesnek; furcsa ez a jelölés</t>
  </si>
  <si>
    <t>x 2021-04-14: only few cells, not excitable</t>
  </si>
  <si>
    <t>2021-02-16(dual): kis rész és alig sejt</t>
  </si>
  <si>
    <t>628-28-210202-21</t>
  </si>
  <si>
    <t>B0J0 :: szuper</t>
  </si>
  <si>
    <t>2021-02-16(dual): bad</t>
  </si>
  <si>
    <t>B0J1 :: fúráskor vérzett, de utána ok</t>
  </si>
  <si>
    <t xml:space="preserve">felébredt műtét közben </t>
  </si>
  <si>
    <t>B1J1 :: ok</t>
  </si>
  <si>
    <t>2021-02-22(dual): ok, some cells, but saturated</t>
  </si>
  <si>
    <t>ChrimsonR-mRuby3 + GCaMP</t>
  </si>
  <si>
    <t>628-28-200911-21</t>
  </si>
  <si>
    <t>B0J1 :: eléggé vérzett, fúráskor és injektáláskor is</t>
  </si>
  <si>
    <t>3+3+4 dura nincs</t>
  </si>
  <si>
    <t>B1J0 :: ok</t>
  </si>
  <si>
    <t>2021-02-22(dual): bad</t>
  </si>
  <si>
    <t>-900, -450</t>
  </si>
  <si>
    <t>B1J1 :: elején rossz irányban felszívás, de végül ok, kijött a vírus a pipettából, de nem folyt ki</t>
  </si>
  <si>
    <t>3+3+4 cement nem fedi mindenhol a fejbefogót, kraniot viszont be :/</t>
  </si>
  <si>
    <t>2021-02-22(dual): bad -&gt; kell még neki cement a befogó alá, és az üvegre ráfolytat pedig le kell fúrni</t>
  </si>
  <si>
    <t>x 2021-04-16 very few cells, tiny excitation in a couple</t>
  </si>
  <si>
    <t>628-28-201001-21</t>
  </si>
  <si>
    <t>B0J1 :: fútáskor vérzett, de aztán ok</t>
  </si>
  <si>
    <t>2021-02-22(dual):  GOOD!</t>
  </si>
  <si>
    <t>x 2021-04-16 nothing found</t>
  </si>
  <si>
    <t>B1J1 :: szuper</t>
  </si>
  <si>
    <t>2021-03-01(dual): mélyen vannak a sejtek, és vannak sejtek; nyekereg az egér</t>
  </si>
  <si>
    <t>2021-04-14: cell only deep, but stimulatable</t>
  </si>
  <si>
    <t>B1J0 :: nagyon minimális szivárgás, de ok</t>
  </si>
  <si>
    <t>2021-03-01(dual): ferde a feje. de vannak szép sejtek</t>
  </si>
  <si>
    <t>2021-04-14: very few cell, but excitable</t>
  </si>
  <si>
    <t>B0J0 :: fúráskor eléggé vérzett :-/</t>
  </si>
  <si>
    <t>2021-03-01(dual): gyönyörű sejtek, de kis régióban</t>
  </si>
  <si>
    <t>-800, -500, -250</t>
  </si>
  <si>
    <t>3x500</t>
  </si>
  <si>
    <t>2021-04-15(AtlasDichro): Skull started to grow in. Really weak expression, neurons could be barely seen, almost no response to photostimulation</t>
  </si>
  <si>
    <t>999-01-200406-11</t>
  </si>
  <si>
    <t>2021-04-15(AtlasDichro): Good expression in  a pretty broad z-range. Nice cellular forms, but photoactivation was weak.</t>
  </si>
  <si>
    <t>2021-04-21: no activation even at 100% stimulation power</t>
  </si>
  <si>
    <t>2021-04-19(AtlasDichro): Empty</t>
  </si>
  <si>
    <t>2021-04-15(AtlasDichro):  Really weak expression, neurons could be barely seen, no response to photostimulation</t>
  </si>
  <si>
    <t>2:3:15</t>
  </si>
  <si>
    <t>-700, -450, -200</t>
  </si>
  <si>
    <t>2021-04-21: bad looking cells</t>
  </si>
  <si>
    <t>2021-04-30: lot of blood on the surface, no cells were visible</t>
  </si>
  <si>
    <t>terminálva leesett a befogó 2021.08.12</t>
  </si>
  <si>
    <t>hc sérült</t>
  </si>
  <si>
    <t>Megvan még??</t>
  </si>
  <si>
    <t>B0J0 :: jöt fel valamennyi vírus</t>
  </si>
  <si>
    <t>2021-05-28: signal seems to disapearing by now</t>
  </si>
  <si>
    <t>B2J0 :: a csontból vagy valahonnan oldalról vérzett, de amúgy ok</t>
  </si>
  <si>
    <t>2021-04-19(AtlasDichro): Nice cellular forms, good expression in the cytosol. Good photoactivatability</t>
  </si>
  <si>
    <t>B1J1 :: jött fel valamennyi vírus</t>
  </si>
  <si>
    <t>2021-05-03(AtlasDichro): The labeling seems to be good, but neurons are not really responding to photostimulation (same old problem)</t>
  </si>
  <si>
    <t>2021-09-15: some cells in a smaller region</t>
  </si>
  <si>
    <t>B1J0 :: vérzett amikor a pipetta bement, de aztán ok</t>
  </si>
  <si>
    <t>2021-05-03(AtlasDichro): empty, but the surface was contaminated because of inflammation, should be checked again</t>
  </si>
  <si>
    <t xml:space="preserve">2021-09-15: empty, nothing labeled </t>
  </si>
  <si>
    <t>B0J1 :: vérzett amikor a pipetta bement, de aztán ok</t>
  </si>
  <si>
    <t>2021-05-03(AtlasDichro): beautiful labeling, but neurons are not responsive. Fluorescence till -350 um.</t>
  </si>
  <si>
    <t>628-28-210304-11</t>
  </si>
  <si>
    <t>B0J2 :: vérzett amikor a pipetta bement, de aztán ok</t>
  </si>
  <si>
    <t>2021-04-30: very few cells, but most of them are active</t>
  </si>
  <si>
    <t>2021-08-18: not good any more, disintegrated cells</t>
  </si>
  <si>
    <t>2021-09-15: dura regrown, no visible cells</t>
  </si>
  <si>
    <t>628-28-210318-21</t>
  </si>
  <si>
    <t>B0J0 :: vérzett amikor a pipetta bement, de aztán ok</t>
  </si>
  <si>
    <t>2021-04-30: ok</t>
  </si>
  <si>
    <t>2021-09-15: few cell left in a very small spot @ +300,+2000</t>
  </si>
  <si>
    <t>628-28-200731-21</t>
  </si>
  <si>
    <t>B0J0::vérzett és folyt ki vírus</t>
  </si>
  <si>
    <t>2021-06-21: nothing</t>
  </si>
  <si>
    <t>681-13-200322-21</t>
  </si>
  <si>
    <t>B0J1::vérzett és folyt ki vírus</t>
  </si>
  <si>
    <t>2021-08-24: nothing, very few cells</t>
  </si>
  <si>
    <t>2021-05-04(dual): lots of cells, mainly saturated, no or minimal activity</t>
  </si>
  <si>
    <t>2021-10-19: eltűntek a sejtek</t>
  </si>
  <si>
    <t>2021-05-04(dual): lots of active cells, good expression</t>
  </si>
  <si>
    <t>628-28-190615-21</t>
  </si>
  <si>
    <t>2021-05-04(dual): active cells +, good expression</t>
  </si>
  <si>
    <t>2021-05-04(dual): best labeling out of the 5 animals, beautiful donut shaped, protruding neurons, however the surface is skewed</t>
  </si>
  <si>
    <t>B0J0::vérzet, kb. 1/3 feljött</t>
  </si>
  <si>
    <t>2021-06-09: not good</t>
  </si>
  <si>
    <t>B0J1::minden ok</t>
  </si>
  <si>
    <t>B1J0::sz@r, beleszaladt a fúró</t>
  </si>
  <si>
    <t xml:space="preserve">3+3+4  </t>
  </si>
  <si>
    <t>628-28-210314-11</t>
  </si>
  <si>
    <t>B1J1:: még sz@rabb, fúráskor és a pipettától is vézett</t>
  </si>
  <si>
    <t>3+3+4  enyhln bevézrzet</t>
  </si>
  <si>
    <t>1:2:7</t>
  </si>
  <si>
    <t>-800, -300</t>
  </si>
  <si>
    <t>kicsit megnyílt a ragasztott seb miután visszatettem a ketrecébe, újraragasztottam</t>
  </si>
  <si>
    <t>2021-06-11: not good, 2021-06-30: not good, few neurons showing red fluorescence, no green cellular forms</t>
  </si>
  <si>
    <t>628-28-201215-21</t>
  </si>
  <si>
    <t>2021-06-30: not good, few neurons showing red fluorescence, no green cellular forms</t>
  </si>
  <si>
    <t>628-28-210318-11</t>
  </si>
  <si>
    <t>628-28-210415-11</t>
  </si>
  <si>
    <t>B1J1 :: minden ok</t>
  </si>
  <si>
    <t>2021-06-25: no expression</t>
  </si>
  <si>
    <t>628-28-201023-21</t>
  </si>
  <si>
    <t>B1J0 :: minden ok</t>
  </si>
  <si>
    <t>2021-06-25: had red expression, but week green and no visible photostimulation</t>
  </si>
  <si>
    <t>B0J1 :: kevés ment bele</t>
  </si>
  <si>
    <t>B0J0 :: minden ok</t>
  </si>
  <si>
    <t>3+3+4   dura nincs</t>
  </si>
  <si>
    <t>1:2:1:6</t>
  </si>
  <si>
    <t>-1000, -600</t>
  </si>
  <si>
    <t>Kicsit megszaladt a fúró, vékony a koponya</t>
  </si>
  <si>
    <t>2021-06-30: no expression, blurry, inflammed surface</t>
  </si>
  <si>
    <t>999-01-210422-11</t>
  </si>
  <si>
    <t>elpusztult 2021.06.25</t>
  </si>
  <si>
    <t>2021-06-30: no expression</t>
  </si>
  <si>
    <t>B0J1 :: minden ok, nagyon minimális szivárgás</t>
  </si>
  <si>
    <t>2021-06-25: not good</t>
  </si>
  <si>
    <t>2021-07-02: no expression</t>
  </si>
  <si>
    <t>628-28-201022-21</t>
  </si>
  <si>
    <t>B0J0 :: fúrásnál vérzett, de aztán minden ok</t>
  </si>
  <si>
    <t>2021-07-02: has labeling can be photostimulated, but no visualstimulated</t>
  </si>
  <si>
    <t>B0J0 :: kicsit kifolyt</t>
  </si>
  <si>
    <t>2021-06-25: has labeling, but filled somas, can be photostimulated, but no visualstimulated</t>
  </si>
  <si>
    <t>B0J1 ::</t>
  </si>
  <si>
    <t>terminélva 2021.06.23 lába sérült</t>
  </si>
  <si>
    <t>B1J0 :: kicsit kifolyt</t>
  </si>
  <si>
    <t>dura nincs, feje gyulladt volt</t>
  </si>
  <si>
    <t>2021-07-02: no labeling</t>
  </si>
  <si>
    <t>2022-05-11: benőtt a kranió</t>
  </si>
  <si>
    <t>628-28-210201-11</t>
  </si>
  <si>
    <t>2022-05-11: bevérzett a kranió</t>
  </si>
  <si>
    <t>2021-07-09: strangly labelled full cells, can be activated</t>
  </si>
  <si>
    <t>2022-05-11: legszebb enodhél jelölés ever, de ezzel most sokra nem megyünk...</t>
  </si>
  <si>
    <t>628-28-210304-21</t>
  </si>
  <si>
    <t xml:space="preserve">3+3+4  a varrat fel volt szakadva és kicsit gyulladt volt a feje. </t>
  </si>
  <si>
    <t>2021-07-09: lots of cells, but could not be activated</t>
  </si>
  <si>
    <t>2022-05-11: kevés sejt volt, de volt spontán aktivitás a kettősen jelölt sejtekben!!</t>
  </si>
  <si>
    <t>628-28-210527-21</t>
  </si>
  <si>
    <t>2021-07-09: no labeled cells</t>
  </si>
  <si>
    <t>2022-05-16: csak töredékek</t>
  </si>
  <si>
    <t>628-28-210504-11</t>
  </si>
  <si>
    <t>-500+</t>
  </si>
  <si>
    <t xml:space="preserve">B1J1 :: pipetta leengedéskor vérzett, minimális szivárgás </t>
  </si>
  <si>
    <t>3+3+4  dura nincs</t>
  </si>
  <si>
    <t>2021-08-24: voltak sejtek, de a zöld jelölés sok sejtje telített lett, nem mutatott aktivitást</t>
  </si>
  <si>
    <t>2022.05.12 már nem jó</t>
  </si>
  <si>
    <t>B1J0 :: jött fel vírus</t>
  </si>
  <si>
    <t>2021-08-27: nincsennek sejtek, az epithelium erősen festett</t>
  </si>
  <si>
    <t>B0J1 :: ok</t>
  </si>
  <si>
    <t>2021-08-27: szép jelölés, sok sejt, de van néhány telített sejt is</t>
  </si>
  <si>
    <t>2022.05.25. - nagyon szép fánkos sejtek zöldben, de nincs benne piros jel</t>
  </si>
  <si>
    <t>628-28-210525-11</t>
  </si>
  <si>
    <t>3+3+4  bevérzett</t>
  </si>
  <si>
    <t>2021.08.30: szép! de szerintem vak</t>
  </si>
  <si>
    <t>ChrimsonR-mRuby + GCaMP</t>
  </si>
  <si>
    <t>B0J2 :: fúráskor vérzett, de utána ok</t>
  </si>
  <si>
    <t>2021.08.30. van szép terület, csak a szélén és mélyen</t>
  </si>
  <si>
    <t>2022.05.25. - canio szélénél van néhány halvány sejt, de úgy általában nem jó</t>
  </si>
  <si>
    <t>minden ok</t>
  </si>
  <si>
    <t>2021.08.30: nem igazan szep, kis reszen vannak sejtek azok is tobbnyire puffadtak</t>
  </si>
  <si>
    <t>egy csepp vér fúrás után, de utána minden szuper</t>
  </si>
  <si>
    <t>B0J0 :: egy csepp vér fúrás után, de utána minden szuper</t>
  </si>
  <si>
    <t xml:space="preserve">2021.08.30: cementes a perem; két kisebb, de fánkos sejtes terület, térfogatban is kis kiterjedésűek </t>
  </si>
  <si>
    <t>628-28-210122-11</t>
  </si>
  <si>
    <t>B0J1 :: minden ok</t>
  </si>
  <si>
    <t>3+3+4  dura nincs, feje gyulladt volt sérült a cortex</t>
  </si>
  <si>
    <t>2021.10.15: kevés sejt van már csak és nem stimulálható</t>
  </si>
  <si>
    <t>2021.08.04. vannak jó sejtek, de kevés, nem reagálnak</t>
  </si>
  <si>
    <t>628-28-210527-11</t>
  </si>
  <si>
    <t>2021.08.04 nem láttunk semmit</t>
  </si>
  <si>
    <t>B1J0  :: kicsit vérzett</t>
  </si>
  <si>
    <t>2021.08.25. szétszortan vannak sejtek, de szépen jelöltek</t>
  </si>
  <si>
    <t>GCaMP</t>
  </si>
  <si>
    <t>B0J0 :: jött fel vírus</t>
  </si>
  <si>
    <t>3+3+4  dura nincs, kicsit bevérzett</t>
  </si>
  <si>
    <t>2021.08.25. nem láttam semmit</t>
  </si>
  <si>
    <t>2021.08.12. Vannak sejtek</t>
  </si>
  <si>
    <t>B1J1 :: kicsit kifolyt</t>
  </si>
  <si>
    <t>3+3+4  dura nincs,</t>
  </si>
  <si>
    <t>2021.08.25. kis területen vannak sejtek</t>
  </si>
  <si>
    <t>AG22</t>
  </si>
  <si>
    <t>terminálva 2022.10.06</t>
  </si>
  <si>
    <t>-400, -300</t>
  </si>
  <si>
    <t>HC</t>
  </si>
  <si>
    <t>628-28-210622-11</t>
  </si>
  <si>
    <t>b0j0 a tű kihúzásakor kis mennyiségű véres folyadék is kijött</t>
  </si>
  <si>
    <t>HC 2x kellett ragasztani az üveget</t>
  </si>
  <si>
    <t>HC a hc sérült</t>
  </si>
  <si>
    <t>628-28-210622-21</t>
  </si>
  <si>
    <t>AG35</t>
  </si>
  <si>
    <t>2021.08.30: nincsenek sejtek</t>
  </si>
  <si>
    <t>2021.08.30: teljesen veres az egesz feje, sztem levalt a cranio</t>
  </si>
  <si>
    <t>B0J1 :: kicsit kifolyt</t>
  </si>
  <si>
    <t>3+3+4, vérzett fúráskor</t>
  </si>
  <si>
    <t>2021.08.30: semmi sincs benne, csak szmotyik</t>
  </si>
  <si>
    <t>2021.08.30: semmi nincs benne csak szmotyi</t>
  </si>
  <si>
    <t>B1J1 :: szivárgott</t>
  </si>
  <si>
    <t>2021.08.30: egy db sejtet találtam</t>
  </si>
  <si>
    <t>leszakadt befogasnal, lukacsos volt a kopony, el lett altatva</t>
  </si>
  <si>
    <t>B0J1:: minden ok</t>
  </si>
  <si>
    <t>leszakadt befogasnal, visszanott az ablak, el lett altatva</t>
  </si>
  <si>
    <t>B1J1 :: kicsit visszafolyt</t>
  </si>
  <si>
    <t>Vikinél betnaítás alatt</t>
  </si>
  <si>
    <t>628-28-210702-11</t>
  </si>
  <si>
    <t>B0J2 :: visszafolyt</t>
  </si>
  <si>
    <t>szép sejtek!!dupla er a jo resz felett!!</t>
  </si>
  <si>
    <t>B2J0 :: visszafolyt</t>
  </si>
  <si>
    <t>B0J0 :: vérzett fúráskor</t>
  </si>
  <si>
    <t>van par sejt, de kicsi helyen es kisse homalyos</t>
  </si>
  <si>
    <t>B0J0 :: minden ok (fülén a lyuk nem jelölés, hanem serülés)</t>
  </si>
  <si>
    <t>B0J0:: minden ok</t>
  </si>
  <si>
    <t>egy-ket kosza sejt...durat festettek meg?</t>
  </si>
  <si>
    <t>szep!!</t>
  </si>
  <si>
    <t>628-28-210617-21</t>
  </si>
  <si>
    <t>B1J1 :: fúráskor kis vérzés, utána teljesen ok</t>
  </si>
  <si>
    <t>2021.10.08 jelölt sejtek voltak, de csak kevés stimulálható</t>
  </si>
  <si>
    <t>2022.05.25. - néhány telített és néhány szép fánkos zöld sejt, piros jelölést nem láttam (@+200;-400)</t>
  </si>
  <si>
    <t>B0J1 :: szivárgott</t>
  </si>
  <si>
    <t>B0J0 :: vacak, egy nagy eret eltaláltam fúráskor - vérzés, szivárgás</t>
  </si>
  <si>
    <t>Megvan még?? Nem találtam</t>
  </si>
  <si>
    <t>628-28-210709-11</t>
  </si>
  <si>
    <t>2x lett ragasztva a befogó</t>
  </si>
  <si>
    <t>2021.10.08 gyenge jelölések, nem tudtuk stimulálni</t>
  </si>
  <si>
    <t>B0J1:: szivárgott</t>
  </si>
  <si>
    <t xml:space="preserve">bevérzett dura nincs </t>
  </si>
  <si>
    <t>B1J0:: minden ok</t>
  </si>
  <si>
    <t>628-28-210709-21</t>
  </si>
  <si>
    <t>B1J1:: szivárgott</t>
  </si>
  <si>
    <t>minden szuper</t>
  </si>
  <si>
    <t>2021.10.12 - kis terulet,de vannak sejtek, meres kozben beverzett ay uveglemez ala</t>
  </si>
  <si>
    <t>2022.05.25 - buborék van a cranio alatt</t>
  </si>
  <si>
    <t>B0J1 :: pipetta leersztésekor vérzés</t>
  </si>
  <si>
    <t>buborék az üveg alatt</t>
  </si>
  <si>
    <t>2021.10.29. - nem volt semmi</t>
  </si>
  <si>
    <t>B0J0 :: dura átszakadt</t>
  </si>
  <si>
    <t>bevérzett, dura nincs</t>
  </si>
  <si>
    <t>2021.10.29  voltak aktiválható sejtek egy kisebb régióban</t>
  </si>
  <si>
    <t>2022.03.01 már nem voltak használható sejtek</t>
  </si>
  <si>
    <t>bevérzett</t>
  </si>
  <si>
    <t>2021.10.29. - voltak aktiválható sejtek</t>
  </si>
  <si>
    <t>2022.05.25 - sok szép fánkos sejt (@0;1600)</t>
  </si>
  <si>
    <t>B0J1 :: volt szivárgás</t>
  </si>
  <si>
    <t>bevérzett dura nincs kortex sérült</t>
  </si>
  <si>
    <t>2021.10.29 voltak aktiválható sejtek</t>
  </si>
  <si>
    <t>2021.12.08 nem találtam jelölést</t>
  </si>
  <si>
    <t>B1J0 :: pipetta bedöféskor vérzett, aztán ok</t>
  </si>
  <si>
    <t>2022.04.19 - kicsit opálos a felszín, de sok jó sejt van</t>
  </si>
  <si>
    <t>2022.05.01 - még jó, volt mérés</t>
  </si>
  <si>
    <t>B0J2:: visszafolyt</t>
  </si>
  <si>
    <t>nincs meg?</t>
  </si>
  <si>
    <t>B2J0:: minden ok</t>
  </si>
  <si>
    <t>2021.11.26. egy-két sejt, de inkább semmi</t>
  </si>
  <si>
    <t>B1J0:: szivárgott</t>
  </si>
  <si>
    <t>2021.11.26. csak sejttöredékek vannak</t>
  </si>
  <si>
    <t>B0J0:: visszafolyt</t>
  </si>
  <si>
    <t>dura nincs, enyhén bevérzett, buborék</t>
  </si>
  <si>
    <t xml:space="preserve">2021.12.08 epithel festés, sejteket nem találtam </t>
  </si>
  <si>
    <t>628-28-210702-21</t>
  </si>
  <si>
    <t>B0J0:: szivárgott</t>
  </si>
  <si>
    <t>2021.12.08 viszonylag elszórtan, de van sok stimulálható sejt</t>
  </si>
  <si>
    <t xml:space="preserve">2022.05.25 - sparese jelölés, dendritikus sitm tesztre akár jó lehet </t>
  </si>
  <si>
    <t xml:space="preserve">2021.12.16 endothel jelölés, sejteket nem talátam </t>
  </si>
  <si>
    <t>2022.10.07</t>
  </si>
  <si>
    <t>B0J0 :: kicsi visszafolyt</t>
  </si>
  <si>
    <t>B0J1 :: kicsit vérzett fúráskor</t>
  </si>
  <si>
    <t>2021.12.16 szép sparse jelölés</t>
  </si>
  <si>
    <t>kicsit visszafolyt</t>
  </si>
  <si>
    <t>2021.11.19 még véres néhol, a tiszta területeken nem találtam sejtet</t>
  </si>
  <si>
    <t>2022.05.25 - semmi</t>
  </si>
  <si>
    <t>2021.11.26. nem voltak sejtek</t>
  </si>
  <si>
    <t>2022.05.25 - kis területen, de vannak kettősen jelölt sejtek (@+300;+1850)</t>
  </si>
  <si>
    <t>B0J1 :: kicsit visszafolyt</t>
  </si>
  <si>
    <t>2021.11.19 nem találtam sejteket</t>
  </si>
  <si>
    <t>2022.05.25 - szép, kettősen jelölt sejtek (@-450;+2400)</t>
  </si>
  <si>
    <t>220826 - szép duál jelölt sejtek</t>
  </si>
  <si>
    <t>AIE-16-210716-21</t>
  </si>
  <si>
    <t xml:space="preserve">B0J1:: szivárgott </t>
  </si>
  <si>
    <t>dura nincs erősen vérzett</t>
  </si>
  <si>
    <t>2021.12.17 nagyon kevés (2-3) jelölt sejet találtam, kis endothel festés</t>
  </si>
  <si>
    <t>2021.12.17 még véres, recheck!</t>
  </si>
  <si>
    <t>2022.05.25 - kis területen, de van dupla jelölés (@-450;+1700)</t>
  </si>
  <si>
    <t>220826 szép</t>
  </si>
  <si>
    <t>B1J1:: visszafolyt</t>
  </si>
  <si>
    <t>2021.12.17 csak pár holmályos sejt van</t>
  </si>
  <si>
    <t>2021.12.17 \_O_/ vannak jelölt sejtek</t>
  </si>
  <si>
    <t>2022.05.25 - szép, kettősen jelölt sejtek</t>
  </si>
  <si>
    <t>B0J1:: megcsuszott a fúró, de nem vérzett</t>
  </si>
  <si>
    <t>ChRmine-GCaMP6f single cons. - 3x</t>
  </si>
  <si>
    <t>2022-01-07: csak törmelékek, nagyon halvány sejtek, nem stimulálható</t>
  </si>
  <si>
    <t>2022.06.01. csak törmelékek vannak</t>
  </si>
  <si>
    <t>2022-01-07: vannak használható sejtek</t>
  </si>
  <si>
    <t>2022.06.08. vannak sejtek, van ami aktív is, van ami nyulványos is</t>
  </si>
  <si>
    <t>628-28-210804-11</t>
  </si>
  <si>
    <t>B1J1:: megcsuszott a fúró, de nem vérzett</t>
  </si>
  <si>
    <t>2022.01.20. vammak sejtek a felszinen</t>
  </si>
  <si>
    <t>2022.06.10. pár sejt, felszín közelében</t>
  </si>
  <si>
    <t>TG_GCaMP7_EF</t>
  </si>
  <si>
    <t>AAV258</t>
  </si>
  <si>
    <t>2022.01.05: csak kevés sejt látható</t>
  </si>
  <si>
    <t>2022.05.27 - semmi, se zöld se piros sejtek</t>
  </si>
  <si>
    <t>2022.01.20. nem voltak sejtek</t>
  </si>
  <si>
    <t>2022.06.10. erek! mellett 400x300 sejtcsop. + bal szélen is pár elszórt sejt</t>
  </si>
  <si>
    <t>2022.06.10. 0/-900 nál sejtek felszínhez közel</t>
  </si>
  <si>
    <t xml:space="preserve">B0J0 :: szivárgott </t>
  </si>
  <si>
    <t>2022.06.17. sejtek: -900/-1200 ; 0/-1300</t>
  </si>
  <si>
    <t>AIE-16-210924-21</t>
  </si>
  <si>
    <t>A9F-01-211016-11</t>
  </si>
  <si>
    <t>628-28-211126-21</t>
  </si>
  <si>
    <t>MOCULUS PAUSZPAPIROS TESZTHEZ, NE DOBD KI</t>
  </si>
  <si>
    <t>enyhén bevérzett</t>
  </si>
  <si>
    <t>2022-01-19: nagyon kevés, és alap állapotban halvány sejt van, de azok viszont szépen válaszolnak</t>
  </si>
  <si>
    <t>2022.05.27 - néhány zöld sejt, piros jelölést nem találtam</t>
  </si>
  <si>
    <t>TG_GCaMP6_DA</t>
  </si>
  <si>
    <t xml:space="preserve">B0J1:: </t>
  </si>
  <si>
    <t>enyhén bevérzett, dura nincs</t>
  </si>
  <si>
    <t>2022-01-19: van sok sejt, de telített, nem láttam aktivitást</t>
  </si>
  <si>
    <t>2022.05.27 - TG jelölés szép, piros sejtek nem voltak</t>
  </si>
  <si>
    <t xml:space="preserve">B1J0:: </t>
  </si>
  <si>
    <t xml:space="preserve">2022-01-19: van szép sejteket tartalmazó aktív terület, piros jelölés még nincs </t>
  </si>
  <si>
    <t>2022.05.27 - semmi, zöld jelölés is gyenge</t>
  </si>
  <si>
    <t>B1J1:: MOCULUS PAUSZPAPIROS TESZTHEZ, NE DOBD KI</t>
  </si>
  <si>
    <t>2022-01-19: véres</t>
  </si>
  <si>
    <t>2022.05.27 - nem jó</t>
  </si>
  <si>
    <t>628-28-211002-21</t>
  </si>
  <si>
    <t>bevérzett dura nincs</t>
  </si>
  <si>
    <t>AG37</t>
  </si>
  <si>
    <t>628-28-211102-21</t>
  </si>
  <si>
    <t>b0j1 (kicsit szivárgott)</t>
  </si>
  <si>
    <t>b1j1 (kicsit szivárgott)</t>
  </si>
  <si>
    <t>terminálva 2022.09.27</t>
  </si>
  <si>
    <t>628-28-210830-11</t>
  </si>
  <si>
    <t>628-28-210917-11</t>
  </si>
  <si>
    <t>2022.03.03. - vannak sejtek, de több a törmelék</t>
  </si>
  <si>
    <t>csak ChRmine-mRuby3 - 5x</t>
  </si>
  <si>
    <t>50x</t>
  </si>
  <si>
    <t>2022.03.03. - nincs benne semmi jelölés</t>
  </si>
  <si>
    <t>csak ChRmine-mRuby3 - 50x</t>
  </si>
  <si>
    <t>628-28-211011-11</t>
  </si>
  <si>
    <t>b0j0 (kicsit szivárgott)</t>
  </si>
  <si>
    <t>2022.03.03. - ér lett megfestve, 1-2 sejt az is inkább felszinhez közel</t>
  </si>
  <si>
    <t>AAV257</t>
  </si>
  <si>
    <t>2022-03-03 - felszinen vannk sejtek lejjebb semmi</t>
  </si>
  <si>
    <t>csak ChRmine-mRuby2 - 5x</t>
  </si>
  <si>
    <t>2022.03.10. - pár sejtek</t>
  </si>
  <si>
    <t>B0J2  (kicsit szivárgott)</t>
  </si>
  <si>
    <t>b0j1 MOCULUS PAUSZPAPIROS TESZTHEZ, NE DOBD KI</t>
  </si>
  <si>
    <t>2022-03-04: még véres a felszín, nem látszik jelölés</t>
  </si>
  <si>
    <t>2022.06.02. - nincs sejt, törmelékes</t>
  </si>
  <si>
    <t>b1j0 MOCULUS PAUSZPAPIROS TESZTHEZ, NE DOBD KI</t>
  </si>
  <si>
    <t>2022-03-04: nem látszott jelölt sejt</t>
  </si>
  <si>
    <t>2022.06.02. - törmelékes, ér lett megfestve</t>
  </si>
  <si>
    <t>B1J1 MOCULUS PAUSZPAPIROS TESZTHEZ, NE DOBD KI</t>
  </si>
  <si>
    <t>B0J0 MOCULUS PAUSZPAPIROS TESZTHEZ, NE DOBD KI</t>
  </si>
  <si>
    <t>2022.03.10. - törmelékes</t>
  </si>
  <si>
    <t>2022.06.02. - 1-2 sejt</t>
  </si>
  <si>
    <t>B1J0 :: visszafolyt</t>
  </si>
  <si>
    <t>2022.03.10   szép sejtek</t>
  </si>
  <si>
    <t>2022.06.22 - kis területen, de vannak sejtek, @-260;+1400</t>
  </si>
  <si>
    <t>2022.03.10   törmelék volt csak</t>
  </si>
  <si>
    <t>2022.06.02. - vannak sejtek</t>
  </si>
  <si>
    <t>2022.06.22 - csont benövés</t>
  </si>
  <si>
    <t>2022.03.10. - törmelék, semmi sejt</t>
  </si>
  <si>
    <t>2022.06.02. :(</t>
  </si>
  <si>
    <t>2022.03.17. - szép sejtek</t>
  </si>
  <si>
    <t>b0j0  (kicsit szivárgott)</t>
  </si>
  <si>
    <t>B0J1:: (kicsit szivárgott)</t>
  </si>
  <si>
    <t>2022.03.17  - 1-2 sejt</t>
  </si>
  <si>
    <t>2022.08.24: szép jelölés,  sejtek elszórtan</t>
  </si>
  <si>
    <t>2022.08.24: csont benövés, dendritek villognak, de nem nagyon voltak látható sejtek</t>
  </si>
  <si>
    <t>2022.03.31. - még nem szép az expresszió</t>
  </si>
  <si>
    <t>ChRmine-mRuby2 - in DA-TG; piros jelölés is, de kezd benöni</t>
  </si>
  <si>
    <t>220824. pirosban szemcsésen látszik</t>
  </si>
  <si>
    <t>220824-26 szép,villogó sejtek</t>
  </si>
  <si>
    <t>ChRmine-mRuby2 - in DA-TG , pirosban is szép</t>
  </si>
  <si>
    <t>b0j2</t>
  </si>
  <si>
    <t>2022.03.17  semmi</t>
  </si>
  <si>
    <t xml:space="preserve">2022.08.24:vannak pirosban is sejtek, zöld szép </t>
  </si>
  <si>
    <t>B0J0 :: fúráskor enyhén vérzett</t>
  </si>
  <si>
    <t>csak ChRmine-mRuby2 - 10x</t>
  </si>
  <si>
    <t>B0J1 :: visszafolyt</t>
  </si>
  <si>
    <t>20220825 befogó leesett</t>
  </si>
  <si>
    <t>csak ChRmine-mRuby3 - 1x</t>
  </si>
  <si>
    <t>2022.05.20. - képek alapján nem tudtam eldönteni élnek-e a sejtek; 20220824befogó lejött</t>
  </si>
  <si>
    <t>csak ChRmine-mRuby3 - 10x</t>
  </si>
  <si>
    <t>csak ChRmine-mRuby3 - 100x</t>
  </si>
  <si>
    <t>-900, -700, -500, -300</t>
  </si>
  <si>
    <t>2022-04-28: nem találtunk jelölést</t>
  </si>
  <si>
    <t>semmi</t>
  </si>
  <si>
    <t>szép jelölés</t>
  </si>
  <si>
    <t xml:space="preserve">szép jelölés, sejtek mélyen </t>
  </si>
  <si>
    <t>szép jelölés, kb. egy tucatnyi sejt</t>
  </si>
  <si>
    <t>220829. AAV166 szép@204/-1473</t>
  </si>
  <si>
    <t>AAV289</t>
  </si>
  <si>
    <t>HC+V1 mindkét félteke</t>
  </si>
  <si>
    <t>-1500, -1300, -500, -300</t>
  </si>
  <si>
    <t>200+200 nl</t>
  </si>
  <si>
    <t>a jobb félteke V1-éből kicsit visszafolyt a vírus</t>
  </si>
  <si>
    <t>AAV288</t>
  </si>
  <si>
    <t>csak a jobb V1-re műtve</t>
  </si>
  <si>
    <t>HC+V1</t>
  </si>
  <si>
    <t>-1500, -1300, (-500, -300 csak a jobb féltekén)</t>
  </si>
  <si>
    <t>csak a jobb féltekében a V1-be is jutott ~300 nl</t>
  </si>
  <si>
    <t>AAV303</t>
  </si>
  <si>
    <t>220804-kevés, de szép sejt,  kis csoportban, villogtak is</t>
  </si>
  <si>
    <t>Single combined construct</t>
  </si>
  <si>
    <t>nem találtuk</t>
  </si>
  <si>
    <t>220804-kevés , de szép sejt, ritkábban</t>
  </si>
  <si>
    <t>Akut műtét</t>
  </si>
  <si>
    <t>AAV298</t>
  </si>
  <si>
    <t>AAV191</t>
  </si>
  <si>
    <t>AAV313</t>
  </si>
  <si>
    <t>GCaMP8 220829 szemcsés</t>
  </si>
  <si>
    <t>GCaMP8</t>
  </si>
  <si>
    <t>GCaMP8 Kati megtalálta; szép sejtek elszórtan</t>
  </si>
  <si>
    <t>jobb oldal</t>
  </si>
  <si>
    <t>200+200/félteke</t>
  </si>
  <si>
    <t>boj1</t>
  </si>
  <si>
    <t>-500,-300 (J+B félteke)</t>
  </si>
  <si>
    <t>terminálva in vitrohoz</t>
  </si>
  <si>
    <t>100+100/félteke</t>
  </si>
  <si>
    <t>AAV222</t>
  </si>
  <si>
    <t>új AAV166 220831. szélén szép@202/-293, másütt még nem</t>
  </si>
  <si>
    <t>új AAV166 220831. sérült farkú, szép jelölés</t>
  </si>
  <si>
    <t>új AAV166 220831. szép</t>
  </si>
  <si>
    <t>új AAV166 220831. vannak sejtek</t>
  </si>
  <si>
    <t>20221014 nem találtunk jó sejteket</t>
  </si>
  <si>
    <t>-500,-300 BAL</t>
  </si>
  <si>
    <t>200-200 nl</t>
  </si>
  <si>
    <t>C57b6/NTac</t>
  </si>
  <si>
    <t>2022-08-23 gyenge jelölés, csontosodás</t>
  </si>
  <si>
    <t>sparse jelölés</t>
  </si>
  <si>
    <t>2022.10.19. csak GCaMP szép, nincs mRuby jelölés</t>
  </si>
  <si>
    <t xml:space="preserve">    </t>
  </si>
  <si>
    <t>RL+V1</t>
  </si>
  <si>
    <t>500+500</t>
  </si>
  <si>
    <t>AAV325</t>
  </si>
  <si>
    <t>Bal V1</t>
  </si>
  <si>
    <t>300-500</t>
  </si>
  <si>
    <t>100+100</t>
  </si>
  <si>
    <t>1:100</t>
  </si>
  <si>
    <t>1, X=2,5 y=3 2. X=1,5 y=2,5</t>
  </si>
  <si>
    <t>2022.10.20. szép jelölés</t>
  </si>
  <si>
    <t>2022.10.20. szép jelölés, de csak UG</t>
  </si>
  <si>
    <t>AG23</t>
  </si>
  <si>
    <t>AAV190</t>
  </si>
  <si>
    <t>AAV320</t>
  </si>
  <si>
    <t>-500; -300</t>
  </si>
  <si>
    <t>2022.10.20. szép jelölés, kevés prox dendrit is van</t>
  </si>
  <si>
    <t>2022.10.20. csontos</t>
  </si>
  <si>
    <t>AG36</t>
  </si>
  <si>
    <t>-800; -400</t>
  </si>
  <si>
    <t>2022.11.23. sejtek vannak,kicsit szemcsések és kicsit csontos a felszine</t>
  </si>
  <si>
    <t>2022.11.23. sejtek kis csoportban, betadine</t>
  </si>
  <si>
    <t>2022.11.23. agyfelszinig alig lehet lelátni, sejtek vannak, de homályos</t>
  </si>
  <si>
    <t>B0J0 visszafolyt</t>
  </si>
  <si>
    <t>2022.11.23. sejtek elszórtan, felszinen mikroglia?</t>
  </si>
  <si>
    <t>2023.01.13. jelölés ok, sejtek villognak</t>
  </si>
  <si>
    <t>lehet hogy rossz helyre injektáltam</t>
  </si>
  <si>
    <t>2023.01.13. semmi, benövés is van</t>
  </si>
  <si>
    <t>2023.01.13. semmi, kis benövés van</t>
  </si>
  <si>
    <t>AAV347 vírus</t>
  </si>
  <si>
    <t>TG Thy1/GCaMP6</t>
  </si>
  <si>
    <t>4x</t>
  </si>
  <si>
    <t>500-&gt;100</t>
  </si>
  <si>
    <t>???</t>
  </si>
  <si>
    <t>bead 6um, 2p-ben</t>
  </si>
  <si>
    <t>bead 6um, két különböző helyre, 200 és 100 nl</t>
  </si>
  <si>
    <t>AAV340</t>
  </si>
  <si>
    <t>in vitro</t>
  </si>
  <si>
    <t>JG - Juhász Gábor</t>
  </si>
  <si>
    <t>2023.02.28. jelölés ok, sejtek villognak</t>
  </si>
  <si>
    <t>2023.02.14. szép, sejtek villognak is, dendritek is</t>
  </si>
  <si>
    <t>AAV39</t>
  </si>
  <si>
    <t>bal v1</t>
  </si>
  <si>
    <t>2023.02.14. sok sejt, villognak, nyulvány kevés</t>
  </si>
  <si>
    <t>AAV160</t>
  </si>
  <si>
    <t xml:space="preserve">bead injektálva, </t>
  </si>
  <si>
    <t>-1200; -1000</t>
  </si>
  <si>
    <t>DFI</t>
  </si>
  <si>
    <t>-900; -700</t>
  </si>
  <si>
    <t>2023.02.28. jelölés ok, sejtek villognak, nyúlványok is vannak</t>
  </si>
  <si>
    <t>2023.02.28. jelölés nagyon mélyen, nyúlványok is</t>
  </si>
  <si>
    <t>2023.02.28. kicsit homályos cranio, jelölésa a szélen, nyúlványok is</t>
  </si>
  <si>
    <t>1x, 1000x</t>
  </si>
  <si>
    <t xml:space="preserve">JEDI </t>
  </si>
  <si>
    <t xml:space="preserve">AAV1-EF1a-DIO-JEDI-2P-WPRE
</t>
  </si>
  <si>
    <t>2023.03.28. sok sejt</t>
  </si>
  <si>
    <t>2023.03.28. sejtek csak széleken, bevérzés nyoma még látszik</t>
  </si>
  <si>
    <t>2023.03.28. szórványosan sejtek, dendrites is akad</t>
  </si>
  <si>
    <t>2023.03.28. sejtek nagyon mélyen, szépek</t>
  </si>
  <si>
    <t>2023.03.28. sok sejt, szépek</t>
  </si>
  <si>
    <t>-600; -300</t>
  </si>
  <si>
    <t>400nl</t>
  </si>
  <si>
    <t>5x és 1000x</t>
  </si>
  <si>
    <t>nincs jelolve</t>
  </si>
  <si>
    <t>jobb ful 1lyuk</t>
  </si>
  <si>
    <t>bal ful egy lyuk</t>
  </si>
  <si>
    <t>jobb ful 2 lyuk</t>
  </si>
  <si>
    <t>bal ful 2 lyuk</t>
  </si>
  <si>
    <t>PV-IRES-Cre</t>
  </si>
  <si>
    <t>bal V1</t>
  </si>
  <si>
    <t>Thy-1-Cre</t>
  </si>
  <si>
    <t>bal HC fölött</t>
  </si>
  <si>
    <t>10x,1000x</t>
  </si>
  <si>
    <t>200 nL</t>
  </si>
  <si>
    <t>1,5x,1000x</t>
  </si>
  <si>
    <t>JEDI+bead</t>
  </si>
  <si>
    <t>2023.06.07. szép jelölt sejtek</t>
  </si>
  <si>
    <t>2023.06.07. bevérzés sokat ront, bár vannak sejtek</t>
  </si>
  <si>
    <t>2023.06.08. szép jelölt sejtek</t>
  </si>
  <si>
    <t>bead injektálva</t>
  </si>
  <si>
    <t>2023.05.19. sejtek ok</t>
  </si>
  <si>
    <t>JEDI, bead injektálva</t>
  </si>
  <si>
    <t>Jedi, bead</t>
  </si>
  <si>
    <t>2023.06.05. szép sejtek</t>
  </si>
  <si>
    <t>Full protocol went through</t>
  </si>
  <si>
    <t>5x + 5x bead</t>
  </si>
  <si>
    <t>already in exp.</t>
  </si>
  <si>
    <t>culling</t>
  </si>
  <si>
    <t>2023.08.08. szép sejtek</t>
  </si>
  <si>
    <t>2023.07.11. szép sejtek</t>
  </si>
  <si>
    <t>5x + 10x bead</t>
  </si>
  <si>
    <t>2023.07.05. sejtek ok</t>
  </si>
  <si>
    <t>2023.07.11. sejtek ok</t>
  </si>
  <si>
    <t>AAV119</t>
  </si>
  <si>
    <t>1x, 1x, 1000x</t>
  </si>
  <si>
    <t>első virus jedi még mindig nincs a virus inentoryban száma</t>
  </si>
  <si>
    <t>AAv197</t>
  </si>
  <si>
    <t>1x, 1x, 10000x</t>
  </si>
  <si>
    <t>AAV366</t>
  </si>
  <si>
    <t>első virus 366</t>
  </si>
  <si>
    <t>sejtek nem szépek, lehetséges bevérzés</t>
  </si>
  <si>
    <t>tiszta kranio, szép jelölés</t>
  </si>
  <si>
    <t>2023-10-26 szép jelölés</t>
  </si>
  <si>
    <t>Good cells visible</t>
  </si>
  <si>
    <t>Cells not so good, blurry</t>
  </si>
  <si>
    <t>Cells look good, mouse can be trained now</t>
  </si>
  <si>
    <t>Too much blood</t>
  </si>
  <si>
    <t>BAL HC fölött</t>
  </si>
  <si>
    <t>asap5</t>
  </si>
  <si>
    <t>1x, 50000x</t>
  </si>
  <si>
    <t>V1, jobb</t>
  </si>
  <si>
    <t>1x, 100000x</t>
  </si>
  <si>
    <t>HC, jobb</t>
  </si>
  <si>
    <t>-1200,-1500</t>
  </si>
  <si>
    <t>Th1/Cre</t>
  </si>
  <si>
    <t>V1 jobb</t>
  </si>
  <si>
    <t>-300, -500</t>
  </si>
  <si>
    <t>JEDI; Lányi Réka; bl6</t>
  </si>
  <si>
    <t>1x , 1000x</t>
  </si>
  <si>
    <t>Cells look ok-ish, could be better</t>
  </si>
  <si>
    <t xml:space="preserve">start training </t>
  </si>
  <si>
    <t>JG</t>
  </si>
  <si>
    <t>20231107- labeling is ok</t>
  </si>
  <si>
    <t>not for test / back up</t>
  </si>
  <si>
    <t>feje gyulladt volt</t>
  </si>
  <si>
    <t>no vision, just photostim test</t>
  </si>
  <si>
    <t>Flórának tesztre</t>
  </si>
  <si>
    <t>20231107- labeling is ok, but failed at vision test</t>
  </si>
  <si>
    <t>Cells not good</t>
  </si>
  <si>
    <t>Dendritek nincsenek, törmelékes</t>
  </si>
  <si>
    <t>JEDI, Huba</t>
  </si>
  <si>
    <t>Backstim over</t>
  </si>
  <si>
    <t>Cells look good</t>
  </si>
  <si>
    <t>No good behavior, no more training.</t>
  </si>
  <si>
    <t>not for test</t>
  </si>
  <si>
    <t>2024-01-12 Green cells look good, red labeling agregated</t>
  </si>
  <si>
    <t>2024-01-12 Cells look nice</t>
  </si>
  <si>
    <t>-350, -500</t>
  </si>
  <si>
    <t>J1, AAV347</t>
  </si>
  <si>
    <t>J2, AAV347</t>
  </si>
  <si>
    <t>J3, AAV347</t>
  </si>
  <si>
    <t>AG47</t>
  </si>
  <si>
    <t>J4</t>
  </si>
  <si>
    <t>Eléggé becsontosodott, nem taáltunk sejteket</t>
  </si>
  <si>
    <t>J5</t>
  </si>
  <si>
    <t>J6</t>
  </si>
  <si>
    <t>Teljesen becsontosodott</t>
  </si>
  <si>
    <t>J7</t>
  </si>
  <si>
    <t>J8</t>
  </si>
  <si>
    <t>2024-01-12 Cells look nice, but start agregating, keep an eye on the labeling</t>
  </si>
  <si>
    <t>2024-01-12 Cells look good, but weeker labeling</t>
  </si>
  <si>
    <t>passed post surgery vision check</t>
  </si>
  <si>
    <t>no good cells found</t>
  </si>
  <si>
    <t>good cells found</t>
  </si>
  <si>
    <t xml:space="preserve">have not passed training </t>
  </si>
  <si>
    <t>no good cells found, too much blood on cranio</t>
  </si>
  <si>
    <t>Cells look excellent</t>
  </si>
  <si>
    <t>have training in the ATLAS</t>
  </si>
  <si>
    <t>cells not found but fluorescent cloudy like zones found</t>
  </si>
  <si>
    <t>Cells look very good, good activity</t>
  </si>
  <si>
    <t>10000X</t>
  </si>
  <si>
    <t>+GLUT.SENSOR 5,2X</t>
  </si>
  <si>
    <t>egy picit visszafolyt a vírus</t>
  </si>
  <si>
    <t>done</t>
  </si>
  <si>
    <t>AAV347 ÁronJedi</t>
  </si>
  <si>
    <t>nagyon bevérzett a felszín, lehet, hogy sérült is az agy?</t>
  </si>
  <si>
    <t>benőtt a cranio</t>
  </si>
  <si>
    <t>ÁronJedi+jrgecko</t>
  </si>
  <si>
    <t>MZS</t>
  </si>
  <si>
    <t>Jász Anna! JEDI</t>
  </si>
  <si>
    <t>Jász Anna!</t>
  </si>
  <si>
    <t>AAV117</t>
  </si>
  <si>
    <t>3 helyre</t>
  </si>
  <si>
    <t>AG44</t>
  </si>
  <si>
    <t>Vision check passed post surgery</t>
  </si>
  <si>
    <t>Head plate is a bit tilted</t>
  </si>
  <si>
    <t>Cells visible, a bit hazy</t>
  </si>
  <si>
    <t>First moculus batch with the old build</t>
  </si>
  <si>
    <t>B0J1, Varada performed the injection</t>
  </si>
  <si>
    <t>Cells visible</t>
  </si>
  <si>
    <t>B0J0, Varada performed the injection</t>
  </si>
  <si>
    <t>Jász Anna! 1272-75</t>
  </si>
  <si>
    <t>B1J0, Varada performed the injection</t>
  </si>
  <si>
    <t>AAV214</t>
  </si>
  <si>
    <t>1x,1x,1000x</t>
  </si>
  <si>
    <t>1x,10000x</t>
  </si>
  <si>
    <t>HC, both sides</t>
  </si>
  <si>
    <t>-1300,-1500</t>
  </si>
  <si>
    <t>approx 10^11 each virus conc</t>
  </si>
  <si>
    <t>Virus cocktail with AAV428</t>
  </si>
  <si>
    <t>For nuclear labeling</t>
  </si>
  <si>
    <t>Virus cocktail with AAV427</t>
  </si>
  <si>
    <t>Gcamp8fcre</t>
  </si>
  <si>
    <t>AAV391 kellett volna</t>
  </si>
  <si>
    <t>1x,1x,2000x</t>
  </si>
  <si>
    <t>GCaMP7b 5xhígított</t>
  </si>
  <si>
    <t>GCaMP7b 5xhíg</t>
  </si>
  <si>
    <t>SOM</t>
  </si>
  <si>
    <t>GCaMP7b  5xhíg</t>
  </si>
  <si>
    <t>AAV391</t>
  </si>
  <si>
    <t>HC mind 2oldali</t>
  </si>
  <si>
    <t>AAV179</t>
  </si>
  <si>
    <t>30x,1.5x</t>
  </si>
  <si>
    <t>5ul of 10x 449 was mixed with 10ul of conc 428</t>
  </si>
  <si>
    <t>Excellent cell and nuclear labelling as observed through 16x and 20x objectives in dobos dual</t>
  </si>
  <si>
    <t>40x,1.3x</t>
  </si>
  <si>
    <t>3ul of 10x 449 was mixed with 9ul of conc 428</t>
  </si>
  <si>
    <t>AAV427</t>
  </si>
  <si>
    <t>26x,1.6x</t>
  </si>
  <si>
    <t>5ul of 10x 449 was mixed with 8ul of conc 427</t>
  </si>
  <si>
    <t>Under training in moclulus</t>
  </si>
  <si>
    <t>Found dead with one eye missing</t>
  </si>
  <si>
    <t>Not learning, training steoped</t>
  </si>
  <si>
    <t>Got killed by cagemate i.e.1349</t>
  </si>
  <si>
    <t>OFC</t>
  </si>
  <si>
    <t>B. Helén</t>
  </si>
  <si>
    <t>gcamp 6 tg</t>
  </si>
  <si>
    <t>X699</t>
  </si>
  <si>
    <t>X700</t>
  </si>
  <si>
    <t>X701</t>
  </si>
  <si>
    <t>X702</t>
  </si>
  <si>
    <t>X703</t>
  </si>
  <si>
    <t>X705</t>
  </si>
  <si>
    <t>X706</t>
  </si>
  <si>
    <t>AAV453</t>
  </si>
  <si>
    <t>AAV98</t>
  </si>
  <si>
    <t>X707</t>
  </si>
  <si>
    <t>right side</t>
  </si>
  <si>
    <t>2*(200+200)</t>
  </si>
  <si>
    <t>for in vitro, both hemisphere</t>
  </si>
  <si>
    <t>PFC</t>
  </si>
  <si>
    <t>-1200,-1100</t>
  </si>
  <si>
    <t>-1200,-1101</t>
  </si>
  <si>
    <t>200+201</t>
  </si>
  <si>
    <t>AAV151</t>
  </si>
  <si>
    <t>No cells found</t>
  </si>
  <si>
    <t>5xhíg</t>
  </si>
  <si>
    <t>1:10000, 1:5</t>
  </si>
  <si>
    <t>1:5</t>
  </si>
  <si>
    <t>AG50</t>
  </si>
  <si>
    <t>Dom.</t>
  </si>
  <si>
    <t>X710</t>
  </si>
  <si>
    <t>X708</t>
  </si>
  <si>
    <t>Ripped its head plate</t>
  </si>
  <si>
    <t>Cells found, but not too good, across depth not visible very well</t>
  </si>
  <si>
    <t>Not running in moculus for a week, training discontinued.</t>
  </si>
  <si>
    <t>X709</t>
  </si>
  <si>
    <t>X713</t>
  </si>
  <si>
    <t>X714</t>
  </si>
  <si>
    <t>400+400</t>
  </si>
  <si>
    <t>ASAP6 (gyári</t>
  </si>
  <si>
    <t>1:1:10000</t>
  </si>
  <si>
    <t>-300;-500</t>
  </si>
  <si>
    <t>ASAP5</t>
  </si>
  <si>
    <t>ASAP6</t>
  </si>
  <si>
    <t>AAV454</t>
  </si>
  <si>
    <t>AAV455</t>
  </si>
  <si>
    <t>AAV456</t>
  </si>
  <si>
    <t>300+300</t>
  </si>
  <si>
    <t>ASAP6 (gyári)</t>
  </si>
  <si>
    <t>ASAP5 (gyári)</t>
  </si>
  <si>
    <t>ASAP4b (gyári)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</si>
</sst>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61" x14ac:knownFonts="1">
    <font>
      <sz val="11"/>
      <color theme="1"/>
      <name val="Calibri"/>
      <family val="2"/>
      <scheme val="minor"/>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b/>
      <sz val="11"/>
      <color theme="1"/>
      <name val="Calibri"/>
      <family val="2"/>
      <scheme val="minor"/>
    </font>
    <font>
      <b/>
      <sz val="11"/>
      <color rgb="FF000000"/>
      <name val="Calibri"/>
      <family val="2"/>
      <scheme val="minor"/>
    </font>
    <font>
      <sz val="11"/>
      <color rgb="FF000000"/>
      <name val="Calibri"/>
      <family val="2"/>
      <scheme val="minor"/>
    </font>
    <font>
      <sz val="11"/>
      <color rgb="FF9C5700"/>
      <name val="Calibri"/>
      <family val="2"/>
      <charset val="238"/>
      <scheme val="minor"/>
    </font>
    <font>
      <b/>
      <sz val="12"/>
      <color rgb="FF000000"/>
      <name val="Calibri"/>
      <family val="2"/>
      <scheme val="minor"/>
    </font>
    <font>
      <sz val="11"/>
      <color rgb="FF000000"/>
      <name val="Calibri"/>
      <family val="2"/>
      <charset val="238"/>
      <scheme val="minor"/>
    </font>
    <font>
      <sz val="11"/>
      <color rgb="FFFFFFFF"/>
      <name val="Calibri"/>
      <family val="2"/>
      <scheme val="minor"/>
    </font>
    <font>
      <sz val="11"/>
      <color rgb="FF006100"/>
      <name val="Calibri"/>
      <family val="2"/>
      <charset val="238"/>
      <scheme val="minor"/>
    </font>
    <font>
      <sz val="11"/>
      <color rgb="FFFF0000"/>
      <name val="Calibri"/>
      <family val="2"/>
      <charset val="238"/>
      <scheme val="minor"/>
    </font>
    <font>
      <b/>
      <sz val="11"/>
      <color theme="1"/>
      <name val="Calibri"/>
      <family val="2"/>
      <charset val="238"/>
      <scheme val="minor"/>
    </font>
    <font>
      <b/>
      <sz val="12"/>
      <color rgb="FF000000"/>
      <name val="Calibri"/>
      <family val="2"/>
      <charset val="238"/>
      <scheme val="minor"/>
    </font>
    <font>
      <b/>
      <sz val="11"/>
      <color rgb="FF000000"/>
      <name val="Calibri"/>
      <family val="2"/>
      <charset val="238"/>
      <scheme val="minor"/>
    </font>
    <font>
      <strike/>
      <sz val="11"/>
      <color theme="1"/>
      <name val="Calibri"/>
      <family val="2"/>
      <charset val="238"/>
      <scheme val="minor"/>
    </font>
    <font>
      <sz val="11"/>
      <color rgb="FF00B0F0"/>
      <name val="Calibri"/>
      <family val="2"/>
      <charset val="238"/>
      <scheme val="minor"/>
    </font>
    <font>
      <sz val="11"/>
      <color rgb="FF444444"/>
      <name val="Calibri"/>
      <family val="2"/>
      <charset val="238"/>
      <scheme val="minor"/>
    </font>
    <font>
      <i/>
      <sz val="11"/>
      <color theme="1"/>
      <name val="Calibri"/>
      <family val="2"/>
      <charset val="238"/>
      <scheme val="minor"/>
    </font>
    <font>
      <sz val="11"/>
      <color rgb="FFFFFFFF"/>
      <name val="Calibri"/>
      <family val="2"/>
      <charset val="238"/>
      <scheme val="minor"/>
    </font>
    <font>
      <sz val="11"/>
      <color rgb="FF201F1E"/>
      <name val="Calibri"/>
      <family val="2"/>
      <charset val="238"/>
      <scheme val="minor"/>
    </font>
    <font>
      <sz val="11"/>
      <color rgb="FFC00000"/>
      <name val="Calibri"/>
      <family val="2"/>
      <charset val="238"/>
      <scheme val="minor"/>
    </font>
    <font>
      <i/>
      <sz val="11"/>
      <color rgb="FF000000"/>
      <name val="Calibri"/>
      <family val="2"/>
      <charset val="238"/>
      <scheme val="minor"/>
    </font>
    <font>
      <b/>
      <i/>
      <sz val="11"/>
      <color theme="4"/>
      <name val="Calibri"/>
      <family val="2"/>
      <scheme val="minor"/>
    </font>
    <font>
      <sz val="11"/>
      <color rgb="FF444444"/>
      <name val="Calibri"/>
      <family val="2"/>
      <charset val="1"/>
    </font>
    <font>
      <sz val="11"/>
      <color rgb="FF444444"/>
      <name val="Calibri"/>
      <family val="2"/>
      <charset val="238"/>
    </font>
    <font>
      <sz val="8"/>
      <name val="Calibri"/>
      <family val="2"/>
      <scheme val="minor"/>
    </font>
    <font>
      <b/>
      <sz val="11"/>
      <color theme="0" tint="-4.9989318521683403E-2"/>
      <name val="Calibri"/>
      <family val="2"/>
      <scheme val="minor"/>
    </font>
    <font>
      <b/>
      <sz val="14"/>
      <color theme="0" tint="-4.9989318521683403E-2"/>
      <name val="Calibri"/>
      <family val="2"/>
      <charset val="238"/>
      <scheme val="minor"/>
    </font>
    <font>
      <b/>
      <sz val="14"/>
      <color theme="0" tint="-4.9989318521683403E-2"/>
      <name val="Calibri"/>
      <family val="2"/>
      <scheme val="minor"/>
    </font>
    <font>
      <b/>
      <sz val="14"/>
      <color rgb="FFC00000"/>
      <name val="Calibri"/>
      <family val="2"/>
      <charset val="238"/>
      <scheme val="minor"/>
    </font>
    <font>
      <b/>
      <sz val="12"/>
      <color rgb="FF000000"/>
      <name val="Calibri"/>
      <family val="2"/>
      <charset val="238"/>
    </font>
    <font>
      <sz val="12"/>
      <color rgb="FF000000"/>
      <name val="Calibri"/>
      <family val="2"/>
      <charset val="238"/>
    </font>
    <font>
      <sz val="12"/>
      <color theme="1"/>
      <name val="Calibri"/>
      <family val="2"/>
      <scheme val="minor"/>
    </font>
    <font>
      <b/>
      <u/>
      <sz val="11"/>
      <color theme="1"/>
      <name val="Calibri"/>
      <family val="2"/>
      <scheme val="minor"/>
    </font>
    <font>
      <b/>
      <u/>
      <sz val="11"/>
      <color theme="1"/>
      <name val="Calibri"/>
      <family val="2"/>
      <charset val="238"/>
      <scheme val="minor"/>
    </font>
    <font>
      <b/>
      <i/>
      <sz val="16"/>
      <color theme="1"/>
      <name val="Calibri"/>
      <family val="2"/>
      <scheme val="minor"/>
    </font>
    <font>
      <b/>
      <sz val="12"/>
      <color theme="1"/>
      <name val="Calibri"/>
      <family val="2"/>
      <charset val="238"/>
      <scheme val="minor"/>
    </font>
    <font>
      <b/>
      <i/>
      <sz val="12"/>
      <color theme="4"/>
      <name val="Calibri"/>
      <family val="2"/>
      <scheme val="minor"/>
    </font>
    <font>
      <sz val="11"/>
      <color theme="1"/>
      <name val="Calibri"/>
      <family val="2"/>
      <charset val="238"/>
    </font>
    <font>
      <b/>
      <u/>
      <sz val="12"/>
      <color rgb="FFC00000"/>
      <name val="Calibri"/>
      <family val="2"/>
      <scheme val="minor"/>
    </font>
    <font>
      <sz val="11"/>
      <color rgb="FF9C0006"/>
      <name val="Calibri"/>
      <family val="2"/>
      <charset val="238"/>
      <scheme val="minor"/>
    </font>
    <font>
      <sz val="11"/>
      <color rgb="FF000000"/>
      <name val="Calibri"/>
      <family val="2"/>
      <charset val="238"/>
    </font>
    <font>
      <sz val="11"/>
      <name val="Calibri"/>
      <family val="2"/>
      <charset val="238"/>
    </font>
    <font>
      <sz val="11"/>
      <color theme="0"/>
      <name val="Calibri"/>
      <family val="2"/>
      <scheme val="minor"/>
    </font>
    <font>
      <u/>
      <sz val="11"/>
      <color theme="10"/>
      <name val="Calibri"/>
      <family val="2"/>
      <scheme val="minor"/>
    </font>
    <font>
      <b/>
      <i/>
      <sz val="11"/>
      <color theme="0"/>
      <name val="Calibri"/>
      <family val="2"/>
      <scheme val="minor"/>
    </font>
    <font>
      <i/>
      <sz val="11"/>
      <color theme="0"/>
      <name val="Calibri"/>
      <family val="2"/>
      <scheme val="minor"/>
    </font>
    <font>
      <b/>
      <i/>
      <sz val="11"/>
      <color theme="5" tint="0.79998168889431442"/>
      <name val="Calibri"/>
      <family val="2"/>
      <scheme val="minor"/>
    </font>
    <font>
      <b/>
      <sz val="11.5"/>
      <color theme="0"/>
      <name val="Calibri"/>
      <family val="2"/>
      <scheme val="minor"/>
    </font>
    <font>
      <sz val="11.5"/>
      <color theme="0"/>
      <name val="Calibri"/>
      <family val="2"/>
      <scheme val="minor"/>
    </font>
    <font>
      <sz val="11.5"/>
      <color theme="1"/>
      <name val="Calibri"/>
      <family val="2"/>
      <scheme val="minor"/>
    </font>
    <font>
      <sz val="10"/>
      <color theme="1"/>
      <name val="Calibri"/>
      <family val="2"/>
      <scheme val="minor"/>
    </font>
    <font>
      <b/>
      <sz val="10"/>
      <color theme="1"/>
      <name val="Calibri"/>
      <family val="2"/>
      <scheme val="minor"/>
    </font>
    <font>
      <b/>
      <u/>
      <sz val="11"/>
      <color theme="10"/>
      <name val="Calibri"/>
      <family val="2"/>
      <charset val="238"/>
      <scheme val="minor"/>
    </font>
    <font>
      <sz val="11"/>
      <color theme="0"/>
      <name val="Calibri"/>
      <scheme val="minor"/>
    </font>
    <font>
      <sz val="10"/>
      <color rgb="FFFF0000"/>
      <name val="Calibri"/>
      <family val="2"/>
      <scheme val="minor"/>
    </font>
    <font>
      <sz val="10"/>
      <color theme="0"/>
      <name val="Calibri"/>
      <scheme val="minor"/>
    </font>
    <font>
      <i/>
      <sz val="12"/>
      <color theme="4"/>
      <name val="Calibri"/>
      <family val="2"/>
      <charset val="238"/>
      <scheme val="minor"/>
    </font>
    <font>
      <sz val="11"/>
      <color rgb="FF000000"/>
      <name val="Calibri"/>
      <charset val="1"/>
    </font>
  </fonts>
  <fills count="42">
    <fill>
      <patternFill patternType="none"/>
    </fill>
    <fill>
      <patternFill patternType="gray125"/>
    </fill>
    <fill>
      <patternFill patternType="solid">
        <fgColor rgb="FFFFFF00"/>
        <bgColor indexed="64"/>
      </patternFill>
    </fill>
    <fill>
      <patternFill patternType="solid">
        <fgColor rgb="FFFFEB9C"/>
      </patternFill>
    </fill>
    <fill>
      <patternFill patternType="solid">
        <fgColor rgb="FFA9D08E"/>
        <bgColor indexed="64"/>
      </patternFill>
    </fill>
    <fill>
      <patternFill patternType="solid">
        <fgColor rgb="FF8EA9DB"/>
        <bgColor indexed="64"/>
      </patternFill>
    </fill>
    <fill>
      <patternFill patternType="solid">
        <fgColor rgb="FFF4B084"/>
        <bgColor indexed="64"/>
      </patternFill>
    </fill>
    <fill>
      <patternFill patternType="solid">
        <fgColor rgb="FFFFD966"/>
        <bgColor indexed="64"/>
      </patternFill>
    </fill>
    <fill>
      <patternFill patternType="solid">
        <fgColor rgb="FFFF0000"/>
        <bgColor indexed="64"/>
      </patternFill>
    </fill>
    <fill>
      <patternFill patternType="solid">
        <fgColor rgb="FF9BC2E6"/>
        <bgColor indexed="64"/>
      </patternFill>
    </fill>
    <fill>
      <patternFill patternType="solid">
        <fgColor rgb="FFFFFFFF"/>
        <bgColor indexed="64"/>
      </patternFill>
    </fill>
    <fill>
      <patternFill patternType="solid">
        <fgColor rgb="FFFFC000"/>
        <bgColor indexed="64"/>
      </patternFill>
    </fill>
    <fill>
      <patternFill patternType="solid">
        <fgColor rgb="FFC6EFCE"/>
      </patternFill>
    </fill>
    <fill>
      <patternFill patternType="solid">
        <fgColor rgb="FFF8CBAD"/>
        <bgColor indexed="64"/>
      </patternFill>
    </fill>
    <fill>
      <patternFill patternType="solid">
        <fgColor theme="0" tint="-0.14999847407452621"/>
        <bgColor indexed="64"/>
      </patternFill>
    </fill>
    <fill>
      <patternFill patternType="solid">
        <fgColor theme="6" tint="-0.249977111117893"/>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1" tint="0.249977111117893"/>
        <bgColor indexed="64"/>
      </patternFill>
    </fill>
    <fill>
      <patternFill patternType="solid">
        <fgColor theme="7" tint="0.59999389629810485"/>
        <bgColor indexed="64"/>
      </patternFill>
    </fill>
    <fill>
      <patternFill patternType="solid">
        <fgColor theme="8" tint="0.39997558519241921"/>
        <bgColor indexed="64"/>
      </patternFill>
    </fill>
    <fill>
      <patternFill patternType="solid">
        <fgColor theme="0" tint="-4.9989318521683403E-2"/>
        <bgColor indexed="64"/>
      </patternFill>
    </fill>
    <fill>
      <patternFill patternType="solid">
        <fgColor theme="5" tint="0.39997558519241921"/>
        <bgColor indexed="64"/>
      </patternFill>
    </fill>
    <fill>
      <patternFill patternType="solid">
        <fgColor theme="4" tint="0.39997558519241921"/>
        <bgColor indexed="64"/>
      </patternFill>
    </fill>
    <fill>
      <patternFill patternType="solid">
        <fgColor theme="9" tint="0.39997558519241921"/>
        <bgColor indexed="64"/>
      </patternFill>
    </fill>
    <fill>
      <patternFill patternType="solid">
        <fgColor theme="5" tint="-0.249977111117893"/>
        <bgColor indexed="64"/>
      </patternFill>
    </fill>
    <fill>
      <patternFill patternType="solid">
        <fgColor theme="0"/>
        <bgColor indexed="64"/>
      </patternFill>
    </fill>
    <fill>
      <patternFill patternType="solid">
        <fgColor rgb="FFFFC7CE"/>
      </patternFill>
    </fill>
    <fill>
      <patternFill patternType="solid">
        <fgColor theme="8" tint="0.79998168889431442"/>
        <bgColor indexed="64"/>
      </patternFill>
    </fill>
    <fill>
      <patternFill patternType="solid">
        <fgColor theme="8" tint="0.59999389629810485"/>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theme="1" tint="0.499984740745262"/>
        <bgColor indexed="64"/>
      </patternFill>
    </fill>
    <fill>
      <patternFill patternType="solid">
        <fgColor theme="2" tint="-9.9978637043366805E-2"/>
        <bgColor indexed="64"/>
      </patternFill>
    </fill>
    <fill>
      <patternFill patternType="solid">
        <fgColor theme="9" tint="0.79998168889431442"/>
        <bgColor indexed="64"/>
      </patternFill>
    </fill>
    <fill>
      <patternFill patternType="solid">
        <fgColor theme="6"/>
      </patternFill>
    </fill>
    <fill>
      <patternFill patternType="solid">
        <fgColor theme="9"/>
      </patternFill>
    </fill>
    <fill>
      <patternFill patternType="solid">
        <fgColor rgb="FFD46E55"/>
        <bgColor indexed="64"/>
      </patternFill>
    </fill>
    <fill>
      <patternFill patternType="solid">
        <fgColor rgb="FFF0CEE8"/>
        <bgColor indexed="64"/>
      </patternFill>
    </fill>
    <fill>
      <patternFill patternType="solid">
        <fgColor theme="9" tint="0.59999389629810485"/>
        <bgColor indexed="64"/>
      </patternFill>
    </fill>
    <fill>
      <patternFill patternType="solid">
        <fgColor rgb="FF92D050"/>
        <bgColor indexed="64"/>
      </patternFill>
    </fill>
    <fill>
      <patternFill patternType="solid">
        <fgColor theme="9"/>
        <bgColor indexed="64"/>
      </patternFill>
    </fill>
  </fills>
  <borders count="17">
    <border>
      <left/>
      <right/>
      <top/>
      <bottom/>
      <diagonal/>
    </border>
    <border>
      <left/>
      <right/>
      <top style="thin">
        <color theme="4" tint="0.39997558519241921"/>
      </top>
      <bottom/>
      <diagonal/>
    </border>
    <border>
      <left style="medium">
        <color rgb="FF000000"/>
      </left>
      <right style="dashed">
        <color theme="0" tint="-0.34998626667073579"/>
      </right>
      <top style="medium">
        <color rgb="FF000000"/>
      </top>
      <bottom style="medium">
        <color rgb="FF000000"/>
      </bottom>
      <diagonal/>
    </border>
    <border>
      <left/>
      <right style="dashed">
        <color theme="0" tint="-0.34998626667073579"/>
      </right>
      <top/>
      <bottom/>
      <diagonal/>
    </border>
    <border>
      <left/>
      <right style="dashed">
        <color theme="0" tint="-0.34998626667073579"/>
      </right>
      <top style="thin">
        <color rgb="FFD9D9D9"/>
      </top>
      <bottom/>
      <diagonal/>
    </border>
    <border>
      <left/>
      <right style="dashed">
        <color theme="0" tint="-0.34998626667073579"/>
      </right>
      <top/>
      <bottom style="thin">
        <color rgb="FFD9D9D9"/>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dashed">
        <color theme="0" tint="-0.34998626667073579"/>
      </left>
      <right style="dotted">
        <color theme="0" tint="-0.499984740745262"/>
      </right>
      <top/>
      <bottom/>
      <diagonal/>
    </border>
    <border>
      <left style="dashed">
        <color theme="0" tint="-0.34998626667073579"/>
      </left>
      <right style="dotted">
        <color theme="0" tint="-0.499984740745262"/>
      </right>
      <top style="thin">
        <color theme="0"/>
      </top>
      <bottom/>
      <diagonal/>
    </border>
    <border>
      <left style="double">
        <color theme="1" tint="0.34998626667073579"/>
      </left>
      <right style="dashed">
        <color theme="0" tint="-0.34998626667073579"/>
      </right>
      <top style="thin">
        <color theme="0"/>
      </top>
      <bottom/>
      <diagonal/>
    </border>
    <border>
      <left style="double">
        <color theme="1" tint="0.34998626667073579"/>
      </left>
      <right style="dashed">
        <color theme="0" tint="-0.34998626667073579"/>
      </right>
      <top/>
      <bottom/>
      <diagonal/>
    </border>
    <border>
      <left style="double">
        <color theme="1" tint="0.499984740745262"/>
      </left>
      <right style="dashed">
        <color theme="0" tint="-0.34998626667073579"/>
      </right>
      <top style="thin">
        <color theme="0"/>
      </top>
      <bottom/>
      <diagonal/>
    </border>
    <border>
      <left style="double">
        <color theme="1" tint="0.499984740745262"/>
      </left>
      <right style="dashed">
        <color theme="0" tint="-0.34998626667073579"/>
      </right>
      <top/>
      <bottom/>
      <diagonal/>
    </border>
    <border>
      <left/>
      <right/>
      <top style="thin">
        <color theme="0"/>
      </top>
      <bottom/>
      <diagonal/>
    </border>
  </borders>
  <cellStyleXfs count="7">
    <xf numFmtId="0" fontId="0" fillId="0" borderId="0"/>
    <xf numFmtId="0" fontId="7" fillId="3" borderId="0" applyNumberFormat="0" applyBorder="0" applyAlignment="0" applyProtection="0"/>
    <xf numFmtId="0" fontId="11" fillId="12" borderId="0" applyNumberFormat="0" applyBorder="0" applyAlignment="0" applyProtection="0"/>
    <xf numFmtId="0" fontId="42" fillId="27" borderId="0" applyNumberFormat="0" applyBorder="0" applyAlignment="0" applyProtection="0"/>
    <xf numFmtId="0" fontId="46" fillId="0" borderId="0" applyNumberFormat="0" applyFill="0" applyBorder="0" applyAlignment="0" applyProtection="0"/>
    <xf numFmtId="0" fontId="56" fillId="35" borderId="0" applyNumberFormat="0" applyBorder="0" applyAlignment="0" applyProtection="0"/>
    <xf numFmtId="0" fontId="56" fillId="36" borderId="0" applyNumberFormat="0" applyBorder="0" applyAlignment="0" applyProtection="0"/>
  </cellStyleXfs>
  <cellXfs count="402">
    <xf numFmtId="0" fontId="0" fillId="0" borderId="0" xfId="0"/>
    <xf numFmtId="0" fontId="0" fillId="2" borderId="0" xfId="0" applyFill="1"/>
    <xf numFmtId="0" fontId="0" fillId="0" borderId="0" xfId="0" applyAlignment="1">
      <alignment horizontal="center"/>
    </xf>
    <xf numFmtId="0" fontId="4" fillId="6" borderId="0" xfId="0" applyFont="1" applyFill="1" applyAlignment="1">
      <alignment horizontal="center" vertical="center"/>
    </xf>
    <xf numFmtId="0" fontId="4" fillId="7" borderId="0" xfId="0" applyFont="1" applyFill="1" applyAlignment="1">
      <alignment horizontal="center" vertical="center"/>
    </xf>
    <xf numFmtId="0" fontId="4" fillId="4" borderId="0" xfId="0" applyFont="1" applyFill="1" applyAlignment="1">
      <alignment horizontal="center" vertical="center"/>
    </xf>
    <xf numFmtId="0" fontId="0" fillId="8" borderId="0" xfId="0" applyFill="1"/>
    <xf numFmtId="0" fontId="4" fillId="9" borderId="0" xfId="0" applyFont="1" applyFill="1" applyAlignment="1">
      <alignment horizontal="center" vertical="center" wrapText="1"/>
    </xf>
    <xf numFmtId="9" fontId="0" fillId="0" borderId="0" xfId="0" applyNumberFormat="1"/>
    <xf numFmtId="0" fontId="10" fillId="15" borderId="0" xfId="0" applyFont="1" applyFill="1" applyAlignment="1">
      <alignment horizontal="center" vertical="center"/>
    </xf>
    <xf numFmtId="0" fontId="26" fillId="0" borderId="0" xfId="0" quotePrefix="1" applyFont="1"/>
    <xf numFmtId="0" fontId="25" fillId="0" borderId="0" xfId="0" applyFont="1"/>
    <xf numFmtId="0" fontId="0" fillId="16" borderId="0" xfId="0" applyFill="1"/>
    <xf numFmtId="0" fontId="0" fillId="17" borderId="0" xfId="0" applyFill="1"/>
    <xf numFmtId="0" fontId="28" fillId="18" borderId="0" xfId="0" applyFont="1" applyFill="1"/>
    <xf numFmtId="0" fontId="28" fillId="18" borderId="0" xfId="0" applyFont="1" applyFill="1" applyAlignment="1">
      <alignment horizontal="center"/>
    </xf>
    <xf numFmtId="0" fontId="4" fillId="16" borderId="1" xfId="0" applyFont="1" applyFill="1" applyBorder="1"/>
    <xf numFmtId="0" fontId="4" fillId="17" borderId="1" xfId="0" applyFont="1" applyFill="1" applyBorder="1"/>
    <xf numFmtId="0" fontId="0" fillId="21" borderId="0" xfId="0" applyFill="1"/>
    <xf numFmtId="0" fontId="13" fillId="21" borderId="0" xfId="0" applyFont="1" applyFill="1"/>
    <xf numFmtId="0" fontId="0" fillId="21" borderId="0" xfId="0" applyFill="1" applyAlignment="1">
      <alignment horizontal="center"/>
    </xf>
    <xf numFmtId="0" fontId="25" fillId="21" borderId="0" xfId="0" applyFont="1" applyFill="1" applyAlignment="1">
      <alignment horizontal="center"/>
    </xf>
    <xf numFmtId="0" fontId="0" fillId="21" borderId="0" xfId="0" applyFill="1" applyAlignment="1">
      <alignment horizontal="center" vertical="center"/>
    </xf>
    <xf numFmtId="0" fontId="4" fillId="16" borderId="0" xfId="0" applyFont="1" applyFill="1"/>
    <xf numFmtId="0" fontId="13" fillId="16" borderId="0" xfId="0" applyFont="1" applyFill="1"/>
    <xf numFmtId="0" fontId="24" fillId="16" borderId="0" xfId="0" applyFont="1" applyFill="1"/>
    <xf numFmtId="0" fontId="35" fillId="21" borderId="0" xfId="0" applyFont="1" applyFill="1"/>
    <xf numFmtId="0" fontId="36" fillId="21" borderId="0" xfId="0" applyFont="1" applyFill="1"/>
    <xf numFmtId="0" fontId="38" fillId="16" borderId="0" xfId="0" applyFont="1" applyFill="1"/>
    <xf numFmtId="0" fontId="34" fillId="16" borderId="0" xfId="0" applyFont="1" applyFill="1"/>
    <xf numFmtId="0" fontId="39" fillId="16" borderId="0" xfId="0" applyFont="1" applyFill="1"/>
    <xf numFmtId="164" fontId="0" fillId="16" borderId="0" xfId="0" applyNumberFormat="1" applyFill="1" applyAlignment="1">
      <alignment horizontal="left"/>
    </xf>
    <xf numFmtId="0" fontId="13" fillId="0" borderId="3" xfId="0" applyFont="1" applyBorder="1"/>
    <xf numFmtId="0" fontId="13" fillId="22" borderId="3" xfId="0" applyFont="1" applyFill="1" applyBorder="1"/>
    <xf numFmtId="0" fontId="0" fillId="0" borderId="3" xfId="0" applyBorder="1"/>
    <xf numFmtId="0" fontId="32" fillId="19" borderId="3" xfId="0" applyFont="1" applyFill="1" applyBorder="1" applyAlignment="1">
      <alignment horizontal="center" vertical="top" wrapText="1"/>
    </xf>
    <xf numFmtId="0" fontId="0" fillId="0" borderId="3" xfId="0" applyBorder="1" applyAlignment="1">
      <alignment horizontal="center"/>
    </xf>
    <xf numFmtId="0" fontId="3" fillId="0" borderId="3" xfId="0" applyFont="1" applyBorder="1" applyAlignment="1">
      <alignment horizontal="center"/>
    </xf>
    <xf numFmtId="0" fontId="14" fillId="14" borderId="3" xfId="0" applyFont="1" applyFill="1" applyBorder="1" applyAlignment="1">
      <alignment vertical="top"/>
    </xf>
    <xf numFmtId="0" fontId="12" fillId="6" borderId="3" xfId="0" applyFont="1" applyFill="1" applyBorder="1"/>
    <xf numFmtId="0" fontId="22" fillId="6" borderId="3" xfId="0" applyFont="1" applyFill="1" applyBorder="1"/>
    <xf numFmtId="0" fontId="22" fillId="0" borderId="3" xfId="0" applyFont="1" applyBorder="1"/>
    <xf numFmtId="0" fontId="12" fillId="5" borderId="3" xfId="0" applyFont="1" applyFill="1" applyBorder="1"/>
    <xf numFmtId="0" fontId="22" fillId="5" borderId="3" xfId="0" applyFont="1" applyFill="1" applyBorder="1"/>
    <xf numFmtId="0" fontId="22" fillId="22" borderId="3" xfId="0" applyFont="1" applyFill="1" applyBorder="1"/>
    <xf numFmtId="0" fontId="2" fillId="0" borderId="3" xfId="0" applyFont="1" applyBorder="1"/>
    <xf numFmtId="0" fontId="14" fillId="14" borderId="3" xfId="0" applyFont="1" applyFill="1" applyBorder="1" applyAlignment="1">
      <alignment horizontal="center" vertical="top" wrapText="1"/>
    </xf>
    <xf numFmtId="0" fontId="8" fillId="14" borderId="3" xfId="0" applyFont="1" applyFill="1" applyBorder="1" applyAlignment="1">
      <alignment horizontal="center" vertical="top" wrapText="1"/>
    </xf>
    <xf numFmtId="0" fontId="8" fillId="14" borderId="3" xfId="0" applyFont="1" applyFill="1" applyBorder="1" applyAlignment="1">
      <alignment vertical="top" wrapText="1"/>
    </xf>
    <xf numFmtId="0" fontId="9" fillId="6" borderId="3" xfId="0" applyFont="1" applyFill="1" applyBorder="1"/>
    <xf numFmtId="0" fontId="15" fillId="6" borderId="3" xfId="0" applyFont="1" applyFill="1" applyBorder="1"/>
    <xf numFmtId="0" fontId="9" fillId="6" borderId="3" xfId="0" applyFont="1" applyFill="1" applyBorder="1" applyAlignment="1">
      <alignment wrapText="1"/>
    </xf>
    <xf numFmtId="0" fontId="0" fillId="6" borderId="3" xfId="0" applyFill="1" applyBorder="1"/>
    <xf numFmtId="0" fontId="8" fillId="14" borderId="3" xfId="0" applyFont="1" applyFill="1" applyBorder="1" applyAlignment="1">
      <alignment horizontal="center" vertical="top"/>
    </xf>
    <xf numFmtId="0" fontId="9" fillId="4" borderId="3" xfId="0" applyFont="1" applyFill="1" applyBorder="1"/>
    <xf numFmtId="0" fontId="9" fillId="0" borderId="3" xfId="0" applyFont="1" applyBorder="1"/>
    <xf numFmtId="0" fontId="21" fillId="6" borderId="3" xfId="0" applyFont="1" applyFill="1" applyBorder="1"/>
    <xf numFmtId="0" fontId="21" fillId="6" borderId="3" xfId="0" applyFont="1" applyFill="1" applyBorder="1" applyAlignment="1">
      <alignment horizontal="center"/>
    </xf>
    <xf numFmtId="0" fontId="9" fillId="6" borderId="3" xfId="0" applyFont="1" applyFill="1" applyBorder="1" applyAlignment="1">
      <alignment horizontal="center"/>
    </xf>
    <xf numFmtId="0" fontId="0" fillId="22" borderId="3" xfId="0" applyFill="1" applyBorder="1" applyAlignment="1">
      <alignment horizontal="center"/>
    </xf>
    <xf numFmtId="0" fontId="9" fillId="0" borderId="3" xfId="0" applyFont="1" applyBorder="1" applyAlignment="1">
      <alignment horizontal="center"/>
    </xf>
    <xf numFmtId="0" fontId="21" fillId="0" borderId="3" xfId="0" applyFont="1" applyBorder="1" applyAlignment="1">
      <alignment horizontal="center"/>
    </xf>
    <xf numFmtId="49" fontId="9" fillId="6" borderId="3" xfId="0" applyNumberFormat="1" applyFont="1" applyFill="1" applyBorder="1" applyAlignment="1">
      <alignment horizontal="center"/>
    </xf>
    <xf numFmtId="49" fontId="21" fillId="6" borderId="3" xfId="0" applyNumberFormat="1" applyFont="1" applyFill="1" applyBorder="1" applyAlignment="1">
      <alignment horizontal="center"/>
    </xf>
    <xf numFmtId="49" fontId="21" fillId="0" borderId="3" xfId="0" applyNumberFormat="1" applyFont="1" applyBorder="1" applyAlignment="1">
      <alignment horizontal="center"/>
    </xf>
    <xf numFmtId="49" fontId="0" fillId="0" borderId="3" xfId="0" applyNumberFormat="1" applyBorder="1" applyAlignment="1">
      <alignment horizontal="center"/>
    </xf>
    <xf numFmtId="0" fontId="8" fillId="14" borderId="3" xfId="0" applyFont="1" applyFill="1" applyBorder="1" applyAlignment="1">
      <alignment horizontal="left" vertical="top"/>
    </xf>
    <xf numFmtId="0" fontId="9" fillId="6" borderId="3" xfId="0" applyFont="1" applyFill="1" applyBorder="1" applyAlignment="1">
      <alignment horizontal="left"/>
    </xf>
    <xf numFmtId="0" fontId="0" fillId="0" borderId="3" xfId="0" applyBorder="1" applyAlignment="1">
      <alignment horizontal="left"/>
    </xf>
    <xf numFmtId="0" fontId="8" fillId="14" borderId="3" xfId="0" applyFont="1" applyFill="1" applyBorder="1" applyAlignment="1">
      <alignment horizontal="left" vertical="top" wrapText="1"/>
    </xf>
    <xf numFmtId="0" fontId="0" fillId="0" borderId="4" xfId="0" applyBorder="1" applyAlignment="1">
      <alignment horizontal="left"/>
    </xf>
    <xf numFmtId="0" fontId="13" fillId="6" borderId="3" xfId="0" applyFont="1" applyFill="1" applyBorder="1"/>
    <xf numFmtId="0" fontId="13" fillId="6" borderId="3" xfId="0" applyFont="1" applyFill="1" applyBorder="1" applyAlignment="1">
      <alignment horizontal="center"/>
    </xf>
    <xf numFmtId="0" fontId="18" fillId="6" borderId="3" xfId="0" applyFont="1" applyFill="1" applyBorder="1"/>
    <xf numFmtId="0" fontId="19" fillId="5" borderId="3" xfId="0" applyFont="1" applyFill="1" applyBorder="1"/>
    <xf numFmtId="0" fontId="19" fillId="4" borderId="3" xfId="0" applyFont="1" applyFill="1" applyBorder="1"/>
    <xf numFmtId="0" fontId="8" fillId="14" borderId="3" xfId="0" applyFont="1" applyFill="1" applyBorder="1" applyAlignment="1">
      <alignment vertical="top"/>
    </xf>
    <xf numFmtId="0" fontId="9" fillId="6" borderId="3" xfId="1" applyFont="1" applyFill="1" applyBorder="1"/>
    <xf numFmtId="0" fontId="16" fillId="6" borderId="3" xfId="0" applyFont="1" applyFill="1" applyBorder="1"/>
    <xf numFmtId="0" fontId="17" fillId="6" borderId="3" xfId="0" applyFont="1" applyFill="1" applyBorder="1"/>
    <xf numFmtId="0" fontId="20" fillId="6" borderId="3" xfId="0" applyFont="1" applyFill="1" applyBorder="1"/>
    <xf numFmtId="0" fontId="19" fillId="6" borderId="3" xfId="0" applyFont="1" applyFill="1" applyBorder="1"/>
    <xf numFmtId="0" fontId="13" fillId="11" borderId="3" xfId="0" applyFont="1" applyFill="1" applyBorder="1"/>
    <xf numFmtId="0" fontId="19" fillId="0" borderId="3" xfId="0" applyFont="1" applyBorder="1"/>
    <xf numFmtId="0" fontId="19" fillId="9" borderId="3" xfId="0" applyFont="1" applyFill="1" applyBorder="1"/>
    <xf numFmtId="0" fontId="19" fillId="8" borderId="3" xfId="0" applyFont="1" applyFill="1" applyBorder="1"/>
    <xf numFmtId="0" fontId="9" fillId="6" borderId="3" xfId="2" applyFont="1" applyFill="1" applyBorder="1"/>
    <xf numFmtId="0" fontId="23" fillId="6" borderId="3" xfId="0" applyFont="1" applyFill="1" applyBorder="1"/>
    <xf numFmtId="164" fontId="0" fillId="6" borderId="3" xfId="0" applyNumberFormat="1" applyFill="1" applyBorder="1" applyAlignment="1">
      <alignment horizontal="center"/>
    </xf>
    <xf numFmtId="164" fontId="0" fillId="0" borderId="3" xfId="0" applyNumberFormat="1" applyBorder="1" applyAlignment="1">
      <alignment horizontal="center"/>
    </xf>
    <xf numFmtId="164" fontId="0" fillId="22" borderId="3" xfId="0" applyNumberFormat="1" applyFill="1" applyBorder="1" applyAlignment="1">
      <alignment horizontal="center"/>
    </xf>
    <xf numFmtId="0" fontId="0" fillId="0" borderId="6" xfId="0" applyBorder="1"/>
    <xf numFmtId="0" fontId="6" fillId="0" borderId="6" xfId="0" applyFont="1" applyBorder="1"/>
    <xf numFmtId="0" fontId="5" fillId="0" borderId="6" xfId="0" applyFont="1" applyBorder="1"/>
    <xf numFmtId="0" fontId="0" fillId="22" borderId="6" xfId="0" applyFill="1" applyBorder="1"/>
    <xf numFmtId="0" fontId="9" fillId="0" borderId="0" xfId="0" applyFont="1"/>
    <xf numFmtId="0" fontId="15" fillId="0" borderId="0" xfId="0" applyFont="1"/>
    <xf numFmtId="0" fontId="0" fillId="4" borderId="3" xfId="0" applyFill="1" applyBorder="1"/>
    <xf numFmtId="0" fontId="0" fillId="5" borderId="3" xfId="0" applyFill="1" applyBorder="1"/>
    <xf numFmtId="0" fontId="13" fillId="23" borderId="3" xfId="0" applyFont="1" applyFill="1" applyBorder="1"/>
    <xf numFmtId="0" fontId="22" fillId="23" borderId="3" xfId="0" applyFont="1" applyFill="1" applyBorder="1"/>
    <xf numFmtId="164" fontId="0" fillId="23" borderId="3" xfId="0" applyNumberFormat="1" applyFill="1" applyBorder="1" applyAlignment="1">
      <alignment horizontal="center"/>
    </xf>
    <xf numFmtId="0" fontId="13" fillId="24" borderId="3" xfId="0" applyFont="1" applyFill="1" applyBorder="1"/>
    <xf numFmtId="0" fontId="22" fillId="24" borderId="3" xfId="0" applyFont="1" applyFill="1" applyBorder="1"/>
    <xf numFmtId="164" fontId="0" fillId="24" borderId="3" xfId="0" applyNumberFormat="1" applyFill="1" applyBorder="1" applyAlignment="1">
      <alignment horizontal="center"/>
    </xf>
    <xf numFmtId="0" fontId="0" fillId="24" borderId="3" xfId="0" applyFill="1" applyBorder="1"/>
    <xf numFmtId="0" fontId="0" fillId="24" borderId="3" xfId="0" applyFill="1" applyBorder="1" applyAlignment="1">
      <alignment horizontal="center"/>
    </xf>
    <xf numFmtId="49" fontId="0" fillId="24" borderId="3" xfId="0" applyNumberFormat="1" applyFill="1" applyBorder="1" applyAlignment="1">
      <alignment horizontal="center"/>
    </xf>
    <xf numFmtId="0" fontId="0" fillId="24" borderId="3" xfId="0" applyFill="1" applyBorder="1" applyAlignment="1">
      <alignment horizontal="left"/>
    </xf>
    <xf numFmtId="0" fontId="0" fillId="24" borderId="0" xfId="0" applyFill="1"/>
    <xf numFmtId="0" fontId="13" fillId="20" borderId="3" xfId="0" applyFont="1" applyFill="1" applyBorder="1"/>
    <xf numFmtId="0" fontId="22" fillId="20" borderId="3" xfId="0" applyFont="1" applyFill="1" applyBorder="1"/>
    <xf numFmtId="164" fontId="0" fillId="20" borderId="3" xfId="0" applyNumberFormat="1" applyFill="1" applyBorder="1" applyAlignment="1">
      <alignment horizontal="center"/>
    </xf>
    <xf numFmtId="0" fontId="0" fillId="20" borderId="3" xfId="0" applyFill="1" applyBorder="1"/>
    <xf numFmtId="0" fontId="0" fillId="20" borderId="3" xfId="0" applyFill="1" applyBorder="1" applyAlignment="1">
      <alignment horizontal="center"/>
    </xf>
    <xf numFmtId="49" fontId="0" fillId="20" borderId="3" xfId="0" applyNumberFormat="1" applyFill="1" applyBorder="1" applyAlignment="1">
      <alignment horizontal="center"/>
    </xf>
    <xf numFmtId="0" fontId="0" fillId="20" borderId="3" xfId="0" applyFill="1" applyBorder="1" applyAlignment="1">
      <alignment horizontal="left"/>
    </xf>
    <xf numFmtId="0" fontId="0" fillId="20" borderId="0" xfId="0" applyFill="1"/>
    <xf numFmtId="0" fontId="0" fillId="22" borderId="3" xfId="0" applyFill="1" applyBorder="1"/>
    <xf numFmtId="3" fontId="0" fillId="0" borderId="3" xfId="0" applyNumberFormat="1" applyBorder="1" applyAlignment="1">
      <alignment horizontal="left"/>
    </xf>
    <xf numFmtId="0" fontId="13" fillId="25" borderId="3" xfId="0" applyFont="1" applyFill="1" applyBorder="1"/>
    <xf numFmtId="0" fontId="22" fillId="25" borderId="3" xfId="0" applyFont="1" applyFill="1" applyBorder="1"/>
    <xf numFmtId="164" fontId="0" fillId="25" borderId="3" xfId="0" applyNumberFormat="1" applyFill="1" applyBorder="1" applyAlignment="1">
      <alignment horizontal="center"/>
    </xf>
    <xf numFmtId="0" fontId="0" fillId="25" borderId="3" xfId="0" applyFill="1" applyBorder="1"/>
    <xf numFmtId="0" fontId="0" fillId="25" borderId="6" xfId="0" applyFill="1" applyBorder="1"/>
    <xf numFmtId="0" fontId="15" fillId="22" borderId="3" xfId="0" applyFont="1" applyFill="1" applyBorder="1"/>
    <xf numFmtId="0" fontId="9" fillId="22" borderId="3" xfId="0" applyFont="1" applyFill="1" applyBorder="1" applyAlignment="1">
      <alignment horizontal="center"/>
    </xf>
    <xf numFmtId="0" fontId="9" fillId="22" borderId="3" xfId="0" applyFont="1" applyFill="1" applyBorder="1"/>
    <xf numFmtId="164" fontId="6" fillId="22" borderId="3" xfId="0" applyNumberFormat="1" applyFont="1" applyFill="1" applyBorder="1" applyAlignment="1">
      <alignment horizontal="center"/>
    </xf>
    <xf numFmtId="164" fontId="9" fillId="22" borderId="3" xfId="0" applyNumberFormat="1" applyFont="1" applyFill="1" applyBorder="1" applyAlignment="1">
      <alignment horizontal="center"/>
    </xf>
    <xf numFmtId="0" fontId="6" fillId="22" borderId="3" xfId="0" applyFont="1" applyFill="1" applyBorder="1"/>
    <xf numFmtId="49" fontId="9" fillId="22" borderId="3" xfId="0" applyNumberFormat="1" applyFont="1" applyFill="1" applyBorder="1" applyAlignment="1">
      <alignment horizontal="center"/>
    </xf>
    <xf numFmtId="0" fontId="9" fillId="22" borderId="3" xfId="0" applyFont="1" applyFill="1" applyBorder="1" applyAlignment="1">
      <alignment horizontal="left"/>
    </xf>
    <xf numFmtId="0" fontId="9" fillId="22" borderId="0" xfId="0" applyFont="1" applyFill="1"/>
    <xf numFmtId="0" fontId="6" fillId="22" borderId="6" xfId="0" applyFont="1" applyFill="1" applyBorder="1"/>
    <xf numFmtId="0" fontId="13" fillId="26" borderId="3" xfId="0" applyFont="1" applyFill="1" applyBorder="1"/>
    <xf numFmtId="0" fontId="22" fillId="26" borderId="3" xfId="0" applyFont="1" applyFill="1" applyBorder="1"/>
    <xf numFmtId="164" fontId="0" fillId="26" borderId="3" xfId="0" applyNumberFormat="1" applyFill="1" applyBorder="1" applyAlignment="1">
      <alignment horizontal="center"/>
    </xf>
    <xf numFmtId="0" fontId="0" fillId="26" borderId="3" xfId="0" applyFill="1" applyBorder="1"/>
    <xf numFmtId="0" fontId="0" fillId="26" borderId="3" xfId="0" applyFill="1" applyBorder="1" applyAlignment="1">
      <alignment horizontal="center"/>
    </xf>
    <xf numFmtId="49" fontId="0" fillId="26" borderId="3" xfId="0" applyNumberFormat="1" applyFill="1" applyBorder="1" applyAlignment="1">
      <alignment horizontal="center"/>
    </xf>
    <xf numFmtId="0" fontId="0" fillId="26" borderId="3" xfId="0" applyFill="1" applyBorder="1" applyAlignment="1">
      <alignment horizontal="left"/>
    </xf>
    <xf numFmtId="0" fontId="0" fillId="26" borderId="0" xfId="0" applyFill="1"/>
    <xf numFmtId="0" fontId="19" fillId="22" borderId="3" xfId="0" applyFont="1" applyFill="1" applyBorder="1"/>
    <xf numFmtId="0" fontId="0" fillId="0" borderId="3" xfId="0" applyBorder="1" applyAlignment="1">
      <alignment wrapText="1"/>
    </xf>
    <xf numFmtId="0" fontId="15" fillId="6" borderId="3" xfId="0" applyFont="1" applyFill="1" applyBorder="1" applyAlignment="1">
      <alignment horizontal="center"/>
    </xf>
    <xf numFmtId="49" fontId="41" fillId="19" borderId="2" xfId="0" applyNumberFormat="1" applyFont="1" applyFill="1" applyBorder="1" applyAlignment="1">
      <alignment vertical="top" wrapText="1"/>
    </xf>
    <xf numFmtId="0" fontId="13" fillId="19" borderId="3" xfId="0" applyFont="1" applyFill="1" applyBorder="1"/>
    <xf numFmtId="0" fontId="22" fillId="19" borderId="3" xfId="0" applyFont="1" applyFill="1" applyBorder="1"/>
    <xf numFmtId="164" fontId="0" fillId="19" borderId="3" xfId="0" applyNumberFormat="1" applyFill="1" applyBorder="1" applyAlignment="1">
      <alignment horizontal="center"/>
    </xf>
    <xf numFmtId="0" fontId="0" fillId="19" borderId="3" xfId="0" applyFill="1" applyBorder="1"/>
    <xf numFmtId="0" fontId="0" fillId="19" borderId="3" xfId="0" applyFill="1" applyBorder="1" applyAlignment="1">
      <alignment horizontal="center"/>
    </xf>
    <xf numFmtId="49" fontId="0" fillId="19" borderId="3" xfId="0" applyNumberFormat="1" applyFill="1" applyBorder="1" applyAlignment="1">
      <alignment horizontal="center"/>
    </xf>
    <xf numFmtId="0" fontId="0" fillId="19" borderId="3" xfId="0" applyFill="1" applyBorder="1" applyAlignment="1">
      <alignment horizontal="left"/>
    </xf>
    <xf numFmtId="0" fontId="0" fillId="19" borderId="0" xfId="0" applyFill="1"/>
    <xf numFmtId="49" fontId="0" fillId="22" borderId="3" xfId="0" applyNumberFormat="1" applyFill="1" applyBorder="1" applyAlignment="1">
      <alignment horizontal="center"/>
    </xf>
    <xf numFmtId="0" fontId="0" fillId="22" borderId="3" xfId="0" applyFill="1" applyBorder="1" applyAlignment="1">
      <alignment horizontal="left"/>
    </xf>
    <xf numFmtId="0" fontId="0" fillId="22" borderId="0" xfId="0" applyFill="1"/>
    <xf numFmtId="0" fontId="4" fillId="0" borderId="3" xfId="0" applyFont="1" applyBorder="1"/>
    <xf numFmtId="0" fontId="4" fillId="0" borderId="0" xfId="0" applyFont="1"/>
    <xf numFmtId="0" fontId="4" fillId="22" borderId="0" xfId="0" applyFont="1" applyFill="1"/>
    <xf numFmtId="0" fontId="11" fillId="12" borderId="3" xfId="2" applyBorder="1"/>
    <xf numFmtId="0" fontId="11" fillId="12" borderId="3" xfId="2" applyBorder="1" applyProtection="1"/>
    <xf numFmtId="0" fontId="42" fillId="27" borderId="3" xfId="3" applyBorder="1" applyProtection="1"/>
    <xf numFmtId="0" fontId="42" fillId="27" borderId="0" xfId="3"/>
    <xf numFmtId="0" fontId="7" fillId="3" borderId="3" xfId="1" applyBorder="1" applyProtection="1"/>
    <xf numFmtId="0" fontId="11" fillId="12" borderId="0" xfId="2"/>
    <xf numFmtId="0" fontId="0" fillId="28" borderId="3" xfId="0" applyFill="1" applyBorder="1"/>
    <xf numFmtId="0" fontId="13" fillId="28" borderId="3" xfId="0" applyFont="1" applyFill="1" applyBorder="1"/>
    <xf numFmtId="0" fontId="0" fillId="29" borderId="3" xfId="0" applyFill="1" applyBorder="1"/>
    <xf numFmtId="49" fontId="0" fillId="0" borderId="3" xfId="0" applyNumberFormat="1" applyBorder="1" applyAlignment="1">
      <alignment horizontal="left" vertical="top" wrapText="1"/>
    </xf>
    <xf numFmtId="0" fontId="22" fillId="28" borderId="3" xfId="0" applyFont="1" applyFill="1" applyBorder="1"/>
    <xf numFmtId="164" fontId="0" fillId="28" borderId="3" xfId="0" applyNumberFormat="1" applyFill="1" applyBorder="1" applyAlignment="1">
      <alignment horizontal="center"/>
    </xf>
    <xf numFmtId="0" fontId="0" fillId="28" borderId="3" xfId="0" applyFill="1" applyBorder="1" applyAlignment="1">
      <alignment horizontal="center"/>
    </xf>
    <xf numFmtId="49" fontId="0" fillId="28" borderId="3" xfId="0" applyNumberFormat="1" applyFill="1" applyBorder="1" applyAlignment="1">
      <alignment horizontal="center"/>
    </xf>
    <xf numFmtId="0" fontId="0" fillId="28" borderId="3" xfId="0" applyFill="1" applyBorder="1" applyAlignment="1">
      <alignment horizontal="left"/>
    </xf>
    <xf numFmtId="0" fontId="0" fillId="28" borderId="0" xfId="0" applyFill="1"/>
    <xf numFmtId="164" fontId="0" fillId="29" borderId="3" xfId="0" applyNumberFormat="1" applyFill="1" applyBorder="1" applyAlignment="1">
      <alignment horizontal="center"/>
    </xf>
    <xf numFmtId="0" fontId="22" fillId="29" borderId="3" xfId="0" applyFont="1" applyFill="1" applyBorder="1"/>
    <xf numFmtId="0" fontId="6" fillId="29" borderId="3" xfId="0" applyFont="1" applyFill="1" applyBorder="1"/>
    <xf numFmtId="0" fontId="0" fillId="30" borderId="3" xfId="0" applyFill="1" applyBorder="1"/>
    <xf numFmtId="0" fontId="15" fillId="29" borderId="3" xfId="0" applyFont="1" applyFill="1" applyBorder="1"/>
    <xf numFmtId="0" fontId="9" fillId="29" borderId="3" xfId="0" applyFont="1" applyFill="1" applyBorder="1" applyAlignment="1">
      <alignment horizontal="center"/>
    </xf>
    <xf numFmtId="164" fontId="6" fillId="29" borderId="3" xfId="0" applyNumberFormat="1" applyFont="1" applyFill="1" applyBorder="1" applyAlignment="1">
      <alignment horizontal="center"/>
    </xf>
    <xf numFmtId="0" fontId="6" fillId="29" borderId="3" xfId="0" applyFont="1" applyFill="1" applyBorder="1" applyAlignment="1">
      <alignment horizontal="center"/>
    </xf>
    <xf numFmtId="49" fontId="6" fillId="29" borderId="3" xfId="0" applyNumberFormat="1" applyFont="1" applyFill="1" applyBorder="1" applyAlignment="1">
      <alignment horizontal="center"/>
    </xf>
    <xf numFmtId="0" fontId="6" fillId="29" borderId="3" xfId="0" applyFont="1" applyFill="1" applyBorder="1" applyAlignment="1">
      <alignment horizontal="left"/>
    </xf>
    <xf numFmtId="0" fontId="6" fillId="29" borderId="0" xfId="0" applyFont="1" applyFill="1"/>
    <xf numFmtId="0" fontId="0" fillId="31" borderId="3" xfId="0" applyFill="1" applyBorder="1"/>
    <xf numFmtId="0" fontId="6" fillId="31" borderId="3" xfId="0" applyFont="1" applyFill="1" applyBorder="1"/>
    <xf numFmtId="49" fontId="0" fillId="28" borderId="3" xfId="0" applyNumberFormat="1" applyFill="1" applyBorder="1" applyAlignment="1">
      <alignment horizontal="left" vertical="top" wrapText="1"/>
    </xf>
    <xf numFmtId="0" fontId="0" fillId="28" borderId="3" xfId="0" applyFill="1" applyBorder="1" applyAlignment="1">
      <alignment wrapText="1"/>
    </xf>
    <xf numFmtId="0" fontId="6" fillId="28" borderId="3" xfId="0" applyFont="1" applyFill="1" applyBorder="1"/>
    <xf numFmtId="0" fontId="43" fillId="21" borderId="0" xfId="0" applyFont="1" applyFill="1" applyAlignment="1">
      <alignment horizontal="left" vertical="center"/>
    </xf>
    <xf numFmtId="0" fontId="40" fillId="21" borderId="0" xfId="0" applyFont="1" applyFill="1" applyAlignment="1">
      <alignment horizontal="left" vertical="center"/>
    </xf>
    <xf numFmtId="0" fontId="44" fillId="21" borderId="0" xfId="0" applyFont="1" applyFill="1" applyAlignment="1">
      <alignment horizontal="left" vertical="center"/>
    </xf>
    <xf numFmtId="0" fontId="0" fillId="21" borderId="0" xfId="0" applyFill="1" applyAlignment="1">
      <alignment horizontal="left" vertical="center"/>
    </xf>
    <xf numFmtId="164" fontId="0" fillId="16" borderId="0" xfId="0" applyNumberFormat="1" applyFill="1"/>
    <xf numFmtId="0" fontId="0" fillId="16" borderId="0" xfId="0" applyFill="1" applyAlignment="1">
      <alignment horizontal="left"/>
    </xf>
    <xf numFmtId="0" fontId="22" fillId="0" borderId="3" xfId="0" applyFont="1" applyBorder="1" applyAlignment="1">
      <alignment wrapText="1"/>
    </xf>
    <xf numFmtId="0" fontId="13" fillId="31" borderId="3" xfId="0" applyFont="1" applyFill="1" applyBorder="1"/>
    <xf numFmtId="0" fontId="22" fillId="31" borderId="3" xfId="0" applyFont="1" applyFill="1" applyBorder="1"/>
    <xf numFmtId="164" fontId="0" fillId="31" borderId="3" xfId="0" applyNumberFormat="1" applyFill="1" applyBorder="1" applyAlignment="1">
      <alignment horizontal="center"/>
    </xf>
    <xf numFmtId="0" fontId="0" fillId="31" borderId="3" xfId="0" applyFill="1" applyBorder="1" applyAlignment="1">
      <alignment horizontal="center"/>
    </xf>
    <xf numFmtId="49" fontId="0" fillId="31" borderId="3" xfId="0" applyNumberFormat="1" applyFill="1" applyBorder="1" applyAlignment="1">
      <alignment horizontal="center"/>
    </xf>
    <xf numFmtId="0" fontId="0" fillId="31" borderId="3" xfId="0" applyFill="1" applyBorder="1" applyAlignment="1">
      <alignment horizontal="left"/>
    </xf>
    <xf numFmtId="0" fontId="0" fillId="31" borderId="0" xfId="0" applyFill="1"/>
    <xf numFmtId="49" fontId="0" fillId="0" borderId="3" xfId="0" applyNumberFormat="1" applyBorder="1"/>
    <xf numFmtId="0" fontId="0" fillId="32" borderId="0" xfId="0" applyFill="1"/>
    <xf numFmtId="0" fontId="0" fillId="32" borderId="0" xfId="0" applyFill="1" applyAlignment="1">
      <alignment horizontal="left"/>
    </xf>
    <xf numFmtId="0" fontId="47" fillId="32" borderId="0" xfId="0" applyFont="1" applyFill="1" applyAlignment="1">
      <alignment horizontal="center"/>
    </xf>
    <xf numFmtId="0" fontId="48" fillId="32" borderId="0" xfId="0" applyFont="1" applyFill="1"/>
    <xf numFmtId="0" fontId="45" fillId="32" borderId="0" xfId="0" applyFont="1" applyFill="1" applyAlignment="1">
      <alignment horizontal="center"/>
    </xf>
    <xf numFmtId="0" fontId="45" fillId="32" borderId="0" xfId="0" applyFont="1" applyFill="1"/>
    <xf numFmtId="164" fontId="45" fillId="32" borderId="0" xfId="0" applyNumberFormat="1" applyFont="1" applyFill="1" applyAlignment="1">
      <alignment horizontal="center"/>
    </xf>
    <xf numFmtId="0" fontId="49" fillId="32" borderId="0" xfId="0" applyFont="1" applyFill="1" applyAlignment="1">
      <alignment horizontal="left"/>
    </xf>
    <xf numFmtId="0" fontId="51" fillId="32" borderId="0" xfId="0" applyFont="1" applyFill="1" applyAlignment="1">
      <alignment vertical="center"/>
    </xf>
    <xf numFmtId="0" fontId="52" fillId="0" borderId="0" xfId="0" applyFont="1" applyAlignment="1">
      <alignment vertical="center"/>
    </xf>
    <xf numFmtId="164" fontId="0" fillId="0" borderId="13" xfId="0" applyNumberFormat="1" applyBorder="1" applyAlignment="1">
      <alignment horizontal="center"/>
    </xf>
    <xf numFmtId="1" fontId="22" fillId="0" borderId="0" xfId="0" applyNumberFormat="1" applyFont="1" applyAlignment="1">
      <alignment wrapText="1"/>
    </xf>
    <xf numFmtId="164" fontId="0" fillId="0" borderId="15" xfId="0" applyNumberFormat="1" applyBorder="1" applyAlignment="1">
      <alignment horizontal="center"/>
    </xf>
    <xf numFmtId="164" fontId="0" fillId="0" borderId="0" xfId="0" applyNumberFormat="1" applyAlignment="1">
      <alignment horizontal="center"/>
    </xf>
    <xf numFmtId="49" fontId="45" fillId="32" borderId="0" xfId="0" applyNumberFormat="1" applyFont="1" applyFill="1" applyAlignment="1">
      <alignment horizontal="left"/>
    </xf>
    <xf numFmtId="49" fontId="0" fillId="0" borderId="3" xfId="0" applyNumberFormat="1" applyBorder="1" applyAlignment="1">
      <alignment horizontal="left"/>
    </xf>
    <xf numFmtId="49" fontId="0" fillId="34" borderId="3" xfId="0" applyNumberFormat="1" applyFill="1" applyBorder="1" applyAlignment="1">
      <alignment horizontal="left"/>
    </xf>
    <xf numFmtId="0" fontId="0" fillId="34" borderId="3" xfId="0" quotePrefix="1" applyFill="1" applyBorder="1"/>
    <xf numFmtId="0" fontId="0" fillId="34" borderId="3" xfId="0" applyFill="1" applyBorder="1" applyAlignment="1">
      <alignment horizontal="left"/>
    </xf>
    <xf numFmtId="0" fontId="53" fillId="34" borderId="0" xfId="0" applyFont="1" applyFill="1"/>
    <xf numFmtId="0" fontId="0" fillId="34" borderId="3" xfId="0" applyFill="1" applyBorder="1"/>
    <xf numFmtId="0" fontId="53" fillId="34" borderId="15" xfId="0" applyFont="1" applyFill="1" applyBorder="1"/>
    <xf numFmtId="0" fontId="53" fillId="34" borderId="3" xfId="0" applyFont="1" applyFill="1" applyBorder="1"/>
    <xf numFmtId="0" fontId="54" fillId="34" borderId="15" xfId="0" applyFont="1" applyFill="1" applyBorder="1"/>
    <xf numFmtId="0" fontId="0" fillId="0" borderId="10" xfId="0" applyBorder="1" applyAlignment="1">
      <alignment horizontal="center"/>
    </xf>
    <xf numFmtId="0" fontId="55" fillId="0" borderId="0" xfId="4" applyFont="1"/>
    <xf numFmtId="0" fontId="50" fillId="18" borderId="0" xfId="0" applyFont="1" applyFill="1" applyAlignment="1">
      <alignment horizontal="center" vertical="center"/>
    </xf>
    <xf numFmtId="0" fontId="56" fillId="36" borderId="15" xfId="6" applyBorder="1" applyAlignment="1"/>
    <xf numFmtId="164" fontId="0" fillId="0" borderId="15" xfId="0" applyNumberFormat="1" applyBorder="1" applyAlignment="1">
      <alignment horizontal="center" wrapText="1"/>
    </xf>
    <xf numFmtId="164" fontId="0" fillId="0" borderId="0" xfId="0" applyNumberFormat="1" applyAlignment="1">
      <alignment horizontal="center" wrapText="1"/>
    </xf>
    <xf numFmtId="0" fontId="53" fillId="37" borderId="15" xfId="0" applyFont="1" applyFill="1" applyBorder="1"/>
    <xf numFmtId="0" fontId="53" fillId="34" borderId="15" xfId="0" applyFont="1" applyFill="1" applyBorder="1" applyAlignment="1">
      <alignment wrapText="1"/>
    </xf>
    <xf numFmtId="0" fontId="57" fillId="34" borderId="15" xfId="0" applyFont="1" applyFill="1" applyBorder="1" applyAlignment="1">
      <alignment wrapText="1"/>
    </xf>
    <xf numFmtId="0" fontId="58" fillId="36" borderId="15" xfId="6" applyFont="1" applyBorder="1" applyAlignment="1"/>
    <xf numFmtId="0" fontId="58" fillId="36" borderId="15" xfId="6" applyFont="1" applyBorder="1"/>
    <xf numFmtId="0" fontId="0" fillId="21" borderId="0" xfId="0" applyFill="1" applyAlignment="1">
      <alignment wrapText="1"/>
    </xf>
    <xf numFmtId="0" fontId="3" fillId="0" borderId="0" xfId="0" applyFont="1" applyAlignment="1">
      <alignment horizontal="center"/>
    </xf>
    <xf numFmtId="0" fontId="8" fillId="28" borderId="0" xfId="0" applyFont="1" applyFill="1" applyAlignment="1">
      <alignment horizontal="center" vertical="center"/>
    </xf>
    <xf numFmtId="0" fontId="0" fillId="0" borderId="0" xfId="0" applyAlignment="1">
      <alignment horizontal="center" vertical="center"/>
    </xf>
    <xf numFmtId="0" fontId="0" fillId="32" borderId="0" xfId="0" applyFill="1" applyAlignment="1">
      <alignment horizontal="center" vertical="center"/>
    </xf>
    <xf numFmtId="0" fontId="0" fillId="38" borderId="3" xfId="0" applyFill="1" applyBorder="1"/>
    <xf numFmtId="0" fontId="53" fillId="38" borderId="0" xfId="0" applyFont="1" applyFill="1"/>
    <xf numFmtId="0" fontId="53" fillId="38" borderId="15" xfId="0" applyFont="1" applyFill="1" applyBorder="1" applyAlignment="1">
      <alignment wrapText="1"/>
    </xf>
    <xf numFmtId="0" fontId="53" fillId="38" borderId="3" xfId="0" applyFont="1" applyFill="1" applyBorder="1"/>
    <xf numFmtId="164" fontId="0" fillId="38" borderId="3" xfId="0" applyNumberFormat="1" applyFill="1" applyBorder="1" applyAlignment="1">
      <alignment horizontal="center"/>
    </xf>
    <xf numFmtId="0" fontId="54" fillId="38" borderId="15" xfId="0" applyFont="1" applyFill="1" applyBorder="1"/>
    <xf numFmtId="0" fontId="53" fillId="38" borderId="15" xfId="0" applyFont="1" applyFill="1" applyBorder="1"/>
    <xf numFmtId="14" fontId="53" fillId="38" borderId="3" xfId="0" applyNumberFormat="1" applyFont="1" applyFill="1" applyBorder="1"/>
    <xf numFmtId="0" fontId="0" fillId="38" borderId="0" xfId="0" applyFill="1"/>
    <xf numFmtId="0" fontId="13" fillId="34" borderId="3" xfId="0" applyFont="1" applyFill="1" applyBorder="1"/>
    <xf numFmtId="164" fontId="0" fillId="34" borderId="13" xfId="0" applyNumberFormat="1" applyFill="1" applyBorder="1" applyAlignment="1">
      <alignment horizontal="center"/>
    </xf>
    <xf numFmtId="0" fontId="22" fillId="34" borderId="3" xfId="0" applyFont="1" applyFill="1" applyBorder="1"/>
    <xf numFmtId="1" fontId="22" fillId="34" borderId="0" xfId="0" applyNumberFormat="1" applyFont="1" applyFill="1" applyAlignment="1">
      <alignment wrapText="1"/>
    </xf>
    <xf numFmtId="0" fontId="0" fillId="34" borderId="3" xfId="0" applyFill="1" applyBorder="1" applyAlignment="1">
      <alignment horizontal="center"/>
    </xf>
    <xf numFmtId="164" fontId="0" fillId="34" borderId="15" xfId="0" applyNumberFormat="1" applyFill="1" applyBorder="1" applyAlignment="1">
      <alignment horizontal="center"/>
    </xf>
    <xf numFmtId="164" fontId="0" fillId="34" borderId="0" xfId="0" applyNumberFormat="1" applyFill="1" applyAlignment="1">
      <alignment horizontal="center"/>
    </xf>
    <xf numFmtId="0" fontId="56" fillId="34" borderId="15" xfId="5" applyFill="1" applyBorder="1"/>
    <xf numFmtId="164" fontId="0" fillId="34" borderId="3" xfId="0" applyNumberFormat="1" applyFill="1" applyBorder="1" applyAlignment="1">
      <alignment horizontal="center"/>
    </xf>
    <xf numFmtId="0" fontId="53" fillId="39" borderId="15" xfId="0" applyFont="1" applyFill="1" applyBorder="1"/>
    <xf numFmtId="0" fontId="53" fillId="39" borderId="3" xfId="0" applyFont="1" applyFill="1" applyBorder="1"/>
    <xf numFmtId="164" fontId="0" fillId="39" borderId="3" xfId="0" applyNumberFormat="1" applyFill="1" applyBorder="1" applyAlignment="1">
      <alignment horizontal="center"/>
    </xf>
    <xf numFmtId="0" fontId="53" fillId="34" borderId="3" xfId="0" applyFont="1" applyFill="1" applyBorder="1" applyAlignment="1">
      <alignment wrapText="1"/>
    </xf>
    <xf numFmtId="0" fontId="53" fillId="37" borderId="3" xfId="0" applyFont="1" applyFill="1" applyBorder="1"/>
    <xf numFmtId="164" fontId="0" fillId="37" borderId="3" xfId="0" applyNumberFormat="1" applyFill="1" applyBorder="1" applyAlignment="1">
      <alignment horizontal="center"/>
    </xf>
    <xf numFmtId="0" fontId="53" fillId="2" borderId="15" xfId="0" applyFont="1" applyFill="1" applyBorder="1"/>
    <xf numFmtId="14" fontId="53" fillId="2" borderId="3" xfId="0" applyNumberFormat="1" applyFont="1" applyFill="1" applyBorder="1"/>
    <xf numFmtId="0" fontId="53" fillId="2" borderId="3" xfId="0" applyFont="1" applyFill="1" applyBorder="1"/>
    <xf numFmtId="164" fontId="0" fillId="2" borderId="3" xfId="0" applyNumberFormat="1" applyFill="1" applyBorder="1" applyAlignment="1">
      <alignment horizontal="center"/>
    </xf>
    <xf numFmtId="0" fontId="53" fillId="40" borderId="15" xfId="0" applyFont="1" applyFill="1" applyBorder="1" applyAlignment="1">
      <alignment wrapText="1"/>
    </xf>
    <xf numFmtId="0" fontId="53" fillId="40" borderId="3" xfId="0" applyFont="1" applyFill="1" applyBorder="1"/>
    <xf numFmtId="164" fontId="0" fillId="40" borderId="3" xfId="0" applyNumberFormat="1" applyFill="1" applyBorder="1" applyAlignment="1">
      <alignment horizontal="center"/>
    </xf>
    <xf numFmtId="0" fontId="53" fillId="40" borderId="15" xfId="0" applyFont="1" applyFill="1" applyBorder="1"/>
    <xf numFmtId="0" fontId="53" fillId="41" borderId="15" xfId="0" applyFont="1" applyFill="1" applyBorder="1"/>
    <xf numFmtId="0" fontId="54" fillId="41" borderId="15" xfId="0" applyFont="1" applyFill="1" applyBorder="1"/>
    <xf numFmtId="0" fontId="32" fillId="33" borderId="3" xfId="0" applyFont="1" applyFill="1" applyBorder="1" applyAlignment="1">
      <alignment horizontal="center" vertical="center" wrapText="1"/>
    </xf>
    <xf numFmtId="0" fontId="14" fillId="28" borderId="0" xfId="0" applyFont="1" applyFill="1" applyAlignment="1">
      <alignment horizontal="center" vertical="center" wrapText="1"/>
    </xf>
    <xf numFmtId="0" fontId="14" fillId="28" borderId="12" xfId="0" applyFont="1" applyFill="1" applyBorder="1" applyAlignment="1">
      <alignment horizontal="center" vertical="center"/>
    </xf>
    <xf numFmtId="0" fontId="14" fillId="28" borderId="16" xfId="0" applyFont="1" applyFill="1" applyBorder="1" applyAlignment="1">
      <alignment horizontal="center" vertical="center" wrapText="1"/>
    </xf>
    <xf numFmtId="0" fontId="8" fillId="28" borderId="11" xfId="0" applyFont="1" applyFill="1" applyBorder="1" applyAlignment="1">
      <alignment horizontal="center" vertical="center"/>
    </xf>
    <xf numFmtId="0" fontId="8" fillId="28" borderId="3" xfId="0" applyFont="1" applyFill="1" applyBorder="1" applyAlignment="1">
      <alignment horizontal="center" vertical="center"/>
    </xf>
    <xf numFmtId="0" fontId="14" fillId="28" borderId="3" xfId="0" applyFont="1" applyFill="1" applyBorder="1" applyAlignment="1">
      <alignment horizontal="center" vertical="center" wrapText="1"/>
    </xf>
    <xf numFmtId="0" fontId="14" fillId="28" borderId="3" xfId="0" applyFont="1" applyFill="1" applyBorder="1" applyAlignment="1">
      <alignment horizontal="center" vertical="center"/>
    </xf>
    <xf numFmtId="0" fontId="8" fillId="28" borderId="13" xfId="0" applyFont="1" applyFill="1" applyBorder="1" applyAlignment="1">
      <alignment horizontal="center" vertical="center" wrapText="1"/>
    </xf>
    <xf numFmtId="0" fontId="8" fillId="28" borderId="3" xfId="0" applyFont="1" applyFill="1" applyBorder="1" applyAlignment="1">
      <alignment vertical="center" wrapText="1"/>
    </xf>
    <xf numFmtId="0" fontId="8" fillId="28" borderId="3" xfId="0" applyFont="1" applyFill="1" applyBorder="1" applyAlignment="1">
      <alignment horizontal="center" vertical="center" wrapText="1"/>
    </xf>
    <xf numFmtId="0" fontId="8" fillId="34" borderId="3" xfId="0" applyFont="1" applyFill="1" applyBorder="1" applyAlignment="1">
      <alignment horizontal="center" vertical="center" wrapText="1"/>
    </xf>
    <xf numFmtId="0" fontId="8" fillId="34" borderId="0" xfId="0" applyFont="1" applyFill="1" applyAlignment="1">
      <alignment vertical="center" wrapText="1"/>
    </xf>
    <xf numFmtId="0" fontId="8" fillId="28" borderId="14" xfId="0" applyFont="1" applyFill="1" applyBorder="1" applyAlignment="1">
      <alignment horizontal="center" vertical="center" wrapText="1"/>
    </xf>
    <xf numFmtId="0" fontId="8" fillId="28" borderId="0" xfId="0" applyFont="1" applyFill="1" applyAlignment="1">
      <alignment horizontal="center" vertical="center" wrapText="1"/>
    </xf>
    <xf numFmtId="0" fontId="8" fillId="34" borderId="14" xfId="0" applyFont="1" applyFill="1" applyBorder="1" applyAlignment="1">
      <alignment vertical="center" wrapText="1"/>
    </xf>
    <xf numFmtId="0" fontId="8" fillId="34" borderId="3" xfId="0" applyFont="1" applyFill="1" applyBorder="1" applyAlignment="1">
      <alignment vertical="center"/>
    </xf>
    <xf numFmtId="0" fontId="8" fillId="34" borderId="3" xfId="0" applyFont="1" applyFill="1" applyBorder="1" applyAlignment="1">
      <alignment vertical="center" wrapText="1"/>
    </xf>
    <xf numFmtId="0" fontId="0" fillId="0" borderId="0" xfId="0" applyAlignment="1">
      <alignment vertical="center"/>
    </xf>
    <xf numFmtId="1" fontId="0" fillId="0" borderId="3" xfId="0" applyNumberFormat="1" applyBorder="1" applyAlignment="1">
      <alignment horizontal="center"/>
    </xf>
    <xf numFmtId="0" fontId="8" fillId="28" borderId="3" xfId="0" applyFont="1" applyFill="1" applyBorder="1" applyAlignment="1">
      <alignment horizontal="left" vertical="center"/>
    </xf>
    <xf numFmtId="0" fontId="0" fillId="34" borderId="0" xfId="0" applyFill="1"/>
    <xf numFmtId="49" fontId="1" fillId="0" borderId="3" xfId="0" applyNumberFormat="1" applyFont="1" applyBorder="1" applyAlignment="1">
      <alignment horizontal="center"/>
    </xf>
    <xf numFmtId="49" fontId="1" fillId="34" borderId="3" xfId="0" applyNumberFormat="1" applyFont="1" applyFill="1" applyBorder="1" applyAlignment="1">
      <alignment horizontal="center"/>
    </xf>
    <xf numFmtId="0" fontId="1" fillId="0" borderId="3" xfId="0" applyFont="1" applyBorder="1" applyAlignment="1">
      <alignment horizontal="center"/>
    </xf>
    <xf numFmtId="0" fontId="1" fillId="0" borderId="0" xfId="0" applyFont="1" applyAlignment="1">
      <alignment horizontal="center"/>
    </xf>
    <xf numFmtId="0" fontId="1" fillId="0" borderId="3" xfId="0" applyFont="1" applyBorder="1" applyAlignment="1">
      <alignment horizontal="center" vertical="center"/>
    </xf>
    <xf numFmtId="0" fontId="1" fillId="34" borderId="3" xfId="0" applyFont="1" applyFill="1" applyBorder="1" applyAlignment="1">
      <alignment horizontal="center"/>
    </xf>
    <xf numFmtId="0" fontId="1" fillId="34" borderId="0" xfId="0" applyFont="1" applyFill="1" applyAlignment="1">
      <alignment horizontal="center"/>
    </xf>
    <xf numFmtId="0" fontId="1" fillId="34" borderId="3" xfId="0" applyFont="1" applyFill="1" applyBorder="1" applyAlignment="1">
      <alignment horizontal="center" vertical="center"/>
    </xf>
    <xf numFmtId="164" fontId="1" fillId="0" borderId="13" xfId="0" applyNumberFormat="1" applyFont="1" applyBorder="1" applyAlignment="1">
      <alignment horizontal="center"/>
    </xf>
    <xf numFmtId="0" fontId="1" fillId="0" borderId="3" xfId="0" applyFont="1" applyBorder="1"/>
    <xf numFmtId="164" fontId="1" fillId="0" borderId="0" xfId="0" applyNumberFormat="1" applyFont="1" applyAlignment="1">
      <alignment horizontal="center"/>
    </xf>
    <xf numFmtId="0" fontId="1" fillId="6" borderId="3" xfId="0" applyFont="1" applyFill="1" applyBorder="1" applyAlignment="1">
      <alignment horizontal="center"/>
    </xf>
    <xf numFmtId="164" fontId="1" fillId="6" borderId="3" xfId="0" applyNumberFormat="1" applyFont="1" applyFill="1" applyBorder="1" applyAlignment="1">
      <alignment horizontal="center"/>
    </xf>
    <xf numFmtId="0" fontId="1" fillId="6" borderId="3" xfId="0" applyFont="1" applyFill="1" applyBorder="1"/>
    <xf numFmtId="0" fontId="1" fillId="6" borderId="3" xfId="0" applyFont="1" applyFill="1" applyBorder="1" applyAlignment="1">
      <alignment horizontal="left"/>
    </xf>
    <xf numFmtId="0" fontId="1" fillId="0" borderId="0" xfId="0" applyFont="1"/>
    <xf numFmtId="49" fontId="1" fillId="6" borderId="3" xfId="0" applyNumberFormat="1" applyFont="1" applyFill="1" applyBorder="1" applyAlignment="1">
      <alignment horizontal="center"/>
    </xf>
    <xf numFmtId="3" fontId="1" fillId="6" borderId="3" xfId="0" applyNumberFormat="1" applyFont="1" applyFill="1" applyBorder="1" applyAlignment="1">
      <alignment horizontal="left"/>
    </xf>
    <xf numFmtId="49" fontId="1" fillId="6" borderId="3" xfId="0" applyNumberFormat="1" applyFont="1" applyFill="1" applyBorder="1" applyAlignment="1">
      <alignment horizontal="left"/>
    </xf>
    <xf numFmtId="14" fontId="1" fillId="6" borderId="3" xfId="0" applyNumberFormat="1" applyFont="1" applyFill="1" applyBorder="1"/>
    <xf numFmtId="49" fontId="1" fillId="6" borderId="3" xfId="0" applyNumberFormat="1" applyFont="1" applyFill="1" applyBorder="1"/>
    <xf numFmtId="0" fontId="1" fillId="4" borderId="3" xfId="0" applyFont="1" applyFill="1" applyBorder="1"/>
    <xf numFmtId="0" fontId="1" fillId="4" borderId="3" xfId="0" applyFont="1" applyFill="1" applyBorder="1" applyAlignment="1">
      <alignment horizontal="left"/>
    </xf>
    <xf numFmtId="164" fontId="1" fillId="0" borderId="3" xfId="0" applyNumberFormat="1" applyFont="1" applyBorder="1" applyAlignment="1">
      <alignment horizontal="center"/>
    </xf>
    <xf numFmtId="0" fontId="1" fillId="0" borderId="3" xfId="0" applyFont="1" applyBorder="1" applyAlignment="1">
      <alignment horizontal="left"/>
    </xf>
    <xf numFmtId="0" fontId="1" fillId="5" borderId="3" xfId="0" applyFont="1" applyFill="1" applyBorder="1"/>
    <xf numFmtId="0" fontId="1" fillId="5" borderId="3" xfId="0" applyFont="1" applyFill="1" applyBorder="1" applyAlignment="1">
      <alignment horizontal="left"/>
    </xf>
    <xf numFmtId="0" fontId="1" fillId="5" borderId="3" xfId="0" applyFont="1" applyFill="1" applyBorder="1" applyAlignment="1">
      <alignment horizontal="center"/>
    </xf>
    <xf numFmtId="0" fontId="1" fillId="22" borderId="3" xfId="0" applyFont="1" applyFill="1" applyBorder="1" applyAlignment="1">
      <alignment horizontal="center"/>
    </xf>
    <xf numFmtId="0" fontId="1" fillId="10" borderId="3" xfId="0" applyFont="1" applyFill="1" applyBorder="1"/>
    <xf numFmtId="0" fontId="1" fillId="10" borderId="3" xfId="0" applyFont="1" applyFill="1" applyBorder="1" applyAlignment="1">
      <alignment horizontal="left"/>
    </xf>
    <xf numFmtId="0" fontId="1" fillId="13" borderId="3" xfId="0" applyFont="1" applyFill="1" applyBorder="1"/>
    <xf numFmtId="0" fontId="1" fillId="13" borderId="3" xfId="0" applyFont="1" applyFill="1" applyBorder="1" applyAlignment="1">
      <alignment horizontal="left"/>
    </xf>
    <xf numFmtId="0" fontId="1" fillId="13" borderId="0" xfId="0" applyFont="1" applyFill="1"/>
    <xf numFmtId="0" fontId="1" fillId="22" borderId="3" xfId="0" applyFont="1" applyFill="1" applyBorder="1"/>
    <xf numFmtId="49" fontId="1" fillId="22" borderId="3" xfId="0" applyNumberFormat="1" applyFont="1" applyFill="1" applyBorder="1" applyAlignment="1">
      <alignment horizontal="center"/>
    </xf>
    <xf numFmtId="0" fontId="1" fillId="22" borderId="3" xfId="0" applyFont="1" applyFill="1" applyBorder="1" applyAlignment="1">
      <alignment horizontal="left"/>
    </xf>
    <xf numFmtId="0" fontId="1" fillId="22" borderId="0" xfId="0" applyFont="1" applyFill="1"/>
    <xf numFmtId="164" fontId="1" fillId="22" borderId="3" xfId="0" applyNumberFormat="1" applyFont="1" applyFill="1" applyBorder="1" applyAlignment="1">
      <alignment horizontal="center"/>
    </xf>
    <xf numFmtId="14" fontId="1" fillId="5" borderId="3" xfId="0" applyNumberFormat="1" applyFont="1" applyFill="1" applyBorder="1"/>
    <xf numFmtId="0" fontId="1" fillId="0" borderId="5" xfId="0" applyFont="1" applyBorder="1"/>
    <xf numFmtId="49" fontId="1" fillId="5" borderId="3" xfId="0" applyNumberFormat="1" applyFont="1" applyFill="1" applyBorder="1" applyAlignment="1">
      <alignment horizontal="center"/>
    </xf>
    <xf numFmtId="0" fontId="1" fillId="9" borderId="3" xfId="0" applyFont="1" applyFill="1" applyBorder="1"/>
    <xf numFmtId="0" fontId="1" fillId="9" borderId="3" xfId="0" applyFont="1" applyFill="1" applyBorder="1" applyAlignment="1">
      <alignment horizontal="left"/>
    </xf>
    <xf numFmtId="0" fontId="1" fillId="8" borderId="3" xfId="0" applyFont="1" applyFill="1" applyBorder="1"/>
    <xf numFmtId="0" fontId="1" fillId="4" borderId="3" xfId="0" applyFont="1" applyFill="1" applyBorder="1" applyAlignment="1">
      <alignment horizontal="center"/>
    </xf>
    <xf numFmtId="49" fontId="1" fillId="4" borderId="3" xfId="0" applyNumberFormat="1" applyFont="1" applyFill="1" applyBorder="1" applyAlignment="1">
      <alignment horizontal="center"/>
    </xf>
    <xf numFmtId="0" fontId="1" fillId="11" borderId="3" xfId="0" applyFont="1" applyFill="1" applyBorder="1"/>
    <xf numFmtId="0" fontId="1" fillId="25" borderId="3" xfId="0" applyFont="1" applyFill="1" applyBorder="1" applyAlignment="1">
      <alignment horizontal="center"/>
    </xf>
    <xf numFmtId="0" fontId="1" fillId="25" borderId="3" xfId="0" applyFont="1" applyFill="1" applyBorder="1"/>
    <xf numFmtId="49" fontId="1" fillId="25" borderId="3" xfId="0" applyNumberFormat="1" applyFont="1" applyFill="1" applyBorder="1" applyAlignment="1">
      <alignment horizontal="center"/>
    </xf>
    <xf numFmtId="0" fontId="1" fillId="25" borderId="3" xfId="0" applyFont="1" applyFill="1" applyBorder="1" applyAlignment="1">
      <alignment horizontal="left"/>
    </xf>
    <xf numFmtId="0" fontId="1" fillId="25" borderId="0" xfId="0" applyFont="1" applyFill="1"/>
    <xf numFmtId="0" fontId="1" fillId="23" borderId="3" xfId="0" applyFont="1" applyFill="1" applyBorder="1" applyAlignment="1">
      <alignment horizontal="center"/>
    </xf>
    <xf numFmtId="164" fontId="1" fillId="23" borderId="3" xfId="0" applyNumberFormat="1" applyFont="1" applyFill="1" applyBorder="1" applyAlignment="1">
      <alignment horizontal="center"/>
    </xf>
    <xf numFmtId="0" fontId="1" fillId="23" borderId="3" xfId="0" applyFont="1" applyFill="1" applyBorder="1"/>
    <xf numFmtId="49" fontId="1" fillId="23" borderId="3" xfId="0" applyNumberFormat="1" applyFont="1" applyFill="1" applyBorder="1" applyAlignment="1">
      <alignment horizontal="center"/>
    </xf>
    <xf numFmtId="0" fontId="1" fillId="23" borderId="3" xfId="0" applyFont="1" applyFill="1" applyBorder="1" applyAlignment="1">
      <alignment horizontal="left"/>
    </xf>
    <xf numFmtId="0" fontId="1" fillId="23" borderId="0" xfId="0" applyFont="1" applyFill="1"/>
    <xf numFmtId="0" fontId="1" fillId="26" borderId="3" xfId="0" applyFont="1" applyFill="1" applyBorder="1" applyAlignment="1">
      <alignment horizontal="center"/>
    </xf>
    <xf numFmtId="164" fontId="1" fillId="26" borderId="3" xfId="0" applyNumberFormat="1" applyFont="1" applyFill="1" applyBorder="1" applyAlignment="1">
      <alignment horizontal="center"/>
    </xf>
    <xf numFmtId="0" fontId="1" fillId="26" borderId="3" xfId="0" applyFont="1" applyFill="1" applyBorder="1"/>
    <xf numFmtId="49" fontId="1" fillId="26" borderId="3" xfId="0" applyNumberFormat="1" applyFont="1" applyFill="1" applyBorder="1" applyAlignment="1">
      <alignment horizontal="center"/>
    </xf>
    <xf numFmtId="0" fontId="1" fillId="26" borderId="3" xfId="0" applyFont="1" applyFill="1" applyBorder="1" applyAlignment="1">
      <alignment horizontal="left"/>
    </xf>
    <xf numFmtId="0" fontId="1" fillId="26" borderId="0" xfId="0" applyFont="1" applyFill="1"/>
    <xf numFmtId="0" fontId="1" fillId="24" borderId="3" xfId="0" applyFont="1" applyFill="1" applyBorder="1" applyAlignment="1">
      <alignment horizontal="center"/>
    </xf>
    <xf numFmtId="0" fontId="1" fillId="24" borderId="3" xfId="0" applyFont="1" applyFill="1" applyBorder="1"/>
    <xf numFmtId="49" fontId="1" fillId="24" borderId="3" xfId="0" applyNumberFormat="1" applyFont="1" applyFill="1" applyBorder="1" applyAlignment="1">
      <alignment horizontal="center"/>
    </xf>
    <xf numFmtId="0" fontId="1" fillId="24" borderId="3" xfId="0" applyFont="1" applyFill="1" applyBorder="1" applyAlignment="1">
      <alignment horizontal="left"/>
    </xf>
    <xf numFmtId="0" fontId="1" fillId="24" borderId="0" xfId="0" applyFont="1" applyFill="1"/>
    <xf numFmtId="164" fontId="1" fillId="24" borderId="3" xfId="0" applyNumberFormat="1" applyFont="1" applyFill="1" applyBorder="1" applyAlignment="1">
      <alignment horizontal="center"/>
    </xf>
    <xf numFmtId="0" fontId="1" fillId="20" borderId="3" xfId="0" applyFont="1" applyFill="1" applyBorder="1" applyAlignment="1">
      <alignment horizontal="center"/>
    </xf>
    <xf numFmtId="0" fontId="1" fillId="20" borderId="3" xfId="0" applyFont="1" applyFill="1" applyBorder="1"/>
    <xf numFmtId="0" fontId="1" fillId="19" borderId="3" xfId="0" applyFont="1" applyFill="1" applyBorder="1" applyAlignment="1">
      <alignment horizontal="center"/>
    </xf>
    <xf numFmtId="0" fontId="1" fillId="28" borderId="3" xfId="0" applyFont="1" applyFill="1" applyBorder="1" applyAlignment="1">
      <alignment horizontal="center"/>
    </xf>
    <xf numFmtId="0" fontId="1" fillId="31" borderId="3" xfId="0" applyFont="1" applyFill="1" applyBorder="1" applyAlignment="1">
      <alignment horizontal="center"/>
    </xf>
    <xf numFmtId="3" fontId="0" fillId="34" borderId="3" xfId="0" applyNumberFormat="1" applyFill="1" applyBorder="1" applyAlignment="1">
      <alignment horizontal="left"/>
    </xf>
    <xf numFmtId="14" fontId="53" fillId="34" borderId="3" xfId="0" applyNumberFormat="1" applyFont="1" applyFill="1" applyBorder="1"/>
    <xf numFmtId="0" fontId="0" fillId="0" borderId="0" xfId="0" pivotButton="1"/>
    <xf numFmtId="14" fontId="0" fillId="16" borderId="0" xfId="0" applyNumberFormat="1" applyFill="1" applyAlignment="1">
      <alignment horizontal="left"/>
    </xf>
    <xf numFmtId="1" fontId="0" fillId="16" borderId="0" xfId="0" applyNumberFormat="1" applyFill="1"/>
    <xf numFmtId="0" fontId="13" fillId="16" borderId="0" xfId="0" applyFont="1" applyFill="1" applyAlignment="1">
      <alignment horizontal="center"/>
    </xf>
    <xf numFmtId="2" fontId="39" fillId="16" borderId="0" xfId="0" applyNumberFormat="1" applyFont="1" applyFill="1"/>
    <xf numFmtId="0" fontId="59" fillId="16" borderId="0" xfId="0" applyFont="1" applyFill="1"/>
    <xf numFmtId="1" fontId="59" fillId="16" borderId="0" xfId="0" applyNumberFormat="1" applyFont="1" applyFill="1"/>
    <xf numFmtId="14" fontId="0" fillId="16" borderId="0" xfId="0" applyNumberFormat="1" applyFill="1"/>
    <xf numFmtId="0" fontId="0" fillId="21" borderId="0" xfId="0" applyFill="1" applyAlignment="1">
      <alignment horizontal="left" vertical="center" wrapText="1"/>
    </xf>
    <xf numFmtId="0" fontId="60" fillId="0" borderId="0" xfId="0" applyFont="1"/>
    <xf numFmtId="14" fontId="1" fillId="0" borderId="3" xfId="0" applyNumberFormat="1" applyFont="1" applyBorder="1" applyAlignment="1">
      <alignment horizontal="center"/>
    </xf>
    <xf numFmtId="0" fontId="50" fillId="18" borderId="7" xfId="0" applyFont="1" applyFill="1" applyBorder="1" applyAlignment="1">
      <alignment horizontal="center" vertical="center"/>
    </xf>
    <xf numFmtId="0" fontId="50" fillId="18" borderId="8" xfId="0" applyFont="1" applyFill="1" applyBorder="1" applyAlignment="1">
      <alignment horizontal="center" vertical="center"/>
    </xf>
    <xf numFmtId="0" fontId="50" fillId="18" borderId="9" xfId="0" applyFont="1" applyFill="1" applyBorder="1" applyAlignment="1">
      <alignment horizontal="center" vertical="center"/>
    </xf>
    <xf numFmtId="0" fontId="50" fillId="18" borderId="6" xfId="0" applyFont="1" applyFill="1" applyBorder="1" applyAlignment="1">
      <alignment horizontal="center" vertical="center"/>
    </xf>
    <xf numFmtId="0" fontId="31" fillId="16" borderId="0" xfId="0" applyFont="1" applyFill="1" applyAlignment="1">
      <alignment horizontal="center"/>
    </xf>
    <xf numFmtId="0" fontId="29" fillId="18" borderId="0" xfId="0" applyFont="1" applyFill="1" applyAlignment="1">
      <alignment horizontal="left"/>
    </xf>
    <xf numFmtId="0" fontId="30" fillId="18" borderId="0" xfId="0" applyFont="1" applyFill="1" applyAlignment="1">
      <alignment horizontal="center"/>
    </xf>
    <xf numFmtId="0" fontId="28" fillId="18" borderId="0" xfId="0" applyFont="1" applyFill="1" applyAlignment="1">
      <alignment horizontal="center" vertical="center"/>
    </xf>
    <xf numFmtId="0" fontId="37" fillId="20" borderId="0" xfId="0" applyFont="1" applyFill="1" applyAlignment="1">
      <alignment horizontal="center"/>
    </xf>
  </cellXfs>
  <cellStyles count="7">
    <cellStyle name="Accent3" xfId="5" builtinId="37"/>
    <cellStyle name="Accent6" xfId="6" builtinId="49"/>
    <cellStyle name="Bad" xfId="3" builtinId="27"/>
    <cellStyle name="Good" xfId="2" builtinId="26"/>
    <cellStyle name="Hyperlink" xfId="4" builtinId="8"/>
    <cellStyle name="Neutral" xfId="1" builtinId="28"/>
    <cellStyle name="Normal" xfId="0" builtinId="0"/>
  </cellStyles>
  <dxfs count="56">
    <dxf>
      <fill>
        <patternFill>
          <bgColor theme="8" tint="-0.499984740745262"/>
        </patternFill>
      </fill>
    </dxf>
    <dxf>
      <fill>
        <patternFill>
          <bgColor theme="9" tint="0.39994506668294322"/>
        </patternFill>
      </fill>
    </dxf>
    <dxf>
      <fill>
        <patternFill>
          <bgColor theme="7" tint="0.59996337778862885"/>
        </patternFill>
      </fill>
    </dxf>
    <dxf>
      <fill>
        <patternFill>
          <bgColor theme="4" tint="0.39994506668294322"/>
        </patternFill>
      </fill>
    </dxf>
    <dxf>
      <fill>
        <patternFill>
          <bgColor theme="5" tint="0.39994506668294322"/>
        </patternFill>
      </fill>
    </dxf>
    <dxf>
      <font>
        <color theme="0"/>
      </font>
      <fill>
        <patternFill patternType="none">
          <bgColor auto="1"/>
        </patternFill>
      </fill>
    </dxf>
    <dxf>
      <fill>
        <patternFill>
          <bgColor theme="7" tint="-0.499984740745262"/>
        </patternFill>
      </fill>
    </dxf>
    <dxf>
      <fill>
        <patternFill>
          <bgColor theme="8" tint="-0.499984740745262"/>
        </patternFill>
      </fill>
    </dxf>
    <dxf>
      <fill>
        <patternFill>
          <bgColor theme="9" tint="0.39994506668294322"/>
        </patternFill>
      </fill>
    </dxf>
    <dxf>
      <fill>
        <patternFill>
          <bgColor theme="4" tint="0.39994506668294322"/>
        </patternFill>
      </fill>
    </dxf>
    <dxf>
      <fill>
        <patternFill>
          <bgColor theme="7" tint="0.59996337778862885"/>
        </patternFill>
      </fill>
    </dxf>
    <dxf>
      <fill>
        <patternFill>
          <bgColor theme="5" tint="0.39994506668294322"/>
        </patternFill>
      </fill>
    </dxf>
    <dxf>
      <fill>
        <patternFill>
          <bgColor theme="7" tint="-0.499984740745262"/>
        </patternFill>
      </fill>
    </dxf>
    <dxf>
      <fill>
        <patternFill>
          <bgColor theme="8" tint="-0.499984740745262"/>
        </patternFill>
      </fill>
    </dxf>
    <dxf>
      <fill>
        <patternFill>
          <bgColor theme="9" tint="0.39994506668294322"/>
        </patternFill>
      </fill>
    </dxf>
    <dxf>
      <fill>
        <patternFill>
          <bgColor theme="4" tint="0.39994506668294322"/>
        </patternFill>
      </fill>
    </dxf>
    <dxf>
      <fill>
        <patternFill>
          <bgColor theme="5" tint="0.39994506668294322"/>
        </patternFill>
      </fill>
    </dxf>
    <dxf>
      <fill>
        <patternFill>
          <bgColor theme="7" tint="0.59996337778862885"/>
        </patternFill>
      </fill>
    </dxf>
    <dxf>
      <font>
        <color theme="0"/>
      </font>
      <fill>
        <patternFill patternType="none">
          <bgColor auto="1"/>
        </patternFill>
      </fill>
    </dxf>
    <dxf>
      <numFmt numFmtId="164" formatCode="yyyy\-mm\-dd;@"/>
      <fill>
        <patternFill patternType="solid">
          <fgColor indexed="64"/>
          <bgColor theme="0" tint="-0.249977111117893"/>
        </patternFill>
      </fill>
    </dxf>
    <dxf>
      <numFmt numFmtId="164" formatCode="yyyy\-mm\-dd;@"/>
      <fill>
        <patternFill patternType="solid">
          <fgColor indexed="64"/>
          <bgColor theme="0" tint="-0.249977111117893"/>
        </patternFill>
      </fill>
    </dxf>
    <dxf>
      <numFmt numFmtId="164" formatCode="yyyy\-mm\-dd;@"/>
      <fill>
        <patternFill patternType="solid">
          <fgColor indexed="64"/>
          <bgColor theme="0" tint="-0.249977111117893"/>
        </patternFill>
      </fill>
    </dxf>
    <dxf>
      <numFmt numFmtId="1" formatCode="0"/>
    </dxf>
    <dxf>
      <numFmt numFmtId="164" formatCode="yyyy\-mm\-dd;@"/>
      <fill>
        <patternFill patternType="solid">
          <fgColor indexed="64"/>
          <bgColor theme="0" tint="-0.249977111117893"/>
        </patternFill>
      </fill>
    </dxf>
    <dxf>
      <numFmt numFmtId="164" formatCode="yyyy\-mm\-dd;@"/>
    </dxf>
    <dxf>
      <numFmt numFmtId="164" formatCode="yyyy\-mm\-dd;@"/>
    </dxf>
    <dxf>
      <numFmt numFmtId="164" formatCode="yyyy\-mm\-dd;@"/>
    </dxf>
    <dxf>
      <numFmt numFmtId="164" formatCode="yyyy\-mm\-dd;@"/>
    </dxf>
    <dxf>
      <numFmt numFmtId="164" formatCode="yyyy\-mm\-dd;@"/>
    </dxf>
    <dxf>
      <numFmt numFmtId="164" formatCode="yyyy\-mm\-dd;@"/>
    </dxf>
    <dxf>
      <numFmt numFmtId="164" formatCode="yyyy\-mm\-dd;@"/>
    </dxf>
    <dxf>
      <fill>
        <patternFill patternType="solid">
          <fgColor indexed="64"/>
          <bgColor theme="0" tint="-0.249977111117893"/>
        </patternFill>
      </fill>
    </dxf>
    <dxf>
      <fill>
        <patternFill patternType="solid">
          <fgColor indexed="64"/>
          <bgColor theme="0" tint="-0.249977111117893"/>
        </patternFill>
      </fill>
    </dxf>
    <dxf>
      <fill>
        <patternFill patternType="solid">
          <fgColor indexed="64"/>
          <bgColor theme="0" tint="-0.249977111117893"/>
        </patternFill>
      </fill>
    </dxf>
    <dxf>
      <fill>
        <patternFill patternType="solid">
          <fgColor indexed="64"/>
          <bgColor theme="0" tint="-0.249977111117893"/>
        </patternFill>
      </fill>
    </dxf>
    <dxf>
      <fill>
        <patternFill patternType="solid">
          <fgColor indexed="64"/>
          <bgColor theme="0" tint="-0.249977111117893"/>
        </patternFill>
      </fill>
    </dxf>
    <dxf>
      <fill>
        <patternFill patternType="solid">
          <fgColor indexed="64"/>
          <bgColor theme="0" tint="-0.249977111117893"/>
        </patternFill>
      </fill>
    </dxf>
    <dxf>
      <fill>
        <patternFill patternType="solid">
          <fgColor indexed="64"/>
          <bgColor theme="0" tint="-0.249977111117893"/>
        </patternFill>
      </fill>
    </dxf>
    <dxf>
      <fill>
        <patternFill patternType="solid">
          <fgColor indexed="64"/>
          <bgColor theme="0" tint="-0.249977111117893"/>
        </patternFill>
      </fill>
    </dxf>
    <dxf>
      <fill>
        <patternFill patternType="solid">
          <fgColor indexed="64"/>
          <bgColor theme="0" tint="-0.249977111117893"/>
        </patternFill>
      </fill>
    </dxf>
    <dxf>
      <fill>
        <patternFill patternType="solid">
          <fgColor indexed="64"/>
          <bgColor theme="0" tint="-0.249977111117893"/>
        </patternFill>
      </fill>
    </dxf>
    <dxf>
      <fill>
        <patternFill patternType="solid">
          <fgColor indexed="64"/>
          <bgColor theme="0" tint="-0.249977111117893"/>
        </patternFill>
      </fill>
    </dxf>
    <dxf>
      <fill>
        <patternFill patternType="solid">
          <fgColor indexed="64"/>
          <bgColor theme="0" tint="-0.249977111117893"/>
        </patternFill>
      </fill>
    </dxf>
    <dxf>
      <fill>
        <patternFill patternType="solid">
          <fgColor indexed="64"/>
          <bgColor theme="0" tint="-0.249977111117893"/>
        </patternFill>
      </fill>
    </dxf>
    <dxf>
      <fill>
        <patternFill patternType="solid">
          <fgColor indexed="64"/>
          <bgColor theme="0" tint="-0.249977111117893"/>
        </patternFill>
      </fill>
    </dxf>
    <dxf>
      <fill>
        <patternFill patternType="solid">
          <fgColor indexed="64"/>
          <bgColor theme="0" tint="-0.249977111117893"/>
        </patternFill>
      </fill>
    </dxf>
    <dxf>
      <fill>
        <patternFill patternType="solid">
          <fgColor indexed="64"/>
          <bgColor theme="0" tint="-0.249977111117893"/>
        </patternFill>
      </fill>
    </dxf>
    <dxf>
      <fill>
        <patternFill patternType="solid">
          <fgColor indexed="64"/>
          <bgColor theme="0" tint="-0.249977111117893"/>
        </patternFill>
      </fill>
    </dxf>
    <dxf>
      <numFmt numFmtId="1" formatCode="0"/>
    </dxf>
    <dxf>
      <numFmt numFmtId="1" formatCode="0"/>
    </dxf>
    <dxf>
      <numFmt numFmtId="0" formatCode="General"/>
      <fill>
        <patternFill patternType="solid">
          <fgColor indexed="64"/>
          <bgColor theme="0" tint="-0.249977111117893"/>
        </patternFill>
      </fill>
    </dxf>
    <dxf>
      <numFmt numFmtId="1" formatCode="0"/>
    </dxf>
    <dxf>
      <numFmt numFmtId="164" formatCode="yyyy\-mm\-dd;@"/>
      <alignment horizontal="left"/>
    </dxf>
    <dxf>
      <numFmt numFmtId="164" formatCode="yyyy\-mm\-dd;@"/>
      <alignment horizontal="left"/>
    </dxf>
    <dxf>
      <numFmt numFmtId="164" formatCode="yyyy\-mm\-dd;@"/>
      <alignment horizontal="left"/>
    </dxf>
    <dxf>
      <numFmt numFmtId="164" formatCode="yyyy\-mm\-dd;@"/>
      <alignment horizontal="left"/>
    </dxf>
  </dxfs>
  <tableStyles count="0" defaultTableStyle="TableStyleMedium2" defaultPivotStyle="PivotStyleLight16"/>
  <colors>
    <mruColors>
      <color rgb="FFF0CEE8"/>
      <color rgb="FFD46E55"/>
      <color rgb="FFEBB5C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4.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2.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kumimoji="0" lang="hu-HU" sz="1400" b="0" i="0" u="none" strike="noStrike" kern="1200" cap="none" spc="0" normalizeH="0" baseline="0" noProof="0">
                <a:ln>
                  <a:noFill/>
                </a:ln>
                <a:solidFill>
                  <a:sysClr val="windowText" lastClr="000000">
                    <a:lumMod val="65000"/>
                    <a:lumOff val="35000"/>
                  </a:sysClr>
                </a:solidFill>
                <a:effectLst/>
                <a:uLnTx/>
                <a:uFillTx/>
              </a:rPr>
              <a:t>All injections, cumulative sum </a:t>
            </a:r>
            <a:endParaRPr kumimoji="0" lang="en-US" sz="1400" b="0" i="0" u="none" strike="noStrike" kern="1200" cap="none" spc="0" normalizeH="0" baseline="0" noProof="0">
              <a:ln>
                <a:noFill/>
              </a:ln>
              <a:solidFill>
                <a:sysClr val="windowText" lastClr="000000">
                  <a:lumMod val="65000"/>
                  <a:lumOff val="35000"/>
                </a:sysClr>
              </a:solidFill>
              <a:effectLst/>
              <a:uLnTx/>
              <a:uFillTx/>
            </a:endParaRPr>
          </a:p>
        </c:rich>
      </c:tx>
      <c:layout>
        <c:manualLayout>
          <c:xMode val="edge"/>
          <c:yMode val="edge"/>
          <c:x val="0.27032812634497927"/>
          <c:y val="3.124128449648181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Stats!$R$3</c:f>
              <c:strCache>
                <c:ptCount val="1"/>
                <c:pt idx="0">
                  <c:v>SUM</c:v>
                </c:pt>
              </c:strCache>
            </c:strRef>
          </c:tx>
          <c:spPr>
            <a:solidFill>
              <a:schemeClr val="accent1"/>
            </a:solidFill>
            <a:ln>
              <a:noFill/>
            </a:ln>
            <a:effectLst/>
          </c:spPr>
          <c:invertIfNegative val="0"/>
          <c:trendline>
            <c:spPr>
              <a:ln w="28575" cap="rnd">
                <a:solidFill>
                  <a:srgbClr val="FF0000"/>
                </a:solidFill>
                <a:prstDash val="sysDash"/>
              </a:ln>
              <a:effectLst/>
            </c:spPr>
            <c:trendlineType val="linear"/>
            <c:intercept val="0"/>
            <c:dispRSqr val="0"/>
            <c:dispEq val="1"/>
            <c:trendlineLbl>
              <c:layout>
                <c:manualLayout>
                  <c:x val="-5.9611448830716493E-2"/>
                  <c:y val="-1.5972106698826347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u-HU"/>
                </a:p>
              </c:txPr>
            </c:trendlineLbl>
          </c:trendline>
          <c:cat>
            <c:numRef>
              <c:f>Stats!$M$4:$M$452</c:f>
              <c:numCache>
                <c:formatCode>General</c:formatCode>
                <c:ptCount val="449"/>
                <c:pt idx="0">
                  <c:v>2</c:v>
                </c:pt>
                <c:pt idx="1">
                  <c:v>1</c:v>
                </c:pt>
                <c:pt idx="2">
                  <c:v>2</c:v>
                </c:pt>
                <c:pt idx="3">
                  <c:v>1</c:v>
                </c:pt>
                <c:pt idx="4">
                  <c:v>2</c:v>
                </c:pt>
                <c:pt idx="5">
                  <c:v>2</c:v>
                </c:pt>
                <c:pt idx="6">
                  <c:v>10</c:v>
                </c:pt>
                <c:pt idx="7">
                  <c:v>6</c:v>
                </c:pt>
                <c:pt idx="8">
                  <c:v>4</c:v>
                </c:pt>
                <c:pt idx="9">
                  <c:v>3</c:v>
                </c:pt>
                <c:pt idx="10">
                  <c:v>5</c:v>
                </c:pt>
                <c:pt idx="11">
                  <c:v>5</c:v>
                </c:pt>
                <c:pt idx="12">
                  <c:v>7</c:v>
                </c:pt>
                <c:pt idx="13">
                  <c:v>2</c:v>
                </c:pt>
                <c:pt idx="14">
                  <c:v>3</c:v>
                </c:pt>
                <c:pt idx="15">
                  <c:v>6</c:v>
                </c:pt>
                <c:pt idx="16">
                  <c:v>7</c:v>
                </c:pt>
                <c:pt idx="17">
                  <c:v>4</c:v>
                </c:pt>
                <c:pt idx="18">
                  <c:v>6</c:v>
                </c:pt>
                <c:pt idx="19">
                  <c:v>3</c:v>
                </c:pt>
                <c:pt idx="20">
                  <c:v>6</c:v>
                </c:pt>
                <c:pt idx="21">
                  <c:v>7</c:v>
                </c:pt>
                <c:pt idx="22">
                  <c:v>7</c:v>
                </c:pt>
                <c:pt idx="23">
                  <c:v>3</c:v>
                </c:pt>
                <c:pt idx="24">
                  <c:v>3</c:v>
                </c:pt>
                <c:pt idx="25">
                  <c:v>3</c:v>
                </c:pt>
                <c:pt idx="26">
                  <c:v>8</c:v>
                </c:pt>
                <c:pt idx="27">
                  <c:v>7</c:v>
                </c:pt>
                <c:pt idx="28">
                  <c:v>3</c:v>
                </c:pt>
                <c:pt idx="29">
                  <c:v>5</c:v>
                </c:pt>
                <c:pt idx="30">
                  <c:v>3</c:v>
                </c:pt>
                <c:pt idx="31">
                  <c:v>3</c:v>
                </c:pt>
                <c:pt idx="32">
                  <c:v>4</c:v>
                </c:pt>
                <c:pt idx="33">
                  <c:v>2</c:v>
                </c:pt>
                <c:pt idx="34">
                  <c:v>1</c:v>
                </c:pt>
                <c:pt idx="35">
                  <c:v>1</c:v>
                </c:pt>
                <c:pt idx="36">
                  <c:v>4</c:v>
                </c:pt>
                <c:pt idx="37">
                  <c:v>8</c:v>
                </c:pt>
                <c:pt idx="38">
                  <c:v>2</c:v>
                </c:pt>
                <c:pt idx="39">
                  <c:v>3</c:v>
                </c:pt>
                <c:pt idx="40">
                  <c:v>3</c:v>
                </c:pt>
                <c:pt idx="41">
                  <c:v>4</c:v>
                </c:pt>
                <c:pt idx="42">
                  <c:v>3</c:v>
                </c:pt>
                <c:pt idx="43">
                  <c:v>3</c:v>
                </c:pt>
                <c:pt idx="44">
                  <c:v>3</c:v>
                </c:pt>
                <c:pt idx="45">
                  <c:v>4</c:v>
                </c:pt>
                <c:pt idx="46">
                  <c:v>2</c:v>
                </c:pt>
                <c:pt idx="47">
                  <c:v>3</c:v>
                </c:pt>
                <c:pt idx="48">
                  <c:v>3</c:v>
                </c:pt>
                <c:pt idx="49">
                  <c:v>9</c:v>
                </c:pt>
                <c:pt idx="50">
                  <c:v>4</c:v>
                </c:pt>
                <c:pt idx="51">
                  <c:v>4</c:v>
                </c:pt>
                <c:pt idx="52">
                  <c:v>4</c:v>
                </c:pt>
                <c:pt idx="53">
                  <c:v>3</c:v>
                </c:pt>
                <c:pt idx="54">
                  <c:v>5</c:v>
                </c:pt>
                <c:pt idx="55">
                  <c:v>1</c:v>
                </c:pt>
                <c:pt idx="56">
                  <c:v>4</c:v>
                </c:pt>
                <c:pt idx="57">
                  <c:v>4</c:v>
                </c:pt>
                <c:pt idx="58">
                  <c:v>2</c:v>
                </c:pt>
                <c:pt idx="59">
                  <c:v>2</c:v>
                </c:pt>
                <c:pt idx="60">
                  <c:v>3</c:v>
                </c:pt>
                <c:pt idx="61">
                  <c:v>2</c:v>
                </c:pt>
                <c:pt idx="62">
                  <c:v>3</c:v>
                </c:pt>
                <c:pt idx="63">
                  <c:v>2</c:v>
                </c:pt>
                <c:pt idx="64">
                  <c:v>4</c:v>
                </c:pt>
                <c:pt idx="65">
                  <c:v>5</c:v>
                </c:pt>
                <c:pt idx="66">
                  <c:v>4</c:v>
                </c:pt>
                <c:pt idx="67">
                  <c:v>4</c:v>
                </c:pt>
                <c:pt idx="68">
                  <c:v>3</c:v>
                </c:pt>
                <c:pt idx="69">
                  <c:v>3</c:v>
                </c:pt>
                <c:pt idx="70">
                  <c:v>3</c:v>
                </c:pt>
                <c:pt idx="71">
                  <c:v>10</c:v>
                </c:pt>
                <c:pt idx="72">
                  <c:v>3</c:v>
                </c:pt>
                <c:pt idx="73">
                  <c:v>2</c:v>
                </c:pt>
                <c:pt idx="74">
                  <c:v>3</c:v>
                </c:pt>
                <c:pt idx="75">
                  <c:v>4</c:v>
                </c:pt>
                <c:pt idx="76">
                  <c:v>4</c:v>
                </c:pt>
                <c:pt idx="77">
                  <c:v>4</c:v>
                </c:pt>
                <c:pt idx="78">
                  <c:v>5</c:v>
                </c:pt>
                <c:pt idx="79">
                  <c:v>3</c:v>
                </c:pt>
                <c:pt idx="80">
                  <c:v>3</c:v>
                </c:pt>
                <c:pt idx="81">
                  <c:v>3</c:v>
                </c:pt>
                <c:pt idx="82">
                  <c:v>5</c:v>
                </c:pt>
                <c:pt idx="83">
                  <c:v>2</c:v>
                </c:pt>
                <c:pt idx="84">
                  <c:v>3</c:v>
                </c:pt>
                <c:pt idx="85">
                  <c:v>2</c:v>
                </c:pt>
                <c:pt idx="86">
                  <c:v>5</c:v>
                </c:pt>
                <c:pt idx="87">
                  <c:v>2</c:v>
                </c:pt>
                <c:pt idx="88">
                  <c:v>2</c:v>
                </c:pt>
                <c:pt idx="89">
                  <c:v>3</c:v>
                </c:pt>
                <c:pt idx="90">
                  <c:v>6</c:v>
                </c:pt>
                <c:pt idx="91">
                  <c:v>7</c:v>
                </c:pt>
                <c:pt idx="92">
                  <c:v>4</c:v>
                </c:pt>
                <c:pt idx="93">
                  <c:v>4</c:v>
                </c:pt>
                <c:pt idx="94">
                  <c:v>6</c:v>
                </c:pt>
                <c:pt idx="95">
                  <c:v>4</c:v>
                </c:pt>
                <c:pt idx="96">
                  <c:v>3</c:v>
                </c:pt>
                <c:pt idx="97">
                  <c:v>2</c:v>
                </c:pt>
                <c:pt idx="98">
                  <c:v>1</c:v>
                </c:pt>
                <c:pt idx="99">
                  <c:v>4</c:v>
                </c:pt>
                <c:pt idx="100">
                  <c:v>2</c:v>
                </c:pt>
                <c:pt idx="101">
                  <c:v>2</c:v>
                </c:pt>
                <c:pt idx="102">
                  <c:v>3</c:v>
                </c:pt>
                <c:pt idx="103">
                  <c:v>5</c:v>
                </c:pt>
                <c:pt idx="104">
                  <c:v>3</c:v>
                </c:pt>
                <c:pt idx="105">
                  <c:v>2</c:v>
                </c:pt>
                <c:pt idx="106">
                  <c:v>2</c:v>
                </c:pt>
                <c:pt idx="107">
                  <c:v>4</c:v>
                </c:pt>
                <c:pt idx="108">
                  <c:v>3</c:v>
                </c:pt>
                <c:pt idx="109">
                  <c:v>3</c:v>
                </c:pt>
                <c:pt idx="110">
                  <c:v>3</c:v>
                </c:pt>
                <c:pt idx="111">
                  <c:v>3</c:v>
                </c:pt>
                <c:pt idx="112">
                  <c:v>4</c:v>
                </c:pt>
                <c:pt idx="113">
                  <c:v>3</c:v>
                </c:pt>
                <c:pt idx="114">
                  <c:v>3</c:v>
                </c:pt>
                <c:pt idx="115">
                  <c:v>3</c:v>
                </c:pt>
                <c:pt idx="116">
                  <c:v>3</c:v>
                </c:pt>
                <c:pt idx="117">
                  <c:v>3</c:v>
                </c:pt>
                <c:pt idx="118">
                  <c:v>3</c:v>
                </c:pt>
                <c:pt idx="119">
                  <c:v>4</c:v>
                </c:pt>
                <c:pt idx="120">
                  <c:v>3</c:v>
                </c:pt>
                <c:pt idx="121">
                  <c:v>3</c:v>
                </c:pt>
                <c:pt idx="122">
                  <c:v>1</c:v>
                </c:pt>
                <c:pt idx="123">
                  <c:v>1</c:v>
                </c:pt>
                <c:pt idx="124">
                  <c:v>4</c:v>
                </c:pt>
                <c:pt idx="125">
                  <c:v>1</c:v>
                </c:pt>
                <c:pt idx="126">
                  <c:v>3</c:v>
                </c:pt>
                <c:pt idx="127">
                  <c:v>4</c:v>
                </c:pt>
                <c:pt idx="128">
                  <c:v>4</c:v>
                </c:pt>
                <c:pt idx="129">
                  <c:v>1</c:v>
                </c:pt>
                <c:pt idx="130">
                  <c:v>2</c:v>
                </c:pt>
                <c:pt idx="131">
                  <c:v>8</c:v>
                </c:pt>
                <c:pt idx="132">
                  <c:v>4</c:v>
                </c:pt>
                <c:pt idx="133">
                  <c:v>3</c:v>
                </c:pt>
                <c:pt idx="134">
                  <c:v>3</c:v>
                </c:pt>
                <c:pt idx="135">
                  <c:v>6</c:v>
                </c:pt>
                <c:pt idx="136">
                  <c:v>1</c:v>
                </c:pt>
                <c:pt idx="137">
                  <c:v>2</c:v>
                </c:pt>
                <c:pt idx="138">
                  <c:v>2</c:v>
                </c:pt>
                <c:pt idx="139">
                  <c:v>3</c:v>
                </c:pt>
                <c:pt idx="140">
                  <c:v>4</c:v>
                </c:pt>
                <c:pt idx="141">
                  <c:v>1</c:v>
                </c:pt>
                <c:pt idx="142">
                  <c:v>1</c:v>
                </c:pt>
                <c:pt idx="143">
                  <c:v>1</c:v>
                </c:pt>
                <c:pt idx="144">
                  <c:v>2</c:v>
                </c:pt>
                <c:pt idx="145">
                  <c:v>5</c:v>
                </c:pt>
                <c:pt idx="146">
                  <c:v>2</c:v>
                </c:pt>
                <c:pt idx="147">
                  <c:v>1</c:v>
                </c:pt>
                <c:pt idx="148">
                  <c:v>2</c:v>
                </c:pt>
                <c:pt idx="149">
                  <c:v>1</c:v>
                </c:pt>
                <c:pt idx="150">
                  <c:v>4</c:v>
                </c:pt>
                <c:pt idx="151">
                  <c:v>1</c:v>
                </c:pt>
                <c:pt idx="152">
                  <c:v>1</c:v>
                </c:pt>
                <c:pt idx="153">
                  <c:v>1</c:v>
                </c:pt>
                <c:pt idx="154">
                  <c:v>1</c:v>
                </c:pt>
                <c:pt idx="155">
                  <c:v>4</c:v>
                </c:pt>
                <c:pt idx="156">
                  <c:v>4</c:v>
                </c:pt>
                <c:pt idx="157">
                  <c:v>4</c:v>
                </c:pt>
                <c:pt idx="158">
                  <c:v>1</c:v>
                </c:pt>
                <c:pt idx="159">
                  <c:v>1</c:v>
                </c:pt>
                <c:pt idx="160">
                  <c:v>6</c:v>
                </c:pt>
                <c:pt idx="161">
                  <c:v>4</c:v>
                </c:pt>
                <c:pt idx="162">
                  <c:v>1</c:v>
                </c:pt>
                <c:pt idx="163">
                  <c:v>1</c:v>
                </c:pt>
                <c:pt idx="164">
                  <c:v>1</c:v>
                </c:pt>
                <c:pt idx="165">
                  <c:v>4</c:v>
                </c:pt>
                <c:pt idx="166">
                  <c:v>2</c:v>
                </c:pt>
                <c:pt idx="167">
                  <c:v>2</c:v>
                </c:pt>
                <c:pt idx="168">
                  <c:v>3</c:v>
                </c:pt>
                <c:pt idx="169">
                  <c:v>4</c:v>
                </c:pt>
                <c:pt idx="170">
                  <c:v>4</c:v>
                </c:pt>
                <c:pt idx="171">
                  <c:v>3</c:v>
                </c:pt>
                <c:pt idx="172">
                  <c:v>3</c:v>
                </c:pt>
                <c:pt idx="173">
                  <c:v>6</c:v>
                </c:pt>
                <c:pt idx="174">
                  <c:v>5</c:v>
                </c:pt>
                <c:pt idx="175">
                  <c:v>4</c:v>
                </c:pt>
                <c:pt idx="176">
                  <c:v>5</c:v>
                </c:pt>
                <c:pt idx="177">
                  <c:v>5</c:v>
                </c:pt>
                <c:pt idx="178">
                  <c:v>2</c:v>
                </c:pt>
                <c:pt idx="179">
                  <c:v>3</c:v>
                </c:pt>
                <c:pt idx="180">
                  <c:v>5</c:v>
                </c:pt>
                <c:pt idx="181">
                  <c:v>4</c:v>
                </c:pt>
                <c:pt idx="182">
                  <c:v>1</c:v>
                </c:pt>
                <c:pt idx="183">
                  <c:v>3</c:v>
                </c:pt>
                <c:pt idx="184">
                  <c:v>3</c:v>
                </c:pt>
                <c:pt idx="185">
                  <c:v>3</c:v>
                </c:pt>
                <c:pt idx="186">
                  <c:v>3</c:v>
                </c:pt>
                <c:pt idx="187">
                  <c:v>2</c:v>
                </c:pt>
                <c:pt idx="188">
                  <c:v>5</c:v>
                </c:pt>
                <c:pt idx="189">
                  <c:v>2</c:v>
                </c:pt>
                <c:pt idx="190">
                  <c:v>3</c:v>
                </c:pt>
                <c:pt idx="191">
                  <c:v>2</c:v>
                </c:pt>
                <c:pt idx="192">
                  <c:v>4</c:v>
                </c:pt>
                <c:pt idx="193">
                  <c:v>3</c:v>
                </c:pt>
                <c:pt idx="194">
                  <c:v>2</c:v>
                </c:pt>
                <c:pt idx="195">
                  <c:v>3</c:v>
                </c:pt>
                <c:pt idx="196">
                  <c:v>5</c:v>
                </c:pt>
                <c:pt idx="197">
                  <c:v>2</c:v>
                </c:pt>
                <c:pt idx="198">
                  <c:v>4</c:v>
                </c:pt>
                <c:pt idx="199">
                  <c:v>3</c:v>
                </c:pt>
                <c:pt idx="200">
                  <c:v>2</c:v>
                </c:pt>
                <c:pt idx="201">
                  <c:v>4</c:v>
                </c:pt>
                <c:pt idx="202">
                  <c:v>1</c:v>
                </c:pt>
                <c:pt idx="203">
                  <c:v>2</c:v>
                </c:pt>
                <c:pt idx="204">
                  <c:v>3</c:v>
                </c:pt>
                <c:pt idx="205">
                  <c:v>5</c:v>
                </c:pt>
                <c:pt idx="206">
                  <c:v>2</c:v>
                </c:pt>
                <c:pt idx="207">
                  <c:v>6</c:v>
                </c:pt>
                <c:pt idx="208">
                  <c:v>3</c:v>
                </c:pt>
                <c:pt idx="209">
                  <c:v>2</c:v>
                </c:pt>
                <c:pt idx="210">
                  <c:v>4</c:v>
                </c:pt>
                <c:pt idx="211">
                  <c:v>4</c:v>
                </c:pt>
                <c:pt idx="212">
                  <c:v>3</c:v>
                </c:pt>
                <c:pt idx="213">
                  <c:v>2</c:v>
                </c:pt>
                <c:pt idx="214">
                  <c:v>3</c:v>
                </c:pt>
                <c:pt idx="215">
                  <c:v>5</c:v>
                </c:pt>
                <c:pt idx="216">
                  <c:v>3</c:v>
                </c:pt>
                <c:pt idx="217">
                  <c:v>5</c:v>
                </c:pt>
                <c:pt idx="218">
                  <c:v>4</c:v>
                </c:pt>
                <c:pt idx="219">
                  <c:v>4</c:v>
                </c:pt>
                <c:pt idx="220">
                  <c:v>4</c:v>
                </c:pt>
                <c:pt idx="221">
                  <c:v>4</c:v>
                </c:pt>
                <c:pt idx="222">
                  <c:v>2</c:v>
                </c:pt>
                <c:pt idx="223">
                  <c:v>4</c:v>
                </c:pt>
                <c:pt idx="224">
                  <c:v>4</c:v>
                </c:pt>
                <c:pt idx="225">
                  <c:v>5</c:v>
                </c:pt>
                <c:pt idx="226">
                  <c:v>4</c:v>
                </c:pt>
                <c:pt idx="227">
                  <c:v>4</c:v>
                </c:pt>
                <c:pt idx="228">
                  <c:v>3</c:v>
                </c:pt>
                <c:pt idx="229">
                  <c:v>4</c:v>
                </c:pt>
                <c:pt idx="230">
                  <c:v>2</c:v>
                </c:pt>
                <c:pt idx="231">
                  <c:v>2</c:v>
                </c:pt>
                <c:pt idx="232">
                  <c:v>4</c:v>
                </c:pt>
                <c:pt idx="233">
                  <c:v>5</c:v>
                </c:pt>
                <c:pt idx="234">
                  <c:v>6</c:v>
                </c:pt>
                <c:pt idx="235">
                  <c:v>2</c:v>
                </c:pt>
                <c:pt idx="236">
                  <c:v>2</c:v>
                </c:pt>
                <c:pt idx="237">
                  <c:v>4</c:v>
                </c:pt>
                <c:pt idx="238">
                  <c:v>4</c:v>
                </c:pt>
                <c:pt idx="239">
                  <c:v>3</c:v>
                </c:pt>
                <c:pt idx="240">
                  <c:v>3</c:v>
                </c:pt>
                <c:pt idx="241">
                  <c:v>2</c:v>
                </c:pt>
                <c:pt idx="242">
                  <c:v>7</c:v>
                </c:pt>
                <c:pt idx="243">
                  <c:v>4</c:v>
                </c:pt>
                <c:pt idx="244">
                  <c:v>4</c:v>
                </c:pt>
                <c:pt idx="245">
                  <c:v>3</c:v>
                </c:pt>
                <c:pt idx="246">
                  <c:v>5</c:v>
                </c:pt>
                <c:pt idx="247">
                  <c:v>5</c:v>
                </c:pt>
                <c:pt idx="248">
                  <c:v>2</c:v>
                </c:pt>
                <c:pt idx="249">
                  <c:v>2</c:v>
                </c:pt>
                <c:pt idx="250">
                  <c:v>4</c:v>
                </c:pt>
                <c:pt idx="251">
                  <c:v>4</c:v>
                </c:pt>
                <c:pt idx="252">
                  <c:v>4</c:v>
                </c:pt>
                <c:pt idx="253">
                  <c:v>4</c:v>
                </c:pt>
                <c:pt idx="254">
                  <c:v>2</c:v>
                </c:pt>
                <c:pt idx="255">
                  <c:v>8</c:v>
                </c:pt>
                <c:pt idx="256">
                  <c:v>4</c:v>
                </c:pt>
                <c:pt idx="257">
                  <c:v>5</c:v>
                </c:pt>
                <c:pt idx="258">
                  <c:v>5</c:v>
                </c:pt>
                <c:pt idx="259">
                  <c:v>7</c:v>
                </c:pt>
                <c:pt idx="260">
                  <c:v>2</c:v>
                </c:pt>
                <c:pt idx="261">
                  <c:v>4</c:v>
                </c:pt>
                <c:pt idx="262">
                  <c:v>2</c:v>
                </c:pt>
                <c:pt idx="263">
                  <c:v>2</c:v>
                </c:pt>
                <c:pt idx="264">
                  <c:v>2</c:v>
                </c:pt>
                <c:pt idx="265">
                  <c:v>2</c:v>
                </c:pt>
                <c:pt idx="266">
                  <c:v>3</c:v>
                </c:pt>
                <c:pt idx="267">
                  <c:v>1</c:v>
                </c:pt>
                <c:pt idx="268">
                  <c:v>4</c:v>
                </c:pt>
                <c:pt idx="269">
                  <c:v>6</c:v>
                </c:pt>
                <c:pt idx="270">
                  <c:v>4</c:v>
                </c:pt>
                <c:pt idx="271">
                  <c:v>4</c:v>
                </c:pt>
                <c:pt idx="272">
                  <c:v>5</c:v>
                </c:pt>
                <c:pt idx="273">
                  <c:v>4</c:v>
                </c:pt>
                <c:pt idx="274">
                  <c:v>6</c:v>
                </c:pt>
                <c:pt idx="275">
                  <c:v>6</c:v>
                </c:pt>
                <c:pt idx="276">
                  <c:v>8</c:v>
                </c:pt>
                <c:pt idx="277">
                  <c:v>4</c:v>
                </c:pt>
                <c:pt idx="278">
                  <c:v>5</c:v>
                </c:pt>
                <c:pt idx="279">
                  <c:v>3</c:v>
                </c:pt>
                <c:pt idx="280">
                  <c:v>3</c:v>
                </c:pt>
                <c:pt idx="281">
                  <c:v>6</c:v>
                </c:pt>
                <c:pt idx="282">
                  <c:v>6</c:v>
                </c:pt>
                <c:pt idx="283">
                  <c:v>3</c:v>
                </c:pt>
                <c:pt idx="284">
                  <c:v>2</c:v>
                </c:pt>
                <c:pt idx="285">
                  <c:v>2</c:v>
                </c:pt>
                <c:pt idx="286">
                  <c:v>2</c:v>
                </c:pt>
                <c:pt idx="287">
                  <c:v>2</c:v>
                </c:pt>
                <c:pt idx="288">
                  <c:v>2</c:v>
                </c:pt>
                <c:pt idx="289">
                  <c:v>4</c:v>
                </c:pt>
                <c:pt idx="291">
                  <c:v>1</c:v>
                </c:pt>
                <c:pt idx="292">
                  <c:v>1</c:v>
                </c:pt>
                <c:pt idx="293">
                  <c:v>2</c:v>
                </c:pt>
                <c:pt idx="294">
                  <c:v>4</c:v>
                </c:pt>
                <c:pt idx="295">
                  <c:v>2</c:v>
                </c:pt>
                <c:pt idx="296">
                  <c:v>3</c:v>
                </c:pt>
                <c:pt idx="297">
                  <c:v>1</c:v>
                </c:pt>
                <c:pt idx="298">
                  <c:v>5</c:v>
                </c:pt>
                <c:pt idx="299">
                  <c:v>1</c:v>
                </c:pt>
                <c:pt idx="300">
                  <c:v>2</c:v>
                </c:pt>
                <c:pt idx="301">
                  <c:v>3</c:v>
                </c:pt>
                <c:pt idx="302">
                  <c:v>1</c:v>
                </c:pt>
                <c:pt idx="303">
                  <c:v>1</c:v>
                </c:pt>
                <c:pt idx="304">
                  <c:v>4</c:v>
                </c:pt>
                <c:pt idx="305">
                  <c:v>4</c:v>
                </c:pt>
                <c:pt idx="306">
                  <c:v>3</c:v>
                </c:pt>
                <c:pt idx="307">
                  <c:v>3</c:v>
                </c:pt>
                <c:pt idx="308">
                  <c:v>1</c:v>
                </c:pt>
                <c:pt idx="309">
                  <c:v>4</c:v>
                </c:pt>
                <c:pt idx="310">
                  <c:v>4</c:v>
                </c:pt>
                <c:pt idx="311">
                  <c:v>4</c:v>
                </c:pt>
                <c:pt idx="312">
                  <c:v>2</c:v>
                </c:pt>
                <c:pt idx="313">
                  <c:v>3</c:v>
                </c:pt>
                <c:pt idx="314">
                  <c:v>3</c:v>
                </c:pt>
                <c:pt idx="315">
                  <c:v>1</c:v>
                </c:pt>
                <c:pt idx="316">
                  <c:v>2</c:v>
                </c:pt>
                <c:pt idx="317">
                  <c:v>1</c:v>
                </c:pt>
                <c:pt idx="318">
                  <c:v>1</c:v>
                </c:pt>
                <c:pt idx="319">
                  <c:v>3</c:v>
                </c:pt>
                <c:pt idx="320">
                  <c:v>3</c:v>
                </c:pt>
                <c:pt idx="321">
                  <c:v>3</c:v>
                </c:pt>
                <c:pt idx="322">
                  <c:v>5</c:v>
                </c:pt>
                <c:pt idx="323">
                  <c:v>3</c:v>
                </c:pt>
                <c:pt idx="324">
                  <c:v>3</c:v>
                </c:pt>
                <c:pt idx="325">
                  <c:v>3</c:v>
                </c:pt>
                <c:pt idx="326">
                  <c:v>2</c:v>
                </c:pt>
                <c:pt idx="327">
                  <c:v>4</c:v>
                </c:pt>
                <c:pt idx="328">
                  <c:v>1</c:v>
                </c:pt>
                <c:pt idx="329">
                  <c:v>2</c:v>
                </c:pt>
                <c:pt idx="330">
                  <c:v>1</c:v>
                </c:pt>
                <c:pt idx="331">
                  <c:v>2</c:v>
                </c:pt>
                <c:pt idx="332">
                  <c:v>4</c:v>
                </c:pt>
                <c:pt idx="333">
                  <c:v>4</c:v>
                </c:pt>
                <c:pt idx="334">
                  <c:v>3</c:v>
                </c:pt>
                <c:pt idx="335">
                  <c:v>3</c:v>
                </c:pt>
                <c:pt idx="336">
                  <c:v>2</c:v>
                </c:pt>
                <c:pt idx="337">
                  <c:v>4</c:v>
                </c:pt>
                <c:pt idx="338">
                  <c:v>3</c:v>
                </c:pt>
                <c:pt idx="339">
                  <c:v>2</c:v>
                </c:pt>
                <c:pt idx="340">
                  <c:v>4</c:v>
                </c:pt>
                <c:pt idx="341">
                  <c:v>4</c:v>
                </c:pt>
                <c:pt idx="342">
                  <c:v>2</c:v>
                </c:pt>
                <c:pt idx="343">
                  <c:v>3</c:v>
                </c:pt>
                <c:pt idx="344">
                  <c:v>4</c:v>
                </c:pt>
                <c:pt idx="345">
                  <c:v>2</c:v>
                </c:pt>
                <c:pt idx="346">
                  <c:v>1</c:v>
                </c:pt>
                <c:pt idx="347">
                  <c:v>1</c:v>
                </c:pt>
                <c:pt idx="348">
                  <c:v>2</c:v>
                </c:pt>
                <c:pt idx="349">
                  <c:v>4</c:v>
                </c:pt>
                <c:pt idx="350">
                  <c:v>2</c:v>
                </c:pt>
                <c:pt idx="351">
                  <c:v>2</c:v>
                </c:pt>
                <c:pt idx="352">
                  <c:v>5</c:v>
                </c:pt>
                <c:pt idx="353">
                  <c:v>5</c:v>
                </c:pt>
                <c:pt idx="354">
                  <c:v>4</c:v>
                </c:pt>
                <c:pt idx="355">
                  <c:v>4</c:v>
                </c:pt>
                <c:pt idx="356">
                  <c:v>7</c:v>
                </c:pt>
                <c:pt idx="357">
                  <c:v>2</c:v>
                </c:pt>
                <c:pt idx="358">
                  <c:v>3</c:v>
                </c:pt>
                <c:pt idx="359">
                  <c:v>4</c:v>
                </c:pt>
                <c:pt idx="360">
                  <c:v>55</c:v>
                </c:pt>
                <c:pt idx="361">
                  <c:v>2</c:v>
                </c:pt>
                <c:pt idx="362">
                  <c:v>6</c:v>
                </c:pt>
                <c:pt idx="363">
                  <c:v>4</c:v>
                </c:pt>
                <c:pt idx="364">
                  <c:v>8</c:v>
                </c:pt>
                <c:pt idx="365">
                  <c:v>1</c:v>
                </c:pt>
                <c:pt idx="366">
                  <c:v>1</c:v>
                </c:pt>
                <c:pt idx="367">
                  <c:v>1</c:v>
                </c:pt>
                <c:pt idx="368">
                  <c:v>1</c:v>
                </c:pt>
                <c:pt idx="369">
                  <c:v>1</c:v>
                </c:pt>
                <c:pt idx="370">
                  <c:v>2</c:v>
                </c:pt>
                <c:pt idx="371">
                  <c:v>1</c:v>
                </c:pt>
                <c:pt idx="372">
                  <c:v>2</c:v>
                </c:pt>
                <c:pt idx="373">
                  <c:v>2</c:v>
                </c:pt>
                <c:pt idx="374">
                  <c:v>2</c:v>
                </c:pt>
                <c:pt idx="375">
                  <c:v>2</c:v>
                </c:pt>
                <c:pt idx="376">
                  <c:v>2</c:v>
                </c:pt>
                <c:pt idx="377">
                  <c:v>4</c:v>
                </c:pt>
                <c:pt idx="378">
                  <c:v>3</c:v>
                </c:pt>
                <c:pt idx="379">
                  <c:v>2</c:v>
                </c:pt>
                <c:pt idx="380">
                  <c:v>1</c:v>
                </c:pt>
                <c:pt idx="381">
                  <c:v>9</c:v>
                </c:pt>
                <c:pt idx="382">
                  <c:v>2</c:v>
                </c:pt>
                <c:pt idx="383">
                  <c:v>3</c:v>
                </c:pt>
                <c:pt idx="384">
                  <c:v>4</c:v>
                </c:pt>
                <c:pt idx="385">
                  <c:v>1</c:v>
                </c:pt>
                <c:pt idx="386">
                  <c:v>1</c:v>
                </c:pt>
                <c:pt idx="387">
                  <c:v>2</c:v>
                </c:pt>
                <c:pt idx="388">
                  <c:v>1</c:v>
                </c:pt>
                <c:pt idx="389">
                  <c:v>5</c:v>
                </c:pt>
                <c:pt idx="390">
                  <c:v>3</c:v>
                </c:pt>
                <c:pt idx="391">
                  <c:v>2</c:v>
                </c:pt>
                <c:pt idx="392">
                  <c:v>2</c:v>
                </c:pt>
                <c:pt idx="393">
                  <c:v>2</c:v>
                </c:pt>
                <c:pt idx="394">
                  <c:v>4</c:v>
                </c:pt>
                <c:pt idx="395">
                  <c:v>1</c:v>
                </c:pt>
                <c:pt idx="396">
                  <c:v>3</c:v>
                </c:pt>
                <c:pt idx="397">
                  <c:v>2</c:v>
                </c:pt>
                <c:pt idx="398">
                  <c:v>4</c:v>
                </c:pt>
                <c:pt idx="399">
                  <c:v>3</c:v>
                </c:pt>
                <c:pt idx="400">
                  <c:v>8</c:v>
                </c:pt>
                <c:pt idx="401">
                  <c:v>3</c:v>
                </c:pt>
                <c:pt idx="402">
                  <c:v>4</c:v>
                </c:pt>
                <c:pt idx="403">
                  <c:v>3</c:v>
                </c:pt>
                <c:pt idx="404">
                  <c:v>1</c:v>
                </c:pt>
                <c:pt idx="405">
                  <c:v>1</c:v>
                </c:pt>
                <c:pt idx="406">
                  <c:v>2</c:v>
                </c:pt>
                <c:pt idx="407">
                  <c:v>2</c:v>
                </c:pt>
                <c:pt idx="408">
                  <c:v>2</c:v>
                </c:pt>
                <c:pt idx="409">
                  <c:v>1</c:v>
                </c:pt>
                <c:pt idx="410">
                  <c:v>1</c:v>
                </c:pt>
                <c:pt idx="411">
                  <c:v>2</c:v>
                </c:pt>
                <c:pt idx="412">
                  <c:v>1</c:v>
                </c:pt>
                <c:pt idx="413">
                  <c:v>2</c:v>
                </c:pt>
                <c:pt idx="414">
                  <c:v>1</c:v>
                </c:pt>
                <c:pt idx="415">
                  <c:v>1</c:v>
                </c:pt>
                <c:pt idx="416">
                  <c:v>4</c:v>
                </c:pt>
                <c:pt idx="417">
                  <c:v>2</c:v>
                </c:pt>
                <c:pt idx="418">
                  <c:v>2</c:v>
                </c:pt>
                <c:pt idx="419">
                  <c:v>3</c:v>
                </c:pt>
                <c:pt idx="420">
                  <c:v>3</c:v>
                </c:pt>
                <c:pt idx="421">
                  <c:v>2</c:v>
                </c:pt>
                <c:pt idx="422">
                  <c:v>2</c:v>
                </c:pt>
                <c:pt idx="423">
                  <c:v>1</c:v>
                </c:pt>
                <c:pt idx="424">
                  <c:v>1</c:v>
                </c:pt>
                <c:pt idx="425">
                  <c:v>1</c:v>
                </c:pt>
                <c:pt idx="426">
                  <c:v>2</c:v>
                </c:pt>
                <c:pt idx="427">
                  <c:v>2</c:v>
                </c:pt>
                <c:pt idx="428">
                  <c:v>2</c:v>
                </c:pt>
                <c:pt idx="429">
                  <c:v>4</c:v>
                </c:pt>
                <c:pt idx="430">
                  <c:v>1</c:v>
                </c:pt>
                <c:pt idx="431">
                  <c:v>4</c:v>
                </c:pt>
                <c:pt idx="432">
                  <c:v>2</c:v>
                </c:pt>
                <c:pt idx="433">
                  <c:v>1</c:v>
                </c:pt>
                <c:pt idx="434">
                  <c:v>2</c:v>
                </c:pt>
                <c:pt idx="435">
                  <c:v>2</c:v>
                </c:pt>
                <c:pt idx="436">
                  <c:v>4</c:v>
                </c:pt>
                <c:pt idx="437">
                  <c:v>2</c:v>
                </c:pt>
                <c:pt idx="438">
                  <c:v>2</c:v>
                </c:pt>
                <c:pt idx="439">
                  <c:v>5</c:v>
                </c:pt>
                <c:pt idx="440">
                  <c:v>1</c:v>
                </c:pt>
                <c:pt idx="441">
                  <c:v>1</c:v>
                </c:pt>
                <c:pt idx="442">
                  <c:v>1</c:v>
                </c:pt>
                <c:pt idx="443">
                  <c:v>7</c:v>
                </c:pt>
                <c:pt idx="444">
                  <c:v>2</c:v>
                </c:pt>
                <c:pt idx="445">
                  <c:v>4</c:v>
                </c:pt>
                <c:pt idx="446">
                  <c:v>2</c:v>
                </c:pt>
                <c:pt idx="447">
                  <c:v>1</c:v>
                </c:pt>
                <c:pt idx="448">
                  <c:v>3</c:v>
                </c:pt>
              </c:numCache>
            </c:numRef>
          </c:cat>
          <c:val>
            <c:numRef>
              <c:f>Stats!$R$4:$R$452</c:f>
              <c:numCache>
                <c:formatCode>General</c:formatCode>
                <c:ptCount val="449"/>
                <c:pt idx="0">
                  <c:v>2</c:v>
                </c:pt>
                <c:pt idx="1">
                  <c:v>3</c:v>
                </c:pt>
                <c:pt idx="2">
                  <c:v>5</c:v>
                </c:pt>
                <c:pt idx="3">
                  <c:v>6</c:v>
                </c:pt>
                <c:pt idx="4">
                  <c:v>8</c:v>
                </c:pt>
                <c:pt idx="5">
                  <c:v>10</c:v>
                </c:pt>
                <c:pt idx="6">
                  <c:v>20</c:v>
                </c:pt>
                <c:pt idx="7">
                  <c:v>26</c:v>
                </c:pt>
                <c:pt idx="8">
                  <c:v>30</c:v>
                </c:pt>
                <c:pt idx="9">
                  <c:v>33</c:v>
                </c:pt>
                <c:pt idx="10">
                  <c:v>38</c:v>
                </c:pt>
                <c:pt idx="11">
                  <c:v>43</c:v>
                </c:pt>
                <c:pt idx="12">
                  <c:v>50</c:v>
                </c:pt>
                <c:pt idx="13">
                  <c:v>52</c:v>
                </c:pt>
                <c:pt idx="14">
                  <c:v>55</c:v>
                </c:pt>
                <c:pt idx="15">
                  <c:v>61</c:v>
                </c:pt>
                <c:pt idx="16">
                  <c:v>68</c:v>
                </c:pt>
                <c:pt idx="17">
                  <c:v>72</c:v>
                </c:pt>
                <c:pt idx="18">
                  <c:v>78</c:v>
                </c:pt>
                <c:pt idx="19">
                  <c:v>81</c:v>
                </c:pt>
                <c:pt idx="20">
                  <c:v>87</c:v>
                </c:pt>
                <c:pt idx="21">
                  <c:v>94</c:v>
                </c:pt>
                <c:pt idx="22">
                  <c:v>101</c:v>
                </c:pt>
                <c:pt idx="23">
                  <c:v>104</c:v>
                </c:pt>
                <c:pt idx="24">
                  <c:v>107</c:v>
                </c:pt>
                <c:pt idx="25">
                  <c:v>110</c:v>
                </c:pt>
                <c:pt idx="26">
                  <c:v>118</c:v>
                </c:pt>
                <c:pt idx="27">
                  <c:v>125</c:v>
                </c:pt>
                <c:pt idx="28">
                  <c:v>128</c:v>
                </c:pt>
                <c:pt idx="29">
                  <c:v>133</c:v>
                </c:pt>
                <c:pt idx="30">
                  <c:v>136</c:v>
                </c:pt>
                <c:pt idx="31">
                  <c:v>139</c:v>
                </c:pt>
                <c:pt idx="32">
                  <c:v>143</c:v>
                </c:pt>
                <c:pt idx="33">
                  <c:v>145</c:v>
                </c:pt>
                <c:pt idx="34">
                  <c:v>146</c:v>
                </c:pt>
                <c:pt idx="35">
                  <c:v>147</c:v>
                </c:pt>
                <c:pt idx="36">
                  <c:v>151</c:v>
                </c:pt>
                <c:pt idx="37">
                  <c:v>159</c:v>
                </c:pt>
                <c:pt idx="38">
                  <c:v>161</c:v>
                </c:pt>
                <c:pt idx="39">
                  <c:v>164</c:v>
                </c:pt>
                <c:pt idx="40">
                  <c:v>167</c:v>
                </c:pt>
                <c:pt idx="41">
                  <c:v>171</c:v>
                </c:pt>
                <c:pt idx="42">
                  <c:v>174</c:v>
                </c:pt>
                <c:pt idx="43">
                  <c:v>177</c:v>
                </c:pt>
                <c:pt idx="44">
                  <c:v>180</c:v>
                </c:pt>
                <c:pt idx="45">
                  <c:v>184</c:v>
                </c:pt>
                <c:pt idx="46">
                  <c:v>186</c:v>
                </c:pt>
                <c:pt idx="47">
                  <c:v>189</c:v>
                </c:pt>
                <c:pt idx="48">
                  <c:v>192</c:v>
                </c:pt>
                <c:pt idx="49">
                  <c:v>201</c:v>
                </c:pt>
                <c:pt idx="50">
                  <c:v>205</c:v>
                </c:pt>
                <c:pt idx="51">
                  <c:v>209</c:v>
                </c:pt>
                <c:pt idx="52">
                  <c:v>213</c:v>
                </c:pt>
                <c:pt idx="53">
                  <c:v>216</c:v>
                </c:pt>
                <c:pt idx="54">
                  <c:v>221</c:v>
                </c:pt>
                <c:pt idx="55">
                  <c:v>222</c:v>
                </c:pt>
                <c:pt idx="56">
                  <c:v>226</c:v>
                </c:pt>
                <c:pt idx="57">
                  <c:v>230</c:v>
                </c:pt>
                <c:pt idx="58">
                  <c:v>232</c:v>
                </c:pt>
                <c:pt idx="59">
                  <c:v>234</c:v>
                </c:pt>
                <c:pt idx="60">
                  <c:v>237</c:v>
                </c:pt>
                <c:pt idx="61">
                  <c:v>239</c:v>
                </c:pt>
                <c:pt idx="62">
                  <c:v>242</c:v>
                </c:pt>
                <c:pt idx="63">
                  <c:v>244</c:v>
                </c:pt>
                <c:pt idx="64">
                  <c:v>248</c:v>
                </c:pt>
                <c:pt idx="65">
                  <c:v>253</c:v>
                </c:pt>
                <c:pt idx="66">
                  <c:v>257</c:v>
                </c:pt>
                <c:pt idx="67">
                  <c:v>261</c:v>
                </c:pt>
                <c:pt idx="68">
                  <c:v>264</c:v>
                </c:pt>
                <c:pt idx="69">
                  <c:v>267</c:v>
                </c:pt>
                <c:pt idx="70">
                  <c:v>270</c:v>
                </c:pt>
                <c:pt idx="71">
                  <c:v>280</c:v>
                </c:pt>
                <c:pt idx="72">
                  <c:v>283</c:v>
                </c:pt>
                <c:pt idx="73">
                  <c:v>285</c:v>
                </c:pt>
                <c:pt idx="74">
                  <c:v>288</c:v>
                </c:pt>
                <c:pt idx="75">
                  <c:v>292</c:v>
                </c:pt>
                <c:pt idx="76">
                  <c:v>296</c:v>
                </c:pt>
                <c:pt idx="77">
                  <c:v>300</c:v>
                </c:pt>
                <c:pt idx="78">
                  <c:v>305</c:v>
                </c:pt>
                <c:pt idx="79">
                  <c:v>308</c:v>
                </c:pt>
                <c:pt idx="80">
                  <c:v>311</c:v>
                </c:pt>
                <c:pt idx="81">
                  <c:v>314</c:v>
                </c:pt>
                <c:pt idx="82">
                  <c:v>319</c:v>
                </c:pt>
                <c:pt idx="83">
                  <c:v>321</c:v>
                </c:pt>
                <c:pt idx="84">
                  <c:v>324</c:v>
                </c:pt>
                <c:pt idx="85">
                  <c:v>326</c:v>
                </c:pt>
                <c:pt idx="86">
                  <c:v>331</c:v>
                </c:pt>
                <c:pt idx="87">
                  <c:v>333</c:v>
                </c:pt>
                <c:pt idx="88">
                  <c:v>335</c:v>
                </c:pt>
                <c:pt idx="89">
                  <c:v>338</c:v>
                </c:pt>
                <c:pt idx="90">
                  <c:v>344</c:v>
                </c:pt>
                <c:pt idx="91">
                  <c:v>351</c:v>
                </c:pt>
                <c:pt idx="92">
                  <c:v>355</c:v>
                </c:pt>
                <c:pt idx="93">
                  <c:v>359</c:v>
                </c:pt>
                <c:pt idx="94">
                  <c:v>365</c:v>
                </c:pt>
                <c:pt idx="95">
                  <c:v>369</c:v>
                </c:pt>
                <c:pt idx="96">
                  <c:v>372</c:v>
                </c:pt>
                <c:pt idx="97">
                  <c:v>374</c:v>
                </c:pt>
                <c:pt idx="98">
                  <c:v>375</c:v>
                </c:pt>
                <c:pt idx="99">
                  <c:v>379</c:v>
                </c:pt>
                <c:pt idx="100">
                  <c:v>381</c:v>
                </c:pt>
                <c:pt idx="101">
                  <c:v>383</c:v>
                </c:pt>
                <c:pt idx="102">
                  <c:v>386</c:v>
                </c:pt>
                <c:pt idx="103">
                  <c:v>391</c:v>
                </c:pt>
                <c:pt idx="104">
                  <c:v>394</c:v>
                </c:pt>
                <c:pt idx="105">
                  <c:v>396</c:v>
                </c:pt>
                <c:pt idx="106">
                  <c:v>398</c:v>
                </c:pt>
                <c:pt idx="107">
                  <c:v>402</c:v>
                </c:pt>
                <c:pt idx="108">
                  <c:v>405</c:v>
                </c:pt>
                <c:pt idx="109">
                  <c:v>408</c:v>
                </c:pt>
                <c:pt idx="110">
                  <c:v>411</c:v>
                </c:pt>
                <c:pt idx="111">
                  <c:v>414</c:v>
                </c:pt>
                <c:pt idx="112">
                  <c:v>418</c:v>
                </c:pt>
                <c:pt idx="113">
                  <c:v>421</c:v>
                </c:pt>
                <c:pt idx="114">
                  <c:v>424</c:v>
                </c:pt>
                <c:pt idx="115">
                  <c:v>427</c:v>
                </c:pt>
                <c:pt idx="116">
                  <c:v>430</c:v>
                </c:pt>
                <c:pt idx="117">
                  <c:v>433</c:v>
                </c:pt>
                <c:pt idx="118">
                  <c:v>436</c:v>
                </c:pt>
                <c:pt idx="119">
                  <c:v>440</c:v>
                </c:pt>
                <c:pt idx="120">
                  <c:v>443</c:v>
                </c:pt>
                <c:pt idx="121">
                  <c:v>446</c:v>
                </c:pt>
                <c:pt idx="122">
                  <c:v>447</c:v>
                </c:pt>
                <c:pt idx="123">
                  <c:v>448</c:v>
                </c:pt>
                <c:pt idx="124">
                  <c:v>452</c:v>
                </c:pt>
                <c:pt idx="125">
                  <c:v>453</c:v>
                </c:pt>
                <c:pt idx="126">
                  <c:v>456</c:v>
                </c:pt>
                <c:pt idx="127">
                  <c:v>460</c:v>
                </c:pt>
                <c:pt idx="128">
                  <c:v>464</c:v>
                </c:pt>
                <c:pt idx="129">
                  <c:v>465</c:v>
                </c:pt>
                <c:pt idx="130">
                  <c:v>467</c:v>
                </c:pt>
                <c:pt idx="131">
                  <c:v>475</c:v>
                </c:pt>
                <c:pt idx="132">
                  <c:v>479</c:v>
                </c:pt>
                <c:pt idx="133">
                  <c:v>482</c:v>
                </c:pt>
                <c:pt idx="134">
                  <c:v>485</c:v>
                </c:pt>
                <c:pt idx="135">
                  <c:v>491</c:v>
                </c:pt>
                <c:pt idx="136">
                  <c:v>492</c:v>
                </c:pt>
                <c:pt idx="137">
                  <c:v>494</c:v>
                </c:pt>
                <c:pt idx="138">
                  <c:v>496</c:v>
                </c:pt>
                <c:pt idx="139">
                  <c:v>499</c:v>
                </c:pt>
                <c:pt idx="140">
                  <c:v>503</c:v>
                </c:pt>
                <c:pt idx="141">
                  <c:v>504</c:v>
                </c:pt>
                <c:pt idx="142">
                  <c:v>505</c:v>
                </c:pt>
                <c:pt idx="143">
                  <c:v>506</c:v>
                </c:pt>
                <c:pt idx="144">
                  <c:v>508</c:v>
                </c:pt>
                <c:pt idx="145">
                  <c:v>513</c:v>
                </c:pt>
                <c:pt idx="146">
                  <c:v>515</c:v>
                </c:pt>
                <c:pt idx="147">
                  <c:v>516</c:v>
                </c:pt>
                <c:pt idx="148">
                  <c:v>518</c:v>
                </c:pt>
                <c:pt idx="149">
                  <c:v>519</c:v>
                </c:pt>
                <c:pt idx="150">
                  <c:v>523</c:v>
                </c:pt>
                <c:pt idx="151">
                  <c:v>524</c:v>
                </c:pt>
                <c:pt idx="152">
                  <c:v>525</c:v>
                </c:pt>
                <c:pt idx="153">
                  <c:v>526</c:v>
                </c:pt>
                <c:pt idx="154">
                  <c:v>527</c:v>
                </c:pt>
                <c:pt idx="155">
                  <c:v>531</c:v>
                </c:pt>
                <c:pt idx="156">
                  <c:v>535</c:v>
                </c:pt>
                <c:pt idx="157">
                  <c:v>539</c:v>
                </c:pt>
                <c:pt idx="158">
                  <c:v>540</c:v>
                </c:pt>
                <c:pt idx="159">
                  <c:v>541</c:v>
                </c:pt>
                <c:pt idx="160">
                  <c:v>547</c:v>
                </c:pt>
                <c:pt idx="161">
                  <c:v>551</c:v>
                </c:pt>
                <c:pt idx="162">
                  <c:v>552</c:v>
                </c:pt>
                <c:pt idx="163">
                  <c:v>553</c:v>
                </c:pt>
                <c:pt idx="164">
                  <c:v>554</c:v>
                </c:pt>
                <c:pt idx="165">
                  <c:v>558</c:v>
                </c:pt>
                <c:pt idx="166">
                  <c:v>560</c:v>
                </c:pt>
                <c:pt idx="167">
                  <c:v>562</c:v>
                </c:pt>
                <c:pt idx="168">
                  <c:v>565</c:v>
                </c:pt>
                <c:pt idx="169">
                  <c:v>569</c:v>
                </c:pt>
                <c:pt idx="170">
                  <c:v>573</c:v>
                </c:pt>
                <c:pt idx="171">
                  <c:v>576</c:v>
                </c:pt>
                <c:pt idx="172">
                  <c:v>579</c:v>
                </c:pt>
                <c:pt idx="173">
                  <c:v>585</c:v>
                </c:pt>
                <c:pt idx="174">
                  <c:v>590</c:v>
                </c:pt>
                <c:pt idx="175">
                  <c:v>594</c:v>
                </c:pt>
                <c:pt idx="176">
                  <c:v>599</c:v>
                </c:pt>
                <c:pt idx="177">
                  <c:v>604</c:v>
                </c:pt>
                <c:pt idx="178">
                  <c:v>606</c:v>
                </c:pt>
                <c:pt idx="179">
                  <c:v>609</c:v>
                </c:pt>
                <c:pt idx="180">
                  <c:v>614</c:v>
                </c:pt>
                <c:pt idx="181">
                  <c:v>618</c:v>
                </c:pt>
                <c:pt idx="182">
                  <c:v>619</c:v>
                </c:pt>
                <c:pt idx="183">
                  <c:v>622</c:v>
                </c:pt>
                <c:pt idx="184">
                  <c:v>625</c:v>
                </c:pt>
                <c:pt idx="185">
                  <c:v>628</c:v>
                </c:pt>
                <c:pt idx="186">
                  <c:v>631</c:v>
                </c:pt>
                <c:pt idx="187">
                  <c:v>633</c:v>
                </c:pt>
                <c:pt idx="188">
                  <c:v>638</c:v>
                </c:pt>
                <c:pt idx="189">
                  <c:v>640</c:v>
                </c:pt>
                <c:pt idx="190">
                  <c:v>643</c:v>
                </c:pt>
                <c:pt idx="191">
                  <c:v>645</c:v>
                </c:pt>
                <c:pt idx="192">
                  <c:v>649</c:v>
                </c:pt>
                <c:pt idx="193">
                  <c:v>652</c:v>
                </c:pt>
                <c:pt idx="194">
                  <c:v>654</c:v>
                </c:pt>
                <c:pt idx="195">
                  <c:v>657</c:v>
                </c:pt>
                <c:pt idx="196">
                  <c:v>662</c:v>
                </c:pt>
                <c:pt idx="197">
                  <c:v>664</c:v>
                </c:pt>
                <c:pt idx="198">
                  <c:v>668</c:v>
                </c:pt>
                <c:pt idx="199">
                  <c:v>671</c:v>
                </c:pt>
                <c:pt idx="200">
                  <c:v>673</c:v>
                </c:pt>
                <c:pt idx="201">
                  <c:v>677</c:v>
                </c:pt>
                <c:pt idx="202">
                  <c:v>678</c:v>
                </c:pt>
                <c:pt idx="203">
                  <c:v>680</c:v>
                </c:pt>
                <c:pt idx="204">
                  <c:v>683</c:v>
                </c:pt>
                <c:pt idx="205">
                  <c:v>688</c:v>
                </c:pt>
                <c:pt idx="206">
                  <c:v>690</c:v>
                </c:pt>
                <c:pt idx="207">
                  <c:v>696</c:v>
                </c:pt>
                <c:pt idx="208">
                  <c:v>699</c:v>
                </c:pt>
                <c:pt idx="209">
                  <c:v>701</c:v>
                </c:pt>
                <c:pt idx="210">
                  <c:v>705</c:v>
                </c:pt>
                <c:pt idx="211">
                  <c:v>709</c:v>
                </c:pt>
                <c:pt idx="212">
                  <c:v>712</c:v>
                </c:pt>
                <c:pt idx="213">
                  <c:v>714</c:v>
                </c:pt>
                <c:pt idx="214">
                  <c:v>717</c:v>
                </c:pt>
                <c:pt idx="215">
                  <c:v>722</c:v>
                </c:pt>
                <c:pt idx="216">
                  <c:v>725</c:v>
                </c:pt>
                <c:pt idx="217">
                  <c:v>730</c:v>
                </c:pt>
                <c:pt idx="218">
                  <c:v>734</c:v>
                </c:pt>
                <c:pt idx="219">
                  <c:v>738</c:v>
                </c:pt>
                <c:pt idx="220">
                  <c:v>742</c:v>
                </c:pt>
                <c:pt idx="221">
                  <c:v>746</c:v>
                </c:pt>
                <c:pt idx="222">
                  <c:v>748</c:v>
                </c:pt>
                <c:pt idx="223">
                  <c:v>752</c:v>
                </c:pt>
                <c:pt idx="224">
                  <c:v>756</c:v>
                </c:pt>
                <c:pt idx="225">
                  <c:v>761</c:v>
                </c:pt>
                <c:pt idx="226">
                  <c:v>765</c:v>
                </c:pt>
                <c:pt idx="227">
                  <c:v>769</c:v>
                </c:pt>
                <c:pt idx="228">
                  <c:v>772</c:v>
                </c:pt>
                <c:pt idx="229">
                  <c:v>776</c:v>
                </c:pt>
                <c:pt idx="230">
                  <c:v>778</c:v>
                </c:pt>
                <c:pt idx="231">
                  <c:v>780</c:v>
                </c:pt>
                <c:pt idx="232">
                  <c:v>784</c:v>
                </c:pt>
                <c:pt idx="233">
                  <c:v>789</c:v>
                </c:pt>
                <c:pt idx="234">
                  <c:v>795</c:v>
                </c:pt>
                <c:pt idx="235">
                  <c:v>797</c:v>
                </c:pt>
                <c:pt idx="236">
                  <c:v>799</c:v>
                </c:pt>
                <c:pt idx="237">
                  <c:v>803</c:v>
                </c:pt>
                <c:pt idx="238">
                  <c:v>807</c:v>
                </c:pt>
                <c:pt idx="239">
                  <c:v>810</c:v>
                </c:pt>
                <c:pt idx="240">
                  <c:v>813</c:v>
                </c:pt>
                <c:pt idx="241">
                  <c:v>815</c:v>
                </c:pt>
                <c:pt idx="242">
                  <c:v>822</c:v>
                </c:pt>
                <c:pt idx="243">
                  <c:v>826</c:v>
                </c:pt>
                <c:pt idx="244">
                  <c:v>830</c:v>
                </c:pt>
                <c:pt idx="245">
                  <c:v>833</c:v>
                </c:pt>
                <c:pt idx="246">
                  <c:v>838</c:v>
                </c:pt>
                <c:pt idx="247">
                  <c:v>843</c:v>
                </c:pt>
                <c:pt idx="248">
                  <c:v>845</c:v>
                </c:pt>
                <c:pt idx="249">
                  <c:v>847</c:v>
                </c:pt>
                <c:pt idx="250">
                  <c:v>851</c:v>
                </c:pt>
                <c:pt idx="251">
                  <c:v>855</c:v>
                </c:pt>
                <c:pt idx="252">
                  <c:v>859</c:v>
                </c:pt>
                <c:pt idx="253">
                  <c:v>863</c:v>
                </c:pt>
                <c:pt idx="254">
                  <c:v>865</c:v>
                </c:pt>
                <c:pt idx="255">
                  <c:v>873</c:v>
                </c:pt>
                <c:pt idx="256">
                  <c:v>877</c:v>
                </c:pt>
                <c:pt idx="257">
                  <c:v>882</c:v>
                </c:pt>
                <c:pt idx="258">
                  <c:v>887</c:v>
                </c:pt>
                <c:pt idx="259">
                  <c:v>894</c:v>
                </c:pt>
                <c:pt idx="260">
                  <c:v>896</c:v>
                </c:pt>
                <c:pt idx="261">
                  <c:v>900</c:v>
                </c:pt>
                <c:pt idx="262">
                  <c:v>902</c:v>
                </c:pt>
                <c:pt idx="263">
                  <c:v>904</c:v>
                </c:pt>
                <c:pt idx="264">
                  <c:v>906</c:v>
                </c:pt>
                <c:pt idx="265">
                  <c:v>908</c:v>
                </c:pt>
                <c:pt idx="266">
                  <c:v>911</c:v>
                </c:pt>
                <c:pt idx="267">
                  <c:v>912</c:v>
                </c:pt>
                <c:pt idx="268">
                  <c:v>916</c:v>
                </c:pt>
                <c:pt idx="269">
                  <c:v>922</c:v>
                </c:pt>
                <c:pt idx="270">
                  <c:v>926</c:v>
                </c:pt>
                <c:pt idx="271">
                  <c:v>930</c:v>
                </c:pt>
                <c:pt idx="272">
                  <c:v>935</c:v>
                </c:pt>
                <c:pt idx="273">
                  <c:v>939</c:v>
                </c:pt>
                <c:pt idx="274">
                  <c:v>945</c:v>
                </c:pt>
                <c:pt idx="275">
                  <c:v>951</c:v>
                </c:pt>
                <c:pt idx="276">
                  <c:v>959</c:v>
                </c:pt>
                <c:pt idx="277">
                  <c:v>963</c:v>
                </c:pt>
                <c:pt idx="278">
                  <c:v>968</c:v>
                </c:pt>
                <c:pt idx="279">
                  <c:v>971</c:v>
                </c:pt>
                <c:pt idx="280">
                  <c:v>974</c:v>
                </c:pt>
                <c:pt idx="281">
                  <c:v>980</c:v>
                </c:pt>
                <c:pt idx="282">
                  <c:v>986</c:v>
                </c:pt>
                <c:pt idx="283">
                  <c:v>989</c:v>
                </c:pt>
                <c:pt idx="284">
                  <c:v>991</c:v>
                </c:pt>
                <c:pt idx="285">
                  <c:v>993</c:v>
                </c:pt>
                <c:pt idx="286">
                  <c:v>995</c:v>
                </c:pt>
                <c:pt idx="287">
                  <c:v>997</c:v>
                </c:pt>
                <c:pt idx="288">
                  <c:v>999</c:v>
                </c:pt>
                <c:pt idx="289">
                  <c:v>1003</c:v>
                </c:pt>
                <c:pt idx="290">
                  <c:v>1003</c:v>
                </c:pt>
                <c:pt idx="291">
                  <c:v>1004</c:v>
                </c:pt>
                <c:pt idx="292">
                  <c:v>1005</c:v>
                </c:pt>
                <c:pt idx="293">
                  <c:v>1007</c:v>
                </c:pt>
                <c:pt idx="294">
                  <c:v>1011</c:v>
                </c:pt>
                <c:pt idx="295">
                  <c:v>1013</c:v>
                </c:pt>
                <c:pt idx="296">
                  <c:v>1016</c:v>
                </c:pt>
                <c:pt idx="297">
                  <c:v>1017</c:v>
                </c:pt>
                <c:pt idx="298">
                  <c:v>1022</c:v>
                </c:pt>
                <c:pt idx="299">
                  <c:v>1023</c:v>
                </c:pt>
                <c:pt idx="300">
                  <c:v>1025</c:v>
                </c:pt>
                <c:pt idx="301">
                  <c:v>1028</c:v>
                </c:pt>
                <c:pt idx="302">
                  <c:v>1029</c:v>
                </c:pt>
                <c:pt idx="303">
                  <c:v>1030</c:v>
                </c:pt>
                <c:pt idx="304">
                  <c:v>1034</c:v>
                </c:pt>
                <c:pt idx="305">
                  <c:v>1038</c:v>
                </c:pt>
                <c:pt idx="306">
                  <c:v>1041</c:v>
                </c:pt>
                <c:pt idx="307">
                  <c:v>1044</c:v>
                </c:pt>
                <c:pt idx="308">
                  <c:v>1045</c:v>
                </c:pt>
                <c:pt idx="309">
                  <c:v>1049</c:v>
                </c:pt>
                <c:pt idx="310">
                  <c:v>1053</c:v>
                </c:pt>
                <c:pt idx="311">
                  <c:v>1057</c:v>
                </c:pt>
                <c:pt idx="312">
                  <c:v>1059</c:v>
                </c:pt>
                <c:pt idx="313">
                  <c:v>1062</c:v>
                </c:pt>
                <c:pt idx="314">
                  <c:v>1065</c:v>
                </c:pt>
                <c:pt idx="315">
                  <c:v>1066</c:v>
                </c:pt>
                <c:pt idx="316">
                  <c:v>1068</c:v>
                </c:pt>
                <c:pt idx="317">
                  <c:v>1069</c:v>
                </c:pt>
                <c:pt idx="318">
                  <c:v>1070</c:v>
                </c:pt>
                <c:pt idx="319">
                  <c:v>1073</c:v>
                </c:pt>
                <c:pt idx="320">
                  <c:v>1076</c:v>
                </c:pt>
                <c:pt idx="321">
                  <c:v>1079</c:v>
                </c:pt>
                <c:pt idx="322">
                  <c:v>1084</c:v>
                </c:pt>
                <c:pt idx="323">
                  <c:v>1087</c:v>
                </c:pt>
                <c:pt idx="324">
                  <c:v>1090</c:v>
                </c:pt>
                <c:pt idx="325">
                  <c:v>1093</c:v>
                </c:pt>
                <c:pt idx="326">
                  <c:v>1095</c:v>
                </c:pt>
                <c:pt idx="327">
                  <c:v>1099</c:v>
                </c:pt>
                <c:pt idx="328">
                  <c:v>1100</c:v>
                </c:pt>
                <c:pt idx="329">
                  <c:v>1102</c:v>
                </c:pt>
                <c:pt idx="330">
                  <c:v>1103</c:v>
                </c:pt>
                <c:pt idx="331">
                  <c:v>1105</c:v>
                </c:pt>
                <c:pt idx="332">
                  <c:v>1109</c:v>
                </c:pt>
                <c:pt idx="333">
                  <c:v>1113</c:v>
                </c:pt>
                <c:pt idx="334">
                  <c:v>1116</c:v>
                </c:pt>
                <c:pt idx="335">
                  <c:v>1119</c:v>
                </c:pt>
                <c:pt idx="336">
                  <c:v>1121</c:v>
                </c:pt>
                <c:pt idx="337">
                  <c:v>1125</c:v>
                </c:pt>
                <c:pt idx="338">
                  <c:v>1128</c:v>
                </c:pt>
                <c:pt idx="339">
                  <c:v>1130</c:v>
                </c:pt>
                <c:pt idx="340">
                  <c:v>1134</c:v>
                </c:pt>
                <c:pt idx="341">
                  <c:v>1138</c:v>
                </c:pt>
                <c:pt idx="342">
                  <c:v>1140</c:v>
                </c:pt>
                <c:pt idx="343">
                  <c:v>1143</c:v>
                </c:pt>
                <c:pt idx="344">
                  <c:v>1147</c:v>
                </c:pt>
                <c:pt idx="345">
                  <c:v>1149</c:v>
                </c:pt>
                <c:pt idx="346">
                  <c:v>1150</c:v>
                </c:pt>
                <c:pt idx="347">
                  <c:v>1151</c:v>
                </c:pt>
                <c:pt idx="348">
                  <c:v>1153</c:v>
                </c:pt>
                <c:pt idx="349">
                  <c:v>1157</c:v>
                </c:pt>
                <c:pt idx="350">
                  <c:v>1159</c:v>
                </c:pt>
                <c:pt idx="351">
                  <c:v>1161</c:v>
                </c:pt>
                <c:pt idx="352">
                  <c:v>1166</c:v>
                </c:pt>
                <c:pt idx="353">
                  <c:v>1171</c:v>
                </c:pt>
                <c:pt idx="354">
                  <c:v>1175</c:v>
                </c:pt>
                <c:pt idx="355">
                  <c:v>1179</c:v>
                </c:pt>
                <c:pt idx="356">
                  <c:v>1186</c:v>
                </c:pt>
                <c:pt idx="357">
                  <c:v>1188</c:v>
                </c:pt>
                <c:pt idx="358">
                  <c:v>1191</c:v>
                </c:pt>
                <c:pt idx="359">
                  <c:v>1195</c:v>
                </c:pt>
                <c:pt idx="360">
                  <c:v>1250</c:v>
                </c:pt>
                <c:pt idx="361">
                  <c:v>1252</c:v>
                </c:pt>
                <c:pt idx="362">
                  <c:v>1258</c:v>
                </c:pt>
                <c:pt idx="363">
                  <c:v>1262</c:v>
                </c:pt>
                <c:pt idx="364">
                  <c:v>1270</c:v>
                </c:pt>
                <c:pt idx="365">
                  <c:v>1271</c:v>
                </c:pt>
                <c:pt idx="366">
                  <c:v>1272</c:v>
                </c:pt>
                <c:pt idx="367">
                  <c:v>1273</c:v>
                </c:pt>
                <c:pt idx="368">
                  <c:v>1274</c:v>
                </c:pt>
                <c:pt idx="369">
                  <c:v>1275</c:v>
                </c:pt>
                <c:pt idx="370">
                  <c:v>1277</c:v>
                </c:pt>
                <c:pt idx="371">
                  <c:v>1278</c:v>
                </c:pt>
                <c:pt idx="372">
                  <c:v>1280</c:v>
                </c:pt>
                <c:pt idx="373">
                  <c:v>1282</c:v>
                </c:pt>
                <c:pt idx="374">
                  <c:v>1284</c:v>
                </c:pt>
                <c:pt idx="375">
                  <c:v>1286</c:v>
                </c:pt>
                <c:pt idx="376">
                  <c:v>1288</c:v>
                </c:pt>
                <c:pt idx="377">
                  <c:v>1292</c:v>
                </c:pt>
                <c:pt idx="378">
                  <c:v>1295</c:v>
                </c:pt>
                <c:pt idx="379">
                  <c:v>1297</c:v>
                </c:pt>
                <c:pt idx="380">
                  <c:v>1298</c:v>
                </c:pt>
                <c:pt idx="381">
                  <c:v>1307</c:v>
                </c:pt>
                <c:pt idx="382">
                  <c:v>1309</c:v>
                </c:pt>
                <c:pt idx="383">
                  <c:v>1312</c:v>
                </c:pt>
                <c:pt idx="384">
                  <c:v>1316</c:v>
                </c:pt>
                <c:pt idx="385">
                  <c:v>1317</c:v>
                </c:pt>
                <c:pt idx="386">
                  <c:v>1318</c:v>
                </c:pt>
                <c:pt idx="387">
                  <c:v>1320</c:v>
                </c:pt>
                <c:pt idx="388">
                  <c:v>1321</c:v>
                </c:pt>
                <c:pt idx="389">
                  <c:v>1326</c:v>
                </c:pt>
                <c:pt idx="390">
                  <c:v>1329</c:v>
                </c:pt>
                <c:pt idx="391">
                  <c:v>1331</c:v>
                </c:pt>
                <c:pt idx="392">
                  <c:v>1333</c:v>
                </c:pt>
                <c:pt idx="393">
                  <c:v>1335</c:v>
                </c:pt>
                <c:pt idx="394">
                  <c:v>1339</c:v>
                </c:pt>
                <c:pt idx="395">
                  <c:v>1340</c:v>
                </c:pt>
                <c:pt idx="396">
                  <c:v>1343</c:v>
                </c:pt>
                <c:pt idx="397">
                  <c:v>1345</c:v>
                </c:pt>
                <c:pt idx="398">
                  <c:v>1349</c:v>
                </c:pt>
                <c:pt idx="399">
                  <c:v>1352</c:v>
                </c:pt>
                <c:pt idx="400">
                  <c:v>1360</c:v>
                </c:pt>
                <c:pt idx="401">
                  <c:v>1363</c:v>
                </c:pt>
                <c:pt idx="402">
                  <c:v>1367</c:v>
                </c:pt>
                <c:pt idx="403">
                  <c:v>1370</c:v>
                </c:pt>
                <c:pt idx="404">
                  <c:v>1371</c:v>
                </c:pt>
                <c:pt idx="405">
                  <c:v>1372</c:v>
                </c:pt>
                <c:pt idx="406">
                  <c:v>1374</c:v>
                </c:pt>
                <c:pt idx="407">
                  <c:v>1376</c:v>
                </c:pt>
                <c:pt idx="408">
                  <c:v>1378</c:v>
                </c:pt>
                <c:pt idx="409">
                  <c:v>1379</c:v>
                </c:pt>
                <c:pt idx="410">
                  <c:v>1380</c:v>
                </c:pt>
                <c:pt idx="411">
                  <c:v>1382</c:v>
                </c:pt>
                <c:pt idx="412">
                  <c:v>1383</c:v>
                </c:pt>
                <c:pt idx="413">
                  <c:v>1385</c:v>
                </c:pt>
                <c:pt idx="414">
                  <c:v>1386</c:v>
                </c:pt>
                <c:pt idx="415">
                  <c:v>1387</c:v>
                </c:pt>
                <c:pt idx="416">
                  <c:v>1391</c:v>
                </c:pt>
                <c:pt idx="417">
                  <c:v>1393</c:v>
                </c:pt>
                <c:pt idx="418">
                  <c:v>1395</c:v>
                </c:pt>
                <c:pt idx="419">
                  <c:v>1398</c:v>
                </c:pt>
                <c:pt idx="420">
                  <c:v>1401</c:v>
                </c:pt>
                <c:pt idx="421">
                  <c:v>1403</c:v>
                </c:pt>
                <c:pt idx="422">
                  <c:v>1405</c:v>
                </c:pt>
                <c:pt idx="423">
                  <c:v>1406</c:v>
                </c:pt>
                <c:pt idx="424">
                  <c:v>1407</c:v>
                </c:pt>
                <c:pt idx="425">
                  <c:v>1408</c:v>
                </c:pt>
                <c:pt idx="426">
                  <c:v>1410</c:v>
                </c:pt>
                <c:pt idx="427">
                  <c:v>1412</c:v>
                </c:pt>
                <c:pt idx="428">
                  <c:v>1414</c:v>
                </c:pt>
                <c:pt idx="429">
                  <c:v>1418</c:v>
                </c:pt>
                <c:pt idx="430">
                  <c:v>1419</c:v>
                </c:pt>
                <c:pt idx="431">
                  <c:v>1423</c:v>
                </c:pt>
                <c:pt idx="432">
                  <c:v>1425</c:v>
                </c:pt>
                <c:pt idx="433">
                  <c:v>1426</c:v>
                </c:pt>
                <c:pt idx="434">
                  <c:v>1428</c:v>
                </c:pt>
                <c:pt idx="435">
                  <c:v>1430</c:v>
                </c:pt>
                <c:pt idx="436">
                  <c:v>1434</c:v>
                </c:pt>
                <c:pt idx="437">
                  <c:v>1436</c:v>
                </c:pt>
                <c:pt idx="438">
                  <c:v>1438</c:v>
                </c:pt>
                <c:pt idx="439">
                  <c:v>1443</c:v>
                </c:pt>
                <c:pt idx="440">
                  <c:v>1444</c:v>
                </c:pt>
                <c:pt idx="441">
                  <c:v>1445</c:v>
                </c:pt>
                <c:pt idx="442">
                  <c:v>1446</c:v>
                </c:pt>
                <c:pt idx="443">
                  <c:v>1453</c:v>
                </c:pt>
                <c:pt idx="444">
                  <c:v>1455</c:v>
                </c:pt>
                <c:pt idx="445">
                  <c:v>1459</c:v>
                </c:pt>
                <c:pt idx="446">
                  <c:v>1461</c:v>
                </c:pt>
                <c:pt idx="447">
                  <c:v>1462</c:v>
                </c:pt>
                <c:pt idx="448">
                  <c:v>1465</c:v>
                </c:pt>
              </c:numCache>
            </c:numRef>
          </c:val>
          <c:extLst>
            <c:ext xmlns:c16="http://schemas.microsoft.com/office/drawing/2014/chart" uri="{C3380CC4-5D6E-409C-BE32-E72D297353CC}">
              <c16:uniqueId val="{00000000-510B-4BEA-A662-CD5FB04F74B3}"/>
            </c:ext>
          </c:extLst>
        </c:ser>
        <c:dLbls>
          <c:showLegendKey val="0"/>
          <c:showVal val="0"/>
          <c:showCatName val="0"/>
          <c:showSerName val="0"/>
          <c:showPercent val="0"/>
          <c:showBubbleSize val="0"/>
        </c:dLbls>
        <c:gapWidth val="219"/>
        <c:overlap val="-27"/>
        <c:axId val="1674247616"/>
        <c:axId val="1674272096"/>
      </c:barChart>
      <c:catAx>
        <c:axId val="1674247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u-HU"/>
          </a:p>
        </c:txPr>
        <c:crossAx val="1674272096"/>
        <c:crosses val="autoZero"/>
        <c:auto val="1"/>
        <c:lblAlgn val="ctr"/>
        <c:lblOffset val="100"/>
        <c:noMultiLvlLbl val="0"/>
      </c:catAx>
      <c:valAx>
        <c:axId val="16742720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u-HU"/>
          </a:p>
        </c:txPr>
        <c:crossAx val="16742476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hu-HU"/>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kumimoji="0" lang="hu-HU" sz="1400" b="0" i="0" u="none" strike="noStrike" kern="1200" cap="none" spc="0" normalizeH="0" baseline="0" noProof="0">
                <a:ln>
                  <a:noFill/>
                </a:ln>
                <a:solidFill>
                  <a:sysClr val="windowText" lastClr="000000">
                    <a:lumMod val="65000"/>
                    <a:lumOff val="35000"/>
                  </a:sysClr>
                </a:solidFill>
                <a:effectLst/>
                <a:uLnTx/>
                <a:uFillTx/>
              </a:rPr>
              <a:t>All injections, cumulative sum </a:t>
            </a:r>
            <a:endParaRPr kumimoji="0" lang="en-US" sz="1400" b="0" i="0" u="none" strike="noStrike" kern="1200" cap="none" spc="0" normalizeH="0" baseline="0" noProof="0">
              <a:ln>
                <a:noFill/>
              </a:ln>
              <a:solidFill>
                <a:sysClr val="windowText" lastClr="000000">
                  <a:lumMod val="65000"/>
                  <a:lumOff val="35000"/>
                </a:sysClr>
              </a:solidFill>
              <a:effectLst/>
              <a:uLnTx/>
              <a:uFillTx/>
            </a:endParaRPr>
          </a:p>
        </c:rich>
      </c:tx>
      <c:layout>
        <c:manualLayout>
          <c:xMode val="edge"/>
          <c:yMode val="edge"/>
          <c:x val="0.27032812634497927"/>
          <c:y val="3.124128449648181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Stats!$AJ$3</c:f>
              <c:strCache>
                <c:ptCount val="1"/>
                <c:pt idx="0">
                  <c:v>SUM</c:v>
                </c:pt>
              </c:strCache>
            </c:strRef>
          </c:tx>
          <c:spPr>
            <a:solidFill>
              <a:schemeClr val="accent1"/>
            </a:solidFill>
            <a:ln>
              <a:noFill/>
            </a:ln>
            <a:effectLst/>
          </c:spPr>
          <c:invertIfNegative val="0"/>
          <c:trendline>
            <c:spPr>
              <a:ln w="28575" cap="rnd">
                <a:solidFill>
                  <a:srgbClr val="FF0000"/>
                </a:solidFill>
                <a:prstDash val="sysDash"/>
              </a:ln>
              <a:effectLst/>
            </c:spPr>
            <c:trendlineType val="linear"/>
            <c:intercept val="0"/>
            <c:dispRSqr val="0"/>
            <c:dispEq val="1"/>
            <c:trendlineLbl>
              <c:layout>
                <c:manualLayout>
                  <c:x val="-5.9611448830716493E-2"/>
                  <c:y val="-1.5972106698826347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u-HU"/>
                </a:p>
              </c:txPr>
            </c:trendlineLbl>
          </c:trendline>
          <c:cat>
            <c:numRef>
              <c:f>Stats!$AI$11:$AI$63</c:f>
              <c:numCache>
                <c:formatCode>0</c:formatCode>
                <c:ptCount val="53"/>
                <c:pt idx="0">
                  <c:v>0</c:v>
                </c:pt>
                <c:pt idx="1">
                  <c:v>1</c:v>
                </c:pt>
                <c:pt idx="2">
                  <c:v>2</c:v>
                </c:pt>
                <c:pt idx="3">
                  <c:v>6</c:v>
                </c:pt>
                <c:pt idx="4">
                  <c:v>7</c:v>
                </c:pt>
                <c:pt idx="5">
                  <c:v>8</c:v>
                </c:pt>
                <c:pt idx="6">
                  <c:v>14</c:v>
                </c:pt>
                <c:pt idx="7">
                  <c:v>15</c:v>
                </c:pt>
                <c:pt idx="8">
                  <c:v>16</c:v>
                </c:pt>
                <c:pt idx="9">
                  <c:v>21</c:v>
                </c:pt>
                <c:pt idx="10">
                  <c:v>23</c:v>
                </c:pt>
                <c:pt idx="11">
                  <c:v>24</c:v>
                </c:pt>
                <c:pt idx="12">
                  <c:v>25</c:v>
                </c:pt>
                <c:pt idx="13">
                  <c:v>26</c:v>
                </c:pt>
                <c:pt idx="14">
                  <c:v>27</c:v>
                </c:pt>
                <c:pt idx="15">
                  <c:v>28</c:v>
                </c:pt>
                <c:pt idx="16">
                  <c:v>29</c:v>
                </c:pt>
                <c:pt idx="17">
                  <c:v>30</c:v>
                </c:pt>
                <c:pt idx="18">
                  <c:v>34</c:v>
                </c:pt>
                <c:pt idx="19">
                  <c:v>35</c:v>
                </c:pt>
                <c:pt idx="20">
                  <c:v>36</c:v>
                </c:pt>
                <c:pt idx="21">
                  <c:v>37</c:v>
                </c:pt>
                <c:pt idx="22">
                  <c:v>40</c:v>
                </c:pt>
                <c:pt idx="23">
                  <c:v>41</c:v>
                </c:pt>
                <c:pt idx="24">
                  <c:v>43</c:v>
                </c:pt>
                <c:pt idx="25">
                  <c:v>44</c:v>
                </c:pt>
                <c:pt idx="26">
                  <c:v>45</c:v>
                </c:pt>
                <c:pt idx="27">
                  <c:v>46</c:v>
                </c:pt>
                <c:pt idx="28">
                  <c:v>47</c:v>
                </c:pt>
                <c:pt idx="29">
                  <c:v>48</c:v>
                </c:pt>
                <c:pt idx="30">
                  <c:v>49</c:v>
                </c:pt>
                <c:pt idx="31">
                  <c:v>90</c:v>
                </c:pt>
                <c:pt idx="32">
                  <c:v>94</c:v>
                </c:pt>
                <c:pt idx="33">
                  <c:v>97</c:v>
                </c:pt>
                <c:pt idx="34">
                  <c:v>98</c:v>
                </c:pt>
                <c:pt idx="35">
                  <c:v>100</c:v>
                </c:pt>
                <c:pt idx="36">
                  <c:v>103</c:v>
                </c:pt>
                <c:pt idx="37">
                  <c:v>108</c:v>
                </c:pt>
                <c:pt idx="38">
                  <c:v>110</c:v>
                </c:pt>
                <c:pt idx="39">
                  <c:v>111</c:v>
                </c:pt>
                <c:pt idx="40">
                  <c:v>112</c:v>
                </c:pt>
                <c:pt idx="41">
                  <c:v>123</c:v>
                </c:pt>
                <c:pt idx="42">
                  <c:v>124</c:v>
                </c:pt>
                <c:pt idx="43">
                  <c:v>129</c:v>
                </c:pt>
                <c:pt idx="44">
                  <c:v>131</c:v>
                </c:pt>
                <c:pt idx="45">
                  <c:v>152</c:v>
                </c:pt>
                <c:pt idx="46">
                  <c:v>153</c:v>
                </c:pt>
                <c:pt idx="47">
                  <c:v>154</c:v>
                </c:pt>
                <c:pt idx="48">
                  <c:v>161</c:v>
                </c:pt>
                <c:pt idx="49">
                  <c:v>162</c:v>
                </c:pt>
                <c:pt idx="50">
                  <c:v>168</c:v>
                </c:pt>
                <c:pt idx="51">
                  <c:v>169</c:v>
                </c:pt>
                <c:pt idx="52">
                  <c:v>170</c:v>
                </c:pt>
              </c:numCache>
            </c:numRef>
          </c:cat>
          <c:val>
            <c:numRef>
              <c:f>Stats!$AJ$11:$AJ$63</c:f>
              <c:numCache>
                <c:formatCode>General</c:formatCode>
                <c:ptCount val="53"/>
                <c:pt idx="0">
                  <c:v>4</c:v>
                </c:pt>
                <c:pt idx="1">
                  <c:v>8</c:v>
                </c:pt>
                <c:pt idx="2">
                  <c:v>14</c:v>
                </c:pt>
                <c:pt idx="3">
                  <c:v>16</c:v>
                </c:pt>
                <c:pt idx="4">
                  <c:v>18</c:v>
                </c:pt>
                <c:pt idx="5">
                  <c:v>21</c:v>
                </c:pt>
                <c:pt idx="6">
                  <c:v>25</c:v>
                </c:pt>
                <c:pt idx="7">
                  <c:v>27</c:v>
                </c:pt>
                <c:pt idx="8">
                  <c:v>28</c:v>
                </c:pt>
                <c:pt idx="9">
                  <c:v>29</c:v>
                </c:pt>
                <c:pt idx="10">
                  <c:v>30</c:v>
                </c:pt>
                <c:pt idx="11">
                  <c:v>32</c:v>
                </c:pt>
                <c:pt idx="12">
                  <c:v>34</c:v>
                </c:pt>
                <c:pt idx="13">
                  <c:v>36</c:v>
                </c:pt>
                <c:pt idx="14">
                  <c:v>39</c:v>
                </c:pt>
                <c:pt idx="15">
                  <c:v>42</c:v>
                </c:pt>
                <c:pt idx="16">
                  <c:v>44</c:v>
                </c:pt>
                <c:pt idx="17">
                  <c:v>47</c:v>
                </c:pt>
                <c:pt idx="18">
                  <c:v>51</c:v>
                </c:pt>
                <c:pt idx="19">
                  <c:v>52</c:v>
                </c:pt>
                <c:pt idx="20">
                  <c:v>55</c:v>
                </c:pt>
                <c:pt idx="21">
                  <c:v>58</c:v>
                </c:pt>
                <c:pt idx="22">
                  <c:v>59</c:v>
                </c:pt>
                <c:pt idx="23">
                  <c:v>60</c:v>
                </c:pt>
                <c:pt idx="24">
                  <c:v>62</c:v>
                </c:pt>
                <c:pt idx="25">
                  <c:v>64</c:v>
                </c:pt>
                <c:pt idx="26">
                  <c:v>67</c:v>
                </c:pt>
                <c:pt idx="27">
                  <c:v>70</c:v>
                </c:pt>
                <c:pt idx="28">
                  <c:v>72</c:v>
                </c:pt>
                <c:pt idx="29">
                  <c:v>79</c:v>
                </c:pt>
                <c:pt idx="30">
                  <c:v>82</c:v>
                </c:pt>
                <c:pt idx="31">
                  <c:v>83</c:v>
                </c:pt>
                <c:pt idx="32">
                  <c:v>84</c:v>
                </c:pt>
                <c:pt idx="33">
                  <c:v>86</c:v>
                </c:pt>
                <c:pt idx="34">
                  <c:v>88</c:v>
                </c:pt>
                <c:pt idx="35">
                  <c:v>89</c:v>
                </c:pt>
                <c:pt idx="36">
                  <c:v>94</c:v>
                </c:pt>
                <c:pt idx="37">
                  <c:v>98</c:v>
                </c:pt>
                <c:pt idx="38">
                  <c:v>100</c:v>
                </c:pt>
                <c:pt idx="39">
                  <c:v>104</c:v>
                </c:pt>
                <c:pt idx="40">
                  <c:v>107</c:v>
                </c:pt>
                <c:pt idx="41">
                  <c:v>109</c:v>
                </c:pt>
                <c:pt idx="42">
                  <c:v>111</c:v>
                </c:pt>
                <c:pt idx="43">
                  <c:v>115</c:v>
                </c:pt>
                <c:pt idx="44">
                  <c:v>118</c:v>
                </c:pt>
                <c:pt idx="45">
                  <c:v>124</c:v>
                </c:pt>
                <c:pt idx="46">
                  <c:v>129</c:v>
                </c:pt>
                <c:pt idx="47">
                  <c:v>131</c:v>
                </c:pt>
                <c:pt idx="48">
                  <c:v>133</c:v>
                </c:pt>
                <c:pt idx="49">
                  <c:v>135</c:v>
                </c:pt>
                <c:pt idx="50">
                  <c:v>138</c:v>
                </c:pt>
                <c:pt idx="51">
                  <c:v>140</c:v>
                </c:pt>
                <c:pt idx="52">
                  <c:v>142</c:v>
                </c:pt>
              </c:numCache>
            </c:numRef>
          </c:val>
          <c:extLst>
            <c:ext xmlns:c16="http://schemas.microsoft.com/office/drawing/2014/chart" uri="{C3380CC4-5D6E-409C-BE32-E72D297353CC}">
              <c16:uniqueId val="{00000001-1E58-4232-BB8E-A0961AFECEC4}"/>
            </c:ext>
          </c:extLst>
        </c:ser>
        <c:dLbls>
          <c:showLegendKey val="0"/>
          <c:showVal val="0"/>
          <c:showCatName val="0"/>
          <c:showSerName val="0"/>
          <c:showPercent val="0"/>
          <c:showBubbleSize val="0"/>
        </c:dLbls>
        <c:gapWidth val="219"/>
        <c:overlap val="-27"/>
        <c:axId val="1674247616"/>
        <c:axId val="1674272096"/>
      </c:barChart>
      <c:catAx>
        <c:axId val="1674247616"/>
        <c:scaling>
          <c:orientation val="minMax"/>
        </c:scaling>
        <c:delete val="0"/>
        <c:axPos val="b"/>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u-HU"/>
          </a:p>
        </c:txPr>
        <c:crossAx val="1674272096"/>
        <c:crosses val="autoZero"/>
        <c:auto val="1"/>
        <c:lblAlgn val="ctr"/>
        <c:lblOffset val="100"/>
        <c:noMultiLvlLbl val="0"/>
      </c:catAx>
      <c:valAx>
        <c:axId val="16742720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u-HU"/>
          </a:p>
        </c:txPr>
        <c:crossAx val="16742476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hu-HU"/>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baseline="0">
              <a:solidFill>
                <a:schemeClr val="tx1">
                  <a:lumMod val="65000"/>
                  <a:lumOff val="35000"/>
                </a:schemeClr>
              </a:solidFill>
              <a:latin typeface="+mn-lt"/>
              <a:ea typeface="+mn-ea"/>
              <a:cs typeface="+mn-cs"/>
            </a:defRPr>
          </a:pPr>
          <a:endParaRPr lang="hu-HU"/>
        </a:p>
      </c:txPr>
    </c:title>
    <c:autoTitleDeleted val="0"/>
    <c:plotArea>
      <c:layout/>
      <c:barChart>
        <c:barDir val="col"/>
        <c:grouping val="clustered"/>
        <c:varyColors val="0"/>
        <c:ser>
          <c:idx val="0"/>
          <c:order val="0"/>
          <c:tx>
            <c:strRef>
              <c:f>Stats!$W$25:$W$46</c:f>
              <c:strCache>
                <c:ptCount val="22"/>
              </c:strCache>
            </c:strRef>
          </c:tx>
          <c:spPr>
            <a:solidFill>
              <a:schemeClr val="accent1"/>
            </a:solidFill>
            <a:ln>
              <a:noFill/>
            </a:ln>
            <a:effectLst/>
          </c:spPr>
          <c:invertIfNegative val="0"/>
          <c:cat>
            <c:numRef>
              <c:f>Stats!$V$47:$V$131</c:f>
              <c:numCache>
                <c:formatCode>m/d/yyyy</c:formatCode>
                <c:ptCount val="85"/>
                <c:pt idx="0">
                  <c:v>43009</c:v>
                </c:pt>
                <c:pt idx="1">
                  <c:v>43040</c:v>
                </c:pt>
                <c:pt idx="2">
                  <c:v>43070</c:v>
                </c:pt>
                <c:pt idx="3">
                  <c:v>43101</c:v>
                </c:pt>
                <c:pt idx="4">
                  <c:v>43132</c:v>
                </c:pt>
                <c:pt idx="5">
                  <c:v>43160</c:v>
                </c:pt>
                <c:pt idx="6">
                  <c:v>43191</c:v>
                </c:pt>
                <c:pt idx="7">
                  <c:v>43221</c:v>
                </c:pt>
                <c:pt idx="8">
                  <c:v>43252</c:v>
                </c:pt>
                <c:pt idx="9">
                  <c:v>43282</c:v>
                </c:pt>
                <c:pt idx="10">
                  <c:v>43313</c:v>
                </c:pt>
                <c:pt idx="11">
                  <c:v>43344</c:v>
                </c:pt>
                <c:pt idx="12">
                  <c:v>43374</c:v>
                </c:pt>
                <c:pt idx="13">
                  <c:v>43405</c:v>
                </c:pt>
                <c:pt idx="14">
                  <c:v>43435</c:v>
                </c:pt>
                <c:pt idx="15">
                  <c:v>43466</c:v>
                </c:pt>
                <c:pt idx="16">
                  <c:v>43497</c:v>
                </c:pt>
                <c:pt idx="17">
                  <c:v>43525</c:v>
                </c:pt>
                <c:pt idx="18">
                  <c:v>43556</c:v>
                </c:pt>
                <c:pt idx="19">
                  <c:v>43586</c:v>
                </c:pt>
                <c:pt idx="20">
                  <c:v>43617</c:v>
                </c:pt>
                <c:pt idx="21">
                  <c:v>43647</c:v>
                </c:pt>
                <c:pt idx="22">
                  <c:v>43678</c:v>
                </c:pt>
                <c:pt idx="23">
                  <c:v>43709</c:v>
                </c:pt>
                <c:pt idx="24">
                  <c:v>43739</c:v>
                </c:pt>
                <c:pt idx="25">
                  <c:v>43770</c:v>
                </c:pt>
                <c:pt idx="26">
                  <c:v>43831</c:v>
                </c:pt>
                <c:pt idx="27">
                  <c:v>43862</c:v>
                </c:pt>
                <c:pt idx="28">
                  <c:v>43891</c:v>
                </c:pt>
                <c:pt idx="29">
                  <c:v>43922</c:v>
                </c:pt>
                <c:pt idx="30">
                  <c:v>43952</c:v>
                </c:pt>
                <c:pt idx="31">
                  <c:v>43983</c:v>
                </c:pt>
                <c:pt idx="32">
                  <c:v>44013</c:v>
                </c:pt>
                <c:pt idx="33">
                  <c:v>44044</c:v>
                </c:pt>
                <c:pt idx="34">
                  <c:v>44075</c:v>
                </c:pt>
                <c:pt idx="35">
                  <c:v>44105</c:v>
                </c:pt>
                <c:pt idx="36">
                  <c:v>44136</c:v>
                </c:pt>
                <c:pt idx="37">
                  <c:v>44166</c:v>
                </c:pt>
                <c:pt idx="38">
                  <c:v>44197</c:v>
                </c:pt>
                <c:pt idx="39">
                  <c:v>44228</c:v>
                </c:pt>
                <c:pt idx="40">
                  <c:v>44256</c:v>
                </c:pt>
                <c:pt idx="41">
                  <c:v>44287</c:v>
                </c:pt>
                <c:pt idx="42">
                  <c:v>44317</c:v>
                </c:pt>
                <c:pt idx="43">
                  <c:v>44348</c:v>
                </c:pt>
                <c:pt idx="44">
                  <c:v>44378</c:v>
                </c:pt>
                <c:pt idx="45">
                  <c:v>44409</c:v>
                </c:pt>
                <c:pt idx="46">
                  <c:v>44440</c:v>
                </c:pt>
                <c:pt idx="47">
                  <c:v>44470</c:v>
                </c:pt>
                <c:pt idx="48">
                  <c:v>44501</c:v>
                </c:pt>
                <c:pt idx="49">
                  <c:v>44531</c:v>
                </c:pt>
                <c:pt idx="50">
                  <c:v>44562</c:v>
                </c:pt>
                <c:pt idx="51">
                  <c:v>44593</c:v>
                </c:pt>
                <c:pt idx="52">
                  <c:v>44621</c:v>
                </c:pt>
                <c:pt idx="53">
                  <c:v>44652</c:v>
                </c:pt>
                <c:pt idx="54">
                  <c:v>44682</c:v>
                </c:pt>
                <c:pt idx="55">
                  <c:v>44713</c:v>
                </c:pt>
                <c:pt idx="56">
                  <c:v>44743</c:v>
                </c:pt>
                <c:pt idx="57">
                  <c:v>44774</c:v>
                </c:pt>
                <c:pt idx="58">
                  <c:v>44805</c:v>
                </c:pt>
                <c:pt idx="59">
                  <c:v>44835</c:v>
                </c:pt>
                <c:pt idx="60">
                  <c:v>44866</c:v>
                </c:pt>
                <c:pt idx="61">
                  <c:v>44896</c:v>
                </c:pt>
                <c:pt idx="62">
                  <c:v>44927</c:v>
                </c:pt>
                <c:pt idx="63">
                  <c:v>44958</c:v>
                </c:pt>
                <c:pt idx="64">
                  <c:v>44986</c:v>
                </c:pt>
                <c:pt idx="65">
                  <c:v>45017</c:v>
                </c:pt>
                <c:pt idx="66">
                  <c:v>45047</c:v>
                </c:pt>
                <c:pt idx="67">
                  <c:v>45078</c:v>
                </c:pt>
                <c:pt idx="68">
                  <c:v>45108</c:v>
                </c:pt>
                <c:pt idx="69">
                  <c:v>45139</c:v>
                </c:pt>
                <c:pt idx="70">
                  <c:v>45170</c:v>
                </c:pt>
                <c:pt idx="71">
                  <c:v>45200</c:v>
                </c:pt>
                <c:pt idx="72">
                  <c:v>45231</c:v>
                </c:pt>
                <c:pt idx="73">
                  <c:v>45261</c:v>
                </c:pt>
                <c:pt idx="74">
                  <c:v>45292</c:v>
                </c:pt>
                <c:pt idx="75">
                  <c:v>45323</c:v>
                </c:pt>
                <c:pt idx="76">
                  <c:v>45352</c:v>
                </c:pt>
                <c:pt idx="77">
                  <c:v>45383</c:v>
                </c:pt>
                <c:pt idx="78">
                  <c:v>45413</c:v>
                </c:pt>
                <c:pt idx="79">
                  <c:v>45444</c:v>
                </c:pt>
                <c:pt idx="80">
                  <c:v>45474</c:v>
                </c:pt>
                <c:pt idx="81">
                  <c:v>45505</c:v>
                </c:pt>
                <c:pt idx="82">
                  <c:v>45536</c:v>
                </c:pt>
                <c:pt idx="83">
                  <c:v>45566</c:v>
                </c:pt>
                <c:pt idx="84">
                  <c:v>45597</c:v>
                </c:pt>
              </c:numCache>
            </c:numRef>
          </c:cat>
          <c:val>
            <c:numRef>
              <c:f>Stats!$W$47:$W$131</c:f>
              <c:numCache>
                <c:formatCode>0</c:formatCode>
                <c:ptCount val="85"/>
                <c:pt idx="0">
                  <c:v>6</c:v>
                </c:pt>
                <c:pt idx="1">
                  <c:v>32</c:v>
                </c:pt>
                <c:pt idx="2">
                  <c:v>30</c:v>
                </c:pt>
                <c:pt idx="3">
                  <c:v>33</c:v>
                </c:pt>
                <c:pt idx="4">
                  <c:v>32</c:v>
                </c:pt>
                <c:pt idx="5">
                  <c:v>10</c:v>
                </c:pt>
                <c:pt idx="6">
                  <c:v>34</c:v>
                </c:pt>
                <c:pt idx="7">
                  <c:v>15</c:v>
                </c:pt>
                <c:pt idx="8">
                  <c:v>17</c:v>
                </c:pt>
                <c:pt idx="9">
                  <c:v>17</c:v>
                </c:pt>
                <c:pt idx="10">
                  <c:v>18</c:v>
                </c:pt>
                <c:pt idx="11">
                  <c:v>20</c:v>
                </c:pt>
                <c:pt idx="12">
                  <c:v>24</c:v>
                </c:pt>
                <c:pt idx="13">
                  <c:v>23</c:v>
                </c:pt>
                <c:pt idx="14">
                  <c:v>15</c:v>
                </c:pt>
                <c:pt idx="15">
                  <c:v>25</c:v>
                </c:pt>
                <c:pt idx="16">
                  <c:v>18</c:v>
                </c:pt>
                <c:pt idx="17">
                  <c:v>14</c:v>
                </c:pt>
                <c:pt idx="18">
                  <c:v>13</c:v>
                </c:pt>
                <c:pt idx="19">
                  <c:v>6</c:v>
                </c:pt>
                <c:pt idx="20">
                  <c:v>28</c:v>
                </c:pt>
                <c:pt idx="21">
                  <c:v>23</c:v>
                </c:pt>
                <c:pt idx="22">
                  <c:v>11</c:v>
                </c:pt>
                <c:pt idx="23">
                  <c:v>27</c:v>
                </c:pt>
                <c:pt idx="24">
                  <c:v>10</c:v>
                </c:pt>
                <c:pt idx="25">
                  <c:v>7</c:v>
                </c:pt>
                <c:pt idx="26">
                  <c:v>2</c:v>
                </c:pt>
                <c:pt idx="27">
                  <c:v>15</c:v>
                </c:pt>
                <c:pt idx="28">
                  <c:v>18</c:v>
                </c:pt>
                <c:pt idx="29">
                  <c:v>11</c:v>
                </c:pt>
                <c:pt idx="30">
                  <c:v>10</c:v>
                </c:pt>
                <c:pt idx="31">
                  <c:v>17</c:v>
                </c:pt>
                <c:pt idx="32">
                  <c:v>30</c:v>
                </c:pt>
                <c:pt idx="33">
                  <c:v>24</c:v>
                </c:pt>
                <c:pt idx="34">
                  <c:v>16</c:v>
                </c:pt>
                <c:pt idx="35">
                  <c:v>8</c:v>
                </c:pt>
                <c:pt idx="36">
                  <c:v>16</c:v>
                </c:pt>
                <c:pt idx="37">
                  <c:v>15</c:v>
                </c:pt>
                <c:pt idx="38">
                  <c:v>11</c:v>
                </c:pt>
                <c:pt idx="39">
                  <c:v>18</c:v>
                </c:pt>
                <c:pt idx="40">
                  <c:v>13</c:v>
                </c:pt>
                <c:pt idx="41">
                  <c:v>4</c:v>
                </c:pt>
                <c:pt idx="42">
                  <c:v>14</c:v>
                </c:pt>
                <c:pt idx="43">
                  <c:v>8</c:v>
                </c:pt>
                <c:pt idx="44">
                  <c:v>16</c:v>
                </c:pt>
                <c:pt idx="45">
                  <c:v>25</c:v>
                </c:pt>
                <c:pt idx="46">
                  <c:v>18</c:v>
                </c:pt>
                <c:pt idx="47">
                  <c:v>15</c:v>
                </c:pt>
                <c:pt idx="48">
                  <c:v>3</c:v>
                </c:pt>
                <c:pt idx="49">
                  <c:v>10</c:v>
                </c:pt>
                <c:pt idx="50">
                  <c:v>16</c:v>
                </c:pt>
                <c:pt idx="51">
                  <c:v>18</c:v>
                </c:pt>
                <c:pt idx="52">
                  <c:v>25</c:v>
                </c:pt>
                <c:pt idx="53">
                  <c:v>10</c:v>
                </c:pt>
                <c:pt idx="54">
                  <c:v>4</c:v>
                </c:pt>
                <c:pt idx="55">
                  <c:v>19</c:v>
                </c:pt>
                <c:pt idx="56">
                  <c:v>27</c:v>
                </c:pt>
                <c:pt idx="57">
                  <c:v>27</c:v>
                </c:pt>
                <c:pt idx="58">
                  <c:v>17</c:v>
                </c:pt>
                <c:pt idx="59">
                  <c:v>11</c:v>
                </c:pt>
                <c:pt idx="60">
                  <c:v>6</c:v>
                </c:pt>
                <c:pt idx="61">
                  <c:v>14</c:v>
                </c:pt>
                <c:pt idx="62">
                  <c:v>18</c:v>
                </c:pt>
                <c:pt idx="63">
                  <c:v>8</c:v>
                </c:pt>
                <c:pt idx="64">
                  <c:v>22</c:v>
                </c:pt>
                <c:pt idx="65">
                  <c:v>8</c:v>
                </c:pt>
                <c:pt idx="66">
                  <c:v>14</c:v>
                </c:pt>
                <c:pt idx="67">
                  <c:v>4</c:v>
                </c:pt>
                <c:pt idx="68">
                  <c:v>17</c:v>
                </c:pt>
                <c:pt idx="69">
                  <c:v>8</c:v>
                </c:pt>
                <c:pt idx="70">
                  <c:v>5</c:v>
                </c:pt>
                <c:pt idx="71">
                  <c:v>14</c:v>
                </c:pt>
                <c:pt idx="72">
                  <c:v>14</c:v>
                </c:pt>
                <c:pt idx="73">
                  <c:v>8</c:v>
                </c:pt>
                <c:pt idx="74">
                  <c:v>73</c:v>
                </c:pt>
                <c:pt idx="75">
                  <c:v>6</c:v>
                </c:pt>
                <c:pt idx="76">
                  <c:v>22</c:v>
                </c:pt>
                <c:pt idx="77">
                  <c:v>17</c:v>
                </c:pt>
                <c:pt idx="78">
                  <c:v>12</c:v>
                </c:pt>
                <c:pt idx="79">
                  <c:v>26</c:v>
                </c:pt>
                <c:pt idx="80">
                  <c:v>45</c:v>
                </c:pt>
                <c:pt idx="81">
                  <c:v>15</c:v>
                </c:pt>
                <c:pt idx="82">
                  <c:v>20</c:v>
                </c:pt>
                <c:pt idx="83">
                  <c:v>46</c:v>
                </c:pt>
                <c:pt idx="84">
                  <c:v>4</c:v>
                </c:pt>
              </c:numCache>
            </c:numRef>
          </c:val>
          <c:extLst>
            <c:ext xmlns:c16="http://schemas.microsoft.com/office/drawing/2014/chart" uri="{C3380CC4-5D6E-409C-BE32-E72D297353CC}">
              <c16:uniqueId val="{00000000-49AA-469A-8BC7-E433A1E534DD}"/>
            </c:ext>
          </c:extLst>
        </c:ser>
        <c:ser>
          <c:idx val="1"/>
          <c:order val="1"/>
          <c:tx>
            <c:strRef>
              <c:f>Stats!$X$25:$X$46</c:f>
              <c:strCache>
                <c:ptCount val="22"/>
              </c:strCache>
            </c:strRef>
          </c:tx>
          <c:spPr>
            <a:solidFill>
              <a:schemeClr val="accent2"/>
            </a:solidFill>
            <a:ln>
              <a:noFill/>
            </a:ln>
            <a:effectLst/>
          </c:spPr>
          <c:invertIfNegative val="0"/>
          <c:cat>
            <c:numRef>
              <c:f>Stats!$V$47:$V$131</c:f>
              <c:numCache>
                <c:formatCode>m/d/yyyy</c:formatCode>
                <c:ptCount val="85"/>
                <c:pt idx="0">
                  <c:v>43009</c:v>
                </c:pt>
                <c:pt idx="1">
                  <c:v>43040</c:v>
                </c:pt>
                <c:pt idx="2">
                  <c:v>43070</c:v>
                </c:pt>
                <c:pt idx="3">
                  <c:v>43101</c:v>
                </c:pt>
                <c:pt idx="4">
                  <c:v>43132</c:v>
                </c:pt>
                <c:pt idx="5">
                  <c:v>43160</c:v>
                </c:pt>
                <c:pt idx="6">
                  <c:v>43191</c:v>
                </c:pt>
                <c:pt idx="7">
                  <c:v>43221</c:v>
                </c:pt>
                <c:pt idx="8">
                  <c:v>43252</c:v>
                </c:pt>
                <c:pt idx="9">
                  <c:v>43282</c:v>
                </c:pt>
                <c:pt idx="10">
                  <c:v>43313</c:v>
                </c:pt>
                <c:pt idx="11">
                  <c:v>43344</c:v>
                </c:pt>
                <c:pt idx="12">
                  <c:v>43374</c:v>
                </c:pt>
                <c:pt idx="13">
                  <c:v>43405</c:v>
                </c:pt>
                <c:pt idx="14">
                  <c:v>43435</c:v>
                </c:pt>
                <c:pt idx="15">
                  <c:v>43466</c:v>
                </c:pt>
                <c:pt idx="16">
                  <c:v>43497</c:v>
                </c:pt>
                <c:pt idx="17">
                  <c:v>43525</c:v>
                </c:pt>
                <c:pt idx="18">
                  <c:v>43556</c:v>
                </c:pt>
                <c:pt idx="19">
                  <c:v>43586</c:v>
                </c:pt>
                <c:pt idx="20">
                  <c:v>43617</c:v>
                </c:pt>
                <c:pt idx="21">
                  <c:v>43647</c:v>
                </c:pt>
                <c:pt idx="22">
                  <c:v>43678</c:v>
                </c:pt>
                <c:pt idx="23">
                  <c:v>43709</c:v>
                </c:pt>
                <c:pt idx="24">
                  <c:v>43739</c:v>
                </c:pt>
                <c:pt idx="25">
                  <c:v>43770</c:v>
                </c:pt>
                <c:pt idx="26">
                  <c:v>43831</c:v>
                </c:pt>
                <c:pt idx="27">
                  <c:v>43862</c:v>
                </c:pt>
                <c:pt idx="28">
                  <c:v>43891</c:v>
                </c:pt>
                <c:pt idx="29">
                  <c:v>43922</c:v>
                </c:pt>
                <c:pt idx="30">
                  <c:v>43952</c:v>
                </c:pt>
                <c:pt idx="31">
                  <c:v>43983</c:v>
                </c:pt>
                <c:pt idx="32">
                  <c:v>44013</c:v>
                </c:pt>
                <c:pt idx="33">
                  <c:v>44044</c:v>
                </c:pt>
                <c:pt idx="34">
                  <c:v>44075</c:v>
                </c:pt>
                <c:pt idx="35">
                  <c:v>44105</c:v>
                </c:pt>
                <c:pt idx="36">
                  <c:v>44136</c:v>
                </c:pt>
                <c:pt idx="37">
                  <c:v>44166</c:v>
                </c:pt>
                <c:pt idx="38">
                  <c:v>44197</c:v>
                </c:pt>
                <c:pt idx="39">
                  <c:v>44228</c:v>
                </c:pt>
                <c:pt idx="40">
                  <c:v>44256</c:v>
                </c:pt>
                <c:pt idx="41">
                  <c:v>44287</c:v>
                </c:pt>
                <c:pt idx="42">
                  <c:v>44317</c:v>
                </c:pt>
                <c:pt idx="43">
                  <c:v>44348</c:v>
                </c:pt>
                <c:pt idx="44">
                  <c:v>44378</c:v>
                </c:pt>
                <c:pt idx="45">
                  <c:v>44409</c:v>
                </c:pt>
                <c:pt idx="46">
                  <c:v>44440</c:v>
                </c:pt>
                <c:pt idx="47">
                  <c:v>44470</c:v>
                </c:pt>
                <c:pt idx="48">
                  <c:v>44501</c:v>
                </c:pt>
                <c:pt idx="49">
                  <c:v>44531</c:v>
                </c:pt>
                <c:pt idx="50">
                  <c:v>44562</c:v>
                </c:pt>
                <c:pt idx="51">
                  <c:v>44593</c:v>
                </c:pt>
                <c:pt idx="52">
                  <c:v>44621</c:v>
                </c:pt>
                <c:pt idx="53">
                  <c:v>44652</c:v>
                </c:pt>
                <c:pt idx="54">
                  <c:v>44682</c:v>
                </c:pt>
                <c:pt idx="55">
                  <c:v>44713</c:v>
                </c:pt>
                <c:pt idx="56">
                  <c:v>44743</c:v>
                </c:pt>
                <c:pt idx="57">
                  <c:v>44774</c:v>
                </c:pt>
                <c:pt idx="58">
                  <c:v>44805</c:v>
                </c:pt>
                <c:pt idx="59">
                  <c:v>44835</c:v>
                </c:pt>
                <c:pt idx="60">
                  <c:v>44866</c:v>
                </c:pt>
                <c:pt idx="61">
                  <c:v>44896</c:v>
                </c:pt>
                <c:pt idx="62">
                  <c:v>44927</c:v>
                </c:pt>
                <c:pt idx="63">
                  <c:v>44958</c:v>
                </c:pt>
                <c:pt idx="64">
                  <c:v>44986</c:v>
                </c:pt>
                <c:pt idx="65">
                  <c:v>45017</c:v>
                </c:pt>
                <c:pt idx="66">
                  <c:v>45047</c:v>
                </c:pt>
                <c:pt idx="67">
                  <c:v>45078</c:v>
                </c:pt>
                <c:pt idx="68">
                  <c:v>45108</c:v>
                </c:pt>
                <c:pt idx="69">
                  <c:v>45139</c:v>
                </c:pt>
                <c:pt idx="70">
                  <c:v>45170</c:v>
                </c:pt>
                <c:pt idx="71">
                  <c:v>45200</c:v>
                </c:pt>
                <c:pt idx="72">
                  <c:v>45231</c:v>
                </c:pt>
                <c:pt idx="73">
                  <c:v>45261</c:v>
                </c:pt>
                <c:pt idx="74">
                  <c:v>45292</c:v>
                </c:pt>
                <c:pt idx="75">
                  <c:v>45323</c:v>
                </c:pt>
                <c:pt idx="76">
                  <c:v>45352</c:v>
                </c:pt>
                <c:pt idx="77">
                  <c:v>45383</c:v>
                </c:pt>
                <c:pt idx="78">
                  <c:v>45413</c:v>
                </c:pt>
                <c:pt idx="79">
                  <c:v>45444</c:v>
                </c:pt>
                <c:pt idx="80">
                  <c:v>45474</c:v>
                </c:pt>
                <c:pt idx="81">
                  <c:v>45505</c:v>
                </c:pt>
                <c:pt idx="82">
                  <c:v>45536</c:v>
                </c:pt>
                <c:pt idx="83">
                  <c:v>45566</c:v>
                </c:pt>
                <c:pt idx="84">
                  <c:v>45597</c:v>
                </c:pt>
              </c:numCache>
            </c:numRef>
          </c:cat>
          <c:val>
            <c:numRef>
              <c:f>Stats!$X$47:$X$131</c:f>
              <c:numCache>
                <c:formatCode>General</c:formatCode>
                <c:ptCount val="85"/>
              </c:numCache>
            </c:numRef>
          </c:val>
          <c:extLst>
            <c:ext xmlns:c16="http://schemas.microsoft.com/office/drawing/2014/chart" uri="{C3380CC4-5D6E-409C-BE32-E72D297353CC}">
              <c16:uniqueId val="{00000001-49AA-469A-8BC7-E433A1E534DD}"/>
            </c:ext>
          </c:extLst>
        </c:ser>
        <c:dLbls>
          <c:showLegendKey val="0"/>
          <c:showVal val="0"/>
          <c:showCatName val="0"/>
          <c:showSerName val="0"/>
          <c:showPercent val="0"/>
          <c:showBubbleSize val="0"/>
        </c:dLbls>
        <c:gapWidth val="0"/>
        <c:axId val="1924990175"/>
        <c:axId val="1924994015"/>
      </c:barChart>
      <c:dateAx>
        <c:axId val="1924990175"/>
        <c:scaling>
          <c:orientation val="minMax"/>
        </c:scaling>
        <c:delete val="0"/>
        <c:axPos val="b"/>
        <c:numFmt formatCode="m/d/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baseline="0">
                <a:solidFill>
                  <a:schemeClr val="tx1">
                    <a:lumMod val="65000"/>
                    <a:lumOff val="35000"/>
                  </a:schemeClr>
                </a:solidFill>
                <a:latin typeface="+mn-lt"/>
                <a:ea typeface="+mn-ea"/>
                <a:cs typeface="+mn-cs"/>
              </a:defRPr>
            </a:pPr>
            <a:endParaRPr lang="hu-HU"/>
          </a:p>
        </c:txPr>
        <c:crossAx val="1924994015"/>
        <c:crosses val="autoZero"/>
        <c:auto val="1"/>
        <c:lblOffset val="100"/>
        <c:baseTimeUnit val="months"/>
      </c:dateAx>
      <c:valAx>
        <c:axId val="192499401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baseline="0">
                <a:solidFill>
                  <a:schemeClr val="tx1">
                    <a:lumMod val="65000"/>
                    <a:lumOff val="35000"/>
                  </a:schemeClr>
                </a:solidFill>
                <a:latin typeface="+mn-lt"/>
                <a:ea typeface="+mn-ea"/>
                <a:cs typeface="+mn-cs"/>
              </a:defRPr>
            </a:pPr>
            <a:endParaRPr lang="hu-HU"/>
          </a:p>
        </c:txPr>
        <c:crossAx val="19249901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hu-HU"/>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[Injection diary.xlsx]Stats!Kimutatás7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hu-HU"/>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Stats!$AM$45</c:f>
              <c:strCache>
                <c:ptCount val="1"/>
                <c:pt idx="0">
                  <c:v>Total</c:v>
                </c:pt>
              </c:strCache>
            </c:strRef>
          </c:tx>
          <c:spPr>
            <a:solidFill>
              <a:schemeClr val="accent1"/>
            </a:solidFill>
            <a:ln>
              <a:noFill/>
            </a:ln>
            <a:effectLst/>
          </c:spPr>
          <c:invertIfNegative val="0"/>
          <c:cat>
            <c:strRef>
              <c:f>Stats!$AL$46:$AL$51</c:f>
              <c:strCache>
                <c:ptCount val="5"/>
                <c:pt idx="0">
                  <c:v>jún</c:v>
                </c:pt>
                <c:pt idx="1">
                  <c:v>júl</c:v>
                </c:pt>
                <c:pt idx="2">
                  <c:v>szept</c:v>
                </c:pt>
                <c:pt idx="3">
                  <c:v>okt</c:v>
                </c:pt>
                <c:pt idx="4">
                  <c:v>nov</c:v>
                </c:pt>
              </c:strCache>
            </c:strRef>
          </c:cat>
          <c:val>
            <c:numRef>
              <c:f>Stats!$AM$46:$AM$51</c:f>
              <c:numCache>
                <c:formatCode>0</c:formatCode>
                <c:ptCount val="5"/>
                <c:pt idx="0">
                  <c:v>36</c:v>
                </c:pt>
                <c:pt idx="1">
                  <c:v>46</c:v>
                </c:pt>
                <c:pt idx="2">
                  <c:v>25</c:v>
                </c:pt>
                <c:pt idx="3">
                  <c:v>11</c:v>
                </c:pt>
                <c:pt idx="4">
                  <c:v>24</c:v>
                </c:pt>
              </c:numCache>
            </c:numRef>
          </c:val>
          <c:extLst>
            <c:ext xmlns:c16="http://schemas.microsoft.com/office/drawing/2014/chart" uri="{C3380CC4-5D6E-409C-BE32-E72D297353CC}">
              <c16:uniqueId val="{00000000-A0FE-42FA-AC4B-188135B65571}"/>
            </c:ext>
          </c:extLst>
        </c:ser>
        <c:dLbls>
          <c:showLegendKey val="0"/>
          <c:showVal val="0"/>
          <c:showCatName val="0"/>
          <c:showSerName val="0"/>
          <c:showPercent val="0"/>
          <c:showBubbleSize val="0"/>
        </c:dLbls>
        <c:gapWidth val="219"/>
        <c:overlap val="-27"/>
        <c:axId val="1914544559"/>
        <c:axId val="1914528719"/>
      </c:barChart>
      <c:catAx>
        <c:axId val="1914544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u-HU"/>
          </a:p>
        </c:txPr>
        <c:crossAx val="1914528719"/>
        <c:crosses val="autoZero"/>
        <c:auto val="1"/>
        <c:lblAlgn val="ctr"/>
        <c:lblOffset val="100"/>
        <c:noMultiLvlLbl val="0"/>
      </c:catAx>
      <c:valAx>
        <c:axId val="191452871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u-HU"/>
          </a:p>
        </c:txPr>
        <c:crossAx val="19145445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u-H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hu-HU"/>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12</xdr:col>
      <xdr:colOff>212190</xdr:colOff>
      <xdr:row>37</xdr:row>
      <xdr:rowOff>19983</xdr:rowOff>
    </xdr:to>
    <xdr:pic>
      <xdr:nvPicPr>
        <xdr:cNvPr id="4" name="Kép 1">
          <a:extLst>
            <a:ext uri="{FF2B5EF4-FFF2-40B4-BE49-F238E27FC236}">
              <a16:creationId xmlns:a16="http://schemas.microsoft.com/office/drawing/2014/main" id="{7FA69824-6E94-07EC-6F5E-9CDDAB3DCA6C}"/>
            </a:ext>
          </a:extLst>
        </xdr:cNvPr>
        <xdr:cNvPicPr>
          <a:picLocks noChangeAspect="1"/>
        </xdr:cNvPicPr>
      </xdr:nvPicPr>
      <xdr:blipFill>
        <a:blip xmlns:r="http://schemas.openxmlformats.org/officeDocument/2006/relationships" r:embed="rId1"/>
        <a:stretch>
          <a:fillRect/>
        </a:stretch>
      </xdr:blipFill>
      <xdr:spPr>
        <a:xfrm>
          <a:off x="605118" y="381000"/>
          <a:ext cx="6868484" cy="668748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171450</xdr:colOff>
      <xdr:row>0</xdr:row>
      <xdr:rowOff>0</xdr:rowOff>
    </xdr:from>
    <xdr:to>
      <xdr:col>6</xdr:col>
      <xdr:colOff>0</xdr:colOff>
      <xdr:row>12</xdr:row>
      <xdr:rowOff>66675</xdr:rowOff>
    </xdr:to>
    <xdr:pic>
      <xdr:nvPicPr>
        <xdr:cNvPr id="2" name="Picture 1">
          <a:extLst>
            <a:ext uri="{FF2B5EF4-FFF2-40B4-BE49-F238E27FC236}">
              <a16:creationId xmlns:a16="http://schemas.microsoft.com/office/drawing/2014/main" id="{7ABD7DD8-F7AF-4C38-A54B-86FBFC1B6466}"/>
            </a:ext>
          </a:extLst>
        </xdr:cNvPr>
        <xdr:cNvPicPr>
          <a:picLocks noChangeAspect="1"/>
        </xdr:cNvPicPr>
      </xdr:nvPicPr>
      <xdr:blipFill>
        <a:blip xmlns:r="http://schemas.openxmlformats.org/officeDocument/2006/relationships" r:embed="rId1"/>
        <a:stretch>
          <a:fillRect/>
        </a:stretch>
      </xdr:blipFill>
      <xdr:spPr>
        <a:xfrm>
          <a:off x="3143250" y="0"/>
          <a:ext cx="2266950" cy="27908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19</xdr:col>
      <xdr:colOff>40821</xdr:colOff>
      <xdr:row>5</xdr:row>
      <xdr:rowOff>40821</xdr:rowOff>
    </xdr:from>
    <xdr:to>
      <xdr:col>27</xdr:col>
      <xdr:colOff>476249</xdr:colOff>
      <xdr:row>22</xdr:row>
      <xdr:rowOff>54428</xdr:rowOff>
    </xdr:to>
    <xdr:graphicFrame macro="">
      <xdr:nvGraphicFramePr>
        <xdr:cNvPr id="5" name="Diagram 4">
          <a:extLst>
            <a:ext uri="{FF2B5EF4-FFF2-40B4-BE49-F238E27FC236}">
              <a16:creationId xmlns:a16="http://schemas.microsoft.com/office/drawing/2014/main" id="{89F155BA-9458-4D8F-A2EF-D0CABC5EB3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36</xdr:col>
      <xdr:colOff>371475</xdr:colOff>
      <xdr:row>5</xdr:row>
      <xdr:rowOff>152400</xdr:rowOff>
    </xdr:from>
    <xdr:to>
      <xdr:col>45</xdr:col>
      <xdr:colOff>425903</xdr:colOff>
      <xdr:row>22</xdr:row>
      <xdr:rowOff>166007</xdr:rowOff>
    </xdr:to>
    <xdr:graphicFrame macro="">
      <xdr:nvGraphicFramePr>
        <xdr:cNvPr id="4" name="Diagram 3">
          <a:extLst>
            <a:ext uri="{FF2B5EF4-FFF2-40B4-BE49-F238E27FC236}">
              <a16:creationId xmlns:a16="http://schemas.microsoft.com/office/drawing/2014/main" id="{6CDA4F67-0D54-4930-A94E-49E521B4E7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371474</xdr:colOff>
      <xdr:row>23</xdr:row>
      <xdr:rowOff>42862</xdr:rowOff>
    </xdr:from>
    <xdr:to>
      <xdr:col>27</xdr:col>
      <xdr:colOff>438149</xdr:colOff>
      <xdr:row>37</xdr:row>
      <xdr:rowOff>119062</xdr:rowOff>
    </xdr:to>
    <xdr:graphicFrame macro="">
      <xdr:nvGraphicFramePr>
        <xdr:cNvPr id="9" name="Diagram 8">
          <a:extLst>
            <a:ext uri="{FF2B5EF4-FFF2-40B4-BE49-F238E27FC236}">
              <a16:creationId xmlns:a16="http://schemas.microsoft.com/office/drawing/2014/main" id="{B361C790-1D6A-0662-F116-F2B31D6BE9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37</xdr:col>
      <xdr:colOff>28575</xdr:colOff>
      <xdr:row>25</xdr:row>
      <xdr:rowOff>65995</xdr:rowOff>
    </xdr:from>
    <xdr:to>
      <xdr:col>43</xdr:col>
      <xdr:colOff>525235</xdr:colOff>
      <xdr:row>39</xdr:row>
      <xdr:rowOff>132670</xdr:rowOff>
    </xdr:to>
    <xdr:graphicFrame macro="">
      <xdr:nvGraphicFramePr>
        <xdr:cNvPr id="11" name="Diagram 10">
          <a:extLst>
            <a:ext uri="{FF2B5EF4-FFF2-40B4-BE49-F238E27FC236}">
              <a16:creationId xmlns:a16="http://schemas.microsoft.com/office/drawing/2014/main" id="{FC0E6706-243E-62D7-7D87-1387A942C7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femtonicskft.sharepoint.com/sites/2pteam/Shared%20Documents/Tables/Two-photon%20Imaging%20Lab%20virus%20inventory.xlsx" TargetMode="External"/><Relationship Id="rId1" Type="http://schemas.openxmlformats.org/officeDocument/2006/relationships/externalLinkPath" Target="https://femtonicskft.sharepoint.com/sites/2pteam/Shared%20Documents/Tables/Two-photon%20Imaging%20Lab%20virus%20inventor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nw5y-qrDeU2_81_pz3Fd8O71tcL_KclBsHuSvnf16WJFTBBd7HQKSLfW5E6yc3C3" itemId="01W5PXV64WMTJXJ7DRYZF3ZA2BINNQHU3Q">
      <xxl21:absoluteUrl r:id="rId2"/>
    </xxl21:alternateUrls>
    <sheetNames>
      <sheetName val="Virus production_old2"/>
      <sheetName val="-"/>
      <sheetName val="--"/>
      <sheetName val="---"/>
      <sheetName val="----"/>
      <sheetName val="-----"/>
      <sheetName val="------"/>
      <sheetName val="Virus position_old"/>
      <sheetName val="Virus prod_old"/>
      <sheetName val="Virus production"/>
      <sheetName val="Virus position"/>
      <sheetName val="Test summary"/>
    </sheetNames>
    <sheetDataSet>
      <sheetData sheetId="0"/>
      <sheetData sheetId="1"/>
      <sheetData sheetId="2"/>
      <sheetData sheetId="3"/>
      <sheetData sheetId="4"/>
      <sheetData sheetId="5"/>
      <sheetData sheetId="6"/>
      <sheetData sheetId="7"/>
      <sheetData sheetId="8"/>
      <sheetData sheetId="9">
        <row r="2">
          <cell r="A2" t="str">
            <v>AG1</v>
          </cell>
        </row>
        <row r="3">
          <cell r="A3" t="str">
            <v>AG2</v>
          </cell>
        </row>
        <row r="4">
          <cell r="A4" t="str">
            <v>AG3</v>
          </cell>
        </row>
        <row r="5">
          <cell r="A5" t="str">
            <v>AG4</v>
          </cell>
        </row>
        <row r="6">
          <cell r="A6" t="str">
            <v>AG5</v>
          </cell>
        </row>
        <row r="7">
          <cell r="A7" t="str">
            <v>AG6</v>
          </cell>
        </row>
        <row r="8">
          <cell r="A8" t="str">
            <v>AG7</v>
          </cell>
        </row>
        <row r="9">
          <cell r="A9" t="str">
            <v>AG8</v>
          </cell>
        </row>
        <row r="10">
          <cell r="A10" t="str">
            <v>AG9</v>
          </cell>
        </row>
        <row r="11">
          <cell r="A11" t="str">
            <v>AG10</v>
          </cell>
        </row>
        <row r="12">
          <cell r="A12" t="str">
            <v>AG11</v>
          </cell>
        </row>
        <row r="13">
          <cell r="A13" t="str">
            <v>AG12</v>
          </cell>
        </row>
        <row r="14">
          <cell r="A14" t="str">
            <v>AG13</v>
          </cell>
        </row>
        <row r="15">
          <cell r="A15" t="str">
            <v>AG14</v>
          </cell>
        </row>
        <row r="16">
          <cell r="A16" t="str">
            <v>AG15</v>
          </cell>
        </row>
        <row r="17">
          <cell r="A17" t="str">
            <v>AG16</v>
          </cell>
        </row>
        <row r="18">
          <cell r="A18" t="str">
            <v>AG17</v>
          </cell>
        </row>
        <row r="19">
          <cell r="A19" t="str">
            <v>AG18</v>
          </cell>
        </row>
        <row r="20">
          <cell r="A20" t="str">
            <v>AG19</v>
          </cell>
        </row>
        <row r="21">
          <cell r="A21" t="str">
            <v>AG20</v>
          </cell>
        </row>
        <row r="22">
          <cell r="A22" t="str">
            <v>AG21</v>
          </cell>
        </row>
        <row r="23">
          <cell r="A23" t="str">
            <v>AG22</v>
          </cell>
        </row>
        <row r="24">
          <cell r="A24" t="str">
            <v>AG23</v>
          </cell>
        </row>
        <row r="25">
          <cell r="A25" t="str">
            <v>AG24</v>
          </cell>
        </row>
        <row r="26">
          <cell r="A26" t="str">
            <v>AG25</v>
          </cell>
        </row>
        <row r="27">
          <cell r="A27" t="str">
            <v>AG26</v>
          </cell>
        </row>
        <row r="28">
          <cell r="A28" t="str">
            <v>AG27</v>
          </cell>
        </row>
        <row r="29">
          <cell r="A29" t="str">
            <v>AG28</v>
          </cell>
        </row>
        <row r="30">
          <cell r="A30" t="str">
            <v>AG29</v>
          </cell>
        </row>
        <row r="31">
          <cell r="A31" t="str">
            <v>AG30</v>
          </cell>
        </row>
        <row r="32">
          <cell r="A32" t="str">
            <v>AG31</v>
          </cell>
        </row>
        <row r="33">
          <cell r="A33" t="str">
            <v>AG32</v>
          </cell>
        </row>
        <row r="34">
          <cell r="A34" t="str">
            <v>AG33</v>
          </cell>
        </row>
        <row r="35">
          <cell r="A35" t="str">
            <v>AG34</v>
          </cell>
        </row>
        <row r="36">
          <cell r="A36" t="str">
            <v>AG35?</v>
          </cell>
        </row>
        <row r="37">
          <cell r="A37" t="str">
            <v>AG36</v>
          </cell>
        </row>
        <row r="38">
          <cell r="A38" t="str">
            <v>AG37</v>
          </cell>
        </row>
        <row r="39">
          <cell r="A39" t="str">
            <v>AG38</v>
          </cell>
        </row>
        <row r="40">
          <cell r="A40" t="str">
            <v>AG39</v>
          </cell>
        </row>
        <row r="41">
          <cell r="A41" t="str">
            <v>AG40</v>
          </cell>
        </row>
        <row r="42">
          <cell r="A42" t="str">
            <v>AG41</v>
          </cell>
        </row>
        <row r="43">
          <cell r="A43" t="str">
            <v>AG42</v>
          </cell>
        </row>
        <row r="44">
          <cell r="A44" t="str">
            <v>AG43</v>
          </cell>
        </row>
        <row r="45">
          <cell r="A45" t="str">
            <v>AG44</v>
          </cell>
        </row>
        <row r="46">
          <cell r="A46" t="str">
            <v>AG45</v>
          </cell>
        </row>
        <row r="47">
          <cell r="A47" t="str">
            <v>AG46</v>
          </cell>
        </row>
        <row r="48">
          <cell r="A48" t="str">
            <v>AG47</v>
          </cell>
        </row>
        <row r="49">
          <cell r="A49" t="str">
            <v>AG48</v>
          </cell>
        </row>
        <row r="50">
          <cell r="A50" t="str">
            <v>AG49</v>
          </cell>
        </row>
        <row r="51">
          <cell r="A51" t="str">
            <v>AG50</v>
          </cell>
        </row>
        <row r="52">
          <cell r="A52" t="str">
            <v>AG51</v>
          </cell>
        </row>
        <row r="53">
          <cell r="A53" t="str">
            <v>AG52</v>
          </cell>
        </row>
        <row r="54">
          <cell r="A54" t="str">
            <v>AG53</v>
          </cell>
        </row>
        <row r="55">
          <cell r="A55" t="str">
            <v>AG54</v>
          </cell>
        </row>
        <row r="56">
          <cell r="A56" t="str">
            <v>AG55</v>
          </cell>
        </row>
        <row r="57">
          <cell r="A57"/>
        </row>
        <row r="58">
          <cell r="A58"/>
        </row>
        <row r="59">
          <cell r="A59" t="str">
            <v>AAV2</v>
          </cell>
        </row>
        <row r="60">
          <cell r="A60" t="str">
            <v>AAV3a</v>
          </cell>
        </row>
        <row r="61">
          <cell r="A61" t="str">
            <v>AAV4</v>
          </cell>
        </row>
        <row r="62">
          <cell r="A62" t="str">
            <v>AAV15a</v>
          </cell>
        </row>
        <row r="63">
          <cell r="A63" t="str">
            <v>AAV16</v>
          </cell>
        </row>
        <row r="64">
          <cell r="A64" t="str">
            <v>AAV17</v>
          </cell>
        </row>
        <row r="65">
          <cell r="A65" t="str">
            <v>AAV18</v>
          </cell>
        </row>
        <row r="66">
          <cell r="A66" t="str">
            <v>AAV24</v>
          </cell>
        </row>
        <row r="67">
          <cell r="A67" t="str">
            <v>AAV25</v>
          </cell>
        </row>
        <row r="68">
          <cell r="A68" t="str">
            <v>AAV26</v>
          </cell>
        </row>
        <row r="69">
          <cell r="A69" t="str">
            <v>AAV28</v>
          </cell>
        </row>
        <row r="70">
          <cell r="A70" t="str">
            <v>AAV29</v>
          </cell>
        </row>
        <row r="71">
          <cell r="A71" t="str">
            <v>AAV39</v>
          </cell>
        </row>
        <row r="73">
          <cell r="A73" t="str">
            <v>AAV60</v>
          </cell>
        </row>
        <row r="74">
          <cell r="A74" t="str">
            <v>AAV61</v>
          </cell>
        </row>
        <row r="75">
          <cell r="A75" t="str">
            <v>AAV62</v>
          </cell>
        </row>
        <row r="76">
          <cell r="A76" t="str">
            <v>AAV68</v>
          </cell>
        </row>
        <row r="77">
          <cell r="A77" t="str">
            <v>AAV69</v>
          </cell>
        </row>
        <row r="78">
          <cell r="A78" t="str">
            <v>AAV70</v>
          </cell>
        </row>
        <row r="79">
          <cell r="A79" t="str">
            <v>AAV72</v>
          </cell>
        </row>
        <row r="80">
          <cell r="A80" t="str">
            <v>AAV75</v>
          </cell>
        </row>
        <row r="81">
          <cell r="A81" t="str">
            <v>AAV76</v>
          </cell>
        </row>
        <row r="82">
          <cell r="A82" t="str">
            <v>AAV89</v>
          </cell>
        </row>
        <row r="83">
          <cell r="A83" t="str">
            <v>AAV90</v>
          </cell>
        </row>
        <row r="84">
          <cell r="A84" t="str">
            <v>AAV91</v>
          </cell>
        </row>
        <row r="85">
          <cell r="A85" t="str">
            <v>AAV92</v>
          </cell>
        </row>
        <row r="88">
          <cell r="A88"/>
        </row>
        <row r="89">
          <cell r="A89" t="str">
            <v>AAV93</v>
          </cell>
        </row>
        <row r="90">
          <cell r="A90" t="str">
            <v>AAV94</v>
          </cell>
        </row>
        <row r="91">
          <cell r="A91" t="str">
            <v>AAV95</v>
          </cell>
        </row>
        <row r="92">
          <cell r="A92" t="str">
            <v>AAV96</v>
          </cell>
        </row>
        <row r="93">
          <cell r="A93" t="str">
            <v>AAV97</v>
          </cell>
        </row>
        <row r="94">
          <cell r="A94" t="str">
            <v>AAV98</v>
          </cell>
        </row>
        <row r="95">
          <cell r="A95" t="str">
            <v>AAV99</v>
          </cell>
        </row>
        <row r="96">
          <cell r="A96" t="str">
            <v>AAV100</v>
          </cell>
        </row>
        <row r="97">
          <cell r="A97" t="str">
            <v>AAV101</v>
          </cell>
        </row>
        <row r="98">
          <cell r="A98" t="str">
            <v>AAV102</v>
          </cell>
        </row>
        <row r="99">
          <cell r="A99" t="str">
            <v>AAV103</v>
          </cell>
        </row>
        <row r="100">
          <cell r="A100" t="str">
            <v>AAV104</v>
          </cell>
        </row>
        <row r="101">
          <cell r="A101" t="str">
            <v>AAV105</v>
          </cell>
        </row>
        <row r="102">
          <cell r="A102" t="str">
            <v>AAV106</v>
          </cell>
        </row>
        <row r="103">
          <cell r="A103" t="str">
            <v>AAV107</v>
          </cell>
        </row>
        <row r="104">
          <cell r="A104" t="str">
            <v>AAV108</v>
          </cell>
        </row>
        <row r="105">
          <cell r="A105" t="str">
            <v>AAV109</v>
          </cell>
        </row>
        <row r="106">
          <cell r="A106" t="str">
            <v>AAV110</v>
          </cell>
        </row>
        <row r="107">
          <cell r="A107" t="str">
            <v>AAV111</v>
          </cell>
        </row>
        <row r="108">
          <cell r="A108" t="str">
            <v>AAV112</v>
          </cell>
        </row>
        <row r="109">
          <cell r="A109" t="str">
            <v>AAV113</v>
          </cell>
        </row>
        <row r="110">
          <cell r="A110"/>
        </row>
        <row r="111">
          <cell r="A111" t="str">
            <v>AAV114</v>
          </cell>
        </row>
        <row r="112">
          <cell r="A112" t="str">
            <v>AAV115</v>
          </cell>
        </row>
        <row r="113">
          <cell r="A113" t="str">
            <v>AAV116</v>
          </cell>
        </row>
        <row r="114">
          <cell r="A114" t="str">
            <v>AAV117</v>
          </cell>
        </row>
        <row r="115">
          <cell r="A115" t="str">
            <v>AAV118</v>
          </cell>
        </row>
        <row r="116">
          <cell r="A116" t="str">
            <v>AAV119</v>
          </cell>
        </row>
        <row r="117">
          <cell r="A117" t="str">
            <v>AAV120</v>
          </cell>
        </row>
        <row r="118">
          <cell r="A118" t="str">
            <v>AAV121</v>
          </cell>
        </row>
        <row r="119">
          <cell r="A119" t="str">
            <v>AAV122</v>
          </cell>
        </row>
        <row r="120">
          <cell r="A120" t="str">
            <v>AAV123</v>
          </cell>
        </row>
        <row r="121">
          <cell r="A121" t="str">
            <v>AAV124</v>
          </cell>
        </row>
        <row r="122">
          <cell r="A122" t="str">
            <v>AAV125</v>
          </cell>
        </row>
        <row r="123">
          <cell r="A123" t="str">
            <v>AAV126</v>
          </cell>
        </row>
        <row r="124">
          <cell r="A124" t="str">
            <v>AAV127</v>
          </cell>
        </row>
        <row r="125">
          <cell r="A125" t="str">
            <v>AAV128</v>
          </cell>
        </row>
        <row r="126">
          <cell r="A126" t="str">
            <v>AAV129</v>
          </cell>
        </row>
        <row r="127">
          <cell r="A127" t="str">
            <v>AAV130</v>
          </cell>
        </row>
        <row r="128">
          <cell r="A128" t="str">
            <v>AAV131</v>
          </cell>
        </row>
        <row r="129">
          <cell r="A129" t="str">
            <v>AAV132</v>
          </cell>
        </row>
        <row r="130">
          <cell r="A130" t="str">
            <v>AAV133</v>
          </cell>
        </row>
        <row r="131">
          <cell r="A131" t="str">
            <v>AAV134</v>
          </cell>
        </row>
        <row r="132">
          <cell r="A132" t="str">
            <v>AAV135</v>
          </cell>
        </row>
        <row r="133">
          <cell r="A133" t="str">
            <v>AAV136</v>
          </cell>
        </row>
        <row r="134">
          <cell r="A134" t="str">
            <v>AAV137</v>
          </cell>
        </row>
        <row r="135">
          <cell r="A135" t="str">
            <v>AAV138</v>
          </cell>
        </row>
        <row r="136">
          <cell r="A136" t="str">
            <v>AAV139</v>
          </cell>
        </row>
        <row r="137">
          <cell r="A137" t="str">
            <v>AAV140</v>
          </cell>
        </row>
        <row r="138">
          <cell r="A138" t="str">
            <v>AAV141</v>
          </cell>
        </row>
        <row r="139">
          <cell r="A139" t="str">
            <v>AAV142</v>
          </cell>
        </row>
        <row r="140">
          <cell r="A140" t="str">
            <v>AAV143</v>
          </cell>
        </row>
        <row r="141">
          <cell r="A141" t="str">
            <v>AAV144</v>
          </cell>
        </row>
        <row r="142">
          <cell r="A142" t="str">
            <v>AAV145</v>
          </cell>
        </row>
        <row r="143">
          <cell r="A143" t="str">
            <v>AAV146</v>
          </cell>
        </row>
        <row r="144">
          <cell r="A144" t="str">
            <v>AAV147</v>
          </cell>
        </row>
        <row r="145">
          <cell r="A145" t="str">
            <v>AAV148</v>
          </cell>
        </row>
        <row r="146">
          <cell r="A146" t="str">
            <v>AAV149</v>
          </cell>
        </row>
        <row r="147">
          <cell r="A147" t="str">
            <v>AAV150</v>
          </cell>
        </row>
        <row r="148">
          <cell r="A148" t="str">
            <v>AAV151</v>
          </cell>
        </row>
        <row r="149">
          <cell r="A149" t="str">
            <v>AAV152</v>
          </cell>
        </row>
        <row r="150">
          <cell r="A150" t="str">
            <v>AAV153</v>
          </cell>
        </row>
        <row r="151">
          <cell r="A151" t="str">
            <v>AAV154</v>
          </cell>
        </row>
        <row r="152">
          <cell r="A152" t="str">
            <v>AAV155</v>
          </cell>
        </row>
        <row r="153">
          <cell r="A153" t="str">
            <v>AAV156</v>
          </cell>
        </row>
        <row r="154">
          <cell r="A154" t="str">
            <v>AAV157</v>
          </cell>
        </row>
        <row r="155">
          <cell r="A155" t="str">
            <v>AAV158</v>
          </cell>
        </row>
        <row r="156">
          <cell r="A156" t="str">
            <v>AAV159</v>
          </cell>
        </row>
        <row r="157">
          <cell r="A157" t="str">
            <v>AAV160</v>
          </cell>
        </row>
        <row r="158">
          <cell r="A158" t="str">
            <v>AAV161</v>
          </cell>
        </row>
        <row r="159">
          <cell r="A159" t="str">
            <v>AAV162</v>
          </cell>
        </row>
        <row r="160">
          <cell r="A160" t="str">
            <v>AAV163</v>
          </cell>
        </row>
        <row r="161">
          <cell r="A161" t="str">
            <v>AAV164</v>
          </cell>
        </row>
        <row r="162">
          <cell r="A162" t="str">
            <v>AAV165</v>
          </cell>
        </row>
        <row r="163">
          <cell r="A163" t="str">
            <v>AAV166</v>
          </cell>
        </row>
        <row r="164">
          <cell r="A164" t="str">
            <v>AAV167</v>
          </cell>
        </row>
        <row r="165">
          <cell r="A165" t="str">
            <v>AAV168</v>
          </cell>
        </row>
        <row r="166">
          <cell r="A166" t="str">
            <v>AAV169</v>
          </cell>
        </row>
        <row r="167">
          <cell r="A167" t="str">
            <v>AAV170</v>
          </cell>
        </row>
        <row r="168">
          <cell r="A168" t="str">
            <v>AAV171</v>
          </cell>
        </row>
        <row r="169">
          <cell r="A169" t="str">
            <v>AAV172</v>
          </cell>
        </row>
        <row r="170">
          <cell r="A170" t="str">
            <v>AAV173</v>
          </cell>
        </row>
        <row r="171">
          <cell r="A171" t="str">
            <v>AAV174</v>
          </cell>
        </row>
        <row r="172">
          <cell r="A172" t="str">
            <v>AAV175</v>
          </cell>
        </row>
        <row r="173">
          <cell r="A173" t="str">
            <v>AAV176</v>
          </cell>
        </row>
        <row r="174">
          <cell r="A174" t="str">
            <v>AAV177</v>
          </cell>
        </row>
        <row r="175">
          <cell r="A175" t="str">
            <v>AAV178</v>
          </cell>
        </row>
        <row r="176">
          <cell r="A176" t="str">
            <v>AAV179</v>
          </cell>
        </row>
        <row r="177">
          <cell r="A177" t="str">
            <v>AAV180</v>
          </cell>
        </row>
        <row r="178">
          <cell r="A178" t="str">
            <v>AAV181</v>
          </cell>
        </row>
        <row r="179">
          <cell r="A179" t="str">
            <v>AAV182</v>
          </cell>
        </row>
        <row r="180">
          <cell r="A180" t="str">
            <v>AAV183</v>
          </cell>
        </row>
        <row r="181">
          <cell r="A181" t="str">
            <v>AAV184</v>
          </cell>
        </row>
        <row r="182">
          <cell r="A182" t="str">
            <v>AAV185</v>
          </cell>
        </row>
        <row r="183">
          <cell r="A183" t="str">
            <v>AAV186</v>
          </cell>
        </row>
        <row r="184">
          <cell r="A184" t="str">
            <v>AAV187</v>
          </cell>
        </row>
        <row r="185">
          <cell r="A185" t="str">
            <v>AAV188</v>
          </cell>
        </row>
        <row r="186">
          <cell r="A186" t="str">
            <v>AAV189</v>
          </cell>
        </row>
        <row r="187">
          <cell r="A187" t="str">
            <v>AAV190</v>
          </cell>
        </row>
        <row r="188">
          <cell r="A188" t="str">
            <v>AAV191</v>
          </cell>
        </row>
        <row r="189">
          <cell r="A189" t="str">
            <v>AAV192</v>
          </cell>
        </row>
        <row r="190">
          <cell r="A190" t="str">
            <v>AAV193</v>
          </cell>
        </row>
        <row r="191">
          <cell r="A191" t="str">
            <v>AAV194</v>
          </cell>
        </row>
        <row r="192">
          <cell r="A192" t="str">
            <v>AAV195</v>
          </cell>
        </row>
        <row r="193">
          <cell r="A193" t="str">
            <v>AAV196</v>
          </cell>
        </row>
        <row r="194">
          <cell r="A194" t="str">
            <v>AAV197</v>
          </cell>
        </row>
        <row r="195">
          <cell r="A195" t="str">
            <v>AAV198</v>
          </cell>
        </row>
        <row r="196">
          <cell r="A196" t="str">
            <v>AAV199</v>
          </cell>
        </row>
        <row r="197">
          <cell r="A197" t="str">
            <v>AAV200</v>
          </cell>
        </row>
        <row r="198">
          <cell r="A198"/>
        </row>
        <row r="199">
          <cell r="A199" t="str">
            <v>AAV201</v>
          </cell>
        </row>
        <row r="200">
          <cell r="A200" t="str">
            <v>AAV202</v>
          </cell>
        </row>
        <row r="201">
          <cell r="A201" t="str">
            <v>AAV203</v>
          </cell>
        </row>
        <row r="202">
          <cell r="A202" t="str">
            <v>AAV204</v>
          </cell>
        </row>
        <row r="203">
          <cell r="A203" t="str">
            <v>AAV205</v>
          </cell>
        </row>
        <row r="204">
          <cell r="A204" t="str">
            <v>AAV206</v>
          </cell>
        </row>
        <row r="205">
          <cell r="A205" t="str">
            <v>206_SN</v>
          </cell>
        </row>
        <row r="206">
          <cell r="A206" t="str">
            <v>AAV207</v>
          </cell>
        </row>
        <row r="207">
          <cell r="A207" t="str">
            <v>207_SN</v>
          </cell>
        </row>
        <row r="208">
          <cell r="A208" t="str">
            <v>AAV208</v>
          </cell>
        </row>
        <row r="209">
          <cell r="A209" t="str">
            <v>208_SN</v>
          </cell>
        </row>
        <row r="210">
          <cell r="A210" t="str">
            <v>AAV209</v>
          </cell>
        </row>
        <row r="211">
          <cell r="A211" t="str">
            <v>AAV210</v>
          </cell>
        </row>
        <row r="212">
          <cell r="A212" t="str">
            <v>AAV210_SN</v>
          </cell>
        </row>
        <row r="213">
          <cell r="A213" t="str">
            <v>AAV211</v>
          </cell>
        </row>
        <row r="214">
          <cell r="A214" t="str">
            <v>AAV211_SN</v>
          </cell>
        </row>
        <row r="215">
          <cell r="A215" t="str">
            <v>AAV212</v>
          </cell>
        </row>
        <row r="216">
          <cell r="A216" t="str">
            <v>AAV212_SN</v>
          </cell>
        </row>
        <row r="217">
          <cell r="A217" t="str">
            <v>AAV213</v>
          </cell>
        </row>
        <row r="218">
          <cell r="A218" t="str">
            <v>AAV213_SN</v>
          </cell>
        </row>
        <row r="219">
          <cell r="A219" t="str">
            <v>AAV214</v>
          </cell>
        </row>
        <row r="220">
          <cell r="A220" t="str">
            <v>AAV215</v>
          </cell>
        </row>
        <row r="221">
          <cell r="A221" t="str">
            <v>AAV216</v>
          </cell>
        </row>
        <row r="222">
          <cell r="A222" t="str">
            <v>AAV217</v>
          </cell>
        </row>
        <row r="223">
          <cell r="A223" t="str">
            <v>AAV218</v>
          </cell>
        </row>
        <row r="224">
          <cell r="A224" t="str">
            <v>AAV219</v>
          </cell>
        </row>
        <row r="225">
          <cell r="A225" t="str">
            <v>AAV220</v>
          </cell>
        </row>
        <row r="226">
          <cell r="A226" t="str">
            <v>AAV221</v>
          </cell>
        </row>
        <row r="227">
          <cell r="A227" t="str">
            <v>AAV222</v>
          </cell>
        </row>
        <row r="228">
          <cell r="A228" t="str">
            <v>AAV223</v>
          </cell>
        </row>
        <row r="229">
          <cell r="A229" t="str">
            <v>AAV224</v>
          </cell>
        </row>
        <row r="230">
          <cell r="A230" t="str">
            <v>AAV225</v>
          </cell>
        </row>
        <row r="231">
          <cell r="A231" t="str">
            <v>AAV226</v>
          </cell>
        </row>
        <row r="232">
          <cell r="A232" t="str">
            <v>AAV227</v>
          </cell>
        </row>
        <row r="233">
          <cell r="A233" t="str">
            <v>AAV228</v>
          </cell>
        </row>
        <row r="234">
          <cell r="A234" t="str">
            <v>AAV229</v>
          </cell>
        </row>
        <row r="235">
          <cell r="A235" t="str">
            <v>AAV230</v>
          </cell>
        </row>
        <row r="236">
          <cell r="A236" t="str">
            <v>AAV231</v>
          </cell>
        </row>
        <row r="237">
          <cell r="A237" t="str">
            <v>AAV232</v>
          </cell>
        </row>
        <row r="238">
          <cell r="A238" t="str">
            <v>AAV233</v>
          </cell>
        </row>
        <row r="239">
          <cell r="A239" t="str">
            <v>AAV237</v>
          </cell>
        </row>
        <row r="240">
          <cell r="A240" t="str">
            <v>AAV238</v>
          </cell>
        </row>
        <row r="241">
          <cell r="A241" t="str">
            <v>AAV240</v>
          </cell>
        </row>
        <row r="242">
          <cell r="A242" t="str">
            <v>AAV241</v>
          </cell>
        </row>
        <row r="243">
          <cell r="A243" t="str">
            <v>AAV242</v>
          </cell>
        </row>
        <row r="244">
          <cell r="A244" t="str">
            <v>AAV243</v>
          </cell>
        </row>
        <row r="245">
          <cell r="A245" t="str">
            <v>AAV244</v>
          </cell>
        </row>
        <row r="246">
          <cell r="A246" t="str">
            <v>AAV245</v>
          </cell>
        </row>
        <row r="247">
          <cell r="A247" t="str">
            <v>AAV251</v>
          </cell>
        </row>
        <row r="248">
          <cell r="A248" t="str">
            <v>AAV252/1</v>
          </cell>
        </row>
        <row r="249">
          <cell r="A249" t="str">
            <v>AAV252/2</v>
          </cell>
        </row>
        <row r="250">
          <cell r="A250" t="str">
            <v>AAV256</v>
          </cell>
        </row>
        <row r="251">
          <cell r="A251" t="str">
            <v>AAV257</v>
          </cell>
        </row>
        <row r="252">
          <cell r="A252" t="str">
            <v>AAV258</v>
          </cell>
        </row>
        <row r="253">
          <cell r="A253" t="str">
            <v>AAV260</v>
          </cell>
        </row>
        <row r="254">
          <cell r="A254" t="str">
            <v>AAV261</v>
          </cell>
        </row>
        <row r="255">
          <cell r="A255" t="str">
            <v>AAV262</v>
          </cell>
        </row>
        <row r="256">
          <cell r="A256" t="str">
            <v>AAV266</v>
          </cell>
        </row>
        <row r="257">
          <cell r="A257" t="str">
            <v>AAV267</v>
          </cell>
        </row>
        <row r="258">
          <cell r="A258" t="str">
            <v>AAV268</v>
          </cell>
        </row>
        <row r="259">
          <cell r="A259" t="str">
            <v>AAV269</v>
          </cell>
        </row>
        <row r="260">
          <cell r="A260" t="str">
            <v>AAV270</v>
          </cell>
        </row>
        <row r="261">
          <cell r="A261" t="str">
            <v>AAV271</v>
          </cell>
        </row>
        <row r="262">
          <cell r="A262" t="str">
            <v>AAV272</v>
          </cell>
        </row>
        <row r="263">
          <cell r="A263" t="str">
            <v>AAV273</v>
          </cell>
        </row>
        <row r="264">
          <cell r="A264" t="str">
            <v>AAV274</v>
          </cell>
        </row>
        <row r="265">
          <cell r="A265" t="str">
            <v>AAV275</v>
          </cell>
        </row>
        <row r="266">
          <cell r="A266" t="str">
            <v>AAV276</v>
          </cell>
        </row>
        <row r="267">
          <cell r="A267" t="str">
            <v>AAV277</v>
          </cell>
        </row>
        <row r="268">
          <cell r="A268" t="str">
            <v>AAV278</v>
          </cell>
        </row>
        <row r="269">
          <cell r="A269" t="str">
            <v>AAV279</v>
          </cell>
        </row>
        <row r="270">
          <cell r="A270" t="str">
            <v>AAV280</v>
          </cell>
        </row>
        <row r="271">
          <cell r="A271" t="str">
            <v>AAV281</v>
          </cell>
        </row>
        <row r="272">
          <cell r="A272" t="str">
            <v>AAV281Sn</v>
          </cell>
        </row>
        <row r="273">
          <cell r="A273" t="str">
            <v>AAV282</v>
          </cell>
        </row>
        <row r="274">
          <cell r="A274" t="str">
            <v>AAV283</v>
          </cell>
        </row>
        <row r="275">
          <cell r="A275" t="str">
            <v>AAV284</v>
          </cell>
        </row>
        <row r="276">
          <cell r="A276" t="str">
            <v>AAV285</v>
          </cell>
        </row>
        <row r="277">
          <cell r="A277" t="str">
            <v>AAV286</v>
          </cell>
        </row>
        <row r="278">
          <cell r="A278" t="str">
            <v>AAV287</v>
          </cell>
        </row>
        <row r="279">
          <cell r="A279" t="str">
            <v>AAV288</v>
          </cell>
        </row>
        <row r="280">
          <cell r="A280" t="str">
            <v>AAV289</v>
          </cell>
        </row>
        <row r="281">
          <cell r="A281" t="str">
            <v>AAV290</v>
          </cell>
        </row>
        <row r="282">
          <cell r="A282" t="str">
            <v>AAV292</v>
          </cell>
        </row>
        <row r="283">
          <cell r="A283" t="str">
            <v>AAV293</v>
          </cell>
        </row>
        <row r="284">
          <cell r="A284" t="str">
            <v>AAV294</v>
          </cell>
        </row>
        <row r="285">
          <cell r="A285" t="str">
            <v>AAV295</v>
          </cell>
        </row>
        <row r="286">
          <cell r="A286" t="str">
            <v>AAV296</v>
          </cell>
        </row>
        <row r="287">
          <cell r="A287" t="str">
            <v>AAV297</v>
          </cell>
        </row>
        <row r="288">
          <cell r="A288" t="str">
            <v>AAV298</v>
          </cell>
        </row>
        <row r="289">
          <cell r="A289" t="str">
            <v>AAV299</v>
          </cell>
        </row>
        <row r="290">
          <cell r="A290" t="str">
            <v>AAV300</v>
          </cell>
        </row>
        <row r="291">
          <cell r="A291" t="str">
            <v>AAV301</v>
          </cell>
        </row>
        <row r="292">
          <cell r="A292" t="str">
            <v>AAV302</v>
          </cell>
        </row>
        <row r="293">
          <cell r="A293" t="str">
            <v>AAV303</v>
          </cell>
        </row>
        <row r="294">
          <cell r="A294" t="str">
            <v>AAV305</v>
          </cell>
        </row>
        <row r="295">
          <cell r="A295" t="str">
            <v>AAV306</v>
          </cell>
        </row>
        <row r="296">
          <cell r="A296" t="str">
            <v>AAV307</v>
          </cell>
        </row>
        <row r="297">
          <cell r="A297" t="str">
            <v>AAV308</v>
          </cell>
        </row>
        <row r="298">
          <cell r="A298" t="str">
            <v>AAV309</v>
          </cell>
        </row>
        <row r="299">
          <cell r="A299" t="str">
            <v>AAV310</v>
          </cell>
        </row>
        <row r="300">
          <cell r="A300" t="str">
            <v>AAV311</v>
          </cell>
        </row>
        <row r="301">
          <cell r="A301" t="str">
            <v>AAV313</v>
          </cell>
        </row>
        <row r="302">
          <cell r="A302" t="str">
            <v>AAV314/1</v>
          </cell>
        </row>
        <row r="303">
          <cell r="A303" t="str">
            <v>AAV315</v>
          </cell>
        </row>
        <row r="304">
          <cell r="A304" t="str">
            <v>AAV315</v>
          </cell>
        </row>
        <row r="305">
          <cell r="A305" t="str">
            <v>AAV317</v>
          </cell>
        </row>
        <row r="308">
          <cell r="A308" t="str">
            <v>AAV320</v>
          </cell>
        </row>
        <row r="309">
          <cell r="A309" t="str">
            <v>AAV321</v>
          </cell>
        </row>
        <row r="310">
          <cell r="A310" t="str">
            <v>AAV322</v>
          </cell>
        </row>
        <row r="311">
          <cell r="A311" t="str">
            <v>AAV323</v>
          </cell>
        </row>
        <row r="312">
          <cell r="A312" t="str">
            <v>AAV324</v>
          </cell>
        </row>
        <row r="313">
          <cell r="A313" t="str">
            <v>AAV325</v>
          </cell>
        </row>
        <row r="314">
          <cell r="A314" t="str">
            <v>AAV326</v>
          </cell>
        </row>
        <row r="315">
          <cell r="A315" t="str">
            <v>AAV327</v>
          </cell>
        </row>
        <row r="316">
          <cell r="A316" t="str">
            <v>AAV328</v>
          </cell>
        </row>
        <row r="317">
          <cell r="A317" t="str">
            <v>AAV329</v>
          </cell>
        </row>
        <row r="318">
          <cell r="A318" t="str">
            <v>AAV330</v>
          </cell>
        </row>
        <row r="319">
          <cell r="A319" t="str">
            <v>AAV331</v>
          </cell>
        </row>
        <row r="320">
          <cell r="A320" t="str">
            <v>AAV333</v>
          </cell>
        </row>
        <row r="325">
          <cell r="A325" t="str">
            <v>AAV338</v>
          </cell>
        </row>
        <row r="326">
          <cell r="A326" t="str">
            <v>AAV339</v>
          </cell>
        </row>
        <row r="327">
          <cell r="A327" t="str">
            <v>AAV340</v>
          </cell>
        </row>
        <row r="328">
          <cell r="A328" t="str">
            <v>AAV341</v>
          </cell>
        </row>
        <row r="329">
          <cell r="A329" t="str">
            <v>AAV342</v>
          </cell>
        </row>
        <row r="330">
          <cell r="A330" t="str">
            <v>AAV343</v>
          </cell>
        </row>
        <row r="331">
          <cell r="A331" t="str">
            <v>AAV344</v>
          </cell>
        </row>
        <row r="332">
          <cell r="A332" t="str">
            <v>AAV345</v>
          </cell>
        </row>
        <row r="333">
          <cell r="A333" t="str">
            <v>AAV346</v>
          </cell>
        </row>
        <row r="334">
          <cell r="A334" t="str">
            <v>AAV347</v>
          </cell>
        </row>
        <row r="335">
          <cell r="A335" t="str">
            <v>AAV348</v>
          </cell>
        </row>
        <row r="336">
          <cell r="A336" t="str">
            <v>AAV349</v>
          </cell>
        </row>
        <row r="337">
          <cell r="A337" t="str">
            <v>AAV350</v>
          </cell>
        </row>
        <row r="338">
          <cell r="A338" t="str">
            <v>AAV351</v>
          </cell>
        </row>
        <row r="339">
          <cell r="A339" t="str">
            <v>AAV352</v>
          </cell>
        </row>
        <row r="340">
          <cell r="A340" t="str">
            <v>AAV353</v>
          </cell>
        </row>
        <row r="341">
          <cell r="A341" t="str">
            <v>AAV354</v>
          </cell>
        </row>
        <row r="342">
          <cell r="A342" t="str">
            <v>AAV355</v>
          </cell>
        </row>
        <row r="343">
          <cell r="A343" t="str">
            <v>AAV356</v>
          </cell>
        </row>
        <row r="344">
          <cell r="A344" t="str">
            <v>AAV357</v>
          </cell>
        </row>
        <row r="345">
          <cell r="A345" t="str">
            <v>AAV358</v>
          </cell>
        </row>
        <row r="346">
          <cell r="A346" t="str">
            <v>AAV359</v>
          </cell>
        </row>
        <row r="347">
          <cell r="A347" t="str">
            <v>AAV360</v>
          </cell>
        </row>
        <row r="348">
          <cell r="A348" t="str">
            <v>AAV361</v>
          </cell>
        </row>
        <row r="349">
          <cell r="A349" t="str">
            <v>AAV365</v>
          </cell>
        </row>
        <row r="350">
          <cell r="A350" t="str">
            <v>AAV366</v>
          </cell>
        </row>
        <row r="351">
          <cell r="A351" t="str">
            <v>AAV371</v>
          </cell>
        </row>
        <row r="352">
          <cell r="A352" t="str">
            <v>AAV372</v>
          </cell>
        </row>
        <row r="353">
          <cell r="A353" t="str">
            <v>AAV375</v>
          </cell>
        </row>
        <row r="354">
          <cell r="A354" t="str">
            <v>AAV376</v>
          </cell>
        </row>
        <row r="355">
          <cell r="A355" t="str">
            <v>AAV377</v>
          </cell>
        </row>
        <row r="356">
          <cell r="A356" t="str">
            <v>AAV378</v>
          </cell>
        </row>
        <row r="359">
          <cell r="A359" t="str">
            <v>AAV392</v>
          </cell>
        </row>
        <row r="360">
          <cell r="A360" t="str">
            <v>AAV393</v>
          </cell>
        </row>
        <row r="361">
          <cell r="A361" t="str">
            <v>AAV395</v>
          </cell>
        </row>
        <row r="362">
          <cell r="A362" t="str">
            <v>AAV396</v>
          </cell>
        </row>
        <row r="363">
          <cell r="A363" t="str">
            <v>AAV406</v>
          </cell>
        </row>
        <row r="364">
          <cell r="A364" t="str">
            <v>AAV407</v>
          </cell>
        </row>
        <row r="365">
          <cell r="A365" t="str">
            <v>AAV408</v>
          </cell>
        </row>
        <row r="366">
          <cell r="A366" t="str">
            <v>AAV409</v>
          </cell>
        </row>
        <row r="367">
          <cell r="A367" t="str">
            <v>AAV410</v>
          </cell>
        </row>
        <row r="368">
          <cell r="A368" t="str">
            <v>AAV418</v>
          </cell>
        </row>
        <row r="369">
          <cell r="A369" t="str">
            <v>AAV420</v>
          </cell>
        </row>
        <row r="370">
          <cell r="A370" t="str">
            <v>AAV421</v>
          </cell>
        </row>
        <row r="371">
          <cell r="A371" t="str">
            <v>AAV422</v>
          </cell>
        </row>
        <row r="372">
          <cell r="A372" t="str">
            <v>AAV423</v>
          </cell>
        </row>
        <row r="373">
          <cell r="A373" t="str">
            <v>AAV424</v>
          </cell>
        </row>
        <row r="374">
          <cell r="A374" t="str">
            <v>AAV425</v>
          </cell>
        </row>
        <row r="375">
          <cell r="A375" t="str">
            <v>AAV426</v>
          </cell>
        </row>
        <row r="376">
          <cell r="A376" t="str">
            <v>AAV427</v>
          </cell>
        </row>
        <row r="377">
          <cell r="A377" t="str">
            <v>AAV428</v>
          </cell>
        </row>
        <row r="378">
          <cell r="A378" t="str">
            <v>AAV429</v>
          </cell>
        </row>
        <row r="379">
          <cell r="A379" t="str">
            <v>AAV430 SS</v>
          </cell>
        </row>
        <row r="380">
          <cell r="A380" t="str">
            <v>AAV431 SS</v>
          </cell>
        </row>
        <row r="381">
          <cell r="A381" t="str">
            <v>AAV432 SS</v>
          </cell>
        </row>
        <row r="382">
          <cell r="A382" t="str">
            <v>AAV433</v>
          </cell>
        </row>
        <row r="383">
          <cell r="A383" t="str">
            <v>AAV434</v>
          </cell>
        </row>
        <row r="384">
          <cell r="A384" t="str">
            <v>AAV435</v>
          </cell>
        </row>
        <row r="385">
          <cell r="A385" t="str">
            <v>AAV443</v>
          </cell>
        </row>
        <row r="386">
          <cell r="A386" t="str">
            <v>AAV444</v>
          </cell>
        </row>
        <row r="387">
          <cell r="A387" t="str">
            <v>AAV445</v>
          </cell>
        </row>
        <row r="388">
          <cell r="A388" t="str">
            <v>AAV446</v>
          </cell>
        </row>
        <row r="389">
          <cell r="A389" t="str">
            <v>AAV448</v>
          </cell>
        </row>
        <row r="390">
          <cell r="A390" t="str">
            <v>AAV449</v>
          </cell>
        </row>
        <row r="391">
          <cell r="A391" t="str">
            <v>AAV451</v>
          </cell>
        </row>
        <row r="392">
          <cell r="A392" t="str">
            <v>AAV452</v>
          </cell>
        </row>
        <row r="393">
          <cell r="A393" t="str">
            <v>AAV453</v>
          </cell>
        </row>
        <row r="394">
          <cell r="A394" t="str">
            <v>AAV454</v>
          </cell>
        </row>
        <row r="395">
          <cell r="A395" t="str">
            <v>AAV455</v>
          </cell>
        </row>
        <row r="396">
          <cell r="A396" t="str">
            <v>AAV471</v>
          </cell>
        </row>
        <row r="397">
          <cell r="A397" t="str">
            <v>AAV472</v>
          </cell>
        </row>
        <row r="398">
          <cell r="A398" t="str">
            <v>AAV473</v>
          </cell>
        </row>
        <row r="399">
          <cell r="A399" t="str">
            <v>AAV475</v>
          </cell>
        </row>
        <row r="400">
          <cell r="A400" t="str">
            <v>AAV476</v>
          </cell>
        </row>
        <row r="401">
          <cell r="A401" t="str">
            <v>AAV477</v>
          </cell>
        </row>
        <row r="402">
          <cell r="A402" t="str">
            <v>AAV478</v>
          </cell>
        </row>
        <row r="403">
          <cell r="A403" t="str">
            <v>AAV479</v>
          </cell>
        </row>
        <row r="404">
          <cell r="A404" t="str">
            <v>AAV480</v>
          </cell>
        </row>
        <row r="405">
          <cell r="A405" t="str">
            <v>AAV481</v>
          </cell>
        </row>
        <row r="406">
          <cell r="A406" t="str">
            <v xml:space="preserve">AAV482/1 </v>
          </cell>
        </row>
        <row r="407">
          <cell r="A407" t="str">
            <v>AAV482/2</v>
          </cell>
        </row>
        <row r="408">
          <cell r="A408" t="str">
            <v>AAV483</v>
          </cell>
        </row>
        <row r="409">
          <cell r="A409" t="str">
            <v>AAV484</v>
          </cell>
        </row>
        <row r="410">
          <cell r="A410" t="str">
            <v>AAV485</v>
          </cell>
        </row>
        <row r="411">
          <cell r="A411" t="str">
            <v>AAV486</v>
          </cell>
        </row>
        <row r="412">
          <cell r="A412" t="str">
            <v>AAV487</v>
          </cell>
        </row>
        <row r="413">
          <cell r="A413" t="str">
            <v>AAV491/s</v>
          </cell>
        </row>
        <row r="414">
          <cell r="A414" t="str">
            <v>AAV500</v>
          </cell>
        </row>
        <row r="415">
          <cell r="A415" t="str">
            <v>AAV501</v>
          </cell>
        </row>
        <row r="416">
          <cell r="A416" t="str">
            <v>AAV502</v>
          </cell>
        </row>
        <row r="417">
          <cell r="A417" t="str">
            <v>AAV503</v>
          </cell>
        </row>
        <row r="418">
          <cell r="A418" t="str">
            <v>AAV507</v>
          </cell>
        </row>
        <row r="419">
          <cell r="A419" t="str">
            <v>AAV508</v>
          </cell>
        </row>
        <row r="420">
          <cell r="A420" t="str">
            <v>AAV428</v>
          </cell>
        </row>
        <row r="421">
          <cell r="A421" t="str">
            <v>AAV514</v>
          </cell>
        </row>
        <row r="422">
          <cell r="A422" t="str">
            <v>AAV515</v>
          </cell>
        </row>
        <row r="423">
          <cell r="A423" t="str">
            <v>AAV516</v>
          </cell>
        </row>
        <row r="424">
          <cell r="A424" t="str">
            <v>AAV517</v>
          </cell>
        </row>
        <row r="425">
          <cell r="A425"/>
        </row>
        <row r="426">
          <cell r="A426"/>
        </row>
        <row r="427">
          <cell r="A427"/>
        </row>
        <row r="428">
          <cell r="A428"/>
        </row>
        <row r="429">
          <cell r="A429"/>
        </row>
        <row r="430">
          <cell r="A430"/>
        </row>
        <row r="432">
          <cell r="A432" t="str">
            <v>Request list</v>
          </cell>
        </row>
        <row r="433">
          <cell r="A433"/>
        </row>
        <row r="443">
          <cell r="A443" t="str">
            <v>Back log</v>
          </cell>
        </row>
      </sheetData>
      <sheetData sheetId="10"/>
      <sheetData sheetId="11"/>
    </sheetDataSet>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Alive" id="{4762419D-0D06-4B04-92C6-133DD16B36BF}"/>
</namedSheetViews>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Alive" id="{A7007182-F862-4274-B333-730C02E09936}"/>
</namedSheetViews>
</file>

<file path=xl/persons/person.xml><?xml version="1.0" encoding="utf-8"?>
<personList xmlns="http://schemas.microsoft.com/office/spreadsheetml/2018/threadedcomments" xmlns:x="http://schemas.openxmlformats.org/spreadsheetml/2006/main">
  <person displayName="Nagy Dominika" id="{33A7534E-AC34-4917-A622-828812075B00}" userId="S::dominika.nagy@femtonics.eu::9b12c182-89d2-4e6c-a29b-dea9c86b555c"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zalay Gergely" refreshedDate="45982.995211689813" createdVersion="8" refreshedVersion="8" minRefreshableVersion="3" recordCount="2960" xr:uid="{13334201-B148-4F9B-93CB-9D7082A85AB7}">
  <cacheSource type="worksheet">
    <worksheetSource ref="E1:E3002" sheet="old -- All injections Dobos"/>
  </cacheSource>
  <cacheFields count="1">
    <cacheField name="Injection _x000a_Date" numFmtId="164">
      <sharedItems containsNonDate="0" containsDate="1" containsString="0" containsBlank="1" minDate="2017-10-20T00:00:00" maxDate="2024-11-12T00:00:00" count="449">
        <d v="2017-10-20T00:00:00"/>
        <d v="2017-10-23T00:00:00"/>
        <d v="2017-10-27T00:00:00"/>
        <d v="2017-10-31T00:00:00"/>
        <d v="2017-11-01T00:00:00"/>
        <d v="2017-11-02T00:00:00"/>
        <d v="2017-11-08T00:00:00"/>
        <d v="2017-11-09T00:00:00"/>
        <d v="2017-11-13T00:00:00"/>
        <d v="2017-11-10T00:00:00"/>
        <d v="2017-11-24T00:00:00"/>
        <d v="2017-12-05T00:00:00"/>
        <d v="2017-12-08T00:00:00"/>
        <d v="2017-12-09T00:00:00"/>
        <d v="2017-12-22T00:00:00"/>
        <d v="2017-12-25T00:00:00"/>
        <d v="2017-12-29T00:00:00"/>
        <d v="2018-01-11T00:00:00"/>
        <d v="2018-01-22T00:00:00"/>
        <d v="2018-01-23T00:00:00"/>
        <d v="2018-01-24T00:00:00"/>
        <d v="2018-01-26T00:00:00"/>
        <d v="2018-01-31T00:00:00"/>
        <d v="2018-02-02T00:00:00"/>
        <d v="2018-02-08T00:00:00"/>
        <d v="2018-02-09T00:00:00"/>
        <d v="2018-02-13T00:00:00"/>
        <d v="2018-02-16T00:00:00"/>
        <d v="2018-02-26T00:00:00"/>
        <d v="2018-02-27T00:00:00"/>
        <d v="2018-03-01T00:00:00"/>
        <d v="2018-03-16T00:00:00"/>
        <d v="2018-03-19T00:00:00"/>
        <d v="2018-04-10T00:00:00"/>
        <d v="2018-04-12T00:00:00"/>
        <d v="2018-04-13T00:00:00"/>
        <d v="2018-04-16T00:00:00"/>
        <d v="2018-04-18T00:00:00"/>
        <d v="2018-04-20T00:00:00"/>
        <d v="2018-05-15T00:00:00"/>
        <d v="2018-05-16T00:00:00"/>
        <d v="2018-05-18T00:00:00"/>
        <d v="2018-05-22T00:00:00"/>
        <d v="2018-05-31T00:00:00"/>
        <d v="2018-06-13T00:00:00"/>
        <d v="2018-06-16T00:00:00"/>
        <d v="2018-06-27T00:00:00"/>
        <d v="2018-07-05T00:00:00"/>
        <d v="2018-07-18T00:00:00"/>
        <d v="2018-07-20T00:00:00"/>
        <d v="2018-07-21T00:00:00"/>
        <d v="2018-07-23T00:00:00"/>
        <d v="2018-08-06T00:00:00"/>
        <d v="2018-04-15T00:00:00"/>
        <d v="2018-08-09T00:00:00"/>
        <d v="2018-08-10T00:00:00"/>
        <d v="2018-08-14T00:00:00"/>
        <d v="2018-08-16T00:00:00"/>
        <d v="2018-08-27T00:00:00"/>
        <d v="2018-08-31T00:00:00"/>
        <d v="2018-09-10T00:00:00"/>
        <d v="2018-09-11T00:00:00"/>
        <d v="2018-09-12T00:00:00"/>
        <d v="2018-09-17T00:00:00"/>
        <d v="2018-09-27T00:00:00"/>
        <d v="2018-10-10T00:00:00"/>
        <d v="2018-10-15T00:00:00"/>
        <d v="2018-10-16T00:00:00"/>
        <d v="2018-10-18T00:00:00"/>
        <d v="2018-10-19T00:00:00"/>
        <d v="2018-10-30T00:00:00"/>
        <d v="2018-11-05T00:00:00"/>
        <d v="2018-11-12T00:00:00"/>
        <d v="2018-11-19T00:00:00"/>
        <d v="2018-11-25T00:00:00"/>
        <d v="2018-11-27T00:00:00"/>
        <d v="2018-11-29T00:00:00"/>
        <d v="2018-12-12T00:00:00"/>
        <d v="2018-12-15T00:00:00"/>
        <d v="2018-12-18T00:00:00"/>
        <d v="2018-12-19T00:00:00"/>
        <d v="2018-12-20T00:00:00"/>
        <d v="2019-01-08T00:00:00"/>
        <d v="2019-01-14T00:00:00"/>
        <d v="2019-01-21T00:00:00"/>
        <d v="2019-01-23T00:00:00"/>
        <d v="2019-01-29T00:00:00"/>
        <d v="2019-02-01T00:00:00"/>
        <d v="2019-02-11T00:00:00"/>
        <d v="2019-02-20T00:00:00"/>
        <d v="2019-02-25T00:00:00"/>
        <d v="2019-03-04T00:00:00"/>
        <d v="2019-03-06T00:00:00"/>
        <d v="2019-03-21T00:00:00"/>
        <d v="2019-03-20T00:00:00"/>
        <d v="2019-03-28T00:00:00"/>
        <d v="2019-03-29T00:00:00"/>
        <d v="2018-04-02T00:00:00"/>
        <d v="2018-04-04T00:00:00"/>
        <d v="2018-04-14T00:00:00"/>
        <d v="2018-04-05T00:00:00"/>
        <d v="2019-04-25T00:00:00"/>
        <d v="2019-04-24T00:00:00"/>
        <d v="2019-05-13T00:00:00"/>
        <d v="2019-05-14T00:00:00"/>
        <d v="2019-06-04T00:00:00"/>
        <d v="2019-06-01T00:00:00"/>
        <d v="2019-06-12T00:00:00"/>
        <d v="2019-06-14T00:00:00"/>
        <d v="2019-06-18T00:00:00"/>
        <d v="2019-06-19T00:00:00"/>
        <d v="2019-06-21T00:00:00"/>
        <d v="2019-06-25T00:00:00"/>
        <d v="2019-06-26T00:00:00"/>
        <d v="2019-07-03T00:00:00"/>
        <d v="2019-07-15T00:00:00"/>
        <d v="2019-07-16T00:00:00"/>
        <d v="2019-07-18T00:00:00"/>
        <d v="2019-07-23T00:00:00"/>
        <d v="2019-07-25T00:00:00"/>
        <d v="2019-07-29T00:00:00"/>
        <d v="2019-07-30T00:00:00"/>
        <d v="2019-07-31T00:00:00"/>
        <d v="2019-08-05T00:00:00"/>
        <d v="2019-08-07T00:00:00"/>
        <d v="2019-08-15T00:00:00"/>
        <d v="2019-09-05T00:00:00"/>
        <d v="2019-09-04T00:00:00"/>
        <d v="2019-04-11T00:00:00"/>
        <d v="2019-04-12T00:00:00"/>
        <d v="2019-09-24T00:00:00"/>
        <d v="2019-09-25T00:00:00"/>
        <d v="2019-09-26T00:00:00"/>
        <d v="2019-09-27T00:00:00"/>
        <d v="2019-09-30T00:00:00"/>
        <d v="2019-10-01T00:00:00"/>
        <d v="2019-01-02T00:00:00"/>
        <d v="2019-10-03T00:00:00"/>
        <d v="2019-10-04T00:00:00"/>
        <d v="2019-10-05T00:00:00"/>
        <d v="2019-10-06T00:00:00"/>
        <d v="2019-10-08T00:00:00"/>
        <d v="2019-11-07T00:00:00"/>
        <d v="2019-11-25T00:00:00"/>
        <d v="2019-11-28T00:00:00"/>
        <d v="2019-11-29T00:00:00"/>
        <d v="2020-01-31T00:00:00"/>
        <d v="2020-02-11T00:00:00"/>
        <d v="2020-02-17T00:00:00"/>
        <d v="2020-02-21T00:00:00"/>
        <d v="2020-02-20T00:00:00"/>
        <d v="2020-02-27T00:00:00"/>
        <d v="2020-02-28T00:00:00"/>
        <d v="2020-03-06T00:00:00"/>
        <d v="2020-03-12T00:00:00"/>
        <d v="2020-03-13T00:00:00"/>
        <d v="2020-03-19T00:00:00"/>
        <d v="2020-03-23T00:00:00"/>
        <d v="2020-03-24T00:00:00"/>
        <d v="2020-03-25T00:00:00"/>
        <d v="2020-03-26T00:00:00"/>
        <d v="2020-03-27T00:00:00"/>
        <d v="2020-04-01T00:00:00"/>
        <d v="2020-04-07T00:00:00"/>
        <d v="2020-04-15T00:00:00"/>
        <d v="2020-05-15T00:00:00"/>
        <d v="2020-05-18T00:00:00"/>
        <d v="2020-05-25T00:00:00"/>
        <d v="2020-05-26T00:00:00"/>
        <d v="2020-05-28T00:00:00"/>
        <d v="2020-06-04T00:00:00"/>
        <d v="2020-06-05T00:00:00"/>
        <d v="2020-06-11T00:00:00"/>
        <d v="2020-06-12T00:00:00"/>
        <d v="2020-06-18T00:00:00"/>
        <d v="2020-07-01T00:00:00"/>
        <d v="2020-07-02T00:00:00"/>
        <d v="2020-07-03T00:00:00"/>
        <d v="2020-07-15T00:00:00"/>
        <d v="2020-07-16T00:00:00"/>
        <d v="2020-07-19T00:00:00"/>
        <d v="2020-07-23T00:00:00"/>
        <d v="2020-08-04T00:00:00"/>
        <d v="2020-08-13T00:00:00"/>
        <d v="2020-08-14T00:00:00"/>
        <d v="2020-08-18T00:00:00"/>
        <d v="2020-08-19T00:00:00"/>
        <d v="2020-08-24T00:00:00"/>
        <d v="2020-08-26T00:00:00"/>
        <d v="2020-08-27T00:00:00"/>
        <d v="2020-09-02T00:00:00"/>
        <d v="2020-09-08T00:00:00"/>
        <d v="2020-09-11T00:00:00"/>
        <d v="2020-09-16T00:00:00"/>
        <d v="2020-09-30T00:00:00"/>
        <d v="2020-10-09T00:00:00"/>
        <d v="2020-10-27T00:00:00"/>
        <d v="2020-10-30T00:00:00"/>
        <d v="2020-11-03T00:00:00"/>
        <d v="2020-11-05T00:00:00"/>
        <d v="2020-11-10T00:00:00"/>
        <d v="2020-11-11T00:00:00"/>
        <d v="2020-11-25T00:00:00"/>
        <d v="2020-12-02T00:00:00"/>
        <d v="2020-12-03T00:00:00"/>
        <d v="2020-12-13T00:00:00"/>
        <d v="2020-12-14T00:00:00"/>
        <d v="2020-12-15T00:00:00"/>
        <d v="2021-01-22T00:00:00"/>
        <d v="2021-01-26T00:00:00"/>
        <d v="2021-01-29T00:00:00"/>
        <d v="2021-02-03T00:00:00"/>
        <d v="2021-02-05T00:00:00"/>
        <d v="2021-02-08T00:00:00"/>
        <d v="2021-02-09T00:00:00"/>
        <d v="2021-02-12T00:00:00"/>
        <d v="2021-02-19T00:00:00"/>
        <d v="2021-03-02T00:00:00"/>
        <d v="2021-03-05T00:00:00"/>
        <d v="2021-03-19T00:00:00"/>
        <d v="2021-04-13T00:00:00"/>
        <d v="2021-05-13T00:00:00"/>
        <d v="2021-05-21T00:00:00"/>
        <d v="2021-05-25T00:00:00"/>
        <d v="2021-05-28T00:00:00"/>
        <d v="2021-06-07T00:00:00"/>
        <d v="2021-06-22T00:00:00"/>
        <d v="2021-07-14T00:00:00"/>
        <d v="2021-07-16T00:00:00"/>
        <d v="2021-07-21T00:00:00"/>
        <d v="2021-07-26T00:00:00"/>
        <d v="2021-08-02T00:00:00"/>
        <d v="2021-08-03T00:00:00"/>
        <d v="2021-08-05T00:00:00"/>
        <d v="2021-08-07T00:00:00"/>
        <d v="2021-08-09T00:00:00"/>
        <d v="2021-08-11T00:00:00"/>
        <d v="2021-08-30T00:00:00"/>
        <d v="2021-09-07T00:00:00"/>
        <d v="2021-09-08T00:00:00"/>
        <d v="2021-09-14T00:00:00"/>
        <d v="2021-09-21T00:00:00"/>
        <d v="2021-09-27T00:00:00"/>
        <d v="2021-09-28T00:00:00"/>
        <d v="2021-10-18T00:00:00"/>
        <d v="2021-10-25T00:00:00"/>
        <d v="2021-10-26T00:00:00"/>
        <d v="2021-11-24T00:00:00"/>
        <d v="2021-12-01T00:00:00"/>
        <d v="2021-12-08T00:00:00"/>
        <d v="2022-01-11T00:00:00"/>
        <d v="2022-01-12T00:00:00"/>
        <d v="2022-01-24T00:00:00"/>
        <d v="2022-01-25T00:00:00"/>
        <d v="2022-01-26T00:00:00"/>
        <d v="2022-02-07T00:00:00"/>
        <d v="2022-02-08T00:00:00"/>
        <d v="2022-02-14T00:00:00"/>
        <d v="2022-02-23T00:00:00"/>
        <d v="2022-03-03T00:00:00"/>
        <d v="2022-03-07T00:00:00"/>
        <d v="2022-03-08T00:00:00"/>
        <d v="2022-03-09T00:00:00"/>
        <d v="2022-03-28T00:00:00"/>
        <d v="2022-03-29T00:00:00"/>
        <d v="2022-04-05T00:00:00"/>
        <d v="2022-04-06T00:00:00"/>
        <d v="2022-04-07T00:00:00"/>
        <d v="2022-04-20T00:00:00"/>
        <d v="2022-04-22T00:00:00"/>
        <d v="2022-05-04T00:00:00"/>
        <d v="2022-06-08T00:00:00"/>
        <d v="2022-06-09T00:00:00"/>
        <d v="2022-06-21T00:00:00"/>
        <d v="2022-06-24T00:00:00"/>
        <d v="2022-07-19T00:00:00"/>
        <d v="2022-07-26T00:00:00"/>
        <d v="2022-07-27T00:00:00"/>
        <d v="2022-07-28T00:00:00"/>
        <d v="2022-08-01T00:00:00"/>
        <d v="2022-08-03T00:00:00"/>
        <d v="2022-08-02T00:00:00"/>
        <d v="2022-08-10T00:00:00"/>
        <d v="2022-08-15T00:00:00"/>
        <d v="2022-08-16T00:00:00"/>
        <d v="2022-09-06T00:00:00"/>
        <d v="2022-09-07T00:00:00"/>
        <d v="2022-09-09T00:00:00"/>
        <d v="2022-09-13T00:00:00"/>
        <d v="2022-09-14T00:00:00"/>
        <d v="2022-09-12T00:00:00"/>
        <d v="2022-09-28T00:00:00"/>
        <d v="2022-10-12T00:00:00"/>
        <d v="2022-10-11T00:00:00"/>
        <d v="2022-10-13T00:00:00"/>
        <d v="2022-10-14T00:00:00"/>
        <d v="2022-11-02T00:00:00"/>
        <d v="2022-11-09T00:00:00"/>
        <d v="2022-12-06T00:00:00"/>
        <d v="2022-12-13T00:00:00"/>
        <d v="2022-12-16T00:00:00"/>
        <d v="2023-01-11T00:00:00"/>
        <d v="2023-01-13T00:00:00"/>
        <d v="2022-12-02T00:00:00"/>
        <d v="2022-12-09T00:00:00"/>
        <d v="2023-01-17T00:00:00"/>
        <d v="2022-07-07T00:00:00"/>
        <d v="2023-01-19T00:00:00"/>
        <d v="2023-01-25T00:00:00"/>
        <d v="2023-01-26T00:00:00"/>
        <d v="2023-01-27T00:00:00"/>
        <d v="2023-02-07T00:00:00"/>
        <d v="2023-02-22T00:00:00"/>
        <d v="2023-02-23T00:00:00"/>
        <d v="2023-03-03T00:00:00"/>
        <d v="2023-03-09T00:00:00"/>
        <d v="2023-03-10T00:00:00"/>
        <d v="2023-03-15T00:00:00"/>
        <d v="2023-03-20T00:00:00"/>
        <d v="2023-03-22T00:00:00"/>
        <d v="2023-03-28T00:00:00"/>
        <d v="2023-03-29T00:00:00"/>
        <d v="2023-03-31T00:00:00"/>
        <d v="2023-04-05T00:00:00"/>
        <d v="2023-04-12T00:00:00"/>
        <d v="2023-04-28T00:00:00"/>
        <d v="2023-05-02T00:00:00"/>
        <d v="2023-05-05T00:00:00"/>
        <d v="2023-05-09T00:00:00"/>
        <d v="2023-05-10T00:00:00"/>
        <d v="2023-05-12T00:00:00"/>
        <d v="2023-05-30T00:00:00"/>
        <d v="2023-06-20T00:00:00"/>
        <d v="2023-07-04T00:00:00"/>
        <d v="2023-07-05T00:00:00"/>
        <d v="2023-07-07T00:00:00"/>
        <d v="2023-07-12T00:00:00"/>
        <d v="2023-07-19T00:00:00"/>
        <d v="2023-07-26T00:00:00"/>
        <d v="2023-08-07T00:00:00"/>
        <d v="2023-08-08T00:00:00"/>
        <d v="2023-09-25T00:00:00"/>
        <d v="2023-09-26T00:00:00"/>
        <d v="2023-10-05T00:00:00"/>
        <d v="2023-10-10T00:00:00"/>
        <d v="2023-10-11T00:00:00"/>
        <d v="2023-10-17T00:00:00"/>
        <d v="2023-10-27T00:00:00"/>
        <d v="2023-10-18T00:00:00"/>
        <d v="2023-11-06T00:00:00"/>
        <d v="2023-11-13T00:00:00"/>
        <d v="2023-11-14T00:00:00"/>
        <d v="2023-11-15T00:00:00"/>
        <d v="2023-12-18T00:00:00"/>
        <d v="2023-12-21T00:00:00"/>
        <d v="2024-01-16T00:00:00"/>
        <d v="2024-01-24T00:00:00"/>
        <d v="2024-01-21T00:00:00"/>
        <d v="2024-01-26T00:00:00"/>
        <d v="2024-01-29T00:00:00"/>
        <d v="2024-01-31T00:00:00"/>
        <d v="2024-02-22T00:00:00"/>
        <d v="2024-03-14T00:00:00"/>
        <d v="2024-03-18T00:00:00"/>
        <d v="2024-03-19T00:00:00"/>
        <d v="2024-03-20T00:00:00"/>
        <d v="2024-03-21T00:00:00"/>
        <d v="2024-03-22T00:00:00"/>
        <d v="2024-03-23T00:00:00"/>
        <d v="2024-03-25T00:00:00"/>
        <d v="2024-03-26T00:00:00"/>
        <d v="2024-03-27T00:00:00"/>
        <d v="2024-04-03T00:00:00"/>
        <d v="2024-04-16T00:00:00"/>
        <d v="2024-04-17T00:00:00"/>
        <d v="2024-04-18T00:00:00"/>
        <d v="2024-04-19T00:00:00"/>
        <d v="2024-04-23T00:00:00"/>
        <d v="2024-04-22T00:00:00"/>
        <d v="2024-05-14T00:00:00"/>
        <d v="2024-05-28T00:00:00"/>
        <d v="2024-05-29T00:00:00"/>
        <d v="2024-06-05T00:00:00"/>
        <d v="2024-06-10T00:00:00"/>
        <d v="2024-06-11T00:00:00"/>
        <d v="2024-06-13T00:00:00"/>
        <d v="2024-06-17T00:00:00"/>
        <d v="2024-06-18T00:00:00"/>
        <d v="2024-06-19T00:00:00"/>
        <d v="2024-06-20T00:00:00"/>
        <d v="2024-06-24T00:00:00"/>
        <d v="2024-06-25T00:00:00"/>
        <d v="2024-06-28T00:00:00"/>
        <d v="2024-07-02T00:00:00"/>
        <d v="2024-07-04T00:00:00"/>
        <d v="2024-07-05T00:00:00"/>
        <d v="2024-07-08T00:00:00"/>
        <d v="2024-07-09T00:00:00"/>
        <d v="2024-07-10T00:00:00"/>
        <d v="2024-07-15T00:00:00"/>
        <d v="2024-07-17T00:00:00"/>
        <d v="2024-07-18T00:00:00"/>
        <d v="2024-07-19T00:00:00"/>
        <d v="2024-07-20T00:00:00"/>
        <d v="2024-07-23T00:00:00"/>
        <d v="2024-07-24T00:00:00"/>
        <d v="2024-07-30T00:00:00"/>
        <d v="2024-07-31T00:00:00"/>
        <d v="2024-08-01T00:00:00"/>
        <d v="2024-07-11T00:00:00"/>
        <d v="2024-08-02T00:00:00"/>
        <d v="2024-07-26T00:00:00"/>
        <d v="2024-08-08T00:00:00"/>
        <d v="2024-08-13T00:00:00"/>
        <d v="2024-08-07T00:00:00"/>
        <d v="2024-08-14T00:00:00"/>
        <d v="2024-08-15T00:00:00"/>
        <d v="2024-08-16T00:00:00"/>
        <d v="2024-09-02T00:00:00"/>
        <d v="2024-09-04T00:00:00"/>
        <d v="2024-09-03T00:00:00"/>
        <d v="2024-09-05T00:00:00"/>
        <d v="2024-09-09T00:00:00"/>
        <d v="2024-09-12T00:00:00"/>
        <d v="2024-09-16T00:00:00"/>
        <d v="2024-09-11T00:00:00"/>
        <d v="2024-09-19T00:00:00"/>
        <d v="2024-09-27T00:00:00"/>
        <d v="2024-10-10T00:00:00"/>
        <d v="2024-09-26T00:00:00"/>
        <d v="2024-10-09T00:00:00"/>
        <d v="2024-10-03T00:00:00"/>
        <d v="2024-10-02T00:00:00"/>
        <d v="2024-10-07T00:00:00"/>
        <d v="2024-10-08T00:00:00"/>
        <d v="2024-10-14T00:00:00"/>
        <d v="2024-10-15T00:00:00"/>
        <d v="2024-10-17T00:00:00"/>
        <d v="2024-10-27T00:00:00"/>
        <d v="2024-10-22T00:00:00"/>
        <d v="2024-10-23T00:00:00"/>
        <d v="2024-10-25T00:00:00"/>
        <d v="2024-10-28T00:00:00"/>
        <d v="2024-10-29T00:00:00"/>
        <d v="2024-10-30T00:00:00"/>
        <d v="2024-10-31T00:00:00"/>
        <d v="2024-11-08T00:00:00"/>
        <d v="2024-11-11T00:00:00"/>
        <m/>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zalay Gergely" refreshedDate="45983.001867245373" createdVersion="8" refreshedVersion="8" minRefreshableVersion="3" recordCount="274" xr:uid="{75D78FFC-8527-489D-A56B-F1AE299D205F}">
  <cacheSource type="worksheet">
    <worksheetSource ref="A3:O277" sheet="All injections Liliom"/>
  </cacheSource>
  <cacheFields count="15">
    <cacheField name="Animal number" numFmtId="0">
      <sharedItems/>
    </cacheField>
    <cacheField name="State" numFmtId="0">
      <sharedItems/>
    </cacheField>
    <cacheField name="Category" numFmtId="0">
      <sharedItems containsBlank="1"/>
    </cacheField>
    <cacheField name="Arrival date" numFmtId="164">
      <sharedItems containsSemiMixedTypes="0" containsNonDate="0" containsDate="1" containsString="0" minDate="2025-02-24T00:00:00" maxDate="2025-11-21T00:00:00"/>
    </cacheField>
    <cacheField name="Age (days)" numFmtId="1">
      <sharedItems containsSemiMixedTypes="0" containsString="0" containsNumber="1" containsInteger="1" minValue="53" maxValue="417"/>
    </cacheField>
    <cacheField name="OGR number" numFmtId="0">
      <sharedItems/>
    </cacheField>
    <cacheField name="Box #" numFmtId="0">
      <sharedItems containsBlank="1"/>
    </cacheField>
    <cacheField name="Line" numFmtId="0">
      <sharedItems/>
    </cacheField>
    <cacheField name="Sex" numFmtId="0">
      <sharedItems containsBlank="1"/>
    </cacheField>
    <cacheField name="Project approval #" numFmtId="0">
      <sharedItems/>
    </cacheField>
    <cacheField name="Owner" numFmtId="0">
      <sharedItems containsBlank="1"/>
    </cacheField>
    <cacheField name="Project" numFmtId="0">
      <sharedItems containsBlank="1"/>
    </cacheField>
    <cacheField name="Project # check" numFmtId="1">
      <sharedItems containsString="0" containsBlank="1" containsNumber="1" containsInteger="1" minValue="0" maxValue="1"/>
    </cacheField>
    <cacheField name="Injection _x000a_Date" numFmtId="164">
      <sharedItems containsDate="1" containsBlank="1" containsMixedTypes="1" minDate="2025-01-30T00:00:00" maxDate="2025-11-22T00:00:00" count="63">
        <d v="2025-01-30T00:00:00"/>
        <d v="2025-01-31T00:00:00"/>
        <s v="-"/>
        <d v="2025-03-05T00:00:00"/>
        <d v="2025-03-04T00:00:00"/>
        <d v="2025-03-07T00:00:00"/>
        <d v="2025-03-02T00:00:00"/>
        <m/>
        <d v="2025-07-10T00:00:00"/>
        <d v="2025-07-11T00:00:00"/>
        <d v="2025-06-18T00:00:00"/>
        <d v="2025-06-29T00:00:00"/>
        <d v="2025-07-02T00:00:00"/>
        <d v="2025-06-12T00:00:00"/>
        <d v="2025-06-20T00:00:00"/>
        <d v="2025-06-25T00:00:00"/>
        <d v="2025-06-27T00:00:00"/>
        <d v="2025-06-05T00:00:00"/>
        <d v="2025-06-06T00:00:00"/>
        <d v="2025-06-04T00:00:00"/>
        <d v="2025-07-21T00:00:00"/>
        <d v="2025-07-22T00:00:00"/>
        <d v="2025-07-23T00:00:00"/>
        <d v="2025-07-17T00:00:00"/>
        <d v="2025-07-18T00:00:00"/>
        <d v="2025-06-10T00:00:00"/>
        <d v="2025-06-11T00:00:00"/>
        <d v="2025-06-19T00:00:00"/>
        <d v="2025-07-08T00:00:00"/>
        <d v="2025-07-09T00:00:00"/>
        <d v="2025-07-19T00:00:00"/>
        <d v="2025-06-28T00:00:00"/>
        <d v="2025-07-04T00:00:00"/>
        <d v="2025-07-03T00:00:00"/>
        <d v="2025-06-30T00:00:00"/>
        <d v="2025-07-01T00:00:00"/>
        <d v="2025-07-20T00:00:00"/>
        <d v="2025-07-15T00:00:00"/>
        <d v="2025-07-14T00:00:00"/>
        <d v="2025-09-20T00:00:00"/>
        <d v="2025-09-02T00:00:00"/>
        <d v="2025-11-03T00:00:00"/>
        <d v="2025-11-13T00:00:00"/>
        <d v="2025-09-23T00:00:00"/>
        <d v="2025-09-24T00:00:00"/>
        <d v="2025-11-04T00:00:00"/>
        <d v="2025-11-12T00:00:00"/>
        <d v="2025-09-09T00:00:00"/>
        <d v="2025-09-10T00:00:00"/>
        <d v="2025-09-15T00:00:00"/>
        <d v="2025-09-22T00:00:00"/>
        <d v="2025-09-06T00:00:00"/>
        <d v="2025-09-12T00:00:00"/>
        <d v="2025-10-05T00:00:00"/>
        <d v="2025-10-06T00:00:00"/>
        <d v="2025-11-05T00:00:00"/>
        <d v="2025-10-11T00:00:00"/>
        <d v="2025-10-13T00:00:00"/>
        <d v="2025-11-19T00:00:00"/>
        <d v="2025-11-20T00:00:00"/>
        <d v="2025-11-21T00:00:00"/>
        <s v="2025.07.10" u="1"/>
        <s v="2025.07.11" u="1"/>
      </sharedItems>
    </cacheField>
    <cacheField name="Injection_x000a_Pers." numFmtId="0">
      <sharedItems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zalay Gergely" refreshedDate="45983.032801273148" createdVersion="8" refreshedVersion="8" minRefreshableVersion="3" recordCount="449" xr:uid="{522AE830-CDB5-4F20-B1FD-0286E54DD9FC}">
  <cacheSource type="worksheet">
    <worksheetSource ref="O3:P452" sheet="Stats"/>
  </cacheSource>
  <cacheFields count="2">
    <cacheField name="Month" numFmtId="164">
      <sharedItems containsDate="1" containsMixedTypes="1" minDate="2017-10-01T00:00:00" maxDate="2024-11-02T00:00:00" count="86">
        <d v="2017-10-01T00:00:00"/>
        <d v="2017-11-01T00:00:00"/>
        <d v="2017-12-01T00:00:00"/>
        <d v="2018-01-01T00:00:00"/>
        <d v="2018-02-01T00:00:00"/>
        <d v="2018-03-01T00:00:00"/>
        <d v="2018-04-01T00:00:00"/>
        <d v="2018-05-01T00:00:00"/>
        <d v="2018-06-01T00:00:00"/>
        <d v="2018-07-01T00:00:00"/>
        <d v="2018-08-01T00:00:00"/>
        <d v="2018-09-01T00:00:00"/>
        <d v="2018-10-01T00:00:00"/>
        <d v="2018-11-01T00:00:00"/>
        <d v="2018-12-01T00:00:00"/>
        <d v="2019-01-01T00:00:00"/>
        <d v="2019-02-01T00:00:00"/>
        <d v="2019-03-01T00:00:00"/>
        <d v="2019-04-01T00:00:00"/>
        <d v="2019-05-01T00:00:00"/>
        <d v="2019-06-01T00:00:00"/>
        <d v="2019-07-01T00:00:00"/>
        <d v="2019-08-01T00:00:00"/>
        <d v="2019-09-01T00:00:00"/>
        <d v="2019-10-01T00:00:00"/>
        <d v="2019-11-01T00:00:00"/>
        <d v="2020-01-01T00:00:00"/>
        <d v="2020-02-01T00:00:00"/>
        <d v="2020-03-01T00:00:00"/>
        <d v="2020-04-01T00:00:00"/>
        <d v="2020-05-01T00:00:00"/>
        <d v="2020-06-01T00:00:00"/>
        <d v="2020-07-01T00:00:00"/>
        <d v="2020-08-01T00:00:00"/>
        <d v="2020-09-01T00:00:00"/>
        <d v="2020-10-01T00:00:00"/>
        <d v="2020-11-01T00:00:00"/>
        <d v="2020-12-01T00:00:00"/>
        <d v="2021-01-01T00:00:00"/>
        <d v="2021-02-01T00:00:00"/>
        <d v="2021-03-01T00:00:00"/>
        <d v="2021-04-01T00:00:00"/>
        <d v="2021-05-01T00:00:00"/>
        <d v="2021-06-01T00:00:00"/>
        <d v="2021-07-01T00:00:00"/>
        <d v="2021-08-01T00:00:00"/>
        <d v="2021-09-01T00:00:00"/>
        <d v="2021-10-01T00:00:00"/>
        <d v="2021-11-01T00:00:00"/>
        <d v="2021-12-01T00:00:00"/>
        <d v="2022-01-01T00:00:00"/>
        <d v="2022-02-01T00:00:00"/>
        <d v="2022-03-01T00:00:00"/>
        <d v="2022-04-01T00:00:00"/>
        <d v="2022-05-01T00:00:00"/>
        <d v="2022-06-01T00:00:00"/>
        <d v="2022-07-01T00:00:00"/>
        <d v="2022-08-01T00:00:00"/>
        <d v="2022-09-01T00:00:00"/>
        <e v="#VALUE!"/>
        <d v="2022-10-01T00:00:00"/>
        <d v="2022-11-01T00:00:00"/>
        <d v="2022-12-01T00:00:00"/>
        <d v="2023-01-01T00:00:00"/>
        <d v="2023-02-01T00:00:00"/>
        <d v="2023-03-01T00:00:00"/>
        <d v="2023-04-01T00:00:00"/>
        <d v="2023-05-01T00:00:00"/>
        <d v="2023-06-01T00:00:00"/>
        <d v="2023-07-01T00:00:00"/>
        <d v="2023-08-01T00:00:00"/>
        <d v="2023-09-01T00:00:00"/>
        <d v="2023-10-01T00:00:00"/>
        <d v="2023-11-01T00:00:00"/>
        <d v="2023-12-01T00:00:00"/>
        <d v="2024-01-01T00:00:00"/>
        <d v="2024-02-01T00:00:00"/>
        <d v="2024-03-01T00:00:00"/>
        <d v="2024-04-01T00:00:00"/>
        <d v="2024-05-01T00:00:00"/>
        <d v="2024-06-01T00:00:00"/>
        <d v="2024-07-01T00:00:00"/>
        <d v="2024-08-01T00:00:00"/>
        <d v="2024-09-01T00:00:00"/>
        <d v="2024-10-01T00:00:00"/>
        <d v="2024-11-01T00:00:00"/>
      </sharedItems>
    </cacheField>
    <cacheField name="DB" numFmtId="1">
      <sharedItems containsSemiMixedTypes="0" containsString="0" containsNumber="1" containsInteger="1" minValue="0" maxValue="55"/>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zalay Gergely" refreshedDate="45983.037238657409" createdVersion="8" refreshedVersion="8" minRefreshableVersion="3" recordCount="53" xr:uid="{7AE24E56-ABAC-40F7-8839-CF821A5178B7}">
  <cacheSource type="worksheet">
    <worksheetSource ref="AG10:AH63" sheet="Stats"/>
  </cacheSource>
  <cacheFields count="4">
    <cacheField name="Month" numFmtId="164">
      <sharedItems containsSemiMixedTypes="0" containsNonDate="0" containsDate="1" containsString="0" minDate="2025-06-01T00:00:00" maxDate="2025-11-02T00:00:00" count="5">
        <d v="2025-06-01T00:00:00"/>
        <d v="2025-07-01T00:00:00"/>
        <d v="2025-09-01T00:00:00"/>
        <d v="2025-10-01T00:00:00"/>
        <d v="2025-11-01T00:00:00"/>
      </sharedItems>
      <fieldGroup par="3"/>
    </cacheField>
    <cacheField name="DB" numFmtId="1">
      <sharedItems containsSemiMixedTypes="0" containsString="0" containsNumber="1" containsInteger="1" minValue="1" maxValue="7"/>
    </cacheField>
    <cacheField name="Nap (Month)" numFmtId="0" databaseField="0">
      <fieldGroup base="0">
        <rangePr groupBy="days" startDate="2025-06-01T00:00:00" endDate="2025-11-02T00:00:00"/>
        <groupItems count="368">
          <s v="&lt;2025.06.01"/>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r"/>
          <s v="02.febr"/>
          <s v="03.febr"/>
          <s v="04.febr"/>
          <s v="05.febr"/>
          <s v="06.febr"/>
          <s v="07.febr"/>
          <s v="08.febr"/>
          <s v="09.febr"/>
          <s v="10.febr"/>
          <s v="11.febr"/>
          <s v="12.febr"/>
          <s v="13.febr"/>
          <s v="14.febr"/>
          <s v="15.febr"/>
          <s v="16.febr"/>
          <s v="17.febr"/>
          <s v="18.febr"/>
          <s v="19.febr"/>
          <s v="20.febr"/>
          <s v="21.febr"/>
          <s v="22.febr"/>
          <s v="23.febr"/>
          <s v="24.febr"/>
          <s v="25.febr"/>
          <s v="26.febr"/>
          <s v="27.febr"/>
          <s v="28.febr"/>
          <s v="29.febr"/>
          <s v="01.márc"/>
          <s v="02.márc"/>
          <s v="03.márc"/>
          <s v="04.márc"/>
          <s v="05.márc"/>
          <s v="06.márc"/>
          <s v="07.márc"/>
          <s v="08.márc"/>
          <s v="09.márc"/>
          <s v="10.márc"/>
          <s v="11.márc"/>
          <s v="12.márc"/>
          <s v="13.márc"/>
          <s v="14.márc"/>
          <s v="15.márc"/>
          <s v="16.márc"/>
          <s v="17.márc"/>
          <s v="18.márc"/>
          <s v="19.márc"/>
          <s v="20.márc"/>
          <s v="21.márc"/>
          <s v="22.márc"/>
          <s v="23.márc"/>
          <s v="24.márc"/>
          <s v="25.márc"/>
          <s v="26.márc"/>
          <s v="27.márc"/>
          <s v="28.márc"/>
          <s v="29.márc"/>
          <s v="30.márc"/>
          <s v="31.márc"/>
          <s v="01.ápr"/>
          <s v="02.ápr"/>
          <s v="03.ápr"/>
          <s v="04.ápr"/>
          <s v="05.ápr"/>
          <s v="06.ápr"/>
          <s v="07.ápr"/>
          <s v="08.ápr"/>
          <s v="09.ápr"/>
          <s v="10.ápr"/>
          <s v="11.ápr"/>
          <s v="12.ápr"/>
          <s v="13.ápr"/>
          <s v="14.ápr"/>
          <s v="15.ápr"/>
          <s v="16.ápr"/>
          <s v="17.ápr"/>
          <s v="18.ápr"/>
          <s v="19.ápr"/>
          <s v="20.ápr"/>
          <s v="21.ápr"/>
          <s v="22.ápr"/>
          <s v="23.ápr"/>
          <s v="24.ápr"/>
          <s v="25.ápr"/>
          <s v="26.ápr"/>
          <s v="27.ápr"/>
          <s v="28.ápr"/>
          <s v="29.ápr"/>
          <s v="30.ápr"/>
          <s v="01.máj"/>
          <s v="02.máj"/>
          <s v="03.máj"/>
          <s v="04.máj"/>
          <s v="05.máj"/>
          <s v="06.máj"/>
          <s v="07.máj"/>
          <s v="08.máj"/>
          <s v="09.máj"/>
          <s v="10.máj"/>
          <s v="11.máj"/>
          <s v="12.máj"/>
          <s v="13.máj"/>
          <s v="14.máj"/>
          <s v="15.máj"/>
          <s v="16.máj"/>
          <s v="17.máj"/>
          <s v="18.máj"/>
          <s v="19.máj"/>
          <s v="20.máj"/>
          <s v="21.máj"/>
          <s v="22.máj"/>
          <s v="23.máj"/>
          <s v="24.máj"/>
          <s v="25.máj"/>
          <s v="26.máj"/>
          <s v="27.máj"/>
          <s v="28.máj"/>
          <s v="29.máj"/>
          <s v="30.máj"/>
          <s v="31.máj"/>
          <s v="01.jún"/>
          <s v="02.jún"/>
          <s v="03.jún"/>
          <s v="04.jún"/>
          <s v="05.jún"/>
          <s v="06.jún"/>
          <s v="07.jún"/>
          <s v="08.jún"/>
          <s v="09.jún"/>
          <s v="10.jún"/>
          <s v="11.jún"/>
          <s v="12.jún"/>
          <s v="13.jún"/>
          <s v="14.jún"/>
          <s v="15.jún"/>
          <s v="16.jún"/>
          <s v="17.jún"/>
          <s v="18.jún"/>
          <s v="19.jún"/>
          <s v="20.jún"/>
          <s v="21.jún"/>
          <s v="22.jún"/>
          <s v="23.jún"/>
          <s v="24.jún"/>
          <s v="25.jún"/>
          <s v="26.jún"/>
          <s v="27.jún"/>
          <s v="28.jún"/>
          <s v="29.jún"/>
          <s v="30.jún"/>
          <s v="01.júl"/>
          <s v="02.júl"/>
          <s v="03.júl"/>
          <s v="04.júl"/>
          <s v="05.júl"/>
          <s v="06.júl"/>
          <s v="07.júl"/>
          <s v="08.júl"/>
          <s v="09.júl"/>
          <s v="10.júl"/>
          <s v="11.júl"/>
          <s v="12.júl"/>
          <s v="13.júl"/>
          <s v="14.júl"/>
          <s v="15.júl"/>
          <s v="16.júl"/>
          <s v="17.júl"/>
          <s v="18.júl"/>
          <s v="19.júl"/>
          <s v="20.júl"/>
          <s v="21.júl"/>
          <s v="22.júl"/>
          <s v="23.júl"/>
          <s v="24.júl"/>
          <s v="25.júl"/>
          <s v="26.júl"/>
          <s v="27.júl"/>
          <s v="28.júl"/>
          <s v="29.júl"/>
          <s v="30.júl"/>
          <s v="31.jú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zept"/>
          <s v="02.szept"/>
          <s v="03.szept"/>
          <s v="04.szept"/>
          <s v="05.szept"/>
          <s v="06.szept"/>
          <s v="07.szept"/>
          <s v="08.szept"/>
          <s v="09.szept"/>
          <s v="10.szept"/>
          <s v="11.szept"/>
          <s v="12.szept"/>
          <s v="13.szept"/>
          <s v="14.szept"/>
          <s v="15.szept"/>
          <s v="16.szept"/>
          <s v="17.szept"/>
          <s v="18.szept"/>
          <s v="19.szept"/>
          <s v="20.szept"/>
          <s v="21.szept"/>
          <s v="22.szept"/>
          <s v="23.szept"/>
          <s v="24.szept"/>
          <s v="25.szept"/>
          <s v="26.szept"/>
          <s v="27.szept"/>
          <s v="28.szept"/>
          <s v="29.szept"/>
          <s v="30.szept"/>
          <s v="01.okt"/>
          <s v="02.okt"/>
          <s v="03.okt"/>
          <s v="04.okt"/>
          <s v="05.okt"/>
          <s v="06.okt"/>
          <s v="07.okt"/>
          <s v="08.okt"/>
          <s v="09.okt"/>
          <s v="10.okt"/>
          <s v="11.okt"/>
          <s v="12.okt"/>
          <s v="13.okt"/>
          <s v="14.okt"/>
          <s v="15.okt"/>
          <s v="16.okt"/>
          <s v="17.okt"/>
          <s v="18.okt"/>
          <s v="19.okt"/>
          <s v="20.okt"/>
          <s v="21.okt"/>
          <s v="22.okt"/>
          <s v="23.okt"/>
          <s v="24.okt"/>
          <s v="25.okt"/>
          <s v="26.okt"/>
          <s v="27.okt"/>
          <s v="28.okt"/>
          <s v="29.okt"/>
          <s v="30.okt"/>
          <s v="31.ok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025.11.02"/>
        </groupItems>
      </fieldGroup>
    </cacheField>
    <cacheField name="Hónap (Month)" numFmtId="0" databaseField="0">
      <fieldGroup base="0">
        <rangePr groupBy="months" startDate="2025-06-01T00:00:00" endDate="2025-11-02T00:00:00"/>
        <groupItems count="14">
          <s v="&lt;2025.06.01"/>
          <s v="jan"/>
          <s v="febr"/>
          <s v="márc"/>
          <s v="ápr"/>
          <s v="máj"/>
          <s v="jún"/>
          <s v="júl"/>
          <s v="aug"/>
          <s v="szept"/>
          <s v="okt"/>
          <s v="nov"/>
          <s v="dec"/>
          <s v="&gt;2025.11.02"/>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60">
  <r>
    <x v="0"/>
  </r>
  <r>
    <x v="0"/>
  </r>
  <r>
    <x v="1"/>
  </r>
  <r>
    <x v="2"/>
  </r>
  <r>
    <x v="2"/>
  </r>
  <r>
    <x v="3"/>
  </r>
  <r>
    <x v="4"/>
  </r>
  <r>
    <x v="4"/>
  </r>
  <r>
    <x v="5"/>
  </r>
  <r>
    <x v="5"/>
  </r>
  <r>
    <x v="6"/>
  </r>
  <r>
    <x v="6"/>
  </r>
  <r>
    <x v="6"/>
  </r>
  <r>
    <x v="6"/>
  </r>
  <r>
    <x v="6"/>
  </r>
  <r>
    <x v="6"/>
  </r>
  <r>
    <x v="6"/>
  </r>
  <r>
    <x v="6"/>
  </r>
  <r>
    <x v="6"/>
  </r>
  <r>
    <x v="6"/>
  </r>
  <r>
    <x v="7"/>
  </r>
  <r>
    <x v="7"/>
  </r>
  <r>
    <x v="7"/>
  </r>
  <r>
    <x v="7"/>
  </r>
  <r>
    <x v="7"/>
  </r>
  <r>
    <x v="7"/>
  </r>
  <r>
    <x v="8"/>
  </r>
  <r>
    <x v="8"/>
  </r>
  <r>
    <x v="8"/>
  </r>
  <r>
    <x v="9"/>
  </r>
  <r>
    <x v="9"/>
  </r>
  <r>
    <x v="9"/>
  </r>
  <r>
    <x v="9"/>
  </r>
  <r>
    <x v="10"/>
  </r>
  <r>
    <x v="10"/>
  </r>
  <r>
    <x v="10"/>
  </r>
  <r>
    <x v="10"/>
  </r>
  <r>
    <x v="10"/>
  </r>
  <r>
    <x v="11"/>
  </r>
  <r>
    <x v="11"/>
  </r>
  <r>
    <x v="11"/>
  </r>
  <r>
    <x v="11"/>
  </r>
  <r>
    <x v="11"/>
  </r>
  <r>
    <x v="12"/>
  </r>
  <r>
    <x v="12"/>
  </r>
  <r>
    <x v="12"/>
  </r>
  <r>
    <x v="12"/>
  </r>
  <r>
    <x v="12"/>
  </r>
  <r>
    <x v="12"/>
  </r>
  <r>
    <x v="12"/>
  </r>
  <r>
    <x v="13"/>
  </r>
  <r>
    <x v="13"/>
  </r>
  <r>
    <x v="14"/>
  </r>
  <r>
    <x v="14"/>
  </r>
  <r>
    <x v="14"/>
  </r>
  <r>
    <x v="15"/>
  </r>
  <r>
    <x v="15"/>
  </r>
  <r>
    <x v="15"/>
  </r>
  <r>
    <x v="15"/>
  </r>
  <r>
    <x v="15"/>
  </r>
  <r>
    <x v="15"/>
  </r>
  <r>
    <x v="16"/>
  </r>
  <r>
    <x v="16"/>
  </r>
  <r>
    <x v="16"/>
  </r>
  <r>
    <x v="16"/>
  </r>
  <r>
    <x v="16"/>
  </r>
  <r>
    <x v="16"/>
  </r>
  <r>
    <x v="16"/>
  </r>
  <r>
    <x v="17"/>
  </r>
  <r>
    <x v="17"/>
  </r>
  <r>
    <x v="17"/>
  </r>
  <r>
    <x v="17"/>
  </r>
  <r>
    <x v="18"/>
  </r>
  <r>
    <x v="18"/>
  </r>
  <r>
    <x v="18"/>
  </r>
  <r>
    <x v="18"/>
  </r>
  <r>
    <x v="18"/>
  </r>
  <r>
    <x v="18"/>
  </r>
  <r>
    <x v="19"/>
  </r>
  <r>
    <x v="19"/>
  </r>
  <r>
    <x v="19"/>
  </r>
  <r>
    <x v="20"/>
  </r>
  <r>
    <x v="20"/>
  </r>
  <r>
    <x v="20"/>
  </r>
  <r>
    <x v="20"/>
  </r>
  <r>
    <x v="20"/>
  </r>
  <r>
    <x v="20"/>
  </r>
  <r>
    <x v="21"/>
  </r>
  <r>
    <x v="21"/>
  </r>
  <r>
    <x v="21"/>
  </r>
  <r>
    <x v="21"/>
  </r>
  <r>
    <x v="21"/>
  </r>
  <r>
    <x v="21"/>
  </r>
  <r>
    <x v="21"/>
  </r>
  <r>
    <x v="22"/>
  </r>
  <r>
    <x v="22"/>
  </r>
  <r>
    <x v="22"/>
  </r>
  <r>
    <x v="22"/>
  </r>
  <r>
    <x v="22"/>
  </r>
  <r>
    <x v="22"/>
  </r>
  <r>
    <x v="22"/>
  </r>
  <r>
    <x v="23"/>
  </r>
  <r>
    <x v="23"/>
  </r>
  <r>
    <x v="23"/>
  </r>
  <r>
    <x v="24"/>
  </r>
  <r>
    <x v="24"/>
  </r>
  <r>
    <x v="24"/>
  </r>
  <r>
    <x v="25"/>
  </r>
  <r>
    <x v="25"/>
  </r>
  <r>
    <x v="25"/>
  </r>
  <r>
    <x v="26"/>
  </r>
  <r>
    <x v="26"/>
  </r>
  <r>
    <x v="26"/>
  </r>
  <r>
    <x v="26"/>
  </r>
  <r>
    <x v="26"/>
  </r>
  <r>
    <x v="26"/>
  </r>
  <r>
    <x v="26"/>
  </r>
  <r>
    <x v="26"/>
  </r>
  <r>
    <x v="27"/>
  </r>
  <r>
    <x v="27"/>
  </r>
  <r>
    <x v="27"/>
  </r>
  <r>
    <x v="27"/>
  </r>
  <r>
    <x v="27"/>
  </r>
  <r>
    <x v="27"/>
  </r>
  <r>
    <x v="27"/>
  </r>
  <r>
    <x v="28"/>
  </r>
  <r>
    <x v="28"/>
  </r>
  <r>
    <x v="28"/>
  </r>
  <r>
    <x v="29"/>
  </r>
  <r>
    <x v="29"/>
  </r>
  <r>
    <x v="29"/>
  </r>
  <r>
    <x v="29"/>
  </r>
  <r>
    <x v="29"/>
  </r>
  <r>
    <x v="30"/>
  </r>
  <r>
    <x v="30"/>
  </r>
  <r>
    <x v="30"/>
  </r>
  <r>
    <x v="31"/>
  </r>
  <r>
    <x v="31"/>
  </r>
  <r>
    <x v="31"/>
  </r>
  <r>
    <x v="32"/>
  </r>
  <r>
    <x v="32"/>
  </r>
  <r>
    <x v="32"/>
  </r>
  <r>
    <x v="32"/>
  </r>
  <r>
    <x v="33"/>
  </r>
  <r>
    <x v="33"/>
  </r>
  <r>
    <x v="33"/>
  </r>
  <r>
    <x v="33"/>
  </r>
  <r>
    <x v="34"/>
  </r>
  <r>
    <x v="34"/>
  </r>
  <r>
    <x v="34"/>
  </r>
  <r>
    <x v="34"/>
  </r>
  <r>
    <x v="34"/>
  </r>
  <r>
    <x v="34"/>
  </r>
  <r>
    <x v="34"/>
  </r>
  <r>
    <x v="34"/>
  </r>
  <r>
    <x v="35"/>
  </r>
  <r>
    <x v="35"/>
  </r>
  <r>
    <x v="36"/>
  </r>
  <r>
    <x v="36"/>
  </r>
  <r>
    <x v="36"/>
  </r>
  <r>
    <x v="36"/>
  </r>
  <r>
    <x v="37"/>
  </r>
  <r>
    <x v="37"/>
  </r>
  <r>
    <x v="37"/>
  </r>
  <r>
    <x v="38"/>
  </r>
  <r>
    <x v="38"/>
  </r>
  <r>
    <x v="38"/>
  </r>
  <r>
    <x v="39"/>
  </r>
  <r>
    <x v="39"/>
  </r>
  <r>
    <x v="39"/>
  </r>
  <r>
    <x v="40"/>
  </r>
  <r>
    <x v="40"/>
  </r>
  <r>
    <x v="40"/>
  </r>
  <r>
    <x v="40"/>
  </r>
  <r>
    <x v="41"/>
  </r>
  <r>
    <x v="41"/>
  </r>
  <r>
    <x v="42"/>
  </r>
  <r>
    <x v="42"/>
  </r>
  <r>
    <x v="42"/>
  </r>
  <r>
    <x v="43"/>
  </r>
  <r>
    <x v="43"/>
  </r>
  <r>
    <x v="43"/>
  </r>
  <r>
    <x v="44"/>
  </r>
  <r>
    <x v="44"/>
  </r>
  <r>
    <x v="44"/>
  </r>
  <r>
    <x v="44"/>
  </r>
  <r>
    <x v="44"/>
  </r>
  <r>
    <x v="44"/>
  </r>
  <r>
    <x v="44"/>
  </r>
  <r>
    <x v="44"/>
  </r>
  <r>
    <x v="44"/>
  </r>
  <r>
    <x v="45"/>
  </r>
  <r>
    <x v="45"/>
  </r>
  <r>
    <x v="45"/>
  </r>
  <r>
    <x v="45"/>
  </r>
  <r>
    <x v="46"/>
  </r>
  <r>
    <x v="46"/>
  </r>
  <r>
    <x v="46"/>
  </r>
  <r>
    <x v="46"/>
  </r>
  <r>
    <x v="47"/>
  </r>
  <r>
    <x v="47"/>
  </r>
  <r>
    <x v="47"/>
  </r>
  <r>
    <x v="47"/>
  </r>
  <r>
    <x v="48"/>
  </r>
  <r>
    <x v="48"/>
  </r>
  <r>
    <x v="48"/>
  </r>
  <r>
    <x v="49"/>
  </r>
  <r>
    <x v="49"/>
  </r>
  <r>
    <x v="50"/>
  </r>
  <r>
    <x v="49"/>
  </r>
  <r>
    <x v="49"/>
  </r>
  <r>
    <x v="49"/>
  </r>
  <r>
    <x v="51"/>
  </r>
  <r>
    <x v="51"/>
  </r>
  <r>
    <x v="51"/>
  </r>
  <r>
    <x v="51"/>
  </r>
  <r>
    <x v="52"/>
  </r>
  <r>
    <x v="52"/>
  </r>
  <r>
    <x v="52"/>
  </r>
  <r>
    <x v="52"/>
  </r>
  <r>
    <x v="53"/>
  </r>
  <r>
    <x v="53"/>
  </r>
  <r>
    <x v="53"/>
  </r>
  <r>
    <x v="54"/>
  </r>
  <r>
    <x v="54"/>
  </r>
  <r>
    <x v="55"/>
  </r>
  <r>
    <x v="55"/>
  </r>
  <r>
    <x v="56"/>
  </r>
  <r>
    <x v="56"/>
  </r>
  <r>
    <x v="56"/>
  </r>
  <r>
    <x v="57"/>
  </r>
  <r>
    <x v="57"/>
  </r>
  <r>
    <x v="58"/>
  </r>
  <r>
    <x v="58"/>
  </r>
  <r>
    <x v="58"/>
  </r>
  <r>
    <x v="59"/>
  </r>
  <r>
    <x v="59"/>
  </r>
  <r>
    <x v="60"/>
  </r>
  <r>
    <x v="60"/>
  </r>
  <r>
    <x v="60"/>
  </r>
  <r>
    <x v="60"/>
  </r>
  <r>
    <x v="61"/>
  </r>
  <r>
    <x v="61"/>
  </r>
  <r>
    <x v="61"/>
  </r>
  <r>
    <x v="61"/>
  </r>
  <r>
    <x v="61"/>
  </r>
  <r>
    <x v="62"/>
  </r>
  <r>
    <x v="62"/>
  </r>
  <r>
    <x v="62"/>
  </r>
  <r>
    <x v="62"/>
  </r>
  <r>
    <x v="63"/>
  </r>
  <r>
    <x v="63"/>
  </r>
  <r>
    <x v="63"/>
  </r>
  <r>
    <x v="63"/>
  </r>
  <r>
    <x v="64"/>
  </r>
  <r>
    <x v="64"/>
  </r>
  <r>
    <x v="64"/>
  </r>
  <r>
    <x v="65"/>
  </r>
  <r>
    <x v="65"/>
  </r>
  <r>
    <x v="65"/>
  </r>
  <r>
    <x v="66"/>
  </r>
  <r>
    <x v="66"/>
  </r>
  <r>
    <x v="66"/>
  </r>
  <r>
    <x v="67"/>
  </r>
  <r>
    <x v="67"/>
  </r>
  <r>
    <x v="67"/>
  </r>
  <r>
    <x v="67"/>
  </r>
  <r>
    <x v="67"/>
  </r>
  <r>
    <x v="67"/>
  </r>
  <r>
    <x v="67"/>
  </r>
  <r>
    <x v="67"/>
  </r>
  <r>
    <x v="67"/>
  </r>
  <r>
    <x v="67"/>
  </r>
  <r>
    <x v="68"/>
  </r>
  <r>
    <x v="68"/>
  </r>
  <r>
    <x v="68"/>
  </r>
  <r>
    <x v="69"/>
  </r>
  <r>
    <x v="69"/>
  </r>
  <r>
    <x v="70"/>
  </r>
  <r>
    <x v="70"/>
  </r>
  <r>
    <x v="70"/>
  </r>
  <r>
    <x v="71"/>
  </r>
  <r>
    <x v="71"/>
  </r>
  <r>
    <x v="71"/>
  </r>
  <r>
    <x v="71"/>
  </r>
  <r>
    <x v="72"/>
  </r>
  <r>
    <x v="72"/>
  </r>
  <r>
    <x v="72"/>
  </r>
  <r>
    <x v="72"/>
  </r>
  <r>
    <x v="73"/>
  </r>
  <r>
    <x v="73"/>
  </r>
  <r>
    <x v="73"/>
  </r>
  <r>
    <x v="73"/>
  </r>
  <r>
    <x v="74"/>
  </r>
  <r>
    <x v="74"/>
  </r>
  <r>
    <x v="74"/>
  </r>
  <r>
    <x v="74"/>
  </r>
  <r>
    <x v="74"/>
  </r>
  <r>
    <x v="75"/>
  </r>
  <r>
    <x v="75"/>
  </r>
  <r>
    <x v="75"/>
  </r>
  <r>
    <x v="76"/>
  </r>
  <r>
    <x v="76"/>
  </r>
  <r>
    <x v="76"/>
  </r>
  <r>
    <x v="77"/>
  </r>
  <r>
    <x v="77"/>
  </r>
  <r>
    <x v="77"/>
  </r>
  <r>
    <x v="78"/>
  </r>
  <r>
    <x v="78"/>
  </r>
  <r>
    <x v="78"/>
  </r>
  <r>
    <x v="78"/>
  </r>
  <r>
    <x v="78"/>
  </r>
  <r>
    <x v="79"/>
  </r>
  <r>
    <x v="79"/>
  </r>
  <r>
    <x v="80"/>
  </r>
  <r>
    <x v="80"/>
  </r>
  <r>
    <x v="80"/>
  </r>
  <r>
    <x v="81"/>
  </r>
  <r>
    <x v="81"/>
  </r>
  <r>
    <x v="82"/>
  </r>
  <r>
    <x v="82"/>
  </r>
  <r>
    <x v="83"/>
  </r>
  <r>
    <x v="83"/>
  </r>
  <r>
    <x v="84"/>
  </r>
  <r>
    <x v="84"/>
  </r>
  <r>
    <x v="84"/>
  </r>
  <r>
    <x v="85"/>
  </r>
  <r>
    <x v="85"/>
  </r>
  <r>
    <x v="85"/>
  </r>
  <r>
    <x v="85"/>
  </r>
  <r>
    <x v="85"/>
  </r>
  <r>
    <x v="85"/>
  </r>
  <r>
    <x v="86"/>
  </r>
  <r>
    <x v="86"/>
  </r>
  <r>
    <x v="86"/>
  </r>
  <r>
    <x v="86"/>
  </r>
  <r>
    <x v="86"/>
  </r>
  <r>
    <x v="86"/>
  </r>
  <r>
    <x v="86"/>
  </r>
  <r>
    <x v="87"/>
  </r>
  <r>
    <x v="87"/>
  </r>
  <r>
    <x v="87"/>
  </r>
  <r>
    <x v="87"/>
  </r>
  <r>
    <x v="88"/>
  </r>
  <r>
    <x v="88"/>
  </r>
  <r>
    <x v="88"/>
  </r>
  <r>
    <x v="88"/>
  </r>
  <r>
    <x v="89"/>
  </r>
  <r>
    <x v="89"/>
  </r>
  <r>
    <x v="89"/>
  </r>
  <r>
    <x v="89"/>
  </r>
  <r>
    <x v="89"/>
  </r>
  <r>
    <x v="89"/>
  </r>
  <r>
    <x v="90"/>
  </r>
  <r>
    <x v="90"/>
  </r>
  <r>
    <x v="90"/>
  </r>
  <r>
    <x v="90"/>
  </r>
  <r>
    <x v="91"/>
  </r>
  <r>
    <x v="91"/>
  </r>
  <r>
    <x v="91"/>
  </r>
  <r>
    <x v="92"/>
  </r>
  <r>
    <x v="92"/>
  </r>
  <r>
    <x v="93"/>
  </r>
  <r>
    <x v="93"/>
  </r>
  <r>
    <x v="93"/>
  </r>
  <r>
    <x v="93"/>
  </r>
  <r>
    <x v="94"/>
  </r>
  <r>
    <x v="95"/>
  </r>
  <r>
    <x v="95"/>
  </r>
  <r>
    <x v="96"/>
  </r>
  <r>
    <x v="96"/>
  </r>
  <r>
    <x v="97"/>
  </r>
  <r>
    <x v="97"/>
  </r>
  <r>
    <x v="98"/>
  </r>
  <r>
    <x v="99"/>
  </r>
  <r>
    <x v="99"/>
  </r>
  <r>
    <x v="99"/>
  </r>
  <r>
    <x v="100"/>
  </r>
  <r>
    <x v="101"/>
  </r>
  <r>
    <x v="101"/>
  </r>
  <r>
    <x v="102"/>
  </r>
  <r>
    <x v="102"/>
  </r>
  <r>
    <x v="102"/>
  </r>
  <r>
    <x v="103"/>
  </r>
  <r>
    <x v="103"/>
  </r>
  <r>
    <x v="104"/>
  </r>
  <r>
    <x v="104"/>
  </r>
  <r>
    <x v="104"/>
  </r>
  <r>
    <x v="104"/>
  </r>
  <r>
    <x v="105"/>
  </r>
  <r>
    <x v="105"/>
  </r>
  <r>
    <x v="105"/>
  </r>
  <r>
    <x v="106"/>
  </r>
  <r>
    <x v="106"/>
  </r>
  <r>
    <x v="106"/>
  </r>
  <r>
    <x v="107"/>
  </r>
  <r>
    <x v="107"/>
  </r>
  <r>
    <x v="107"/>
  </r>
  <r>
    <x v="108"/>
  </r>
  <r>
    <x v="108"/>
  </r>
  <r>
    <x v="108"/>
  </r>
  <r>
    <x v="109"/>
  </r>
  <r>
    <x v="109"/>
  </r>
  <r>
    <x v="109"/>
  </r>
  <r>
    <x v="109"/>
  </r>
  <r>
    <x v="110"/>
  </r>
  <r>
    <x v="110"/>
  </r>
  <r>
    <x v="110"/>
  </r>
  <r>
    <x v="111"/>
  </r>
  <r>
    <x v="111"/>
  </r>
  <r>
    <x v="111"/>
  </r>
  <r>
    <x v="112"/>
  </r>
  <r>
    <x v="112"/>
  </r>
  <r>
    <x v="112"/>
  </r>
  <r>
    <x v="113"/>
  </r>
  <r>
    <x v="113"/>
  </r>
  <r>
    <x v="113"/>
  </r>
  <r>
    <x v="114"/>
  </r>
  <r>
    <x v="114"/>
  </r>
  <r>
    <x v="114"/>
  </r>
  <r>
    <x v="115"/>
  </r>
  <r>
    <x v="115"/>
  </r>
  <r>
    <x v="115"/>
  </r>
  <r>
    <x v="116"/>
  </r>
  <r>
    <x v="116"/>
  </r>
  <r>
    <x v="116"/>
  </r>
  <r>
    <x v="116"/>
  </r>
  <r>
    <x v="117"/>
  </r>
  <r>
    <x v="117"/>
  </r>
  <r>
    <x v="117"/>
  </r>
  <r>
    <x v="118"/>
  </r>
  <r>
    <x v="118"/>
  </r>
  <r>
    <x v="118"/>
  </r>
  <r>
    <x v="119"/>
  </r>
  <r>
    <x v="120"/>
  </r>
  <r>
    <x v="121"/>
  </r>
  <r>
    <x v="121"/>
  </r>
  <r>
    <x v="121"/>
  </r>
  <r>
    <x v="121"/>
  </r>
  <r>
    <x v="122"/>
  </r>
  <r>
    <x v="123"/>
  </r>
  <r>
    <x v="123"/>
  </r>
  <r>
    <x v="123"/>
  </r>
  <r>
    <x v="124"/>
  </r>
  <r>
    <x v="124"/>
  </r>
  <r>
    <x v="124"/>
  </r>
  <r>
    <x v="124"/>
  </r>
  <r>
    <x v="125"/>
  </r>
  <r>
    <x v="125"/>
  </r>
  <r>
    <x v="125"/>
  </r>
  <r>
    <x v="125"/>
  </r>
  <r>
    <x v="126"/>
  </r>
  <r>
    <x v="126"/>
  </r>
  <r>
    <x v="127"/>
  </r>
  <r>
    <x v="128"/>
  </r>
  <r>
    <x v="128"/>
  </r>
  <r>
    <x v="128"/>
  </r>
  <r>
    <x v="129"/>
  </r>
  <r>
    <x v="129"/>
  </r>
  <r>
    <x v="129"/>
  </r>
  <r>
    <x v="129"/>
  </r>
  <r>
    <x v="129"/>
  </r>
  <r>
    <x v="130"/>
  </r>
  <r>
    <x v="130"/>
  </r>
  <r>
    <x v="130"/>
  </r>
  <r>
    <x v="130"/>
  </r>
  <r>
    <x v="130"/>
  </r>
  <r>
    <x v="130"/>
  </r>
  <r>
    <x v="130"/>
  </r>
  <r>
    <x v="130"/>
  </r>
  <r>
    <x v="131"/>
  </r>
  <r>
    <x v="131"/>
  </r>
  <r>
    <x v="131"/>
  </r>
  <r>
    <x v="131"/>
  </r>
  <r>
    <x v="132"/>
  </r>
  <r>
    <x v="132"/>
  </r>
  <r>
    <x v="132"/>
  </r>
  <r>
    <x v="133"/>
  </r>
  <r>
    <x v="133"/>
  </r>
  <r>
    <x v="133"/>
  </r>
  <r>
    <x v="134"/>
  </r>
  <r>
    <x v="134"/>
  </r>
  <r>
    <x v="134"/>
  </r>
  <r>
    <x v="134"/>
  </r>
  <r>
    <x v="134"/>
  </r>
  <r>
    <x v="134"/>
  </r>
  <r>
    <x v="135"/>
  </r>
  <r>
    <x v="136"/>
  </r>
  <r>
    <x v="136"/>
  </r>
  <r>
    <x v="136"/>
  </r>
  <r>
    <x v="136"/>
  </r>
  <r>
    <x v="136"/>
  </r>
  <r>
    <x v="137"/>
  </r>
  <r>
    <x v="137"/>
  </r>
  <r>
    <x v="138"/>
  </r>
  <r>
    <x v="138"/>
  </r>
  <r>
    <x v="139"/>
  </r>
  <r>
    <x v="140"/>
  </r>
  <r>
    <x v="141"/>
  </r>
  <r>
    <x v="141"/>
  </r>
  <r>
    <x v="141"/>
  </r>
  <r>
    <x v="142"/>
  </r>
  <r>
    <x v="142"/>
  </r>
  <r>
    <x v="142"/>
  </r>
  <r>
    <x v="142"/>
  </r>
  <r>
    <x v="143"/>
  </r>
  <r>
    <x v="144"/>
  </r>
  <r>
    <x v="145"/>
  </r>
  <r>
    <x v="146"/>
  </r>
  <r>
    <x v="146"/>
  </r>
  <r>
    <x v="147"/>
  </r>
  <r>
    <x v="147"/>
  </r>
  <r>
    <x v="147"/>
  </r>
  <r>
    <x v="147"/>
  </r>
  <r>
    <x v="147"/>
  </r>
  <r>
    <x v="148"/>
  </r>
  <r>
    <x v="148"/>
  </r>
  <r>
    <x v="149"/>
  </r>
  <r>
    <x v="149"/>
  </r>
  <r>
    <x v="150"/>
  </r>
  <r>
    <x v="151"/>
  </r>
  <r>
    <x v="152"/>
  </r>
  <r>
    <x v="152"/>
  </r>
  <r>
    <x v="152"/>
  </r>
  <r>
    <x v="152"/>
  </r>
  <r>
    <x v="153"/>
  </r>
  <r>
    <x v="154"/>
  </r>
  <r>
    <x v="155"/>
  </r>
  <r>
    <x v="156"/>
  </r>
  <r>
    <x v="157"/>
  </r>
  <r>
    <x v="157"/>
  </r>
  <r>
    <x v="157"/>
  </r>
  <r>
    <x v="157"/>
  </r>
  <r>
    <x v="158"/>
  </r>
  <r>
    <x v="158"/>
  </r>
  <r>
    <x v="158"/>
  </r>
  <r>
    <x v="158"/>
  </r>
  <r>
    <x v="159"/>
  </r>
  <r>
    <x v="159"/>
  </r>
  <r>
    <x v="159"/>
  </r>
  <r>
    <x v="159"/>
  </r>
  <r>
    <x v="160"/>
  </r>
  <r>
    <x v="161"/>
  </r>
  <r>
    <x v="162"/>
  </r>
  <r>
    <x v="162"/>
  </r>
  <r>
    <x v="162"/>
  </r>
  <r>
    <x v="162"/>
  </r>
  <r>
    <x v="162"/>
  </r>
  <r>
    <x v="162"/>
  </r>
  <r>
    <x v="163"/>
  </r>
  <r>
    <x v="163"/>
  </r>
  <r>
    <x v="163"/>
  </r>
  <r>
    <x v="163"/>
  </r>
  <r>
    <x v="164"/>
  </r>
  <r>
    <x v="165"/>
  </r>
  <r>
    <x v="166"/>
  </r>
  <r>
    <x v="167"/>
  </r>
  <r>
    <x v="167"/>
  </r>
  <r>
    <x v="167"/>
  </r>
  <r>
    <x v="167"/>
  </r>
  <r>
    <x v="168"/>
  </r>
  <r>
    <x v="168"/>
  </r>
  <r>
    <x v="169"/>
  </r>
  <r>
    <x v="169"/>
  </r>
  <r>
    <x v="170"/>
  </r>
  <r>
    <x v="170"/>
  </r>
  <r>
    <x v="170"/>
  </r>
  <r>
    <x v="171"/>
  </r>
  <r>
    <x v="171"/>
  </r>
  <r>
    <x v="172"/>
  </r>
  <r>
    <x v="172"/>
  </r>
  <r>
    <x v="172"/>
  </r>
  <r>
    <x v="172"/>
  </r>
  <r>
    <x v="173"/>
  </r>
  <r>
    <x v="173"/>
  </r>
  <r>
    <x v="173"/>
  </r>
  <r>
    <x v="174"/>
  </r>
  <r>
    <x v="174"/>
  </r>
  <r>
    <x v="174"/>
  </r>
  <r>
    <x v="175"/>
  </r>
  <r>
    <x v="175"/>
  </r>
  <r>
    <x v="175"/>
  </r>
  <r>
    <x v="175"/>
  </r>
  <r>
    <x v="175"/>
  </r>
  <r>
    <x v="175"/>
  </r>
  <r>
    <x v="176"/>
  </r>
  <r>
    <x v="176"/>
  </r>
  <r>
    <x v="176"/>
  </r>
  <r>
    <x v="176"/>
  </r>
  <r>
    <x v="176"/>
  </r>
  <r>
    <x v="177"/>
  </r>
  <r>
    <x v="177"/>
  </r>
  <r>
    <x v="177"/>
  </r>
  <r>
    <x v="171"/>
  </r>
  <r>
    <x v="171"/>
  </r>
  <r>
    <x v="177"/>
  </r>
  <r>
    <x v="178"/>
  </r>
  <r>
    <x v="178"/>
  </r>
  <r>
    <x v="178"/>
  </r>
  <r>
    <x v="178"/>
  </r>
  <r>
    <x v="178"/>
  </r>
  <r>
    <x v="179"/>
  </r>
  <r>
    <x v="179"/>
  </r>
  <r>
    <x v="179"/>
  </r>
  <r>
    <x v="179"/>
  </r>
  <r>
    <x v="179"/>
  </r>
  <r>
    <x v="180"/>
  </r>
  <r>
    <x v="180"/>
  </r>
  <r>
    <x v="181"/>
  </r>
  <r>
    <x v="181"/>
  </r>
  <r>
    <x v="181"/>
  </r>
  <r>
    <x v="182"/>
  </r>
  <r>
    <x v="182"/>
  </r>
  <r>
    <x v="182"/>
  </r>
  <r>
    <x v="182"/>
  </r>
  <r>
    <x v="182"/>
  </r>
  <r>
    <x v="183"/>
  </r>
  <r>
    <x v="183"/>
  </r>
  <r>
    <x v="183"/>
  </r>
  <r>
    <x v="183"/>
  </r>
  <r>
    <x v="184"/>
  </r>
  <r>
    <x v="185"/>
  </r>
  <r>
    <x v="185"/>
  </r>
  <r>
    <x v="185"/>
  </r>
  <r>
    <x v="186"/>
  </r>
  <r>
    <x v="186"/>
  </r>
  <r>
    <x v="186"/>
  </r>
  <r>
    <x v="187"/>
  </r>
  <r>
    <x v="187"/>
  </r>
  <r>
    <x v="187"/>
  </r>
  <r>
    <x v="188"/>
  </r>
  <r>
    <x v="188"/>
  </r>
  <r>
    <x v="188"/>
  </r>
  <r>
    <x v="189"/>
  </r>
  <r>
    <x v="189"/>
  </r>
  <r>
    <x v="190"/>
  </r>
  <r>
    <x v="190"/>
  </r>
  <r>
    <x v="190"/>
  </r>
  <r>
    <x v="190"/>
  </r>
  <r>
    <x v="190"/>
  </r>
  <r>
    <x v="191"/>
  </r>
  <r>
    <x v="191"/>
  </r>
  <r>
    <x v="192"/>
  </r>
  <r>
    <x v="192"/>
  </r>
  <r>
    <x v="192"/>
  </r>
  <r>
    <x v="193"/>
  </r>
  <r>
    <x v="193"/>
  </r>
  <r>
    <x v="194"/>
  </r>
  <r>
    <x v="194"/>
  </r>
  <r>
    <x v="194"/>
  </r>
  <r>
    <x v="194"/>
  </r>
  <r>
    <x v="195"/>
  </r>
  <r>
    <x v="195"/>
  </r>
  <r>
    <x v="195"/>
  </r>
  <r>
    <x v="196"/>
  </r>
  <r>
    <x v="196"/>
  </r>
  <r>
    <x v="197"/>
  </r>
  <r>
    <x v="197"/>
  </r>
  <r>
    <x v="197"/>
  </r>
  <r>
    <x v="198"/>
  </r>
  <r>
    <x v="198"/>
  </r>
  <r>
    <x v="198"/>
  </r>
  <r>
    <x v="198"/>
  </r>
  <r>
    <x v="198"/>
  </r>
  <r>
    <x v="199"/>
  </r>
  <r>
    <x v="199"/>
  </r>
  <r>
    <x v="200"/>
  </r>
  <r>
    <x v="200"/>
  </r>
  <r>
    <x v="200"/>
  </r>
  <r>
    <x v="200"/>
  </r>
  <r>
    <x v="201"/>
  </r>
  <r>
    <x v="201"/>
  </r>
  <r>
    <x v="201"/>
  </r>
  <r>
    <x v="202"/>
  </r>
  <r>
    <x v="202"/>
  </r>
  <r>
    <x v="203"/>
  </r>
  <r>
    <x v="203"/>
  </r>
  <r>
    <x v="203"/>
  </r>
  <r>
    <x v="203"/>
  </r>
  <r>
    <x v="204"/>
  </r>
  <r>
    <x v="205"/>
  </r>
  <r>
    <x v="205"/>
  </r>
  <r>
    <x v="206"/>
  </r>
  <r>
    <x v="206"/>
  </r>
  <r>
    <x v="206"/>
  </r>
  <r>
    <x v="207"/>
  </r>
  <r>
    <x v="207"/>
  </r>
  <r>
    <x v="207"/>
  </r>
  <r>
    <x v="207"/>
  </r>
  <r>
    <x v="207"/>
  </r>
  <r>
    <x v="208"/>
  </r>
  <r>
    <x v="208"/>
  </r>
  <r>
    <x v="209"/>
  </r>
  <r>
    <x v="209"/>
  </r>
  <r>
    <x v="209"/>
  </r>
  <r>
    <x v="209"/>
  </r>
  <r>
    <x v="209"/>
  </r>
  <r>
    <x v="209"/>
  </r>
  <r>
    <x v="210"/>
  </r>
  <r>
    <x v="210"/>
  </r>
  <r>
    <x v="210"/>
  </r>
  <r>
    <x v="211"/>
  </r>
  <r>
    <x v="211"/>
  </r>
  <r>
    <x v="212"/>
  </r>
  <r>
    <x v="212"/>
  </r>
  <r>
    <x v="212"/>
  </r>
  <r>
    <x v="212"/>
  </r>
  <r>
    <x v="213"/>
  </r>
  <r>
    <x v="213"/>
  </r>
  <r>
    <x v="213"/>
  </r>
  <r>
    <x v="213"/>
  </r>
  <r>
    <x v="214"/>
  </r>
  <r>
    <x v="214"/>
  </r>
  <r>
    <x v="214"/>
  </r>
  <r>
    <x v="215"/>
  </r>
  <r>
    <x v="215"/>
  </r>
  <r>
    <x v="216"/>
  </r>
  <r>
    <x v="216"/>
  </r>
  <r>
    <x v="216"/>
  </r>
  <r>
    <x v="217"/>
  </r>
  <r>
    <x v="217"/>
  </r>
  <r>
    <x v="217"/>
  </r>
  <r>
    <x v="217"/>
  </r>
  <r>
    <x v="217"/>
  </r>
  <r>
    <x v="218"/>
  </r>
  <r>
    <x v="218"/>
  </r>
  <r>
    <x v="218"/>
  </r>
  <r>
    <x v="219"/>
  </r>
  <r>
    <x v="219"/>
  </r>
  <r>
    <x v="219"/>
  </r>
  <r>
    <x v="219"/>
  </r>
  <r>
    <x v="219"/>
  </r>
  <r>
    <x v="220"/>
  </r>
  <r>
    <x v="220"/>
  </r>
  <r>
    <x v="220"/>
  </r>
  <r>
    <x v="220"/>
  </r>
  <r>
    <x v="221"/>
  </r>
  <r>
    <x v="221"/>
  </r>
  <r>
    <x v="221"/>
  </r>
  <r>
    <x v="221"/>
  </r>
  <r>
    <x v="222"/>
  </r>
  <r>
    <x v="222"/>
  </r>
  <r>
    <x v="222"/>
  </r>
  <r>
    <x v="222"/>
  </r>
  <r>
    <x v="223"/>
  </r>
  <r>
    <x v="223"/>
  </r>
  <r>
    <x v="223"/>
  </r>
  <r>
    <x v="223"/>
  </r>
  <r>
    <x v="224"/>
  </r>
  <r>
    <x v="224"/>
  </r>
  <r>
    <x v="225"/>
  </r>
  <r>
    <x v="225"/>
  </r>
  <r>
    <x v="225"/>
  </r>
  <r>
    <x v="225"/>
  </r>
  <r>
    <x v="226"/>
  </r>
  <r>
    <x v="226"/>
  </r>
  <r>
    <x v="226"/>
  </r>
  <r>
    <x v="226"/>
  </r>
  <r>
    <x v="227"/>
  </r>
  <r>
    <x v="227"/>
  </r>
  <r>
    <x v="227"/>
  </r>
  <r>
    <x v="227"/>
  </r>
  <r>
    <x v="227"/>
  </r>
  <r>
    <x v="228"/>
  </r>
  <r>
    <x v="228"/>
  </r>
  <r>
    <x v="228"/>
  </r>
  <r>
    <x v="228"/>
  </r>
  <r>
    <x v="229"/>
  </r>
  <r>
    <x v="229"/>
  </r>
  <r>
    <x v="229"/>
  </r>
  <r>
    <x v="229"/>
  </r>
  <r>
    <x v="230"/>
  </r>
  <r>
    <x v="230"/>
  </r>
  <r>
    <x v="230"/>
  </r>
  <r>
    <x v="231"/>
  </r>
  <r>
    <x v="231"/>
  </r>
  <r>
    <x v="231"/>
  </r>
  <r>
    <x v="231"/>
  </r>
  <r>
    <x v="232"/>
  </r>
  <r>
    <x v="232"/>
  </r>
  <r>
    <x v="233"/>
  </r>
  <r>
    <x v="233"/>
  </r>
  <r>
    <x v="234"/>
  </r>
  <r>
    <x v="234"/>
  </r>
  <r>
    <x v="234"/>
  </r>
  <r>
    <x v="234"/>
  </r>
  <r>
    <x v="235"/>
  </r>
  <r>
    <x v="235"/>
  </r>
  <r>
    <x v="235"/>
  </r>
  <r>
    <x v="235"/>
  </r>
  <r>
    <x v="235"/>
  </r>
  <r>
    <x v="236"/>
  </r>
  <r>
    <x v="236"/>
  </r>
  <r>
    <x v="236"/>
  </r>
  <r>
    <x v="236"/>
  </r>
  <r>
    <x v="236"/>
  </r>
  <r>
    <x v="236"/>
  </r>
  <r>
    <x v="237"/>
  </r>
  <r>
    <x v="237"/>
  </r>
  <r>
    <x v="238"/>
  </r>
  <r>
    <x v="238"/>
  </r>
  <r>
    <x v="239"/>
  </r>
  <r>
    <x v="239"/>
  </r>
  <r>
    <x v="239"/>
  </r>
  <r>
    <x v="239"/>
  </r>
  <r>
    <x v="240"/>
  </r>
  <r>
    <x v="240"/>
  </r>
  <r>
    <x v="240"/>
  </r>
  <r>
    <x v="240"/>
  </r>
  <r>
    <x v="241"/>
  </r>
  <r>
    <x v="241"/>
  </r>
  <r>
    <x v="241"/>
  </r>
  <r>
    <x v="242"/>
  </r>
  <r>
    <x v="242"/>
  </r>
  <r>
    <x v="242"/>
  </r>
  <r>
    <x v="243"/>
  </r>
  <r>
    <x v="243"/>
  </r>
  <r>
    <x v="244"/>
  </r>
  <r>
    <x v="244"/>
  </r>
  <r>
    <x v="244"/>
  </r>
  <r>
    <x v="244"/>
  </r>
  <r>
    <x v="244"/>
  </r>
  <r>
    <x v="244"/>
  </r>
  <r>
    <x v="244"/>
  </r>
  <r>
    <x v="245"/>
  </r>
  <r>
    <x v="245"/>
  </r>
  <r>
    <x v="245"/>
  </r>
  <r>
    <x v="245"/>
  </r>
  <r>
    <x v="246"/>
  </r>
  <r>
    <x v="246"/>
  </r>
  <r>
    <x v="246"/>
  </r>
  <r>
    <x v="246"/>
  </r>
  <r>
    <x v="247"/>
  </r>
  <r>
    <x v="247"/>
  </r>
  <r>
    <x v="247"/>
  </r>
  <r>
    <x v="248"/>
  </r>
  <r>
    <x v="248"/>
  </r>
  <r>
    <x v="248"/>
  </r>
  <r>
    <x v="248"/>
  </r>
  <r>
    <x v="248"/>
  </r>
  <r>
    <x v="249"/>
  </r>
  <r>
    <x v="249"/>
  </r>
  <r>
    <x v="249"/>
  </r>
  <r>
    <x v="249"/>
  </r>
  <r>
    <x v="249"/>
  </r>
  <r>
    <x v="250"/>
  </r>
  <r>
    <x v="250"/>
  </r>
  <r>
    <x v="251"/>
  </r>
  <r>
    <x v="251"/>
  </r>
  <r>
    <x v="252"/>
  </r>
  <r>
    <x v="252"/>
  </r>
  <r>
    <x v="252"/>
  </r>
  <r>
    <x v="252"/>
  </r>
  <r>
    <x v="253"/>
  </r>
  <r>
    <x v="253"/>
  </r>
  <r>
    <x v="253"/>
  </r>
  <r>
    <x v="253"/>
  </r>
  <r>
    <x v="254"/>
  </r>
  <r>
    <x v="254"/>
  </r>
  <r>
    <x v="254"/>
  </r>
  <r>
    <x v="254"/>
  </r>
  <r>
    <x v="255"/>
  </r>
  <r>
    <x v="255"/>
  </r>
  <r>
    <x v="255"/>
  </r>
  <r>
    <x v="255"/>
  </r>
  <r>
    <x v="256"/>
  </r>
  <r>
    <x v="256"/>
  </r>
  <r>
    <x v="257"/>
  </r>
  <r>
    <x v="257"/>
  </r>
  <r>
    <x v="257"/>
  </r>
  <r>
    <x v="257"/>
  </r>
  <r>
    <x v="257"/>
  </r>
  <r>
    <x v="257"/>
  </r>
  <r>
    <x v="257"/>
  </r>
  <r>
    <x v="257"/>
  </r>
  <r>
    <x v="258"/>
  </r>
  <r>
    <x v="258"/>
  </r>
  <r>
    <x v="258"/>
  </r>
  <r>
    <x v="258"/>
  </r>
  <r>
    <x v="259"/>
  </r>
  <r>
    <x v="259"/>
  </r>
  <r>
    <x v="259"/>
  </r>
  <r>
    <x v="259"/>
  </r>
  <r>
    <x v="259"/>
  </r>
  <r>
    <x v="260"/>
  </r>
  <r>
    <x v="260"/>
  </r>
  <r>
    <x v="260"/>
  </r>
  <r>
    <x v="260"/>
  </r>
  <r>
    <x v="260"/>
  </r>
  <r>
    <x v="261"/>
  </r>
  <r>
    <x v="261"/>
  </r>
  <r>
    <x v="261"/>
  </r>
  <r>
    <x v="261"/>
  </r>
  <r>
    <x v="261"/>
  </r>
  <r>
    <x v="261"/>
  </r>
  <r>
    <x v="261"/>
  </r>
  <r>
    <x v="262"/>
  </r>
  <r>
    <x v="262"/>
  </r>
  <r>
    <x v="263"/>
  </r>
  <r>
    <x v="263"/>
  </r>
  <r>
    <x v="263"/>
  </r>
  <r>
    <x v="263"/>
  </r>
  <r>
    <x v="264"/>
  </r>
  <r>
    <x v="264"/>
  </r>
  <r>
    <x v="265"/>
  </r>
  <r>
    <x v="265"/>
  </r>
  <r>
    <x v="266"/>
  </r>
  <r>
    <x v="266"/>
  </r>
  <r>
    <x v="267"/>
  </r>
  <r>
    <x v="267"/>
  </r>
  <r>
    <x v="268"/>
  </r>
  <r>
    <x v="268"/>
  </r>
  <r>
    <x v="268"/>
  </r>
  <r>
    <x v="269"/>
  </r>
  <r>
    <x v="270"/>
  </r>
  <r>
    <x v="270"/>
  </r>
  <r>
    <x v="270"/>
  </r>
  <r>
    <x v="270"/>
  </r>
  <r>
    <x v="271"/>
  </r>
  <r>
    <x v="271"/>
  </r>
  <r>
    <x v="271"/>
  </r>
  <r>
    <x v="271"/>
  </r>
  <r>
    <x v="271"/>
  </r>
  <r>
    <x v="271"/>
  </r>
  <r>
    <x v="272"/>
  </r>
  <r>
    <x v="272"/>
  </r>
  <r>
    <x v="272"/>
  </r>
  <r>
    <x v="272"/>
  </r>
  <r>
    <x v="273"/>
  </r>
  <r>
    <x v="273"/>
  </r>
  <r>
    <x v="273"/>
  </r>
  <r>
    <x v="273"/>
  </r>
  <r>
    <x v="274"/>
  </r>
  <r>
    <x v="274"/>
  </r>
  <r>
    <x v="274"/>
  </r>
  <r>
    <x v="274"/>
  </r>
  <r>
    <x v="274"/>
  </r>
  <r>
    <x v="275"/>
  </r>
  <r>
    <x v="275"/>
  </r>
  <r>
    <x v="275"/>
  </r>
  <r>
    <x v="275"/>
  </r>
  <r>
    <x v="276"/>
  </r>
  <r>
    <x v="276"/>
  </r>
  <r>
    <x v="276"/>
  </r>
  <r>
    <x v="276"/>
  </r>
  <r>
    <x v="277"/>
  </r>
  <r>
    <x v="277"/>
  </r>
  <r>
    <x v="277"/>
  </r>
  <r>
    <x v="277"/>
  </r>
  <r>
    <x v="278"/>
  </r>
  <r>
    <x v="278"/>
  </r>
  <r>
    <x v="278"/>
  </r>
  <r>
    <x v="278"/>
  </r>
  <r>
    <x v="276"/>
  </r>
  <r>
    <x v="276"/>
  </r>
  <r>
    <x v="277"/>
  </r>
  <r>
    <x v="277"/>
  </r>
  <r>
    <x v="278"/>
  </r>
  <r>
    <x v="278"/>
  </r>
  <r>
    <x v="278"/>
  </r>
  <r>
    <x v="278"/>
  </r>
  <r>
    <x v="279"/>
  </r>
  <r>
    <x v="279"/>
  </r>
  <r>
    <x v="279"/>
  </r>
  <r>
    <x v="279"/>
  </r>
  <r>
    <x v="280"/>
  </r>
  <r>
    <x v="281"/>
  </r>
  <r>
    <x v="281"/>
  </r>
  <r>
    <x v="281"/>
  </r>
  <r>
    <x v="281"/>
  </r>
  <r>
    <x v="281"/>
  </r>
  <r>
    <x v="280"/>
  </r>
  <r>
    <x v="280"/>
  </r>
  <r>
    <x v="282"/>
  </r>
  <r>
    <x v="282"/>
  </r>
  <r>
    <x v="282"/>
  </r>
  <r>
    <x v="283"/>
  </r>
  <r>
    <x v="283"/>
  </r>
  <r>
    <x v="283"/>
  </r>
  <r>
    <x v="283"/>
  </r>
  <r>
    <x v="283"/>
  </r>
  <r>
    <x v="283"/>
  </r>
  <r>
    <x v="284"/>
  </r>
  <r>
    <x v="284"/>
  </r>
  <r>
    <x v="284"/>
  </r>
  <r>
    <x v="284"/>
  </r>
  <r>
    <x v="284"/>
  </r>
  <r>
    <x v="284"/>
  </r>
  <r>
    <x v="285"/>
  </r>
  <r>
    <x v="285"/>
  </r>
  <r>
    <x v="285"/>
  </r>
  <r>
    <x v="286"/>
  </r>
  <r>
    <x v="286"/>
  </r>
  <r>
    <x v="287"/>
  </r>
  <r>
    <x v="287"/>
  </r>
  <r>
    <x v="288"/>
  </r>
  <r>
    <x v="288"/>
  </r>
  <r>
    <x v="289"/>
  </r>
  <r>
    <x v="289"/>
  </r>
  <r>
    <x v="290"/>
  </r>
  <r>
    <x v="290"/>
  </r>
  <r>
    <x v="291"/>
  </r>
  <r>
    <x v="291"/>
  </r>
  <r>
    <x v="291"/>
  </r>
  <r>
    <x v="291"/>
  </r>
  <r>
    <x v="292"/>
  </r>
  <r>
    <x v="293"/>
  </r>
  <r>
    <x v="293"/>
  </r>
  <r>
    <x v="293"/>
  </r>
  <r>
    <x v="293"/>
  </r>
  <r>
    <x v="292"/>
  </r>
  <r>
    <x v="294"/>
  </r>
  <r>
    <x v="294"/>
  </r>
  <r>
    <x v="295"/>
  </r>
  <r>
    <x v="295"/>
  </r>
  <r>
    <x v="295"/>
  </r>
  <r>
    <x v="296"/>
  </r>
  <r>
    <x v="297"/>
  </r>
  <r>
    <x v="297"/>
  </r>
  <r>
    <x v="297"/>
  </r>
  <r>
    <x v="297"/>
  </r>
  <r>
    <x v="297"/>
  </r>
  <r>
    <x v="298"/>
  </r>
  <r>
    <x v="299"/>
  </r>
  <r>
    <x v="299"/>
  </r>
  <r>
    <x v="300"/>
  </r>
  <r>
    <x v="300"/>
  </r>
  <r>
    <x v="300"/>
  </r>
  <r>
    <x v="301"/>
  </r>
  <r>
    <x v="302"/>
  </r>
  <r>
    <x v="303"/>
  </r>
  <r>
    <x v="303"/>
  </r>
  <r>
    <x v="303"/>
  </r>
  <r>
    <x v="303"/>
  </r>
  <r>
    <x v="304"/>
  </r>
  <r>
    <x v="304"/>
  </r>
  <r>
    <x v="304"/>
  </r>
  <r>
    <x v="304"/>
  </r>
  <r>
    <x v="305"/>
  </r>
  <r>
    <x v="305"/>
  </r>
  <r>
    <x v="305"/>
  </r>
  <r>
    <x v="306"/>
  </r>
  <r>
    <x v="306"/>
  </r>
  <r>
    <x v="306"/>
  </r>
  <r>
    <x v="307"/>
  </r>
  <r>
    <x v="308"/>
  </r>
  <r>
    <x v="308"/>
  </r>
  <r>
    <x v="308"/>
  </r>
  <r>
    <x v="308"/>
  </r>
  <r>
    <x v="309"/>
  </r>
  <r>
    <x v="309"/>
  </r>
  <r>
    <x v="309"/>
  </r>
  <r>
    <x v="309"/>
  </r>
  <r>
    <x v="310"/>
  </r>
  <r>
    <x v="310"/>
  </r>
  <r>
    <x v="310"/>
  </r>
  <r>
    <x v="310"/>
  </r>
  <r>
    <x v="311"/>
  </r>
  <r>
    <x v="311"/>
  </r>
  <r>
    <x v="312"/>
  </r>
  <r>
    <x v="312"/>
  </r>
  <r>
    <x v="312"/>
  </r>
  <r>
    <x v="313"/>
  </r>
  <r>
    <x v="313"/>
  </r>
  <r>
    <x v="313"/>
  </r>
  <r>
    <x v="314"/>
  </r>
  <r>
    <x v="315"/>
  </r>
  <r>
    <x v="315"/>
  </r>
  <r>
    <x v="316"/>
  </r>
  <r>
    <x v="317"/>
  </r>
  <r>
    <x v="318"/>
  </r>
  <r>
    <x v="318"/>
  </r>
  <r>
    <x v="318"/>
  </r>
  <r>
    <x v="319"/>
  </r>
  <r>
    <x v="319"/>
  </r>
  <r>
    <x v="319"/>
  </r>
  <r>
    <x v="320"/>
  </r>
  <r>
    <x v="320"/>
  </r>
  <r>
    <x v="320"/>
  </r>
  <r>
    <x v="321"/>
  </r>
  <r>
    <x v="321"/>
  </r>
  <r>
    <x v="321"/>
  </r>
  <r>
    <x v="321"/>
  </r>
  <r>
    <x v="321"/>
  </r>
  <r>
    <x v="322"/>
  </r>
  <r>
    <x v="322"/>
  </r>
  <r>
    <x v="322"/>
  </r>
  <r>
    <x v="323"/>
  </r>
  <r>
    <x v="323"/>
  </r>
  <r>
    <x v="323"/>
  </r>
  <r>
    <x v="324"/>
  </r>
  <r>
    <x v="324"/>
  </r>
  <r>
    <x v="324"/>
  </r>
  <r>
    <x v="325"/>
  </r>
  <r>
    <x v="325"/>
  </r>
  <r>
    <x v="326"/>
  </r>
  <r>
    <x v="326"/>
  </r>
  <r>
    <x v="326"/>
  </r>
  <r>
    <x v="326"/>
  </r>
  <r>
    <x v="327"/>
  </r>
  <r>
    <x v="328"/>
  </r>
  <r>
    <x v="328"/>
  </r>
  <r>
    <x v="329"/>
  </r>
  <r>
    <x v="330"/>
  </r>
  <r>
    <x v="330"/>
  </r>
  <r>
    <x v="331"/>
  </r>
  <r>
    <x v="331"/>
  </r>
  <r>
    <x v="331"/>
  </r>
  <r>
    <x v="331"/>
  </r>
  <r>
    <x v="332"/>
  </r>
  <r>
    <x v="332"/>
  </r>
  <r>
    <x v="332"/>
  </r>
  <r>
    <x v="332"/>
  </r>
  <r>
    <x v="333"/>
  </r>
  <r>
    <x v="333"/>
  </r>
  <r>
    <x v="333"/>
  </r>
  <r>
    <x v="334"/>
  </r>
  <r>
    <x v="334"/>
  </r>
  <r>
    <x v="334"/>
  </r>
  <r>
    <x v="335"/>
  </r>
  <r>
    <x v="335"/>
  </r>
  <r>
    <x v="336"/>
  </r>
  <r>
    <x v="336"/>
  </r>
  <r>
    <x v="336"/>
  </r>
  <r>
    <x v="336"/>
  </r>
  <r>
    <x v="337"/>
  </r>
  <r>
    <x v="337"/>
  </r>
  <r>
    <x v="337"/>
  </r>
  <r>
    <x v="338"/>
  </r>
  <r>
    <x v="338"/>
  </r>
  <r>
    <x v="339"/>
  </r>
  <r>
    <x v="339"/>
  </r>
  <r>
    <x v="339"/>
  </r>
  <r>
    <x v="339"/>
  </r>
  <r>
    <x v="340"/>
  </r>
  <r>
    <x v="340"/>
  </r>
  <r>
    <x v="340"/>
  </r>
  <r>
    <x v="340"/>
  </r>
  <r>
    <x v="341"/>
  </r>
  <r>
    <x v="341"/>
  </r>
  <r>
    <x v="342"/>
  </r>
  <r>
    <x v="342"/>
  </r>
  <r>
    <x v="342"/>
  </r>
  <r>
    <x v="343"/>
  </r>
  <r>
    <x v="343"/>
  </r>
  <r>
    <x v="343"/>
  </r>
  <r>
    <x v="343"/>
  </r>
  <r>
    <x v="344"/>
  </r>
  <r>
    <x v="344"/>
  </r>
  <r>
    <x v="345"/>
  </r>
  <r>
    <x v="346"/>
  </r>
  <r>
    <x v="347"/>
  </r>
  <r>
    <x v="347"/>
  </r>
  <r>
    <x v="348"/>
  </r>
  <r>
    <x v="348"/>
  </r>
  <r>
    <x v="348"/>
  </r>
  <r>
    <x v="348"/>
  </r>
  <r>
    <x v="349"/>
  </r>
  <r>
    <x v="349"/>
  </r>
  <r>
    <x v="350"/>
  </r>
  <r>
    <x v="350"/>
  </r>
  <r>
    <x v="351"/>
  </r>
  <r>
    <x v="351"/>
  </r>
  <r>
    <x v="351"/>
  </r>
  <r>
    <x v="352"/>
  </r>
  <r>
    <x v="352"/>
  </r>
  <r>
    <x v="352"/>
  </r>
  <r>
    <x v="352"/>
  </r>
  <r>
    <x v="352"/>
  </r>
  <r>
    <x v="351"/>
  </r>
  <r>
    <x v="351"/>
  </r>
  <r>
    <x v="353"/>
  </r>
  <r>
    <x v="353"/>
  </r>
  <r>
    <x v="353"/>
  </r>
  <r>
    <x v="353"/>
  </r>
  <r>
    <x v="354"/>
  </r>
  <r>
    <x v="354"/>
  </r>
  <r>
    <x v="354"/>
  </r>
  <r>
    <x v="354"/>
  </r>
  <r>
    <x v="355"/>
  </r>
  <r>
    <x v="355"/>
  </r>
  <r>
    <x v="355"/>
  </r>
  <r>
    <x v="355"/>
  </r>
  <r>
    <x v="355"/>
  </r>
  <r>
    <x v="355"/>
  </r>
  <r>
    <x v="355"/>
  </r>
  <r>
    <x v="356"/>
  </r>
  <r>
    <x v="356"/>
  </r>
  <r>
    <x v="357"/>
  </r>
  <r>
    <x v="357"/>
  </r>
  <r>
    <x v="357"/>
  </r>
  <r>
    <x v="358"/>
  </r>
  <r>
    <x v="358"/>
  </r>
  <r>
    <x v="358"/>
  </r>
  <r>
    <x v="358"/>
  </r>
  <r>
    <x v="359"/>
  </r>
  <r>
    <x v="359"/>
  </r>
  <r>
    <x v="359"/>
  </r>
  <r>
    <x v="359"/>
  </r>
  <r>
    <x v="359"/>
  </r>
  <r>
    <x v="359"/>
  </r>
  <r>
    <x v="359"/>
  </r>
  <r>
    <x v="359"/>
  </r>
  <r>
    <x v="359"/>
  </r>
  <r>
    <x v="359"/>
  </r>
  <r>
    <x v="359"/>
  </r>
  <r>
    <x v="359"/>
  </r>
  <r>
    <x v="359"/>
  </r>
  <r>
    <x v="359"/>
  </r>
  <r>
    <x v="359"/>
  </r>
  <r>
    <x v="359"/>
  </r>
  <r>
    <x v="359"/>
  </r>
  <r>
    <x v="359"/>
  </r>
  <r>
    <x v="359"/>
  </r>
  <r>
    <x v="359"/>
  </r>
  <r>
    <x v="359"/>
  </r>
  <r>
    <x v="359"/>
  </r>
  <r>
    <x v="359"/>
  </r>
  <r>
    <x v="359"/>
  </r>
  <r>
    <x v="359"/>
  </r>
  <r>
    <x v="359"/>
  </r>
  <r>
    <x v="359"/>
  </r>
  <r>
    <x v="359"/>
  </r>
  <r>
    <x v="359"/>
  </r>
  <r>
    <x v="359"/>
  </r>
  <r>
    <x v="359"/>
  </r>
  <r>
    <x v="359"/>
  </r>
  <r>
    <x v="359"/>
  </r>
  <r>
    <x v="359"/>
  </r>
  <r>
    <x v="359"/>
  </r>
  <r>
    <x v="359"/>
  </r>
  <r>
    <x v="359"/>
  </r>
  <r>
    <x v="359"/>
  </r>
  <r>
    <x v="359"/>
  </r>
  <r>
    <x v="359"/>
  </r>
  <r>
    <x v="359"/>
  </r>
  <r>
    <x v="359"/>
  </r>
  <r>
    <x v="359"/>
  </r>
  <r>
    <x v="359"/>
  </r>
  <r>
    <x v="359"/>
  </r>
  <r>
    <x v="359"/>
  </r>
  <r>
    <x v="359"/>
  </r>
  <r>
    <x v="359"/>
  </r>
  <r>
    <x v="359"/>
  </r>
  <r>
    <x v="359"/>
  </r>
  <r>
    <x v="359"/>
  </r>
  <r>
    <x v="359"/>
  </r>
  <r>
    <x v="359"/>
  </r>
  <r>
    <x v="359"/>
  </r>
  <r>
    <x v="359"/>
  </r>
  <r>
    <x v="360"/>
  </r>
  <r>
    <x v="360"/>
  </r>
  <r>
    <x v="361"/>
  </r>
  <r>
    <x v="361"/>
  </r>
  <r>
    <x v="361"/>
  </r>
  <r>
    <x v="361"/>
  </r>
  <r>
    <x v="361"/>
  </r>
  <r>
    <x v="361"/>
  </r>
  <r>
    <x v="362"/>
  </r>
  <r>
    <x v="362"/>
  </r>
  <r>
    <x v="363"/>
  </r>
  <r>
    <x v="363"/>
  </r>
  <r>
    <x v="363"/>
  </r>
  <r>
    <x v="363"/>
  </r>
  <r>
    <x v="364"/>
  </r>
  <r>
    <x v="365"/>
  </r>
  <r>
    <x v="366"/>
  </r>
  <r>
    <x v="367"/>
  </r>
  <r>
    <x v="368"/>
  </r>
  <r>
    <x v="362"/>
  </r>
  <r>
    <x v="362"/>
  </r>
  <r>
    <x v="363"/>
  </r>
  <r>
    <x v="363"/>
  </r>
  <r>
    <x v="363"/>
  </r>
  <r>
    <x v="363"/>
  </r>
  <r>
    <x v="369"/>
  </r>
  <r>
    <x v="369"/>
  </r>
  <r>
    <x v="370"/>
  </r>
  <r>
    <x v="371"/>
  </r>
  <r>
    <x v="371"/>
  </r>
  <r>
    <x v="372"/>
  </r>
  <r>
    <x v="372"/>
  </r>
  <r>
    <x v="373"/>
  </r>
  <r>
    <x v="373"/>
  </r>
  <r>
    <x v="374"/>
  </r>
  <r>
    <x v="374"/>
  </r>
  <r>
    <x v="375"/>
  </r>
  <r>
    <x v="376"/>
  </r>
  <r>
    <x v="376"/>
  </r>
  <r>
    <x v="376"/>
  </r>
  <r>
    <x v="376"/>
  </r>
  <r>
    <x v="377"/>
  </r>
  <r>
    <x v="377"/>
  </r>
  <r>
    <x v="377"/>
  </r>
  <r>
    <x v="375"/>
  </r>
  <r>
    <x v="378"/>
  </r>
  <r>
    <x v="378"/>
  </r>
  <r>
    <x v="379"/>
  </r>
  <r>
    <x v="380"/>
  </r>
  <r>
    <x v="380"/>
  </r>
  <r>
    <x v="380"/>
  </r>
  <r>
    <x v="380"/>
  </r>
  <r>
    <x v="380"/>
  </r>
  <r>
    <x v="380"/>
  </r>
  <r>
    <x v="380"/>
  </r>
  <r>
    <x v="380"/>
  </r>
  <r>
    <x v="380"/>
  </r>
  <r>
    <x v="381"/>
  </r>
  <r>
    <x v="381"/>
  </r>
  <r>
    <x v="382"/>
  </r>
  <r>
    <x v="382"/>
  </r>
  <r>
    <x v="382"/>
  </r>
  <r>
    <x v="383"/>
  </r>
  <r>
    <x v="383"/>
  </r>
  <r>
    <x v="383"/>
  </r>
  <r>
    <x v="383"/>
  </r>
  <r>
    <x v="384"/>
  </r>
  <r>
    <x v="385"/>
  </r>
  <r>
    <x v="386"/>
  </r>
  <r>
    <x v="386"/>
  </r>
  <r>
    <x v="387"/>
  </r>
  <r>
    <x v="388"/>
  </r>
  <r>
    <x v="388"/>
  </r>
  <r>
    <x v="388"/>
  </r>
  <r>
    <x v="388"/>
  </r>
  <r>
    <x v="388"/>
  </r>
  <r>
    <x v="389"/>
  </r>
  <r>
    <x v="389"/>
  </r>
  <r>
    <x v="389"/>
  </r>
  <r>
    <x v="390"/>
  </r>
  <r>
    <x v="390"/>
  </r>
  <r>
    <x v="391"/>
  </r>
  <r>
    <x v="391"/>
  </r>
  <r>
    <x v="392"/>
  </r>
  <r>
    <x v="392"/>
  </r>
  <r>
    <x v="393"/>
  </r>
  <r>
    <x v="393"/>
  </r>
  <r>
    <x v="393"/>
  </r>
  <r>
    <x v="393"/>
  </r>
  <r>
    <x v="394"/>
  </r>
  <r>
    <x v="395"/>
  </r>
  <r>
    <x v="395"/>
  </r>
  <r>
    <x v="395"/>
  </r>
  <r>
    <x v="396"/>
  </r>
  <r>
    <x v="396"/>
  </r>
  <r>
    <x v="397"/>
  </r>
  <r>
    <x v="397"/>
  </r>
  <r>
    <x v="397"/>
  </r>
  <r>
    <x v="397"/>
  </r>
  <r>
    <x v="398"/>
  </r>
  <r>
    <x v="398"/>
  </r>
  <r>
    <x v="398"/>
  </r>
  <r>
    <x v="399"/>
  </r>
  <r>
    <x v="399"/>
  </r>
  <r>
    <x v="399"/>
  </r>
  <r>
    <x v="399"/>
  </r>
  <r>
    <x v="399"/>
  </r>
  <r>
    <x v="399"/>
  </r>
  <r>
    <x v="399"/>
  </r>
  <r>
    <x v="399"/>
  </r>
  <r>
    <x v="400"/>
  </r>
  <r>
    <x v="400"/>
  </r>
  <r>
    <x v="400"/>
  </r>
  <r>
    <x v="401"/>
  </r>
  <r>
    <x v="401"/>
  </r>
  <r>
    <x v="401"/>
  </r>
  <r>
    <x v="402"/>
  </r>
  <r>
    <x v="402"/>
  </r>
  <r>
    <x v="402"/>
  </r>
  <r>
    <x v="403"/>
  </r>
  <r>
    <x v="404"/>
  </r>
  <r>
    <x v="405"/>
  </r>
  <r>
    <x v="405"/>
  </r>
  <r>
    <x v="406"/>
  </r>
  <r>
    <x v="407"/>
  </r>
  <r>
    <x v="407"/>
  </r>
  <r>
    <x v="408"/>
  </r>
  <r>
    <x v="401"/>
  </r>
  <r>
    <x v="409"/>
  </r>
  <r>
    <x v="406"/>
  </r>
  <r>
    <x v="410"/>
  </r>
  <r>
    <x v="410"/>
  </r>
  <r>
    <x v="411"/>
  </r>
  <r>
    <x v="412"/>
  </r>
  <r>
    <x v="413"/>
  </r>
  <r>
    <x v="414"/>
  </r>
  <r>
    <x v="415"/>
  </r>
  <r>
    <x v="415"/>
  </r>
  <r>
    <x v="415"/>
  </r>
  <r>
    <x v="415"/>
  </r>
  <r>
    <x v="416"/>
  </r>
  <r>
    <x v="416"/>
  </r>
  <r>
    <x v="417"/>
  </r>
  <r>
    <x v="417"/>
  </r>
  <r>
    <x v="418"/>
  </r>
  <r>
    <x v="418"/>
  </r>
  <r>
    <x v="418"/>
  </r>
  <r>
    <x v="419"/>
  </r>
  <r>
    <x v="419"/>
  </r>
  <r>
    <x v="420"/>
  </r>
  <r>
    <x v="420"/>
  </r>
  <r>
    <x v="419"/>
  </r>
  <r>
    <x v="421"/>
  </r>
  <r>
    <x v="421"/>
  </r>
  <r>
    <x v="422"/>
  </r>
  <r>
    <x v="423"/>
  </r>
  <r>
    <x v="424"/>
  </r>
  <r>
    <x v="425"/>
  </r>
  <r>
    <x v="425"/>
  </r>
  <r>
    <x v="426"/>
  </r>
  <r>
    <x v="426"/>
  </r>
  <r>
    <x v="427"/>
  </r>
  <r>
    <x v="427"/>
  </r>
  <r>
    <x v="428"/>
  </r>
  <r>
    <x v="429"/>
  </r>
  <r>
    <x v="430"/>
  </r>
  <r>
    <x v="430"/>
  </r>
  <r>
    <x v="431"/>
  </r>
  <r>
    <x v="431"/>
  </r>
  <r>
    <x v="432"/>
  </r>
  <r>
    <x v="412"/>
  </r>
  <r>
    <x v="433"/>
  </r>
  <r>
    <x v="433"/>
  </r>
  <r>
    <x v="434"/>
  </r>
  <r>
    <x v="434"/>
  </r>
  <r>
    <x v="430"/>
  </r>
  <r>
    <x v="430"/>
  </r>
  <r>
    <x v="428"/>
  </r>
  <r>
    <x v="428"/>
  </r>
  <r>
    <x v="428"/>
  </r>
  <r>
    <x v="435"/>
  </r>
  <r>
    <x v="435"/>
  </r>
  <r>
    <x v="435"/>
  </r>
  <r>
    <x v="435"/>
  </r>
  <r>
    <x v="436"/>
  </r>
  <r>
    <x v="436"/>
  </r>
  <r>
    <x v="437"/>
  </r>
  <r>
    <x v="437"/>
  </r>
  <r>
    <x v="438"/>
  </r>
  <r>
    <x v="438"/>
  </r>
  <r>
    <x v="438"/>
  </r>
  <r>
    <x v="438"/>
  </r>
  <r>
    <x v="438"/>
  </r>
  <r>
    <x v="439"/>
  </r>
  <r>
    <x v="440"/>
  </r>
  <r>
    <x v="441"/>
  </r>
  <r>
    <x v="442"/>
  </r>
  <r>
    <x v="442"/>
  </r>
  <r>
    <x v="442"/>
  </r>
  <r>
    <x v="442"/>
  </r>
  <r>
    <x v="443"/>
  </r>
  <r>
    <x v="442"/>
  </r>
  <r>
    <x v="442"/>
  </r>
  <r>
    <x v="442"/>
  </r>
  <r>
    <x v="443"/>
  </r>
  <r>
    <x v="444"/>
  </r>
  <r>
    <x v="444"/>
  </r>
  <r>
    <x v="444"/>
  </r>
  <r>
    <x v="444"/>
  </r>
  <r>
    <x v="445"/>
  </r>
  <r>
    <x v="445"/>
  </r>
  <r>
    <x v="446"/>
  </r>
  <r>
    <x v="447"/>
  </r>
  <r>
    <x v="447"/>
  </r>
  <r>
    <x v="447"/>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4">
  <r>
    <s v="Mouse_1"/>
    <s v="Death"/>
    <s v=""/>
    <d v="2025-02-24T00:00:00"/>
    <n v="417"/>
    <s v="999-01-241001-11-046"/>
    <s v="o01/113"/>
    <s v="C57Bl/6J"/>
    <s v="Male ♂"/>
    <s v="PE/EA/54-02/2019"/>
    <m/>
    <s v="Freely moving"/>
    <n v="1"/>
    <x v="0"/>
    <s v="S. Eszter"/>
  </r>
  <r>
    <s v="Mouse_2"/>
    <s v="Experiment"/>
    <s v="Behavior"/>
    <d v="2025-02-24T00:00:00"/>
    <n v="417"/>
    <s v="999-01-241001-11-047"/>
    <s v="o01/113"/>
    <s v="C57Bl/6J"/>
    <s v="Male ♂"/>
    <s v="PE/EA/54-02/2019"/>
    <s v="Wéber Katalin"/>
    <s v="Moculus"/>
    <n v="1"/>
    <x v="0"/>
    <s v="S. Eszter"/>
  </r>
  <r>
    <s v="Mouse_3"/>
    <s v="Death"/>
    <s v=""/>
    <d v="2025-02-24T00:00:00"/>
    <n v="417"/>
    <s v="999-01-241001-11-048"/>
    <s v="o01/113"/>
    <s v="C57Bl/6J"/>
    <s v="Male ♂"/>
    <s v="PE/EA/54-02/2019"/>
    <m/>
    <s v="Freely moving"/>
    <n v="1"/>
    <x v="0"/>
    <s v="S. Eszter"/>
  </r>
  <r>
    <s v="Mouse_4"/>
    <s v="Death"/>
    <s v=""/>
    <d v="2025-02-24T00:00:00"/>
    <n v="417"/>
    <s v="999-01-241001-11-049"/>
    <s v="o01/113"/>
    <s v="C57Bl/6J"/>
    <s v="Male ♂"/>
    <s v="PE/EA/54-02/2019"/>
    <m/>
    <s v="Freely moving"/>
    <n v="1"/>
    <x v="0"/>
    <s v="S. Eszter"/>
  </r>
  <r>
    <s v="Mouse_5"/>
    <s v="Death"/>
    <s v=""/>
    <d v="2025-02-24T00:00:00"/>
    <n v="381"/>
    <s v="999-01-241106-11-090"/>
    <s v="o01/111"/>
    <s v="C57Bl/6J"/>
    <s v="Male ♂"/>
    <s v="PE/EA/54-02/2019"/>
    <m/>
    <s v="Freely moving"/>
    <n v="1"/>
    <x v="1"/>
    <s v="S. Eszter"/>
  </r>
  <r>
    <s v="Mouse_6"/>
    <s v="Death"/>
    <s v=""/>
    <d v="2025-02-24T00:00:00"/>
    <n v="381"/>
    <s v="999-01-241106-11-091"/>
    <s v="o01/111"/>
    <s v="C57Bl/6J"/>
    <s v="Male ♂"/>
    <s v="PE/EA/54-02/2019"/>
    <m/>
    <s v="Freely moving"/>
    <n v="1"/>
    <x v="1"/>
    <s v="S. Eszter"/>
  </r>
  <r>
    <s v="Mouse_7"/>
    <s v="Death"/>
    <s v=""/>
    <d v="2025-02-24T00:00:00"/>
    <n v="381"/>
    <s v="999-01-241106-11-092"/>
    <s v="o01/111"/>
    <s v="C57Bl/6J"/>
    <s v="Male ♂"/>
    <s v="PE/EA/54-02/2019"/>
    <m/>
    <s v="Freely moving"/>
    <n v="1"/>
    <x v="1"/>
    <s v="S. Eszter"/>
  </r>
  <r>
    <s v="Mouse_8"/>
    <s v="Death"/>
    <s v=""/>
    <d v="2025-02-24T00:00:00"/>
    <n v="376"/>
    <s v="999-01-241111-11-032"/>
    <s v="o01/112"/>
    <s v="C57Bl/6J"/>
    <s v="Male ♂"/>
    <s v="PE/EA/54-02/2019"/>
    <m/>
    <s v="Freely moving"/>
    <n v="1"/>
    <x v="1"/>
    <s v="S. Eszter"/>
  </r>
  <r>
    <s v="Mouse_9"/>
    <s v="Death"/>
    <s v=""/>
    <d v="2025-02-24T00:00:00"/>
    <n v="376"/>
    <s v="999-01-241111-11-033"/>
    <s v="o01/112"/>
    <s v="C57Bl/6J"/>
    <s v="Male ♂"/>
    <s v="PE/EA/54-02/2019"/>
    <m/>
    <s v="Freely moving"/>
    <n v="1"/>
    <x v="1"/>
    <s v="S. Eszter"/>
  </r>
  <r>
    <s v="Mouse_10"/>
    <s v="Death"/>
    <s v=""/>
    <d v="2025-02-24T00:00:00"/>
    <n v="376"/>
    <s v="999-01-241111-11-034"/>
    <s v="o01/112"/>
    <s v="C57Bl/6J"/>
    <s v="Male ♂"/>
    <s v="PE/EA/54-02/2019"/>
    <m/>
    <s v="Freely moving"/>
    <n v="1"/>
    <x v="1"/>
    <s v="S. Eszter"/>
  </r>
  <r>
    <s v="Mouse_11"/>
    <s v="Death"/>
    <s v=""/>
    <d v="2025-02-24T00:00:00"/>
    <n v="376"/>
    <s v="999-01-241111-11-035"/>
    <s v="o01/112"/>
    <s v="C57Bl/6J"/>
    <s v="Male ♂"/>
    <s v="PE/EA/54-02/2019"/>
    <m/>
    <s v="Freely moving"/>
    <n v="1"/>
    <x v="1"/>
    <s v="S. Eszter"/>
  </r>
  <r>
    <s v="Mouse_12"/>
    <s v="Death"/>
    <s v=""/>
    <d v="2025-02-24T00:00:00"/>
    <n v="417"/>
    <s v="999-01-241001-21-051"/>
    <s v="o01/114"/>
    <s v="C57Bl/6J"/>
    <s v="Female ♀"/>
    <s v="PE/EA/54-02/2019"/>
    <m/>
    <s v="Freely moving"/>
    <n v="1"/>
    <x v="1"/>
    <s v="S. Eszter"/>
  </r>
  <r>
    <s v="Mouse_13"/>
    <s v="Death"/>
    <s v=""/>
    <d v="2025-02-24T00:00:00"/>
    <n v="417"/>
    <s v="999-01-241001-21-052"/>
    <s v="o01/114"/>
    <s v="C57Bl/6J"/>
    <s v="Female ♀"/>
    <s v="PE/EA/54-02/2019"/>
    <m/>
    <s v="Freely moving"/>
    <n v="1"/>
    <x v="1"/>
    <s v="S. Eszter"/>
  </r>
  <r>
    <s v="Mouse_14"/>
    <s v="Death"/>
    <s v=""/>
    <d v="2025-02-24T00:00:00"/>
    <n v="417"/>
    <s v="999-01-241001-21-053"/>
    <s v="o01/114"/>
    <s v="C57Bl/6J"/>
    <s v="Female ♀"/>
    <s v="PE/EA/54-02/2019"/>
    <m/>
    <s v="Freely moving"/>
    <n v="1"/>
    <x v="1"/>
    <s v="S. Eszter"/>
  </r>
  <r>
    <s v="Mouse_15"/>
    <s v="Death"/>
    <s v=""/>
    <d v="2025-02-24T00:00:00"/>
    <n v="417"/>
    <s v="999-01-241001-21-054"/>
    <s v="o01/114"/>
    <s v="C57Bl/6J"/>
    <s v="Female ♀"/>
    <s v="PE/EA/54-02/2019"/>
    <m/>
    <s v="Freely moving"/>
    <n v="1"/>
    <x v="1"/>
    <s v="S. Eszter"/>
  </r>
  <r>
    <s v="Mouse_16"/>
    <s v="Death"/>
    <s v="Behavior"/>
    <d v="2025-02-24T00:00:00"/>
    <n v="379"/>
    <s v="A9F-01-24110821-111/356025"/>
    <s v="o01/116"/>
    <s v="TG_GCaMP6s_DA"/>
    <s v="Female ♀"/>
    <s v="PE/EA/54-02/2019"/>
    <s v="Tarján Balázs"/>
    <s v="Freely moving"/>
    <n v="1"/>
    <x v="2"/>
    <s v="-"/>
  </r>
  <r>
    <s v="Mouse_17"/>
    <s v="Death"/>
    <s v="Behavior"/>
    <d v="2025-02-24T00:00:00"/>
    <n v="379"/>
    <s v="A9F-01-24110821-111/356026"/>
    <s v="o01/116"/>
    <s v="TG_GCaMP6s_DA"/>
    <s v="Female ♀"/>
    <s v="PE/EA/54-02/2019"/>
    <s v="Tarján Balázs"/>
    <s v="Freely moving"/>
    <n v="1"/>
    <x v="2"/>
    <s v="-"/>
  </r>
  <r>
    <s v="Mouse_18"/>
    <s v="Experiment"/>
    <s v="Behavior"/>
    <d v="2025-02-24T00:00:00"/>
    <n v="351"/>
    <s v="A9F-01-241206-11-049"/>
    <s v="o01/115"/>
    <s v="TG_GCaMP6s_DA"/>
    <s v="Male ♂"/>
    <s v="PE/EA/54-02/2019"/>
    <s v="Tarján Balázs"/>
    <s v="Freely moving"/>
    <n v="1"/>
    <x v="2"/>
    <s v="-"/>
  </r>
  <r>
    <s v="Mouse_19"/>
    <s v="Death"/>
    <s v=""/>
    <d v="2025-02-24T00:00:00"/>
    <n v="351"/>
    <s v="A9F-01-241206-11-052"/>
    <s v="o01/115"/>
    <s v="TG_GCaMP6s_DA"/>
    <s v="Male ♂"/>
    <s v="PE/EA/54-02/2019"/>
    <m/>
    <s v="Freely moving"/>
    <n v="1"/>
    <x v="2"/>
    <s v="-"/>
  </r>
  <r>
    <s v="Mouse_20"/>
    <s v="Experiment"/>
    <s v="Behavior"/>
    <d v="2025-02-24T00:00:00"/>
    <n v="351"/>
    <s v="A9F-01-241206-11-049"/>
    <s v="o01/152"/>
    <s v="TG_GCaMP6s_DA"/>
    <s v="Male ♂"/>
    <s v="PE/EA/54-02/2019"/>
    <s v="Tarján Balázs"/>
    <s v="Freely moving"/>
    <n v="1"/>
    <x v="2"/>
    <s v="-"/>
  </r>
  <r>
    <s v="Mouse_21"/>
    <s v="Death"/>
    <s v=""/>
    <d v="2025-03-10T00:00:00"/>
    <n v="341"/>
    <s v="628-49-241216-21-006"/>
    <s v="o01/112"/>
    <s v="Thy1-Cre"/>
    <s v="Female ♀"/>
    <s v="PE/EA/54-02/2019"/>
    <m/>
    <s v="Freely moving"/>
    <n v="1"/>
    <x v="3"/>
    <s v="KB - Kocsis Bálint"/>
  </r>
  <r>
    <s v="Mouse_22"/>
    <s v="Death"/>
    <s v=""/>
    <d v="2025-03-10T00:00:00"/>
    <n v="341"/>
    <s v="628-49-241216-21-007"/>
    <s v="o01/112"/>
    <s v="Thy1-Cre"/>
    <s v="Female ♀"/>
    <s v="PE/EA/54-02/2019"/>
    <m/>
    <s v="Freely moving"/>
    <n v="1"/>
    <x v="3"/>
    <s v="KB - Kocsis Bálint"/>
  </r>
  <r>
    <s v="Mouse_23"/>
    <s v="Death"/>
    <s v=""/>
    <d v="2025-03-10T00:00:00"/>
    <n v="341"/>
    <s v="628-49-241216-21-008"/>
    <s v="o01/112"/>
    <s v="Thy1-Cre"/>
    <s v="Female ♀"/>
    <s v="PE/EA/54-02/2019"/>
    <m/>
    <s v="Freely moving"/>
    <n v="1"/>
    <x v="3"/>
    <s v="KB - Kocsis Bálint"/>
  </r>
  <r>
    <s v="Mouse_24"/>
    <s v="Death"/>
    <s v="Behavior"/>
    <d v="2025-03-10T00:00:00"/>
    <n v="341"/>
    <s v="628-49-241216-21-009"/>
    <s v="o01/112"/>
    <s v="Thy1-Cre"/>
    <s v="Female ♀"/>
    <s v="PE/EA/54-02/2019"/>
    <s v="Tarján Balázs"/>
    <s v="Freely moving"/>
    <n v="1"/>
    <x v="3"/>
    <s v="KB - Kocsis Bálint"/>
  </r>
  <r>
    <s v="Mouse_25"/>
    <s v="Death"/>
    <s v=""/>
    <d v="2025-03-10T00:00:00"/>
    <n v="337"/>
    <s v="999-01-241220-11-048_x0009_"/>
    <s v="o01/113"/>
    <s v="C57Bl/6J"/>
    <s v="Male ♂"/>
    <s v="PE/EA/54-02/2019"/>
    <m/>
    <s v="Freely moving"/>
    <n v="1"/>
    <x v="4"/>
    <s v="PL - Popara Lídia "/>
  </r>
  <r>
    <s v="Mouse_26"/>
    <s v="Death"/>
    <s v=""/>
    <d v="2025-03-10T00:00:00"/>
    <n v="337"/>
    <s v="999-01-241220-11-049"/>
    <s v="o01/113"/>
    <s v="C57Bl/6J"/>
    <s v="Male ♂"/>
    <s v="PE/EA/54-02/2019"/>
    <m/>
    <s v="Freely moving"/>
    <n v="1"/>
    <x v="4"/>
    <s v="PL - Popara Lídia "/>
  </r>
  <r>
    <s v="Mouse_27"/>
    <s v="Death"/>
    <s v=""/>
    <d v="2025-03-10T00:00:00"/>
    <n v="337"/>
    <s v="999-01-241220-11-050"/>
    <s v="o01/113"/>
    <s v="C57Bl/6J"/>
    <s v="Male ♂"/>
    <s v="PE/EA/54-02/2019"/>
    <m/>
    <s v="Freely moving"/>
    <n v="1"/>
    <x v="4"/>
    <s v="PL - Popara Lídia "/>
  </r>
  <r>
    <s v="Mouse_28"/>
    <s v="Check-up"/>
    <s v="Behavior"/>
    <d v="2025-03-10T00:00:00"/>
    <n v="337"/>
    <s v="999-01-241220-11-059"/>
    <s v="o01/114"/>
    <s v="C57Bl/6J"/>
    <s v="Male ♂"/>
    <s v="PE/EA/54-02/2019"/>
    <s v="Tarján Balázs"/>
    <s v="Freely moving"/>
    <n v="1"/>
    <x v="4"/>
    <s v="PL - Popara Lídia "/>
  </r>
  <r>
    <s v="Mouse_29"/>
    <s v="Death"/>
    <s v="Behavior"/>
    <d v="2025-03-10T00:00:00"/>
    <n v="337"/>
    <s v="999-01-241220-11-060"/>
    <s v="o01/114"/>
    <s v="C57Bl/6J"/>
    <s v="Male ♂"/>
    <s v="PE/EA/54-02/2019"/>
    <s v="Tarján Balázs"/>
    <s v="Freely moving"/>
    <m/>
    <x v="4"/>
    <s v="PL - Popara Lídia "/>
  </r>
  <r>
    <s v="Mouse_30"/>
    <s v="Death"/>
    <s v=""/>
    <d v="2025-03-10T00:00:00"/>
    <n v="337"/>
    <s v="999-01-241220-11-061"/>
    <s v="o01/111"/>
    <s v="C57Bl/6J"/>
    <s v="Male ♂"/>
    <s v="PE/EA/54-02/2019"/>
    <m/>
    <s v="Freely moving"/>
    <m/>
    <x v="5"/>
    <s v="PL - Popara Lídia "/>
  </r>
  <r>
    <s v="Mouse_31"/>
    <s v="Death"/>
    <s v="Anatomy"/>
    <d v="2025-03-10T00:00:00"/>
    <n v="376"/>
    <s v="999-01-241111-21-036"/>
    <s v="o01/111"/>
    <s v="C57Bl/6J"/>
    <s v="Female ♀"/>
    <s v="PE/EA/54-02/2019"/>
    <m/>
    <s v="Freely moving"/>
    <n v="1"/>
    <x v="5"/>
    <s v="PL - Popara Lídia "/>
  </r>
  <r>
    <s v="Mouse_32"/>
    <s v="Experiment"/>
    <s v="Behavior"/>
    <d v="2025-03-10T00:00:00"/>
    <n v="376"/>
    <s v="999-01-241111-21-037"/>
    <s v="o01/111"/>
    <s v="Thy1-Cre"/>
    <s v="Female ♀"/>
    <s v="PE/EA/54-02/2019"/>
    <s v="Tarján Balázs"/>
    <s v="Freely moving"/>
    <n v="1"/>
    <x v="5"/>
    <s v="PL - Popara Lídia "/>
  </r>
  <r>
    <s v="Mouse_33"/>
    <s v="Experiment"/>
    <s v="Behavior"/>
    <d v="2025-03-10T00:00:00"/>
    <n v="376"/>
    <s v="999-01-241111-21-038"/>
    <s v="o01/111"/>
    <s v="Thy1-Cre"/>
    <s v="Female ♀"/>
    <s v="PE/EA/54-02/2019"/>
    <s v="Tarján Balázs"/>
    <s v="Freely moving"/>
    <n v="1"/>
    <x v="5"/>
    <s v="PL - Popara Lídia "/>
  </r>
  <r>
    <s v="Mouse_34"/>
    <s v="Death"/>
    <s v="To define"/>
    <d v="2025-03-10T00:00:00"/>
    <n v="341"/>
    <s v="628-49-241216-21-010"/>
    <s v="o01/116"/>
    <s v="C57Bl/6J"/>
    <s v="Male ♂"/>
    <s v="PE/EA/00329-6/2025"/>
    <m/>
    <s v="Other"/>
    <m/>
    <x v="6"/>
    <s v="PL - Popara Lídia "/>
  </r>
  <r>
    <s v="Mouse_35"/>
    <s v="Death"/>
    <s v="To define"/>
    <d v="2025-03-10T00:00:00"/>
    <n v="341"/>
    <s v="628-49-241216-21-011"/>
    <s v="o01/116"/>
    <s v="C57Bl/6J"/>
    <s v="Male ♂"/>
    <s v="PE/EA/00329-6/2025"/>
    <m/>
    <s v="Other"/>
    <m/>
    <x v="6"/>
    <s v="PL - Popara Lídia "/>
  </r>
  <r>
    <s v="Mouse_36"/>
    <s v="Death"/>
    <s v="To define"/>
    <d v="2025-03-10T00:00:00"/>
    <n v="341"/>
    <s v="628-49-241216-21-012"/>
    <s v="o01/116"/>
    <s v="C57Bl/6J"/>
    <s v="Male ♂"/>
    <s v="PE/EA/00329-6/2025"/>
    <m/>
    <s v="Other"/>
    <m/>
    <x v="6"/>
    <s v="PL - Popara Lídia "/>
  </r>
  <r>
    <s v="Mouse_37"/>
    <s v="Death"/>
    <s v="To define"/>
    <d v="2025-03-10T00:00:00"/>
    <n v="341"/>
    <s v="628-49-241216-21-013"/>
    <s v="o01/116"/>
    <s v="C57Bl/6J"/>
    <s v="Male ♂"/>
    <s v="PE/EA/00329-6/2025"/>
    <m/>
    <m/>
    <m/>
    <x v="6"/>
    <s v="PL - Popara Lídia "/>
  </r>
  <r>
    <s v="Mouse_38"/>
    <s v="Death"/>
    <s v="To define"/>
    <d v="2025-03-10T00:00:00"/>
    <n v="341"/>
    <s v="628-49-241216-21-014"/>
    <s v="o01/116"/>
    <s v="C57Bl/6J"/>
    <s v="Male ♂"/>
    <s v="PE/EA/00329-6/2025"/>
    <m/>
    <m/>
    <m/>
    <x v="6"/>
    <s v="PL - Popara Lídia "/>
  </r>
  <r>
    <s v="Mouse_39"/>
    <s v="Death"/>
    <s v="To define"/>
    <d v="2025-03-10T00:00:00"/>
    <n v="341"/>
    <s v="628-49-241216-21-015"/>
    <s v="o01/116"/>
    <s v="C57Bl/6J"/>
    <s v="Male ♂"/>
    <s v="PE/EA/00329-6/2025"/>
    <m/>
    <m/>
    <m/>
    <x v="6"/>
    <s v="PL - Popara Lídia "/>
  </r>
  <r>
    <s v="Mouse_40"/>
    <s v=""/>
    <s v="Behavior"/>
    <d v="2025-03-10T00:00:00"/>
    <n v="356"/>
    <s v="628-49-241201-21-002"/>
    <s v="o01/153"/>
    <s v="Thy1-Cre"/>
    <s v="Male ♂"/>
    <s v="PE/EA/00329-6/2025"/>
    <s v="Wéber Katalin"/>
    <s v="Moculus"/>
    <n v="1"/>
    <x v="7"/>
    <m/>
  </r>
  <r>
    <s v="Mouse_41"/>
    <s v="Death"/>
    <m/>
    <d v="2025-03-10T00:00:00"/>
    <n v="356"/>
    <s v="628-49-241201-21-003"/>
    <s v="o01/153"/>
    <s v="Thy1-Cre"/>
    <m/>
    <s v="PE/EA/00329-6/2025"/>
    <s v="Wéber Katalin"/>
    <s v="Moculus"/>
    <n v="1"/>
    <x v="7"/>
    <m/>
  </r>
  <r>
    <s v="Mouse_42"/>
    <s v="Death"/>
    <s v=""/>
    <d v="2025-04-10T00:00:00"/>
    <n v="288"/>
    <s v="A9F-01-250207-11-048"/>
    <m/>
    <s v="TG_GCaMP6s_DA"/>
    <s v="Male ♂"/>
    <s v="PE/EA/00329-6/2025"/>
    <s v="Wéber Katalin"/>
    <m/>
    <n v="0"/>
    <x v="7"/>
    <m/>
  </r>
  <r>
    <s v="Mouse_43"/>
    <s v="Death"/>
    <s v=""/>
    <d v="2025-04-10T00:00:00"/>
    <n v="288"/>
    <s v="A9F-01-250207-11-050"/>
    <m/>
    <s v="TG_GCaMP6s_DA"/>
    <s v="Male ♂"/>
    <s v="PE/EA/00329-6/2025"/>
    <s v="Wéber Katalin"/>
    <m/>
    <n v="0"/>
    <x v="7"/>
    <m/>
  </r>
  <r>
    <s v="Mouse_44"/>
    <s v="Death"/>
    <s v="To define"/>
    <d v="2025-05-16T00:00:00"/>
    <n v="293"/>
    <s v="AFH-26-250202-11-001"/>
    <s v="109/427"/>
    <s v="BAC_Scnn1a/cre(Tg3Aibs)"/>
    <s v="Male ♂"/>
    <s v="PE/EA/00329-6/2025"/>
    <m/>
    <s v="VIP"/>
    <n v="1"/>
    <x v="8"/>
    <s v="BSA - Bautista Soldevila Áron"/>
  </r>
  <r>
    <s v="Mouse_45"/>
    <s v="Experiment"/>
    <s v="To define"/>
    <d v="2025-05-16T00:00:00"/>
    <n v="293"/>
    <s v="AFH-26-250202-11-002"/>
    <s v="109/427"/>
    <s v="BAC_Scnn1a/cre(Tg3Aibs)"/>
    <s v="Male ♂"/>
    <s v="PE/EA/00329-6/2025"/>
    <s v="Soós András"/>
    <s v="VIP"/>
    <n v="1"/>
    <x v="8"/>
    <s v="BSA - Bautista Soldevila Áron"/>
  </r>
  <r>
    <s v="Mouse_46"/>
    <s v="Experiment"/>
    <s v="To define"/>
    <d v="2025-05-16T00:00:00"/>
    <n v="293"/>
    <s v="AFH-26-250202-11-003"/>
    <s v="109/427"/>
    <s v="BAC_Scnn1a/cre(Tg3Aibs)"/>
    <s v="Male ♂"/>
    <s v="PE/EA/00329-6/2025"/>
    <s v="Soós András"/>
    <s v="VIP"/>
    <n v="1"/>
    <x v="9"/>
    <s v="BSA - Bautista Soldevila Áron"/>
  </r>
  <r>
    <s v="Mouse_47"/>
    <s v="Death"/>
    <s v="To define"/>
    <d v="2025-05-16T00:00:00"/>
    <n v="293"/>
    <s v="AFH-26-250202-11-004"/>
    <s v="109/427"/>
    <s v="BAC_Scnn1a/cre(Tg3Aibs)"/>
    <s v="Male ♂"/>
    <s v="PE/EA/00329-6/2025"/>
    <m/>
    <s v="VIP"/>
    <n v="1"/>
    <x v="9"/>
    <s v="BSA - Bautista Soldevila Áron"/>
  </r>
  <r>
    <s v="Mouse_48"/>
    <s v="Death"/>
    <s v=""/>
    <d v="2025-05-16T00:00:00"/>
    <n v="253"/>
    <s v="536-01-250314-21-036"/>
    <s v="110/321"/>
    <s v="Rbp4-Cre"/>
    <s v="Female ♀"/>
    <s v="PE/EA/00329-6/2025"/>
    <m/>
    <s v="VIP"/>
    <n v="1"/>
    <x v="10"/>
    <s v="PL - Popara Lídia "/>
  </r>
  <r>
    <s v="Mouse_49"/>
    <s v="Death"/>
    <s v=""/>
    <d v="2025-05-16T00:00:00"/>
    <n v="253"/>
    <s v="536-01-250314-21-037"/>
    <s v="110/321"/>
    <s v="Rbp4-Cre"/>
    <s v="Female ♀"/>
    <s v="PE/EA/00329-6/2025"/>
    <m/>
    <s v="VIP"/>
    <n v="1"/>
    <x v="10"/>
    <s v="PL - Popara Lídia "/>
  </r>
  <r>
    <s v="Mouse_50"/>
    <s v="Death"/>
    <s v=""/>
    <d v="2025-05-16T00:00:00"/>
    <n v="253"/>
    <s v="536-01-250314-21-038"/>
    <s v="110/321"/>
    <s v="Rbp4-Cre"/>
    <s v="Female ♀"/>
    <s v="PE/EA/00329-6/2025"/>
    <s v="Soós András"/>
    <s v="VIP"/>
    <n v="1"/>
    <x v="7"/>
    <m/>
  </r>
  <r>
    <s v="Mouse_51"/>
    <s v="Death"/>
    <s v=""/>
    <d v="2025-05-16T00:00:00"/>
    <n v="253"/>
    <s v="536-01-250314-21-039"/>
    <s v="110/321"/>
    <s v="Rbp4-Cre"/>
    <s v="Female ♀"/>
    <s v="PE/EA/00329-6/2025"/>
    <s v="Soós András"/>
    <s v="VIP"/>
    <n v="1"/>
    <x v="7"/>
    <m/>
  </r>
  <r>
    <s v="Mouse_52"/>
    <s v="Death"/>
    <s v="To define"/>
    <d v="2025-05-16T00:00:00"/>
    <n v="275"/>
    <s v="321-01-250220-11-089"/>
    <s v="205/368"/>
    <s v="som/IRES_Cre"/>
    <s v="Male ♂"/>
    <s v="PE/EA/00329-6/2025"/>
    <s v="Szadai Zoltán"/>
    <s v="VIP"/>
    <n v="1"/>
    <x v="11"/>
    <s v="PL - Popara Lídia "/>
  </r>
  <r>
    <s v="Mouse_53"/>
    <s v="Death"/>
    <s v="To define"/>
    <d v="2025-05-16T00:00:00"/>
    <n v="275"/>
    <s v="321-01-250220-11-090"/>
    <s v="205/368"/>
    <s v="som/IRES_Cre"/>
    <s v="Male ♂"/>
    <s v="PE/EA/00329-6/2025"/>
    <s v="Szadai Zoltán"/>
    <s v="VIP"/>
    <n v="1"/>
    <x v="11"/>
    <s v="PL - Popara Lídia "/>
  </r>
  <r>
    <s v="Mouse_54"/>
    <s v="Death"/>
    <s v="To define"/>
    <d v="2025-05-16T00:00:00"/>
    <n v="275"/>
    <s v="321-01-250220-11-091"/>
    <s v="205/368"/>
    <s v="som/IRES_Cre"/>
    <s v="Male ♂"/>
    <s v="PE/EA/00329-6/2025"/>
    <s v="Szadai Zoltán"/>
    <s v="VIP"/>
    <n v="1"/>
    <x v="12"/>
    <s v="PL - Popara Lídia "/>
  </r>
  <r>
    <s v="Mouse_55"/>
    <s v="Death"/>
    <s v=""/>
    <d v="2025-05-16T00:00:00"/>
    <n v="250"/>
    <s v="999-01-250317-11-001"/>
    <s v="208/166"/>
    <s v="C57Bl/6J"/>
    <s v="Male ♂"/>
    <s v="PE/EA/00329-6/2025"/>
    <s v="Szalay Gergely"/>
    <s v="Photostim"/>
    <n v="1"/>
    <x v="13"/>
    <s v="VK - Varada Karankot"/>
  </r>
  <r>
    <s v="Mouse_56"/>
    <s v="Death"/>
    <s v="Anatomy"/>
    <d v="2025-05-16T00:00:00"/>
    <n v="250"/>
    <s v="999-01-250317-11-002"/>
    <s v="208/166"/>
    <s v="C57Bl/6J"/>
    <s v="Male ♂"/>
    <s v="PE/EA/00329-6/2025"/>
    <s v="Szalay Gergely"/>
    <s v="Photostim"/>
    <n v="1"/>
    <x v="13"/>
    <s v="VK - Varada Karankot"/>
  </r>
  <r>
    <s v="Mouse_57"/>
    <s v="Injected"/>
    <s v="Anatomy"/>
    <d v="2025-05-16T00:00:00"/>
    <n v="250"/>
    <s v="999-01-250317-11-003"/>
    <s v="208/166"/>
    <s v="C57Bl/6J"/>
    <s v="Male ♂"/>
    <s v="PE/EA/00329-6/2025"/>
    <s v="Szalay Gergely"/>
    <s v="Photostim"/>
    <n v="1"/>
    <x v="13"/>
    <s v="VK - Varada Karankot"/>
  </r>
  <r>
    <s v="Mouse_58"/>
    <s v="Death"/>
    <s v=""/>
    <d v="2025-05-16T00:00:00"/>
    <n v="337"/>
    <s v="999-01-241220-21-051"/>
    <s v="208/193"/>
    <s v="C57Bl/6J"/>
    <s v="Female ♀"/>
    <s v="PE/EA/00329-6/2025"/>
    <s v="Szalay Gergely"/>
    <s v="Photostim"/>
    <n v="1"/>
    <x v="7"/>
    <m/>
  </r>
  <r>
    <s v="Mouse_59"/>
    <s v="Death"/>
    <s v=""/>
    <d v="2025-05-16T00:00:00"/>
    <n v="337"/>
    <s v="999-01-241220-21-062"/>
    <s v="208/193"/>
    <s v="C57Bl/6J"/>
    <s v="Female ♀"/>
    <s v="PE/EA/00329-6/2025"/>
    <s v="Szalay Gergely"/>
    <s v="Photostim"/>
    <n v="1"/>
    <x v="7"/>
    <m/>
  </r>
  <r>
    <s v="Mouse_60"/>
    <s v="Death"/>
    <s v=""/>
    <d v="2025-05-16T00:00:00"/>
    <n v="337"/>
    <s v="999-01-241220-21-063"/>
    <s v="208/193"/>
    <s v="C57Bl/6J"/>
    <s v="Female ♀"/>
    <s v="PE/EA/00329-6/2025"/>
    <s v="Szalay Gergely"/>
    <s v="Photostim"/>
    <n v="1"/>
    <x v="7"/>
    <m/>
  </r>
  <r>
    <s v="Mouse_61"/>
    <s v="Death"/>
    <s v=""/>
    <d v="2025-05-16T00:00:00"/>
    <n v="397"/>
    <s v="AIW-16-241021-11-031"/>
    <s v="213/135"/>
    <s v="VIP-cre"/>
    <s v="Male ♂"/>
    <s v="PE/EA/00329-6/2025"/>
    <s v="Szadai Zoltán"/>
    <s v="VIP"/>
    <n v="1"/>
    <x v="14"/>
    <s v="BSA - Bautista Soldevila Áron"/>
  </r>
  <r>
    <s v="Mouse_62"/>
    <s v="Death"/>
    <s v=""/>
    <d v="2025-05-16T00:00:00"/>
    <n v="397"/>
    <s v="AIW-16-241021-11-032"/>
    <s v="213/135"/>
    <s v="VIP-cre"/>
    <s v="Male ♂"/>
    <s v="PE/EA/00329-6/2025"/>
    <s v="Szadai Zoltán"/>
    <s v="VIP"/>
    <n v="1"/>
    <x v="15"/>
    <s v="BSA - Bautista Soldevila Áron"/>
  </r>
  <r>
    <s v="Mouse_63"/>
    <s v="Death"/>
    <s v=""/>
    <d v="2025-05-16T00:00:00"/>
    <n v="397"/>
    <s v="AIW-16-241021-11-033"/>
    <s v="213/135"/>
    <s v="VIP-cre"/>
    <s v="Male ♂"/>
    <s v="PE/EA/00329-6/2025"/>
    <s v="Szadai Zoltán"/>
    <s v="VIP"/>
    <n v="1"/>
    <x v="16"/>
    <s v="BSA - Bautista Soldevila Áron"/>
  </r>
  <r>
    <s v="Mouse_64"/>
    <s v="Check-up"/>
    <s v="To define"/>
    <d v="2025-05-16T00:00:00"/>
    <n v="287"/>
    <s v="628-49-250208-21-006"/>
    <s v="213/224"/>
    <s v="Thy1-Cre"/>
    <s v="Female ♀"/>
    <s v="PE/EA/00329-6/2025"/>
    <s v="Wéber Katalin"/>
    <s v="Moculus"/>
    <n v="1"/>
    <x v="17"/>
    <s v="VK - Varada Karankot"/>
  </r>
  <r>
    <s v="Mouse_65"/>
    <s v="Death"/>
    <s v=""/>
    <d v="2025-05-16T00:00:00"/>
    <n v="287"/>
    <s v="628-49-250208-21-007"/>
    <s v="213/244"/>
    <s v="Thy1-Cre"/>
    <s v="Female ♀"/>
    <s v="PE/EA/00329-6/2025"/>
    <s v="Abhrajyoti Chakrabarti"/>
    <s v="Photostim"/>
    <n v="1"/>
    <x v="17"/>
    <s v="VK - Varada Karankot"/>
  </r>
  <r>
    <s v="Mouse_66"/>
    <s v="Death"/>
    <s v=""/>
    <d v="2025-05-16T00:00:00"/>
    <n v="287"/>
    <s v="628-49-250208-21-008"/>
    <s v="213/244"/>
    <s v="Thy1-Cre"/>
    <s v="Female ♀"/>
    <s v="PE/EA/00329-6/2025"/>
    <s v="Wéber Katalin"/>
    <s v="Moculus"/>
    <n v="1"/>
    <x v="17"/>
    <s v="VK - Varada Karankot"/>
  </r>
  <r>
    <s v="Mouse_67"/>
    <s v="Check-up"/>
    <s v="Behavior"/>
    <d v="2025-05-16T00:00:00"/>
    <n v="287"/>
    <s v="628-49-250208-21-009"/>
    <s v="213/244"/>
    <s v="Thy1-Cre"/>
    <s v="Female ♀"/>
    <s v="PE/EA/00329-6/2025"/>
    <s v="Abhrajyoti Chakrabarti"/>
    <s v="Photostim"/>
    <n v="1"/>
    <x v="17"/>
    <s v="VK - Varada Karankot"/>
  </r>
  <r>
    <s v="Mouse_68"/>
    <s v="Death"/>
    <m/>
    <d v="2025-05-16T00:00:00"/>
    <n v="264"/>
    <s v="628-49-250303-11-001"/>
    <s v="213/372"/>
    <s v="Thy1-Cre"/>
    <s v="Male ♂"/>
    <s v="PE/EA/00329-6/2025"/>
    <s v="Abhrajyoti Chakrabarti"/>
    <s v="Photostim"/>
    <n v="1"/>
    <x v="18"/>
    <s v="VK - Varada Karankot"/>
  </r>
  <r>
    <s v="Mouse_69"/>
    <s v="Death"/>
    <s v="Imaging"/>
    <d v="2025-05-16T00:00:00"/>
    <n v="264"/>
    <s v="628-49-250303-11-002"/>
    <s v="213/372"/>
    <s v="Thy1-Cre"/>
    <s v="Male ♂"/>
    <s v="PE/EA/00329-6/2025"/>
    <s v="Abhrajyoti Chakrabarti"/>
    <s v="Photostim"/>
    <n v="1"/>
    <x v="18"/>
    <s v="VK - Varada Karankot"/>
  </r>
  <r>
    <s v="Mouse_70"/>
    <s v="Death"/>
    <s v=""/>
    <d v="2025-05-16T00:00:00"/>
    <n v="264"/>
    <s v="628-49-250303-11-003"/>
    <s v="213/372"/>
    <s v="Thy1-Cre"/>
    <s v="Male ♂"/>
    <s v="PE/EA/00329-6/2025"/>
    <s v="Abhrajyoti Chakrabarti"/>
    <s v="Photostim"/>
    <n v="1"/>
    <x v="18"/>
    <s v="VK - Varada Karankot"/>
  </r>
  <r>
    <s v="Mouse_71"/>
    <s v="Death"/>
    <s v=""/>
    <d v="2025-05-16T00:00:00"/>
    <n v="264"/>
    <s v="628-49-250303-11-004"/>
    <s v="213/372"/>
    <s v="Thy1-Cre"/>
    <s v="Male ♂"/>
    <s v="PE/EA/00329-6/2025"/>
    <s v="Abhrajyoti Chakrabarti"/>
    <s v="Photostim"/>
    <n v="1"/>
    <x v="18"/>
    <s v="VK - Varada Karankot"/>
  </r>
  <r>
    <s v="Mouse_72"/>
    <s v="Check-up"/>
    <s v="To define"/>
    <d v="2025-05-16T00:00:00"/>
    <n v="264"/>
    <s v="628-49-250303-21-005"/>
    <s v="213/375"/>
    <s v="Thy1-Cre"/>
    <s v="Female ♀"/>
    <s v="PE/EA/00329-6/2025"/>
    <s v="Wéber Katalin"/>
    <s v="Moculus"/>
    <n v="1"/>
    <x v="19"/>
    <s v="VK - Varada Karankot"/>
  </r>
  <r>
    <s v="Mouse_73"/>
    <s v="Death"/>
    <s v=""/>
    <d v="2025-05-16T00:00:00"/>
    <n v="264"/>
    <s v="628-49-250303-21-006"/>
    <s v="213/375"/>
    <s v="Thy1-Cre"/>
    <s v="Female ♀"/>
    <s v="PE/EA/00329-6/2025"/>
    <s v="Abhrajyoti Chakrabarti"/>
    <s v="Photostim"/>
    <n v="1"/>
    <x v="19"/>
    <s v="VK - Varada Karankot"/>
  </r>
  <r>
    <s v="Mouse_74"/>
    <s v="Check-up"/>
    <s v="To define"/>
    <d v="2025-05-16T00:00:00"/>
    <n v="264"/>
    <s v="628-49-250303-21-007"/>
    <s v="213/375"/>
    <s v="Thy1-Cre"/>
    <s v="Female ♀"/>
    <s v="PE/EA/00329-6/2025"/>
    <s v="Wéber Katalin"/>
    <s v="Moculus"/>
    <n v="1"/>
    <x v="19"/>
    <s v="VK - Varada Karankot"/>
  </r>
  <r>
    <s v="Mouse_75"/>
    <s v="Death"/>
    <s v=""/>
    <d v="2025-05-16T00:00:00"/>
    <n v="264"/>
    <s v="628-49-250303-21-008"/>
    <s v="213/375"/>
    <s v="Thy1-Cre"/>
    <s v="Female ♀"/>
    <s v="PE/EA/00329-6/2025"/>
    <s v="Abhrajyoti Chakrabarti"/>
    <s v="Photostim"/>
    <n v="1"/>
    <x v="19"/>
    <s v="VK - Varada Karankot"/>
  </r>
  <r>
    <s v="Mouse_76"/>
    <s v="Death"/>
    <m/>
    <d v="2025-05-23T00:00:00"/>
    <n v="266"/>
    <s v="999-43-250301-11-016"/>
    <s v="110/455"/>
    <s v="C57Bl6/NTac"/>
    <s v="Male ♂"/>
    <s v="PE/EA/00329-6/2025"/>
    <s v="Kocsis Bálint"/>
    <s v="Epilepsy"/>
    <n v="1"/>
    <x v="20"/>
    <s v="KB - Kocsis Bálint"/>
  </r>
  <r>
    <s v="Mouse_77"/>
    <s v="Death"/>
    <s v=""/>
    <d v="2025-05-23T00:00:00"/>
    <n v="266"/>
    <s v="999-43-250301-11-017"/>
    <s v="110/455"/>
    <s v="C57Bl6/NTac"/>
    <s v="Male ♂"/>
    <s v="PE/EA/00329-6/2025"/>
    <s v="Kocsis Bálint"/>
    <s v="Epilepsy"/>
    <n v="1"/>
    <x v="20"/>
    <s v="KB - Kocsis Bálint"/>
  </r>
  <r>
    <s v="Mouse_78"/>
    <s v="Death"/>
    <s v=""/>
    <d v="2025-05-23T00:00:00"/>
    <n v="266"/>
    <s v="999-43-250301-11-018"/>
    <s v="110/455"/>
    <s v="C57Bl6/NTac"/>
    <s v="Male ♂"/>
    <s v="PE/EA/00329-6/2025"/>
    <s v="Kocsis Bálint"/>
    <s v="Epilepsy"/>
    <n v="1"/>
    <x v="21"/>
    <s v="KB - Kocsis Bálint"/>
  </r>
  <r>
    <s v="Mouse_79"/>
    <s v="Death"/>
    <s v=""/>
    <d v="2025-05-23T00:00:00"/>
    <n v="266"/>
    <s v="999-43-250301-11-019"/>
    <s v="110/455"/>
    <s v="C57Bl6/NTac"/>
    <s v="Male ♂"/>
    <s v="PE/EA/00329-6/2025"/>
    <s v="Kocsis Bálint"/>
    <s v="Epilepsy"/>
    <n v="1"/>
    <x v="22"/>
    <s v="KB - Kocsis Bálint"/>
  </r>
  <r>
    <s v="Mouse_80"/>
    <s v="Death"/>
    <s v=""/>
    <d v="2025-05-23T00:00:00"/>
    <n v="266"/>
    <s v="999-43-250301-11-020"/>
    <s v="110/455"/>
    <s v="C57Bl6/NTac"/>
    <s v="Male ♂"/>
    <s v="PE/EA/00329-6/2025"/>
    <s v="Kocsis Bálint"/>
    <s v="Epilepsy"/>
    <n v="1"/>
    <x v="22"/>
    <s v="KB - Kocsis Bálint"/>
  </r>
  <r>
    <s v="Mouse_81"/>
    <s v="Death"/>
    <m/>
    <d v="2025-05-23T00:00:00"/>
    <n v="265"/>
    <s v="999-43-250302-11-014"/>
    <s v="110/454"/>
    <s v="C57Bl6/NTac"/>
    <s v="Male ♂"/>
    <s v="PE/EA/00329-6/2025"/>
    <s v="Kocsis Bálint"/>
    <s v="Epilepsy"/>
    <n v="1"/>
    <x v="23"/>
    <s v="KB - Kocsis Bálint"/>
  </r>
  <r>
    <s v="Mouse_82"/>
    <s v="Death"/>
    <s v=""/>
    <d v="2025-05-23T00:00:00"/>
    <n v="265"/>
    <s v="999-43-250302-11-015"/>
    <s v="110/454"/>
    <s v="C57Bl6/NTac"/>
    <s v="Male ♂"/>
    <s v="PE/EA/00329-6/2025"/>
    <s v="Kocsis Bálint"/>
    <s v="Epilepsy"/>
    <n v="1"/>
    <x v="24"/>
    <s v="KB - Kocsis Bálint"/>
  </r>
  <r>
    <s v="Mouse_83"/>
    <s v="Death"/>
    <s v=""/>
    <d v="2025-05-23T00:00:00"/>
    <n v="265"/>
    <s v="999-43-250302-11-016"/>
    <s v="110/454"/>
    <s v="C57Bl6/NTac"/>
    <s v="Male ♂"/>
    <s v="PE/EA/00329-6/2025"/>
    <s v="Kocsis Bálint"/>
    <s v="Epilepsy"/>
    <n v="1"/>
    <x v="24"/>
    <s v="KB - Kocsis Bálint"/>
  </r>
  <r>
    <s v="Mouse_84"/>
    <s v="Death"/>
    <s v=""/>
    <d v="2025-05-23T00:00:00"/>
    <n v="265"/>
    <s v="999-43-250302-11-017"/>
    <s v="110/454"/>
    <s v="C57Bl6/NTac"/>
    <s v="Male ♂"/>
    <s v="PE/EA/00329-6/2025"/>
    <s v="Kocsis Bálint"/>
    <s v="Epilepsy"/>
    <n v="1"/>
    <x v="21"/>
    <s v="KB - Kocsis Bálint"/>
  </r>
  <r>
    <s v="Mouse_85"/>
    <s v="Check-up"/>
    <s v="To define"/>
    <d v="2025-05-30T00:00:00"/>
    <n v="216"/>
    <s v="999-01-250420-11-043"/>
    <s v="110/447"/>
    <s v="C57Bl/6J"/>
    <s v="Male ♂"/>
    <s v="PE/EA/00329-6/2025"/>
    <s v="Soós András"/>
    <s v="VIP"/>
    <n v="1"/>
    <x v="18"/>
    <s v="SAA - Soós András Áron"/>
  </r>
  <r>
    <s v="Mouse_86"/>
    <s v="Death"/>
    <s v=""/>
    <d v="2025-05-30T00:00:00"/>
    <n v="216"/>
    <s v="999-01-250420-11-044"/>
    <s v="110/447"/>
    <s v="C57Bl/6J"/>
    <s v="Male ♂"/>
    <s v="PE/EA/00329-6/2025"/>
    <s v="Soós András"/>
    <s v="VIP"/>
    <n v="1"/>
    <x v="18"/>
    <s v="SAA - Soós András Áron"/>
  </r>
  <r>
    <s v="Mouse_87"/>
    <s v="Death"/>
    <s v=""/>
    <d v="2025-05-30T00:00:00"/>
    <n v="216"/>
    <s v="999-01-250420-11-056"/>
    <s v="110/447"/>
    <s v="C57Bl/6J"/>
    <s v="Male ♂"/>
    <s v="PE/EA/00329-6/2025"/>
    <s v="Soós András"/>
    <s v="VIP"/>
    <n v="1"/>
    <x v="25"/>
    <s v="SAA - Soós András Áron"/>
  </r>
  <r>
    <s v="Mouse_88"/>
    <s v="Check-up"/>
    <s v="Behavior"/>
    <d v="2025-05-30T00:00:00"/>
    <n v="216"/>
    <s v="999-01-250420-11-057"/>
    <s v="110/447"/>
    <s v="C57Bl/6J"/>
    <s v="Male ♂"/>
    <s v="PE/EA/00329-6/2025"/>
    <s v="Bautista-Soldevilla Áron"/>
    <s v="Moculus"/>
    <n v="1"/>
    <x v="25"/>
    <s v="SAA - Soós András Áron"/>
  </r>
  <r>
    <s v="Mouse_89"/>
    <s v="Check-up"/>
    <s v="To define"/>
    <d v="2025-05-30T00:00:00"/>
    <n v="213"/>
    <s v="999-01-250423-11-107"/>
    <s v="117/166"/>
    <s v="C57Bl/6J"/>
    <s v="Male ♂"/>
    <s v="PE/EA/00329-6/2025"/>
    <s v="Popara Lídia"/>
    <s v="VIP"/>
    <n v="1"/>
    <x v="26"/>
    <s v="PL - Popara Lídia "/>
  </r>
  <r>
    <s v="Mouse_90"/>
    <s v="Check-up"/>
    <s v="To define"/>
    <d v="2025-05-30T00:00:00"/>
    <n v="213"/>
    <s v="999-01-250423-11-108"/>
    <s v="117/166"/>
    <s v="C57Bl/6J"/>
    <s v="Male ♂"/>
    <s v="PE/EA/00329-6/2025"/>
    <s v="Popara Lídia"/>
    <s v="VIP"/>
    <n v="1"/>
    <x v="26"/>
    <s v="PL - Popara Lídia "/>
  </r>
  <r>
    <s v="Mouse_91"/>
    <s v="Check-up"/>
    <s v="Behavior"/>
    <d v="2025-05-30T00:00:00"/>
    <n v="212"/>
    <s v="999-01-250424-11-056"/>
    <s v="117/342"/>
    <s v="C57Bl/6J"/>
    <s v="Male ♂"/>
    <s v="PE/EA/00329-6/2025"/>
    <s v="Wéber Katalin"/>
    <s v="Moculus"/>
    <n v="1"/>
    <x v="10"/>
    <s v="SAA - Soós András Áron"/>
  </r>
  <r>
    <s v="Mouse_92"/>
    <s v="Check-up"/>
    <s v="Behavior"/>
    <d v="2025-05-30T00:00:00"/>
    <n v="212"/>
    <s v="999-01-250424-11-057"/>
    <s v="117/342"/>
    <s v="C57Bl/6J"/>
    <s v="Male ♂"/>
    <s v="PE/EA/00329-6/2025"/>
    <s v="Wéber Katalin"/>
    <s v="Moculus"/>
    <n v="1"/>
    <x v="10"/>
    <s v="SAA - Soós András Áron"/>
  </r>
  <r>
    <s v="Mouse_93"/>
    <s v="Death"/>
    <s v="Culling"/>
    <d v="2025-05-30T00:00:00"/>
    <n v="212"/>
    <s v="999-01-250424-11-058"/>
    <s v="117/342"/>
    <s v="C57Bl/6J"/>
    <s v="Male ♂"/>
    <s v="PE/EA/00329-6/2025"/>
    <s v="Wéber Katalin"/>
    <s v="Moculus"/>
    <n v="1"/>
    <x v="27"/>
    <s v="SAA - Soós András Áron"/>
  </r>
  <r>
    <s v="Mouse_94"/>
    <s v="Check-up"/>
    <s v="Behavior"/>
    <d v="2025-05-30T00:00:00"/>
    <n v="212"/>
    <s v="999-01-250424-11-059"/>
    <s v="117/342"/>
    <s v="C57Bl/6J"/>
    <s v="Male ♂"/>
    <s v="PE/EA/00329-6/2025"/>
    <s v="Bautista-Soldevilla Áron"/>
    <s v="Moculus"/>
    <n v="1"/>
    <x v="27"/>
    <s v="SAA - Soós András Áron"/>
  </r>
  <r>
    <s v="Mouse_95"/>
    <s v="Injected"/>
    <s v="To define"/>
    <d v="2025-05-30T00:00:00"/>
    <n v="212"/>
    <s v="999-01-250424-11-060"/>
    <s v="117/342"/>
    <s v="C57Bl/6J"/>
    <s v="Male ♂"/>
    <s v="PE/EA/00329-6/2025"/>
    <s v="Soós András"/>
    <s v="VSD"/>
    <n v="1"/>
    <x v="28"/>
    <s v="PL - Popara Lídia "/>
  </r>
  <r>
    <s v="Mouse_96"/>
    <s v="Death"/>
    <s v="Culling"/>
    <d v="2025-05-30T00:00:00"/>
    <n v="229"/>
    <s v="628-49-250407-21-007"/>
    <s v="211/412"/>
    <s v="Thy1-Cre"/>
    <s v="Female ♀"/>
    <s v="PE/EA/00329-6/2025"/>
    <s v="Szebik Huba"/>
    <s v="Moculus"/>
    <n v="1"/>
    <x v="7"/>
    <m/>
  </r>
  <r>
    <s v="Mouse_97"/>
    <s v=""/>
    <s v="Behavior"/>
    <d v="2025-05-30T00:00:00"/>
    <n v="229"/>
    <s v="628-49-250407-21-008"/>
    <s v="211/412"/>
    <s v="Thy1-Cre"/>
    <s v="Female ♀"/>
    <s v="PE/EA/00329-6/2025"/>
    <s v="Szebik Huba"/>
    <s v="Moculus"/>
    <n v="1"/>
    <x v="7"/>
    <m/>
  </r>
  <r>
    <s v="Mouse_98"/>
    <s v=""/>
    <s v="Behavior"/>
    <d v="2025-05-30T00:00:00"/>
    <n v="229"/>
    <s v="628-49-250407-21-009"/>
    <s v="211/412"/>
    <s v="Thy1-Cre"/>
    <s v="Female ♀"/>
    <s v="PE/EA/00329-6/2025"/>
    <s v="Szebik Huba"/>
    <s v="Moculus"/>
    <n v="1"/>
    <x v="7"/>
    <m/>
  </r>
  <r>
    <s v="Mouse_99"/>
    <s v="Death"/>
    <s v="Behavior"/>
    <d v="2025-05-30T00:00:00"/>
    <n v="229"/>
    <s v="628-49-250407-21-010"/>
    <s v="211/412"/>
    <s v="Thy1-Cre"/>
    <s v="Female ♀"/>
    <s v="PE/EA/00329-6/2025"/>
    <s v="Szebik Huba"/>
    <s v="Moculus"/>
    <n v="1"/>
    <x v="7"/>
    <m/>
  </r>
  <r>
    <s v="Mouse_100"/>
    <s v=""/>
    <s v="Behavior"/>
    <d v="2025-05-30T00:00:00"/>
    <n v="229"/>
    <s v="628-49-250407-21-011"/>
    <s v="211/412"/>
    <s v="Thy1-Cre"/>
    <s v="Female ♀"/>
    <s v="PE/EA/00329-6/2025"/>
    <s v="Szebik Huba"/>
    <s v="Moculus"/>
    <n v="1"/>
    <x v="7"/>
    <m/>
  </r>
  <r>
    <s v="Mouse_101"/>
    <s v=""/>
    <s v="Behavior"/>
    <d v="2025-05-30T00:00:00"/>
    <n v="229"/>
    <s v="628-49-250407-21-012"/>
    <s v="211/412"/>
    <s v="Thy1-Cre"/>
    <s v="Female ♀"/>
    <s v="PE/EA/00329-6/2025"/>
    <s v="Szebik Huba"/>
    <s v="Moculus"/>
    <n v="1"/>
    <x v="7"/>
    <m/>
  </r>
  <r>
    <s v="Mouse_102"/>
    <s v="Death"/>
    <s v="Culling"/>
    <d v="2025-05-30T00:00:00"/>
    <n v="232"/>
    <s v="628-49-250404-11-012"/>
    <s v="211/457"/>
    <s v="Thy1-Cre"/>
    <s v="Male ♂"/>
    <s v="PE/EA/00329-6/2025"/>
    <s v="Szebik Huba"/>
    <s v="Moculus"/>
    <n v="1"/>
    <x v="7"/>
    <m/>
  </r>
  <r>
    <s v="Mouse_103"/>
    <s v="Death"/>
    <s v="Culling"/>
    <d v="2025-05-30T00:00:00"/>
    <n v="232"/>
    <s v="628-49-250404-11-013"/>
    <s v="211/457"/>
    <s v="Thy1-Cre"/>
    <s v="Male ♂"/>
    <s v="PE/EA/00329-6/2025"/>
    <s v="Szebik Huba"/>
    <s v="Moculus"/>
    <n v="1"/>
    <x v="7"/>
    <m/>
  </r>
  <r>
    <s v="Mouse_104"/>
    <s v="Death"/>
    <s v="Behavior"/>
    <d v="2025-05-30T00:00:00"/>
    <n v="229"/>
    <s v="628-49-250407-11-001"/>
    <s v="211/427"/>
    <s v="Thy1-Cre"/>
    <s v="Male ♂"/>
    <s v="PE/EA/00329-6/2025"/>
    <s v="Szebik Huba"/>
    <s v="Moculus"/>
    <n v="1"/>
    <x v="7"/>
    <m/>
  </r>
  <r>
    <s v="Mouse_105"/>
    <s v=""/>
    <s v="Behavior"/>
    <d v="2025-05-30T00:00:00"/>
    <n v="229"/>
    <s v="628-49-250407-11-002"/>
    <s v="211/427"/>
    <s v="Thy1-Cre"/>
    <s v="Male ♂"/>
    <s v="PE/EA/00329-6/2025"/>
    <s v="Szebik Huba"/>
    <s v="Moculus"/>
    <n v="1"/>
    <x v="7"/>
    <m/>
  </r>
  <r>
    <s v="Mouse_106"/>
    <s v="Death"/>
    <s v="Culling"/>
    <d v="2025-05-30T00:00:00"/>
    <n v="229"/>
    <s v="628-49-250407-11-003"/>
    <s v="211/427"/>
    <s v="Thy1-Cre"/>
    <s v="Male ♂"/>
    <s v="PE/EA/00329-6/2025"/>
    <s v="Szebik Huba"/>
    <s v="Moculus"/>
    <n v="1"/>
    <x v="7"/>
    <m/>
  </r>
  <r>
    <s v="Mouse_107"/>
    <s v=""/>
    <s v="Behavior"/>
    <d v="2025-05-30T00:00:00"/>
    <n v="229"/>
    <s v="628-49-250407-11-004"/>
    <s v="211/427"/>
    <s v="Thy1-Cre"/>
    <s v="Male ♂"/>
    <s v="PE/EA/00329-6/2025"/>
    <s v="Szebik Huba"/>
    <s v="Moculus"/>
    <n v="1"/>
    <x v="7"/>
    <m/>
  </r>
  <r>
    <s v="Mouse_108"/>
    <s v=""/>
    <s v=""/>
    <d v="2025-05-30T00:00:00"/>
    <n v="229"/>
    <s v="628-49-250407-11-005"/>
    <s v="211/427"/>
    <s v="Thy1-Cre"/>
    <s v="Male ♂"/>
    <s v="PE/EA/00329-6/2025"/>
    <s v="Szebik Huba"/>
    <s v="Moculus"/>
    <n v="1"/>
    <x v="7"/>
    <m/>
  </r>
  <r>
    <s v="Mouse_109"/>
    <s v="Death"/>
    <s v="Behavior"/>
    <d v="2025-06-27T00:00:00"/>
    <n v="232"/>
    <s v="322-26-250404-11-032"/>
    <s v="109/322"/>
    <s v="VIP-cre"/>
    <s v="Male ♂"/>
    <s v="PE/EA/00329-6/2025"/>
    <s v="Wéber Katalin"/>
    <s v="Moculus"/>
    <n v="1"/>
    <x v="29"/>
    <s v="PL - Popara Lídia "/>
  </r>
  <r>
    <s v="Mouse_110"/>
    <s v="Death"/>
    <s v="Behavior"/>
    <d v="2025-06-27T00:00:00"/>
    <n v="232"/>
    <s v="322-26-250404-11-033"/>
    <s v="109/322"/>
    <s v="VIP-cre"/>
    <s v="Male ♂"/>
    <s v="PE/EA/00329-6/2025"/>
    <s v="Wéber Katalin"/>
    <s v="Moculus"/>
    <n v="1"/>
    <x v="8"/>
    <s v="PL - Popara Lídia "/>
  </r>
  <r>
    <s v="Mouse_111"/>
    <s v="Death"/>
    <s v=""/>
    <d v="2025-06-27T00:00:00"/>
    <n v="232"/>
    <s v="322-26-250404-11-034"/>
    <s v="109/322"/>
    <s v="VIP-cre"/>
    <s v="Male ♂"/>
    <s v="PE/EA/00329-6/2025"/>
    <s v="Szadai Zoltán"/>
    <s v="VIP"/>
    <n v="1"/>
    <x v="2"/>
    <s v="PL - Popara Lídia "/>
  </r>
  <r>
    <s v="Mouse_112"/>
    <s v="Check-up"/>
    <s v="To define"/>
    <d v="2025-06-27T00:00:00"/>
    <n v="231"/>
    <s v="536-01-250405-11-052"/>
    <s v="112/113"/>
    <s v="Rbp4-Cre"/>
    <s v="Male ♂"/>
    <s v="PE/EA/00329-6/2025"/>
    <s v="Szadai Zoltán"/>
    <s v="VIP"/>
    <n v="1"/>
    <x v="30"/>
    <s v="PL - Popara Lídia "/>
  </r>
  <r>
    <s v="Mouse_113"/>
    <s v="Death"/>
    <s v=""/>
    <d v="2025-06-27T00:00:00"/>
    <n v="231"/>
    <s v="536-01-250405-11-053"/>
    <s v="112/113"/>
    <s v="Rbp4-Cre"/>
    <s v="Male ♂"/>
    <s v="PE/EA/00329-6/2025"/>
    <s v="Szadai Zoltán"/>
    <s v="VIP"/>
    <n v="1"/>
    <x v="7"/>
    <m/>
  </r>
  <r>
    <s v="Mouse_114"/>
    <s v="Death"/>
    <s v="To define"/>
    <d v="2025-06-27T00:00:00"/>
    <n v="212"/>
    <s v="536-01-250424-11-033"/>
    <s v="214/297"/>
    <s v="Rbp4-Cre"/>
    <s v="Male ♂"/>
    <s v="PE/EA/00329-6/2025"/>
    <s v="Szadai Zoltán"/>
    <s v="VIP"/>
    <n v="1"/>
    <x v="31"/>
    <s v="PL - Popara Lídia "/>
  </r>
  <r>
    <s v="Mouse_115"/>
    <s v="Death"/>
    <s v="To define"/>
    <d v="2025-06-27T00:00:00"/>
    <n v="212"/>
    <s v="536-01-250424-11-034"/>
    <s v="214/297"/>
    <s v="Rbp4-Cre"/>
    <s v="Male ♂"/>
    <s v="PE/EA/00329-6/2025"/>
    <s v="Szadai Zoltán"/>
    <s v="VIP"/>
    <n v="1"/>
    <x v="31"/>
    <s v="PL - Popara Lídia "/>
  </r>
  <r>
    <s v="Mouse_116"/>
    <s v="Check-up"/>
    <s v="Behavior"/>
    <d v="2025-06-27T00:00:00"/>
    <n v="185"/>
    <s v="999-01-250521-11-028"/>
    <s v="208/195"/>
    <s v="C57B1/6J"/>
    <s v="Male ♂"/>
    <s v="PE/EA/00329-6/2025"/>
    <s v="Bautista-Soldevilla Áron"/>
    <s v="VIP"/>
    <n v="1"/>
    <x v="32"/>
    <s v="PL - Popara Lídia "/>
  </r>
  <r>
    <s v="Mouse_117"/>
    <s v="Check-up"/>
    <s v="Behavior"/>
    <d v="2025-06-27T00:00:00"/>
    <n v="185"/>
    <s v="999-01-250521-11-029"/>
    <s v="208/195"/>
    <s v="C57B1/6J"/>
    <s v="Male ♂"/>
    <s v="PE/EA/00329-6/2025"/>
    <s v="Bautista-Soldevilla Áron"/>
    <s v="VIP"/>
    <n v="1"/>
    <x v="32"/>
    <s v="PL - Popara Lídia "/>
  </r>
  <r>
    <s v="Mouse_118"/>
    <s v="Check-up"/>
    <s v="To define"/>
    <d v="2025-06-27T00:00:00"/>
    <n v="185"/>
    <s v="999-01-250521-11-030"/>
    <s v="208/195"/>
    <s v="C57Bl/6J"/>
    <s v="Male ♂"/>
    <s v="PE/EA/00329-6/2025"/>
    <s v="Szadai Zoltán"/>
    <s v="VSD"/>
    <n v="1"/>
    <x v="32"/>
    <s v="PL - Popara Lídia "/>
  </r>
  <r>
    <s v="Mouse_119"/>
    <s v="Check-up"/>
    <s v="To define"/>
    <d v="2025-06-27T00:00:00"/>
    <n v="185"/>
    <s v="999-01-250521-11-031"/>
    <s v="208/195"/>
    <s v="C57Bl/6J"/>
    <s v="Male ♂"/>
    <s v="PE/EA/00329-6/2025"/>
    <s v="Szadai Zoltán"/>
    <s v="VSD"/>
    <n v="1"/>
    <x v="28"/>
    <s v="PL - Popara Lídia "/>
  </r>
  <r>
    <s v="Mouse_120"/>
    <s v="Check-up"/>
    <s v="To define"/>
    <d v="2025-06-28T00:00:00"/>
    <n v="185"/>
    <s v="628-49-250521-11-022"/>
    <s v="213/111"/>
    <s v="Thy1-Cre"/>
    <s v="Male ♂"/>
    <s v="PE/EA/00329-6/2025"/>
    <s v="Juhász Gábor"/>
    <s v="Photostim"/>
    <n v="1"/>
    <x v="12"/>
    <s v="VK - Varada Karankot"/>
  </r>
  <r>
    <s v="Mouse_121"/>
    <s v="Check-up"/>
    <s v="To define"/>
    <d v="2025-06-27T00:00:00"/>
    <n v="185"/>
    <s v="628-49-250521-11-023"/>
    <s v="213/111"/>
    <s v="Thy1-Cre"/>
    <s v="Male ♂"/>
    <s v="PE/EA/00329-6/2025"/>
    <s v="Juhász Gábor"/>
    <s v="Photostim"/>
    <n v="1"/>
    <x v="12"/>
    <s v="VK - Varada Karankot"/>
  </r>
  <r>
    <s v="Mouse_122"/>
    <s v="Check-up"/>
    <s v="To define"/>
    <d v="2025-06-27T00:00:00"/>
    <n v="185"/>
    <s v="628-49-250521-11-024"/>
    <s v="213/111"/>
    <s v="Thy1-Cre"/>
    <s v="Male ♂"/>
    <s v="PE/EA/00329-6/2025"/>
    <s v="Juhász Gábor"/>
    <s v="Photostim"/>
    <n v="1"/>
    <x v="33"/>
    <s v="VK - Varada Karankot"/>
  </r>
  <r>
    <s v="Mouse_123"/>
    <s v="Check-up"/>
    <s v="To define"/>
    <d v="2025-06-27T00:00:00"/>
    <n v="185"/>
    <s v="628-49-250521-11-025"/>
    <s v="213/111"/>
    <s v="Thy1-Cre"/>
    <s v="Male ♂"/>
    <s v="PE/EA/00329-6/2025"/>
    <s v="Juhász Gábor"/>
    <s v="Photostim"/>
    <n v="1"/>
    <x v="33"/>
    <s v="VK - Varada Karankot"/>
  </r>
  <r>
    <s v="Mouse_124"/>
    <s v="Check-up"/>
    <s v="Imaging"/>
    <d v="2025-06-27T00:00:00"/>
    <n v="185"/>
    <s v="628-49-250521-11-026"/>
    <s v="213/111"/>
    <s v="Thy1-Cre"/>
    <s v="Male ♂"/>
    <s v="PE/EA/00329-6/2025"/>
    <s v="Abhrajyoti Chakrabarti"/>
    <s v="Photostim"/>
    <n v="1"/>
    <x v="28"/>
    <s v="VK - Varada Karankot"/>
  </r>
  <r>
    <s v="Mouse_125"/>
    <s v="Check-up"/>
    <s v="Imaging"/>
    <d v="2025-06-27T00:00:00"/>
    <n v="185"/>
    <s v="628-49-250521-11-027"/>
    <s v="213/111"/>
    <s v="Thy1-Cre"/>
    <s v="Male ♂"/>
    <s v="PE/EA/00329-6/2025"/>
    <s v="Abhrajyoti Chakrabarti"/>
    <s v="Photostim"/>
    <n v="1"/>
    <x v="28"/>
    <s v="VK - Varada Karankot"/>
  </r>
  <r>
    <s v="Mouse_126"/>
    <s v="Check-up"/>
    <s v="To define"/>
    <d v="2025-06-27T00:00:00"/>
    <n v="206"/>
    <s v="628-49-250430-11-022"/>
    <s v="211/184"/>
    <s v="Thy1-Cre"/>
    <s v="Male ♂"/>
    <s v="PE/EA/00329-6/2025"/>
    <s v="Abhrajyoti Chakrabarti"/>
    <s v="Photostim"/>
    <n v="1"/>
    <x v="34"/>
    <s v="VK - Varada Karankot"/>
  </r>
  <r>
    <s v="Mouse_127"/>
    <s v="Check-up"/>
    <s v="To define"/>
    <d v="2025-06-27T00:00:00"/>
    <n v="206"/>
    <s v="628-49-250430-11-023"/>
    <s v="211/184"/>
    <s v="Thy1-Cre"/>
    <s v="Male ♂"/>
    <s v="PE/EA/00329-6/2025"/>
    <s v="Abhrajyoti Chakrabarti"/>
    <s v="Photostim"/>
    <n v="1"/>
    <x v="34"/>
    <s v="VK - Varada Karankot"/>
  </r>
  <r>
    <s v="Mouse_128"/>
    <s v="Check-up"/>
    <s v="To define"/>
    <d v="2025-06-27T00:00:00"/>
    <n v="206"/>
    <s v="628-49-250430-11-024"/>
    <s v="211/184"/>
    <s v="Thy1-Cre"/>
    <s v="Male ♂"/>
    <s v="PE/EA/00329-6/2025"/>
    <s v="Abhrajyoti Chakrabarti"/>
    <s v="Photostim"/>
    <n v="1"/>
    <x v="35"/>
    <s v="VK - Varada Karankot"/>
  </r>
  <r>
    <s v="Mouse_129"/>
    <s v="Check-up"/>
    <s v="To define"/>
    <d v="2025-06-27T00:00:00"/>
    <n v="206"/>
    <s v="628-49-250430-11-025"/>
    <s v="211/184"/>
    <s v="Thy1-Cre"/>
    <s v="Male ♂"/>
    <s v="PE/EA/00329-6/2025"/>
    <s v="Abhrajyoti Chakrabarti"/>
    <s v="Photostim"/>
    <n v="1"/>
    <x v="35"/>
    <s v="VK - Varada Karankot"/>
  </r>
  <r>
    <s v="Mouse_130"/>
    <s v="Check-up"/>
    <s v="To define"/>
    <d v="2025-06-27T00:00:00"/>
    <n v="206"/>
    <s v="628-49-250430-11-026"/>
    <s v="211/184"/>
    <s v="Thy1-Cre"/>
    <s v="Male ♂"/>
    <s v="PE/EA/00329-6/2025"/>
    <s v="Abhrajyoti Chakrabarti"/>
    <s v="Photostim"/>
    <n v="1"/>
    <x v="35"/>
    <s v="VK - Varada Karankot"/>
  </r>
  <r>
    <s v="Mouse_131"/>
    <s v="Check-up"/>
    <s v="To define"/>
    <d v="2025-07-07T00:00:00"/>
    <n v="256"/>
    <s v="536-01-250311-11-114"/>
    <s v="110/352"/>
    <s v="Rbp4-Cre"/>
    <s v="Male ♂"/>
    <s v="PE/EA/00329-6/2025"/>
    <s v="Szadai Zoltán"/>
    <s v="VIP"/>
    <n v="1"/>
    <x v="36"/>
    <s v="PL - Popara Lídia "/>
  </r>
  <r>
    <s v="Mouse_132"/>
    <s v="Death"/>
    <s v="To define"/>
    <d v="2025-07-07T00:00:00"/>
    <n v="256"/>
    <s v="536-01-250311-11-115"/>
    <s v="110/352"/>
    <s v="Rbp4-Cre"/>
    <s v="Male ♂"/>
    <s v="PE/EA/00329-6/2025"/>
    <s v="Szadai Zoltán"/>
    <s v="VIP"/>
    <n v="1"/>
    <x v="36"/>
    <s v="PL - Popara Lídia "/>
  </r>
  <r>
    <s v="Mouse_133"/>
    <s v="Death"/>
    <s v=""/>
    <d v="2025-07-07T00:00:00"/>
    <n v="256"/>
    <s v="536-01-250311-11-116"/>
    <s v="110/352"/>
    <s v="Rbp4-Cre"/>
    <s v="Male ♂"/>
    <s v="PE/EA/00329-6/2025"/>
    <s v="Szadai Zoltán"/>
    <s v="VIP"/>
    <m/>
    <x v="7"/>
    <m/>
  </r>
  <r>
    <s v="Mouse_134"/>
    <s v="Check-up"/>
    <s v="To define"/>
    <d v="2025-07-07T00:00:00"/>
    <n v="231"/>
    <s v="536-01-250405-21-054"/>
    <s v="112/117"/>
    <s v="Rbp4-Cre"/>
    <s v="Female ♀"/>
    <s v="PE/EA/00329-6/2025"/>
    <s v="Szadai Zoltán"/>
    <s v="VSD"/>
    <n v="1"/>
    <x v="37"/>
    <s v="PL - Popara Lídia "/>
  </r>
  <r>
    <s v="Mouse_135"/>
    <s v="Check-up"/>
    <s v="To define"/>
    <d v="2025-07-07T00:00:00"/>
    <n v="191"/>
    <s v="321-01-250515-11-049"/>
    <s v="205/454"/>
    <s v="som/IRES_Cre"/>
    <s v="Male ♂"/>
    <s v="PE/EA/00329-6/2025"/>
    <s v="Szadai Zoltán"/>
    <s v="VIP"/>
    <n v="1"/>
    <x v="23"/>
    <s v="PL - Popara Lídia "/>
  </r>
  <r>
    <s v="Mouse_136"/>
    <s v="Check-up"/>
    <s v="To define"/>
    <d v="2025-07-07T00:00:00"/>
    <n v="189"/>
    <s v="321-01-250517-11-024"/>
    <s v="205/454"/>
    <s v="som/IRES_Cre"/>
    <s v="Male ♂"/>
    <s v="PE/EA/00329-6/2025"/>
    <s v="Szadai Zoltán"/>
    <s v="VIP"/>
    <n v="1"/>
    <x v="30"/>
    <s v="PL - Popara Lídia "/>
  </r>
  <r>
    <s v="Mouse_137"/>
    <s v="Death"/>
    <s v="To define"/>
    <d v="2025-07-07T00:00:00"/>
    <n v="189"/>
    <s v="321-01-250517-11-025"/>
    <s v="205/454"/>
    <s v="som/IRES_Cre"/>
    <s v="Male ♂"/>
    <s v="PE/EA/00329-6/2025"/>
    <s v="Szadai Zoltán"/>
    <s v="VIP"/>
    <n v="1"/>
    <x v="30"/>
    <s v="PL - Popara Lídia "/>
  </r>
  <r>
    <s v="Mouse_138"/>
    <s v="Check-up"/>
    <s v="To define"/>
    <d v="2025-07-07T00:00:00"/>
    <n v="189"/>
    <s v="321-01-250517-11-026"/>
    <s v="205/454"/>
    <s v="som/IRES_Cre"/>
    <s v="Male ♂"/>
    <s v="PE/EA/00329-6/2025"/>
    <s v="Szadai Zoltán"/>
    <s v="VIP"/>
    <n v="1"/>
    <x v="36"/>
    <s v="PL - Popara Lídia "/>
  </r>
  <r>
    <s v="Mouse_139"/>
    <s v="Death"/>
    <s v="To define"/>
    <d v="2025-07-07T00:00:00"/>
    <n v="212"/>
    <s v="628-49-250424-11-016"/>
    <s v="211/132"/>
    <s v="Thy1-Cre"/>
    <s v="Male ♂"/>
    <s v="PE/EA/00329-6/2025"/>
    <s v="Szadai Zoltán"/>
    <s v="VIP"/>
    <n v="1"/>
    <x v="38"/>
    <s v="PL - Popara Lídia "/>
  </r>
  <r>
    <s v="Mouse_140"/>
    <s v="Death"/>
    <s v=""/>
    <d v="2025-07-07T00:00:00"/>
    <n v="212"/>
    <s v="628-49-250424-11-017"/>
    <s v="211/133"/>
    <s v="Thy1-Cre"/>
    <s v="Male ♂"/>
    <s v="PE/EA/00329-6/2025"/>
    <s v="Szadai Zoltán"/>
    <s v="VIP"/>
    <n v="1"/>
    <x v="7"/>
    <m/>
  </r>
  <r>
    <s v="Mouse_141"/>
    <s v="Death"/>
    <s v=""/>
    <d v="2025-07-07T00:00:00"/>
    <n v="212"/>
    <s v="628-49-250424-11-018"/>
    <s v="211/134"/>
    <s v="Thy1-Cre"/>
    <s v="Male ♂"/>
    <s v="PE/EA/00329-6/2025"/>
    <s v="Szadai Zoltán"/>
    <s v="VIP"/>
    <n v="1"/>
    <x v="7"/>
    <m/>
  </r>
  <r>
    <s v="Mouse_142"/>
    <s v="Death"/>
    <s v=""/>
    <d v="2025-07-07T00:00:00"/>
    <n v="212"/>
    <s v="628-49-250424-11-019"/>
    <s v="211/135"/>
    <s v="Thy1-Cre"/>
    <s v="Male ♂"/>
    <s v="PE/EA/00329-6/2025"/>
    <s v="Szadai Zoltán"/>
    <s v="VIP"/>
    <n v="1"/>
    <x v="7"/>
    <m/>
  </r>
  <r>
    <s v="Mouse_143"/>
    <s v="Check-up"/>
    <s v="To define"/>
    <d v="2025-07-07T00:00:00"/>
    <n v="212"/>
    <s v="536-01-250424-21-036"/>
    <s v="214/225"/>
    <s v="Rbp4-Cre"/>
    <s v="Female ♀"/>
    <s v="PE/EA/00329-6/2025"/>
    <s v="Szadai Zoltán"/>
    <s v="VSD"/>
    <n v="1"/>
    <x v="21"/>
    <s v="PL - Popara Lídia "/>
  </r>
  <r>
    <s v="Mouse_144"/>
    <s v="Check-up"/>
    <s v="To define"/>
    <d v="2025-07-07T00:00:00"/>
    <n v="212"/>
    <s v="536-01-250424-21-037"/>
    <s v="214/225"/>
    <s v="Rbp4-Cre"/>
    <s v="Female ♀"/>
    <s v="PE/EA/00329-6/2025"/>
    <s v="Szadai Zoltán"/>
    <s v="VSD"/>
    <n v="1"/>
    <x v="21"/>
    <s v="PL - Popara Lídia "/>
  </r>
  <r>
    <s v="Mouse_145"/>
    <s v="Death"/>
    <s v="TERMINATED"/>
    <d v="2025-07-07T00:00:00"/>
    <n v="212"/>
    <s v="536-01-250424-11-035"/>
    <s v="214/297"/>
    <s v="Rbp4-Cre"/>
    <s v="Male ♂"/>
    <s v="PE/EA/00329-6/2025"/>
    <s v="Szadai Zoltán"/>
    <s v="VIP"/>
    <n v="1"/>
    <x v="39"/>
    <s v="PL - Popara Lídia "/>
  </r>
  <r>
    <s v="Mouse_146"/>
    <s v="Death"/>
    <s v="To define"/>
    <d v="2025-07-07T00:00:00"/>
    <n v="212"/>
    <s v="190-01-250424-21-028"/>
    <s v="214/376"/>
    <s v="pva/IRES_cre"/>
    <s v="Female ♀"/>
    <s v="PE/EA/00329-6/2025"/>
    <s v="Szadai Zoltán"/>
    <s v="VIP"/>
    <n v="1"/>
    <x v="9"/>
    <s v="PL - Popara Lídia "/>
  </r>
  <r>
    <s v="Mouse_147"/>
    <s v="Death"/>
    <s v=""/>
    <d v="2025-07-07T00:00:00"/>
    <n v="212"/>
    <s v="190-01-250424-21-029"/>
    <s v="214/376"/>
    <s v="pva/IRES_cre"/>
    <s v="Female ♀"/>
    <s v="PE/EA/00329-6/2025"/>
    <s v="Szadai Zoltán"/>
    <s v="VIP"/>
    <n v="1"/>
    <x v="7"/>
    <m/>
  </r>
  <r>
    <s v="Mouse_148"/>
    <s v="Death"/>
    <s v=""/>
    <d v="2025-07-07T00:00:00"/>
    <n v="212"/>
    <s v="190-01-250424-21-030"/>
    <s v="214/376"/>
    <s v="pva/IRES_cre"/>
    <s v="Female ♀"/>
    <s v="PE/EA/00329-6/2025"/>
    <s v="Szadai Zoltán"/>
    <s v="VIP"/>
    <n v="1"/>
    <x v="7"/>
    <m/>
  </r>
  <r>
    <s v="Mouse_149"/>
    <s v="Death"/>
    <s v=""/>
    <d v="2025-07-07T00:00:00"/>
    <n v="212"/>
    <s v="190-01-250424-21-031"/>
    <s v="214/376"/>
    <s v="pva/IRES_cre"/>
    <s v="Female ♀"/>
    <s v="PE/EA/00329-6/2025"/>
    <s v="Szadai Zoltán"/>
    <s v="VIP"/>
    <n v="1"/>
    <x v="7"/>
    <m/>
  </r>
  <r>
    <s v="Mouse_150"/>
    <s v="Death"/>
    <s v="Anatomy"/>
    <d v="2025-07-11T00:00:00"/>
    <n v="185"/>
    <s v="628-49-250521-21-028"/>
    <s v="213/127"/>
    <s v="Thy1-Cre"/>
    <s v="Female ♀"/>
    <s v="PE/EA/00329-6/2025"/>
    <s v="Abhrajyoti Chakrabarti"/>
    <s v="Photostim"/>
    <n v="1"/>
    <x v="7"/>
    <m/>
  </r>
  <r>
    <s v="Mouse_151"/>
    <s v="Check-up"/>
    <s v="To define"/>
    <d v="2025-07-11T00:00:00"/>
    <n v="185"/>
    <s v="628-49-250521-21-029"/>
    <s v="213/127"/>
    <s v="Thy1-Cre"/>
    <s v="Female ♀"/>
    <s v="PE/EA/00329-6/2025"/>
    <s v="Abhrajyoti Chakrabarti"/>
    <s v="Photostim"/>
    <n v="1"/>
    <x v="40"/>
    <s v="VK - Varada Karankot"/>
  </r>
  <r>
    <s v="Mouse_152"/>
    <s v="Check-up"/>
    <s v="To define"/>
    <d v="2025-07-18T00:00:00"/>
    <n v="204"/>
    <s v="999-01-250502-21-037"/>
    <s v="110/125"/>
    <s v="C57Bl/6J"/>
    <s v="Female ♀"/>
    <s v="PE/EA/00329-6/2025"/>
    <s v="Jász Anna"/>
    <s v="VSD"/>
    <n v="1"/>
    <x v="21"/>
    <s v="PL - Popara Lídia "/>
  </r>
  <r>
    <s v="Mouse_153"/>
    <s v="Check-up"/>
    <s v="To define"/>
    <d v="2025-07-18T00:00:00"/>
    <n v="204"/>
    <s v="999-01-250502-21-038"/>
    <s v="110/125"/>
    <s v="C57Bl/6J"/>
    <s v="Female ♀"/>
    <s v="PE/EA/00329-6/2025"/>
    <s v="Jász Anna"/>
    <s v="VSD"/>
    <n v="1"/>
    <x v="21"/>
    <s v="PL - Popara Lídia "/>
  </r>
  <r>
    <s v="Mouse_154"/>
    <s v="Check-up"/>
    <s v="To define"/>
    <d v="2025-07-18T00:00:00"/>
    <n v="204"/>
    <s v="999-01-250502-21-039"/>
    <s v="110/125"/>
    <s v="C57Bl/6J"/>
    <s v="Female ♀"/>
    <s v="PE/EA/00329-6/2025"/>
    <s v="Jász Anna"/>
    <s v="VSD"/>
    <n v="1"/>
    <x v="21"/>
    <s v="PL - Popara Lídia "/>
  </r>
  <r>
    <s v="Mouse_155"/>
    <s v="Check-up"/>
    <s v="To define"/>
    <d v="2025-07-18T00:00:00"/>
    <n v="204"/>
    <s v="999-01-250502-21-040"/>
    <s v="110/125"/>
    <s v="C57Bl/6J"/>
    <s v="Female ♀"/>
    <s v="PE/EA/00329-6/2025"/>
    <s v="Jász Anna"/>
    <s v="VSD"/>
    <n v="1"/>
    <x v="22"/>
    <s v="PL - Popara Lídia "/>
  </r>
  <r>
    <s v="Mouse_156"/>
    <s v="Check-up"/>
    <s v="To define"/>
    <d v="2025-07-18T00:00:00"/>
    <n v="198"/>
    <s v="999-01-250508-11-001"/>
    <s v="112/247"/>
    <s v="C57Bl/6J"/>
    <s v="Male ♂"/>
    <s v="PE/EA/00329-6/2025"/>
    <s v="Jász Anna"/>
    <s v="VSD"/>
    <n v="1"/>
    <x v="41"/>
    <s v="PL - Popara Lídia "/>
  </r>
  <r>
    <s v="Mouse_157"/>
    <s v="Check-up"/>
    <s v="To define"/>
    <d v="2025-07-18T00:00:00"/>
    <n v="198"/>
    <s v="999-01-250508-11-002"/>
    <s v="112/247"/>
    <s v="C57Bl/6J"/>
    <s v="Male ♂"/>
    <s v="PE/EA/00329-6/2025"/>
    <s v="Jász Anna"/>
    <s v="VSD"/>
    <n v="1"/>
    <x v="41"/>
    <s v="PL - Popara Lídia "/>
  </r>
  <r>
    <s v="Mouse_158"/>
    <s v="Check-up"/>
    <s v="To define"/>
    <d v="2025-07-18T00:00:00"/>
    <n v="198"/>
    <s v="999-01-250508-11-003"/>
    <s v="112/247"/>
    <s v="C57Bl/6J"/>
    <s v="Male ♂"/>
    <s v="PE/EA/00329-6/2025"/>
    <s v="Jász Anna"/>
    <s v="VSD"/>
    <n v="1"/>
    <x v="41"/>
    <s v="PL - Popara Lídia "/>
  </r>
  <r>
    <s v="Mouse_159"/>
    <s v="Check-up"/>
    <s v="To define"/>
    <d v="2025-07-18T00:00:00"/>
    <n v="198"/>
    <s v="999-01-250508-11-004"/>
    <s v="112/247"/>
    <s v="C57Bl/6J"/>
    <s v="Male ♂"/>
    <s v="PE/EA/00329-6/2025"/>
    <s v="Jász Anna"/>
    <s v="VSD"/>
    <n v="1"/>
    <x v="41"/>
    <s v="PL - Popara Lídia "/>
  </r>
  <r>
    <s v="Mouse_160"/>
    <s v=""/>
    <m/>
    <d v="2025-08-01T00:00:00"/>
    <n v="158"/>
    <s v="999-01-250617-11-024"/>
    <s v="117/452"/>
    <s v="C57Bl/6J"/>
    <s v="Male ♂"/>
    <s v="PE/EA/00329-6/2025"/>
    <s v="Szadai Zoltán"/>
    <s v="VIP"/>
    <n v="1"/>
    <x v="7"/>
    <m/>
  </r>
  <r>
    <s v="Mouse_161"/>
    <s v=""/>
    <s v=""/>
    <d v="2025-08-01T00:00:00"/>
    <n v="158"/>
    <s v="999-01-250617-11-025"/>
    <s v="117/452"/>
    <s v="C57Bl/6J"/>
    <s v="Male ♂"/>
    <s v="PE/EA/00329-6/2025"/>
    <s v="Szadai Zoltán"/>
    <s v="VIP"/>
    <n v="1"/>
    <x v="7"/>
    <m/>
  </r>
  <r>
    <s v="Mouse_162"/>
    <s v=""/>
    <s v=""/>
    <d v="2025-08-01T00:00:00"/>
    <n v="158"/>
    <s v="999-01-250617-11-026"/>
    <s v="117/452"/>
    <s v="C57Bl/6J"/>
    <s v="Male ♂"/>
    <s v="PE/EA/00329-6/2025"/>
    <s v="Szadai Zoltán"/>
    <s v="VIP"/>
    <n v="1"/>
    <x v="7"/>
    <m/>
  </r>
  <r>
    <s v="Mouse_163"/>
    <s v=""/>
    <s v=""/>
    <d v="2025-08-01T00:00:00"/>
    <n v="158"/>
    <s v="999-01-250617-11+118"/>
    <s v="117/452"/>
    <s v="C57Bl/6J"/>
    <s v="Male ♂"/>
    <s v="PE/EA/00329-6/2025"/>
    <s v="Szadai Zoltán"/>
    <s v="VIP"/>
    <n v="1"/>
    <x v="7"/>
    <m/>
  </r>
  <r>
    <s v="Mouse_164"/>
    <s v=""/>
    <s v=""/>
    <d v="2025-08-01T00:00:00"/>
    <n v="156"/>
    <s v="999-01-250619-11-027"/>
    <s v="110/342"/>
    <s v="C57Bl/6J"/>
    <s v="Male ♂"/>
    <s v="PE/EA/00329-6/2025"/>
    <s v="Szadai Zoltán"/>
    <s v="VIP"/>
    <n v="1"/>
    <x v="7"/>
    <m/>
  </r>
  <r>
    <s v="Mouse_165"/>
    <s v=""/>
    <s v=""/>
    <d v="2025-08-01T00:00:00"/>
    <n v="156"/>
    <s v="999-01-250619-11-028"/>
    <s v="110/342"/>
    <s v="C57Bl/6J"/>
    <s v="Male ♂"/>
    <s v="PE/EA/00329-6/2025"/>
    <s v="Szadai Zoltán"/>
    <s v="VIP"/>
    <n v="1"/>
    <x v="7"/>
    <m/>
  </r>
  <r>
    <s v="Mouse_166"/>
    <s v=""/>
    <s v=""/>
    <d v="2025-08-01T00:00:00"/>
    <n v="156"/>
    <s v="999-01-250619-11-029"/>
    <s v="110/342"/>
    <s v="C57Bl/6J"/>
    <s v="Male ♂"/>
    <s v="PE/EA/00329-6/2025"/>
    <s v="Szadai Zoltán"/>
    <s v="VIP"/>
    <n v="1"/>
    <x v="7"/>
    <m/>
  </r>
  <r>
    <s v="Mouse_167"/>
    <s v=""/>
    <s v=""/>
    <d v="2025-08-01T00:00:00"/>
    <n v="156"/>
    <s v="999-01-250619-11-030"/>
    <s v="110/342"/>
    <s v="C57Bl/6J"/>
    <s v="Male ♂"/>
    <s v="PE/EA/00329-6/2025"/>
    <s v="Szadai Zoltán"/>
    <s v="VIP"/>
    <n v="1"/>
    <x v="7"/>
    <m/>
  </r>
  <r>
    <s v="Mouse_168"/>
    <s v=""/>
    <s v=""/>
    <d v="2025-08-01T00:00:00"/>
    <n v="156"/>
    <s v="999-01-250619-11-031"/>
    <s v="110/342"/>
    <s v="C57Bl/6J"/>
    <s v="Male ♂"/>
    <s v="PE/EA/00329-6/2025"/>
    <s v="Szadai Zoltán"/>
    <s v="VIP"/>
    <n v="1"/>
    <x v="7"/>
    <m/>
  </r>
  <r>
    <s v="Mouse_169"/>
    <s v=""/>
    <s v=""/>
    <d v="2025-08-01T00:00:00"/>
    <n v="156"/>
    <s v="999-01-250619-11-032"/>
    <s v="110/342"/>
    <s v="C57Bl/6J"/>
    <s v="Male ♂"/>
    <s v="PE/EA/00329-6/2025"/>
    <s v="Szadai Zoltán"/>
    <s v="VIP"/>
    <n v="1"/>
    <x v="7"/>
    <m/>
  </r>
  <r>
    <s v="Mouse_170"/>
    <s v="Death"/>
    <s v=""/>
    <d v="2025-08-01T00:00:00"/>
    <n v="180"/>
    <s v="999-01-250526-11-006"/>
    <s v="208/187"/>
    <s v="C57Bl/6J"/>
    <s v="Male ♂"/>
    <s v="PE/EA/00329-6/2025"/>
    <s v="Kocsis Bálint"/>
    <m/>
    <n v="0"/>
    <x v="7"/>
    <m/>
  </r>
  <r>
    <s v="Mouse_171"/>
    <s v="Death"/>
    <s v=""/>
    <d v="2025-08-01T00:00:00"/>
    <n v="180"/>
    <s v="999-01-250526-11-007"/>
    <s v="208/187"/>
    <s v="C57Bl/6J"/>
    <s v="Male ♂"/>
    <s v="PE/EA/00329-6/2025"/>
    <s v="Kocsis Bálint"/>
    <m/>
    <n v="0"/>
    <x v="7"/>
    <m/>
  </r>
  <r>
    <s v="Mouse_172"/>
    <s v="Death"/>
    <s v=""/>
    <d v="2025-08-01T00:00:00"/>
    <n v="180"/>
    <s v="999-01-250526-11-015"/>
    <s v="208/187"/>
    <s v="C57Bl/6J"/>
    <s v="Male ♂"/>
    <s v="PE/EA/00329-6/2025"/>
    <s v="Kocsis Bálint"/>
    <m/>
    <n v="0"/>
    <x v="7"/>
    <m/>
  </r>
  <r>
    <s v="Mouse_173"/>
    <s v="Death"/>
    <s v=""/>
    <d v="2025-08-01T00:00:00"/>
    <n v="180"/>
    <s v="999-01-250526-11-016"/>
    <s v="208/187"/>
    <s v="C57Bl/6J"/>
    <s v="Male ♂"/>
    <s v="PE/EA/00329-6/2025"/>
    <s v="Kocsis Bálint"/>
    <m/>
    <n v="0"/>
    <x v="7"/>
    <m/>
  </r>
  <r>
    <s v="Mouse_174"/>
    <s v=""/>
    <s v=""/>
    <d v="2025-08-01T00:00:00"/>
    <n v="180"/>
    <s v="999-01-250526-11-017"/>
    <s v="208/187"/>
    <s v="C57Bl/6J"/>
    <s v="Male ♂"/>
    <s v="PE/EA/00329-6/2025"/>
    <s v="Kocsis Bálint"/>
    <m/>
    <n v="0"/>
    <x v="7"/>
    <m/>
  </r>
  <r>
    <s v="Mouse_175"/>
    <s v="Check-up"/>
    <s v="Behavior"/>
    <d v="2025-09-05T00:00:00"/>
    <n v="113"/>
    <s v="999-01-250801-11-035"/>
    <s v="109/441"/>
    <s v="C57Bl/6J"/>
    <s v="Male ♂"/>
    <s v="PE/EA/00329-6/2025"/>
    <s v="Szalay Gergely"/>
    <s v="Freely moving"/>
    <n v="1"/>
    <x v="42"/>
    <s v="WK - Wéber Katalin "/>
  </r>
  <r>
    <s v="Mouse_176"/>
    <s v="Death"/>
    <s v=""/>
    <d v="2025-09-05T00:00:00"/>
    <n v="113"/>
    <s v="999-01-250801-11-036"/>
    <s v="109/441"/>
    <s v="C57Bl/6J"/>
    <s v="Male ♂"/>
    <s v="PE/EA/00329-6/2025"/>
    <s v="Szalay Gergely"/>
    <s v="Freely moving"/>
    <n v="1"/>
    <x v="7"/>
    <m/>
  </r>
  <r>
    <s v="Mouse_177"/>
    <s v="Check-up"/>
    <s v="Behavior"/>
    <d v="2025-09-05T00:00:00"/>
    <n v="113"/>
    <s v="999-01-250801-11-045"/>
    <s v="109/442"/>
    <s v="C57Bl/6J"/>
    <s v="Male ♂"/>
    <s v="PE/EA/00329-6/2025"/>
    <s v="Szalay Gergely"/>
    <s v="Freely moving"/>
    <n v="1"/>
    <x v="42"/>
    <s v="WK - Wéber Katalin "/>
  </r>
  <r>
    <s v="Mouse_178"/>
    <s v="Check-up"/>
    <s v="To define"/>
    <d v="2025-09-05T00:00:00"/>
    <n v="162"/>
    <s v="536-01-250613-21-040"/>
    <s v="117/263"/>
    <s v="Rbp4-Cre"/>
    <s v="Female ♀"/>
    <s v="PE/EA/00329-6/2025"/>
    <s v="Szadai Zoltán"/>
    <s v="VIP"/>
    <n v="1"/>
    <x v="39"/>
    <s v="PL - Popara Lídia "/>
  </r>
  <r>
    <s v="Mouse_179"/>
    <s v="Check-up"/>
    <s v="To define"/>
    <d v="2025-09-05T00:00:00"/>
    <n v="162"/>
    <s v="536-01-250613-11-038"/>
    <s v="206/226"/>
    <s v="Rbp4-Cre"/>
    <s v="Male ♂"/>
    <s v="PE/EA/00329-6/2025"/>
    <s v="Szadai Zoltán"/>
    <s v="VIP"/>
    <n v="1"/>
    <x v="39"/>
    <s v="PL - Popara Lídia "/>
  </r>
  <r>
    <s v="Mouse_180"/>
    <s v="Check-up"/>
    <s v="To define"/>
    <d v="2025-09-05T00:00:00"/>
    <n v="162"/>
    <s v="536-01-250613-11-039"/>
    <s v="206/226"/>
    <s v="Rbp4-Cre"/>
    <s v="Male ♂"/>
    <s v="PE/EA/00329-6/2025"/>
    <s v="Szadai Zoltán"/>
    <s v="VIP"/>
    <n v="1"/>
    <x v="39"/>
    <s v="PL - Popara Lídia "/>
  </r>
  <r>
    <s v="Mouse_181"/>
    <s v="Check-up"/>
    <s v="To define"/>
    <d v="2025-09-05T00:00:00"/>
    <n v="139"/>
    <s v="999-01-250706-11-015"/>
    <s v="208/142"/>
    <s v="C57Bl/6J"/>
    <s v="Male ♂"/>
    <s v="PE/EA/00329-6/2025"/>
    <s v="Kocsis Bálint"/>
    <s v="Epilepsy"/>
    <n v="1"/>
    <x v="43"/>
    <s v="KB - Kocsis Bálint"/>
  </r>
  <r>
    <s v="Mouse_182"/>
    <s v="Death"/>
    <s v=""/>
    <d v="2025-09-05T00:00:00"/>
    <n v="139"/>
    <s v="999-01-250706-11-016"/>
    <s v="208/142"/>
    <s v="C57Bl/6J"/>
    <s v="Male ♂"/>
    <s v="PE/EA/00329-6/2025"/>
    <s v="Kocsis Bálint"/>
    <s v="Epilepsy"/>
    <n v="1"/>
    <x v="43"/>
    <s v="KB - Kocsis Bálint"/>
  </r>
  <r>
    <s v="Mouse_183"/>
    <s v="Check-up"/>
    <s v="To define"/>
    <d v="2025-09-05T00:00:00"/>
    <n v="139"/>
    <s v="999-01-250706-21-017"/>
    <s v="208/144"/>
    <s v="C57Bl/6J"/>
    <s v="Female ♀"/>
    <s v="PE/EA/00329-6/2025"/>
    <s v="Kocsis Bálint"/>
    <s v="Epilepsy"/>
    <n v="1"/>
    <x v="44"/>
    <s v="KB - Kocsis Bálint"/>
  </r>
  <r>
    <s v="Mouse_184"/>
    <s v="Check-up"/>
    <s v="To define"/>
    <d v="2025-09-05T00:00:00"/>
    <n v="139"/>
    <s v="999-01-250706-21-018"/>
    <s v="208/144"/>
    <s v="C57Bl/6J"/>
    <s v="Female ♀"/>
    <s v="PE/EA/00329-6/2025"/>
    <s v="Kocsis Bálint"/>
    <s v="Epilepsy"/>
    <n v="1"/>
    <x v="44"/>
    <s v="KB - Kocsis Bálint"/>
  </r>
  <r>
    <s v="Mouse_185"/>
    <s v="Check-up"/>
    <s v="To define"/>
    <d v="2025-09-05T00:00:00"/>
    <n v="139"/>
    <s v="999-01-250706-21-019"/>
    <s v="208/144"/>
    <s v="C57Bl/6J"/>
    <s v="Female ♀"/>
    <s v="PE/EA/00329-6/2025"/>
    <s v="Kocsis Bálint"/>
    <s v="Epilepsy"/>
    <n v="1"/>
    <x v="44"/>
    <s v="KB - Kocsis Bálint"/>
  </r>
  <r>
    <s v="Mouse_186"/>
    <s v=""/>
    <s v="Behavior"/>
    <d v="2025-09-05T00:00:00"/>
    <n v="147"/>
    <s v="999-01-250628-21-012"/>
    <s v="208/182"/>
    <s v="C57Bl/6J"/>
    <s v="Female ♀"/>
    <s v="PE/EA/00329-6/2025"/>
    <s v="Bautista-Soldevilla Áron"/>
    <s v="VIP"/>
    <n v="1"/>
    <x v="7"/>
    <m/>
  </r>
  <r>
    <s v="Mouse_187"/>
    <s v=""/>
    <s v="Behavior"/>
    <d v="2025-09-05T00:00:00"/>
    <n v="147"/>
    <s v="999-01-250628-21-013"/>
    <s v="208/182"/>
    <s v="C57Bl/6J"/>
    <s v="Female ♀"/>
    <s v="PE/EA/00329-6/2025"/>
    <s v="Bautista-Soldevilla Áron"/>
    <s v="VIP"/>
    <n v="1"/>
    <x v="7"/>
    <m/>
  </r>
  <r>
    <s v="Mouse_188"/>
    <s v=""/>
    <s v="Behavior"/>
    <d v="2025-09-05T00:00:00"/>
    <n v="145"/>
    <s v="999-01-250630-11-007"/>
    <s v="208/161"/>
    <s v="C57Bl/6J"/>
    <s v="Male ♂"/>
    <s v="PE/EA/00329-6/2025"/>
    <s v="Bautista-Soldevilla Áron"/>
    <s v="VIP"/>
    <n v="1"/>
    <x v="7"/>
    <m/>
  </r>
  <r>
    <s v="Mouse_189"/>
    <s v=""/>
    <s v="Behavior"/>
    <d v="2025-09-05T00:00:00"/>
    <n v="145"/>
    <s v="999-01-250630-11-008"/>
    <s v="208/161"/>
    <s v="C57Bl/6J"/>
    <s v="Male ♂"/>
    <s v="PE/EA/00329-6/2025"/>
    <s v="Bautista-Soldevilla Áron"/>
    <s v="VIP"/>
    <n v="1"/>
    <x v="7"/>
    <m/>
  </r>
  <r>
    <s v="Mouse_190"/>
    <s v=""/>
    <s v="Behavior"/>
    <d v="2025-09-05T00:00:00"/>
    <n v="145"/>
    <s v="999-01-250630-11-009"/>
    <s v="208/161"/>
    <s v="C57Bl/6J"/>
    <s v="Male ♂"/>
    <s v="PE/EA/00329-6/2025"/>
    <s v="Bautista-Soldevilla Áron"/>
    <s v="VIP"/>
    <n v="1"/>
    <x v="7"/>
    <m/>
  </r>
  <r>
    <s v="Mouse_191"/>
    <s v=""/>
    <s v="Behavior"/>
    <d v="2025-09-05T00:00:00"/>
    <n v="145"/>
    <s v="999-01-250630-11-010"/>
    <s v="208/161"/>
    <s v="C57Bl/6J"/>
    <s v="Male ♂"/>
    <s v="PE/EA/00329-6/2025"/>
    <s v="Bautista-Soldevilla Áron"/>
    <s v="VIP"/>
    <n v="1"/>
    <x v="7"/>
    <m/>
  </r>
  <r>
    <s v="Mouse_192"/>
    <s v=""/>
    <s v="Behavior"/>
    <d v="2025-09-05T00:00:00"/>
    <n v="147"/>
    <s v="999-01-250628-11-008"/>
    <s v="208/191"/>
    <s v="C57Bl/6J"/>
    <s v="Male ♂"/>
    <s v="PE/EA/00329-6/2025"/>
    <s v="Bautista-Soldevilla Áron"/>
    <s v="VIP"/>
    <n v="1"/>
    <x v="7"/>
    <m/>
  </r>
  <r>
    <s v="Mouse_193"/>
    <s v=""/>
    <s v="Behavior"/>
    <d v="2025-09-05T00:00:00"/>
    <n v="147"/>
    <s v="999-01-250628-11-009"/>
    <s v="208/191"/>
    <s v="C57Bl/6J"/>
    <s v="Male ♂"/>
    <s v="PE/EA/00329-6/2025"/>
    <s v="Bautista-Soldevilla Áron"/>
    <s v="VIP"/>
    <n v="1"/>
    <x v="7"/>
    <m/>
  </r>
  <r>
    <s v="Mouse_194"/>
    <s v=""/>
    <s v="Behavior"/>
    <d v="2025-09-05T00:00:00"/>
    <n v="147"/>
    <s v="999-01-250628-11-010"/>
    <s v="208/191"/>
    <s v="C57Bl/6J"/>
    <s v="Male ♂"/>
    <s v="PE/EA/00329-6/2025"/>
    <s v="Bautista-Soldevilla Áron"/>
    <s v="VIP"/>
    <n v="1"/>
    <x v="7"/>
    <m/>
  </r>
  <r>
    <s v="Mouse_195"/>
    <s v=""/>
    <s v="Behavior"/>
    <d v="2025-09-05T00:00:00"/>
    <n v="147"/>
    <s v="999-01-250628-11-011"/>
    <s v="208/191"/>
    <s v="C57Bl/6J"/>
    <s v="Male ♂"/>
    <s v="PE/EA/00329-6/2025"/>
    <s v="Bautista-Soldevilla Áron"/>
    <s v="VIP"/>
    <n v="1"/>
    <x v="7"/>
    <m/>
  </r>
  <r>
    <s v="Mouse_196"/>
    <s v="Check-up"/>
    <s v="To define"/>
    <d v="2025-09-05T00:00:00"/>
    <n v="115"/>
    <s v="999-01-250730-11-031"/>
    <s v="208/212"/>
    <s v="C57Bl/6J"/>
    <s v="Male ♂"/>
    <s v="PE/EA/00329-6/2025"/>
    <s v="Jász Anna"/>
    <s v="VSD"/>
    <n v="1"/>
    <x v="45"/>
    <s v="PL - Popara Lídia "/>
  </r>
  <r>
    <s v="Mouse_197"/>
    <s v="Check-up"/>
    <s v="Anatomy"/>
    <d v="2025-09-05T00:00:00"/>
    <n v="115"/>
    <s v="999-01-250730-11-032"/>
    <s v="208/212"/>
    <s v="C57Bl/6J"/>
    <s v="Male ♂"/>
    <s v="PE/EA/00329-6/2025"/>
    <s v="Jász Anna"/>
    <s v="VSD"/>
    <n v="1"/>
    <x v="45"/>
    <s v="PL - Popara Lídia "/>
  </r>
  <r>
    <s v="Mouse_198"/>
    <s v="Check-up"/>
    <s v="To define"/>
    <d v="2025-09-05T00:00:00"/>
    <n v="115"/>
    <s v="999-01-250730-11-033"/>
    <s v="208/212"/>
    <s v="C57Bl/6J"/>
    <s v="Male ♂"/>
    <s v="PE/EA/00329-6/2025"/>
    <s v="Jász Anna"/>
    <s v="VSD"/>
    <n v="1"/>
    <x v="45"/>
    <s v="PL - Popara Lídia "/>
  </r>
  <r>
    <s v="Mouse_199"/>
    <s v="Check-up"/>
    <s v="To define"/>
    <d v="2025-09-05T00:00:00"/>
    <n v="115"/>
    <s v="999-01-250730-21-034"/>
    <s v="208/216"/>
    <s v="C57Bl/6J"/>
    <s v="Female ♀"/>
    <s v="PE/EA/00329-6/2025"/>
    <s v="Jász Anna"/>
    <s v="VSD"/>
    <n v="1"/>
    <x v="46"/>
    <s v="PL - Popara Lídia "/>
  </r>
  <r>
    <s v="Mouse_200"/>
    <s v="Check-up"/>
    <s v="To define"/>
    <d v="2025-09-05T00:00:00"/>
    <n v="115"/>
    <s v="999-01-250730-21-035"/>
    <s v="208/216"/>
    <s v="C57Bl/6J"/>
    <s v="Female ♀"/>
    <s v="PE/EA/00329-6/2025"/>
    <s v="Jász Anna"/>
    <s v="VSD"/>
    <n v="1"/>
    <x v="46"/>
    <s v="PL - Popara Lídia "/>
  </r>
  <r>
    <s v="Mouse_201"/>
    <s v=""/>
    <s v=""/>
    <d v="2025-09-05T00:00:00"/>
    <n v="212"/>
    <s v="628-49-250424-11-020"/>
    <s v="211/132"/>
    <s v="Thy1-Cre"/>
    <s v="Male ♂"/>
    <s v="PE/EA/00329-6/2025"/>
    <s v="Szalay Gergely"/>
    <s v="Photostim"/>
    <n v="1"/>
    <x v="7"/>
    <m/>
  </r>
  <r>
    <s v="Mouse_202"/>
    <s v="Check-up"/>
    <s v="To define"/>
    <d v="2025-09-05T00:00:00"/>
    <n v="212"/>
    <s v="628-49-250424-11-021"/>
    <s v="211/135"/>
    <s v="Thy1-Cre"/>
    <s v="Female ♀"/>
    <s v="PE/EA/00329-6/2025"/>
    <s v="Abhrajyoti Chakrabarti"/>
    <s v="Photostim"/>
    <n v="1"/>
    <x v="43"/>
    <s v="VK - Varada Karankot"/>
  </r>
  <r>
    <s v="Mouse_203"/>
    <s v="Check-up"/>
    <s v="Behavior"/>
    <d v="2025-09-05T00:00:00"/>
    <n v="136"/>
    <s v="628-49-250709-21-010"/>
    <s v="211/233"/>
    <s v="Thy1-Cre"/>
    <s v="Female ♀"/>
    <s v="PE/EA/00329-6/2025"/>
    <s v="Abhrajyoti Chakrabarti"/>
    <s v="Photostim"/>
    <n v="1"/>
    <x v="47"/>
    <s v="VK - Varada Karankot"/>
  </r>
  <r>
    <s v="Mouse_204"/>
    <s v="Check-up"/>
    <s v="Behavior"/>
    <d v="2025-09-05T00:00:00"/>
    <n v="136"/>
    <s v="628-49-250709-21-011"/>
    <s v="211/233"/>
    <s v="Thy1-Cre"/>
    <s v="Female ♀"/>
    <s v="PE/EA/00329-6/2025"/>
    <s v="Abhrajyoti Chakrabarti"/>
    <s v="Photostim"/>
    <n v="1"/>
    <x v="47"/>
    <s v="VK - Varada Karankot"/>
  </r>
  <r>
    <s v="Mouse_205"/>
    <s v="Check-up"/>
    <s v="Behavior"/>
    <d v="2025-09-05T00:00:00"/>
    <n v="136"/>
    <s v="628-49-250709-21-012"/>
    <s v="211/233"/>
    <s v="Thy1-Cre"/>
    <s v="Female ♀"/>
    <s v="PE/EA/00329-6/2025"/>
    <s v="Abhrajyoti Chakrabarti"/>
    <s v="Photostim"/>
    <n v="1"/>
    <x v="48"/>
    <s v="VK - Varada Karankot"/>
  </r>
  <r>
    <s v="Mouse_206"/>
    <s v="Death"/>
    <s v=""/>
    <d v="2025-09-05T00:00:00"/>
    <n v="232"/>
    <s v="628-49-250404-21-014"/>
    <s v="211/441"/>
    <s v="Thy1-Cre"/>
    <s v="Female ♀"/>
    <s v="PE/EA/00329-6/2025"/>
    <s v="Szalay Gergely"/>
    <s v="Photostim"/>
    <n v="1"/>
    <x v="7"/>
    <m/>
  </r>
  <r>
    <s v="Mouse_207"/>
    <s v="Death"/>
    <s v=""/>
    <d v="2025-09-05T00:00:00"/>
    <n v="232"/>
    <s v="628-49-250404-21-015"/>
    <s v="211/441"/>
    <s v="Thy1-Cre"/>
    <s v="Female ♀"/>
    <s v="PE/EA/00329-6/2025"/>
    <s v="Szalay Gergely"/>
    <s v="Photostim"/>
    <n v="1"/>
    <x v="7"/>
    <m/>
  </r>
  <r>
    <s v="Mouse_208"/>
    <s v="Check-up"/>
    <s v="Behavior"/>
    <d v="2025-09-05T00:00:00"/>
    <n v="144"/>
    <s v="628-49-250701-11-005"/>
    <s v="213/412"/>
    <s v="Thy1-Cre"/>
    <s v="Male ♂"/>
    <s v="PE/EA/00329-6/2025"/>
    <s v="Abhrajyoti Chakrabarti"/>
    <s v="Photostim"/>
    <n v="1"/>
    <x v="48"/>
    <s v="VK - Varada Karankot"/>
  </r>
  <r>
    <s v="Mouse_209"/>
    <s v="Check-up"/>
    <s v="Behavior"/>
    <d v="2025-09-05T00:00:00"/>
    <n v="144"/>
    <s v="628-49-250701-11-006"/>
    <s v="213/412"/>
    <s v="Thy1-Cre"/>
    <s v="Male ♂"/>
    <s v="PE/EA/00329-6/2025"/>
    <s v="Abhrajyoti Chakrabarti"/>
    <s v="Photostim"/>
    <n v="1"/>
    <x v="49"/>
    <s v="VK - Varada Karankot"/>
  </r>
  <r>
    <s v="Mouse_210"/>
    <s v="Check-up"/>
    <s v="Behavior"/>
    <d v="2025-09-05T00:00:00"/>
    <n v="144"/>
    <s v="628-49-250701-11-007"/>
    <s v="213/412"/>
    <s v="Thy1-Cre"/>
    <s v="Male ♂"/>
    <s v="PE/EA/00329-6/2025"/>
    <s v="Abhrajyoti Chakrabarti"/>
    <s v="Photostim"/>
    <n v="1"/>
    <x v="49"/>
    <s v="VK - Varada Karankot"/>
  </r>
  <r>
    <s v="Mouse_211"/>
    <s v="Check-up"/>
    <s v="Behavior"/>
    <d v="2025-09-05T00:00:00"/>
    <n v="144"/>
    <s v="628-49-250701-11-008"/>
    <s v="213/412"/>
    <s v="Thy1-Cre"/>
    <s v="Male ♂"/>
    <s v="PE/EA/00329-6/2025"/>
    <s v="Abhrajyoti Chakrabarti"/>
    <s v="Photostim"/>
    <n v="1"/>
    <x v="50"/>
    <s v="VK - Varada Karankot"/>
  </r>
  <r>
    <s v="Mouse_212"/>
    <s v="Check-up"/>
    <s v="Behavior"/>
    <d v="2025-09-05T00:00:00"/>
    <n v="144"/>
    <s v="628-49-250701-21-009"/>
    <s v="213/284"/>
    <s v="Thy1-Cre"/>
    <s v="Female ♀"/>
    <s v="PE/EA/00329-6/2025"/>
    <s v="Abhrajyoti Chakrabarti"/>
    <s v="Photostim"/>
    <n v="1"/>
    <x v="50"/>
    <s v="VK - Varada Karankot"/>
  </r>
  <r>
    <s v="Mouse_213"/>
    <s v="Check-up"/>
    <s v="Behavior"/>
    <d v="2025-09-05T00:00:00"/>
    <n v="144"/>
    <s v="628-49-250701-21-010"/>
    <s v="213/284"/>
    <s v="Thy1-Cre"/>
    <s v="Female ♀"/>
    <s v="PE/EA/00329-6/2025"/>
    <s v="Abhrajyoti Chakrabarti"/>
    <s v="Photostim"/>
    <n v="1"/>
    <x v="43"/>
    <s v="VK - Varada Karankot"/>
  </r>
  <r>
    <s v="Mouse_214"/>
    <s v=""/>
    <s v="Imaging"/>
    <d v="2025-09-05T00:00:00"/>
    <n v="170"/>
    <s v="681-13-250605-21-005"/>
    <s v="213/311"/>
    <s v="TG_GCaMP6F(82)"/>
    <s v="Female ♀"/>
    <s v="PE/EA/00329-6/2025"/>
    <s v="Bautista-Soldevilla Áron"/>
    <s v="VIP"/>
    <n v="1"/>
    <x v="7"/>
    <m/>
  </r>
  <r>
    <s v="Mouse_215"/>
    <s v=""/>
    <s v="Imaging"/>
    <d v="2025-09-05T00:00:00"/>
    <n v="170"/>
    <s v="681-13-250605-21-006"/>
    <s v="213/311"/>
    <s v="TG_GCaMP6F(82)"/>
    <s v="Female ♀"/>
    <s v="PE/EA/00329-6/2025"/>
    <s v="Bautista-Soldevilla Áron"/>
    <s v="VIP"/>
    <n v="1"/>
    <x v="7"/>
    <m/>
  </r>
  <r>
    <s v="Mouse_216"/>
    <s v=""/>
    <s v="Imaging"/>
    <d v="2025-09-05T00:00:00"/>
    <n v="170"/>
    <s v="681-13-250605-21-007"/>
    <s v="213/311"/>
    <s v="TG_GCaMP6F(82)"/>
    <s v="Female ♀"/>
    <s v="PE/EA/00329-6/2025"/>
    <s v="Bautista-Soldevilla Áron"/>
    <s v="VIP"/>
    <n v="1"/>
    <x v="7"/>
    <m/>
  </r>
  <r>
    <s v="Mouse_217"/>
    <s v=""/>
    <s v="Imaging"/>
    <d v="2025-09-05T00:00:00"/>
    <n v="172"/>
    <s v="681-13-250603-21-010"/>
    <s v="213/376"/>
    <s v="TG_GCaMP6F(82)"/>
    <s v="Female ♀"/>
    <s v="PE/EA/00329-6/2025"/>
    <s v="Bautista-Soldevilla Áron"/>
    <s v="VIP"/>
    <n v="1"/>
    <x v="7"/>
    <m/>
  </r>
  <r>
    <s v="Mouse_218"/>
    <s v=""/>
    <s v="Imaging"/>
    <d v="2025-09-05T00:00:00"/>
    <n v="172"/>
    <s v="681-13-250603-21-011"/>
    <s v="213/376"/>
    <s v="TG_GCaMP6F(82)"/>
    <s v="Female ♀"/>
    <s v="PE/EA/00329-6/2025"/>
    <s v="Bautista-Soldevilla Áron"/>
    <s v="VIP"/>
    <n v="1"/>
    <x v="7"/>
    <m/>
  </r>
  <r>
    <s v="Mouse_219"/>
    <s v=""/>
    <s v="Imaging"/>
    <d v="2025-09-05T00:00:00"/>
    <n v="172"/>
    <s v="681-13-250603-21-012"/>
    <s v="213/376"/>
    <s v="TG_GCaMP6F(82)"/>
    <s v="Female ♀"/>
    <s v="PE/EA/00329-6/2025"/>
    <s v="Bautista-Soldevilla Áron"/>
    <s v="VIP"/>
    <n v="1"/>
    <x v="7"/>
    <m/>
  </r>
  <r>
    <s v="Mouse_220"/>
    <s v=""/>
    <s v="Imaging"/>
    <d v="2025-09-05T00:00:00"/>
    <n v="172"/>
    <s v="681-13-250603-21-013"/>
    <s v="213/376"/>
    <s v="TG_GCaMP6F(82)"/>
    <s v="Female ♀"/>
    <s v="PE/EA/00329-6/2025"/>
    <s v="Bautista-Soldevilla Áron"/>
    <s v="VIP"/>
    <n v="1"/>
    <x v="7"/>
    <m/>
  </r>
  <r>
    <s v="Mouse_221"/>
    <s v=""/>
    <s v="Imaging"/>
    <d v="2025-09-05T00:00:00"/>
    <n v="172"/>
    <s v="681-13-250603-21-014"/>
    <s v="213/376"/>
    <s v="TG_GCaMP6F(82)"/>
    <s v="Female ♀"/>
    <s v="PE/EA/00329-6/2025"/>
    <s v="Bautista-Soldevilla Áron"/>
    <s v="VIP"/>
    <n v="1"/>
    <x v="7"/>
    <m/>
  </r>
  <r>
    <s v="Mouse_222"/>
    <s v="Death"/>
    <s v=""/>
    <d v="2025-09-05T00:00:00"/>
    <n v="222"/>
    <s v="628-49-250414-11-005"/>
    <s v="213/382"/>
    <s v="Thy1-Cre"/>
    <s v="Male ♂"/>
    <s v="PE/EA/00329-6/2025"/>
    <s v="Bautista-Soldevilla Áron"/>
    <s v="VIP"/>
    <n v="1"/>
    <x v="7"/>
    <m/>
  </r>
  <r>
    <s v="Mouse_223"/>
    <s v="Death"/>
    <s v=""/>
    <d v="2025-09-05T00:00:00"/>
    <n v="222"/>
    <s v="628-49-250414-11-006"/>
    <s v="213/382"/>
    <s v="Thy1-Cre"/>
    <s v="Male ♂"/>
    <s v="PE/EA/00329-6/2025"/>
    <s v="Bautista-Soldevilla Áron"/>
    <s v="VIP"/>
    <n v="1"/>
    <x v="7"/>
    <m/>
  </r>
  <r>
    <s v="Mouse_224"/>
    <s v="Check-up"/>
    <s v="To define"/>
    <d v="2025-09-05T00:00:00"/>
    <n v="183"/>
    <s v="190-01-250523-21-106"/>
    <s v="214/573"/>
    <s v="pva/IRES_cre"/>
    <s v="Female ♀"/>
    <s v="PE/EA/00329-6/2025"/>
    <s v="Szadai Zoltán"/>
    <s v="VIP"/>
    <n v="1"/>
    <x v="51"/>
    <s v="PL - Popara Lídia "/>
  </r>
  <r>
    <s v="Mouse_225"/>
    <s v="Check-up"/>
    <s v="To define"/>
    <d v="2025-09-05T00:00:00"/>
    <n v="183"/>
    <s v="190-01-250523-21-107"/>
    <s v="214/573"/>
    <s v="pva/IRES_cre"/>
    <s v="Female ♀"/>
    <s v="PE/EA/00329-6/2025"/>
    <s v="Szadai Zoltán"/>
    <s v="VIP"/>
    <n v="1"/>
    <x v="52"/>
    <s v="PL - Popara Lídia "/>
  </r>
  <r>
    <s v="Mouse_226"/>
    <s v="Check-up"/>
    <s v="To define"/>
    <d v="2025-09-05T00:00:00"/>
    <n v="183"/>
    <s v="190-01-250523-21-108"/>
    <s v="214/573"/>
    <s v="pva/IRES_cre"/>
    <s v="Female ♀"/>
    <s v="PE/EA/00329-6/2025"/>
    <s v="Szadai Zoltán"/>
    <s v="VIP"/>
    <n v="1"/>
    <x v="49"/>
    <s v="PL - Popara Lídia "/>
  </r>
  <r>
    <s v="Mouse_227"/>
    <s v="Check-up"/>
    <s v="To define"/>
    <d v="2025-09-05T00:00:00"/>
    <n v="183"/>
    <s v="190-01-250523-21-109"/>
    <s v="214/573"/>
    <s v="pva/IRES_cre"/>
    <s v="Female ♀"/>
    <s v="PE/EA/00329-6/2025"/>
    <s v="Szadai Zoltán"/>
    <s v="VIP"/>
    <n v="1"/>
    <x v="49"/>
    <s v="PL - Popara Lídia "/>
  </r>
  <r>
    <s v="Mouse_228"/>
    <s v="Check-up"/>
    <s v="To define"/>
    <d v="2025-09-05T00:00:00"/>
    <n v="183"/>
    <s v="190-01-250523-21-110"/>
    <s v="214/573"/>
    <s v="pva/IRES_cre"/>
    <s v="Female ♀"/>
    <s v="PE/EA/00329-6/2025"/>
    <s v="Szadai Zoltán"/>
    <s v="VIP"/>
    <n v="1"/>
    <x v="49"/>
    <s v="PL - Popara Lídia "/>
  </r>
  <r>
    <s v="Mouse_229"/>
    <s v=""/>
    <s v=""/>
    <d v="2025-09-05T00:00:00"/>
    <n v="183"/>
    <s v="190-01-250523-21-111"/>
    <s v="214/573"/>
    <s v="pva/IRES_cre"/>
    <s v="Male ♂"/>
    <s v="PE/EA/00329-6/2025"/>
    <s v="Szadai Zoltán"/>
    <s v="VIP"/>
    <n v="1"/>
    <x v="7"/>
    <m/>
  </r>
  <r>
    <s v="Mouse_230"/>
    <s v="Experiment"/>
    <s v="To define"/>
    <d v="2025-10-03T00:00:00"/>
    <n v="93"/>
    <s v="999-01-250821-11-024"/>
    <s v="208/242"/>
    <s v="C57Bl/6J"/>
    <s v="Male ♂"/>
    <s v="PE/EA/00329-6/2025"/>
    <s v="Szadai Zoltán"/>
    <s v="VIP"/>
    <n v="1"/>
    <x v="53"/>
    <s v="PL - Popara Lídia "/>
  </r>
  <r>
    <s v="Mouse_231"/>
    <s v="Experiment"/>
    <s v="To define"/>
    <d v="2025-10-03T00:00:00"/>
    <n v="93"/>
    <s v="999-01-250821-11-025"/>
    <s v="208/242"/>
    <s v="C57Bl/6J"/>
    <s v="Male ♂"/>
    <s v="PE/EA/00329-6/2025"/>
    <s v="Szadai Zoltán"/>
    <s v="VIP"/>
    <n v="1"/>
    <x v="53"/>
    <s v="PL - Popara Lídia "/>
  </r>
  <r>
    <s v="Mouse_232"/>
    <s v="Experiment"/>
    <s v="To define"/>
    <d v="2025-10-03T00:00:00"/>
    <n v="93"/>
    <s v="999-01-250821-11-026"/>
    <s v="208/242"/>
    <s v="C57Bl/6J"/>
    <s v="Male ♂"/>
    <s v="PE/EA/00329-6/2025"/>
    <s v="Szadai Zoltán"/>
    <s v="VIP"/>
    <n v="1"/>
    <x v="54"/>
    <s v="PL - Popara Lídia "/>
  </r>
  <r>
    <s v="Mouse_233"/>
    <s v="Experiment"/>
    <s v="To define"/>
    <d v="2025-10-03T00:00:00"/>
    <n v="93"/>
    <s v="999-01-250821-11-027"/>
    <s v="208/242"/>
    <s v="C57Bl/6J"/>
    <s v="Male ♂"/>
    <s v="PE/EA/00329-6/2025"/>
    <s v="Szadai Zoltán"/>
    <s v="VIP"/>
    <n v="1"/>
    <x v="54"/>
    <s v="PL - Popara Lídia "/>
  </r>
  <r>
    <s v="Mouse_234"/>
    <s v="Experiment"/>
    <s v="Imaging"/>
    <d v="2025-10-03T00:00:00"/>
    <n v="79"/>
    <s v="628-49-250904-21-005"/>
    <s v="213/316"/>
    <s v="Thy1-Cre"/>
    <s v="Female ♀"/>
    <s v="PE/EA/00329-6/2025"/>
    <s v="Abhrajyoti Chakrabarti"/>
    <s v="Photostim"/>
    <n v="1"/>
    <x v="41"/>
    <s v="VK - Varada Karankot"/>
  </r>
  <r>
    <s v="Mouse_235"/>
    <s v="Experiment"/>
    <s v="Imaging"/>
    <d v="2025-10-03T00:00:00"/>
    <n v="79"/>
    <s v="628-49-250904-21-006"/>
    <s v="213/316"/>
    <s v="Thy1-Cre"/>
    <s v="Female ♀"/>
    <s v="PE/EA/00329-6/2025"/>
    <s v="Abhrajyoti Chakrabarti"/>
    <s v="Photostim"/>
    <n v="1"/>
    <x v="41"/>
    <s v="VK - Varada Karankot"/>
  </r>
  <r>
    <s v="Mouse_236"/>
    <s v="Experiment"/>
    <s v="Imaging"/>
    <d v="2025-10-03T00:00:00"/>
    <n v="79"/>
    <s v="628-49-250904-21-007"/>
    <s v="213/316"/>
    <s v="Thy1-Cre"/>
    <s v="Female ♀"/>
    <s v="PE/EA/00329-6/2025"/>
    <s v="Abhrajyoti Chakrabarti"/>
    <s v="Photostim"/>
    <n v="1"/>
    <x v="45"/>
    <s v="VK - Varada Karankot"/>
  </r>
  <r>
    <s v="Mouse_237"/>
    <s v="Experiment"/>
    <s v="Imaging"/>
    <d v="2025-10-03T00:00:00"/>
    <n v="79"/>
    <s v="628-49-250904-21-008"/>
    <s v="213/316"/>
    <s v="Thy1-Cre"/>
    <s v="Female ♀"/>
    <s v="PE/EA/00329-6/2025"/>
    <s v="Abhrajyoti Chakrabarti"/>
    <s v="Photostim"/>
    <n v="1"/>
    <x v="45"/>
    <s v="VK - Varada Karankot"/>
  </r>
  <r>
    <s v="Mouse_238"/>
    <s v="Experiment"/>
    <s v="To define"/>
    <d v="2025-10-03T00:00:00"/>
    <n v="79"/>
    <s v="628-49-250904-21-009"/>
    <s v="213/316"/>
    <s v="Thy1-Cre"/>
    <s v="Female ♀"/>
    <s v="PE/EA/00329-6/2025"/>
    <s v="Abhrajyoti Chakrabarti"/>
    <s v="Photostim"/>
    <n v="1"/>
    <x v="55"/>
    <s v="VK - Varada Karankot"/>
  </r>
  <r>
    <s v="Mouse_239"/>
    <s v="Experiment"/>
    <s v="To define"/>
    <d v="2025-10-03T00:00:00"/>
    <n v="79"/>
    <s v="628-49-250904-21-010"/>
    <s v="213/316"/>
    <s v="Thy1-Cre"/>
    <s v="Female ♀"/>
    <s v="PE/EA/00329-6/2025"/>
    <s v="Abhrajyoti Chakrabarti"/>
    <s v="Photostim"/>
    <n v="1"/>
    <x v="55"/>
    <s v="VK - Varada Karankot"/>
  </r>
  <r>
    <s v="Mouse_240"/>
    <s v="Death"/>
    <s v=""/>
    <d v="2025-10-03T00:00:00"/>
    <n v="89"/>
    <s v="AFH-26-250825-11-001"/>
    <s v="214/447"/>
    <s v="BAC_Scnn1a/cre(Tg3Aibs)"/>
    <s v="Male ♂"/>
    <s v="PE/EA/00329-6/2025"/>
    <s v="Szadai Zoltán"/>
    <s v="VIP"/>
    <n v="1"/>
    <x v="56"/>
    <s v="PL - Popara Lídia "/>
  </r>
  <r>
    <s v="Mouse_241"/>
    <s v="Check-up"/>
    <s v="To define"/>
    <d v="2025-10-03T00:00:00"/>
    <n v="89"/>
    <s v="AFH-26-250825-11-002"/>
    <s v="214/447"/>
    <s v="BAC_Scnn1a/cre(Tg3Aibs)"/>
    <s v="Male ♂"/>
    <s v="PE/EA/00329-6/2025"/>
    <s v="Szadai Zoltán"/>
    <s v="VIP"/>
    <n v="1"/>
    <x v="56"/>
    <s v="PL - Popara Lídia "/>
  </r>
  <r>
    <s v="Mouse_242"/>
    <s v="Death"/>
    <s v=""/>
    <d v="2025-10-03T00:00:00"/>
    <n v="89"/>
    <s v="AFH-26-250825-11-003"/>
    <s v="214/447"/>
    <s v="BAC_Scnn1a/cre(Tg3Aibs)"/>
    <s v="Male ♂"/>
    <s v="PE/EA/00329-6/2025"/>
    <s v="Szadai Zoltán"/>
    <s v="VIP"/>
    <n v="1"/>
    <x v="56"/>
    <s v="PL - Popara Lídia "/>
  </r>
  <r>
    <s v="Mouse_243"/>
    <s v="Death"/>
    <s v=""/>
    <d v="2025-10-03T00:00:00"/>
    <n v="89"/>
    <s v="AFH-26-250825-11-004"/>
    <s v="214/447"/>
    <s v="BAC_Scnn1a/cre(Tg3Aibs)"/>
    <s v="Male ♂"/>
    <s v="PE/EA/00329-6/2025"/>
    <s v="Szadai Zoltán"/>
    <s v="VIP"/>
    <n v="1"/>
    <x v="56"/>
    <s v="PL - Popara Lídia "/>
  </r>
  <r>
    <s v="Mouse_244"/>
    <s v="Check-up"/>
    <s v="To define"/>
    <d v="2025-10-03T00:00:00"/>
    <n v="122"/>
    <s v="AFH-26-250723-21-006"/>
    <s v="110/555"/>
    <s v="BAC_Scnn1a/cre(Tg3Aibs)"/>
    <s v="Female ♀"/>
    <s v="PE/EA/00329-6/2025"/>
    <s v="Szadai Zoltán"/>
    <s v="VIP"/>
    <n v="1"/>
    <x v="57"/>
    <s v="PL - Popara Lídia "/>
  </r>
  <r>
    <s v="Mouse_245"/>
    <s v="Check-up"/>
    <s v="To define"/>
    <d v="2025-10-03T00:00:00"/>
    <n v="122"/>
    <s v="AFH-26-250723-21-007"/>
    <s v="110/555"/>
    <s v="BAC_Scnn1a/cre(Tg3Aibs)"/>
    <s v="Female ♀"/>
    <s v="PE/EA/00329-6/2025"/>
    <s v="Szadai Zoltán"/>
    <s v="VIP"/>
    <n v="1"/>
    <x v="57"/>
    <s v="PL - Popara Lídia "/>
  </r>
  <r>
    <s v="Mouse_246"/>
    <s v="Check-up"/>
    <s v="To define"/>
    <d v="2025-10-03T00:00:00"/>
    <n v="122"/>
    <s v="AFH-26-250723-21-008"/>
    <s v="110/555"/>
    <s v="BAC_Scnn1a/cre(Tg3Aibs)"/>
    <s v="Female ♀"/>
    <s v="PE/EA/00329-6/2025"/>
    <s v="Szadai Zoltán"/>
    <s v="VIP"/>
    <n v="1"/>
    <x v="57"/>
    <s v="PL - Popara Lídia "/>
  </r>
  <r>
    <s v="Mouse_247"/>
    <s v="Injected"/>
    <m/>
    <d v="2025-10-03T00:00:00"/>
    <n v="93"/>
    <s v="999-01-250821-21-028"/>
    <s v="208/132"/>
    <s v="C57Bl/6J"/>
    <s v="Female ♀"/>
    <s v="PE/EA/00329-6/2025"/>
    <s v="Kocsis Bálint"/>
    <s v="Epilepsy"/>
    <n v="1"/>
    <x v="58"/>
    <s v="KB - Kocsis Bálint"/>
  </r>
  <r>
    <s v="Mouse_248"/>
    <s v="Injected"/>
    <s v=""/>
    <d v="2025-10-03T00:00:00"/>
    <n v="93"/>
    <s v="999-01-250821-21-029"/>
    <s v="208/132"/>
    <s v="C57Bl/6J"/>
    <s v="Female ♀"/>
    <s v="PE/EA/00329-6/2025"/>
    <s v="Kocsis Bálint"/>
    <s v="Epilepsy"/>
    <n v="1"/>
    <x v="58"/>
    <s v="KB - Kocsis Bálint"/>
  </r>
  <r>
    <s v="Mouse_249"/>
    <s v="Injected"/>
    <s v=""/>
    <d v="2025-10-03T00:00:00"/>
    <n v="93"/>
    <s v="999-01-250821-21-030"/>
    <s v="208/132"/>
    <s v="C57Bl/6J"/>
    <s v="Female ♀"/>
    <s v="PE/EA/00329-6/2025"/>
    <s v="Kocsis Bálint"/>
    <s v="Epilepsy"/>
    <n v="1"/>
    <x v="58"/>
    <s v="KB - Kocsis Bálint"/>
  </r>
  <r>
    <s v="Mouse_250"/>
    <s v="Injected"/>
    <s v=""/>
    <d v="2025-10-03T00:00:00"/>
    <n v="90"/>
    <s v="999-01-250824-11-043"/>
    <s v="208/185"/>
    <s v="C57Bl/6J"/>
    <s v="Male ♂"/>
    <s v="PE/EA/00329-6/2025"/>
    <s v="Kocsis Bálint"/>
    <s v="Epilepsy"/>
    <n v="1"/>
    <x v="59"/>
    <s v="KB - Kocsis Bálint"/>
  </r>
  <r>
    <s v="Mouse_251"/>
    <s v="Injected"/>
    <s v=""/>
    <d v="2025-10-03T00:00:00"/>
    <n v="90"/>
    <s v="999-01-250824-11-044"/>
    <s v="208/185"/>
    <s v="C57Bl/6J"/>
    <s v="Male ♂"/>
    <s v="PE/EA/00329-6/2025"/>
    <s v="Kocsis Bálint"/>
    <s v="Epilepsy"/>
    <n v="1"/>
    <x v="59"/>
    <s v="KB - Kocsis Bálint"/>
  </r>
  <r>
    <s v="Mouse_252"/>
    <s v="Death"/>
    <s v=""/>
    <d v="2025-10-03T00:00:00"/>
    <n v="90"/>
    <s v="999-01-250824-11-045"/>
    <s v="208/185"/>
    <s v="C57Bl/6J"/>
    <s v="Male ♂"/>
    <s v="PE/EA/00329-6/2025"/>
    <s v="Kocsis Bálint"/>
    <s v="Epilepsy"/>
    <n v="1"/>
    <x v="60"/>
    <s v="KB - Kocsis Bálint"/>
  </r>
  <r>
    <s v="Mouse_253"/>
    <s v="Injected"/>
    <s v=""/>
    <d v="2025-10-03T00:00:00"/>
    <n v="90"/>
    <s v="999-01-250824-11-046"/>
    <s v="208/185"/>
    <s v="C57Bl/6J"/>
    <s v="Male ♂"/>
    <s v="PE/EA/00329-6/2025"/>
    <s v="Kocsis Bálint"/>
    <s v="Epilepsy"/>
    <n v="1"/>
    <x v="60"/>
    <s v="KB - Kocsis Bálint"/>
  </r>
  <r>
    <s v="Mouse_254"/>
    <s v=""/>
    <s v=""/>
    <d v="2025-11-03T00:00:00"/>
    <n v="87"/>
    <s v="999-01-250827-21-047"/>
    <s v="208/136"/>
    <s v="C57Bl/6J"/>
    <s v="Female ♀"/>
    <s v="PE/EA/00329-6/2025"/>
    <s v="Jász Anna"/>
    <s v="VSD"/>
    <n v="1"/>
    <x v="7"/>
    <m/>
  </r>
  <r>
    <s v="Mouse_255"/>
    <s v=""/>
    <s v=""/>
    <d v="2025-11-03T00:00:00"/>
    <n v="87"/>
    <s v="999-01-250827-21-048"/>
    <s v="208/136"/>
    <s v="C57Bl/6J"/>
    <s v="Female ♀"/>
    <s v="PE/EA/00329-6/2025"/>
    <s v="Jász Anna"/>
    <s v="VSD"/>
    <n v="1"/>
    <x v="7"/>
    <m/>
  </r>
  <r>
    <s v="Mouse_256"/>
    <s v=""/>
    <s v=""/>
    <d v="2025-11-03T00:00:00"/>
    <n v="87"/>
    <s v="999-01-250827-21-049"/>
    <s v="208/136"/>
    <s v="C57Bl/6J"/>
    <s v="Female ♀"/>
    <s v="PE/EA/00329-6/2025"/>
    <s v="Jász Anna"/>
    <s v="VSD"/>
    <n v="1"/>
    <x v="7"/>
    <m/>
  </r>
  <r>
    <s v="Mouse_257"/>
    <s v=""/>
    <s v=""/>
    <d v="2025-11-03T00:00:00"/>
    <n v="53"/>
    <s v="628-49-250930-21-016"/>
    <s v="211/113"/>
    <s v="Thy1-Cre"/>
    <s v="Female ♀"/>
    <s v="PE/EA/00329-6/2025"/>
    <s v="Kocsis Bálint"/>
    <s v="Photostim"/>
    <n v="1"/>
    <x v="7"/>
    <s v="VK - Varada Karankot"/>
  </r>
  <r>
    <s v="Mouse_258"/>
    <s v=""/>
    <s v=""/>
    <d v="2025-11-03T00:00:00"/>
    <n v="53"/>
    <s v="628-49-250930-21-017"/>
    <s v="211/113"/>
    <s v="Thy1-Cre"/>
    <s v="Female ♀"/>
    <s v="PE/EA/00329-6/2025"/>
    <s v="Abhrajyoti Chakrabarti"/>
    <s v="Photostim"/>
    <n v="1"/>
    <x v="7"/>
    <s v="VK - Varada Karankot"/>
  </r>
  <r>
    <s v="Mouse_259"/>
    <s v=""/>
    <s v=""/>
    <d v="2025-11-03T00:00:00"/>
    <n v="53"/>
    <s v="628-49-250930-21-018"/>
    <s v="211/113"/>
    <s v="Thy1-Cre"/>
    <s v="Female ♀"/>
    <s v="PE/EA/00329-6/2025"/>
    <s v="Abhrajyoti Chakrabarti"/>
    <s v="Photostim"/>
    <n v="1"/>
    <x v="7"/>
    <s v="VK - Varada Karankot"/>
  </r>
  <r>
    <s v="Mouse_260"/>
    <s v=""/>
    <s v=""/>
    <d v="2025-11-03T00:00:00"/>
    <n v="53"/>
    <s v="628-49-250930-21-005"/>
    <s v="211/155"/>
    <s v="Thy1-Cre"/>
    <s v="Female ♀"/>
    <s v="PE/EA/00329-6/2025"/>
    <s v="Abhrajyoti Chakrabarti"/>
    <s v="Photostim"/>
    <n v="1"/>
    <x v="7"/>
    <s v="VK - Varada Karankot"/>
  </r>
  <r>
    <s v="Mouse_261"/>
    <s v=""/>
    <s v=""/>
    <d v="2025-11-03T00:00:00"/>
    <n v="53"/>
    <s v="628-49-250930-21-006"/>
    <s v="211/155"/>
    <s v="Thy1-Cre"/>
    <s v="Female ♀"/>
    <s v="PE/EA/00329-6/2025"/>
    <s v="Abhrajyoti Chakrabarti"/>
    <s v="Photostim"/>
    <n v="1"/>
    <x v="7"/>
    <s v="VK - Varada Karankot"/>
  </r>
  <r>
    <s v="Mouse_262"/>
    <s v=""/>
    <s v=""/>
    <d v="2025-11-03T00:00:00"/>
    <n v="53"/>
    <s v="628-49-250930-21-007"/>
    <s v="211/155"/>
    <s v="Thy1-Cre"/>
    <s v="Female ♀"/>
    <s v="PE/EA/00329-6/2025"/>
    <s v="Lányi Réka"/>
    <s v="Freely moving"/>
    <n v="1"/>
    <x v="7"/>
    <m/>
  </r>
  <r>
    <s v="Mouse_263"/>
    <s v=""/>
    <s v=""/>
    <d v="2025-11-03T00:00:00"/>
    <n v="53"/>
    <s v="628-49-250930-21-008"/>
    <s v="211/155"/>
    <s v="Thy1-Cre"/>
    <s v="Female ♀"/>
    <s v="PE/EA/00329-6/2025"/>
    <s v="Lányi Réka"/>
    <s v="Freely moving"/>
    <n v="1"/>
    <x v="7"/>
    <m/>
  </r>
  <r>
    <s v="Mouse_264"/>
    <s v=""/>
    <s v=""/>
    <d v="2025-11-03T00:00:00"/>
    <n v="53"/>
    <s v="628-49-250930-21-009"/>
    <s v="211/155"/>
    <s v="Thy1-Cre"/>
    <s v="Female ♀"/>
    <s v="PE/EA/00329-6/2025"/>
    <s v="Lányi Réka"/>
    <s v="Freely moving"/>
    <n v="1"/>
    <x v="7"/>
    <m/>
  </r>
  <r>
    <s v="Mouse_265"/>
    <s v=""/>
    <s v=""/>
    <d v="2025-11-03T00:00:00"/>
    <n v="53"/>
    <s v="628-49-250930-21-015"/>
    <s v="211/155"/>
    <s v="Thy1-Cre"/>
    <s v="Female ♀"/>
    <s v="PE/EA/00329-6/2025"/>
    <s v="Lányi Réka"/>
    <s v="Freely moving"/>
    <n v="1"/>
    <x v="7"/>
    <m/>
  </r>
  <r>
    <s v="Mouse_266"/>
    <s v=""/>
    <s v=""/>
    <d v="2025-11-03T00:00:00"/>
    <n v="397"/>
    <s v="AIW-16-241021-21-026"/>
    <s v="213/136"/>
    <s v="VIP/IRES_CRE//BAC_CRE"/>
    <s v="Female ♀"/>
    <s v="PE/EA/00329-6/2025"/>
    <s v="Szadai Zoltán"/>
    <s v="VIP"/>
    <n v="1"/>
    <x v="7"/>
    <m/>
  </r>
  <r>
    <s v="Mouse_267"/>
    <s v=""/>
    <s v=""/>
    <d v="2025-11-03T00:00:00"/>
    <n v="397"/>
    <s v="AIW-16-241021-21-029"/>
    <s v="213/136"/>
    <s v="VIP/IRES_CRE//BAC_CRE"/>
    <s v="Female ♀"/>
    <s v="PE/EA/00329-6/2025"/>
    <s v="Szadai Zoltán"/>
    <s v="VIP"/>
    <n v="1"/>
    <x v="7"/>
    <m/>
  </r>
  <r>
    <s v="Mouse_268"/>
    <s v=""/>
    <s v=""/>
    <d v="2025-11-03T00:00:00"/>
    <n v="417"/>
    <s v="AIW-16-241001-21-006"/>
    <s v="213/265"/>
    <s v="VIP/IRES_CRE//BAC_CRE"/>
    <s v="Female ♀"/>
    <s v="PE/EA/00329-6/2025"/>
    <s v="Szadai Zoltán"/>
    <s v="VIP"/>
    <n v="1"/>
    <x v="7"/>
    <m/>
  </r>
  <r>
    <s v="Mouse_269"/>
    <s v=""/>
    <s v=""/>
    <d v="2025-11-03T00:00:00"/>
    <n v="417"/>
    <s v="AIW-16-241001-21-007"/>
    <s v="213/265"/>
    <s v="VIP/IRES_CRE//BAC_CRE"/>
    <s v="Female ♀"/>
    <s v="PE/EA/00329-6/2025"/>
    <s v="Szadai Zoltán"/>
    <s v="VIP"/>
    <n v="1"/>
    <x v="7"/>
    <m/>
  </r>
  <r>
    <s v="Mouse_270"/>
    <s v=""/>
    <s v=""/>
    <d v="2025-11-03T00:00:00"/>
    <n v="417"/>
    <s v="AIW-16-241001-21-011"/>
    <s v="213/265"/>
    <s v="VIP/IRES_CRE//BAC_CRE"/>
    <s v="Female ♀"/>
    <s v="PE/EA/00329-6/2025"/>
    <s v="Szadai Zoltán"/>
    <s v="VIP"/>
    <n v="1"/>
    <x v="7"/>
    <m/>
  </r>
  <r>
    <s v="Mouse_271"/>
    <s v=""/>
    <s v=""/>
    <d v="2025-11-20T00:00:00"/>
    <n v="108"/>
    <s v="A9F-01-250806-21-033"/>
    <s v="206/482"/>
    <s v="TG_GCaMP6s_DA"/>
    <s v="Female ♀"/>
    <s v="PE/EA/00329-6/2025"/>
    <s v="Tarján Balázs"/>
    <s v="Freely moving"/>
    <m/>
    <x v="7"/>
    <m/>
  </r>
  <r>
    <s v="Mouse_272"/>
    <s v=""/>
    <s v=""/>
    <d v="2025-11-20T00:00:00"/>
    <n v="108"/>
    <s v="A9F-01-250806-21-034"/>
    <s v="206/482"/>
    <s v="TG_GCaMP6s_DA"/>
    <s v="Female ♀"/>
    <s v="PE/EA/00329-6/2025"/>
    <s v="Tarján Balázs"/>
    <s v="Freely moving"/>
    <m/>
    <x v="7"/>
    <m/>
  </r>
  <r>
    <s v="Mouse_273"/>
    <s v=""/>
    <s v=""/>
    <d v="2025-11-20T00:00:00"/>
    <n v="108"/>
    <s v="A9F-01-250806-21-035"/>
    <s v="206/482"/>
    <s v="TG_GCaMP6s_DA"/>
    <s v="Female ♀"/>
    <s v="PE/EA/00329-6/2025"/>
    <s v="Tarján Balázs"/>
    <s v="Freely moving"/>
    <n v="1"/>
    <x v="7"/>
    <m/>
  </r>
  <r>
    <s v="Mouse_274"/>
    <s v=""/>
    <s v=""/>
    <d v="2025-11-20T00:00:00"/>
    <n v="108"/>
    <s v="A9F-01-250806-21-036"/>
    <s v="206/482"/>
    <s v="TG_GCaMP6s_DA"/>
    <s v="Female ♀"/>
    <s v="PE/EA/00329-6/2025"/>
    <s v="Tarján Balázs"/>
    <s v="Freely moving"/>
    <n v="1"/>
    <x v="7"/>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49">
  <r>
    <x v="0"/>
    <n v="2"/>
  </r>
  <r>
    <x v="0"/>
    <n v="1"/>
  </r>
  <r>
    <x v="0"/>
    <n v="2"/>
  </r>
  <r>
    <x v="0"/>
    <n v="1"/>
  </r>
  <r>
    <x v="1"/>
    <n v="2"/>
  </r>
  <r>
    <x v="1"/>
    <n v="2"/>
  </r>
  <r>
    <x v="1"/>
    <n v="10"/>
  </r>
  <r>
    <x v="1"/>
    <n v="6"/>
  </r>
  <r>
    <x v="1"/>
    <n v="4"/>
  </r>
  <r>
    <x v="1"/>
    <n v="3"/>
  </r>
  <r>
    <x v="1"/>
    <n v="5"/>
  </r>
  <r>
    <x v="2"/>
    <n v="5"/>
  </r>
  <r>
    <x v="2"/>
    <n v="7"/>
  </r>
  <r>
    <x v="2"/>
    <n v="2"/>
  </r>
  <r>
    <x v="2"/>
    <n v="3"/>
  </r>
  <r>
    <x v="2"/>
    <n v="6"/>
  </r>
  <r>
    <x v="2"/>
    <n v="7"/>
  </r>
  <r>
    <x v="3"/>
    <n v="4"/>
  </r>
  <r>
    <x v="3"/>
    <n v="6"/>
  </r>
  <r>
    <x v="3"/>
    <n v="3"/>
  </r>
  <r>
    <x v="3"/>
    <n v="6"/>
  </r>
  <r>
    <x v="3"/>
    <n v="7"/>
  </r>
  <r>
    <x v="3"/>
    <n v="7"/>
  </r>
  <r>
    <x v="4"/>
    <n v="3"/>
  </r>
  <r>
    <x v="4"/>
    <n v="3"/>
  </r>
  <r>
    <x v="4"/>
    <n v="3"/>
  </r>
  <r>
    <x v="4"/>
    <n v="8"/>
  </r>
  <r>
    <x v="4"/>
    <n v="7"/>
  </r>
  <r>
    <x v="4"/>
    <n v="3"/>
  </r>
  <r>
    <x v="4"/>
    <n v="5"/>
  </r>
  <r>
    <x v="5"/>
    <n v="3"/>
  </r>
  <r>
    <x v="5"/>
    <n v="3"/>
  </r>
  <r>
    <x v="5"/>
    <n v="4"/>
  </r>
  <r>
    <x v="6"/>
    <n v="2"/>
  </r>
  <r>
    <x v="6"/>
    <n v="1"/>
  </r>
  <r>
    <x v="6"/>
    <n v="1"/>
  </r>
  <r>
    <x v="6"/>
    <n v="4"/>
  </r>
  <r>
    <x v="6"/>
    <n v="8"/>
  </r>
  <r>
    <x v="6"/>
    <n v="2"/>
  </r>
  <r>
    <x v="6"/>
    <n v="3"/>
  </r>
  <r>
    <x v="6"/>
    <n v="3"/>
  </r>
  <r>
    <x v="6"/>
    <n v="4"/>
  </r>
  <r>
    <x v="6"/>
    <n v="3"/>
  </r>
  <r>
    <x v="6"/>
    <n v="3"/>
  </r>
  <r>
    <x v="7"/>
    <n v="3"/>
  </r>
  <r>
    <x v="7"/>
    <n v="4"/>
  </r>
  <r>
    <x v="7"/>
    <n v="2"/>
  </r>
  <r>
    <x v="7"/>
    <n v="3"/>
  </r>
  <r>
    <x v="7"/>
    <n v="3"/>
  </r>
  <r>
    <x v="8"/>
    <n v="9"/>
  </r>
  <r>
    <x v="8"/>
    <n v="4"/>
  </r>
  <r>
    <x v="8"/>
    <n v="4"/>
  </r>
  <r>
    <x v="9"/>
    <n v="4"/>
  </r>
  <r>
    <x v="9"/>
    <n v="3"/>
  </r>
  <r>
    <x v="9"/>
    <n v="5"/>
  </r>
  <r>
    <x v="9"/>
    <n v="1"/>
  </r>
  <r>
    <x v="9"/>
    <n v="4"/>
  </r>
  <r>
    <x v="10"/>
    <n v="4"/>
  </r>
  <r>
    <x v="10"/>
    <n v="2"/>
  </r>
  <r>
    <x v="10"/>
    <n v="2"/>
  </r>
  <r>
    <x v="10"/>
    <n v="3"/>
  </r>
  <r>
    <x v="10"/>
    <n v="2"/>
  </r>
  <r>
    <x v="10"/>
    <n v="3"/>
  </r>
  <r>
    <x v="10"/>
    <n v="2"/>
  </r>
  <r>
    <x v="11"/>
    <n v="4"/>
  </r>
  <r>
    <x v="11"/>
    <n v="5"/>
  </r>
  <r>
    <x v="11"/>
    <n v="4"/>
  </r>
  <r>
    <x v="11"/>
    <n v="4"/>
  </r>
  <r>
    <x v="11"/>
    <n v="3"/>
  </r>
  <r>
    <x v="12"/>
    <n v="3"/>
  </r>
  <r>
    <x v="12"/>
    <n v="3"/>
  </r>
  <r>
    <x v="12"/>
    <n v="10"/>
  </r>
  <r>
    <x v="12"/>
    <n v="3"/>
  </r>
  <r>
    <x v="12"/>
    <n v="2"/>
  </r>
  <r>
    <x v="12"/>
    <n v="3"/>
  </r>
  <r>
    <x v="13"/>
    <n v="4"/>
  </r>
  <r>
    <x v="13"/>
    <n v="4"/>
  </r>
  <r>
    <x v="13"/>
    <n v="4"/>
  </r>
  <r>
    <x v="13"/>
    <n v="5"/>
  </r>
  <r>
    <x v="13"/>
    <n v="3"/>
  </r>
  <r>
    <x v="13"/>
    <n v="3"/>
  </r>
  <r>
    <x v="14"/>
    <n v="3"/>
  </r>
  <r>
    <x v="14"/>
    <n v="5"/>
  </r>
  <r>
    <x v="14"/>
    <n v="2"/>
  </r>
  <r>
    <x v="14"/>
    <n v="3"/>
  </r>
  <r>
    <x v="14"/>
    <n v="2"/>
  </r>
  <r>
    <x v="15"/>
    <n v="5"/>
  </r>
  <r>
    <x v="15"/>
    <n v="2"/>
  </r>
  <r>
    <x v="15"/>
    <n v="2"/>
  </r>
  <r>
    <x v="15"/>
    <n v="3"/>
  </r>
  <r>
    <x v="15"/>
    <n v="6"/>
  </r>
  <r>
    <x v="15"/>
    <n v="7"/>
  </r>
  <r>
    <x v="16"/>
    <n v="4"/>
  </r>
  <r>
    <x v="16"/>
    <n v="4"/>
  </r>
  <r>
    <x v="16"/>
    <n v="6"/>
  </r>
  <r>
    <x v="16"/>
    <n v="4"/>
  </r>
  <r>
    <x v="17"/>
    <n v="3"/>
  </r>
  <r>
    <x v="17"/>
    <n v="2"/>
  </r>
  <r>
    <x v="17"/>
    <n v="1"/>
  </r>
  <r>
    <x v="17"/>
    <n v="4"/>
  </r>
  <r>
    <x v="17"/>
    <n v="2"/>
  </r>
  <r>
    <x v="17"/>
    <n v="2"/>
  </r>
  <r>
    <x v="18"/>
    <n v="3"/>
  </r>
  <r>
    <x v="18"/>
    <n v="5"/>
  </r>
  <r>
    <x v="18"/>
    <n v="3"/>
  </r>
  <r>
    <x v="18"/>
    <n v="2"/>
  </r>
  <r>
    <x v="19"/>
    <n v="2"/>
  </r>
  <r>
    <x v="19"/>
    <n v="4"/>
  </r>
  <r>
    <x v="20"/>
    <n v="3"/>
  </r>
  <r>
    <x v="20"/>
    <n v="3"/>
  </r>
  <r>
    <x v="20"/>
    <n v="3"/>
  </r>
  <r>
    <x v="20"/>
    <n v="3"/>
  </r>
  <r>
    <x v="20"/>
    <n v="4"/>
  </r>
  <r>
    <x v="20"/>
    <n v="3"/>
  </r>
  <r>
    <x v="20"/>
    <n v="3"/>
  </r>
  <r>
    <x v="20"/>
    <n v="3"/>
  </r>
  <r>
    <x v="20"/>
    <n v="3"/>
  </r>
  <r>
    <x v="21"/>
    <n v="3"/>
  </r>
  <r>
    <x v="21"/>
    <n v="3"/>
  </r>
  <r>
    <x v="21"/>
    <n v="4"/>
  </r>
  <r>
    <x v="21"/>
    <n v="3"/>
  </r>
  <r>
    <x v="21"/>
    <n v="3"/>
  </r>
  <r>
    <x v="21"/>
    <n v="1"/>
  </r>
  <r>
    <x v="21"/>
    <n v="1"/>
  </r>
  <r>
    <x v="21"/>
    <n v="4"/>
  </r>
  <r>
    <x v="21"/>
    <n v="1"/>
  </r>
  <r>
    <x v="22"/>
    <n v="3"/>
  </r>
  <r>
    <x v="22"/>
    <n v="4"/>
  </r>
  <r>
    <x v="22"/>
    <n v="4"/>
  </r>
  <r>
    <x v="23"/>
    <n v="1"/>
  </r>
  <r>
    <x v="23"/>
    <n v="2"/>
  </r>
  <r>
    <x v="23"/>
    <n v="8"/>
  </r>
  <r>
    <x v="23"/>
    <n v="4"/>
  </r>
  <r>
    <x v="23"/>
    <n v="3"/>
  </r>
  <r>
    <x v="23"/>
    <n v="3"/>
  </r>
  <r>
    <x v="23"/>
    <n v="6"/>
  </r>
  <r>
    <x v="24"/>
    <n v="1"/>
  </r>
  <r>
    <x v="24"/>
    <n v="2"/>
  </r>
  <r>
    <x v="24"/>
    <n v="2"/>
  </r>
  <r>
    <x v="24"/>
    <n v="3"/>
  </r>
  <r>
    <x v="25"/>
    <n v="4"/>
  </r>
  <r>
    <x v="25"/>
    <n v="1"/>
  </r>
  <r>
    <x v="25"/>
    <n v="1"/>
  </r>
  <r>
    <x v="25"/>
    <n v="1"/>
  </r>
  <r>
    <x v="26"/>
    <n v="2"/>
  </r>
  <r>
    <x v="27"/>
    <n v="5"/>
  </r>
  <r>
    <x v="27"/>
    <n v="2"/>
  </r>
  <r>
    <x v="27"/>
    <n v="1"/>
  </r>
  <r>
    <x v="27"/>
    <n v="2"/>
  </r>
  <r>
    <x v="27"/>
    <n v="1"/>
  </r>
  <r>
    <x v="27"/>
    <n v="4"/>
  </r>
  <r>
    <x v="28"/>
    <n v="1"/>
  </r>
  <r>
    <x v="28"/>
    <n v="1"/>
  </r>
  <r>
    <x v="28"/>
    <n v="1"/>
  </r>
  <r>
    <x v="28"/>
    <n v="1"/>
  </r>
  <r>
    <x v="28"/>
    <n v="4"/>
  </r>
  <r>
    <x v="28"/>
    <n v="4"/>
  </r>
  <r>
    <x v="28"/>
    <n v="4"/>
  </r>
  <r>
    <x v="28"/>
    <n v="1"/>
  </r>
  <r>
    <x v="28"/>
    <n v="1"/>
  </r>
  <r>
    <x v="29"/>
    <n v="6"/>
  </r>
  <r>
    <x v="29"/>
    <n v="4"/>
  </r>
  <r>
    <x v="29"/>
    <n v="1"/>
  </r>
  <r>
    <x v="30"/>
    <n v="1"/>
  </r>
  <r>
    <x v="30"/>
    <n v="1"/>
  </r>
  <r>
    <x v="30"/>
    <n v="4"/>
  </r>
  <r>
    <x v="30"/>
    <n v="2"/>
  </r>
  <r>
    <x v="30"/>
    <n v="2"/>
  </r>
  <r>
    <x v="31"/>
    <n v="3"/>
  </r>
  <r>
    <x v="31"/>
    <n v="4"/>
  </r>
  <r>
    <x v="31"/>
    <n v="4"/>
  </r>
  <r>
    <x v="31"/>
    <n v="3"/>
  </r>
  <r>
    <x v="31"/>
    <n v="3"/>
  </r>
  <r>
    <x v="32"/>
    <n v="6"/>
  </r>
  <r>
    <x v="32"/>
    <n v="5"/>
  </r>
  <r>
    <x v="32"/>
    <n v="4"/>
  </r>
  <r>
    <x v="32"/>
    <n v="5"/>
  </r>
  <r>
    <x v="32"/>
    <n v="5"/>
  </r>
  <r>
    <x v="32"/>
    <n v="2"/>
  </r>
  <r>
    <x v="32"/>
    <n v="3"/>
  </r>
  <r>
    <x v="33"/>
    <n v="5"/>
  </r>
  <r>
    <x v="33"/>
    <n v="4"/>
  </r>
  <r>
    <x v="33"/>
    <n v="1"/>
  </r>
  <r>
    <x v="33"/>
    <n v="3"/>
  </r>
  <r>
    <x v="33"/>
    <n v="3"/>
  </r>
  <r>
    <x v="33"/>
    <n v="3"/>
  </r>
  <r>
    <x v="33"/>
    <n v="3"/>
  </r>
  <r>
    <x v="33"/>
    <n v="2"/>
  </r>
  <r>
    <x v="34"/>
    <n v="5"/>
  </r>
  <r>
    <x v="34"/>
    <n v="2"/>
  </r>
  <r>
    <x v="34"/>
    <n v="3"/>
  </r>
  <r>
    <x v="34"/>
    <n v="2"/>
  </r>
  <r>
    <x v="34"/>
    <n v="4"/>
  </r>
  <r>
    <x v="35"/>
    <n v="3"/>
  </r>
  <r>
    <x v="35"/>
    <n v="2"/>
  </r>
  <r>
    <x v="35"/>
    <n v="3"/>
  </r>
  <r>
    <x v="36"/>
    <n v="5"/>
  </r>
  <r>
    <x v="36"/>
    <n v="2"/>
  </r>
  <r>
    <x v="36"/>
    <n v="4"/>
  </r>
  <r>
    <x v="36"/>
    <n v="3"/>
  </r>
  <r>
    <x v="36"/>
    <n v="2"/>
  </r>
  <r>
    <x v="37"/>
    <n v="4"/>
  </r>
  <r>
    <x v="37"/>
    <n v="1"/>
  </r>
  <r>
    <x v="37"/>
    <n v="2"/>
  </r>
  <r>
    <x v="37"/>
    <n v="3"/>
  </r>
  <r>
    <x v="37"/>
    <n v="5"/>
  </r>
  <r>
    <x v="38"/>
    <n v="2"/>
  </r>
  <r>
    <x v="38"/>
    <n v="6"/>
  </r>
  <r>
    <x v="38"/>
    <n v="3"/>
  </r>
  <r>
    <x v="39"/>
    <n v="2"/>
  </r>
  <r>
    <x v="39"/>
    <n v="4"/>
  </r>
  <r>
    <x v="39"/>
    <n v="4"/>
  </r>
  <r>
    <x v="39"/>
    <n v="3"/>
  </r>
  <r>
    <x v="39"/>
    <n v="2"/>
  </r>
  <r>
    <x v="39"/>
    <n v="3"/>
  </r>
  <r>
    <x v="40"/>
    <n v="5"/>
  </r>
  <r>
    <x v="40"/>
    <n v="3"/>
  </r>
  <r>
    <x v="40"/>
    <n v="5"/>
  </r>
  <r>
    <x v="41"/>
    <n v="4"/>
  </r>
  <r>
    <x v="42"/>
    <n v="4"/>
  </r>
  <r>
    <x v="42"/>
    <n v="4"/>
  </r>
  <r>
    <x v="42"/>
    <n v="4"/>
  </r>
  <r>
    <x v="42"/>
    <n v="2"/>
  </r>
  <r>
    <x v="43"/>
    <n v="4"/>
  </r>
  <r>
    <x v="43"/>
    <n v="4"/>
  </r>
  <r>
    <x v="44"/>
    <n v="5"/>
  </r>
  <r>
    <x v="44"/>
    <n v="4"/>
  </r>
  <r>
    <x v="44"/>
    <n v="4"/>
  </r>
  <r>
    <x v="44"/>
    <n v="3"/>
  </r>
  <r>
    <x v="45"/>
    <n v="4"/>
  </r>
  <r>
    <x v="45"/>
    <n v="2"/>
  </r>
  <r>
    <x v="45"/>
    <n v="2"/>
  </r>
  <r>
    <x v="45"/>
    <n v="4"/>
  </r>
  <r>
    <x v="45"/>
    <n v="5"/>
  </r>
  <r>
    <x v="45"/>
    <n v="6"/>
  </r>
  <r>
    <x v="45"/>
    <n v="2"/>
  </r>
  <r>
    <x v="46"/>
    <n v="2"/>
  </r>
  <r>
    <x v="46"/>
    <n v="4"/>
  </r>
  <r>
    <x v="46"/>
    <n v="4"/>
  </r>
  <r>
    <x v="46"/>
    <n v="3"/>
  </r>
  <r>
    <x v="46"/>
    <n v="3"/>
  </r>
  <r>
    <x v="46"/>
    <n v="2"/>
  </r>
  <r>
    <x v="47"/>
    <n v="7"/>
  </r>
  <r>
    <x v="47"/>
    <n v="4"/>
  </r>
  <r>
    <x v="47"/>
    <n v="4"/>
  </r>
  <r>
    <x v="48"/>
    <n v="3"/>
  </r>
  <r>
    <x v="49"/>
    <n v="5"/>
  </r>
  <r>
    <x v="49"/>
    <n v="5"/>
  </r>
  <r>
    <x v="50"/>
    <n v="2"/>
  </r>
  <r>
    <x v="50"/>
    <n v="2"/>
  </r>
  <r>
    <x v="50"/>
    <n v="4"/>
  </r>
  <r>
    <x v="50"/>
    <n v="4"/>
  </r>
  <r>
    <x v="50"/>
    <n v="4"/>
  </r>
  <r>
    <x v="51"/>
    <n v="4"/>
  </r>
  <r>
    <x v="51"/>
    <n v="2"/>
  </r>
  <r>
    <x v="51"/>
    <n v="8"/>
  </r>
  <r>
    <x v="51"/>
    <n v="4"/>
  </r>
  <r>
    <x v="52"/>
    <n v="5"/>
  </r>
  <r>
    <x v="52"/>
    <n v="5"/>
  </r>
  <r>
    <x v="52"/>
    <n v="7"/>
  </r>
  <r>
    <x v="52"/>
    <n v="2"/>
  </r>
  <r>
    <x v="52"/>
    <n v="4"/>
  </r>
  <r>
    <x v="52"/>
    <n v="2"/>
  </r>
  <r>
    <x v="53"/>
    <n v="2"/>
  </r>
  <r>
    <x v="53"/>
    <n v="2"/>
  </r>
  <r>
    <x v="53"/>
    <n v="2"/>
  </r>
  <r>
    <x v="53"/>
    <n v="3"/>
  </r>
  <r>
    <x v="53"/>
    <n v="1"/>
  </r>
  <r>
    <x v="54"/>
    <n v="4"/>
  </r>
  <r>
    <x v="55"/>
    <n v="6"/>
  </r>
  <r>
    <x v="55"/>
    <n v="4"/>
  </r>
  <r>
    <x v="55"/>
    <n v="4"/>
  </r>
  <r>
    <x v="55"/>
    <n v="5"/>
  </r>
  <r>
    <x v="56"/>
    <n v="4"/>
  </r>
  <r>
    <x v="56"/>
    <n v="6"/>
  </r>
  <r>
    <x v="56"/>
    <n v="6"/>
  </r>
  <r>
    <x v="56"/>
    <n v="8"/>
  </r>
  <r>
    <x v="57"/>
    <n v="4"/>
  </r>
  <r>
    <x v="57"/>
    <n v="5"/>
  </r>
  <r>
    <x v="57"/>
    <n v="3"/>
  </r>
  <r>
    <x v="57"/>
    <n v="3"/>
  </r>
  <r>
    <x v="57"/>
    <n v="6"/>
  </r>
  <r>
    <x v="57"/>
    <n v="6"/>
  </r>
  <r>
    <x v="58"/>
    <n v="3"/>
  </r>
  <r>
    <x v="58"/>
    <n v="2"/>
  </r>
  <r>
    <x v="58"/>
    <n v="2"/>
  </r>
  <r>
    <x v="58"/>
    <n v="2"/>
  </r>
  <r>
    <x v="58"/>
    <n v="2"/>
  </r>
  <r>
    <x v="58"/>
    <n v="2"/>
  </r>
  <r>
    <x v="58"/>
    <n v="4"/>
  </r>
  <r>
    <x v="59"/>
    <n v="0"/>
  </r>
  <r>
    <x v="24"/>
    <n v="1"/>
  </r>
  <r>
    <x v="24"/>
    <n v="1"/>
  </r>
  <r>
    <x v="60"/>
    <n v="2"/>
  </r>
  <r>
    <x v="60"/>
    <n v="4"/>
  </r>
  <r>
    <x v="60"/>
    <n v="2"/>
  </r>
  <r>
    <x v="60"/>
    <n v="3"/>
  </r>
  <r>
    <x v="61"/>
    <n v="1"/>
  </r>
  <r>
    <x v="61"/>
    <n v="5"/>
  </r>
  <r>
    <x v="62"/>
    <n v="1"/>
  </r>
  <r>
    <x v="62"/>
    <n v="2"/>
  </r>
  <r>
    <x v="62"/>
    <n v="3"/>
  </r>
  <r>
    <x v="63"/>
    <n v="1"/>
  </r>
  <r>
    <x v="63"/>
    <n v="1"/>
  </r>
  <r>
    <x v="62"/>
    <n v="4"/>
  </r>
  <r>
    <x v="62"/>
    <n v="4"/>
  </r>
  <r>
    <x v="63"/>
    <n v="3"/>
  </r>
  <r>
    <x v="56"/>
    <n v="3"/>
  </r>
  <r>
    <x v="63"/>
    <n v="1"/>
  </r>
  <r>
    <x v="63"/>
    <n v="4"/>
  </r>
  <r>
    <x v="63"/>
    <n v="4"/>
  </r>
  <r>
    <x v="63"/>
    <n v="4"/>
  </r>
  <r>
    <x v="64"/>
    <n v="2"/>
  </r>
  <r>
    <x v="64"/>
    <n v="3"/>
  </r>
  <r>
    <x v="64"/>
    <n v="3"/>
  </r>
  <r>
    <x v="65"/>
    <n v="1"/>
  </r>
  <r>
    <x v="65"/>
    <n v="2"/>
  </r>
  <r>
    <x v="65"/>
    <n v="1"/>
  </r>
  <r>
    <x v="65"/>
    <n v="1"/>
  </r>
  <r>
    <x v="65"/>
    <n v="3"/>
  </r>
  <r>
    <x v="65"/>
    <n v="3"/>
  </r>
  <r>
    <x v="65"/>
    <n v="3"/>
  </r>
  <r>
    <x v="65"/>
    <n v="5"/>
  </r>
  <r>
    <x v="65"/>
    <n v="3"/>
  </r>
  <r>
    <x v="66"/>
    <n v="3"/>
  </r>
  <r>
    <x v="66"/>
    <n v="3"/>
  </r>
  <r>
    <x v="66"/>
    <n v="2"/>
  </r>
  <r>
    <x v="67"/>
    <n v="4"/>
  </r>
  <r>
    <x v="67"/>
    <n v="1"/>
  </r>
  <r>
    <x v="67"/>
    <n v="2"/>
  </r>
  <r>
    <x v="67"/>
    <n v="1"/>
  </r>
  <r>
    <x v="67"/>
    <n v="2"/>
  </r>
  <r>
    <x v="67"/>
    <n v="4"/>
  </r>
  <r>
    <x v="68"/>
    <n v="4"/>
  </r>
  <r>
    <x v="69"/>
    <n v="3"/>
  </r>
  <r>
    <x v="69"/>
    <n v="3"/>
  </r>
  <r>
    <x v="69"/>
    <n v="2"/>
  </r>
  <r>
    <x v="69"/>
    <n v="4"/>
  </r>
  <r>
    <x v="69"/>
    <n v="3"/>
  </r>
  <r>
    <x v="69"/>
    <n v="2"/>
  </r>
  <r>
    <x v="70"/>
    <n v="4"/>
  </r>
  <r>
    <x v="70"/>
    <n v="4"/>
  </r>
  <r>
    <x v="71"/>
    <n v="2"/>
  </r>
  <r>
    <x v="71"/>
    <n v="3"/>
  </r>
  <r>
    <x v="72"/>
    <n v="4"/>
  </r>
  <r>
    <x v="72"/>
    <n v="2"/>
  </r>
  <r>
    <x v="72"/>
    <n v="1"/>
  </r>
  <r>
    <x v="72"/>
    <n v="1"/>
  </r>
  <r>
    <x v="72"/>
    <n v="2"/>
  </r>
  <r>
    <x v="72"/>
    <n v="4"/>
  </r>
  <r>
    <x v="73"/>
    <n v="2"/>
  </r>
  <r>
    <x v="73"/>
    <n v="2"/>
  </r>
  <r>
    <x v="73"/>
    <n v="5"/>
  </r>
  <r>
    <x v="73"/>
    <n v="5"/>
  </r>
  <r>
    <x v="74"/>
    <n v="4"/>
  </r>
  <r>
    <x v="74"/>
    <n v="4"/>
  </r>
  <r>
    <x v="75"/>
    <n v="7"/>
  </r>
  <r>
    <x v="75"/>
    <n v="2"/>
  </r>
  <r>
    <x v="75"/>
    <n v="3"/>
  </r>
  <r>
    <x v="75"/>
    <n v="4"/>
  </r>
  <r>
    <x v="75"/>
    <n v="55"/>
  </r>
  <r>
    <x v="75"/>
    <n v="2"/>
  </r>
  <r>
    <x v="76"/>
    <n v="6"/>
  </r>
  <r>
    <x v="77"/>
    <n v="4"/>
  </r>
  <r>
    <x v="77"/>
    <n v="8"/>
  </r>
  <r>
    <x v="77"/>
    <n v="1"/>
  </r>
  <r>
    <x v="77"/>
    <n v="1"/>
  </r>
  <r>
    <x v="77"/>
    <n v="1"/>
  </r>
  <r>
    <x v="77"/>
    <n v="1"/>
  </r>
  <r>
    <x v="77"/>
    <n v="1"/>
  </r>
  <r>
    <x v="77"/>
    <n v="2"/>
  </r>
  <r>
    <x v="77"/>
    <n v="1"/>
  </r>
  <r>
    <x v="77"/>
    <n v="2"/>
  </r>
  <r>
    <x v="78"/>
    <n v="2"/>
  </r>
  <r>
    <x v="78"/>
    <n v="2"/>
  </r>
  <r>
    <x v="78"/>
    <n v="2"/>
  </r>
  <r>
    <x v="78"/>
    <n v="2"/>
  </r>
  <r>
    <x v="78"/>
    <n v="4"/>
  </r>
  <r>
    <x v="78"/>
    <n v="3"/>
  </r>
  <r>
    <x v="78"/>
    <n v="2"/>
  </r>
  <r>
    <x v="79"/>
    <n v="1"/>
  </r>
  <r>
    <x v="79"/>
    <n v="9"/>
  </r>
  <r>
    <x v="79"/>
    <n v="2"/>
  </r>
  <r>
    <x v="80"/>
    <n v="3"/>
  </r>
  <r>
    <x v="80"/>
    <n v="4"/>
  </r>
  <r>
    <x v="80"/>
    <n v="1"/>
  </r>
  <r>
    <x v="80"/>
    <n v="1"/>
  </r>
  <r>
    <x v="80"/>
    <n v="2"/>
  </r>
  <r>
    <x v="80"/>
    <n v="1"/>
  </r>
  <r>
    <x v="80"/>
    <n v="5"/>
  </r>
  <r>
    <x v="80"/>
    <n v="3"/>
  </r>
  <r>
    <x v="80"/>
    <n v="2"/>
  </r>
  <r>
    <x v="80"/>
    <n v="2"/>
  </r>
  <r>
    <x v="80"/>
    <n v="2"/>
  </r>
  <r>
    <x v="81"/>
    <n v="4"/>
  </r>
  <r>
    <x v="81"/>
    <n v="1"/>
  </r>
  <r>
    <x v="81"/>
    <n v="3"/>
  </r>
  <r>
    <x v="81"/>
    <n v="2"/>
  </r>
  <r>
    <x v="81"/>
    <n v="4"/>
  </r>
  <r>
    <x v="81"/>
    <n v="3"/>
  </r>
  <r>
    <x v="81"/>
    <n v="8"/>
  </r>
  <r>
    <x v="81"/>
    <n v="3"/>
  </r>
  <r>
    <x v="81"/>
    <n v="4"/>
  </r>
  <r>
    <x v="81"/>
    <n v="3"/>
  </r>
  <r>
    <x v="81"/>
    <n v="1"/>
  </r>
  <r>
    <x v="81"/>
    <n v="1"/>
  </r>
  <r>
    <x v="81"/>
    <n v="2"/>
  </r>
  <r>
    <x v="81"/>
    <n v="2"/>
  </r>
  <r>
    <x v="81"/>
    <n v="2"/>
  </r>
  <r>
    <x v="82"/>
    <n v="1"/>
  </r>
  <r>
    <x v="81"/>
    <n v="1"/>
  </r>
  <r>
    <x v="82"/>
    <n v="2"/>
  </r>
  <r>
    <x v="81"/>
    <n v="1"/>
  </r>
  <r>
    <x v="82"/>
    <n v="2"/>
  </r>
  <r>
    <x v="82"/>
    <n v="1"/>
  </r>
  <r>
    <x v="82"/>
    <n v="1"/>
  </r>
  <r>
    <x v="82"/>
    <n v="4"/>
  </r>
  <r>
    <x v="82"/>
    <n v="2"/>
  </r>
  <r>
    <x v="82"/>
    <n v="2"/>
  </r>
  <r>
    <x v="83"/>
    <n v="3"/>
  </r>
  <r>
    <x v="83"/>
    <n v="3"/>
  </r>
  <r>
    <x v="83"/>
    <n v="2"/>
  </r>
  <r>
    <x v="83"/>
    <n v="2"/>
  </r>
  <r>
    <x v="83"/>
    <n v="1"/>
  </r>
  <r>
    <x v="83"/>
    <n v="1"/>
  </r>
  <r>
    <x v="83"/>
    <n v="1"/>
  </r>
  <r>
    <x v="83"/>
    <n v="2"/>
  </r>
  <r>
    <x v="83"/>
    <n v="2"/>
  </r>
  <r>
    <x v="83"/>
    <n v="2"/>
  </r>
  <r>
    <x v="84"/>
    <n v="4"/>
  </r>
  <r>
    <x v="83"/>
    <n v="1"/>
  </r>
  <r>
    <x v="84"/>
    <n v="4"/>
  </r>
  <r>
    <x v="84"/>
    <n v="2"/>
  </r>
  <r>
    <x v="84"/>
    <n v="1"/>
  </r>
  <r>
    <x v="84"/>
    <n v="2"/>
  </r>
  <r>
    <x v="84"/>
    <n v="2"/>
  </r>
  <r>
    <x v="84"/>
    <n v="4"/>
  </r>
  <r>
    <x v="84"/>
    <n v="2"/>
  </r>
  <r>
    <x v="84"/>
    <n v="2"/>
  </r>
  <r>
    <x v="84"/>
    <n v="5"/>
  </r>
  <r>
    <x v="84"/>
    <n v="1"/>
  </r>
  <r>
    <x v="84"/>
    <n v="1"/>
  </r>
  <r>
    <x v="84"/>
    <n v="1"/>
  </r>
  <r>
    <x v="84"/>
    <n v="7"/>
  </r>
  <r>
    <x v="84"/>
    <n v="2"/>
  </r>
  <r>
    <x v="84"/>
    <n v="4"/>
  </r>
  <r>
    <x v="84"/>
    <n v="2"/>
  </r>
  <r>
    <x v="85"/>
    <n v="1"/>
  </r>
  <r>
    <x v="85"/>
    <n v="3"/>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3">
  <r>
    <x v="0"/>
    <n v="4"/>
  </r>
  <r>
    <x v="0"/>
    <n v="4"/>
  </r>
  <r>
    <x v="0"/>
    <n v="6"/>
  </r>
  <r>
    <x v="0"/>
    <n v="2"/>
  </r>
  <r>
    <x v="0"/>
    <n v="2"/>
  </r>
  <r>
    <x v="0"/>
    <n v="3"/>
  </r>
  <r>
    <x v="0"/>
    <n v="4"/>
  </r>
  <r>
    <x v="0"/>
    <n v="2"/>
  </r>
  <r>
    <x v="0"/>
    <n v="1"/>
  </r>
  <r>
    <x v="0"/>
    <n v="1"/>
  </r>
  <r>
    <x v="0"/>
    <n v="1"/>
  </r>
  <r>
    <x v="0"/>
    <n v="2"/>
  </r>
  <r>
    <x v="0"/>
    <n v="2"/>
  </r>
  <r>
    <x v="0"/>
    <n v="2"/>
  </r>
  <r>
    <x v="1"/>
    <n v="3"/>
  </r>
  <r>
    <x v="1"/>
    <n v="3"/>
  </r>
  <r>
    <x v="1"/>
    <n v="2"/>
  </r>
  <r>
    <x v="1"/>
    <n v="3"/>
  </r>
  <r>
    <x v="1"/>
    <n v="4"/>
  </r>
  <r>
    <x v="1"/>
    <n v="1"/>
  </r>
  <r>
    <x v="1"/>
    <n v="3"/>
  </r>
  <r>
    <x v="1"/>
    <n v="3"/>
  </r>
  <r>
    <x v="1"/>
    <n v="1"/>
  </r>
  <r>
    <x v="1"/>
    <n v="1"/>
  </r>
  <r>
    <x v="1"/>
    <n v="2"/>
  </r>
  <r>
    <x v="1"/>
    <n v="2"/>
  </r>
  <r>
    <x v="1"/>
    <n v="3"/>
  </r>
  <r>
    <x v="1"/>
    <n v="3"/>
  </r>
  <r>
    <x v="1"/>
    <n v="2"/>
  </r>
  <r>
    <x v="1"/>
    <n v="7"/>
  </r>
  <r>
    <x v="1"/>
    <n v="3"/>
  </r>
  <r>
    <x v="2"/>
    <n v="1"/>
  </r>
  <r>
    <x v="2"/>
    <n v="1"/>
  </r>
  <r>
    <x v="2"/>
    <n v="2"/>
  </r>
  <r>
    <x v="2"/>
    <n v="2"/>
  </r>
  <r>
    <x v="2"/>
    <n v="1"/>
  </r>
  <r>
    <x v="2"/>
    <n v="5"/>
  </r>
  <r>
    <x v="2"/>
    <n v="4"/>
  </r>
  <r>
    <x v="2"/>
    <n v="2"/>
  </r>
  <r>
    <x v="2"/>
    <n v="4"/>
  </r>
  <r>
    <x v="2"/>
    <n v="3"/>
  </r>
  <r>
    <x v="3"/>
    <n v="2"/>
  </r>
  <r>
    <x v="3"/>
    <n v="2"/>
  </r>
  <r>
    <x v="3"/>
    <n v="4"/>
  </r>
  <r>
    <x v="3"/>
    <n v="3"/>
  </r>
  <r>
    <x v="4"/>
    <n v="6"/>
  </r>
  <r>
    <x v="4"/>
    <n v="5"/>
  </r>
  <r>
    <x v="4"/>
    <n v="2"/>
  </r>
  <r>
    <x v="4"/>
    <n v="2"/>
  </r>
  <r>
    <x v="4"/>
    <n v="2"/>
  </r>
  <r>
    <x v="4"/>
    <n v="3"/>
  </r>
  <r>
    <x v="4"/>
    <n v="2"/>
  </r>
  <r>
    <x v="4"/>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252B590-A282-4637-BCD8-1D93595D1DCF}" name="Kimutatás4" cacheId="1" applyNumberFormats="0" applyBorderFormats="0" applyFontFormats="0" applyPatternFormats="0" applyAlignmentFormats="0" applyWidthHeightFormats="1" dataCaption="Értékek" updatedVersion="8" minRefreshableVersion="3" useAutoFormatting="1" itemPrintTitles="1" createdVersion="8" indent="0" outline="1" outlineData="1" multipleFieldFilters="0" chartFormat="1">
  <location ref="AD3:AE65" firstHeaderRow="1" firstDataRow="1" firstDataCol="1"/>
  <pivotFields count="15">
    <pivotField showAll="0"/>
    <pivotField showAll="0"/>
    <pivotField showAll="0"/>
    <pivotField numFmtId="164" showAll="0"/>
    <pivotField numFmtId="1" showAll="0"/>
    <pivotField showAll="0"/>
    <pivotField showAll="0"/>
    <pivotField showAll="0"/>
    <pivotField showAll="0"/>
    <pivotField showAll="0"/>
    <pivotField showAll="0"/>
    <pivotField showAll="0"/>
    <pivotField showAll="0"/>
    <pivotField axis="axisRow" dataField="1" showAll="0">
      <items count="64">
        <item x="2"/>
        <item m="1" x="61"/>
        <item m="1" x="62"/>
        <item x="0"/>
        <item x="1"/>
        <item x="6"/>
        <item x="4"/>
        <item x="3"/>
        <item x="5"/>
        <item x="19"/>
        <item x="17"/>
        <item x="18"/>
        <item x="25"/>
        <item x="26"/>
        <item x="13"/>
        <item x="10"/>
        <item x="27"/>
        <item x="14"/>
        <item x="15"/>
        <item x="16"/>
        <item x="31"/>
        <item x="11"/>
        <item x="34"/>
        <item x="35"/>
        <item x="12"/>
        <item x="33"/>
        <item x="32"/>
        <item x="28"/>
        <item x="29"/>
        <item x="8"/>
        <item x="9"/>
        <item x="38"/>
        <item x="37"/>
        <item x="23"/>
        <item x="24"/>
        <item x="30"/>
        <item x="36"/>
        <item x="20"/>
        <item x="21"/>
        <item x="22"/>
        <item x="40"/>
        <item x="51"/>
        <item x="47"/>
        <item x="48"/>
        <item x="52"/>
        <item x="49"/>
        <item x="39"/>
        <item x="50"/>
        <item x="43"/>
        <item x="44"/>
        <item x="53"/>
        <item x="54"/>
        <item x="56"/>
        <item x="57"/>
        <item x="41"/>
        <item x="45"/>
        <item x="55"/>
        <item x="46"/>
        <item x="42"/>
        <item x="58"/>
        <item x="59"/>
        <item x="60"/>
        <item x="7"/>
        <item t="default"/>
      </items>
    </pivotField>
    <pivotField showAll="0"/>
  </pivotFields>
  <rowFields count="1">
    <field x="13"/>
  </rowFields>
  <rowItems count="62">
    <i>
      <x/>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t="grand">
      <x/>
    </i>
  </rowItems>
  <colItems count="1">
    <i/>
  </colItems>
  <dataFields count="1">
    <dataField name="Mennyiség / Injection _x000a_Date" fld="13" subtotal="count" baseField="0" baseItem="0"/>
  </dataFields>
  <formats count="5">
    <format dxfId="23">
      <pivotArea outline="0" collapsedLevelsAreSubtotals="1" fieldPosition="0"/>
    </format>
    <format dxfId="22">
      <pivotArea collapsedLevelsAreSubtotals="1" fieldPosition="0">
        <references count="1">
          <reference field="13" count="62">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x v="59"/>
            <x v="60"/>
            <x v="61"/>
          </reference>
        </references>
      </pivotArea>
    </format>
    <format dxfId="21">
      <pivotArea dataOnly="0" labelOnly="1" fieldPosition="0">
        <references count="1">
          <reference field="13" count="50">
            <x v="0"/>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reference>
        </references>
      </pivotArea>
    </format>
    <format dxfId="20">
      <pivotArea dataOnly="0" labelOnly="1" fieldPosition="0">
        <references count="1">
          <reference field="13" count="11">
            <x v="52"/>
            <x v="53"/>
            <x v="54"/>
            <x v="55"/>
            <x v="56"/>
            <x v="57"/>
            <x v="58"/>
            <x v="59"/>
            <x v="60"/>
            <x v="61"/>
            <x v="62"/>
          </reference>
        </references>
      </pivotArea>
    </format>
    <format dxfId="19">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C322C9F-5603-4C54-B26C-5DD8AAFF963B}" name="Kimutatás2" cacheId="0" applyNumberFormats="0" applyBorderFormats="0" applyFontFormats="0" applyPatternFormats="0" applyAlignmentFormats="0" applyWidthHeightFormats="1" dataCaption="Értékek" updatedVersion="8" minRefreshableVersion="3" useAutoFormatting="1" itemPrintTitles="1" createdVersion="8" indent="0" outline="1" outlineData="1" multipleFieldFilters="0" chartFormat="1">
  <location ref="L3:M453" firstHeaderRow="1" firstDataRow="1" firstDataCol="1"/>
  <pivotFields count="1">
    <pivotField axis="axisRow" dataField="1" showAll="0">
      <items count="450">
        <item x="0"/>
        <item x="1"/>
        <item x="2"/>
        <item x="3"/>
        <item x="4"/>
        <item x="5"/>
        <item x="6"/>
        <item x="7"/>
        <item x="9"/>
        <item x="8"/>
        <item x="10"/>
        <item x="11"/>
        <item x="12"/>
        <item x="13"/>
        <item x="14"/>
        <item x="15"/>
        <item x="16"/>
        <item x="17"/>
        <item x="18"/>
        <item x="19"/>
        <item x="20"/>
        <item x="21"/>
        <item x="22"/>
        <item x="23"/>
        <item x="24"/>
        <item x="25"/>
        <item x="26"/>
        <item x="27"/>
        <item x="28"/>
        <item x="29"/>
        <item x="30"/>
        <item x="31"/>
        <item x="32"/>
        <item x="97"/>
        <item x="98"/>
        <item x="100"/>
        <item x="33"/>
        <item x="34"/>
        <item x="35"/>
        <item x="99"/>
        <item x="53"/>
        <item x="36"/>
        <item x="37"/>
        <item x="38"/>
        <item x="39"/>
        <item x="40"/>
        <item x="41"/>
        <item x="42"/>
        <item x="43"/>
        <item x="44"/>
        <item x="45"/>
        <item x="46"/>
        <item x="47"/>
        <item x="48"/>
        <item x="49"/>
        <item x="50"/>
        <item x="51"/>
        <item x="52"/>
        <item x="54"/>
        <item x="55"/>
        <item x="56"/>
        <item x="57"/>
        <item x="58"/>
        <item x="59"/>
        <item x="60"/>
        <item x="61"/>
        <item x="62"/>
        <item x="63"/>
        <item x="64"/>
        <item x="65"/>
        <item x="66"/>
        <item x="67"/>
        <item x="68"/>
        <item x="69"/>
        <item x="70"/>
        <item x="71"/>
        <item x="72"/>
        <item x="73"/>
        <item x="74"/>
        <item x="75"/>
        <item x="76"/>
        <item x="77"/>
        <item x="78"/>
        <item x="79"/>
        <item x="80"/>
        <item x="81"/>
        <item x="136"/>
        <item x="82"/>
        <item x="83"/>
        <item x="84"/>
        <item x="85"/>
        <item x="86"/>
        <item x="87"/>
        <item x="88"/>
        <item x="89"/>
        <item x="90"/>
        <item x="91"/>
        <item x="92"/>
        <item x="94"/>
        <item x="93"/>
        <item x="95"/>
        <item x="96"/>
        <item x="128"/>
        <item x="129"/>
        <item x="102"/>
        <item x="101"/>
        <item x="103"/>
        <item x="104"/>
        <item x="106"/>
        <item x="105"/>
        <item x="107"/>
        <item x="108"/>
        <item x="109"/>
        <item x="110"/>
        <item x="111"/>
        <item x="112"/>
        <item x="113"/>
        <item x="114"/>
        <item x="115"/>
        <item x="116"/>
        <item x="117"/>
        <item x="118"/>
        <item x="119"/>
        <item x="120"/>
        <item x="121"/>
        <item x="122"/>
        <item x="123"/>
        <item x="124"/>
        <item x="125"/>
        <item x="127"/>
        <item x="126"/>
        <item x="130"/>
        <item x="131"/>
        <item x="132"/>
        <item x="133"/>
        <item x="134"/>
        <item x="135"/>
        <item x="137"/>
        <item x="138"/>
        <item x="141"/>
        <item x="142"/>
        <item x="143"/>
        <item x="144"/>
        <item x="145"/>
        <item x="146"/>
        <item x="147"/>
        <item x="148"/>
        <item x="150"/>
        <item x="149"/>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1"/>
        <item x="280"/>
        <item x="282"/>
        <item x="283"/>
        <item x="284"/>
        <item x="285"/>
        <item x="286"/>
        <item x="287"/>
        <item x="290"/>
        <item x="288"/>
        <item x="289"/>
        <item x="291"/>
        <item x="448"/>
        <item x="139"/>
        <item x="140"/>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t="default"/>
      </items>
    </pivotField>
  </pivotFields>
  <rowFields count="1">
    <field x="0"/>
  </rowFields>
  <rowItems count="4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t="grand">
      <x/>
    </i>
  </rowItems>
  <colItems count="1">
    <i/>
  </colItems>
  <dataFields count="1">
    <dataField name="Mennyiség / Injection _x000a_Date" fld="0" subtotal="count" baseField="0" baseItem="0"/>
  </dataFields>
  <formats count="18">
    <format dxfId="41">
      <pivotArea type="all" dataOnly="0" outline="0" fieldPosition="0"/>
    </format>
    <format dxfId="40">
      <pivotArea outline="0" collapsedLevelsAreSubtotals="1" fieldPosition="0"/>
    </format>
    <format dxfId="39">
      <pivotArea field="0" type="button" dataOnly="0" labelOnly="1" outline="0" axis="axisRow" fieldPosition="0"/>
    </format>
    <format dxfId="38">
      <pivotArea dataOnly="0" labelOnly="1"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37">
      <pivotArea dataOnly="0" labelOnly="1" fieldPosition="0">
        <references count="1">
          <reference field="0"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36">
      <pivotArea dataOnly="0" labelOnly="1" fieldPosition="0">
        <references count="1">
          <reference field="0"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35">
      <pivotArea dataOnly="0" labelOnly="1" fieldPosition="0">
        <references count="1">
          <reference field="0"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34">
      <pivotArea dataOnly="0" labelOnly="1" fieldPosition="0">
        <references count="1">
          <reference field="0"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33">
      <pivotArea dataOnly="0" labelOnly="1" fieldPosition="0">
        <references count="1">
          <reference field="0" count="41">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reference>
        </references>
      </pivotArea>
    </format>
    <format dxfId="32">
      <pivotArea dataOnly="0" labelOnly="1" grandRow="1" outline="0" fieldPosition="0"/>
    </format>
    <format dxfId="31">
      <pivotArea dataOnly="0" labelOnly="1" outline="0" axis="axisValues" fieldPosition="0"/>
    </format>
    <format dxfId="30">
      <pivotArea dataOnly="0" labelOnly="1"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29">
      <pivotArea dataOnly="0" labelOnly="1" fieldPosition="0">
        <references count="1">
          <reference field="0"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28">
      <pivotArea dataOnly="0" labelOnly="1" fieldPosition="0">
        <references count="1">
          <reference field="0"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27">
      <pivotArea dataOnly="0" labelOnly="1" fieldPosition="0">
        <references count="1">
          <reference field="0"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26">
      <pivotArea dataOnly="0" labelOnly="1" fieldPosition="0">
        <references count="1">
          <reference field="0"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25">
      <pivotArea dataOnly="0" labelOnly="1" fieldPosition="0">
        <references count="1">
          <reference field="0" count="41">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reference>
        </references>
      </pivotArea>
    </format>
    <format dxfId="24">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B587482-EC09-4522-BD0C-A43627B93A58}" name="Kimutatás7" cacheId="3" applyNumberFormats="0" applyBorderFormats="0" applyFontFormats="0" applyPatternFormats="0" applyAlignmentFormats="0" applyWidthHeightFormats="1" dataCaption="Értékek" updatedVersion="8" minRefreshableVersion="3" useAutoFormatting="1" itemPrintTitles="1" createdVersion="8" indent="0" outline="1" outlineData="1" multipleFieldFilters="0" chartFormat="1">
  <location ref="AL45:AM51" firstHeaderRow="1" firstDataRow="1" firstDataCol="1"/>
  <pivotFields count="4">
    <pivotField axis="axisRow" numFmtId="164" showAll="0">
      <items count="6">
        <item x="0"/>
        <item x="1"/>
        <item x="2"/>
        <item x="3"/>
        <item x="4"/>
        <item t="default"/>
      </items>
    </pivotField>
    <pivotField dataField="1" numFmtId="1"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3"/>
    <field x="2"/>
    <field x="0"/>
  </rowFields>
  <rowItems count="6">
    <i>
      <x v="6"/>
    </i>
    <i>
      <x v="7"/>
    </i>
    <i>
      <x v="9"/>
    </i>
    <i>
      <x v="10"/>
    </i>
    <i>
      <x v="11"/>
    </i>
    <i t="grand">
      <x/>
    </i>
  </rowItems>
  <colItems count="1">
    <i/>
  </colItems>
  <dataFields count="1">
    <dataField name="Összeg / DB" fld="1" baseField="0" baseItem="0" numFmtId="1"/>
  </dataFields>
  <formats count="6">
    <format dxfId="47">
      <pivotArea type="all" dataOnly="0" outline="0" fieldPosition="0"/>
    </format>
    <format dxfId="46">
      <pivotArea outline="0" collapsedLevelsAreSubtotals="1" fieldPosition="0"/>
    </format>
    <format dxfId="45">
      <pivotArea field="3" type="button" dataOnly="0" labelOnly="1" outline="0" axis="axisRow" fieldPosition="0"/>
    </format>
    <format dxfId="44">
      <pivotArea dataOnly="0" labelOnly="1" fieldPosition="0">
        <references count="1">
          <reference field="3" count="5">
            <x v="6"/>
            <x v="7"/>
            <x v="9"/>
            <x v="10"/>
            <x v="11"/>
          </reference>
        </references>
      </pivotArea>
    </format>
    <format dxfId="43">
      <pivotArea dataOnly="0" labelOnly="1" grandRow="1" outline="0" fieldPosition="0"/>
    </format>
    <format dxfId="42">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0663E3D-864D-4459-9E25-98A52BD7A453}" name="Kimutatás5" cacheId="2" applyNumberFormats="0" applyBorderFormats="0" applyFontFormats="0" applyPatternFormats="0" applyAlignmentFormats="0" applyWidthHeightFormats="1" dataCaption="Értékek" updatedVersion="8" minRefreshableVersion="3" useAutoFormatting="1" itemPrintTitles="1" createdVersion="8" indent="0" outline="1" outlineData="1" multipleFieldFilters="0" chartFormat="1">
  <location ref="T45:U132" firstHeaderRow="1" firstDataRow="1" firstDataCol="1"/>
  <pivotFields count="2">
    <pivotField axis="axisRow" showAll="0">
      <items count="87">
        <item x="5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60"/>
        <item x="61"/>
        <item x="62"/>
        <item x="63"/>
        <item x="64"/>
        <item x="65"/>
        <item x="66"/>
        <item x="67"/>
        <item x="68"/>
        <item x="69"/>
        <item x="70"/>
        <item x="71"/>
        <item x="72"/>
        <item x="73"/>
        <item x="74"/>
        <item x="75"/>
        <item x="76"/>
        <item x="77"/>
        <item x="78"/>
        <item x="79"/>
        <item x="80"/>
        <item x="81"/>
        <item x="82"/>
        <item x="83"/>
        <item x="84"/>
        <item x="85"/>
        <item t="default"/>
      </items>
    </pivotField>
    <pivotField dataField="1" numFmtId="1" showAll="0"/>
  </pivotFields>
  <rowFields count="1">
    <field x="0"/>
  </rowFields>
  <rowItems count="8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t="grand">
      <x/>
    </i>
  </rowItems>
  <colItems count="1">
    <i/>
  </colItems>
  <dataFields count="1">
    <dataField name="Összeg / DB" fld="1" baseField="0" baseItem="0" numFmtId="1"/>
  </dataFields>
  <formats count="8">
    <format dxfId="55">
      <pivotArea field="0" type="button" dataOnly="0" labelOnly="1" outline="0" axis="axisRow" fieldPosition="0"/>
    </format>
    <format dxfId="54">
      <pivotArea dataOnly="0" labelOnly="1"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53">
      <pivotArea dataOnly="0" labelOnly="1" fieldPosition="0">
        <references count="1">
          <reference field="0" count="36">
            <x v="50"/>
            <x v="51"/>
            <x v="52"/>
            <x v="53"/>
            <x v="54"/>
            <x v="55"/>
            <x v="56"/>
            <x v="57"/>
            <x v="58"/>
            <x v="59"/>
            <x v="60"/>
            <x v="61"/>
            <x v="62"/>
            <x v="63"/>
            <x v="64"/>
            <x v="65"/>
            <x v="66"/>
            <x v="67"/>
            <x v="68"/>
            <x v="69"/>
            <x v="70"/>
            <x v="71"/>
            <x v="72"/>
            <x v="73"/>
            <x v="74"/>
            <x v="75"/>
            <x v="76"/>
            <x v="77"/>
            <x v="78"/>
            <x v="79"/>
            <x v="80"/>
            <x v="81"/>
            <x v="82"/>
            <x v="83"/>
            <x v="84"/>
            <x v="85"/>
          </reference>
        </references>
      </pivotArea>
    </format>
    <format dxfId="52">
      <pivotArea dataOnly="0" labelOnly="1" grandRow="1" outline="0" fieldPosition="0"/>
    </format>
    <format dxfId="51">
      <pivotArea collapsedLevelsAreSubtotals="1" fieldPosition="0">
        <references count="1">
          <reference field="0" count="0"/>
        </references>
      </pivotArea>
    </format>
    <format dxfId="50">
      <pivotArea grandRow="1" outline="0" collapsedLevelsAreSubtotals="1" fieldPosition="0"/>
    </format>
    <format dxfId="49">
      <pivotArea outline="0" collapsedLevelsAreSubtotals="1" fieldPosition="0"/>
    </format>
    <format dxfId="48">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16" dT="2020-02-17T12:31:48.15" personId="{33A7534E-AC34-4917-A622-828812075B00}" id="{A3252C2C-88D4-4DCB-91BC-71BC319DC60C}">
    <text xml:space="preserve">melyik szín mit jelent? nem kötekedésből, de nem lenne jobb a zöld két árnyalata mint két meglévő szín (terminated (piros) és to be terminated (sárga)) élénkebb verziójának használata a csoportban volt és csoportban van egerek megkülönböztetésére?
</text>
  </threadedComment>
</ThreadedComments>
</file>

<file path=xl/worksheets/_rels/sheet1.xml.rels><?xml version="1.0" encoding="UTF-8" standalone="yes"?>
<Relationships xmlns="http://schemas.openxmlformats.org/package/2006/relationships"><Relationship Id="rId2" Type="http://schemas.microsoft.com/office/2019/04/relationships/namedSheetView" Target="../namedSheetViews/namedSheetView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w:/s/2pteam/EV2JPeFRqUlDrJD35t9BtgsBa5Q_QxVb5ujFYw7L4Ly3PQ?e=K2h8cv" TargetMode="External"/></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2.xml"/><Relationship Id="rId4" Type="http://schemas.microsoft.com/office/2017/10/relationships/threadedComment" Target="../threadedComments/threadedComment1.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3.xml"/><Relationship Id="rId5" Type="http://schemas.openxmlformats.org/officeDocument/2006/relationships/printerSettings" Target="../printerSettings/printerSettings2.bin"/><Relationship Id="rId4"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microsoft.com/office/2019/04/relationships/namedSheetView" Target="../namedSheetViews/namedSheetView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D9D6F-D390-46A8-94C5-5863CDAAFDA9}">
  <sheetPr>
    <pageSetUpPr fitToPage="1"/>
  </sheetPr>
  <dimension ref="A1:AG3022"/>
  <sheetViews>
    <sheetView tabSelected="1" topLeftCell="A320" zoomScaleNormal="100" workbookViewId="0">
      <pane xSplit="1" topLeftCell="B1" activePane="topRight" state="frozen"/>
      <selection activeCell="C1" sqref="C1"/>
      <selection pane="topRight" activeCell="A338" sqref="A338"/>
    </sheetView>
  </sheetViews>
  <sheetFormatPr defaultColWidth="9.140625" defaultRowHeight="15" x14ac:dyDescent="0.25"/>
  <cols>
    <col min="1" max="1" width="13" style="34" customWidth="1"/>
    <col min="2" max="2" width="12.140625" style="37" customWidth="1"/>
    <col min="3" max="3" width="10.28515625" style="37" customWidth="1"/>
    <col min="4" max="4" width="12.42578125" style="37" customWidth="1"/>
    <col min="5" max="5" width="11.140625" style="244" customWidth="1"/>
    <col min="6" max="6" width="23.85546875" customWidth="1"/>
    <col min="7" max="7" width="10.5703125" style="246" customWidth="1"/>
    <col min="8" max="8" width="19" style="36" customWidth="1"/>
    <col min="9" max="9" width="10.5703125" style="34" bestFit="1" customWidth="1"/>
    <col min="10" max="10" width="20.140625" style="37" customWidth="1"/>
    <col min="11" max="11" width="21.140625" style="37" customWidth="1"/>
    <col min="12" max="12" width="13.140625" style="45" bestFit="1" customWidth="1"/>
    <col min="13" max="13" width="0.28515625" style="45" customWidth="1"/>
    <col min="14" max="14" width="11.85546875" style="89" customWidth="1"/>
    <col min="15" max="15" width="25.7109375" style="34" customWidth="1"/>
    <col min="16" max="18" width="8.7109375" style="36" customWidth="1"/>
    <col min="19" max="19" width="12.28515625" style="223" customWidth="1"/>
    <col min="20" max="20" width="12.28515625" style="34" customWidth="1"/>
    <col min="21" max="21" width="15.42578125" style="68" customWidth="1"/>
    <col min="22" max="22" width="12.28515625" style="68" customWidth="1"/>
    <col min="23" max="23" width="25" style="34" customWidth="1"/>
    <col min="24" max="24" width="11.42578125" style="89" customWidth="1"/>
    <col min="25" max="25" width="25.85546875" style="34" bestFit="1" customWidth="1"/>
    <col min="26" max="26" width="25" style="34" customWidth="1"/>
    <col min="27" max="27" width="11.42578125" style="89" customWidth="1"/>
    <col min="28" max="28" width="22.7109375" style="89" customWidth="1"/>
    <col min="29" max="29" width="155" style="34" customWidth="1"/>
    <col min="30" max="32" width="40.7109375" style="34" customWidth="1"/>
    <col min="33" max="33" width="28.42578125" customWidth="1"/>
  </cols>
  <sheetData>
    <row r="1" spans="1:33" x14ac:dyDescent="0.25">
      <c r="A1" s="210" t="s">
        <v>0</v>
      </c>
      <c r="B1" s="211" t="s">
        <v>1</v>
      </c>
      <c r="C1" s="212"/>
      <c r="D1" s="212"/>
      <c r="E1" s="212"/>
      <c r="F1" s="208"/>
      <c r="G1" s="247"/>
      <c r="H1" s="212"/>
      <c r="I1" s="213"/>
      <c r="J1" s="212"/>
      <c r="K1" s="212"/>
      <c r="L1" s="213"/>
      <c r="M1" s="213"/>
      <c r="N1" s="214"/>
      <c r="O1" s="213"/>
      <c r="P1" s="215" t="s">
        <v>2</v>
      </c>
      <c r="Q1" s="212"/>
      <c r="R1" s="212"/>
      <c r="S1" s="222"/>
      <c r="T1" s="208"/>
      <c r="U1" s="209"/>
      <c r="V1" s="209"/>
      <c r="W1" s="208"/>
      <c r="X1" s="214"/>
      <c r="Y1" s="213"/>
      <c r="Z1" s="208"/>
      <c r="AA1" s="214"/>
      <c r="AB1" s="214"/>
      <c r="AC1" s="208"/>
      <c r="AD1" s="208"/>
      <c r="AE1" s="208"/>
      <c r="AF1" s="208"/>
      <c r="AG1" s="208"/>
    </row>
    <row r="2" spans="1:33" s="217" customFormat="1" ht="19.5" customHeight="1" x14ac:dyDescent="0.25">
      <c r="A2" s="396" t="s">
        <v>3</v>
      </c>
      <c r="B2" s="396"/>
      <c r="C2" s="396"/>
      <c r="D2" s="396" t="s">
        <v>4</v>
      </c>
      <c r="E2" s="396"/>
      <c r="F2" s="396"/>
      <c r="G2" s="396"/>
      <c r="H2" s="396"/>
      <c r="I2" s="396"/>
      <c r="J2" s="396"/>
      <c r="K2" s="396"/>
      <c r="L2" s="396"/>
      <c r="M2" s="216"/>
      <c r="N2" s="393" t="s">
        <v>5</v>
      </c>
      <c r="O2" s="394"/>
      <c r="P2" s="394"/>
      <c r="Q2" s="394"/>
      <c r="R2" s="394"/>
      <c r="S2" s="394"/>
      <c r="T2" s="394"/>
      <c r="U2" s="394"/>
      <c r="V2" s="394"/>
      <c r="W2" s="395"/>
      <c r="X2" s="393" t="s">
        <v>6</v>
      </c>
      <c r="Y2" s="394"/>
      <c r="Z2" s="395"/>
      <c r="AA2" s="393" t="s">
        <v>7</v>
      </c>
      <c r="AB2" s="395"/>
      <c r="AC2" s="393" t="s">
        <v>8</v>
      </c>
      <c r="AD2" s="394"/>
      <c r="AE2" s="394"/>
      <c r="AF2" s="395"/>
      <c r="AG2" s="234"/>
    </row>
    <row r="3" spans="1:33" s="300" customFormat="1" ht="36" customHeight="1" x14ac:dyDescent="0.25">
      <c r="A3" s="282" t="s">
        <v>9</v>
      </c>
      <c r="B3" s="282" t="s">
        <v>10</v>
      </c>
      <c r="C3" s="283" t="s">
        <v>11</v>
      </c>
      <c r="D3" s="284" t="s">
        <v>12</v>
      </c>
      <c r="E3" s="285" t="s">
        <v>13</v>
      </c>
      <c r="F3" s="286" t="s">
        <v>14</v>
      </c>
      <c r="G3" s="245" t="s">
        <v>15</v>
      </c>
      <c r="H3" s="287" t="s">
        <v>16</v>
      </c>
      <c r="I3" s="287" t="s">
        <v>17</v>
      </c>
      <c r="J3" s="288" t="s">
        <v>18</v>
      </c>
      <c r="K3" s="288" t="s">
        <v>19</v>
      </c>
      <c r="L3" s="289" t="s">
        <v>20</v>
      </c>
      <c r="M3" s="283" t="s">
        <v>21</v>
      </c>
      <c r="N3" s="290" t="s">
        <v>22</v>
      </c>
      <c r="O3" s="291" t="s">
        <v>23</v>
      </c>
      <c r="P3" s="292" t="s">
        <v>24</v>
      </c>
      <c r="Q3" s="292" t="s">
        <v>25</v>
      </c>
      <c r="R3" s="292" t="s">
        <v>26</v>
      </c>
      <c r="S3" s="293" t="s">
        <v>27</v>
      </c>
      <c r="T3" s="293" t="s">
        <v>28</v>
      </c>
      <c r="U3" s="293" t="s">
        <v>29</v>
      </c>
      <c r="V3" s="293" t="s">
        <v>30</v>
      </c>
      <c r="W3" s="294" t="s">
        <v>31</v>
      </c>
      <c r="X3" s="295" t="s">
        <v>32</v>
      </c>
      <c r="Y3" s="302" t="s">
        <v>33</v>
      </c>
      <c r="Z3" s="294" t="s">
        <v>34</v>
      </c>
      <c r="AA3" s="295" t="s">
        <v>35</v>
      </c>
      <c r="AB3" s="296" t="s">
        <v>36</v>
      </c>
      <c r="AC3" s="297" t="s">
        <v>8</v>
      </c>
      <c r="AD3" s="298" t="s">
        <v>37</v>
      </c>
      <c r="AE3" s="299" t="s">
        <v>38</v>
      </c>
      <c r="AF3" s="299" t="s">
        <v>39</v>
      </c>
      <c r="AG3" s="294"/>
    </row>
    <row r="4" spans="1:33" s="89" customFormat="1" x14ac:dyDescent="0.25">
      <c r="A4" s="32" t="s">
        <v>40</v>
      </c>
      <c r="B4" s="306" t="str">
        <f>IF((COUNTBLANK(AA4)=0),Stats!$E$7,IF((COUNTBLANK(N4)=0),IF((COUNTBLANK(X4)=0),IF((COUNTBLANK(AD4)=0),Stats!$E$6,Stats!$E$5),Stats!$E$4),""))</f>
        <v>Death</v>
      </c>
      <c r="C4" s="307" t="str">
        <f>IF(B4=Stats!$E$5,Stats!$E$11,"")</f>
        <v/>
      </c>
      <c r="D4" s="218">
        <v>45712</v>
      </c>
      <c r="E4" s="301">
        <f t="shared" ref="E4:E67" ca="1" si="0">IFERROR(TODAY()-DATE(2000+MID(F4,SEARCH("-",F4,SEARCH("-",F4)+1)+1,2),MID(F4,SEARCH("-",F4,SEARCH("-",F4)+1)+3,2),MID(F4,SEARCH("-",F4,SEARCH("-",F4)+1)+5,2)),"")</f>
        <v>499</v>
      </c>
      <c r="F4" s="304" t="s">
        <v>41</v>
      </c>
      <c r="G4" s="308" t="s">
        <v>42</v>
      </c>
      <c r="H4" s="306" t="s">
        <v>43</v>
      </c>
      <c r="I4" s="306" t="s">
        <v>44</v>
      </c>
      <c r="J4" s="306" t="s">
        <v>45</v>
      </c>
      <c r="K4" s="306"/>
      <c r="L4" s="41" t="s">
        <v>46</v>
      </c>
      <c r="M4" s="219">
        <f t="shared" ref="M4:M31" si="1">COUNTA(D4)*COUNTA(F4)*COUNTA(J4)*COUNTA(L4)</f>
        <v>1</v>
      </c>
      <c r="N4" s="218">
        <v>45687</v>
      </c>
      <c r="O4" s="34" t="s">
        <v>47</v>
      </c>
      <c r="P4" s="36" t="s">
        <v>48</v>
      </c>
      <c r="Q4" s="36" t="s">
        <v>49</v>
      </c>
      <c r="R4" s="36"/>
      <c r="S4" s="224" t="s">
        <v>50</v>
      </c>
      <c r="T4" s="225" t="s">
        <v>51</v>
      </c>
      <c r="U4" s="226">
        <v>-400</v>
      </c>
      <c r="V4" s="226">
        <v>400</v>
      </c>
      <c r="W4" s="303" t="s">
        <v>52</v>
      </c>
      <c r="X4" s="220">
        <v>45705</v>
      </c>
      <c r="Y4" s="34" t="s">
        <v>53</v>
      </c>
      <c r="Z4" s="227"/>
      <c r="AA4" s="236">
        <v>45863</v>
      </c>
      <c r="AB4" s="237" t="s">
        <v>54</v>
      </c>
      <c r="AC4" s="235" t="s">
        <v>55</v>
      </c>
      <c r="AD4" s="230" t="s">
        <v>56</v>
      </c>
      <c r="AE4" s="230"/>
      <c r="AF4" s="230" t="s">
        <v>57</v>
      </c>
      <c r="AG4" s="230"/>
    </row>
    <row r="5" spans="1:33" s="265" customFormat="1" x14ac:dyDescent="0.25">
      <c r="A5" s="257" t="s">
        <v>58</v>
      </c>
      <c r="B5" s="309" t="str">
        <f>IF((COUNTBLANK(AA5)=0),Stats!$E$7,IF((COUNTBLANK(N5)=0),IF((COUNTBLANK(X5)=0),IF((COUNTBLANK(AD5)=0),Stats!$E$6,Stats!$E$5),Stats!$E$4),""))</f>
        <v>Death</v>
      </c>
      <c r="C5" s="310" t="s">
        <v>59</v>
      </c>
      <c r="D5" s="258">
        <v>45712</v>
      </c>
      <c r="E5" s="301">
        <f t="shared" ca="1" si="0"/>
        <v>499</v>
      </c>
      <c r="F5" s="305" t="s">
        <v>60</v>
      </c>
      <c r="G5" s="311" t="s">
        <v>42</v>
      </c>
      <c r="H5" s="306" t="s">
        <v>43</v>
      </c>
      <c r="I5" s="309" t="s">
        <v>44</v>
      </c>
      <c r="J5" s="309" t="s">
        <v>45</v>
      </c>
      <c r="K5" s="309" t="s">
        <v>61</v>
      </c>
      <c r="L5" s="259" t="s">
        <v>62</v>
      </c>
      <c r="M5" s="260">
        <f t="shared" si="1"/>
        <v>1</v>
      </c>
      <c r="N5" s="258">
        <v>45687</v>
      </c>
      <c r="O5" s="228" t="s">
        <v>47</v>
      </c>
      <c r="P5" s="261" t="s">
        <v>48</v>
      </c>
      <c r="Q5" s="261" t="s">
        <v>49</v>
      </c>
      <c r="R5" s="261"/>
      <c r="S5" s="224" t="s">
        <v>50</v>
      </c>
      <c r="T5" s="225" t="s">
        <v>51</v>
      </c>
      <c r="U5" s="226">
        <v>-400</v>
      </c>
      <c r="V5" s="226">
        <v>400</v>
      </c>
      <c r="W5" s="303" t="s">
        <v>63</v>
      </c>
      <c r="X5" s="262">
        <v>45705</v>
      </c>
      <c r="Y5" s="228" t="s">
        <v>53</v>
      </c>
      <c r="Z5" s="227"/>
      <c r="AA5" s="262">
        <v>46010</v>
      </c>
      <c r="AB5" s="263" t="s">
        <v>54</v>
      </c>
      <c r="AC5" s="264" t="s">
        <v>64</v>
      </c>
      <c r="AD5" s="230" t="s">
        <v>56</v>
      </c>
      <c r="AE5" s="230"/>
      <c r="AF5" s="230"/>
      <c r="AG5" s="230"/>
    </row>
    <row r="6" spans="1:33" s="89" customFormat="1" x14ac:dyDescent="0.25">
      <c r="A6" s="32" t="s">
        <v>65</v>
      </c>
      <c r="B6" s="306" t="str">
        <f>IF((COUNTBLANK(AA6)=0),Stats!$E$7,IF((COUNTBLANK(N6)=0),IF((COUNTBLANK(X6)=0),IF((COUNTBLANK(AD6)=0),Stats!$E$6,Stats!$E$5),Stats!$E$4),""))</f>
        <v>Death</v>
      </c>
      <c r="C6" s="307" t="str">
        <f>IF(B6=Stats!$E$5,Stats!$E$11,"")</f>
        <v/>
      </c>
      <c r="D6" s="218">
        <v>45712</v>
      </c>
      <c r="E6" s="301">
        <f t="shared" ca="1" si="0"/>
        <v>499</v>
      </c>
      <c r="F6" s="306" t="s">
        <v>66</v>
      </c>
      <c r="G6" s="308" t="s">
        <v>42</v>
      </c>
      <c r="H6" s="306" t="s">
        <v>43</v>
      </c>
      <c r="I6" s="306" t="s">
        <v>44</v>
      </c>
      <c r="J6" s="306" t="s">
        <v>45</v>
      </c>
      <c r="K6" s="306"/>
      <c r="L6" s="41" t="s">
        <v>46</v>
      </c>
      <c r="M6" s="219">
        <f t="shared" si="1"/>
        <v>1</v>
      </c>
      <c r="N6" s="218">
        <v>45687</v>
      </c>
      <c r="O6" s="34" t="s">
        <v>47</v>
      </c>
      <c r="P6" s="36" t="s">
        <v>67</v>
      </c>
      <c r="Q6" s="36"/>
      <c r="R6" s="36"/>
      <c r="S6" s="224" t="s">
        <v>68</v>
      </c>
      <c r="T6" s="225" t="s">
        <v>51</v>
      </c>
      <c r="U6" s="226">
        <v>-400</v>
      </c>
      <c r="V6" s="226">
        <v>400</v>
      </c>
      <c r="W6" s="303" t="s">
        <v>69</v>
      </c>
      <c r="X6" s="220">
        <v>45705</v>
      </c>
      <c r="Y6" s="34" t="s">
        <v>53</v>
      </c>
      <c r="Z6" s="227"/>
      <c r="AA6" s="220">
        <v>45863</v>
      </c>
      <c r="AB6" s="221" t="s">
        <v>54</v>
      </c>
      <c r="AC6" s="229" t="s">
        <v>70</v>
      </c>
      <c r="AD6" s="230" t="s">
        <v>71</v>
      </c>
      <c r="AE6" s="230"/>
      <c r="AF6" s="230" t="s">
        <v>57</v>
      </c>
      <c r="AG6" s="230"/>
    </row>
    <row r="7" spans="1:33" s="89" customFormat="1" x14ac:dyDescent="0.25">
      <c r="A7" s="32" t="s">
        <v>72</v>
      </c>
      <c r="B7" s="306" t="str">
        <f>IF((COUNTBLANK(AA7)=0),Stats!$E$7,IF((COUNTBLANK(N7)=0),IF((COUNTBLANK(X7)=0),IF((COUNTBLANK(AD7)=0),Stats!$E$6,Stats!$E$5),Stats!$E$4),""))</f>
        <v>Death</v>
      </c>
      <c r="C7" s="307" t="str">
        <f>IF(B7=Stats!$E$5,Stats!$E$11,"")</f>
        <v/>
      </c>
      <c r="D7" s="218">
        <v>45712</v>
      </c>
      <c r="E7" s="301">
        <f t="shared" ca="1" si="0"/>
        <v>499</v>
      </c>
      <c r="F7" s="306" t="s">
        <v>73</v>
      </c>
      <c r="G7" s="308" t="s">
        <v>42</v>
      </c>
      <c r="H7" s="306" t="s">
        <v>43</v>
      </c>
      <c r="I7" s="306" t="s">
        <v>44</v>
      </c>
      <c r="J7" s="306" t="s">
        <v>45</v>
      </c>
      <c r="K7" s="306"/>
      <c r="L7" s="41" t="s">
        <v>46</v>
      </c>
      <c r="M7" s="219">
        <f t="shared" si="1"/>
        <v>1</v>
      </c>
      <c r="N7" s="218">
        <v>45687</v>
      </c>
      <c r="O7" s="34" t="s">
        <v>47</v>
      </c>
      <c r="P7" s="36" t="s">
        <v>67</v>
      </c>
      <c r="Q7" s="36"/>
      <c r="R7" s="36"/>
      <c r="S7" s="224" t="s">
        <v>68</v>
      </c>
      <c r="T7" s="225" t="s">
        <v>51</v>
      </c>
      <c r="U7" s="226">
        <v>-400</v>
      </c>
      <c r="V7" s="226">
        <v>400</v>
      </c>
      <c r="W7" s="303" t="s">
        <v>74</v>
      </c>
      <c r="X7" s="220">
        <v>45705</v>
      </c>
      <c r="Y7" s="34" t="s">
        <v>53</v>
      </c>
      <c r="Z7" s="227"/>
      <c r="AA7" s="220">
        <v>45721</v>
      </c>
      <c r="AB7" s="221" t="s">
        <v>75</v>
      </c>
      <c r="AC7" s="238" t="s">
        <v>76</v>
      </c>
      <c r="AD7" s="230"/>
      <c r="AE7" s="230"/>
      <c r="AF7" s="230" t="s">
        <v>71</v>
      </c>
      <c r="AG7" s="230"/>
    </row>
    <row r="8" spans="1:33" s="89" customFormat="1" x14ac:dyDescent="0.25">
      <c r="A8" s="32" t="s">
        <v>77</v>
      </c>
      <c r="B8" s="306" t="str">
        <f>IF((COUNTBLANK(AA8)=0),Stats!$E$7,IF((COUNTBLANK(N8)=0),IF((COUNTBLANK(X8)=0),IF((COUNTBLANK(AD8)=0),Stats!$E$6,Stats!$E$5),Stats!$E$4),""))</f>
        <v>Death</v>
      </c>
      <c r="C8" s="307" t="str">
        <f>IF(B8=Stats!$E$5,Stats!$E$11,"")</f>
        <v/>
      </c>
      <c r="D8" s="218">
        <v>45712</v>
      </c>
      <c r="E8" s="301">
        <f t="shared" ca="1" si="0"/>
        <v>463</v>
      </c>
      <c r="F8" s="306" t="s">
        <v>78</v>
      </c>
      <c r="G8" s="308" t="s">
        <v>79</v>
      </c>
      <c r="H8" s="306" t="s">
        <v>43</v>
      </c>
      <c r="I8" s="306" t="s">
        <v>44</v>
      </c>
      <c r="J8" s="306" t="s">
        <v>45</v>
      </c>
      <c r="K8" s="306"/>
      <c r="L8" s="41" t="s">
        <v>46</v>
      </c>
      <c r="M8" s="219">
        <f t="shared" si="1"/>
        <v>1</v>
      </c>
      <c r="N8" s="218">
        <v>45688</v>
      </c>
      <c r="O8" s="34" t="s">
        <v>47</v>
      </c>
      <c r="P8" s="36" t="s">
        <v>48</v>
      </c>
      <c r="Q8" s="36" t="s">
        <v>49</v>
      </c>
      <c r="R8" s="36"/>
      <c r="S8" s="224" t="s">
        <v>50</v>
      </c>
      <c r="T8" s="225" t="s">
        <v>51</v>
      </c>
      <c r="U8" s="226">
        <v>-400</v>
      </c>
      <c r="V8" s="226">
        <v>400</v>
      </c>
      <c r="W8" s="303" t="s">
        <v>80</v>
      </c>
      <c r="X8" s="220">
        <v>45698</v>
      </c>
      <c r="Y8" s="34" t="s">
        <v>53</v>
      </c>
      <c r="Z8" s="227"/>
      <c r="AA8" s="220">
        <v>45769</v>
      </c>
      <c r="AB8" s="221" t="s">
        <v>81</v>
      </c>
      <c r="AC8" s="229" t="s">
        <v>82</v>
      </c>
      <c r="AD8" s="230" t="s">
        <v>83</v>
      </c>
      <c r="AE8" s="230" t="s">
        <v>84</v>
      </c>
      <c r="AF8" s="230" t="s">
        <v>85</v>
      </c>
      <c r="AG8" s="230"/>
    </row>
    <row r="9" spans="1:33" s="89" customFormat="1" x14ac:dyDescent="0.25">
      <c r="A9" s="32" t="s">
        <v>86</v>
      </c>
      <c r="B9" s="306" t="str">
        <f>IF((COUNTBLANK(AA9)=0),Stats!$E$7,IF((COUNTBLANK(N9)=0),IF((COUNTBLANK(X9)=0),IF((COUNTBLANK(AD9)=0),Stats!$E$6,Stats!$E$5),Stats!$E$4),""))</f>
        <v>Death</v>
      </c>
      <c r="C9" s="307" t="str">
        <f>IF(B9=Stats!$E$5,Stats!$E$11,"")</f>
        <v/>
      </c>
      <c r="D9" s="218">
        <v>45712</v>
      </c>
      <c r="E9" s="301">
        <f t="shared" ca="1" si="0"/>
        <v>463</v>
      </c>
      <c r="F9" s="306" t="s">
        <v>87</v>
      </c>
      <c r="G9" s="308" t="s">
        <v>79</v>
      </c>
      <c r="H9" s="306" t="s">
        <v>43</v>
      </c>
      <c r="I9" s="306" t="s">
        <v>44</v>
      </c>
      <c r="J9" s="306" t="s">
        <v>45</v>
      </c>
      <c r="K9" s="306"/>
      <c r="L9" s="41" t="s">
        <v>46</v>
      </c>
      <c r="M9" s="219">
        <f t="shared" si="1"/>
        <v>1</v>
      </c>
      <c r="N9" s="218">
        <v>45688</v>
      </c>
      <c r="O9" s="34" t="s">
        <v>47</v>
      </c>
      <c r="P9" s="36" t="s">
        <v>48</v>
      </c>
      <c r="Q9" s="36" t="s">
        <v>49</v>
      </c>
      <c r="R9" s="36"/>
      <c r="S9" s="224" t="s">
        <v>50</v>
      </c>
      <c r="T9" s="225" t="s">
        <v>51</v>
      </c>
      <c r="U9" s="226">
        <v>-400</v>
      </c>
      <c r="V9" s="226">
        <v>400</v>
      </c>
      <c r="W9" s="303" t="s">
        <v>69</v>
      </c>
      <c r="X9" s="220">
        <v>45698</v>
      </c>
      <c r="Y9" s="34" t="s">
        <v>53</v>
      </c>
      <c r="Z9" s="227"/>
      <c r="AA9" s="220">
        <v>45863</v>
      </c>
      <c r="AB9" s="221" t="s">
        <v>54</v>
      </c>
      <c r="AC9" s="229" t="s">
        <v>88</v>
      </c>
      <c r="AD9" s="230" t="s">
        <v>83</v>
      </c>
      <c r="AE9" s="230" t="s">
        <v>89</v>
      </c>
      <c r="AF9" s="230" t="s">
        <v>71</v>
      </c>
      <c r="AG9" s="230"/>
    </row>
    <row r="10" spans="1:33" s="89" customFormat="1" x14ac:dyDescent="0.25">
      <c r="A10" s="32" t="s">
        <v>90</v>
      </c>
      <c r="B10" s="306" t="str">
        <f>IF((COUNTBLANK(AA10)=0),Stats!$E$7,IF((COUNTBLANK(N10)=0),IF((COUNTBLANK(X10)=0),IF((COUNTBLANK(AD10)=0),Stats!$E$6,Stats!$E$5),Stats!$E$4),""))</f>
        <v>Death</v>
      </c>
      <c r="C10" s="307" t="str">
        <f>IF(B10=Stats!$E$5,Stats!$E$11,"")</f>
        <v/>
      </c>
      <c r="D10" s="218">
        <v>45712</v>
      </c>
      <c r="E10" s="301">
        <f t="shared" ca="1" si="0"/>
        <v>463</v>
      </c>
      <c r="F10" s="306" t="s">
        <v>91</v>
      </c>
      <c r="G10" s="308" t="s">
        <v>79</v>
      </c>
      <c r="H10" s="306" t="s">
        <v>43</v>
      </c>
      <c r="I10" s="306" t="s">
        <v>44</v>
      </c>
      <c r="J10" s="306" t="s">
        <v>45</v>
      </c>
      <c r="K10" s="306"/>
      <c r="L10" s="41" t="s">
        <v>46</v>
      </c>
      <c r="M10" s="219">
        <f t="shared" si="1"/>
        <v>1</v>
      </c>
      <c r="N10" s="218">
        <v>45688</v>
      </c>
      <c r="O10" s="34" t="s">
        <v>47</v>
      </c>
      <c r="P10" s="36" t="s">
        <v>48</v>
      </c>
      <c r="Q10" s="36" t="s">
        <v>49</v>
      </c>
      <c r="R10" s="36"/>
      <c r="S10" s="224" t="s">
        <v>50</v>
      </c>
      <c r="T10" s="225" t="s">
        <v>51</v>
      </c>
      <c r="U10" s="226">
        <v>-400</v>
      </c>
      <c r="V10" s="226">
        <v>400</v>
      </c>
      <c r="W10" s="303" t="s">
        <v>92</v>
      </c>
      <c r="X10" s="220">
        <v>45698</v>
      </c>
      <c r="Y10" s="34" t="s">
        <v>53</v>
      </c>
      <c r="Z10" s="227"/>
      <c r="AA10" s="220">
        <v>45863</v>
      </c>
      <c r="AB10" s="221" t="s">
        <v>54</v>
      </c>
      <c r="AC10" s="229" t="s">
        <v>93</v>
      </c>
      <c r="AD10" s="230" t="s">
        <v>83</v>
      </c>
      <c r="AE10" s="230" t="s">
        <v>94</v>
      </c>
      <c r="AF10" s="230" t="s">
        <v>71</v>
      </c>
      <c r="AG10" s="230"/>
    </row>
    <row r="11" spans="1:33" s="89" customFormat="1" x14ac:dyDescent="0.25">
      <c r="A11" s="32" t="s">
        <v>95</v>
      </c>
      <c r="B11" s="306" t="str">
        <f>IF((COUNTBLANK(AA11)=0),Stats!$E$7,IF((COUNTBLANK(N11)=0),IF((COUNTBLANK(X11)=0),IF((COUNTBLANK(AD11)=0),Stats!$E$6,Stats!$E$5),Stats!$E$4),""))</f>
        <v>Death</v>
      </c>
      <c r="C11" s="307" t="str">
        <f>IF(B11=Stats!$E$5,Stats!$E$11,"")</f>
        <v/>
      </c>
      <c r="D11" s="218">
        <v>45712</v>
      </c>
      <c r="E11" s="301">
        <f t="shared" ca="1" si="0"/>
        <v>458</v>
      </c>
      <c r="F11" s="306" t="s">
        <v>96</v>
      </c>
      <c r="G11" s="308" t="s">
        <v>97</v>
      </c>
      <c r="H11" s="306" t="s">
        <v>43</v>
      </c>
      <c r="I11" s="306" t="s">
        <v>44</v>
      </c>
      <c r="J11" s="306" t="s">
        <v>45</v>
      </c>
      <c r="K11" s="306"/>
      <c r="L11" s="41" t="s">
        <v>46</v>
      </c>
      <c r="M11" s="219">
        <f t="shared" si="1"/>
        <v>1</v>
      </c>
      <c r="N11" s="218">
        <v>45688</v>
      </c>
      <c r="O11" s="34" t="s">
        <v>47</v>
      </c>
      <c r="P11" s="36" t="s">
        <v>67</v>
      </c>
      <c r="Q11" s="36"/>
      <c r="R11" s="36"/>
      <c r="S11" s="224" t="s">
        <v>68</v>
      </c>
      <c r="T11" s="225" t="s">
        <v>51</v>
      </c>
      <c r="U11" s="226">
        <v>-400</v>
      </c>
      <c r="V11" s="226">
        <v>400</v>
      </c>
      <c r="W11" s="303" t="s">
        <v>80</v>
      </c>
      <c r="X11" s="220">
        <v>45698</v>
      </c>
      <c r="Y11" s="34" t="s">
        <v>98</v>
      </c>
      <c r="Z11" s="227"/>
      <c r="AA11" s="220">
        <v>45721</v>
      </c>
      <c r="AB11" s="221" t="s">
        <v>75</v>
      </c>
      <c r="AC11" s="229"/>
      <c r="AD11" s="230" t="s">
        <v>71</v>
      </c>
      <c r="AE11" s="230" t="s">
        <v>99</v>
      </c>
      <c r="AF11" s="230" t="s">
        <v>71</v>
      </c>
      <c r="AG11" s="230"/>
    </row>
    <row r="12" spans="1:33" s="89" customFormat="1" x14ac:dyDescent="0.25">
      <c r="A12" s="32" t="s">
        <v>100</v>
      </c>
      <c r="B12" s="306" t="str">
        <f>IF((COUNTBLANK(AA12)=0),Stats!$E$7,IF((COUNTBLANK(N12)=0),IF((COUNTBLANK(X12)=0),IF((COUNTBLANK(AD12)=0),Stats!$E$6,Stats!$E$5),Stats!$E$4),""))</f>
        <v>Death</v>
      </c>
      <c r="C12" s="307" t="str">
        <f>IF(B12=Stats!$E$5,Stats!$E$11,"")</f>
        <v/>
      </c>
      <c r="D12" s="218">
        <v>45712</v>
      </c>
      <c r="E12" s="301">
        <f t="shared" ca="1" si="0"/>
        <v>458</v>
      </c>
      <c r="F12" s="306" t="s">
        <v>101</v>
      </c>
      <c r="G12" s="308" t="s">
        <v>97</v>
      </c>
      <c r="H12" s="306" t="s">
        <v>43</v>
      </c>
      <c r="I12" s="306" t="s">
        <v>44</v>
      </c>
      <c r="J12" s="306" t="s">
        <v>45</v>
      </c>
      <c r="K12" s="306"/>
      <c r="L12" s="41" t="s">
        <v>46</v>
      </c>
      <c r="M12" s="219">
        <f t="shared" si="1"/>
        <v>1</v>
      </c>
      <c r="N12" s="218">
        <v>45688</v>
      </c>
      <c r="O12" s="34" t="s">
        <v>47</v>
      </c>
      <c r="P12" s="36" t="s">
        <v>67</v>
      </c>
      <c r="Q12" s="36"/>
      <c r="R12" s="36"/>
      <c r="S12" s="224" t="s">
        <v>68</v>
      </c>
      <c r="T12" s="225" t="s">
        <v>51</v>
      </c>
      <c r="U12" s="226">
        <v>-400</v>
      </c>
      <c r="V12" s="226">
        <v>400</v>
      </c>
      <c r="W12" s="303" t="s">
        <v>63</v>
      </c>
      <c r="X12" s="220">
        <v>45698</v>
      </c>
      <c r="Y12" s="34" t="s">
        <v>98</v>
      </c>
      <c r="Z12" s="227"/>
      <c r="AA12" s="220">
        <v>45863</v>
      </c>
      <c r="AB12" s="221" t="s">
        <v>54</v>
      </c>
      <c r="AC12" s="229" t="s">
        <v>102</v>
      </c>
      <c r="AD12" s="230" t="s">
        <v>71</v>
      </c>
      <c r="AE12" s="230"/>
      <c r="AF12" s="230"/>
      <c r="AG12" s="230"/>
    </row>
    <row r="13" spans="1:33" s="89" customFormat="1" x14ac:dyDescent="0.25">
      <c r="A13" s="32" t="s">
        <v>103</v>
      </c>
      <c r="B13" s="306" t="str">
        <f>IF((COUNTBLANK(AA13)=0),Stats!$E$7,IF((COUNTBLANK(N13)=0),IF((COUNTBLANK(X13)=0),IF((COUNTBLANK(AD13)=0),Stats!$E$6,Stats!$E$5),Stats!$E$4),""))</f>
        <v>Death</v>
      </c>
      <c r="C13" s="307" t="str">
        <f>IF(B13=Stats!$E$5,Stats!$E$11,"")</f>
        <v/>
      </c>
      <c r="D13" s="218">
        <v>45712</v>
      </c>
      <c r="E13" s="301">
        <f t="shared" ca="1" si="0"/>
        <v>458</v>
      </c>
      <c r="F13" s="306" t="s">
        <v>104</v>
      </c>
      <c r="G13" s="308" t="s">
        <v>97</v>
      </c>
      <c r="H13" s="306" t="s">
        <v>43</v>
      </c>
      <c r="I13" s="306" t="s">
        <v>44</v>
      </c>
      <c r="J13" s="306" t="s">
        <v>45</v>
      </c>
      <c r="K13" s="306"/>
      <c r="L13" s="41" t="s">
        <v>46</v>
      </c>
      <c r="M13" s="219">
        <f t="shared" si="1"/>
        <v>1</v>
      </c>
      <c r="N13" s="218">
        <v>45688</v>
      </c>
      <c r="O13" s="34" t="s">
        <v>47</v>
      </c>
      <c r="P13" s="36" t="s">
        <v>67</v>
      </c>
      <c r="Q13" s="36"/>
      <c r="R13" s="36"/>
      <c r="S13" s="224" t="s">
        <v>105</v>
      </c>
      <c r="T13" s="225" t="s">
        <v>51</v>
      </c>
      <c r="U13" s="226">
        <v>-400</v>
      </c>
      <c r="V13" s="226">
        <v>400</v>
      </c>
      <c r="W13" s="303" t="s">
        <v>69</v>
      </c>
      <c r="X13" s="220">
        <v>45698</v>
      </c>
      <c r="Y13" s="34" t="s">
        <v>98</v>
      </c>
      <c r="Z13" s="227"/>
      <c r="AA13" s="220">
        <v>45863</v>
      </c>
      <c r="AB13" s="221" t="s">
        <v>54</v>
      </c>
      <c r="AC13" s="229" t="s">
        <v>106</v>
      </c>
      <c r="AD13" s="230" t="s">
        <v>71</v>
      </c>
      <c r="AE13" s="230" t="s">
        <v>107</v>
      </c>
      <c r="AF13" s="230" t="s">
        <v>85</v>
      </c>
      <c r="AG13" s="230"/>
    </row>
    <row r="14" spans="1:33" s="89" customFormat="1" x14ac:dyDescent="0.25">
      <c r="A14" s="32" t="s">
        <v>108</v>
      </c>
      <c r="B14" s="306" t="str">
        <f>IF((COUNTBLANK(AA14)=0),Stats!$E$7,IF((COUNTBLANK(N14)=0),IF((COUNTBLANK(X14)=0),IF((COUNTBLANK(AD14)=0),Stats!$E$6,Stats!$E$5),Stats!$E$4),""))</f>
        <v>Death</v>
      </c>
      <c r="C14" s="307" t="str">
        <f>IF(B14=Stats!$E$5,Stats!$E$11,"")</f>
        <v/>
      </c>
      <c r="D14" s="218">
        <v>45712</v>
      </c>
      <c r="E14" s="301">
        <f t="shared" ca="1" si="0"/>
        <v>458</v>
      </c>
      <c r="F14" s="306" t="s">
        <v>109</v>
      </c>
      <c r="G14" s="308" t="s">
        <v>97</v>
      </c>
      <c r="H14" s="306" t="s">
        <v>43</v>
      </c>
      <c r="I14" s="306" t="s">
        <v>44</v>
      </c>
      <c r="J14" s="306" t="s">
        <v>45</v>
      </c>
      <c r="K14" s="306"/>
      <c r="L14" s="41" t="s">
        <v>46</v>
      </c>
      <c r="M14" s="219">
        <f t="shared" si="1"/>
        <v>1</v>
      </c>
      <c r="N14" s="218">
        <v>45688</v>
      </c>
      <c r="O14" s="34" t="s">
        <v>47</v>
      </c>
      <c r="P14" s="36" t="s">
        <v>67</v>
      </c>
      <c r="Q14" s="36"/>
      <c r="R14" s="36"/>
      <c r="S14" s="224" t="s">
        <v>105</v>
      </c>
      <c r="T14" s="225" t="s">
        <v>51</v>
      </c>
      <c r="U14" s="226">
        <v>-400</v>
      </c>
      <c r="V14" s="226">
        <v>400</v>
      </c>
      <c r="W14" s="303" t="s">
        <v>74</v>
      </c>
      <c r="X14" s="220">
        <v>45698</v>
      </c>
      <c r="Y14" s="34" t="s">
        <v>98</v>
      </c>
      <c r="Z14" s="227"/>
      <c r="AA14" s="220">
        <v>45721</v>
      </c>
      <c r="AB14" s="221" t="s">
        <v>75</v>
      </c>
      <c r="AC14" s="229"/>
      <c r="AD14" s="230" t="s">
        <v>71</v>
      </c>
      <c r="AE14" s="230" t="s">
        <v>110</v>
      </c>
      <c r="AF14" s="230" t="s">
        <v>71</v>
      </c>
      <c r="AG14" s="230"/>
    </row>
    <row r="15" spans="1:33" s="89" customFormat="1" x14ac:dyDescent="0.25">
      <c r="A15" s="32" t="s">
        <v>111</v>
      </c>
      <c r="B15" s="306" t="str">
        <f>IF((COUNTBLANK(AA15)=0),Stats!$E$7,IF((COUNTBLANK(N15)=0),IF((COUNTBLANK(X15)=0),IF((COUNTBLANK(AD15)=0),Stats!$E$6,Stats!$E$5),Stats!$E$4),""))</f>
        <v>Death</v>
      </c>
      <c r="C15" s="307" t="str">
        <f>IF(B15=Stats!$E$5,Stats!$E$11,"")</f>
        <v/>
      </c>
      <c r="D15" s="218">
        <v>45712</v>
      </c>
      <c r="E15" s="301">
        <f t="shared" ca="1" si="0"/>
        <v>499</v>
      </c>
      <c r="F15" s="306" t="s">
        <v>112</v>
      </c>
      <c r="G15" s="308" t="s">
        <v>113</v>
      </c>
      <c r="H15" s="306" t="s">
        <v>43</v>
      </c>
      <c r="I15" s="306" t="s">
        <v>114</v>
      </c>
      <c r="J15" s="306" t="s">
        <v>45</v>
      </c>
      <c r="K15" s="306"/>
      <c r="L15" s="41" t="s">
        <v>46</v>
      </c>
      <c r="M15" s="219">
        <f t="shared" si="1"/>
        <v>1</v>
      </c>
      <c r="N15" s="218">
        <v>45688</v>
      </c>
      <c r="O15" s="34" t="s">
        <v>47</v>
      </c>
      <c r="P15" s="36" t="s">
        <v>67</v>
      </c>
      <c r="Q15" s="36"/>
      <c r="R15" s="36"/>
      <c r="S15" s="224" t="s">
        <v>68</v>
      </c>
      <c r="T15" s="225" t="s">
        <v>51</v>
      </c>
      <c r="U15" s="226">
        <v>-400</v>
      </c>
      <c r="V15" s="226">
        <v>400</v>
      </c>
      <c r="W15" s="303" t="s">
        <v>74</v>
      </c>
      <c r="X15" s="220">
        <v>45705</v>
      </c>
      <c r="Y15" s="34" t="s">
        <v>98</v>
      </c>
      <c r="Z15" s="227"/>
      <c r="AA15" s="220">
        <v>45863</v>
      </c>
      <c r="AB15" s="221" t="s">
        <v>54</v>
      </c>
      <c r="AC15" s="229"/>
      <c r="AD15" s="230" t="s">
        <v>71</v>
      </c>
      <c r="AE15" s="230" t="s">
        <v>115</v>
      </c>
      <c r="AF15" s="230" t="s">
        <v>116</v>
      </c>
      <c r="AG15" s="230"/>
    </row>
    <row r="16" spans="1:33" s="89" customFormat="1" x14ac:dyDescent="0.25">
      <c r="A16" s="32" t="s">
        <v>117</v>
      </c>
      <c r="B16" s="306" t="str">
        <f>IF((COUNTBLANK(AA16)=0),Stats!$E$7,IF((COUNTBLANK(N16)=0),IF((COUNTBLANK(X16)=0),IF((COUNTBLANK(AD16)=0),Stats!$E$6,Stats!$E$5),Stats!$E$4),""))</f>
        <v>Death</v>
      </c>
      <c r="C16" s="307" t="str">
        <f>IF(B16=Stats!$E$5,Stats!$E$11,"")</f>
        <v/>
      </c>
      <c r="D16" s="218">
        <v>45712</v>
      </c>
      <c r="E16" s="301">
        <f t="shared" ca="1" si="0"/>
        <v>499</v>
      </c>
      <c r="F16" s="306" t="s">
        <v>118</v>
      </c>
      <c r="G16" s="308" t="s">
        <v>113</v>
      </c>
      <c r="H16" s="306" t="s">
        <v>43</v>
      </c>
      <c r="I16" s="306" t="s">
        <v>114</v>
      </c>
      <c r="J16" s="306" t="s">
        <v>45</v>
      </c>
      <c r="K16" s="306"/>
      <c r="L16" s="41" t="s">
        <v>46</v>
      </c>
      <c r="M16" s="219">
        <f t="shared" si="1"/>
        <v>1</v>
      </c>
      <c r="N16" s="218">
        <v>45688</v>
      </c>
      <c r="O16" s="34" t="s">
        <v>47</v>
      </c>
      <c r="P16" s="36" t="s">
        <v>67</v>
      </c>
      <c r="Q16" s="36"/>
      <c r="R16" s="36"/>
      <c r="S16" s="224" t="s">
        <v>105</v>
      </c>
      <c r="T16" s="225" t="s">
        <v>51</v>
      </c>
      <c r="U16" s="226">
        <v>-400</v>
      </c>
      <c r="V16" s="226">
        <v>400</v>
      </c>
      <c r="W16" s="303" t="s">
        <v>80</v>
      </c>
      <c r="X16" s="220">
        <v>45705</v>
      </c>
      <c r="Y16" s="34" t="s">
        <v>98</v>
      </c>
      <c r="Z16" s="227"/>
      <c r="AA16" s="220">
        <v>45863</v>
      </c>
      <c r="AB16" s="221" t="s">
        <v>54</v>
      </c>
      <c r="AC16" s="229"/>
      <c r="AD16" s="230" t="s">
        <v>71</v>
      </c>
      <c r="AE16" s="230" t="s">
        <v>119</v>
      </c>
      <c r="AF16" s="230" t="s">
        <v>116</v>
      </c>
      <c r="AG16" s="230"/>
    </row>
    <row r="17" spans="1:33" s="89" customFormat="1" x14ac:dyDescent="0.25">
      <c r="A17" s="32" t="s">
        <v>120</v>
      </c>
      <c r="B17" s="306" t="str">
        <f>IF((COUNTBLANK(AA17)=0),Stats!$E$7,IF((COUNTBLANK(N17)=0),IF((COUNTBLANK(X17)=0),IF((COUNTBLANK(AD17)=0),Stats!$E$6,Stats!$E$5),Stats!$E$4),""))</f>
        <v>Death</v>
      </c>
      <c r="C17" s="307" t="str">
        <f>IF(B17=Stats!$E$5,Stats!$E$11,"")</f>
        <v/>
      </c>
      <c r="D17" s="218">
        <v>45712</v>
      </c>
      <c r="E17" s="301">
        <f t="shared" ca="1" si="0"/>
        <v>499</v>
      </c>
      <c r="F17" s="306" t="s">
        <v>121</v>
      </c>
      <c r="G17" s="308" t="s">
        <v>113</v>
      </c>
      <c r="H17" s="306" t="s">
        <v>43</v>
      </c>
      <c r="I17" s="306" t="s">
        <v>114</v>
      </c>
      <c r="J17" s="306" t="s">
        <v>45</v>
      </c>
      <c r="K17" s="306"/>
      <c r="L17" s="41" t="s">
        <v>46</v>
      </c>
      <c r="M17" s="219">
        <f t="shared" si="1"/>
        <v>1</v>
      </c>
      <c r="N17" s="218">
        <v>45688</v>
      </c>
      <c r="O17" s="34" t="s">
        <v>47</v>
      </c>
      <c r="P17" s="36" t="s">
        <v>67</v>
      </c>
      <c r="Q17" s="36"/>
      <c r="R17" s="36"/>
      <c r="S17" s="224" t="s">
        <v>105</v>
      </c>
      <c r="T17" s="225" t="s">
        <v>51</v>
      </c>
      <c r="U17" s="226">
        <v>-400</v>
      </c>
      <c r="V17" s="226">
        <v>400</v>
      </c>
      <c r="W17" s="303" t="s">
        <v>63</v>
      </c>
      <c r="X17" s="220">
        <v>45705</v>
      </c>
      <c r="Y17" s="34" t="s">
        <v>98</v>
      </c>
      <c r="Z17" s="227"/>
      <c r="AA17" s="220">
        <v>45863</v>
      </c>
      <c r="AB17" s="221" t="s">
        <v>54</v>
      </c>
      <c r="AC17" s="241" t="s">
        <v>122</v>
      </c>
      <c r="AD17" s="230" t="s">
        <v>123</v>
      </c>
      <c r="AE17" s="230" t="s">
        <v>110</v>
      </c>
      <c r="AF17" s="230" t="s">
        <v>124</v>
      </c>
      <c r="AG17" s="230"/>
    </row>
    <row r="18" spans="1:33" s="89" customFormat="1" x14ac:dyDescent="0.25">
      <c r="A18" s="32" t="s">
        <v>125</v>
      </c>
      <c r="B18" s="306" t="str">
        <f>IF((COUNTBLANK(AA18)=0),Stats!$E$7,IF((COUNTBLANK(N18)=0),IF((COUNTBLANK(X18)=0),IF((COUNTBLANK(AD18)=0),Stats!$E$6,Stats!$E$5),Stats!$E$4),""))</f>
        <v>Death</v>
      </c>
      <c r="C18" s="307" t="str">
        <f>IF(B18=Stats!$E$5,Stats!$E$11,"")</f>
        <v/>
      </c>
      <c r="D18" s="218">
        <v>45712</v>
      </c>
      <c r="E18" s="301">
        <f t="shared" ca="1" si="0"/>
        <v>499</v>
      </c>
      <c r="F18" s="306" t="s">
        <v>126</v>
      </c>
      <c r="G18" s="308" t="s">
        <v>113</v>
      </c>
      <c r="H18" s="306" t="s">
        <v>43</v>
      </c>
      <c r="I18" s="306" t="s">
        <v>114</v>
      </c>
      <c r="J18" s="306" t="s">
        <v>45</v>
      </c>
      <c r="K18" s="306"/>
      <c r="L18" s="41" t="s">
        <v>46</v>
      </c>
      <c r="M18" s="219">
        <f t="shared" si="1"/>
        <v>1</v>
      </c>
      <c r="N18" s="218">
        <v>45688</v>
      </c>
      <c r="O18" s="34" t="s">
        <v>47</v>
      </c>
      <c r="P18" s="36" t="s">
        <v>67</v>
      </c>
      <c r="Q18" s="36"/>
      <c r="R18" s="36"/>
      <c r="S18" s="224" t="s">
        <v>105</v>
      </c>
      <c r="T18" s="225" t="s">
        <v>51</v>
      </c>
      <c r="U18" s="226">
        <v>-400</v>
      </c>
      <c r="V18" s="226">
        <v>400</v>
      </c>
      <c r="W18" s="303" t="s">
        <v>69</v>
      </c>
      <c r="X18" s="220">
        <v>45705</v>
      </c>
      <c r="Y18" s="34" t="s">
        <v>98</v>
      </c>
      <c r="Z18" s="227"/>
      <c r="AA18" s="220">
        <v>45863</v>
      </c>
      <c r="AB18" s="221" t="s">
        <v>54</v>
      </c>
      <c r="AC18" s="229"/>
      <c r="AD18" s="230" t="s">
        <v>123</v>
      </c>
      <c r="AE18" s="230" t="s">
        <v>127</v>
      </c>
      <c r="AF18" s="230" t="s">
        <v>116</v>
      </c>
      <c r="AG18" s="230"/>
    </row>
    <row r="19" spans="1:33" s="268" customFormat="1" x14ac:dyDescent="0.25">
      <c r="A19" s="32" t="s">
        <v>128</v>
      </c>
      <c r="B19" s="306" t="str">
        <f>IF((COUNTBLANK(AA19)=0),Stats!$E$7,IF((COUNTBLANK(N19)=0),IF((COUNTBLANK(X19)=0),IF((COUNTBLANK(AD19)=0),Stats!$E$6,Stats!$E$5),Stats!$E$4),""))</f>
        <v>Death</v>
      </c>
      <c r="C19" s="307" t="s">
        <v>59</v>
      </c>
      <c r="D19" s="218">
        <v>45712</v>
      </c>
      <c r="E19" s="301">
        <f t="shared" ca="1" si="0"/>
        <v>461</v>
      </c>
      <c r="F19" s="306" t="s">
        <v>129</v>
      </c>
      <c r="G19" s="308" t="s">
        <v>130</v>
      </c>
      <c r="H19" s="306" t="s">
        <v>131</v>
      </c>
      <c r="I19" s="306" t="s">
        <v>114</v>
      </c>
      <c r="J19" s="306" t="s">
        <v>45</v>
      </c>
      <c r="K19" s="306" t="s">
        <v>132</v>
      </c>
      <c r="L19" s="41" t="s">
        <v>46</v>
      </c>
      <c r="M19" s="219">
        <f t="shared" si="1"/>
        <v>1</v>
      </c>
      <c r="N19" s="218" t="s">
        <v>71</v>
      </c>
      <c r="O19" s="34" t="s">
        <v>71</v>
      </c>
      <c r="P19" s="36"/>
      <c r="Q19" s="36"/>
      <c r="R19" s="36"/>
      <c r="S19" s="224"/>
      <c r="T19" s="225"/>
      <c r="U19" s="226"/>
      <c r="V19" s="226"/>
      <c r="W19" s="303"/>
      <c r="X19" s="220">
        <v>45706</v>
      </c>
      <c r="Y19" s="34" t="s">
        <v>98</v>
      </c>
      <c r="Z19" s="227"/>
      <c r="AA19" s="220">
        <v>45931</v>
      </c>
      <c r="AB19" s="221" t="s">
        <v>133</v>
      </c>
      <c r="AC19" s="266"/>
      <c r="AD19" s="267" t="s">
        <v>134</v>
      </c>
      <c r="AE19" s="267" t="s">
        <v>135</v>
      </c>
      <c r="AF19" s="267" t="s">
        <v>71</v>
      </c>
      <c r="AG19" s="267"/>
    </row>
    <row r="20" spans="1:33" s="268" customFormat="1" x14ac:dyDescent="0.25">
      <c r="A20" s="32" t="s">
        <v>136</v>
      </c>
      <c r="B20" s="306" t="str">
        <f>IF((COUNTBLANK(AA20)=0),Stats!$E$7,IF((COUNTBLANK(N20)=0),IF((COUNTBLANK(X20)=0),IF((COUNTBLANK(AD20)=0),Stats!$E$6,Stats!$E$5),Stats!$E$4),""))</f>
        <v>Death</v>
      </c>
      <c r="C20" s="307" t="s">
        <v>59</v>
      </c>
      <c r="D20" s="218">
        <v>45712</v>
      </c>
      <c r="E20" s="301">
        <f t="shared" ca="1" si="0"/>
        <v>461</v>
      </c>
      <c r="F20" s="306" t="s">
        <v>137</v>
      </c>
      <c r="G20" s="308" t="s">
        <v>130</v>
      </c>
      <c r="H20" s="306" t="s">
        <v>131</v>
      </c>
      <c r="I20" s="306" t="s">
        <v>114</v>
      </c>
      <c r="J20" s="306" t="s">
        <v>45</v>
      </c>
      <c r="K20" s="306" t="s">
        <v>132</v>
      </c>
      <c r="L20" s="41" t="s">
        <v>46</v>
      </c>
      <c r="M20" s="219">
        <f t="shared" si="1"/>
        <v>1</v>
      </c>
      <c r="N20" s="218" t="s">
        <v>71</v>
      </c>
      <c r="O20" s="34" t="s">
        <v>71</v>
      </c>
      <c r="P20" s="36"/>
      <c r="Q20" s="36"/>
      <c r="R20" s="36"/>
      <c r="S20" s="224"/>
      <c r="T20" s="225"/>
      <c r="U20" s="226"/>
      <c r="V20" s="226"/>
      <c r="W20" s="303"/>
      <c r="X20" s="220">
        <v>45706</v>
      </c>
      <c r="Y20" s="34" t="s">
        <v>98</v>
      </c>
      <c r="Z20" s="227"/>
      <c r="AA20" s="220">
        <v>45931</v>
      </c>
      <c r="AB20" s="221" t="s">
        <v>133</v>
      </c>
      <c r="AC20" s="266"/>
      <c r="AD20" s="267" t="s">
        <v>138</v>
      </c>
      <c r="AE20" s="267" t="s">
        <v>135</v>
      </c>
      <c r="AF20" s="267" t="s">
        <v>71</v>
      </c>
      <c r="AG20" s="267"/>
    </row>
    <row r="21" spans="1:33" s="268" customFormat="1" x14ac:dyDescent="0.25">
      <c r="A21" s="32" t="s">
        <v>139</v>
      </c>
      <c r="B21" s="306" t="str">
        <f>IF((COUNTBLANK(AA21)=0),Stats!$E$7,IF((COUNTBLANK(N21)=0),IF((COUNTBLANK(X21)=0),IF((COUNTBLANK(AD21)=0),Stats!$E$6,Stats!$E$5),Stats!$E$4),""))</f>
        <v>Experiment</v>
      </c>
      <c r="C21" s="307" t="s">
        <v>59</v>
      </c>
      <c r="D21" s="218">
        <v>45712</v>
      </c>
      <c r="E21" s="301">
        <f t="shared" ca="1" si="0"/>
        <v>433</v>
      </c>
      <c r="F21" s="306" t="s">
        <v>140</v>
      </c>
      <c r="G21" s="308" t="s">
        <v>141</v>
      </c>
      <c r="H21" s="306" t="s">
        <v>131</v>
      </c>
      <c r="I21" s="306" t="s">
        <v>44</v>
      </c>
      <c r="J21" s="306" t="s">
        <v>45</v>
      </c>
      <c r="K21" s="306" t="s">
        <v>132</v>
      </c>
      <c r="L21" s="41" t="s">
        <v>46</v>
      </c>
      <c r="M21" s="219">
        <f t="shared" si="1"/>
        <v>1</v>
      </c>
      <c r="N21" s="218" t="s">
        <v>71</v>
      </c>
      <c r="O21" s="34" t="s">
        <v>71</v>
      </c>
      <c r="P21" s="36"/>
      <c r="Q21" s="36"/>
      <c r="R21" s="36"/>
      <c r="S21" s="224"/>
      <c r="T21" s="225"/>
      <c r="U21" s="226"/>
      <c r="V21" s="226"/>
      <c r="W21" s="303" t="s">
        <v>142</v>
      </c>
      <c r="X21" s="220">
        <v>45706</v>
      </c>
      <c r="Y21" s="34" t="s">
        <v>98</v>
      </c>
      <c r="Z21" s="227"/>
      <c r="AA21" s="220"/>
      <c r="AB21" s="221"/>
      <c r="AC21" s="266"/>
      <c r="AD21" s="267" t="s">
        <v>143</v>
      </c>
      <c r="AE21" s="267" t="s">
        <v>144</v>
      </c>
      <c r="AF21" s="267" t="s">
        <v>71</v>
      </c>
      <c r="AG21" s="267"/>
    </row>
    <row r="22" spans="1:33" s="89" customFormat="1" x14ac:dyDescent="0.25">
      <c r="A22" s="32" t="s">
        <v>145</v>
      </c>
      <c r="B22" s="306" t="str">
        <f>IF((COUNTBLANK(AA22)=0),Stats!$E$7,IF((COUNTBLANK(N22)=0),IF((COUNTBLANK(X22)=0),IF((COUNTBLANK(AD22)=0),Stats!$E$6,Stats!$E$5),Stats!$E$4),""))</f>
        <v>Death</v>
      </c>
      <c r="C22" s="307" t="str">
        <f>IF(B22=Stats!$E$5,Stats!$E$11,"")</f>
        <v/>
      </c>
      <c r="D22" s="218">
        <v>45712</v>
      </c>
      <c r="E22" s="301">
        <f t="shared" ca="1" si="0"/>
        <v>433</v>
      </c>
      <c r="F22" s="306" t="s">
        <v>146</v>
      </c>
      <c r="G22" s="308" t="s">
        <v>141</v>
      </c>
      <c r="H22" s="306" t="s">
        <v>131</v>
      </c>
      <c r="I22" s="306" t="s">
        <v>44</v>
      </c>
      <c r="J22" s="306" t="s">
        <v>45</v>
      </c>
      <c r="K22" s="306"/>
      <c r="L22" s="41" t="s">
        <v>46</v>
      </c>
      <c r="M22" s="219">
        <f t="shared" si="1"/>
        <v>1</v>
      </c>
      <c r="N22" s="218" t="s">
        <v>71</v>
      </c>
      <c r="O22" s="34" t="s">
        <v>71</v>
      </c>
      <c r="P22" s="36"/>
      <c r="Q22" s="36"/>
      <c r="R22" s="36"/>
      <c r="S22" s="224"/>
      <c r="T22" s="225"/>
      <c r="U22" s="226"/>
      <c r="V22" s="226"/>
      <c r="W22" s="303" t="s">
        <v>63</v>
      </c>
      <c r="X22" s="220">
        <v>45706</v>
      </c>
      <c r="Y22" s="34" t="s">
        <v>98</v>
      </c>
      <c r="Z22" s="227"/>
      <c r="AA22" s="220">
        <v>45740</v>
      </c>
      <c r="AB22" s="221" t="s">
        <v>133</v>
      </c>
      <c r="AC22" s="229"/>
      <c r="AD22" s="230" t="s">
        <v>147</v>
      </c>
      <c r="AE22" s="230"/>
      <c r="AF22" s="230" t="s">
        <v>71</v>
      </c>
      <c r="AG22" s="230"/>
    </row>
    <row r="23" spans="1:33" s="268" customFormat="1" x14ac:dyDescent="0.25">
      <c r="A23" s="32" t="s">
        <v>148</v>
      </c>
      <c r="B23" s="306" t="str">
        <f>IF((COUNTBLANK(AA23)=0),Stats!$E$7,IF((COUNTBLANK(N23)=0),IF((COUNTBLANK(X23)=0),IF((COUNTBLANK(AD23)=0),Stats!$E$6,Stats!$E$5),Stats!$E$4),""))</f>
        <v>Experiment</v>
      </c>
      <c r="C23" s="307" t="s">
        <v>59</v>
      </c>
      <c r="D23" s="218">
        <v>45712</v>
      </c>
      <c r="E23" s="301">
        <f t="shared" ca="1" si="0"/>
        <v>433</v>
      </c>
      <c r="F23" s="306" t="s">
        <v>140</v>
      </c>
      <c r="G23" s="308" t="s">
        <v>149</v>
      </c>
      <c r="H23" s="306" t="s">
        <v>131</v>
      </c>
      <c r="I23" s="306" t="s">
        <v>44</v>
      </c>
      <c r="J23" s="306" t="s">
        <v>45</v>
      </c>
      <c r="K23" s="306" t="s">
        <v>132</v>
      </c>
      <c r="L23" s="41" t="s">
        <v>46</v>
      </c>
      <c r="M23" s="219">
        <f t="shared" si="1"/>
        <v>1</v>
      </c>
      <c r="N23" s="218" t="s">
        <v>71</v>
      </c>
      <c r="O23" s="34" t="s">
        <v>71</v>
      </c>
      <c r="P23" s="36"/>
      <c r="Q23" s="36"/>
      <c r="R23" s="36"/>
      <c r="S23" s="224"/>
      <c r="T23" s="225"/>
      <c r="U23" s="226"/>
      <c r="V23" s="226"/>
      <c r="W23" s="303" t="s">
        <v>142</v>
      </c>
      <c r="X23" s="220">
        <v>45706</v>
      </c>
      <c r="Y23" s="34" t="s">
        <v>98</v>
      </c>
      <c r="Z23" s="227"/>
      <c r="AA23" s="220"/>
      <c r="AB23" s="221"/>
      <c r="AC23" s="266"/>
      <c r="AD23" s="267" t="s">
        <v>143</v>
      </c>
      <c r="AE23" s="267" t="s">
        <v>144</v>
      </c>
      <c r="AF23" s="267" t="s">
        <v>71</v>
      </c>
      <c r="AG23" s="267"/>
    </row>
    <row r="24" spans="1:33" s="89" customFormat="1" x14ac:dyDescent="0.25">
      <c r="A24" s="32" t="s">
        <v>150</v>
      </c>
      <c r="B24" s="306" t="str">
        <f>IF((COUNTBLANK(AA24)=0),Stats!$E$7,IF((COUNTBLANK(N24)=0),IF((COUNTBLANK(X24)=0),IF((COUNTBLANK(AD24)=0),Stats!$E$6,Stats!$E$5),Stats!$E$4),""))</f>
        <v>Death</v>
      </c>
      <c r="C24" s="307" t="str">
        <f>IF(B24=Stats!$E$5,Stats!$E$11,"")</f>
        <v/>
      </c>
      <c r="D24" s="218">
        <v>45726</v>
      </c>
      <c r="E24" s="301">
        <f t="shared" ca="1" si="0"/>
        <v>423</v>
      </c>
      <c r="F24" s="306" t="s">
        <v>151</v>
      </c>
      <c r="G24" s="308" t="s">
        <v>97</v>
      </c>
      <c r="H24" s="306" t="s">
        <v>152</v>
      </c>
      <c r="I24" s="306" t="s">
        <v>114</v>
      </c>
      <c r="J24" s="306" t="s">
        <v>45</v>
      </c>
      <c r="K24" s="306"/>
      <c r="L24" s="41" t="s">
        <v>46</v>
      </c>
      <c r="M24" s="219">
        <f t="shared" si="1"/>
        <v>1</v>
      </c>
      <c r="N24" s="218">
        <v>45721</v>
      </c>
      <c r="O24" s="34" t="s">
        <v>153</v>
      </c>
      <c r="P24" s="36" t="s">
        <v>154</v>
      </c>
      <c r="Q24" s="36" t="s">
        <v>155</v>
      </c>
      <c r="R24" s="36"/>
      <c r="S24" s="224" t="s">
        <v>156</v>
      </c>
      <c r="T24" s="225" t="s">
        <v>51</v>
      </c>
      <c r="U24" s="226">
        <v>-400</v>
      </c>
      <c r="V24" s="226">
        <v>400</v>
      </c>
      <c r="W24" s="303" t="s">
        <v>80</v>
      </c>
      <c r="X24" s="220">
        <v>45791</v>
      </c>
      <c r="Y24" s="34"/>
      <c r="Z24" s="227"/>
      <c r="AA24" s="220">
        <v>45835</v>
      </c>
      <c r="AB24" s="221" t="s">
        <v>133</v>
      </c>
      <c r="AC24" s="229" t="s">
        <v>157</v>
      </c>
      <c r="AD24" s="230"/>
      <c r="AE24" s="230"/>
      <c r="AF24" s="230"/>
      <c r="AG24" s="230"/>
    </row>
    <row r="25" spans="1:33" s="89" customFormat="1" x14ac:dyDescent="0.25">
      <c r="A25" s="32" t="s">
        <v>158</v>
      </c>
      <c r="B25" s="306" t="str">
        <f>IF((COUNTBLANK(AA25)=0),Stats!$E$7,IF((COUNTBLANK(N25)=0),IF((COUNTBLANK(X25)=0),IF((COUNTBLANK(AD25)=0),Stats!$E$6,Stats!$E$5),Stats!$E$4),""))</f>
        <v>Death</v>
      </c>
      <c r="C25" s="307" t="str">
        <f>IF(B25=Stats!$E$5,Stats!$E$11,"")</f>
        <v/>
      </c>
      <c r="D25" s="218">
        <v>45726</v>
      </c>
      <c r="E25" s="301">
        <f t="shared" ca="1" si="0"/>
        <v>423</v>
      </c>
      <c r="F25" s="306" t="s">
        <v>159</v>
      </c>
      <c r="G25" s="308" t="s">
        <v>97</v>
      </c>
      <c r="H25" s="306" t="s">
        <v>152</v>
      </c>
      <c r="I25" s="306" t="s">
        <v>114</v>
      </c>
      <c r="J25" s="306" t="s">
        <v>45</v>
      </c>
      <c r="K25" s="306"/>
      <c r="L25" s="41" t="s">
        <v>46</v>
      </c>
      <c r="M25" s="219">
        <f t="shared" si="1"/>
        <v>1</v>
      </c>
      <c r="N25" s="218">
        <v>45721</v>
      </c>
      <c r="O25" s="34" t="s">
        <v>153</v>
      </c>
      <c r="P25" s="36" t="s">
        <v>154</v>
      </c>
      <c r="Q25" s="36" t="s">
        <v>155</v>
      </c>
      <c r="R25" s="36"/>
      <c r="S25" s="224" t="s">
        <v>156</v>
      </c>
      <c r="T25" s="225" t="s">
        <v>51</v>
      </c>
      <c r="U25" s="226">
        <v>-400</v>
      </c>
      <c r="V25" s="226">
        <v>400</v>
      </c>
      <c r="W25" s="303" t="s">
        <v>63</v>
      </c>
      <c r="X25" s="220">
        <v>45791</v>
      </c>
      <c r="Y25" s="34"/>
      <c r="Z25" s="227"/>
      <c r="AA25" s="220">
        <v>45809</v>
      </c>
      <c r="AB25" s="221" t="s">
        <v>160</v>
      </c>
      <c r="AC25" s="229" t="s">
        <v>161</v>
      </c>
      <c r="AD25" s="230"/>
      <c r="AE25" s="230"/>
      <c r="AF25" s="230"/>
      <c r="AG25" s="230"/>
    </row>
    <row r="26" spans="1:33" s="89" customFormat="1" ht="15" customHeight="1" x14ac:dyDescent="0.25">
      <c r="A26" s="32" t="s">
        <v>162</v>
      </c>
      <c r="B26" s="306" t="str">
        <f>IF((COUNTBLANK(AA26)=0),Stats!$E$7,IF((COUNTBLANK(N26)=0),IF((COUNTBLANK(X26)=0),IF((COUNTBLANK(AD26)=0),Stats!$E$6,Stats!$E$5),Stats!$E$4),""))</f>
        <v>Death</v>
      </c>
      <c r="C26" s="307" t="str">
        <f>IF(B26=Stats!$E$5,Stats!$E$11,"")</f>
        <v/>
      </c>
      <c r="D26" s="218">
        <v>45726</v>
      </c>
      <c r="E26" s="301">
        <f t="shared" ca="1" si="0"/>
        <v>423</v>
      </c>
      <c r="F26" s="306" t="s">
        <v>163</v>
      </c>
      <c r="G26" s="308" t="s">
        <v>97</v>
      </c>
      <c r="H26" s="306" t="s">
        <v>152</v>
      </c>
      <c r="I26" s="306" t="s">
        <v>114</v>
      </c>
      <c r="J26" s="306" t="s">
        <v>45</v>
      </c>
      <c r="K26" s="306"/>
      <c r="L26" s="41" t="s">
        <v>46</v>
      </c>
      <c r="M26" s="219">
        <f t="shared" si="1"/>
        <v>1</v>
      </c>
      <c r="N26" s="218">
        <v>45721</v>
      </c>
      <c r="O26" s="34" t="s">
        <v>153</v>
      </c>
      <c r="P26" s="36" t="s">
        <v>154</v>
      </c>
      <c r="Q26" s="36" t="s">
        <v>155</v>
      </c>
      <c r="R26" s="36"/>
      <c r="S26" s="224" t="s">
        <v>164</v>
      </c>
      <c r="T26" s="225" t="s">
        <v>51</v>
      </c>
      <c r="U26" s="226">
        <v>-400</v>
      </c>
      <c r="V26" s="226">
        <v>400</v>
      </c>
      <c r="W26" s="303" t="s">
        <v>69</v>
      </c>
      <c r="X26" s="220">
        <v>45791</v>
      </c>
      <c r="Y26" s="34"/>
      <c r="Z26" s="227"/>
      <c r="AA26" s="220">
        <v>45809</v>
      </c>
      <c r="AB26" s="221" t="s">
        <v>160</v>
      </c>
      <c r="AC26" s="229" t="s">
        <v>161</v>
      </c>
      <c r="AD26" s="230"/>
      <c r="AE26" s="230"/>
      <c r="AF26" s="230"/>
      <c r="AG26" s="230"/>
    </row>
    <row r="27" spans="1:33" s="89" customFormat="1" ht="15" customHeight="1" x14ac:dyDescent="0.25">
      <c r="A27" s="32" t="s">
        <v>165</v>
      </c>
      <c r="B27" s="306" t="str">
        <f>IF((COUNTBLANK(AA27)=0),Stats!$E$7,IF((COUNTBLANK(N27)=0),IF((COUNTBLANK(X27)=0),IF((COUNTBLANK(AD27)=0),Stats!$E$6,Stats!$E$5),Stats!$E$4),""))</f>
        <v>Death</v>
      </c>
      <c r="C27" s="307" t="s">
        <v>59</v>
      </c>
      <c r="D27" s="218">
        <v>45726</v>
      </c>
      <c r="E27" s="301">
        <f t="shared" ca="1" si="0"/>
        <v>423</v>
      </c>
      <c r="F27" s="306" t="s">
        <v>166</v>
      </c>
      <c r="G27" s="308" t="s">
        <v>97</v>
      </c>
      <c r="H27" s="306" t="s">
        <v>152</v>
      </c>
      <c r="I27" s="306" t="s">
        <v>114</v>
      </c>
      <c r="J27" s="306" t="s">
        <v>45</v>
      </c>
      <c r="K27" s="306" t="s">
        <v>132</v>
      </c>
      <c r="L27" s="41" t="s">
        <v>46</v>
      </c>
      <c r="M27" s="219">
        <f t="shared" si="1"/>
        <v>1</v>
      </c>
      <c r="N27" s="218">
        <v>45721</v>
      </c>
      <c r="O27" s="34" t="s">
        <v>153</v>
      </c>
      <c r="P27" s="36" t="s">
        <v>154</v>
      </c>
      <c r="Q27" s="36" t="s">
        <v>155</v>
      </c>
      <c r="R27" s="36"/>
      <c r="S27" s="224" t="s">
        <v>164</v>
      </c>
      <c r="T27" s="225" t="s">
        <v>51</v>
      </c>
      <c r="U27" s="226">
        <v>-400</v>
      </c>
      <c r="V27" s="226">
        <v>400</v>
      </c>
      <c r="W27" s="303" t="s">
        <v>167</v>
      </c>
      <c r="X27" s="220"/>
      <c r="Y27" s="34"/>
      <c r="Z27" s="227"/>
      <c r="AA27" s="220">
        <v>45946</v>
      </c>
      <c r="AB27" s="221" t="s">
        <v>133</v>
      </c>
      <c r="AC27" s="229" t="s">
        <v>168</v>
      </c>
      <c r="AD27" s="230"/>
      <c r="AE27" s="230"/>
      <c r="AF27" s="230"/>
      <c r="AG27" s="230"/>
    </row>
    <row r="28" spans="1:33" s="89" customFormat="1" ht="15" customHeight="1" x14ac:dyDescent="0.25">
      <c r="A28" s="32" t="s">
        <v>169</v>
      </c>
      <c r="B28" s="306" t="str">
        <f>IF((COUNTBLANK(AA28)=0),Stats!$E$7,IF((COUNTBLANK(N28)=0),IF((COUNTBLANK(X28)=0),IF((COUNTBLANK(AD28)=0),Stats!$E$6,Stats!$E$5),Stats!$E$4),""))</f>
        <v>Death</v>
      </c>
      <c r="C28" s="307" t="str">
        <f>IF(B28=Stats!$E$5,Stats!$E$11,"")</f>
        <v/>
      </c>
      <c r="D28" s="218">
        <v>45726</v>
      </c>
      <c r="E28" s="301">
        <f t="shared" ca="1" si="0"/>
        <v>419</v>
      </c>
      <c r="F28" s="306" t="s">
        <v>170</v>
      </c>
      <c r="G28" s="308" t="s">
        <v>42</v>
      </c>
      <c r="H28" s="306" t="s">
        <v>43</v>
      </c>
      <c r="I28" s="306" t="s">
        <v>44</v>
      </c>
      <c r="J28" s="306" t="s">
        <v>45</v>
      </c>
      <c r="K28" s="306"/>
      <c r="L28" s="41" t="s">
        <v>46</v>
      </c>
      <c r="M28" s="219">
        <f t="shared" si="1"/>
        <v>1</v>
      </c>
      <c r="N28" s="218">
        <v>45720</v>
      </c>
      <c r="O28" s="34" t="s">
        <v>53</v>
      </c>
      <c r="P28" s="36" t="s">
        <v>171</v>
      </c>
      <c r="Q28" s="36" t="s">
        <v>155</v>
      </c>
      <c r="R28" s="36"/>
      <c r="S28" s="224" t="s">
        <v>156</v>
      </c>
      <c r="T28" s="225" t="s">
        <v>51</v>
      </c>
      <c r="U28" s="226">
        <v>-300</v>
      </c>
      <c r="V28" s="226">
        <v>400</v>
      </c>
      <c r="W28" s="303" t="s">
        <v>63</v>
      </c>
      <c r="X28" s="220">
        <v>45720</v>
      </c>
      <c r="Y28" s="34" t="s">
        <v>53</v>
      </c>
      <c r="Z28" s="227"/>
      <c r="AA28" s="220">
        <v>45958</v>
      </c>
      <c r="AB28" s="221" t="s">
        <v>54</v>
      </c>
      <c r="AC28" s="241" t="s">
        <v>172</v>
      </c>
      <c r="AD28" s="230"/>
      <c r="AE28" s="230"/>
      <c r="AF28" s="230"/>
      <c r="AG28" s="230"/>
    </row>
    <row r="29" spans="1:33" s="89" customFormat="1" ht="15" customHeight="1" x14ac:dyDescent="0.25">
      <c r="A29" s="32" t="s">
        <v>173</v>
      </c>
      <c r="B29" s="306" t="str">
        <f>IF((COUNTBLANK(AA29)=0),Stats!$E$7,IF((COUNTBLANK(N29)=0),IF((COUNTBLANK(X29)=0),IF((COUNTBLANK(AD29)=0),Stats!$E$6,Stats!$E$5),Stats!$E$4),""))</f>
        <v>Death</v>
      </c>
      <c r="C29" s="307" t="str">
        <f>IF(B29=Stats!$E$5,Stats!$E$11,"")</f>
        <v/>
      </c>
      <c r="D29" s="218">
        <v>45726</v>
      </c>
      <c r="E29" s="301">
        <f t="shared" ca="1" si="0"/>
        <v>419</v>
      </c>
      <c r="F29" s="306" t="s">
        <v>174</v>
      </c>
      <c r="G29" s="308" t="s">
        <v>42</v>
      </c>
      <c r="H29" s="306" t="s">
        <v>43</v>
      </c>
      <c r="I29" s="306" t="s">
        <v>44</v>
      </c>
      <c r="J29" s="306" t="s">
        <v>45</v>
      </c>
      <c r="K29" s="306"/>
      <c r="L29" s="41" t="s">
        <v>46</v>
      </c>
      <c r="M29" s="219">
        <f t="shared" si="1"/>
        <v>1</v>
      </c>
      <c r="N29" s="218">
        <v>45720</v>
      </c>
      <c r="O29" s="34" t="s">
        <v>53</v>
      </c>
      <c r="P29" s="36" t="s">
        <v>171</v>
      </c>
      <c r="Q29" s="36" t="s">
        <v>155</v>
      </c>
      <c r="R29" s="36"/>
      <c r="S29" s="224" t="s">
        <v>156</v>
      </c>
      <c r="T29" s="225" t="s">
        <v>51</v>
      </c>
      <c r="U29" s="226">
        <v>-300</v>
      </c>
      <c r="V29" s="226">
        <v>400</v>
      </c>
      <c r="W29" s="303" t="s">
        <v>80</v>
      </c>
      <c r="X29" s="220">
        <v>45720</v>
      </c>
      <c r="Y29" s="34" t="s">
        <v>53</v>
      </c>
      <c r="Z29" s="227"/>
      <c r="AA29" s="220">
        <v>45958</v>
      </c>
      <c r="AB29" s="221" t="s">
        <v>54</v>
      </c>
      <c r="AC29" s="229" t="s">
        <v>175</v>
      </c>
      <c r="AD29" s="230"/>
      <c r="AE29" s="230"/>
      <c r="AF29" s="230"/>
      <c r="AG29" s="230"/>
    </row>
    <row r="30" spans="1:33" s="89" customFormat="1" ht="15" customHeight="1" x14ac:dyDescent="0.25">
      <c r="A30" s="32" t="s">
        <v>176</v>
      </c>
      <c r="B30" s="306" t="str">
        <f>IF((COUNTBLANK(AA30)=0),Stats!$E$7,IF((COUNTBLANK(N30)=0),IF((COUNTBLANK(X30)=0),IF((COUNTBLANK(AD30)=0),Stats!$E$6,Stats!$E$5),Stats!$E$4),""))</f>
        <v>Death</v>
      </c>
      <c r="C30" s="307" t="str">
        <f>IF(B30=Stats!$E$5,Stats!$E$11,"")</f>
        <v/>
      </c>
      <c r="D30" s="218">
        <v>45726</v>
      </c>
      <c r="E30" s="301">
        <f t="shared" ca="1" si="0"/>
        <v>419</v>
      </c>
      <c r="F30" s="306" t="s">
        <v>177</v>
      </c>
      <c r="G30" s="308" t="s">
        <v>42</v>
      </c>
      <c r="H30" s="306" t="s">
        <v>43</v>
      </c>
      <c r="I30" s="306" t="s">
        <v>44</v>
      </c>
      <c r="J30" s="306" t="s">
        <v>45</v>
      </c>
      <c r="K30" s="306"/>
      <c r="L30" s="41" t="s">
        <v>46</v>
      </c>
      <c r="M30" s="219">
        <f t="shared" si="1"/>
        <v>1</v>
      </c>
      <c r="N30" s="218">
        <v>45720</v>
      </c>
      <c r="O30" s="34" t="s">
        <v>53</v>
      </c>
      <c r="P30" s="36" t="s">
        <v>171</v>
      </c>
      <c r="Q30" s="36" t="s">
        <v>155</v>
      </c>
      <c r="R30" s="36"/>
      <c r="S30" s="224" t="s">
        <v>164</v>
      </c>
      <c r="T30" s="225" t="s">
        <v>51</v>
      </c>
      <c r="U30" s="226">
        <v>-300</v>
      </c>
      <c r="V30" s="226">
        <v>400</v>
      </c>
      <c r="W30" s="303" t="s">
        <v>167</v>
      </c>
      <c r="X30" s="220">
        <v>45720</v>
      </c>
      <c r="Y30" s="34" t="s">
        <v>53</v>
      </c>
      <c r="Z30" s="227"/>
      <c r="AA30" s="220">
        <v>45958</v>
      </c>
      <c r="AB30" s="221" t="s">
        <v>54</v>
      </c>
      <c r="AC30" s="242" t="s">
        <v>178</v>
      </c>
      <c r="AD30" s="230"/>
      <c r="AE30" s="230"/>
      <c r="AF30" s="230"/>
      <c r="AG30" s="230"/>
    </row>
    <row r="31" spans="1:33" s="89" customFormat="1" x14ac:dyDescent="0.25">
      <c r="A31" s="32" t="s">
        <v>179</v>
      </c>
      <c r="B31" s="306" t="str">
        <f>IF((COUNTBLANK(AA31)=0),Stats!$E$7,IF((COUNTBLANK(N31)=0),IF((COUNTBLANK(X31)=0),IF((COUNTBLANK(AD31)=0),Stats!$E$6,Stats!$E$5),Stats!$E$4),""))</f>
        <v>Check-up</v>
      </c>
      <c r="C31" s="307" t="s">
        <v>59</v>
      </c>
      <c r="D31" s="218">
        <v>45726</v>
      </c>
      <c r="E31" s="301">
        <f t="shared" ca="1" si="0"/>
        <v>419</v>
      </c>
      <c r="F31" s="306" t="s">
        <v>180</v>
      </c>
      <c r="G31" s="308" t="s">
        <v>113</v>
      </c>
      <c r="H31" s="306" t="s">
        <v>43</v>
      </c>
      <c r="I31" s="306" t="s">
        <v>44</v>
      </c>
      <c r="J31" s="306" t="s">
        <v>45</v>
      </c>
      <c r="K31" s="306" t="s">
        <v>132</v>
      </c>
      <c r="L31" s="41" t="s">
        <v>46</v>
      </c>
      <c r="M31" s="219">
        <f t="shared" si="1"/>
        <v>1</v>
      </c>
      <c r="N31" s="218">
        <v>45720</v>
      </c>
      <c r="O31" s="34" t="s">
        <v>53</v>
      </c>
      <c r="P31" s="36" t="s">
        <v>181</v>
      </c>
      <c r="Q31" s="36" t="s">
        <v>182</v>
      </c>
      <c r="R31" s="36"/>
      <c r="S31" s="224" t="s">
        <v>164</v>
      </c>
      <c r="T31" s="225" t="s">
        <v>51</v>
      </c>
      <c r="U31" s="226">
        <v>-300</v>
      </c>
      <c r="V31" s="226">
        <v>400</v>
      </c>
      <c r="W31" s="303" t="s">
        <v>80</v>
      </c>
      <c r="X31" s="220">
        <v>45720</v>
      </c>
      <c r="Y31" s="34" t="s">
        <v>53</v>
      </c>
      <c r="Z31" s="227"/>
      <c r="AA31" s="220"/>
      <c r="AB31" s="221"/>
      <c r="AC31" s="229" t="s">
        <v>183</v>
      </c>
      <c r="AD31" s="230"/>
      <c r="AE31" s="230"/>
      <c r="AF31" s="230"/>
      <c r="AG31" s="230"/>
    </row>
    <row r="32" spans="1:33" s="89" customFormat="1" ht="15" customHeight="1" x14ac:dyDescent="0.25">
      <c r="A32" s="32" t="s">
        <v>184</v>
      </c>
      <c r="B32" s="306" t="str">
        <f>IF((COUNTBLANK(AA32)=0),Stats!$E$7,IF((COUNTBLANK(N32)=0),IF((COUNTBLANK(X32)=0),IF((COUNTBLANK(AD32)=0),Stats!$E$6,Stats!$E$5),Stats!$E$4),""))</f>
        <v>Death</v>
      </c>
      <c r="C32" s="307" t="s">
        <v>59</v>
      </c>
      <c r="D32" s="218">
        <v>45726</v>
      </c>
      <c r="E32" s="301">
        <f t="shared" ca="1" si="0"/>
        <v>419</v>
      </c>
      <c r="F32" s="306" t="s">
        <v>185</v>
      </c>
      <c r="G32" s="308" t="s">
        <v>113</v>
      </c>
      <c r="H32" s="306" t="s">
        <v>43</v>
      </c>
      <c r="I32" s="306" t="s">
        <v>44</v>
      </c>
      <c r="J32" s="306" t="s">
        <v>45</v>
      </c>
      <c r="K32" s="306" t="s">
        <v>132</v>
      </c>
      <c r="L32" s="41" t="s">
        <v>46</v>
      </c>
      <c r="M32" s="219"/>
      <c r="N32" s="218">
        <v>45720</v>
      </c>
      <c r="O32" s="34" t="s">
        <v>53</v>
      </c>
      <c r="P32" s="36" t="s">
        <v>181</v>
      </c>
      <c r="Q32" s="36" t="s">
        <v>182</v>
      </c>
      <c r="R32" s="36"/>
      <c r="S32" s="224" t="s">
        <v>186</v>
      </c>
      <c r="T32" s="225" t="s">
        <v>51</v>
      </c>
      <c r="U32" s="226">
        <v>-300</v>
      </c>
      <c r="V32" s="226">
        <v>400</v>
      </c>
      <c r="W32" s="303" t="s">
        <v>63</v>
      </c>
      <c r="X32" s="220">
        <v>45720</v>
      </c>
      <c r="Y32" s="34" t="s">
        <v>53</v>
      </c>
      <c r="Z32" s="227"/>
      <c r="AA32" s="220">
        <v>45946</v>
      </c>
      <c r="AB32" s="221" t="s">
        <v>133</v>
      </c>
      <c r="AC32" s="229" t="s">
        <v>183</v>
      </c>
      <c r="AD32" s="230"/>
      <c r="AE32" s="230"/>
      <c r="AF32" s="230"/>
      <c r="AG32" s="230"/>
    </row>
    <row r="33" spans="1:33" s="89" customFormat="1" ht="15" customHeight="1" x14ac:dyDescent="0.25">
      <c r="A33" s="32" t="s">
        <v>187</v>
      </c>
      <c r="B33" s="306" t="str">
        <f>IF((COUNTBLANK(AA33)=0),Stats!$E$7,IF((COUNTBLANK(N33)=0),IF((COUNTBLANK(X33)=0),IF((COUNTBLANK(AD33)=0),Stats!$E$6,Stats!$E$5),Stats!$E$4),""))</f>
        <v>Death</v>
      </c>
      <c r="C33" s="307" t="str">
        <f>IF(B33=Stats!$E$5,Stats!$E$11,"")</f>
        <v/>
      </c>
      <c r="D33" s="218">
        <v>45726</v>
      </c>
      <c r="E33" s="301">
        <f t="shared" ca="1" si="0"/>
        <v>419</v>
      </c>
      <c r="F33" s="306" t="s">
        <v>188</v>
      </c>
      <c r="G33" s="308" t="s">
        <v>79</v>
      </c>
      <c r="H33" s="306" t="s">
        <v>43</v>
      </c>
      <c r="I33" s="306" t="s">
        <v>44</v>
      </c>
      <c r="J33" s="306" t="s">
        <v>45</v>
      </c>
      <c r="K33" s="306"/>
      <c r="L33" s="41" t="s">
        <v>46</v>
      </c>
      <c r="M33" s="219"/>
      <c r="N33" s="218">
        <v>45723</v>
      </c>
      <c r="O33" s="34" t="s">
        <v>53</v>
      </c>
      <c r="P33" s="36" t="s">
        <v>189</v>
      </c>
      <c r="Q33" s="36"/>
      <c r="R33" s="36"/>
      <c r="S33" s="224" t="s">
        <v>68</v>
      </c>
      <c r="T33" s="225" t="s">
        <v>51</v>
      </c>
      <c r="U33" s="226">
        <v>-300</v>
      </c>
      <c r="V33" s="226">
        <v>400</v>
      </c>
      <c r="W33" s="303" t="s">
        <v>80</v>
      </c>
      <c r="X33" s="220">
        <v>45723</v>
      </c>
      <c r="Y33" s="34" t="s">
        <v>53</v>
      </c>
      <c r="Z33" s="227"/>
      <c r="AA33" s="220">
        <v>45884</v>
      </c>
      <c r="AB33" s="221"/>
      <c r="AC33" s="229" t="s">
        <v>190</v>
      </c>
      <c r="AD33" s="230"/>
      <c r="AE33" s="230"/>
      <c r="AF33" s="230"/>
      <c r="AG33" s="230"/>
    </row>
    <row r="34" spans="1:33" s="89" customFormat="1" ht="15" customHeight="1" x14ac:dyDescent="0.25">
      <c r="A34" s="32" t="s">
        <v>191</v>
      </c>
      <c r="B34" s="306" t="str">
        <f>IF((COUNTBLANK(AA34)=0),Stats!$E$7,IF((COUNTBLANK(N34)=0),IF((COUNTBLANK(X34)=0),IF((COUNTBLANK(AD34)=0),Stats!$E$6,Stats!$E$5),Stats!$E$4),""))</f>
        <v>Death</v>
      </c>
      <c r="C34" s="307" t="s">
        <v>192</v>
      </c>
      <c r="D34" s="218">
        <v>45726</v>
      </c>
      <c r="E34" s="301">
        <f t="shared" ca="1" si="0"/>
        <v>458</v>
      </c>
      <c r="F34" s="306" t="s">
        <v>193</v>
      </c>
      <c r="G34" s="308" t="s">
        <v>79</v>
      </c>
      <c r="H34" s="306" t="s">
        <v>43</v>
      </c>
      <c r="I34" s="306" t="s">
        <v>114</v>
      </c>
      <c r="J34" s="306" t="s">
        <v>45</v>
      </c>
      <c r="K34" s="306"/>
      <c r="L34" s="41" t="s">
        <v>46</v>
      </c>
      <c r="M34" s="219">
        <f>COUNTA(D34)*COUNTA(F34)*COUNTA(J34)*COUNTA(L34)</f>
        <v>1</v>
      </c>
      <c r="N34" s="218">
        <v>45723</v>
      </c>
      <c r="O34" s="34" t="s">
        <v>53</v>
      </c>
      <c r="P34" s="36" t="s">
        <v>189</v>
      </c>
      <c r="Q34" s="36"/>
      <c r="R34" s="36"/>
      <c r="S34" s="224" t="s">
        <v>68</v>
      </c>
      <c r="T34" s="225" t="s">
        <v>51</v>
      </c>
      <c r="U34" s="226">
        <v>-300</v>
      </c>
      <c r="V34" s="226">
        <v>400</v>
      </c>
      <c r="W34" s="303" t="s">
        <v>52</v>
      </c>
      <c r="X34" s="220">
        <v>45723</v>
      </c>
      <c r="Y34" s="34" t="s">
        <v>53</v>
      </c>
      <c r="Z34" s="227"/>
      <c r="AA34" s="220">
        <v>45884</v>
      </c>
      <c r="AB34" s="221"/>
      <c r="AC34" s="229" t="s">
        <v>190</v>
      </c>
      <c r="AD34" s="230"/>
      <c r="AE34" s="230"/>
      <c r="AF34" s="230"/>
      <c r="AG34" s="230"/>
    </row>
    <row r="35" spans="1:33" s="275" customFormat="1" ht="15" customHeight="1" x14ac:dyDescent="0.25">
      <c r="A35" s="32" t="s">
        <v>194</v>
      </c>
      <c r="B35" s="306" t="str">
        <f>IF((COUNTBLANK(AA35)=0),Stats!$E$7,IF((COUNTBLANK(N35)=0),IF((COUNTBLANK(X35)=0),IF((COUNTBLANK(AD35)=0),Stats!$E$6,Stats!$E$5),Stats!$E$4),""))</f>
        <v>Experiment</v>
      </c>
      <c r="C35" s="307" t="s">
        <v>59</v>
      </c>
      <c r="D35" s="218">
        <v>45726</v>
      </c>
      <c r="E35" s="301">
        <f t="shared" ca="1" si="0"/>
        <v>458</v>
      </c>
      <c r="F35" s="306" t="s">
        <v>195</v>
      </c>
      <c r="G35" s="308" t="s">
        <v>79</v>
      </c>
      <c r="H35" s="306" t="s">
        <v>152</v>
      </c>
      <c r="I35" s="306" t="s">
        <v>114</v>
      </c>
      <c r="J35" s="306" t="s">
        <v>45</v>
      </c>
      <c r="K35" s="306" t="s">
        <v>132</v>
      </c>
      <c r="L35" s="41" t="s">
        <v>46</v>
      </c>
      <c r="M35" s="219">
        <f>COUNTA(D35)*COUNTA(F35)*COUNTA(J35)*COUNTA(L35)</f>
        <v>1</v>
      </c>
      <c r="N35" s="218">
        <v>45723</v>
      </c>
      <c r="O35" s="34" t="s">
        <v>53</v>
      </c>
      <c r="P35" s="36" t="s">
        <v>182</v>
      </c>
      <c r="Q35" s="36"/>
      <c r="R35" s="36"/>
      <c r="S35" s="224" t="s">
        <v>196</v>
      </c>
      <c r="T35" s="225" t="s">
        <v>51</v>
      </c>
      <c r="U35" s="226">
        <v>-300</v>
      </c>
      <c r="V35" s="226">
        <v>400</v>
      </c>
      <c r="W35" s="303" t="s">
        <v>197</v>
      </c>
      <c r="X35" s="220">
        <v>45723</v>
      </c>
      <c r="Y35" s="34" t="s">
        <v>53</v>
      </c>
      <c r="Z35" s="227"/>
      <c r="AA35" s="220"/>
      <c r="AB35" s="221"/>
      <c r="AC35" s="272" t="s">
        <v>198</v>
      </c>
      <c r="AD35" s="273">
        <v>45742</v>
      </c>
      <c r="AE35" s="274" t="s">
        <v>199</v>
      </c>
      <c r="AF35" s="274"/>
      <c r="AG35" s="274"/>
    </row>
    <row r="36" spans="1:33" s="252" customFormat="1" ht="15" customHeight="1" x14ac:dyDescent="0.25">
      <c r="A36" s="32" t="s">
        <v>200</v>
      </c>
      <c r="B36" s="306" t="str">
        <f>IF((COUNTBLANK(AA36)=0),Stats!$E$7,IF((COUNTBLANK(N36)=0),IF((COUNTBLANK(X36)=0),IF((COUNTBLANK(AD36)=0),Stats!$E$6,Stats!$E$5),Stats!$E$4),""))</f>
        <v>Experiment</v>
      </c>
      <c r="C36" s="307" t="s">
        <v>59</v>
      </c>
      <c r="D36" s="218">
        <v>45726</v>
      </c>
      <c r="E36" s="301">
        <f t="shared" ca="1" si="0"/>
        <v>458</v>
      </c>
      <c r="F36" s="306" t="s">
        <v>201</v>
      </c>
      <c r="G36" s="308" t="s">
        <v>79</v>
      </c>
      <c r="H36" s="306" t="s">
        <v>152</v>
      </c>
      <c r="I36" s="306" t="s">
        <v>114</v>
      </c>
      <c r="J36" s="306" t="s">
        <v>45</v>
      </c>
      <c r="K36" s="306" t="s">
        <v>132</v>
      </c>
      <c r="L36" s="41" t="s">
        <v>46</v>
      </c>
      <c r="M36" s="219">
        <f>COUNTA(D36)*COUNTA(F36)*COUNTA(J36)*COUNTA(L36)</f>
        <v>1</v>
      </c>
      <c r="N36" s="218">
        <v>45723</v>
      </c>
      <c r="O36" s="34" t="s">
        <v>53</v>
      </c>
      <c r="P36" s="36" t="s">
        <v>182</v>
      </c>
      <c r="Q36" s="36"/>
      <c r="R36" s="36"/>
      <c r="S36" s="224" t="s">
        <v>196</v>
      </c>
      <c r="T36" s="225" t="s">
        <v>51</v>
      </c>
      <c r="U36" s="226">
        <v>-300</v>
      </c>
      <c r="V36" s="226">
        <v>400</v>
      </c>
      <c r="W36" s="303" t="s">
        <v>167</v>
      </c>
      <c r="X36" s="220">
        <v>45723</v>
      </c>
      <c r="Y36" s="34" t="s">
        <v>53</v>
      </c>
      <c r="Z36" s="227"/>
      <c r="AA36" s="220"/>
      <c r="AB36" s="221"/>
      <c r="AC36" s="254" t="s">
        <v>202</v>
      </c>
      <c r="AD36" s="255">
        <v>45742</v>
      </c>
      <c r="AE36" s="251"/>
      <c r="AF36" s="251"/>
      <c r="AG36" s="251"/>
    </row>
    <row r="37" spans="1:33" s="278" customFormat="1" ht="15" customHeight="1" x14ac:dyDescent="0.25">
      <c r="A37" s="32" t="s">
        <v>203</v>
      </c>
      <c r="B37" s="306" t="str">
        <f>IF((COUNTBLANK(AA37)=0),Stats!$E$7,IF((COUNTBLANK(N37)=0),IF((COUNTBLANK(X37)=0),IF((COUNTBLANK(AD37)=0),Stats!$E$6,Stats!$E$5),Stats!$E$4),""))</f>
        <v>Death</v>
      </c>
      <c r="C37" s="307" t="s">
        <v>204</v>
      </c>
      <c r="D37" s="218">
        <v>45726</v>
      </c>
      <c r="E37" s="301">
        <f t="shared" ca="1" si="0"/>
        <v>423</v>
      </c>
      <c r="F37" s="306" t="s">
        <v>205</v>
      </c>
      <c r="G37" s="308" t="s">
        <v>130</v>
      </c>
      <c r="H37" s="306" t="s">
        <v>43</v>
      </c>
      <c r="I37" s="306" t="s">
        <v>44</v>
      </c>
      <c r="J37" s="306" t="s">
        <v>206</v>
      </c>
      <c r="K37" s="306"/>
      <c r="L37" s="41" t="s">
        <v>207</v>
      </c>
      <c r="M37" s="219"/>
      <c r="N37" s="218">
        <v>45718</v>
      </c>
      <c r="O37" s="34" t="s">
        <v>53</v>
      </c>
      <c r="P37" s="36" t="s">
        <v>208</v>
      </c>
      <c r="Q37" s="36"/>
      <c r="R37" s="36"/>
      <c r="S37" s="224"/>
      <c r="T37" s="225" t="s">
        <v>51</v>
      </c>
      <c r="U37" s="226">
        <v>-300</v>
      </c>
      <c r="V37" s="226">
        <v>400</v>
      </c>
      <c r="W37" s="303" t="s">
        <v>52</v>
      </c>
      <c r="X37" s="220">
        <v>45718</v>
      </c>
      <c r="Y37" s="34" t="s">
        <v>53</v>
      </c>
      <c r="Z37" s="227"/>
      <c r="AA37" s="220">
        <v>45922</v>
      </c>
      <c r="AB37" s="221" t="s">
        <v>75</v>
      </c>
      <c r="AC37" s="276" t="s">
        <v>209</v>
      </c>
      <c r="AD37" s="277"/>
      <c r="AE37" s="277"/>
      <c r="AF37" s="277"/>
      <c r="AG37" s="277"/>
    </row>
    <row r="38" spans="1:33" s="278" customFormat="1" ht="15" customHeight="1" x14ac:dyDescent="0.25">
      <c r="A38" s="32" t="s">
        <v>210</v>
      </c>
      <c r="B38" s="306" t="str">
        <f>IF((COUNTBLANK(AA38)=0),Stats!$E$7,IF((COUNTBLANK(N38)=0),IF((COUNTBLANK(X38)=0),IF((COUNTBLANK(AD38)=0),Stats!$E$6,Stats!$E$5),Stats!$E$4),""))</f>
        <v>Death</v>
      </c>
      <c r="C38" s="307" t="s">
        <v>204</v>
      </c>
      <c r="D38" s="218">
        <v>45726</v>
      </c>
      <c r="E38" s="301">
        <f t="shared" ca="1" si="0"/>
        <v>423</v>
      </c>
      <c r="F38" s="306" t="s">
        <v>211</v>
      </c>
      <c r="G38" s="308" t="s">
        <v>130</v>
      </c>
      <c r="H38" s="306" t="s">
        <v>43</v>
      </c>
      <c r="I38" s="306" t="s">
        <v>44</v>
      </c>
      <c r="J38" s="306" t="s">
        <v>206</v>
      </c>
      <c r="K38" s="306"/>
      <c r="L38" s="41" t="s">
        <v>207</v>
      </c>
      <c r="M38" s="219"/>
      <c r="N38" s="218">
        <v>45718</v>
      </c>
      <c r="O38" s="34" t="s">
        <v>53</v>
      </c>
      <c r="P38" s="36" t="s">
        <v>208</v>
      </c>
      <c r="Q38" s="36"/>
      <c r="R38" s="36"/>
      <c r="S38" s="224"/>
      <c r="T38" s="225" t="s">
        <v>51</v>
      </c>
      <c r="U38" s="226">
        <v>-300</v>
      </c>
      <c r="V38" s="226">
        <v>400</v>
      </c>
      <c r="W38" s="303" t="s">
        <v>167</v>
      </c>
      <c r="X38" s="220">
        <v>45718</v>
      </c>
      <c r="Y38" s="34" t="s">
        <v>53</v>
      </c>
      <c r="Z38" s="227"/>
      <c r="AA38" s="220">
        <v>45922</v>
      </c>
      <c r="AB38" s="221" t="s">
        <v>75</v>
      </c>
      <c r="AC38" s="279" t="s">
        <v>212</v>
      </c>
      <c r="AD38" s="277"/>
      <c r="AE38" s="277"/>
      <c r="AF38" s="277"/>
      <c r="AG38" s="277"/>
    </row>
    <row r="39" spans="1:33" s="278" customFormat="1" ht="15" customHeight="1" x14ac:dyDescent="0.25">
      <c r="A39" s="32" t="s">
        <v>213</v>
      </c>
      <c r="B39" s="306" t="str">
        <f>IF((COUNTBLANK(AA39)=0),Stats!$E$7,IF((COUNTBLANK(N39)=0),IF((COUNTBLANK(X39)=0),IF((COUNTBLANK(AD39)=0),Stats!$E$6,Stats!$E$5),Stats!$E$4),""))</f>
        <v>Death</v>
      </c>
      <c r="C39" s="307" t="s">
        <v>204</v>
      </c>
      <c r="D39" s="218">
        <v>45726</v>
      </c>
      <c r="E39" s="301">
        <f t="shared" ca="1" si="0"/>
        <v>423</v>
      </c>
      <c r="F39" s="306" t="s">
        <v>214</v>
      </c>
      <c r="G39" s="308" t="s">
        <v>130</v>
      </c>
      <c r="H39" s="306" t="s">
        <v>43</v>
      </c>
      <c r="I39" s="306" t="s">
        <v>44</v>
      </c>
      <c r="J39" s="306" t="s">
        <v>206</v>
      </c>
      <c r="K39" s="306"/>
      <c r="L39" s="41" t="s">
        <v>207</v>
      </c>
      <c r="M39" s="219"/>
      <c r="N39" s="218">
        <v>45718</v>
      </c>
      <c r="O39" s="34" t="s">
        <v>53</v>
      </c>
      <c r="P39" s="36" t="s">
        <v>208</v>
      </c>
      <c r="Q39" s="36"/>
      <c r="R39" s="36"/>
      <c r="S39" s="224"/>
      <c r="T39" s="225" t="s">
        <v>51</v>
      </c>
      <c r="U39" s="226">
        <v>-300</v>
      </c>
      <c r="V39" s="226">
        <v>400</v>
      </c>
      <c r="W39" s="303" t="s">
        <v>197</v>
      </c>
      <c r="X39" s="220">
        <v>45718</v>
      </c>
      <c r="Y39" s="34" t="s">
        <v>53</v>
      </c>
      <c r="Z39" s="227"/>
      <c r="AA39" s="220">
        <v>45922</v>
      </c>
      <c r="AB39" s="221" t="s">
        <v>75</v>
      </c>
      <c r="AC39" s="279" t="s">
        <v>215</v>
      </c>
      <c r="AD39" s="277"/>
      <c r="AE39" s="277"/>
      <c r="AF39" s="277"/>
      <c r="AG39" s="277"/>
    </row>
    <row r="40" spans="1:33" s="89" customFormat="1" ht="15" customHeight="1" x14ac:dyDescent="0.25">
      <c r="A40" s="32" t="s">
        <v>216</v>
      </c>
      <c r="B40" s="306" t="str">
        <f>IF((COUNTBLANK(AA40)=0),Stats!$E$7,IF((COUNTBLANK(N40)=0),IF((COUNTBLANK(X40)=0),IF((COUNTBLANK(AD40)=0),Stats!$E$6,Stats!$E$5),Stats!$E$4),""))</f>
        <v>Death</v>
      </c>
      <c r="C40" s="307" t="s">
        <v>204</v>
      </c>
      <c r="D40" s="218">
        <v>45726</v>
      </c>
      <c r="E40" s="301">
        <f t="shared" ca="1" si="0"/>
        <v>423</v>
      </c>
      <c r="F40" s="306" t="s">
        <v>217</v>
      </c>
      <c r="G40" s="308" t="s">
        <v>130</v>
      </c>
      <c r="H40" s="306" t="s">
        <v>43</v>
      </c>
      <c r="I40" s="306" t="s">
        <v>44</v>
      </c>
      <c r="J40" s="306" t="s">
        <v>206</v>
      </c>
      <c r="K40" s="306"/>
      <c r="L40" s="41"/>
      <c r="M40" s="219"/>
      <c r="N40" s="218">
        <v>45718</v>
      </c>
      <c r="O40" s="34" t="s">
        <v>53</v>
      </c>
      <c r="P40" s="36" t="s">
        <v>67</v>
      </c>
      <c r="Q40" s="36"/>
      <c r="R40" s="36"/>
      <c r="S40" s="224"/>
      <c r="T40" s="225" t="s">
        <v>51</v>
      </c>
      <c r="U40" s="226">
        <v>-300</v>
      </c>
      <c r="V40" s="226">
        <v>400</v>
      </c>
      <c r="W40" s="303" t="s">
        <v>92</v>
      </c>
      <c r="X40" s="220">
        <v>45718</v>
      </c>
      <c r="Y40" s="34" t="s">
        <v>53</v>
      </c>
      <c r="Z40" s="227"/>
      <c r="AA40" s="220">
        <v>45918</v>
      </c>
      <c r="AB40" s="221" t="s">
        <v>133</v>
      </c>
      <c r="AC40" s="229" t="s">
        <v>218</v>
      </c>
      <c r="AD40" s="230"/>
      <c r="AE40" s="230"/>
      <c r="AF40" s="230"/>
      <c r="AG40" s="230"/>
    </row>
    <row r="41" spans="1:33" s="89" customFormat="1" ht="15" customHeight="1" x14ac:dyDescent="0.25">
      <c r="A41" s="32" t="s">
        <v>219</v>
      </c>
      <c r="B41" s="306" t="str">
        <f>IF((COUNTBLANK(AA41)=0),Stats!$E$7,IF((COUNTBLANK(N41)=0),IF((COUNTBLANK(X41)=0),IF((COUNTBLANK(AD41)=0),Stats!$E$6,Stats!$E$5),Stats!$E$4),""))</f>
        <v>Death</v>
      </c>
      <c r="C41" s="307" t="s">
        <v>204</v>
      </c>
      <c r="D41" s="218">
        <v>45726</v>
      </c>
      <c r="E41" s="301">
        <f t="shared" ca="1" si="0"/>
        <v>423</v>
      </c>
      <c r="F41" s="306" t="s">
        <v>220</v>
      </c>
      <c r="G41" s="308" t="s">
        <v>130</v>
      </c>
      <c r="H41" s="306" t="s">
        <v>43</v>
      </c>
      <c r="I41" s="306" t="s">
        <v>44</v>
      </c>
      <c r="J41" s="306" t="s">
        <v>206</v>
      </c>
      <c r="K41" s="306"/>
      <c r="L41" s="41"/>
      <c r="M41" s="219"/>
      <c r="N41" s="218">
        <v>45718</v>
      </c>
      <c r="O41" s="34" t="s">
        <v>53</v>
      </c>
      <c r="P41" s="36" t="s">
        <v>67</v>
      </c>
      <c r="Q41" s="36"/>
      <c r="R41" s="36"/>
      <c r="S41" s="224"/>
      <c r="T41" s="225" t="s">
        <v>51</v>
      </c>
      <c r="U41" s="226">
        <v>-300</v>
      </c>
      <c r="V41" s="226">
        <v>400</v>
      </c>
      <c r="W41" s="303" t="s">
        <v>221</v>
      </c>
      <c r="X41" s="220">
        <v>45718</v>
      </c>
      <c r="Y41" s="34" t="s">
        <v>53</v>
      </c>
      <c r="Z41" s="227"/>
      <c r="AA41" s="220">
        <v>45918</v>
      </c>
      <c r="AB41" s="221" t="s">
        <v>133</v>
      </c>
      <c r="AC41" s="229" t="s">
        <v>222</v>
      </c>
      <c r="AD41" s="230"/>
      <c r="AE41" s="230"/>
      <c r="AF41" s="230"/>
      <c r="AG41" s="230"/>
    </row>
    <row r="42" spans="1:33" s="89" customFormat="1" ht="15" customHeight="1" x14ac:dyDescent="0.25">
      <c r="A42" s="32" t="s">
        <v>223</v>
      </c>
      <c r="B42" s="306" t="str">
        <f>IF((COUNTBLANK(AA42)=0),Stats!$E$7,IF((COUNTBLANK(N42)=0),IF((COUNTBLANK(X42)=0),IF((COUNTBLANK(AD42)=0),Stats!$E$6,Stats!$E$5),Stats!$E$4),""))</f>
        <v>Death</v>
      </c>
      <c r="C42" s="307" t="s">
        <v>204</v>
      </c>
      <c r="D42" s="218">
        <v>45726</v>
      </c>
      <c r="E42" s="301">
        <f t="shared" ca="1" si="0"/>
        <v>423</v>
      </c>
      <c r="F42" s="306" t="s">
        <v>224</v>
      </c>
      <c r="G42" s="308" t="s">
        <v>130</v>
      </c>
      <c r="H42" s="306" t="s">
        <v>43</v>
      </c>
      <c r="I42" s="306" t="s">
        <v>44</v>
      </c>
      <c r="J42" s="306" t="s">
        <v>206</v>
      </c>
      <c r="K42" s="306"/>
      <c r="L42" s="41"/>
      <c r="M42" s="219"/>
      <c r="N42" s="218">
        <v>45718</v>
      </c>
      <c r="O42" s="34" t="s">
        <v>53</v>
      </c>
      <c r="P42" s="36" t="s">
        <v>67</v>
      </c>
      <c r="Q42" s="36"/>
      <c r="R42" s="36"/>
      <c r="S42" s="224"/>
      <c r="T42" s="225" t="s">
        <v>51</v>
      </c>
      <c r="U42" s="226">
        <v>-300</v>
      </c>
      <c r="V42" s="226">
        <v>400</v>
      </c>
      <c r="W42" s="303" t="s">
        <v>63</v>
      </c>
      <c r="X42" s="220">
        <v>45718</v>
      </c>
      <c r="Y42" s="34" t="s">
        <v>53</v>
      </c>
      <c r="Z42" s="227"/>
      <c r="AA42" s="220">
        <v>45918</v>
      </c>
      <c r="AB42" s="221" t="s">
        <v>133</v>
      </c>
      <c r="AC42" s="229" t="s">
        <v>225</v>
      </c>
      <c r="AD42" s="230"/>
      <c r="AE42" s="230"/>
      <c r="AF42" s="230"/>
      <c r="AG42" s="230"/>
    </row>
    <row r="43" spans="1:33" s="265" customFormat="1" ht="15" customHeight="1" x14ac:dyDescent="0.25">
      <c r="A43" s="32" t="s">
        <v>226</v>
      </c>
      <c r="B43" s="306" t="str">
        <f>IF((COUNTBLANK(AA43)=0),Stats!$E$7,IF((COUNTBLANK(N43)=0),IF((COUNTBLANK(X43)=0),IF((COUNTBLANK(AD43)=0),Stats!$E$6,Stats!$E$5),Stats!$E$4),""))</f>
        <v>Death</v>
      </c>
      <c r="C43" s="307" t="s">
        <v>59</v>
      </c>
      <c r="D43" s="218">
        <v>45726</v>
      </c>
      <c r="E43" s="301">
        <f t="shared" ca="1" si="0"/>
        <v>438</v>
      </c>
      <c r="F43" s="304" t="s">
        <v>227</v>
      </c>
      <c r="G43" s="308" t="s">
        <v>228</v>
      </c>
      <c r="H43" s="306" t="s">
        <v>152</v>
      </c>
      <c r="I43" s="306" t="s">
        <v>44</v>
      </c>
      <c r="J43" s="306" t="s">
        <v>206</v>
      </c>
      <c r="K43" s="306" t="s">
        <v>61</v>
      </c>
      <c r="L43" s="41" t="s">
        <v>62</v>
      </c>
      <c r="M43" s="219">
        <f t="shared" ref="M43:M74" si="2">COUNTA(D43)*COUNTA(F43)*COUNTA(J43)*COUNTA(L43)</f>
        <v>1</v>
      </c>
      <c r="N43" s="218"/>
      <c r="O43" s="34"/>
      <c r="P43" s="36"/>
      <c r="Q43" s="36"/>
      <c r="R43" s="36"/>
      <c r="S43" s="224"/>
      <c r="T43" s="225"/>
      <c r="U43" s="226"/>
      <c r="V43" s="226"/>
      <c r="W43" s="303" t="s">
        <v>167</v>
      </c>
      <c r="X43" s="220"/>
      <c r="Y43" s="34" t="s">
        <v>98</v>
      </c>
      <c r="Z43" s="227"/>
      <c r="AA43" s="220">
        <v>46010</v>
      </c>
      <c r="AB43" s="221" t="s">
        <v>54</v>
      </c>
      <c r="AC43" s="229"/>
      <c r="AD43" s="230"/>
      <c r="AE43" s="230"/>
      <c r="AF43" s="230"/>
      <c r="AG43" s="230"/>
    </row>
    <row r="44" spans="1:33" s="89" customFormat="1" ht="15" customHeight="1" x14ac:dyDescent="0.25">
      <c r="A44" s="32" t="s">
        <v>229</v>
      </c>
      <c r="B44" s="306" t="str">
        <f>IF((COUNTBLANK(AA44)=0),Stats!$E$7,IF((COUNTBLANK(N44)=0),IF((COUNTBLANK(X44)=0),IF((COUNTBLANK(AD44)=0),Stats!$E$6,Stats!$E$5),Stats!$E$4),""))</f>
        <v>Death</v>
      </c>
      <c r="C44" s="307"/>
      <c r="D44" s="218">
        <v>45726</v>
      </c>
      <c r="E44" s="301">
        <f t="shared" ca="1" si="0"/>
        <v>438</v>
      </c>
      <c r="F44" s="306" t="s">
        <v>230</v>
      </c>
      <c r="G44" s="308" t="s">
        <v>228</v>
      </c>
      <c r="H44" s="306" t="s">
        <v>152</v>
      </c>
      <c r="I44" s="306"/>
      <c r="J44" s="306" t="s">
        <v>206</v>
      </c>
      <c r="K44" s="306" t="s">
        <v>61</v>
      </c>
      <c r="L44" s="41" t="s">
        <v>62</v>
      </c>
      <c r="M44" s="219">
        <f t="shared" si="2"/>
        <v>1</v>
      </c>
      <c r="N44" s="218"/>
      <c r="O44" s="34"/>
      <c r="P44" s="36"/>
      <c r="Q44" s="36"/>
      <c r="R44" s="36"/>
      <c r="S44" s="224"/>
      <c r="T44" s="225"/>
      <c r="U44" s="226"/>
      <c r="V44" s="226"/>
      <c r="W44" s="303" t="s">
        <v>63</v>
      </c>
      <c r="X44" s="220"/>
      <c r="Y44" s="34" t="s">
        <v>98</v>
      </c>
      <c r="Z44" s="227"/>
      <c r="AA44" s="220">
        <v>45742</v>
      </c>
      <c r="AB44" s="221" t="s">
        <v>133</v>
      </c>
      <c r="AC44" s="229"/>
      <c r="AD44" s="230"/>
      <c r="AE44" s="230"/>
      <c r="AF44" s="230"/>
      <c r="AG44" s="230"/>
    </row>
    <row r="45" spans="1:33" s="89" customFormat="1" ht="15" customHeight="1" x14ac:dyDescent="0.25">
      <c r="A45" s="32" t="s">
        <v>231</v>
      </c>
      <c r="B45" s="306" t="str">
        <f>IF((COUNTBLANK(AA45)=0),Stats!$E$7,IF((COUNTBLANK(N45)=0),IF((COUNTBLANK(X45)=0),IF((COUNTBLANK(AD45)=0),Stats!$E$6,Stats!$E$5),Stats!$E$4),""))</f>
        <v>Death</v>
      </c>
      <c r="C45" s="307" t="str">
        <f>IF(B45=Stats!$E$5,Stats!$E$11,"")</f>
        <v/>
      </c>
      <c r="D45" s="218">
        <v>45757</v>
      </c>
      <c r="E45" s="301">
        <f t="shared" ca="1" si="0"/>
        <v>370</v>
      </c>
      <c r="F45" s="306" t="s">
        <v>232</v>
      </c>
      <c r="G45" s="308"/>
      <c r="H45" s="306" t="s">
        <v>131</v>
      </c>
      <c r="I45" s="306" t="s">
        <v>44</v>
      </c>
      <c r="J45" s="306" t="s">
        <v>206</v>
      </c>
      <c r="K45" s="306" t="s">
        <v>61</v>
      </c>
      <c r="L45" s="41"/>
      <c r="M45" s="219">
        <f t="shared" si="2"/>
        <v>0</v>
      </c>
      <c r="N45" s="218"/>
      <c r="O45" s="34"/>
      <c r="P45" s="36"/>
      <c r="Q45" s="36"/>
      <c r="R45" s="36"/>
      <c r="S45" s="224"/>
      <c r="T45" s="225"/>
      <c r="U45" s="226"/>
      <c r="V45" s="226"/>
      <c r="W45" s="303"/>
      <c r="X45" s="220"/>
      <c r="Y45" s="34"/>
      <c r="Z45" s="227"/>
      <c r="AA45" s="220">
        <v>45826</v>
      </c>
      <c r="AB45" s="221" t="s">
        <v>75</v>
      </c>
      <c r="AC45" s="240" t="s">
        <v>233</v>
      </c>
      <c r="AD45" s="230"/>
      <c r="AE45" s="230"/>
      <c r="AF45" s="230"/>
      <c r="AG45" s="230"/>
    </row>
    <row r="46" spans="1:33" s="89" customFormat="1" ht="15" customHeight="1" x14ac:dyDescent="0.25">
      <c r="A46" s="32" t="s">
        <v>234</v>
      </c>
      <c r="B46" s="306" t="str">
        <f>IF((COUNTBLANK(AA46)=0),Stats!$E$7,IF((COUNTBLANK(N46)=0),IF((COUNTBLANK(X46)=0),IF((COUNTBLANK(AD46)=0),Stats!$E$6,Stats!$E$5),Stats!$E$4),""))</f>
        <v>Death</v>
      </c>
      <c r="C46" s="307" t="str">
        <f>IF(B46=Stats!$E$5,Stats!$E$11,"")</f>
        <v/>
      </c>
      <c r="D46" s="218">
        <v>45757</v>
      </c>
      <c r="E46" s="301">
        <f t="shared" ca="1" si="0"/>
        <v>370</v>
      </c>
      <c r="F46" s="306" t="s">
        <v>235</v>
      </c>
      <c r="G46" s="308"/>
      <c r="H46" s="306" t="s">
        <v>131</v>
      </c>
      <c r="I46" s="306" t="s">
        <v>44</v>
      </c>
      <c r="J46" s="306" t="s">
        <v>206</v>
      </c>
      <c r="K46" s="306" t="s">
        <v>61</v>
      </c>
      <c r="L46" s="41"/>
      <c r="M46" s="219">
        <f t="shared" si="2"/>
        <v>0</v>
      </c>
      <c r="N46" s="218"/>
      <c r="O46" s="34"/>
      <c r="P46" s="36"/>
      <c r="Q46" s="36"/>
      <c r="R46" s="36"/>
      <c r="S46" s="224"/>
      <c r="T46" s="225"/>
      <c r="U46" s="226"/>
      <c r="V46" s="226"/>
      <c r="W46" s="303"/>
      <c r="X46" s="220"/>
      <c r="Y46" s="34"/>
      <c r="Z46" s="227"/>
      <c r="AA46" s="220">
        <v>45826</v>
      </c>
      <c r="AB46" s="221" t="s">
        <v>75</v>
      </c>
      <c r="AC46" s="229" t="s">
        <v>233</v>
      </c>
      <c r="AD46" s="230"/>
      <c r="AE46" s="230"/>
      <c r="AF46" s="230"/>
      <c r="AG46" s="230"/>
    </row>
    <row r="47" spans="1:33" s="89" customFormat="1" ht="15" customHeight="1" x14ac:dyDescent="0.25">
      <c r="A47" s="32" t="s">
        <v>236</v>
      </c>
      <c r="B47" s="306" t="str">
        <f>IF((COUNTBLANK(AA47)=0),Stats!$E$7,IF((COUNTBLANK(N47)=0),IF((COUNTBLANK(X47)=0),IF((COUNTBLANK(AD47)=0),Stats!$E$6,Stats!$E$5),Stats!$E$4),""))</f>
        <v>Death</v>
      </c>
      <c r="C47" s="307" t="s">
        <v>204</v>
      </c>
      <c r="D47" s="218">
        <v>45793</v>
      </c>
      <c r="E47" s="301">
        <f t="shared" ca="1" si="0"/>
        <v>375</v>
      </c>
      <c r="F47" s="306" t="s">
        <v>237</v>
      </c>
      <c r="G47" s="308" t="s">
        <v>238</v>
      </c>
      <c r="H47" s="306" t="s">
        <v>239</v>
      </c>
      <c r="I47" s="306" t="s">
        <v>44</v>
      </c>
      <c r="J47" s="306" t="s">
        <v>206</v>
      </c>
      <c r="K47" s="306"/>
      <c r="L47" s="41" t="s">
        <v>240</v>
      </c>
      <c r="M47" s="219">
        <f t="shared" si="2"/>
        <v>1</v>
      </c>
      <c r="N47" s="218">
        <v>45848</v>
      </c>
      <c r="O47" s="34" t="s">
        <v>241</v>
      </c>
      <c r="P47" s="36" t="s">
        <v>242</v>
      </c>
      <c r="Q47" s="36"/>
      <c r="R47" s="36"/>
      <c r="S47" s="224"/>
      <c r="T47" s="225" t="s">
        <v>51</v>
      </c>
      <c r="U47" s="226">
        <v>-500</v>
      </c>
      <c r="V47" s="226">
        <v>200</v>
      </c>
      <c r="W47" s="303" t="s">
        <v>243</v>
      </c>
      <c r="X47" s="220" t="s">
        <v>244</v>
      </c>
      <c r="Y47" s="34" t="s">
        <v>241</v>
      </c>
      <c r="Z47" s="227" t="s">
        <v>243</v>
      </c>
      <c r="AA47" s="220">
        <v>45925</v>
      </c>
      <c r="AB47" s="221" t="s">
        <v>54</v>
      </c>
      <c r="AC47" s="240"/>
      <c r="AD47" s="230" t="s">
        <v>245</v>
      </c>
      <c r="AE47" s="230"/>
      <c r="AF47" s="230"/>
      <c r="AG47" s="230"/>
    </row>
    <row r="48" spans="1:33" s="89" customFormat="1" ht="15" customHeight="1" x14ac:dyDescent="0.25">
      <c r="A48" s="32" t="s">
        <v>246</v>
      </c>
      <c r="B48" s="306" t="str">
        <f>IF((COUNTBLANK(AA48)=0),Stats!$E$7,IF((COUNTBLANK(N48)=0),IF((COUNTBLANK(X48)=0),IF((COUNTBLANK(AD48)=0),Stats!$E$6,Stats!$E$5),Stats!$E$4),""))</f>
        <v>Death</v>
      </c>
      <c r="C48" s="307" t="s">
        <v>204</v>
      </c>
      <c r="D48" s="218">
        <v>45793</v>
      </c>
      <c r="E48" s="301">
        <f t="shared" ca="1" si="0"/>
        <v>375</v>
      </c>
      <c r="F48" s="306" t="s">
        <v>247</v>
      </c>
      <c r="G48" s="308" t="s">
        <v>238</v>
      </c>
      <c r="H48" s="306" t="s">
        <v>239</v>
      </c>
      <c r="I48" s="306" t="s">
        <v>44</v>
      </c>
      <c r="J48" s="306" t="s">
        <v>206</v>
      </c>
      <c r="K48" s="306" t="s">
        <v>248</v>
      </c>
      <c r="L48" s="41" t="s">
        <v>240</v>
      </c>
      <c r="M48" s="219">
        <f t="shared" si="2"/>
        <v>1</v>
      </c>
      <c r="N48" s="218">
        <v>45848</v>
      </c>
      <c r="O48" s="34" t="s">
        <v>241</v>
      </c>
      <c r="P48" s="36" t="s">
        <v>242</v>
      </c>
      <c r="Q48" s="36"/>
      <c r="R48" s="36"/>
      <c r="S48" s="224"/>
      <c r="T48" s="225" t="s">
        <v>51</v>
      </c>
      <c r="U48" s="226">
        <v>-500</v>
      </c>
      <c r="V48" s="226">
        <v>200</v>
      </c>
      <c r="W48" s="303" t="s">
        <v>249</v>
      </c>
      <c r="X48" s="220">
        <v>45848</v>
      </c>
      <c r="Y48" s="34" t="s">
        <v>241</v>
      </c>
      <c r="Z48" s="227" t="s">
        <v>249</v>
      </c>
      <c r="AA48" s="220">
        <v>46000</v>
      </c>
      <c r="AB48" s="221" t="s">
        <v>54</v>
      </c>
      <c r="AC48" s="240"/>
      <c r="AD48" s="230" t="s">
        <v>245</v>
      </c>
      <c r="AE48" s="230"/>
      <c r="AF48" s="230"/>
      <c r="AG48" s="230"/>
    </row>
    <row r="49" spans="1:33" s="89" customFormat="1" ht="15" customHeight="1" x14ac:dyDescent="0.25">
      <c r="A49" s="32" t="s">
        <v>250</v>
      </c>
      <c r="B49" s="306" t="str">
        <f>IF((COUNTBLANK(AA49)=0),Stats!$E$7,IF((COUNTBLANK(N49)=0),IF((COUNTBLANK(X49)=0),IF((COUNTBLANK(AD49)=0),Stats!$E$6,Stats!$E$5),Stats!$E$4),""))</f>
        <v>Death</v>
      </c>
      <c r="C49" s="307" t="s">
        <v>204</v>
      </c>
      <c r="D49" s="218">
        <v>45793</v>
      </c>
      <c r="E49" s="301">
        <f t="shared" ca="1" si="0"/>
        <v>375</v>
      </c>
      <c r="F49" s="306" t="s">
        <v>251</v>
      </c>
      <c r="G49" s="308" t="s">
        <v>238</v>
      </c>
      <c r="H49" s="306" t="s">
        <v>239</v>
      </c>
      <c r="I49" s="306" t="s">
        <v>44</v>
      </c>
      <c r="J49" s="306" t="s">
        <v>206</v>
      </c>
      <c r="K49" s="306" t="s">
        <v>248</v>
      </c>
      <c r="L49" s="41" t="s">
        <v>240</v>
      </c>
      <c r="M49" s="219">
        <f t="shared" si="2"/>
        <v>1</v>
      </c>
      <c r="N49" s="218">
        <v>45849</v>
      </c>
      <c r="O49" s="34" t="s">
        <v>241</v>
      </c>
      <c r="P49" s="36" t="s">
        <v>242</v>
      </c>
      <c r="Q49" s="36"/>
      <c r="R49" s="36"/>
      <c r="S49" s="224"/>
      <c r="T49" s="225" t="s">
        <v>51</v>
      </c>
      <c r="U49" s="226">
        <v>-500</v>
      </c>
      <c r="V49" s="226">
        <v>200</v>
      </c>
      <c r="W49" s="303" t="s">
        <v>252</v>
      </c>
      <c r="X49" s="220">
        <v>45849</v>
      </c>
      <c r="Y49" s="34" t="s">
        <v>241</v>
      </c>
      <c r="Z49" s="227" t="s">
        <v>252</v>
      </c>
      <c r="AA49" s="220">
        <v>46000</v>
      </c>
      <c r="AB49" s="221" t="s">
        <v>54</v>
      </c>
      <c r="AC49" s="229"/>
      <c r="AD49" s="230" t="s">
        <v>245</v>
      </c>
      <c r="AE49" s="230"/>
      <c r="AF49" s="230"/>
      <c r="AG49" s="230"/>
    </row>
    <row r="50" spans="1:33" s="89" customFormat="1" ht="15" customHeight="1" x14ac:dyDescent="0.25">
      <c r="A50" s="32" t="s">
        <v>253</v>
      </c>
      <c r="B50" s="306" t="str">
        <f>IF((COUNTBLANK(AA50)=0),Stats!$E$7,IF((COUNTBLANK(N50)=0),IF((COUNTBLANK(X50)=0),IF((COUNTBLANK(AD50)=0),Stats!$E$6,Stats!$E$5),Stats!$E$4),""))</f>
        <v>Death</v>
      </c>
      <c r="C50" s="307" t="s">
        <v>204</v>
      </c>
      <c r="D50" s="218">
        <v>45793</v>
      </c>
      <c r="E50" s="301">
        <f t="shared" ca="1" si="0"/>
        <v>375</v>
      </c>
      <c r="F50" s="306" t="s">
        <v>254</v>
      </c>
      <c r="G50" s="308" t="s">
        <v>238</v>
      </c>
      <c r="H50" s="306" t="s">
        <v>239</v>
      </c>
      <c r="I50" s="306" t="s">
        <v>44</v>
      </c>
      <c r="J50" s="306" t="s">
        <v>206</v>
      </c>
      <c r="K50" s="306"/>
      <c r="L50" s="41" t="s">
        <v>240</v>
      </c>
      <c r="M50" s="219">
        <f t="shared" si="2"/>
        <v>1</v>
      </c>
      <c r="N50" s="218">
        <v>45849</v>
      </c>
      <c r="O50" s="34" t="s">
        <v>241</v>
      </c>
      <c r="P50" s="36" t="s">
        <v>242</v>
      </c>
      <c r="Q50" s="36"/>
      <c r="R50" s="36"/>
      <c r="S50" s="224"/>
      <c r="T50" s="225" t="s">
        <v>51</v>
      </c>
      <c r="U50" s="226">
        <v>-500</v>
      </c>
      <c r="V50" s="226">
        <v>200</v>
      </c>
      <c r="W50" s="303" t="s">
        <v>255</v>
      </c>
      <c r="X50" s="220" t="s">
        <v>256</v>
      </c>
      <c r="Y50" s="34" t="s">
        <v>241</v>
      </c>
      <c r="Z50" s="227" t="s">
        <v>255</v>
      </c>
      <c r="AA50" s="220">
        <v>45911</v>
      </c>
      <c r="AB50" s="221" t="s">
        <v>160</v>
      </c>
      <c r="AC50" s="239"/>
      <c r="AD50" s="269" t="s">
        <v>257</v>
      </c>
      <c r="AE50" s="230"/>
      <c r="AF50" s="230"/>
      <c r="AG50" s="230"/>
    </row>
    <row r="51" spans="1:33" s="89" customFormat="1" ht="15" customHeight="1" x14ac:dyDescent="0.25">
      <c r="A51" s="32" t="s">
        <v>258</v>
      </c>
      <c r="B51" s="306" t="str">
        <f>IF((COUNTBLANK(AA51)=0),Stats!$E$7,IF((COUNTBLANK(N51)=0),IF((COUNTBLANK(X51)=0),IF((COUNTBLANK(AD51)=0),Stats!$E$6,Stats!$E$5),Stats!$E$4),""))</f>
        <v>Death</v>
      </c>
      <c r="C51" s="307" t="str">
        <f>IF(B51=Stats!$E$5,Stats!$E$11,"")</f>
        <v/>
      </c>
      <c r="D51" s="218">
        <v>45793</v>
      </c>
      <c r="E51" s="301">
        <f t="shared" ca="1" si="0"/>
        <v>335</v>
      </c>
      <c r="F51" s="306" t="s">
        <v>259</v>
      </c>
      <c r="G51" s="308" t="s">
        <v>260</v>
      </c>
      <c r="H51" s="306" t="s">
        <v>261</v>
      </c>
      <c r="I51" s="306" t="s">
        <v>114</v>
      </c>
      <c r="J51" s="306" t="s">
        <v>206</v>
      </c>
      <c r="K51" s="306"/>
      <c r="L51" s="41" t="s">
        <v>240</v>
      </c>
      <c r="M51" s="219">
        <f t="shared" si="2"/>
        <v>1</v>
      </c>
      <c r="N51" s="218">
        <v>45826</v>
      </c>
      <c r="O51" s="34" t="s">
        <v>53</v>
      </c>
      <c r="P51" s="36" t="s">
        <v>242</v>
      </c>
      <c r="Q51" s="36"/>
      <c r="R51" s="36"/>
      <c r="S51" s="224"/>
      <c r="T51" s="225" t="s">
        <v>51</v>
      </c>
      <c r="U51" s="226"/>
      <c r="V51" s="226"/>
      <c r="W51" s="303" t="s">
        <v>243</v>
      </c>
      <c r="X51" s="220">
        <v>45826</v>
      </c>
      <c r="Y51" s="34" t="s">
        <v>53</v>
      </c>
      <c r="Z51" s="227"/>
      <c r="AA51" s="220">
        <v>45925</v>
      </c>
      <c r="AB51" s="221" t="s">
        <v>54</v>
      </c>
      <c r="AC51" s="239"/>
      <c r="AD51" s="230"/>
      <c r="AE51" s="230"/>
      <c r="AF51" s="230"/>
      <c r="AG51" s="230"/>
    </row>
    <row r="52" spans="1:33" s="89" customFormat="1" ht="15" customHeight="1" x14ac:dyDescent="0.25">
      <c r="A52" s="32" t="s">
        <v>262</v>
      </c>
      <c r="B52" s="306" t="str">
        <f>IF((COUNTBLANK(AA52)=0),Stats!$E$7,IF((COUNTBLANK(N52)=0),IF((COUNTBLANK(X52)=0),IF((COUNTBLANK(AD52)=0),Stats!$E$6,Stats!$E$5),Stats!$E$4),""))</f>
        <v>Death</v>
      </c>
      <c r="C52" s="307" t="str">
        <f>IF(B52=Stats!$E$5,Stats!$E$11,"")</f>
        <v/>
      </c>
      <c r="D52" s="218">
        <v>45793</v>
      </c>
      <c r="E52" s="301">
        <f t="shared" ca="1" si="0"/>
        <v>335</v>
      </c>
      <c r="F52" s="306" t="s">
        <v>263</v>
      </c>
      <c r="G52" s="308" t="s">
        <v>260</v>
      </c>
      <c r="H52" s="306" t="s">
        <v>261</v>
      </c>
      <c r="I52" s="306" t="s">
        <v>114</v>
      </c>
      <c r="J52" s="306" t="s">
        <v>206</v>
      </c>
      <c r="K52" s="306"/>
      <c r="L52" s="41" t="s">
        <v>240</v>
      </c>
      <c r="M52" s="219">
        <f t="shared" si="2"/>
        <v>1</v>
      </c>
      <c r="N52" s="218">
        <v>45826</v>
      </c>
      <c r="O52" s="34" t="s">
        <v>53</v>
      </c>
      <c r="P52" s="36" t="s">
        <v>242</v>
      </c>
      <c r="Q52" s="36"/>
      <c r="R52" s="36"/>
      <c r="S52" s="224"/>
      <c r="T52" s="225" t="s">
        <v>51</v>
      </c>
      <c r="U52" s="226"/>
      <c r="V52" s="226"/>
      <c r="W52" s="303" t="s">
        <v>249</v>
      </c>
      <c r="X52" s="220">
        <v>45826</v>
      </c>
      <c r="Y52" s="34" t="s">
        <v>53</v>
      </c>
      <c r="Z52" s="227"/>
      <c r="AA52" s="220">
        <v>45855</v>
      </c>
      <c r="AB52" s="221" t="s">
        <v>160</v>
      </c>
      <c r="AC52" s="239"/>
      <c r="AD52" s="230"/>
      <c r="AE52" s="230"/>
      <c r="AF52" s="230"/>
      <c r="AG52" s="230"/>
    </row>
    <row r="53" spans="1:33" s="89" customFormat="1" ht="15" customHeight="1" x14ac:dyDescent="0.25">
      <c r="A53" s="32" t="s">
        <v>264</v>
      </c>
      <c r="B53" s="306" t="str">
        <f>IF((COUNTBLANK(AA53)=0),Stats!$E$7,IF((COUNTBLANK(N53)=0),IF((COUNTBLANK(X53)=0),IF((COUNTBLANK(AD53)=0),Stats!$E$6,Stats!$E$5),Stats!$E$4),""))</f>
        <v>Death</v>
      </c>
      <c r="C53" s="307" t="str">
        <f>IF(B53=Stats!$E$5,Stats!$E$11,"")</f>
        <v/>
      </c>
      <c r="D53" s="218">
        <v>45793</v>
      </c>
      <c r="E53" s="301">
        <f t="shared" ca="1" si="0"/>
        <v>335</v>
      </c>
      <c r="F53" s="306" t="s">
        <v>265</v>
      </c>
      <c r="G53" s="308" t="s">
        <v>260</v>
      </c>
      <c r="H53" s="306" t="s">
        <v>261</v>
      </c>
      <c r="I53" s="306" t="s">
        <v>114</v>
      </c>
      <c r="J53" s="306" t="s">
        <v>206</v>
      </c>
      <c r="K53" s="306" t="s">
        <v>248</v>
      </c>
      <c r="L53" s="41" t="s">
        <v>240</v>
      </c>
      <c r="M53" s="219">
        <f t="shared" si="2"/>
        <v>1</v>
      </c>
      <c r="N53" s="218"/>
      <c r="O53" s="34"/>
      <c r="P53" s="36"/>
      <c r="Q53" s="36"/>
      <c r="R53" s="36"/>
      <c r="S53" s="224"/>
      <c r="T53" s="225"/>
      <c r="U53" s="226"/>
      <c r="V53" s="226"/>
      <c r="W53" s="303"/>
      <c r="X53" s="220"/>
      <c r="Y53" s="34"/>
      <c r="Z53" s="227"/>
      <c r="AA53" s="220">
        <v>45925</v>
      </c>
      <c r="AB53" s="221" t="s">
        <v>54</v>
      </c>
      <c r="AC53" s="239"/>
      <c r="AD53" s="230"/>
      <c r="AE53" s="230"/>
      <c r="AF53" s="230"/>
      <c r="AG53" s="230"/>
    </row>
    <row r="54" spans="1:33" s="89" customFormat="1" ht="15" customHeight="1" x14ac:dyDescent="0.25">
      <c r="A54" s="32" t="s">
        <v>266</v>
      </c>
      <c r="B54" s="306" t="str">
        <f>IF((COUNTBLANK(AA54)=0),Stats!$E$7,IF((COUNTBLANK(N54)=0),IF((COUNTBLANK(X54)=0),IF((COUNTBLANK(AD54)=0),Stats!$E$6,Stats!$E$5),Stats!$E$4),""))</f>
        <v>Death</v>
      </c>
      <c r="C54" s="307" t="str">
        <f>IF(B54=Stats!$E$5,Stats!$E$11,"")</f>
        <v/>
      </c>
      <c r="D54" s="218">
        <v>45793</v>
      </c>
      <c r="E54" s="301">
        <f t="shared" ca="1" si="0"/>
        <v>335</v>
      </c>
      <c r="F54" s="306" t="s">
        <v>267</v>
      </c>
      <c r="G54" s="308" t="s">
        <v>260</v>
      </c>
      <c r="H54" s="306" t="s">
        <v>261</v>
      </c>
      <c r="I54" s="306" t="s">
        <v>114</v>
      </c>
      <c r="J54" s="306" t="s">
        <v>206</v>
      </c>
      <c r="K54" s="306" t="s">
        <v>248</v>
      </c>
      <c r="L54" s="41" t="s">
        <v>240</v>
      </c>
      <c r="M54" s="219">
        <f t="shared" si="2"/>
        <v>1</v>
      </c>
      <c r="N54" s="218"/>
      <c r="O54" s="34"/>
      <c r="P54" s="36"/>
      <c r="Q54" s="36"/>
      <c r="R54" s="36"/>
      <c r="S54" s="224"/>
      <c r="T54" s="225"/>
      <c r="U54" s="226"/>
      <c r="V54" s="226"/>
      <c r="W54" s="303"/>
      <c r="X54" s="220"/>
      <c r="Y54" s="34"/>
      <c r="Z54" s="227"/>
      <c r="AA54" s="220">
        <v>45925</v>
      </c>
      <c r="AB54" s="221" t="s">
        <v>54</v>
      </c>
      <c r="AC54" s="239"/>
      <c r="AD54" s="230"/>
      <c r="AE54" s="230"/>
      <c r="AF54" s="230"/>
      <c r="AG54" s="230"/>
    </row>
    <row r="55" spans="1:33" s="252" customFormat="1" ht="15" customHeight="1" x14ac:dyDescent="0.25">
      <c r="A55" s="32" t="s">
        <v>268</v>
      </c>
      <c r="B55" s="306" t="str">
        <f>IF((COUNTBLANK(AA55)=0),Stats!$E$7,IF((COUNTBLANK(N55)=0),IF((COUNTBLANK(X55)=0),IF((COUNTBLANK(AD55)=0),Stats!$E$6,Stats!$E$5),Stats!$E$4),""))</f>
        <v>Death</v>
      </c>
      <c r="C55" s="307" t="s">
        <v>204</v>
      </c>
      <c r="D55" s="218">
        <v>45793</v>
      </c>
      <c r="E55" s="301">
        <f t="shared" ca="1" si="0"/>
        <v>357</v>
      </c>
      <c r="F55" s="306" t="s">
        <v>269</v>
      </c>
      <c r="G55" s="308" t="s">
        <v>270</v>
      </c>
      <c r="H55" s="306" t="s">
        <v>271</v>
      </c>
      <c r="I55" s="306" t="s">
        <v>44</v>
      </c>
      <c r="J55" s="306" t="s">
        <v>206</v>
      </c>
      <c r="K55" s="306" t="s">
        <v>272</v>
      </c>
      <c r="L55" s="41" t="s">
        <v>240</v>
      </c>
      <c r="M55" s="219">
        <f t="shared" si="2"/>
        <v>1</v>
      </c>
      <c r="N55" s="218">
        <v>45837</v>
      </c>
      <c r="O55" s="34" t="s">
        <v>53</v>
      </c>
      <c r="P55" s="36" t="s">
        <v>242</v>
      </c>
      <c r="Q55" s="36"/>
      <c r="R55" s="36"/>
      <c r="S55" s="224"/>
      <c r="T55" s="225" t="s">
        <v>51</v>
      </c>
      <c r="U55" s="226" t="s">
        <v>273</v>
      </c>
      <c r="V55" s="226">
        <v>400</v>
      </c>
      <c r="W55" s="303" t="s">
        <v>243</v>
      </c>
      <c r="X55" s="220">
        <v>45837</v>
      </c>
      <c r="Y55" s="34"/>
      <c r="Z55" s="227"/>
      <c r="AA55" s="220">
        <v>45958</v>
      </c>
      <c r="AB55" s="221" t="s">
        <v>54</v>
      </c>
      <c r="AC55" s="250" t="s">
        <v>274</v>
      </c>
      <c r="AD55" s="251"/>
      <c r="AE55" s="251"/>
      <c r="AF55" s="251"/>
      <c r="AG55" s="251"/>
    </row>
    <row r="56" spans="1:33" s="252" customFormat="1" ht="15" customHeight="1" x14ac:dyDescent="0.25">
      <c r="A56" s="32" t="s">
        <v>275</v>
      </c>
      <c r="B56" s="306" t="str">
        <f>IF((COUNTBLANK(AA56)=0),Stats!$E$7,IF((COUNTBLANK(N56)=0),IF((COUNTBLANK(X56)=0),IF((COUNTBLANK(AD56)=0),Stats!$E$6,Stats!$E$5),Stats!$E$4),""))</f>
        <v>Death</v>
      </c>
      <c r="C56" s="307" t="s">
        <v>204</v>
      </c>
      <c r="D56" s="218">
        <v>45793</v>
      </c>
      <c r="E56" s="301">
        <f t="shared" ca="1" si="0"/>
        <v>357</v>
      </c>
      <c r="F56" s="306" t="s">
        <v>276</v>
      </c>
      <c r="G56" s="308" t="s">
        <v>270</v>
      </c>
      <c r="H56" s="306" t="s">
        <v>271</v>
      </c>
      <c r="I56" s="306" t="s">
        <v>44</v>
      </c>
      <c r="J56" s="306" t="s">
        <v>206</v>
      </c>
      <c r="K56" s="306" t="s">
        <v>272</v>
      </c>
      <c r="L56" s="41" t="s">
        <v>240</v>
      </c>
      <c r="M56" s="219">
        <f t="shared" si="2"/>
        <v>1</v>
      </c>
      <c r="N56" s="218">
        <v>45837</v>
      </c>
      <c r="O56" s="34" t="s">
        <v>53</v>
      </c>
      <c r="P56" s="36" t="s">
        <v>242</v>
      </c>
      <c r="Q56" s="36"/>
      <c r="R56" s="36"/>
      <c r="S56" s="224"/>
      <c r="T56" s="225" t="s">
        <v>51</v>
      </c>
      <c r="U56" s="226" t="s">
        <v>273</v>
      </c>
      <c r="V56" s="226">
        <v>400</v>
      </c>
      <c r="W56" s="303" t="s">
        <v>249</v>
      </c>
      <c r="X56" s="220">
        <v>45837</v>
      </c>
      <c r="Y56" s="34"/>
      <c r="Z56" s="227"/>
      <c r="AA56" s="220">
        <v>45958</v>
      </c>
      <c r="AB56" s="221" t="s">
        <v>54</v>
      </c>
      <c r="AC56" s="250" t="s">
        <v>274</v>
      </c>
      <c r="AD56" s="251"/>
      <c r="AE56" s="251"/>
      <c r="AF56" s="251"/>
      <c r="AG56" s="251"/>
    </row>
    <row r="57" spans="1:33" s="252" customFormat="1" ht="15" customHeight="1" x14ac:dyDescent="0.25">
      <c r="A57" s="32" t="s">
        <v>277</v>
      </c>
      <c r="B57" s="306" t="str">
        <f>IF((COUNTBLANK(AA57)=0),Stats!$E$7,IF((COUNTBLANK(N57)=0),IF((COUNTBLANK(X57)=0),IF((COUNTBLANK(AD57)=0),Stats!$E$6,Stats!$E$5),Stats!$E$4),""))</f>
        <v>Death</v>
      </c>
      <c r="C57" s="307" t="s">
        <v>204</v>
      </c>
      <c r="D57" s="218">
        <v>45793</v>
      </c>
      <c r="E57" s="301">
        <f t="shared" ca="1" si="0"/>
        <v>357</v>
      </c>
      <c r="F57" s="306" t="s">
        <v>278</v>
      </c>
      <c r="G57" s="308" t="s">
        <v>270</v>
      </c>
      <c r="H57" s="306" t="s">
        <v>271</v>
      </c>
      <c r="I57" s="306" t="s">
        <v>44</v>
      </c>
      <c r="J57" s="306" t="s">
        <v>206</v>
      </c>
      <c r="K57" s="306" t="s">
        <v>272</v>
      </c>
      <c r="L57" s="41" t="s">
        <v>240</v>
      </c>
      <c r="M57" s="219">
        <f t="shared" si="2"/>
        <v>1</v>
      </c>
      <c r="N57" s="218">
        <v>45840</v>
      </c>
      <c r="O57" s="34" t="s">
        <v>53</v>
      </c>
      <c r="P57" s="36" t="s">
        <v>242</v>
      </c>
      <c r="Q57" s="36"/>
      <c r="R57" s="36"/>
      <c r="S57" s="224"/>
      <c r="T57" s="225" t="s">
        <v>51</v>
      </c>
      <c r="U57" s="226" t="s">
        <v>273</v>
      </c>
      <c r="V57" s="226">
        <v>400</v>
      </c>
      <c r="W57" s="303" t="s">
        <v>279</v>
      </c>
      <c r="X57" s="220">
        <v>45837</v>
      </c>
      <c r="Y57" s="34"/>
      <c r="Z57" s="227"/>
      <c r="AA57" s="220">
        <v>45958</v>
      </c>
      <c r="AB57" s="221" t="s">
        <v>54</v>
      </c>
      <c r="AC57" s="250" t="s">
        <v>274</v>
      </c>
      <c r="AD57" s="251"/>
      <c r="AE57" s="251"/>
      <c r="AF57" s="251"/>
      <c r="AG57" s="251"/>
    </row>
    <row r="58" spans="1:33" s="89" customFormat="1" ht="15" customHeight="1" x14ac:dyDescent="0.25">
      <c r="A58" s="32" t="s">
        <v>280</v>
      </c>
      <c r="B58" s="306" t="str">
        <f>IF((COUNTBLANK(AA58)=0),Stats!$E$7,IF((COUNTBLANK(N58)=0),IF((COUNTBLANK(X58)=0),IF((COUNTBLANK(AD58)=0),Stats!$E$6,Stats!$E$5),Stats!$E$4),""))</f>
        <v>Death</v>
      </c>
      <c r="C58" s="307" t="str">
        <f>IF(B58=Stats!$E$5,Stats!$E$11,"")</f>
        <v/>
      </c>
      <c r="D58" s="218">
        <v>45793</v>
      </c>
      <c r="E58" s="301">
        <f t="shared" ca="1" si="0"/>
        <v>332</v>
      </c>
      <c r="F58" s="306" t="s">
        <v>281</v>
      </c>
      <c r="G58" s="308" t="s">
        <v>282</v>
      </c>
      <c r="H58" s="306" t="s">
        <v>43</v>
      </c>
      <c r="I58" s="306" t="s">
        <v>44</v>
      </c>
      <c r="J58" s="306" t="s">
        <v>206</v>
      </c>
      <c r="K58" s="306" t="s">
        <v>283</v>
      </c>
      <c r="L58" s="41" t="s">
        <v>284</v>
      </c>
      <c r="M58" s="219">
        <f t="shared" si="2"/>
        <v>1</v>
      </c>
      <c r="N58" s="218">
        <v>45820</v>
      </c>
      <c r="O58" s="34" t="s">
        <v>285</v>
      </c>
      <c r="P58" s="36" t="s">
        <v>171</v>
      </c>
      <c r="Q58" s="36"/>
      <c r="R58" s="36"/>
      <c r="S58" s="224" t="s">
        <v>68</v>
      </c>
      <c r="T58" s="225" t="s">
        <v>51</v>
      </c>
      <c r="U58" s="226">
        <v>-450</v>
      </c>
      <c r="V58" s="226">
        <v>300</v>
      </c>
      <c r="W58" s="303" t="s">
        <v>279</v>
      </c>
      <c r="X58" s="220"/>
      <c r="Y58" s="34"/>
      <c r="Z58" s="227"/>
      <c r="AA58" s="220">
        <v>45856</v>
      </c>
      <c r="AB58" s="221" t="s">
        <v>286</v>
      </c>
      <c r="AD58" s="230"/>
      <c r="AE58" s="230"/>
      <c r="AF58" s="230"/>
      <c r="AG58" s="230"/>
    </row>
    <row r="59" spans="1:33" s="89" customFormat="1" ht="15" customHeight="1" x14ac:dyDescent="0.25">
      <c r="A59" s="32" t="s">
        <v>287</v>
      </c>
      <c r="B59" s="306" t="str">
        <f>IF((COUNTBLANK(AA59)=0),Stats!$E$7,IF((COUNTBLANK(N59)=0),IF((COUNTBLANK(X59)=0),IF((COUNTBLANK(AD59)=0),Stats!$E$6,Stats!$E$5),Stats!$E$4),""))</f>
        <v>Death</v>
      </c>
      <c r="C59" s="307" t="s">
        <v>192</v>
      </c>
      <c r="D59" s="218">
        <v>45793</v>
      </c>
      <c r="E59" s="301">
        <f t="shared" ca="1" si="0"/>
        <v>332</v>
      </c>
      <c r="F59" s="306" t="s">
        <v>288</v>
      </c>
      <c r="G59" s="308" t="s">
        <v>282</v>
      </c>
      <c r="H59" s="306" t="s">
        <v>43</v>
      </c>
      <c r="I59" s="306" t="s">
        <v>44</v>
      </c>
      <c r="J59" s="306" t="s">
        <v>206</v>
      </c>
      <c r="K59" s="306" t="s">
        <v>283</v>
      </c>
      <c r="L59" s="41" t="s">
        <v>284</v>
      </c>
      <c r="M59" s="219">
        <f t="shared" si="2"/>
        <v>1</v>
      </c>
      <c r="N59" s="218">
        <v>45820</v>
      </c>
      <c r="O59" s="34" t="s">
        <v>285</v>
      </c>
      <c r="P59" s="36" t="s">
        <v>171</v>
      </c>
      <c r="Q59" s="36"/>
      <c r="R59" s="36"/>
      <c r="S59" s="224" t="s">
        <v>68</v>
      </c>
      <c r="T59" s="225" t="s">
        <v>51</v>
      </c>
      <c r="U59" s="226">
        <v>-450</v>
      </c>
      <c r="V59" s="226">
        <v>300</v>
      </c>
      <c r="W59" s="303" t="s">
        <v>249</v>
      </c>
      <c r="X59" s="220"/>
      <c r="Y59" s="34"/>
      <c r="Z59" s="227"/>
      <c r="AA59" s="220">
        <v>45938</v>
      </c>
      <c r="AB59" s="221" t="s">
        <v>75</v>
      </c>
      <c r="AC59" s="239"/>
      <c r="AD59" s="230"/>
      <c r="AE59" s="230"/>
      <c r="AF59" s="230"/>
      <c r="AG59" s="230"/>
    </row>
    <row r="60" spans="1:33" s="89" customFormat="1" ht="15" customHeight="1" x14ac:dyDescent="0.25">
      <c r="A60" s="32" t="s">
        <v>289</v>
      </c>
      <c r="B60" s="306" t="str">
        <f>IF((COUNTBLANK(AA60)=0),Stats!$E$7,IF((COUNTBLANK(N60)=0),IF((COUNTBLANK(X60)=0),IF((COUNTBLANK(AD60)=0),Stats!$E$6,Stats!$E$5),Stats!$E$4),""))</f>
        <v>Death</v>
      </c>
      <c r="C60" s="307" t="s">
        <v>192</v>
      </c>
      <c r="D60" s="218">
        <v>45793</v>
      </c>
      <c r="E60" s="301">
        <f t="shared" ca="1" si="0"/>
        <v>332</v>
      </c>
      <c r="F60" s="306" t="s">
        <v>290</v>
      </c>
      <c r="G60" s="308" t="s">
        <v>282</v>
      </c>
      <c r="H60" s="306" t="s">
        <v>43</v>
      </c>
      <c r="I60" s="306" t="s">
        <v>44</v>
      </c>
      <c r="J60" s="306" t="s">
        <v>206</v>
      </c>
      <c r="K60" s="306" t="s">
        <v>283</v>
      </c>
      <c r="L60" s="41" t="s">
        <v>284</v>
      </c>
      <c r="M60" s="219">
        <f t="shared" si="2"/>
        <v>1</v>
      </c>
      <c r="N60" s="218">
        <v>45820</v>
      </c>
      <c r="O60" s="34" t="s">
        <v>285</v>
      </c>
      <c r="P60" s="36" t="s">
        <v>171</v>
      </c>
      <c r="Q60" s="36"/>
      <c r="R60" s="36"/>
      <c r="S60" s="224" t="s">
        <v>68</v>
      </c>
      <c r="T60" s="225" t="s">
        <v>51</v>
      </c>
      <c r="U60" s="226">
        <v>-450</v>
      </c>
      <c r="V60" s="226">
        <v>300</v>
      </c>
      <c r="W60" s="303" t="s">
        <v>291</v>
      </c>
      <c r="X60" s="220"/>
      <c r="Y60" s="34"/>
      <c r="Z60" s="227"/>
      <c r="AA60" s="220">
        <v>46031</v>
      </c>
      <c r="AB60" s="221" t="s">
        <v>75</v>
      </c>
      <c r="AC60" s="239"/>
      <c r="AD60" s="230"/>
      <c r="AE60" s="230"/>
      <c r="AF60" s="230"/>
      <c r="AG60" s="230"/>
    </row>
    <row r="61" spans="1:33" s="89" customFormat="1" ht="15" customHeight="1" x14ac:dyDescent="0.25">
      <c r="A61" s="32" t="s">
        <v>292</v>
      </c>
      <c r="B61" s="306" t="str">
        <f>IF((COUNTBLANK(AA61)=0),Stats!$E$7,IF((COUNTBLANK(N61)=0),IF((COUNTBLANK(X61)=0),IF((COUNTBLANK(AD61)=0),Stats!$E$6,Stats!$E$5),Stats!$E$4),""))</f>
        <v>Death</v>
      </c>
      <c r="C61" s="307" t="str">
        <f>IF(B61=Stats!$E$5,Stats!$E$11,"")</f>
        <v/>
      </c>
      <c r="D61" s="218">
        <v>45793</v>
      </c>
      <c r="E61" s="301">
        <f t="shared" ca="1" si="0"/>
        <v>419</v>
      </c>
      <c r="F61" s="306" t="s">
        <v>293</v>
      </c>
      <c r="G61" s="308" t="s">
        <v>294</v>
      </c>
      <c r="H61" s="306" t="s">
        <v>43</v>
      </c>
      <c r="I61" s="306" t="s">
        <v>114</v>
      </c>
      <c r="J61" s="306" t="s">
        <v>206</v>
      </c>
      <c r="K61" s="306" t="s">
        <v>283</v>
      </c>
      <c r="L61" s="41" t="s">
        <v>284</v>
      </c>
      <c r="M61" s="219">
        <f t="shared" si="2"/>
        <v>1</v>
      </c>
      <c r="N61" s="218"/>
      <c r="O61" s="34"/>
      <c r="P61" s="36"/>
      <c r="Q61" s="36"/>
      <c r="R61" s="36"/>
      <c r="S61" s="224"/>
      <c r="T61" s="225"/>
      <c r="U61" s="226"/>
      <c r="V61" s="226"/>
      <c r="W61" s="303"/>
      <c r="X61" s="220"/>
      <c r="Y61" s="34"/>
      <c r="Z61" s="227"/>
      <c r="AA61" s="220">
        <v>45925</v>
      </c>
      <c r="AB61" s="221" t="s">
        <v>54</v>
      </c>
      <c r="AC61" s="239"/>
      <c r="AD61" s="230"/>
      <c r="AE61" s="230"/>
      <c r="AF61" s="230"/>
      <c r="AG61" s="230"/>
    </row>
    <row r="62" spans="1:33" s="89" customFormat="1" ht="15" customHeight="1" x14ac:dyDescent="0.25">
      <c r="A62" s="32" t="s">
        <v>295</v>
      </c>
      <c r="B62" s="306" t="str">
        <f>IF((COUNTBLANK(AA62)=0),Stats!$E$7,IF((COUNTBLANK(N62)=0),IF((COUNTBLANK(X62)=0),IF((COUNTBLANK(AD62)=0),Stats!$E$6,Stats!$E$5),Stats!$E$4),""))</f>
        <v>Death</v>
      </c>
      <c r="C62" s="307" t="str">
        <f>IF(B62=Stats!$E$5,Stats!$E$11,"")</f>
        <v/>
      </c>
      <c r="D62" s="218">
        <v>45793</v>
      </c>
      <c r="E62" s="301">
        <f t="shared" ca="1" si="0"/>
        <v>419</v>
      </c>
      <c r="F62" s="306" t="s">
        <v>296</v>
      </c>
      <c r="G62" s="308" t="s">
        <v>294</v>
      </c>
      <c r="H62" s="306" t="s">
        <v>43</v>
      </c>
      <c r="I62" s="306" t="s">
        <v>114</v>
      </c>
      <c r="J62" s="306" t="s">
        <v>206</v>
      </c>
      <c r="K62" s="306" t="s">
        <v>283</v>
      </c>
      <c r="L62" s="41" t="s">
        <v>284</v>
      </c>
      <c r="M62" s="219">
        <f t="shared" si="2"/>
        <v>1</v>
      </c>
      <c r="N62" s="218"/>
      <c r="O62" s="34"/>
      <c r="P62" s="36"/>
      <c r="Q62" s="36"/>
      <c r="R62" s="36"/>
      <c r="S62" s="224"/>
      <c r="T62" s="225"/>
      <c r="U62" s="226"/>
      <c r="V62" s="226"/>
      <c r="W62" s="303"/>
      <c r="X62" s="220"/>
      <c r="Y62" s="34"/>
      <c r="Z62" s="227"/>
      <c r="AA62" s="220">
        <v>45925</v>
      </c>
      <c r="AB62" s="221" t="s">
        <v>54</v>
      </c>
      <c r="AC62" s="239"/>
      <c r="AD62" s="230"/>
      <c r="AE62" s="230"/>
      <c r="AF62" s="230"/>
      <c r="AG62" s="230"/>
    </row>
    <row r="63" spans="1:33" s="89" customFormat="1" ht="15" customHeight="1" x14ac:dyDescent="0.25">
      <c r="A63" s="32" t="s">
        <v>297</v>
      </c>
      <c r="B63" s="306" t="str">
        <f>IF((COUNTBLANK(AA63)=0),Stats!$E$7,IF((COUNTBLANK(N63)=0),IF((COUNTBLANK(X63)=0),IF((COUNTBLANK(AD63)=0),Stats!$E$6,Stats!$E$5),Stats!$E$4),""))</f>
        <v>Death</v>
      </c>
      <c r="C63" s="307" t="str">
        <f>IF(B63=Stats!$E$5,Stats!$E$11,"")</f>
        <v/>
      </c>
      <c r="D63" s="218">
        <v>45793</v>
      </c>
      <c r="E63" s="301">
        <f t="shared" ca="1" si="0"/>
        <v>419</v>
      </c>
      <c r="F63" s="306" t="s">
        <v>298</v>
      </c>
      <c r="G63" s="308" t="s">
        <v>294</v>
      </c>
      <c r="H63" s="306" t="s">
        <v>43</v>
      </c>
      <c r="I63" s="306" t="s">
        <v>114</v>
      </c>
      <c r="J63" s="306" t="s">
        <v>206</v>
      </c>
      <c r="K63" s="306" t="s">
        <v>283</v>
      </c>
      <c r="L63" s="41" t="s">
        <v>284</v>
      </c>
      <c r="M63" s="219">
        <f t="shared" si="2"/>
        <v>1</v>
      </c>
      <c r="N63" s="218"/>
      <c r="O63" s="34"/>
      <c r="P63" s="36"/>
      <c r="Q63" s="36"/>
      <c r="R63" s="36"/>
      <c r="S63" s="224"/>
      <c r="T63" s="225"/>
      <c r="U63" s="226"/>
      <c r="V63" s="226"/>
      <c r="W63" s="303"/>
      <c r="X63" s="220"/>
      <c r="Y63" s="34"/>
      <c r="Z63" s="227"/>
      <c r="AA63" s="220">
        <v>45925</v>
      </c>
      <c r="AB63" s="221" t="s">
        <v>54</v>
      </c>
      <c r="AC63" s="229"/>
      <c r="AD63" s="230"/>
      <c r="AE63" s="230"/>
      <c r="AF63" s="230"/>
      <c r="AG63" s="230"/>
    </row>
    <row r="64" spans="1:33" s="89" customFormat="1" ht="15" customHeight="1" x14ac:dyDescent="0.25">
      <c r="A64" s="32" t="s">
        <v>299</v>
      </c>
      <c r="B64" s="306" t="str">
        <f>IF((COUNTBLANK(AA64)=0),Stats!$E$7,IF((COUNTBLANK(N64)=0),IF((COUNTBLANK(X64)=0),IF((COUNTBLANK(AD64)=0),Stats!$E$6,Stats!$E$5),Stats!$E$4),""))</f>
        <v>Death</v>
      </c>
      <c r="C64" s="307" t="str">
        <f>IF(B64=Stats!$E$5,Stats!$E$11,"")</f>
        <v/>
      </c>
      <c r="D64" s="218">
        <v>45793</v>
      </c>
      <c r="E64" s="301">
        <f t="shared" ca="1" si="0"/>
        <v>479</v>
      </c>
      <c r="F64" s="306" t="s">
        <v>300</v>
      </c>
      <c r="G64" s="308" t="s">
        <v>301</v>
      </c>
      <c r="H64" s="306" t="s">
        <v>302</v>
      </c>
      <c r="I64" s="306" t="s">
        <v>44</v>
      </c>
      <c r="J64" s="306" t="s">
        <v>206</v>
      </c>
      <c r="K64" s="306" t="s">
        <v>272</v>
      </c>
      <c r="L64" s="41" t="s">
        <v>240</v>
      </c>
      <c r="M64" s="219">
        <f t="shared" si="2"/>
        <v>1</v>
      </c>
      <c r="N64" s="218">
        <v>45828</v>
      </c>
      <c r="O64" s="34" t="s">
        <v>241</v>
      </c>
      <c r="P64" s="36" t="s">
        <v>303</v>
      </c>
      <c r="Q64" s="36" t="s">
        <v>304</v>
      </c>
      <c r="R64" s="36"/>
      <c r="S64" s="224" t="s">
        <v>164</v>
      </c>
      <c r="T64" s="225" t="s">
        <v>51</v>
      </c>
      <c r="U64" s="226">
        <v>-350</v>
      </c>
      <c r="V64" s="226">
        <v>200</v>
      </c>
      <c r="W64" s="303" t="s">
        <v>243</v>
      </c>
      <c r="X64" s="220">
        <v>45828</v>
      </c>
      <c r="Y64" s="34" t="s">
        <v>241</v>
      </c>
      <c r="Z64" s="227"/>
      <c r="AA64" s="220">
        <v>45925</v>
      </c>
      <c r="AB64" s="221" t="s">
        <v>54</v>
      </c>
      <c r="AC64" s="229"/>
      <c r="AD64" s="230" t="s">
        <v>305</v>
      </c>
      <c r="AE64" s="269" t="s">
        <v>306</v>
      </c>
      <c r="AF64" s="269" t="s">
        <v>307</v>
      </c>
      <c r="AG64" s="230"/>
    </row>
    <row r="65" spans="1:33" s="89" customFormat="1" ht="15" customHeight="1" x14ac:dyDescent="0.25">
      <c r="A65" s="32" t="s">
        <v>308</v>
      </c>
      <c r="B65" s="306" t="str">
        <f>IF((COUNTBLANK(AA65)=0),Stats!$E$7,IF((COUNTBLANK(N65)=0),IF((COUNTBLANK(X65)=0),IF((COUNTBLANK(AD65)=0),Stats!$E$6,Stats!$E$5),Stats!$E$4),""))</f>
        <v>Death</v>
      </c>
      <c r="C65" s="307" t="str">
        <f>IF(B65=Stats!$E$5,Stats!$E$11,"")</f>
        <v/>
      </c>
      <c r="D65" s="218">
        <v>45793</v>
      </c>
      <c r="E65" s="301">
        <f t="shared" ca="1" si="0"/>
        <v>479</v>
      </c>
      <c r="F65" s="306" t="s">
        <v>309</v>
      </c>
      <c r="G65" s="308" t="s">
        <v>301</v>
      </c>
      <c r="H65" s="306" t="s">
        <v>302</v>
      </c>
      <c r="I65" s="306" t="s">
        <v>44</v>
      </c>
      <c r="J65" s="306" t="s">
        <v>206</v>
      </c>
      <c r="K65" s="306" t="s">
        <v>272</v>
      </c>
      <c r="L65" s="41" t="s">
        <v>240</v>
      </c>
      <c r="M65" s="219">
        <f t="shared" si="2"/>
        <v>1</v>
      </c>
      <c r="N65" s="218">
        <v>45833</v>
      </c>
      <c r="O65" s="34" t="s">
        <v>241</v>
      </c>
      <c r="P65" s="36" t="s">
        <v>303</v>
      </c>
      <c r="Q65" s="36" t="s">
        <v>304</v>
      </c>
      <c r="R65" s="36"/>
      <c r="S65" s="224" t="s">
        <v>164</v>
      </c>
      <c r="T65" s="225" t="s">
        <v>51</v>
      </c>
      <c r="U65" s="226">
        <v>-350</v>
      </c>
      <c r="V65" s="226">
        <v>200</v>
      </c>
      <c r="W65" s="303" t="s">
        <v>249</v>
      </c>
      <c r="X65" s="220">
        <v>45833</v>
      </c>
      <c r="Y65" s="34" t="s">
        <v>241</v>
      </c>
      <c r="Z65" s="227"/>
      <c r="AA65" s="220">
        <v>45925</v>
      </c>
      <c r="AB65" s="221" t="s">
        <v>54</v>
      </c>
      <c r="AC65" s="229"/>
      <c r="AD65" s="230"/>
      <c r="AE65" s="269" t="s">
        <v>306</v>
      </c>
      <c r="AF65" s="269" t="s">
        <v>307</v>
      </c>
      <c r="AG65" s="230"/>
    </row>
    <row r="66" spans="1:33" s="34" customFormat="1" ht="15" customHeight="1" x14ac:dyDescent="0.25">
      <c r="A66" s="32" t="s">
        <v>310</v>
      </c>
      <c r="B66" s="306" t="str">
        <f>IF((COUNTBLANK(AA66)=0),Stats!$E$7,IF((COUNTBLANK(N66)=0),IF((COUNTBLANK(X66)=0),IF((COUNTBLANK(AD66)=0),Stats!$E$6,Stats!$E$5),Stats!$E$4),""))</f>
        <v>Death</v>
      </c>
      <c r="C66" s="307" t="str">
        <f>IF(B66=Stats!$E$5,Stats!$E$11,"")</f>
        <v/>
      </c>
      <c r="D66" s="218">
        <v>45793</v>
      </c>
      <c r="E66" s="301">
        <f t="shared" ca="1" si="0"/>
        <v>479</v>
      </c>
      <c r="F66" s="306" t="s">
        <v>311</v>
      </c>
      <c r="G66" s="308" t="s">
        <v>301</v>
      </c>
      <c r="H66" s="306" t="s">
        <v>302</v>
      </c>
      <c r="I66" s="306" t="s">
        <v>44</v>
      </c>
      <c r="J66" s="306" t="s">
        <v>206</v>
      </c>
      <c r="K66" s="306" t="s">
        <v>272</v>
      </c>
      <c r="L66" s="41" t="s">
        <v>240</v>
      </c>
      <c r="M66" s="219">
        <f t="shared" si="2"/>
        <v>1</v>
      </c>
      <c r="N66" s="218">
        <v>45835</v>
      </c>
      <c r="O66" s="34" t="s">
        <v>241</v>
      </c>
      <c r="P66" s="36" t="s">
        <v>303</v>
      </c>
      <c r="Q66" s="36" t="s">
        <v>304</v>
      </c>
      <c r="R66" s="36"/>
      <c r="S66" s="224" t="s">
        <v>164</v>
      </c>
      <c r="T66" s="225" t="s">
        <v>51</v>
      </c>
      <c r="U66" s="226">
        <v>-350</v>
      </c>
      <c r="V66" s="226">
        <v>200</v>
      </c>
      <c r="W66" s="303" t="s">
        <v>312</v>
      </c>
      <c r="X66" s="220">
        <v>45835</v>
      </c>
      <c r="Y66" s="34" t="s">
        <v>241</v>
      </c>
      <c r="Z66" s="227"/>
      <c r="AA66" s="220">
        <v>45925</v>
      </c>
      <c r="AB66" s="221" t="s">
        <v>54</v>
      </c>
      <c r="AC66" s="229"/>
      <c r="AD66" s="230"/>
      <c r="AE66" s="230"/>
      <c r="AF66" s="269" t="s">
        <v>307</v>
      </c>
      <c r="AG66" s="230"/>
    </row>
    <row r="67" spans="1:33" s="34" customFormat="1" ht="15" customHeight="1" x14ac:dyDescent="0.25">
      <c r="A67" s="32" t="s">
        <v>313</v>
      </c>
      <c r="B67" s="306" t="str">
        <f>IF((COUNTBLANK(AA67)=0),Stats!$E$7,IF((COUNTBLANK(N67)=0),IF((COUNTBLANK(X67)=0),IF((COUNTBLANK(AD67)=0),Stats!$E$6,Stats!$E$5),Stats!$E$4),""))</f>
        <v>Death</v>
      </c>
      <c r="C67" s="307" t="str">
        <f>IF(B67=Stats!$E$5,Stats!$E$11,"")</f>
        <v/>
      </c>
      <c r="D67" s="218">
        <v>45793</v>
      </c>
      <c r="E67" s="301">
        <f t="shared" ca="1" si="0"/>
        <v>369</v>
      </c>
      <c r="F67" s="306" t="s">
        <v>314</v>
      </c>
      <c r="G67" s="308" t="s">
        <v>315</v>
      </c>
      <c r="H67" s="306" t="s">
        <v>152</v>
      </c>
      <c r="I67" s="306" t="s">
        <v>114</v>
      </c>
      <c r="J67" s="306" t="s">
        <v>206</v>
      </c>
      <c r="K67" s="306" t="s">
        <v>61</v>
      </c>
      <c r="L67" s="41" t="s">
        <v>62</v>
      </c>
      <c r="M67" s="219">
        <f t="shared" si="2"/>
        <v>1</v>
      </c>
      <c r="N67" s="218">
        <v>45813</v>
      </c>
      <c r="O67" s="34" t="s">
        <v>285</v>
      </c>
      <c r="P67" s="36" t="s">
        <v>316</v>
      </c>
      <c r="Q67" s="36"/>
      <c r="R67" s="36"/>
      <c r="S67" s="224" t="s">
        <v>196</v>
      </c>
      <c r="T67" s="225" t="s">
        <v>51</v>
      </c>
      <c r="U67" s="226">
        <v>-450</v>
      </c>
      <c r="V67" s="226">
        <v>500</v>
      </c>
      <c r="W67" s="303" t="s">
        <v>279</v>
      </c>
      <c r="X67" s="220">
        <v>45831</v>
      </c>
      <c r="Y67" s="34" t="s">
        <v>285</v>
      </c>
      <c r="Z67" s="227"/>
      <c r="AA67" s="220">
        <v>46010</v>
      </c>
      <c r="AB67" s="221" t="s">
        <v>54</v>
      </c>
      <c r="AC67" s="231" t="s">
        <v>317</v>
      </c>
      <c r="AD67" s="230"/>
      <c r="AE67" s="230"/>
      <c r="AF67" s="230"/>
      <c r="AG67" s="230"/>
    </row>
    <row r="68" spans="1:33" s="34" customFormat="1" ht="15" customHeight="1" x14ac:dyDescent="0.25">
      <c r="A68" s="32" t="s">
        <v>318</v>
      </c>
      <c r="B68" s="306" t="str">
        <f>IF((COUNTBLANK(AA68)=0),Stats!$E$7,IF((COUNTBLANK(N68)=0),IF((COUNTBLANK(X68)=0),IF((COUNTBLANK(AD68)=0),Stats!$E$6,Stats!$E$5),Stats!$E$4),""))</f>
        <v>Death</v>
      </c>
      <c r="C68" s="307" t="str">
        <f>IF(B68=Stats!$E$5,Stats!$E$11,"")</f>
        <v/>
      </c>
      <c r="D68" s="218">
        <v>45793</v>
      </c>
      <c r="E68" s="301">
        <f t="shared" ref="E68:E131" ca="1" si="3">IFERROR(TODAY()-DATE(2000+MID(F68,SEARCH("-",F68,SEARCH("-",F68)+1)+1,2),MID(F68,SEARCH("-",F68,SEARCH("-",F68)+1)+3,2),MID(F68,SEARCH("-",F68,SEARCH("-",F68)+1)+5,2)),"")</f>
        <v>369</v>
      </c>
      <c r="F68" s="306" t="s">
        <v>319</v>
      </c>
      <c r="G68" s="308" t="s">
        <v>320</v>
      </c>
      <c r="H68" s="306" t="s">
        <v>152</v>
      </c>
      <c r="I68" s="306" t="s">
        <v>114</v>
      </c>
      <c r="J68" s="306" t="s">
        <v>206</v>
      </c>
      <c r="K68" s="306" t="s">
        <v>321</v>
      </c>
      <c r="L68" s="41" t="s">
        <v>284</v>
      </c>
      <c r="M68" s="219">
        <f t="shared" si="2"/>
        <v>1</v>
      </c>
      <c r="N68" s="218">
        <v>45813</v>
      </c>
      <c r="O68" s="34" t="s">
        <v>285</v>
      </c>
      <c r="P68" s="36" t="s">
        <v>316</v>
      </c>
      <c r="Q68" s="36"/>
      <c r="R68" s="36"/>
      <c r="S68" s="224" t="s">
        <v>196</v>
      </c>
      <c r="T68" s="225" t="s">
        <v>51</v>
      </c>
      <c r="U68" s="226">
        <v>-450</v>
      </c>
      <c r="V68" s="226">
        <v>500</v>
      </c>
      <c r="W68" s="303" t="s">
        <v>291</v>
      </c>
      <c r="X68" s="220">
        <v>45832</v>
      </c>
      <c r="Y68" s="34" t="s">
        <v>285</v>
      </c>
      <c r="Z68" s="227"/>
      <c r="AA68" s="220">
        <v>45861</v>
      </c>
      <c r="AB68" s="221" t="s">
        <v>133</v>
      </c>
      <c r="AC68" s="231"/>
      <c r="AD68" s="230"/>
      <c r="AE68" s="230"/>
      <c r="AF68" s="230"/>
      <c r="AG68" s="230"/>
    </row>
    <row r="69" spans="1:33" s="34" customFormat="1" ht="15" customHeight="1" x14ac:dyDescent="0.25">
      <c r="A69" s="32" t="s">
        <v>322</v>
      </c>
      <c r="B69" s="306" t="str">
        <f>IF((COUNTBLANK(AA69)=0),Stats!$E$7,IF((COUNTBLANK(N69)=0),IF((COUNTBLANK(X69)=0),IF((COUNTBLANK(AD69)=0),Stats!$E$6,Stats!$E$5),Stats!$E$4),""))</f>
        <v>Death</v>
      </c>
      <c r="C69" s="307" t="str">
        <f>IF(B69=Stats!$E$5,Stats!$E$11,"")</f>
        <v/>
      </c>
      <c r="D69" s="218">
        <v>45793</v>
      </c>
      <c r="E69" s="301">
        <f t="shared" ca="1" si="3"/>
        <v>369</v>
      </c>
      <c r="F69" s="306" t="s">
        <v>323</v>
      </c>
      <c r="G69" s="308" t="s">
        <v>320</v>
      </c>
      <c r="H69" s="306" t="s">
        <v>152</v>
      </c>
      <c r="I69" s="306" t="s">
        <v>114</v>
      </c>
      <c r="J69" s="306" t="s">
        <v>206</v>
      </c>
      <c r="K69" s="306" t="s">
        <v>61</v>
      </c>
      <c r="L69" s="41" t="s">
        <v>62</v>
      </c>
      <c r="M69" s="219">
        <f t="shared" si="2"/>
        <v>1</v>
      </c>
      <c r="N69" s="218">
        <v>45813</v>
      </c>
      <c r="O69" s="34" t="s">
        <v>285</v>
      </c>
      <c r="P69" s="36" t="s">
        <v>316</v>
      </c>
      <c r="Q69" s="36"/>
      <c r="R69" s="36"/>
      <c r="S69" s="224" t="s">
        <v>196</v>
      </c>
      <c r="T69" s="225" t="s">
        <v>51</v>
      </c>
      <c r="U69" s="226">
        <v>-450</v>
      </c>
      <c r="V69" s="226">
        <v>500</v>
      </c>
      <c r="W69" s="303" t="s">
        <v>243</v>
      </c>
      <c r="X69" s="220">
        <v>45832</v>
      </c>
      <c r="Y69" s="34" t="s">
        <v>285</v>
      </c>
      <c r="Z69" s="227"/>
      <c r="AA69" s="220">
        <v>45895</v>
      </c>
      <c r="AB69" s="221" t="s">
        <v>133</v>
      </c>
      <c r="AC69" s="231" t="s">
        <v>317</v>
      </c>
      <c r="AD69" s="230"/>
      <c r="AE69" s="230"/>
      <c r="AF69" s="230"/>
      <c r="AG69" s="230"/>
    </row>
    <row r="70" spans="1:33" s="34" customFormat="1" ht="15" customHeight="1" x14ac:dyDescent="0.25">
      <c r="A70" s="32" t="s">
        <v>324</v>
      </c>
      <c r="B70" s="306" t="str">
        <f>IF((COUNTBLANK(AA70)=0),Stats!$E$7,IF((COUNTBLANK(N70)=0),IF((COUNTBLANK(X70)=0),IF((COUNTBLANK(AD70)=0),Stats!$E$6,Stats!$E$5),Stats!$E$4),""))</f>
        <v>Check-up</v>
      </c>
      <c r="C70" s="307" t="s">
        <v>325</v>
      </c>
      <c r="D70" s="218">
        <v>45793</v>
      </c>
      <c r="E70" s="301">
        <f t="shared" ca="1" si="3"/>
        <v>369</v>
      </c>
      <c r="F70" s="306" t="s">
        <v>326</v>
      </c>
      <c r="G70" s="308" t="s">
        <v>320</v>
      </c>
      <c r="H70" s="306" t="s">
        <v>152</v>
      </c>
      <c r="I70" s="306" t="s">
        <v>114</v>
      </c>
      <c r="J70" s="306" t="s">
        <v>206</v>
      </c>
      <c r="K70" s="306" t="s">
        <v>321</v>
      </c>
      <c r="L70" s="41" t="s">
        <v>284</v>
      </c>
      <c r="M70" s="219">
        <f t="shared" si="2"/>
        <v>1</v>
      </c>
      <c r="N70" s="218">
        <v>45813</v>
      </c>
      <c r="O70" s="34" t="s">
        <v>285</v>
      </c>
      <c r="P70" s="36" t="s">
        <v>316</v>
      </c>
      <c r="Q70" s="36"/>
      <c r="R70" s="36"/>
      <c r="S70" s="224" t="s">
        <v>196</v>
      </c>
      <c r="T70" s="225" t="s">
        <v>51</v>
      </c>
      <c r="U70" s="226">
        <v>-450</v>
      </c>
      <c r="V70" s="226">
        <v>500</v>
      </c>
      <c r="W70" s="303" t="s">
        <v>249</v>
      </c>
      <c r="X70" s="220">
        <v>45831</v>
      </c>
      <c r="Y70" s="34" t="s">
        <v>285</v>
      </c>
      <c r="Z70" s="227"/>
      <c r="AA70" s="220"/>
      <c r="AB70" s="221"/>
      <c r="AC70" s="281" t="s">
        <v>327</v>
      </c>
      <c r="AD70" s="230"/>
      <c r="AE70" s="230"/>
      <c r="AF70" s="230"/>
      <c r="AG70" s="230"/>
    </row>
    <row r="71" spans="1:33" s="34" customFormat="1" ht="15" customHeight="1" x14ac:dyDescent="0.25">
      <c r="A71" s="32" t="s">
        <v>328</v>
      </c>
      <c r="B71" s="306" t="str">
        <f>IF((COUNTBLANK(AA71)=0),Stats!$E$7,IF((COUNTBLANK(N71)=0),IF((COUNTBLANK(X71)=0),IF((COUNTBLANK(AD71)=0),Stats!$E$6,Stats!$E$5),Stats!$E$4),""))</f>
        <v>Death</v>
      </c>
      <c r="C71" s="307"/>
      <c r="D71" s="218">
        <v>45793</v>
      </c>
      <c r="E71" s="301">
        <f t="shared" ca="1" si="3"/>
        <v>346</v>
      </c>
      <c r="F71" s="306" t="s">
        <v>329</v>
      </c>
      <c r="G71" s="308" t="s">
        <v>330</v>
      </c>
      <c r="H71" s="306" t="s">
        <v>152</v>
      </c>
      <c r="I71" s="306" t="s">
        <v>44</v>
      </c>
      <c r="J71" s="306" t="s">
        <v>206</v>
      </c>
      <c r="K71" s="306" t="s">
        <v>321</v>
      </c>
      <c r="L71" s="41" t="s">
        <v>284</v>
      </c>
      <c r="M71" s="219">
        <f t="shared" si="2"/>
        <v>1</v>
      </c>
      <c r="N71" s="218">
        <v>45814</v>
      </c>
      <c r="O71" s="34" t="s">
        <v>285</v>
      </c>
      <c r="P71" s="36" t="s">
        <v>316</v>
      </c>
      <c r="Q71" s="36"/>
      <c r="R71" s="36"/>
      <c r="S71" s="224" t="s">
        <v>331</v>
      </c>
      <c r="T71" s="225" t="s">
        <v>51</v>
      </c>
      <c r="U71" s="226">
        <v>-450</v>
      </c>
      <c r="V71" s="226">
        <v>500</v>
      </c>
      <c r="W71" s="303" t="s">
        <v>279</v>
      </c>
      <c r="X71" s="220"/>
      <c r="Z71" s="227"/>
      <c r="AA71" s="220">
        <v>45863</v>
      </c>
      <c r="AB71" s="221" t="s">
        <v>54</v>
      </c>
      <c r="AC71" s="231" t="s">
        <v>332</v>
      </c>
      <c r="AD71" s="230"/>
      <c r="AE71" s="230"/>
      <c r="AF71" s="230"/>
      <c r="AG71" s="230"/>
    </row>
    <row r="72" spans="1:33" s="34" customFormat="1" ht="15" customHeight="1" x14ac:dyDescent="0.25">
      <c r="A72" s="32" t="s">
        <v>333</v>
      </c>
      <c r="B72" s="306" t="str">
        <f>IF((COUNTBLANK(AA72)=0),Stats!$E$7,IF((COUNTBLANK(N72)=0),IF((COUNTBLANK(X72)=0),IF((COUNTBLANK(AD72)=0),Stats!$E$6,Stats!$E$5),Stats!$E$4),""))</f>
        <v>Death</v>
      </c>
      <c r="C72" s="307" t="s">
        <v>325</v>
      </c>
      <c r="D72" s="218">
        <v>45793</v>
      </c>
      <c r="E72" s="301">
        <f t="shared" ca="1" si="3"/>
        <v>346</v>
      </c>
      <c r="F72" s="306" t="s">
        <v>334</v>
      </c>
      <c r="G72" s="308" t="s">
        <v>330</v>
      </c>
      <c r="H72" s="306" t="s">
        <v>152</v>
      </c>
      <c r="I72" s="306" t="s">
        <v>44</v>
      </c>
      <c r="J72" s="306" t="s">
        <v>206</v>
      </c>
      <c r="K72" s="306" t="s">
        <v>321</v>
      </c>
      <c r="L72" s="41" t="s">
        <v>284</v>
      </c>
      <c r="M72" s="219">
        <f t="shared" si="2"/>
        <v>1</v>
      </c>
      <c r="N72" s="218">
        <v>45814</v>
      </c>
      <c r="O72" s="34" t="s">
        <v>285</v>
      </c>
      <c r="P72" s="36" t="s">
        <v>316</v>
      </c>
      <c r="Q72" s="36"/>
      <c r="R72" s="36"/>
      <c r="S72" s="224" t="s">
        <v>331</v>
      </c>
      <c r="T72" s="225" t="s">
        <v>51</v>
      </c>
      <c r="U72" s="226">
        <v>-450</v>
      </c>
      <c r="V72" s="226">
        <v>500</v>
      </c>
      <c r="W72" s="303" t="s">
        <v>291</v>
      </c>
      <c r="X72" s="220">
        <v>45834</v>
      </c>
      <c r="Y72" s="34" t="s">
        <v>285</v>
      </c>
      <c r="Z72" s="227"/>
      <c r="AA72" s="220">
        <v>45958</v>
      </c>
      <c r="AB72" s="221" t="s">
        <v>54</v>
      </c>
      <c r="AC72" s="281" t="s">
        <v>335</v>
      </c>
      <c r="AD72" s="230"/>
      <c r="AE72" s="230"/>
      <c r="AF72" s="230"/>
      <c r="AG72" s="230"/>
    </row>
    <row r="73" spans="1:33" s="34" customFormat="1" ht="15" customHeight="1" x14ac:dyDescent="0.25">
      <c r="A73" s="32" t="s">
        <v>336</v>
      </c>
      <c r="B73" s="306" t="str">
        <f>IF((COUNTBLANK(AA73)=0),Stats!$E$7,IF((COUNTBLANK(N73)=0),IF((COUNTBLANK(X73)=0),IF((COUNTBLANK(AD73)=0),Stats!$E$6,Stats!$E$5),Stats!$E$4),""))</f>
        <v>Death</v>
      </c>
      <c r="C73" s="307" t="str">
        <f>IF(B73=Stats!$E$5,Stats!$E$11,"")</f>
        <v/>
      </c>
      <c r="D73" s="218">
        <v>45793</v>
      </c>
      <c r="E73" s="301">
        <f t="shared" ca="1" si="3"/>
        <v>346</v>
      </c>
      <c r="F73" s="306" t="s">
        <v>337</v>
      </c>
      <c r="G73" s="308" t="s">
        <v>330</v>
      </c>
      <c r="H73" s="306" t="s">
        <v>152</v>
      </c>
      <c r="I73" s="306" t="s">
        <v>44</v>
      </c>
      <c r="J73" s="306" t="s">
        <v>206</v>
      </c>
      <c r="K73" s="306" t="s">
        <v>321</v>
      </c>
      <c r="L73" s="41" t="s">
        <v>284</v>
      </c>
      <c r="M73" s="219">
        <f t="shared" si="2"/>
        <v>1</v>
      </c>
      <c r="N73" s="218">
        <v>45814</v>
      </c>
      <c r="O73" s="34" t="s">
        <v>285</v>
      </c>
      <c r="P73" s="36" t="s">
        <v>316</v>
      </c>
      <c r="Q73" s="36"/>
      <c r="R73" s="36"/>
      <c r="S73" s="224" t="s">
        <v>331</v>
      </c>
      <c r="T73" s="225" t="s">
        <v>51</v>
      </c>
      <c r="U73" s="226">
        <v>-450</v>
      </c>
      <c r="V73" s="226">
        <v>500</v>
      </c>
      <c r="W73" s="303" t="s">
        <v>243</v>
      </c>
      <c r="X73" s="220">
        <v>45833</v>
      </c>
      <c r="Y73" s="34" t="s">
        <v>285</v>
      </c>
      <c r="Z73" s="227"/>
      <c r="AA73" s="220">
        <v>45958</v>
      </c>
      <c r="AB73" s="221" t="s">
        <v>54</v>
      </c>
      <c r="AC73" s="231" t="s">
        <v>335</v>
      </c>
      <c r="AD73" s="230"/>
      <c r="AE73" s="230"/>
      <c r="AF73" s="230"/>
      <c r="AG73" s="230"/>
    </row>
    <row r="74" spans="1:33" s="34" customFormat="1" ht="15" customHeight="1" x14ac:dyDescent="0.25">
      <c r="A74" s="32" t="s">
        <v>338</v>
      </c>
      <c r="B74" s="306" t="str">
        <f>IF((COUNTBLANK(AA74)=0),Stats!$E$7,IF((COUNTBLANK(N74)=0),IF((COUNTBLANK(X74)=0),IF((COUNTBLANK(AD74)=0),Stats!$E$6,Stats!$E$5),Stats!$E$4),""))</f>
        <v>Death</v>
      </c>
      <c r="C74" s="307" t="str">
        <f>IF(B74=Stats!$E$5,Stats!$E$11,"")</f>
        <v/>
      </c>
      <c r="D74" s="218">
        <v>45793</v>
      </c>
      <c r="E74" s="301">
        <f t="shared" ca="1" si="3"/>
        <v>346</v>
      </c>
      <c r="F74" s="306" t="s">
        <v>339</v>
      </c>
      <c r="G74" s="308" t="s">
        <v>330</v>
      </c>
      <c r="H74" s="306" t="s">
        <v>152</v>
      </c>
      <c r="I74" s="306" t="s">
        <v>44</v>
      </c>
      <c r="J74" s="306" t="s">
        <v>206</v>
      </c>
      <c r="K74" s="306" t="s">
        <v>321</v>
      </c>
      <c r="L74" s="41" t="s">
        <v>284</v>
      </c>
      <c r="M74" s="219">
        <f t="shared" si="2"/>
        <v>1</v>
      </c>
      <c r="N74" s="218">
        <v>45814</v>
      </c>
      <c r="O74" s="34" t="s">
        <v>285</v>
      </c>
      <c r="P74" s="36" t="s">
        <v>316</v>
      </c>
      <c r="Q74" s="36"/>
      <c r="R74" s="36"/>
      <c r="S74" s="224" t="s">
        <v>331</v>
      </c>
      <c r="T74" s="225" t="s">
        <v>51</v>
      </c>
      <c r="U74" s="226">
        <v>-450</v>
      </c>
      <c r="V74" s="226">
        <v>500</v>
      </c>
      <c r="W74" s="303" t="s">
        <v>249</v>
      </c>
      <c r="X74" s="220">
        <v>45833</v>
      </c>
      <c r="Y74" s="34" t="s">
        <v>285</v>
      </c>
      <c r="Z74" s="227"/>
      <c r="AA74" s="220">
        <v>45958</v>
      </c>
      <c r="AB74" s="221" t="s">
        <v>54</v>
      </c>
      <c r="AC74" s="231" t="s">
        <v>335</v>
      </c>
      <c r="AD74" s="230"/>
      <c r="AE74" s="230"/>
      <c r="AF74" s="230"/>
      <c r="AG74" s="230"/>
    </row>
    <row r="75" spans="1:33" s="34" customFormat="1" ht="15" customHeight="1" x14ac:dyDescent="0.25">
      <c r="A75" s="32" t="s">
        <v>340</v>
      </c>
      <c r="B75" s="306" t="str">
        <f>IF((COUNTBLANK(AA75)=0),Stats!$E$7,IF((COUNTBLANK(N75)=0),IF((COUNTBLANK(X75)=0),IF((COUNTBLANK(AD75)=0),Stats!$E$6,Stats!$E$5),Stats!$E$4),""))</f>
        <v>Death</v>
      </c>
      <c r="C75" s="307" t="str">
        <f>IF(B75=Stats!$E$5,Stats!$E$11,"")</f>
        <v/>
      </c>
      <c r="D75" s="218">
        <v>45793</v>
      </c>
      <c r="E75" s="301">
        <f t="shared" ca="1" si="3"/>
        <v>346</v>
      </c>
      <c r="F75" s="306" t="s">
        <v>341</v>
      </c>
      <c r="G75" s="308" t="s">
        <v>342</v>
      </c>
      <c r="H75" s="306" t="s">
        <v>152</v>
      </c>
      <c r="I75" s="306" t="s">
        <v>114</v>
      </c>
      <c r="J75" s="306" t="s">
        <v>206</v>
      </c>
      <c r="K75" s="306" t="s">
        <v>61</v>
      </c>
      <c r="L75" s="41" t="s">
        <v>62</v>
      </c>
      <c r="M75" s="219">
        <f t="shared" ref="M75:M106" si="4">COUNTA(D75)*COUNTA(F75)*COUNTA(J75)*COUNTA(L75)</f>
        <v>1</v>
      </c>
      <c r="N75" s="218">
        <v>45812</v>
      </c>
      <c r="O75" s="34" t="s">
        <v>285</v>
      </c>
      <c r="P75" s="36" t="s">
        <v>316</v>
      </c>
      <c r="Q75" s="36"/>
      <c r="R75" s="36"/>
      <c r="S75" s="224" t="s">
        <v>196</v>
      </c>
      <c r="T75" s="225" t="s">
        <v>51</v>
      </c>
      <c r="U75" s="226">
        <v>-450</v>
      </c>
      <c r="V75" s="226">
        <v>500</v>
      </c>
      <c r="W75" s="303" t="s">
        <v>279</v>
      </c>
      <c r="X75" s="220">
        <v>45819</v>
      </c>
      <c r="Y75" s="34" t="s">
        <v>285</v>
      </c>
      <c r="Z75" s="227"/>
      <c r="AA75" s="220">
        <v>46010</v>
      </c>
      <c r="AB75" s="221" t="s">
        <v>54</v>
      </c>
      <c r="AC75" s="231" t="s">
        <v>343</v>
      </c>
      <c r="AD75" s="230"/>
      <c r="AE75" s="230"/>
      <c r="AF75" s="230"/>
      <c r="AG75" s="230"/>
    </row>
    <row r="76" spans="1:33" s="34" customFormat="1" ht="15" customHeight="1" x14ac:dyDescent="0.25">
      <c r="A76" s="32" t="s">
        <v>344</v>
      </c>
      <c r="B76" s="306" t="str">
        <f>IF((COUNTBLANK(AA76)=0),Stats!$E$7,IF((COUNTBLANK(N76)=0),IF((COUNTBLANK(X76)=0),IF((COUNTBLANK(AD76)=0),Stats!$E$6,Stats!$E$5),Stats!$E$4),""))</f>
        <v>Death</v>
      </c>
      <c r="C76" s="307" t="str">
        <f>IF(B76=Stats!$E$5,Stats!$E$11,"")</f>
        <v/>
      </c>
      <c r="D76" s="218">
        <v>45793</v>
      </c>
      <c r="E76" s="301">
        <f t="shared" ca="1" si="3"/>
        <v>346</v>
      </c>
      <c r="F76" s="306" t="s">
        <v>345</v>
      </c>
      <c r="G76" s="308" t="s">
        <v>342</v>
      </c>
      <c r="H76" s="306" t="s">
        <v>152</v>
      </c>
      <c r="I76" s="306" t="s">
        <v>114</v>
      </c>
      <c r="J76" s="306" t="s">
        <v>206</v>
      </c>
      <c r="K76" s="306" t="s">
        <v>321</v>
      </c>
      <c r="L76" s="41" t="s">
        <v>284</v>
      </c>
      <c r="M76" s="219">
        <f t="shared" si="4"/>
        <v>1</v>
      </c>
      <c r="N76" s="218">
        <v>45812</v>
      </c>
      <c r="O76" s="34" t="s">
        <v>285</v>
      </c>
      <c r="P76" s="36" t="s">
        <v>316</v>
      </c>
      <c r="Q76" s="36"/>
      <c r="R76" s="36"/>
      <c r="S76" s="224" t="s">
        <v>196</v>
      </c>
      <c r="T76" s="225" t="s">
        <v>51</v>
      </c>
      <c r="U76" s="226">
        <v>-450</v>
      </c>
      <c r="V76" s="226">
        <v>500</v>
      </c>
      <c r="W76" s="303" t="s">
        <v>291</v>
      </c>
      <c r="X76" s="220"/>
      <c r="Z76" s="227"/>
      <c r="AA76" s="220">
        <v>46010</v>
      </c>
      <c r="AB76" s="221" t="s">
        <v>54</v>
      </c>
      <c r="AC76" s="231"/>
      <c r="AD76" s="230"/>
      <c r="AE76" s="230"/>
      <c r="AF76" s="230"/>
      <c r="AG76" s="230"/>
    </row>
    <row r="77" spans="1:33" s="34" customFormat="1" ht="15" customHeight="1" x14ac:dyDescent="0.25">
      <c r="A77" s="32" t="s">
        <v>346</v>
      </c>
      <c r="B77" s="306" t="str">
        <f>IF((COUNTBLANK(AA77)=0),Stats!$E$7,IF((COUNTBLANK(N77)=0),IF((COUNTBLANK(X77)=0),IF((COUNTBLANK(AD77)=0),Stats!$E$6,Stats!$E$5),Stats!$E$4),""))</f>
        <v>Death</v>
      </c>
      <c r="C77" s="307" t="str">
        <f>IF(B77=Stats!$E$5,Stats!$E$11,"")</f>
        <v/>
      </c>
      <c r="D77" s="218">
        <v>45793</v>
      </c>
      <c r="E77" s="301">
        <f t="shared" ca="1" si="3"/>
        <v>346</v>
      </c>
      <c r="F77" s="306" t="s">
        <v>347</v>
      </c>
      <c r="G77" s="308" t="s">
        <v>342</v>
      </c>
      <c r="H77" s="306" t="s">
        <v>152</v>
      </c>
      <c r="I77" s="306" t="s">
        <v>114</v>
      </c>
      <c r="J77" s="306" t="s">
        <v>206</v>
      </c>
      <c r="K77" s="306" t="s">
        <v>61</v>
      </c>
      <c r="L77" s="41" t="s">
        <v>62</v>
      </c>
      <c r="M77" s="219">
        <f t="shared" si="4"/>
        <v>1</v>
      </c>
      <c r="N77" s="218">
        <v>45812</v>
      </c>
      <c r="O77" s="34" t="s">
        <v>285</v>
      </c>
      <c r="P77" s="36" t="s">
        <v>316</v>
      </c>
      <c r="Q77" s="36"/>
      <c r="R77" s="36"/>
      <c r="S77" s="224" t="s">
        <v>196</v>
      </c>
      <c r="T77" s="225" t="s">
        <v>51</v>
      </c>
      <c r="U77" s="226">
        <v>-450</v>
      </c>
      <c r="V77" s="226">
        <v>500</v>
      </c>
      <c r="W77" s="303" t="s">
        <v>243</v>
      </c>
      <c r="X77" s="220">
        <v>45819</v>
      </c>
      <c r="Y77" s="34" t="s">
        <v>285</v>
      </c>
      <c r="Z77" s="227"/>
      <c r="AA77" s="220">
        <v>46010</v>
      </c>
      <c r="AB77" s="221" t="s">
        <v>54</v>
      </c>
      <c r="AC77" s="231" t="s">
        <v>348</v>
      </c>
      <c r="AD77" s="230"/>
      <c r="AE77" s="230"/>
      <c r="AF77" s="230"/>
      <c r="AG77" s="230"/>
    </row>
    <row r="78" spans="1:33" s="34" customFormat="1" ht="15" customHeight="1" x14ac:dyDescent="0.25">
      <c r="A78" s="32" t="s">
        <v>349</v>
      </c>
      <c r="B78" s="306" t="str">
        <f>IF((COUNTBLANK(AA78)=0),Stats!$E$7,IF((COUNTBLANK(N78)=0),IF((COUNTBLANK(X78)=0),IF((COUNTBLANK(AD78)=0),Stats!$E$6,Stats!$E$5),Stats!$E$4),""))</f>
        <v>Death</v>
      </c>
      <c r="C78" s="307" t="str">
        <f>IF(B78=Stats!$E$5,Stats!$E$11,"")</f>
        <v/>
      </c>
      <c r="D78" s="218">
        <v>45793</v>
      </c>
      <c r="E78" s="301">
        <f t="shared" ca="1" si="3"/>
        <v>346</v>
      </c>
      <c r="F78" s="306" t="s">
        <v>350</v>
      </c>
      <c r="G78" s="308" t="s">
        <v>342</v>
      </c>
      <c r="H78" s="306" t="s">
        <v>152</v>
      </c>
      <c r="I78" s="306" t="s">
        <v>114</v>
      </c>
      <c r="J78" s="306" t="s">
        <v>206</v>
      </c>
      <c r="K78" s="306" t="s">
        <v>321</v>
      </c>
      <c r="L78" s="41" t="s">
        <v>284</v>
      </c>
      <c r="M78" s="219">
        <f t="shared" si="4"/>
        <v>1</v>
      </c>
      <c r="N78" s="218">
        <v>45812</v>
      </c>
      <c r="O78" s="34" t="s">
        <v>285</v>
      </c>
      <c r="P78" s="36" t="s">
        <v>316</v>
      </c>
      <c r="Q78" s="36"/>
      <c r="R78" s="36"/>
      <c r="S78" s="224" t="s">
        <v>196</v>
      </c>
      <c r="T78" s="225" t="s">
        <v>51</v>
      </c>
      <c r="U78" s="226">
        <v>-450</v>
      </c>
      <c r="V78" s="226">
        <v>500</v>
      </c>
      <c r="W78" s="303" t="s">
        <v>249</v>
      </c>
      <c r="X78" s="220"/>
      <c r="Z78" s="227"/>
      <c r="AA78" s="220">
        <v>46010</v>
      </c>
      <c r="AB78" s="221" t="s">
        <v>54</v>
      </c>
      <c r="AC78" s="231"/>
      <c r="AD78" s="230"/>
      <c r="AE78" s="230"/>
      <c r="AF78" s="230"/>
      <c r="AG78" s="230"/>
    </row>
    <row r="79" spans="1:33" s="34" customFormat="1" ht="15" customHeight="1" x14ac:dyDescent="0.25">
      <c r="A79" s="32" t="s">
        <v>351</v>
      </c>
      <c r="B79" s="306" t="str">
        <f>IF((COUNTBLANK(AA79)=0),Stats!$E$7,IF((COUNTBLANK(N79)=0),IF((COUNTBLANK(X79)=0),IF((COUNTBLANK(AD79)=0),Stats!$E$6,Stats!$E$5),Stats!$E$4),""))</f>
        <v>Death</v>
      </c>
      <c r="C79" s="307"/>
      <c r="D79" s="218">
        <v>45800</v>
      </c>
      <c r="E79" s="301">
        <f t="shared" ca="1" si="3"/>
        <v>348</v>
      </c>
      <c r="F79" s="306" t="s">
        <v>352</v>
      </c>
      <c r="G79" s="308" t="s">
        <v>353</v>
      </c>
      <c r="H79" s="306" t="s">
        <v>354</v>
      </c>
      <c r="I79" s="306" t="s">
        <v>44</v>
      </c>
      <c r="J79" s="306" t="s">
        <v>206</v>
      </c>
      <c r="K79" s="306" t="s">
        <v>355</v>
      </c>
      <c r="L79" s="41" t="s">
        <v>356</v>
      </c>
      <c r="M79" s="219">
        <f t="shared" si="4"/>
        <v>1</v>
      </c>
      <c r="N79" s="218">
        <v>45859</v>
      </c>
      <c r="O79" s="34" t="s">
        <v>153</v>
      </c>
      <c r="P79" s="36" t="s">
        <v>357</v>
      </c>
      <c r="Q79" s="36"/>
      <c r="R79" s="36"/>
      <c r="S79" s="224" t="s">
        <v>68</v>
      </c>
      <c r="T79" s="225" t="s">
        <v>358</v>
      </c>
      <c r="U79" s="226" t="s">
        <v>359</v>
      </c>
      <c r="V79" s="380">
        <v>200200</v>
      </c>
      <c r="W79" s="303" t="s">
        <v>291</v>
      </c>
      <c r="X79" s="220">
        <v>45859</v>
      </c>
      <c r="Y79" s="34" t="s">
        <v>153</v>
      </c>
      <c r="Z79" s="227"/>
      <c r="AA79" s="220">
        <v>45904</v>
      </c>
      <c r="AB79" s="221" t="s">
        <v>75</v>
      </c>
      <c r="AC79" s="231" t="s">
        <v>360</v>
      </c>
      <c r="AD79" s="230"/>
      <c r="AE79" s="230"/>
      <c r="AF79" s="230"/>
      <c r="AG79" s="230"/>
    </row>
    <row r="80" spans="1:33" s="34" customFormat="1" ht="15" customHeight="1" x14ac:dyDescent="0.25">
      <c r="A80" s="32" t="s">
        <v>361</v>
      </c>
      <c r="B80" s="306" t="str">
        <f>IF((COUNTBLANK(AA80)=0),Stats!$E$7,IF((COUNTBLANK(N80)=0),IF((COUNTBLANK(X80)=0),IF((COUNTBLANK(AD80)=0),Stats!$E$6,Stats!$E$5),Stats!$E$4),""))</f>
        <v>Death</v>
      </c>
      <c r="C80" s="307" t="str">
        <f>IF(B80=Stats!$E$5,Stats!$E$11,"")</f>
        <v/>
      </c>
      <c r="D80" s="218">
        <v>45800</v>
      </c>
      <c r="E80" s="301">
        <f t="shared" ca="1" si="3"/>
        <v>348</v>
      </c>
      <c r="F80" s="306" t="s">
        <v>362</v>
      </c>
      <c r="G80" s="308" t="s">
        <v>353</v>
      </c>
      <c r="H80" s="306" t="s">
        <v>354</v>
      </c>
      <c r="I80" s="306" t="s">
        <v>44</v>
      </c>
      <c r="J80" s="306" t="s">
        <v>206</v>
      </c>
      <c r="K80" s="306" t="s">
        <v>355</v>
      </c>
      <c r="L80" s="41" t="s">
        <v>356</v>
      </c>
      <c r="M80" s="219">
        <f t="shared" si="4"/>
        <v>1</v>
      </c>
      <c r="N80" s="218">
        <v>45859</v>
      </c>
      <c r="O80" s="34" t="s">
        <v>153</v>
      </c>
      <c r="P80" s="36" t="s">
        <v>357</v>
      </c>
      <c r="Q80" s="36"/>
      <c r="R80" s="36"/>
      <c r="S80" s="224" t="s">
        <v>68</v>
      </c>
      <c r="T80" s="225" t="s">
        <v>358</v>
      </c>
      <c r="U80" s="226" t="s">
        <v>359</v>
      </c>
      <c r="V80" s="380">
        <v>200200</v>
      </c>
      <c r="W80" s="303" t="s">
        <v>243</v>
      </c>
      <c r="X80" s="220">
        <v>45859</v>
      </c>
      <c r="Y80" s="34" t="s">
        <v>153</v>
      </c>
      <c r="Z80" s="227"/>
      <c r="AA80" s="220">
        <v>45903</v>
      </c>
      <c r="AB80" s="221" t="s">
        <v>75</v>
      </c>
      <c r="AC80" s="231" t="s">
        <v>363</v>
      </c>
      <c r="AD80" s="230"/>
      <c r="AE80" s="230"/>
      <c r="AF80" s="230"/>
      <c r="AG80" s="230"/>
    </row>
    <row r="81" spans="1:33" s="34" customFormat="1" ht="15" customHeight="1" x14ac:dyDescent="0.25">
      <c r="A81" s="32" t="s">
        <v>364</v>
      </c>
      <c r="B81" s="306" t="str">
        <f>IF((COUNTBLANK(AA81)=0),Stats!$E$7,IF((COUNTBLANK(N81)=0),IF((COUNTBLANK(X81)=0),IF((COUNTBLANK(AD81)=0),Stats!$E$6,Stats!$E$5),Stats!$E$4),""))</f>
        <v>Death</v>
      </c>
      <c r="C81" s="307" t="str">
        <f>IF(B81=Stats!$E$5,Stats!$E$11,"")</f>
        <v/>
      </c>
      <c r="D81" s="218">
        <v>45800</v>
      </c>
      <c r="E81" s="301">
        <f t="shared" ca="1" si="3"/>
        <v>348</v>
      </c>
      <c r="F81" s="306" t="s">
        <v>365</v>
      </c>
      <c r="G81" s="308" t="s">
        <v>353</v>
      </c>
      <c r="H81" s="306" t="s">
        <v>354</v>
      </c>
      <c r="I81" s="306" t="s">
        <v>44</v>
      </c>
      <c r="J81" s="306" t="s">
        <v>206</v>
      </c>
      <c r="K81" s="306" t="s">
        <v>355</v>
      </c>
      <c r="L81" s="41" t="s">
        <v>356</v>
      </c>
      <c r="M81" s="219">
        <f t="shared" si="4"/>
        <v>1</v>
      </c>
      <c r="N81" s="218">
        <v>45860</v>
      </c>
      <c r="O81" s="34" t="s">
        <v>153</v>
      </c>
      <c r="P81" s="36" t="s">
        <v>357</v>
      </c>
      <c r="Q81" s="36"/>
      <c r="R81" s="36"/>
      <c r="S81" s="224" t="s">
        <v>68</v>
      </c>
      <c r="T81" s="225" t="s">
        <v>358</v>
      </c>
      <c r="U81" s="226" t="s">
        <v>359</v>
      </c>
      <c r="V81" s="380">
        <v>200200</v>
      </c>
      <c r="W81" s="303" t="s">
        <v>249</v>
      </c>
      <c r="X81" s="220">
        <v>45860</v>
      </c>
      <c r="Y81" s="34" t="s">
        <v>153</v>
      </c>
      <c r="Z81" s="227"/>
      <c r="AA81" s="220">
        <v>45860</v>
      </c>
      <c r="AB81" s="221" t="s">
        <v>366</v>
      </c>
      <c r="AC81" s="231"/>
      <c r="AD81" s="230"/>
      <c r="AE81" s="230"/>
      <c r="AF81" s="230"/>
      <c r="AG81" s="230"/>
    </row>
    <row r="82" spans="1:33" s="34" customFormat="1" ht="15" customHeight="1" x14ac:dyDescent="0.25">
      <c r="A82" s="32" t="s">
        <v>367</v>
      </c>
      <c r="B82" s="306" t="str">
        <f>IF((COUNTBLANK(AA82)=0),Stats!$E$7,IF((COUNTBLANK(N82)=0),IF((COUNTBLANK(X82)=0),IF((COUNTBLANK(AD82)=0),Stats!$E$6,Stats!$E$5),Stats!$E$4),""))</f>
        <v>Death</v>
      </c>
      <c r="C82" s="307" t="str">
        <f>IF(B82=Stats!$E$5,Stats!$E$11,"")</f>
        <v/>
      </c>
      <c r="D82" s="218">
        <v>45800</v>
      </c>
      <c r="E82" s="301">
        <f t="shared" ca="1" si="3"/>
        <v>348</v>
      </c>
      <c r="F82" s="306" t="s">
        <v>368</v>
      </c>
      <c r="G82" s="308" t="s">
        <v>353</v>
      </c>
      <c r="H82" s="306" t="s">
        <v>354</v>
      </c>
      <c r="I82" s="306" t="s">
        <v>44</v>
      </c>
      <c r="J82" s="306" t="s">
        <v>206</v>
      </c>
      <c r="K82" s="306" t="s">
        <v>355</v>
      </c>
      <c r="L82" s="41" t="s">
        <v>356</v>
      </c>
      <c r="M82" s="219">
        <f t="shared" si="4"/>
        <v>1</v>
      </c>
      <c r="N82" s="218">
        <v>45861</v>
      </c>
      <c r="O82" s="34" t="s">
        <v>153</v>
      </c>
      <c r="P82" s="36" t="s">
        <v>357</v>
      </c>
      <c r="Q82" s="36"/>
      <c r="R82" s="36"/>
      <c r="S82" s="224" t="s">
        <v>68</v>
      </c>
      <c r="T82" s="225" t="s">
        <v>358</v>
      </c>
      <c r="U82" s="226" t="s">
        <v>359</v>
      </c>
      <c r="V82" s="380">
        <v>200200</v>
      </c>
      <c r="W82" s="303" t="s">
        <v>249</v>
      </c>
      <c r="X82" s="220">
        <v>45861</v>
      </c>
      <c r="Y82" s="34" t="s">
        <v>153</v>
      </c>
      <c r="Z82" s="227"/>
      <c r="AA82" s="220">
        <v>45903</v>
      </c>
      <c r="AB82" s="221" t="s">
        <v>75</v>
      </c>
      <c r="AC82" s="231" t="s">
        <v>369</v>
      </c>
      <c r="AD82" s="230"/>
      <c r="AE82" s="230"/>
      <c r="AF82" s="230"/>
      <c r="AG82" s="230"/>
    </row>
    <row r="83" spans="1:33" s="34" customFormat="1" ht="15" customHeight="1" x14ac:dyDescent="0.25">
      <c r="A83" s="32" t="s">
        <v>370</v>
      </c>
      <c r="B83" s="306" t="str">
        <f>IF((COUNTBLANK(AA83)=0),Stats!$E$7,IF((COUNTBLANK(N83)=0),IF((COUNTBLANK(X83)=0),IF((COUNTBLANK(AD83)=0),Stats!$E$6,Stats!$E$5),Stats!$E$4),""))</f>
        <v>Death</v>
      </c>
      <c r="C83" s="307" t="str">
        <f>IF(B83=Stats!$E$5,Stats!$E$11,"")</f>
        <v/>
      </c>
      <c r="D83" s="218">
        <v>45800</v>
      </c>
      <c r="E83" s="301">
        <f t="shared" ca="1" si="3"/>
        <v>348</v>
      </c>
      <c r="F83" s="306" t="s">
        <v>371</v>
      </c>
      <c r="G83" s="308" t="s">
        <v>353</v>
      </c>
      <c r="H83" s="306" t="s">
        <v>354</v>
      </c>
      <c r="I83" s="306" t="s">
        <v>44</v>
      </c>
      <c r="J83" s="306" t="s">
        <v>206</v>
      </c>
      <c r="K83" s="306" t="s">
        <v>355</v>
      </c>
      <c r="L83" s="41" t="s">
        <v>356</v>
      </c>
      <c r="M83" s="219">
        <f t="shared" si="4"/>
        <v>1</v>
      </c>
      <c r="N83" s="218">
        <v>45861</v>
      </c>
      <c r="O83" s="34" t="s">
        <v>153</v>
      </c>
      <c r="P83" s="36" t="s">
        <v>357</v>
      </c>
      <c r="Q83" s="36"/>
      <c r="R83" s="36"/>
      <c r="S83" s="224" t="s">
        <v>68</v>
      </c>
      <c r="T83" s="225" t="s">
        <v>358</v>
      </c>
      <c r="U83" s="226" t="s">
        <v>359</v>
      </c>
      <c r="V83" s="380">
        <v>200200</v>
      </c>
      <c r="W83" s="303" t="s">
        <v>279</v>
      </c>
      <c r="X83" s="220">
        <v>45861</v>
      </c>
      <c r="Y83" s="34" t="s">
        <v>153</v>
      </c>
      <c r="Z83" s="227"/>
      <c r="AA83" s="220">
        <v>45903</v>
      </c>
      <c r="AB83" s="221" t="s">
        <v>75</v>
      </c>
      <c r="AC83" s="231" t="s">
        <v>369</v>
      </c>
      <c r="AD83" s="230"/>
      <c r="AE83" s="230"/>
      <c r="AF83" s="230"/>
      <c r="AG83" s="230"/>
    </row>
    <row r="84" spans="1:33" s="34" customFormat="1" ht="15" customHeight="1" x14ac:dyDescent="0.25">
      <c r="A84" s="32" t="s">
        <v>372</v>
      </c>
      <c r="B84" s="306" t="str">
        <f>IF((COUNTBLANK(AA84)=0),Stats!$E$7,IF((COUNTBLANK(N84)=0),IF((COUNTBLANK(X84)=0),IF((COUNTBLANK(AD84)=0),Stats!$E$6,Stats!$E$5),Stats!$E$4),""))</f>
        <v>Death</v>
      </c>
      <c r="C84" s="307"/>
      <c r="D84" s="218">
        <v>45800</v>
      </c>
      <c r="E84" s="301">
        <f t="shared" ca="1" si="3"/>
        <v>347</v>
      </c>
      <c r="F84" s="306" t="s">
        <v>373</v>
      </c>
      <c r="G84" s="308" t="s">
        <v>374</v>
      </c>
      <c r="H84" s="306" t="s">
        <v>354</v>
      </c>
      <c r="I84" s="306" t="s">
        <v>44</v>
      </c>
      <c r="J84" s="306" t="s">
        <v>206</v>
      </c>
      <c r="K84" s="306" t="s">
        <v>355</v>
      </c>
      <c r="L84" s="41" t="s">
        <v>356</v>
      </c>
      <c r="M84" s="219">
        <f t="shared" si="4"/>
        <v>1</v>
      </c>
      <c r="N84" s="218">
        <v>45855</v>
      </c>
      <c r="O84" s="34" t="s">
        <v>153</v>
      </c>
      <c r="P84" s="36" t="s">
        <v>357</v>
      </c>
      <c r="Q84" s="36"/>
      <c r="R84" s="36"/>
      <c r="S84" s="224" t="s">
        <v>68</v>
      </c>
      <c r="T84" s="225" t="s">
        <v>358</v>
      </c>
      <c r="U84" s="226" t="s">
        <v>359</v>
      </c>
      <c r="V84" s="380">
        <v>200200</v>
      </c>
      <c r="W84" s="303" t="s">
        <v>279</v>
      </c>
      <c r="X84" s="220">
        <v>45855</v>
      </c>
      <c r="Y84" s="34" t="s">
        <v>153</v>
      </c>
      <c r="Z84" s="227"/>
      <c r="AA84" s="220">
        <v>45881</v>
      </c>
      <c r="AB84" s="221" t="s">
        <v>133</v>
      </c>
      <c r="AC84" s="231"/>
      <c r="AD84" s="230"/>
      <c r="AE84" s="230"/>
      <c r="AF84" s="230"/>
      <c r="AG84" s="230"/>
    </row>
    <row r="85" spans="1:33" s="34" customFormat="1" ht="15" customHeight="1" x14ac:dyDescent="0.25">
      <c r="A85" s="32" t="s">
        <v>375</v>
      </c>
      <c r="B85" s="306" t="str">
        <f>IF((COUNTBLANK(AA85)=0),Stats!$E$7,IF((COUNTBLANK(N85)=0),IF((COUNTBLANK(X85)=0),IF((COUNTBLANK(AD85)=0),Stats!$E$6,Stats!$E$5),Stats!$E$4),""))</f>
        <v>Death</v>
      </c>
      <c r="C85" s="307" t="str">
        <f>IF(B85=Stats!$E$5,Stats!$E$11,"")</f>
        <v/>
      </c>
      <c r="D85" s="218">
        <v>45800</v>
      </c>
      <c r="E85" s="301">
        <f t="shared" ca="1" si="3"/>
        <v>347</v>
      </c>
      <c r="F85" s="306" t="s">
        <v>376</v>
      </c>
      <c r="G85" s="308" t="s">
        <v>374</v>
      </c>
      <c r="H85" s="306" t="s">
        <v>354</v>
      </c>
      <c r="I85" s="306" t="s">
        <v>44</v>
      </c>
      <c r="J85" s="306" t="s">
        <v>206</v>
      </c>
      <c r="K85" s="306" t="s">
        <v>355</v>
      </c>
      <c r="L85" s="41" t="s">
        <v>356</v>
      </c>
      <c r="M85" s="219">
        <f t="shared" si="4"/>
        <v>1</v>
      </c>
      <c r="N85" s="218">
        <v>45856</v>
      </c>
      <c r="O85" s="34" t="s">
        <v>153</v>
      </c>
      <c r="P85" s="36" t="s">
        <v>357</v>
      </c>
      <c r="Q85" s="36"/>
      <c r="R85" s="36"/>
      <c r="S85" s="224" t="s">
        <v>68</v>
      </c>
      <c r="T85" s="225" t="s">
        <v>358</v>
      </c>
      <c r="U85" s="226" t="s">
        <v>359</v>
      </c>
      <c r="V85" s="380">
        <v>200200</v>
      </c>
      <c r="W85" s="303" t="s">
        <v>243</v>
      </c>
      <c r="X85" s="220">
        <v>45856</v>
      </c>
      <c r="Y85" s="34" t="s">
        <v>153</v>
      </c>
      <c r="Z85" s="227"/>
      <c r="AA85" s="220">
        <v>45904</v>
      </c>
      <c r="AB85" s="221" t="s">
        <v>75</v>
      </c>
      <c r="AC85" s="231" t="s">
        <v>360</v>
      </c>
      <c r="AD85" s="230"/>
      <c r="AE85" s="230"/>
      <c r="AF85" s="230"/>
      <c r="AG85" s="230"/>
    </row>
    <row r="86" spans="1:33" s="34" customFormat="1" ht="15" customHeight="1" x14ac:dyDescent="0.25">
      <c r="A86" s="32" t="s">
        <v>377</v>
      </c>
      <c r="B86" s="306" t="str">
        <f>IF((COUNTBLANK(AA86)=0),Stats!$E$7,IF((COUNTBLANK(N86)=0),IF((COUNTBLANK(X86)=0),IF((COUNTBLANK(AD86)=0),Stats!$E$6,Stats!$E$5),Stats!$E$4),""))</f>
        <v>Death</v>
      </c>
      <c r="C86" s="307" t="str">
        <f>IF(B86=Stats!$E$5,Stats!$E$11,"")</f>
        <v/>
      </c>
      <c r="D86" s="218">
        <v>45800</v>
      </c>
      <c r="E86" s="301">
        <f t="shared" ca="1" si="3"/>
        <v>347</v>
      </c>
      <c r="F86" s="306" t="s">
        <v>378</v>
      </c>
      <c r="G86" s="308" t="s">
        <v>374</v>
      </c>
      <c r="H86" s="306" t="s">
        <v>354</v>
      </c>
      <c r="I86" s="306" t="s">
        <v>44</v>
      </c>
      <c r="J86" s="306" t="s">
        <v>206</v>
      </c>
      <c r="K86" s="306" t="s">
        <v>355</v>
      </c>
      <c r="L86" s="41" t="s">
        <v>356</v>
      </c>
      <c r="M86" s="219">
        <f t="shared" si="4"/>
        <v>1</v>
      </c>
      <c r="N86" s="218">
        <v>45856</v>
      </c>
      <c r="O86" s="34" t="s">
        <v>153</v>
      </c>
      <c r="P86" s="36" t="s">
        <v>357</v>
      </c>
      <c r="Q86" s="36"/>
      <c r="R86" s="36"/>
      <c r="S86" s="224" t="s">
        <v>68</v>
      </c>
      <c r="T86" s="225" t="s">
        <v>358</v>
      </c>
      <c r="U86" s="226" t="s">
        <v>359</v>
      </c>
      <c r="V86" s="380">
        <v>200200</v>
      </c>
      <c r="W86" s="303" t="s">
        <v>249</v>
      </c>
      <c r="X86" s="220">
        <v>45856</v>
      </c>
      <c r="Y86" s="34" t="s">
        <v>153</v>
      </c>
      <c r="Z86" s="227"/>
      <c r="AA86" s="220">
        <v>45904</v>
      </c>
      <c r="AB86" s="221" t="s">
        <v>75</v>
      </c>
      <c r="AC86" s="231" t="s">
        <v>360</v>
      </c>
      <c r="AD86" s="230"/>
      <c r="AE86" s="230"/>
      <c r="AF86" s="230"/>
      <c r="AG86" s="230"/>
    </row>
    <row r="87" spans="1:33" s="34" customFormat="1" ht="15" customHeight="1" x14ac:dyDescent="0.25">
      <c r="A87" s="32" t="s">
        <v>379</v>
      </c>
      <c r="B87" s="306" t="str">
        <f>IF((COUNTBLANK(AA87)=0),Stats!$E$7,IF((COUNTBLANK(N87)=0),IF((COUNTBLANK(X87)=0),IF((COUNTBLANK(AD87)=0),Stats!$E$6,Stats!$E$5),Stats!$E$4),""))</f>
        <v>Death</v>
      </c>
      <c r="C87" s="307" t="str">
        <f>IF(B87=Stats!$E$5,Stats!$E$11,"")</f>
        <v/>
      </c>
      <c r="D87" s="218">
        <v>45800</v>
      </c>
      <c r="E87" s="301">
        <f t="shared" ca="1" si="3"/>
        <v>347</v>
      </c>
      <c r="F87" s="306" t="s">
        <v>380</v>
      </c>
      <c r="G87" s="308" t="s">
        <v>374</v>
      </c>
      <c r="H87" s="306" t="s">
        <v>354</v>
      </c>
      <c r="I87" s="306" t="s">
        <v>44</v>
      </c>
      <c r="J87" s="306" t="s">
        <v>206</v>
      </c>
      <c r="K87" s="306" t="s">
        <v>355</v>
      </c>
      <c r="L87" s="41" t="s">
        <v>356</v>
      </c>
      <c r="M87" s="219">
        <f t="shared" si="4"/>
        <v>1</v>
      </c>
      <c r="N87" s="218">
        <v>45860</v>
      </c>
      <c r="O87" s="34" t="s">
        <v>153</v>
      </c>
      <c r="P87" s="36" t="s">
        <v>357</v>
      </c>
      <c r="Q87" s="36"/>
      <c r="R87" s="36"/>
      <c r="S87" s="224" t="s">
        <v>68</v>
      </c>
      <c r="T87" s="225" t="s">
        <v>358</v>
      </c>
      <c r="U87" s="226" t="s">
        <v>359</v>
      </c>
      <c r="V87" s="380">
        <v>200200</v>
      </c>
      <c r="W87" s="303" t="s">
        <v>291</v>
      </c>
      <c r="X87" s="220">
        <v>45860</v>
      </c>
      <c r="Y87" s="34" t="s">
        <v>153</v>
      </c>
      <c r="Z87" s="227"/>
      <c r="AA87" s="220">
        <v>45904</v>
      </c>
      <c r="AB87" s="221" t="s">
        <v>75</v>
      </c>
      <c r="AC87" s="231" t="s">
        <v>381</v>
      </c>
      <c r="AD87" s="230"/>
      <c r="AE87" s="230"/>
      <c r="AF87" s="230"/>
      <c r="AG87" s="230"/>
    </row>
    <row r="88" spans="1:33" s="34" customFormat="1" ht="15" customHeight="1" x14ac:dyDescent="0.25">
      <c r="A88" s="32" t="s">
        <v>382</v>
      </c>
      <c r="B88" s="306" t="str">
        <f>IF((COUNTBLANK(AA88)=0),Stats!$E$7,IF((COUNTBLANK(N88)=0),IF((COUNTBLANK(X88)=0),IF((COUNTBLANK(AD88)=0),Stats!$E$6,Stats!$E$5),Stats!$E$4),""))</f>
        <v>Death</v>
      </c>
      <c r="C88" s="307" t="str">
        <f>IF(B88=Stats!$E$5,Stats!$E$11,"")</f>
        <v/>
      </c>
      <c r="D88" s="218">
        <v>45807</v>
      </c>
      <c r="E88" s="301">
        <f t="shared" ca="1" si="3"/>
        <v>298</v>
      </c>
      <c r="F88" s="306" t="s">
        <v>383</v>
      </c>
      <c r="G88" s="308" t="s">
        <v>384</v>
      </c>
      <c r="H88" s="306" t="s">
        <v>43</v>
      </c>
      <c r="I88" s="306" t="s">
        <v>44</v>
      </c>
      <c r="J88" s="306" t="s">
        <v>206</v>
      </c>
      <c r="K88" s="306" t="s">
        <v>248</v>
      </c>
      <c r="L88" s="41" t="s">
        <v>240</v>
      </c>
      <c r="M88" s="219">
        <f t="shared" si="4"/>
        <v>1</v>
      </c>
      <c r="N88" s="218">
        <v>45814</v>
      </c>
      <c r="O88" s="34" t="s">
        <v>385</v>
      </c>
      <c r="P88" s="36" t="s">
        <v>171</v>
      </c>
      <c r="Q88" s="36" t="s">
        <v>181</v>
      </c>
      <c r="R88" s="36" t="s">
        <v>155</v>
      </c>
      <c r="S88" s="224" t="s">
        <v>386</v>
      </c>
      <c r="T88" s="225" t="s">
        <v>51</v>
      </c>
      <c r="U88" s="226">
        <v>-300</v>
      </c>
      <c r="V88" s="226">
        <v>200</v>
      </c>
      <c r="W88" s="303" t="s">
        <v>279</v>
      </c>
      <c r="X88" s="220">
        <v>45814</v>
      </c>
      <c r="Y88" s="34" t="s">
        <v>385</v>
      </c>
      <c r="Z88" s="227"/>
      <c r="AA88" s="220">
        <v>46000</v>
      </c>
      <c r="AB88" s="221" t="s">
        <v>54</v>
      </c>
      <c r="AC88" s="231"/>
      <c r="AD88" s="230"/>
      <c r="AE88" s="230"/>
      <c r="AF88" s="230"/>
      <c r="AG88" s="230"/>
    </row>
    <row r="89" spans="1:33" s="34" customFormat="1" ht="15" customHeight="1" x14ac:dyDescent="0.25">
      <c r="A89" s="32" t="s">
        <v>387</v>
      </c>
      <c r="B89" s="306" t="str">
        <f>IF((COUNTBLANK(AA89)=0),Stats!$E$7,IF((COUNTBLANK(N89)=0),IF((COUNTBLANK(X89)=0),IF((COUNTBLANK(AD89)=0),Stats!$E$6,Stats!$E$5),Stats!$E$4),""))</f>
        <v>Death</v>
      </c>
      <c r="C89" s="307" t="str">
        <f>IF(B89=Stats!$E$5,Stats!$E$11,"")</f>
        <v/>
      </c>
      <c r="D89" s="218">
        <v>45807</v>
      </c>
      <c r="E89" s="301">
        <f t="shared" ca="1" si="3"/>
        <v>298</v>
      </c>
      <c r="F89" s="306" t="s">
        <v>388</v>
      </c>
      <c r="G89" s="308" t="s">
        <v>384</v>
      </c>
      <c r="H89" s="306" t="s">
        <v>43</v>
      </c>
      <c r="I89" s="306" t="s">
        <v>44</v>
      </c>
      <c r="J89" s="306" t="s">
        <v>206</v>
      </c>
      <c r="K89" s="306" t="s">
        <v>248</v>
      </c>
      <c r="L89" s="41" t="s">
        <v>240</v>
      </c>
      <c r="M89" s="219">
        <f t="shared" si="4"/>
        <v>1</v>
      </c>
      <c r="N89" s="218">
        <v>45814</v>
      </c>
      <c r="O89" s="34" t="s">
        <v>385</v>
      </c>
      <c r="P89" s="36" t="s">
        <v>171</v>
      </c>
      <c r="Q89" s="36" t="s">
        <v>181</v>
      </c>
      <c r="R89" s="36" t="s">
        <v>155</v>
      </c>
      <c r="S89" s="224" t="s">
        <v>386</v>
      </c>
      <c r="T89" s="225" t="s">
        <v>51</v>
      </c>
      <c r="U89" s="226">
        <v>-300</v>
      </c>
      <c r="V89" s="226">
        <v>200</v>
      </c>
      <c r="W89" s="303" t="s">
        <v>243</v>
      </c>
      <c r="X89" s="220">
        <v>45814</v>
      </c>
      <c r="Y89" s="34" t="s">
        <v>385</v>
      </c>
      <c r="Z89" s="227"/>
      <c r="AA89" s="220">
        <v>45839</v>
      </c>
      <c r="AB89" s="221" t="s">
        <v>160</v>
      </c>
      <c r="AC89" s="231"/>
      <c r="AD89" s="230"/>
      <c r="AE89" s="230"/>
      <c r="AF89" s="230"/>
      <c r="AG89" s="230"/>
    </row>
    <row r="90" spans="1:33" s="34" customFormat="1" ht="15" customHeight="1" x14ac:dyDescent="0.25">
      <c r="A90" s="32" t="s">
        <v>389</v>
      </c>
      <c r="B90" s="306" t="str">
        <f>IF((COUNTBLANK(AA90)=0),Stats!$E$7,IF((COUNTBLANK(N90)=0),IF((COUNTBLANK(X90)=0),IF((COUNTBLANK(AD90)=0),Stats!$E$6,Stats!$E$5),Stats!$E$4),""))</f>
        <v>Death</v>
      </c>
      <c r="C90" s="307" t="str">
        <f>IF(B90=Stats!$E$5,Stats!$E$11,"")</f>
        <v/>
      </c>
      <c r="D90" s="218">
        <v>45807</v>
      </c>
      <c r="E90" s="301">
        <f t="shared" ca="1" si="3"/>
        <v>298</v>
      </c>
      <c r="F90" s="306" t="s">
        <v>390</v>
      </c>
      <c r="G90" s="308" t="s">
        <v>384</v>
      </c>
      <c r="H90" s="306" t="s">
        <v>43</v>
      </c>
      <c r="I90" s="306" t="s">
        <v>44</v>
      </c>
      <c r="J90" s="306" t="s">
        <v>206</v>
      </c>
      <c r="K90" s="306" t="s">
        <v>248</v>
      </c>
      <c r="L90" s="41" t="s">
        <v>240</v>
      </c>
      <c r="M90" s="219">
        <f t="shared" si="4"/>
        <v>1</v>
      </c>
      <c r="N90" s="218">
        <v>45818</v>
      </c>
      <c r="O90" s="34" t="s">
        <v>385</v>
      </c>
      <c r="P90" s="36" t="s">
        <v>242</v>
      </c>
      <c r="Q90" s="36" t="s">
        <v>181</v>
      </c>
      <c r="R90" s="36"/>
      <c r="S90" s="224" t="s">
        <v>391</v>
      </c>
      <c r="T90" s="225" t="s">
        <v>51</v>
      </c>
      <c r="U90" s="226">
        <v>-300</v>
      </c>
      <c r="V90" s="226">
        <v>200</v>
      </c>
      <c r="W90" s="303" t="s">
        <v>249</v>
      </c>
      <c r="X90" s="220">
        <v>45818</v>
      </c>
      <c r="Y90" s="34" t="s">
        <v>385</v>
      </c>
      <c r="Z90" s="227"/>
      <c r="AA90" s="220">
        <v>45917</v>
      </c>
      <c r="AB90" s="221" t="s">
        <v>81</v>
      </c>
      <c r="AC90" s="231"/>
      <c r="AD90" s="230"/>
      <c r="AE90" s="230"/>
      <c r="AF90" s="230"/>
      <c r="AG90" s="230"/>
    </row>
    <row r="91" spans="1:33" s="34" customFormat="1" ht="15" customHeight="1" x14ac:dyDescent="0.25">
      <c r="A91" s="32" t="s">
        <v>392</v>
      </c>
      <c r="B91" s="306" t="str">
        <f>IF((COUNTBLANK(AA91)=0),Stats!$E$7,IF((COUNTBLANK(N91)=0),IF((COUNTBLANK(X91)=0),IF((COUNTBLANK(AD91)=0),Stats!$E$6,Stats!$E$5),Stats!$E$4),""))</f>
        <v>Death</v>
      </c>
      <c r="C91" s="307" t="s">
        <v>59</v>
      </c>
      <c r="D91" s="218">
        <v>45807</v>
      </c>
      <c r="E91" s="301">
        <f t="shared" ca="1" si="3"/>
        <v>298</v>
      </c>
      <c r="F91" s="306" t="s">
        <v>393</v>
      </c>
      <c r="G91" s="308" t="s">
        <v>384</v>
      </c>
      <c r="H91" s="306" t="s">
        <v>43</v>
      </c>
      <c r="I91" s="306" t="s">
        <v>44</v>
      </c>
      <c r="J91" s="306" t="s">
        <v>206</v>
      </c>
      <c r="K91" s="306" t="s">
        <v>394</v>
      </c>
      <c r="L91" s="41" t="s">
        <v>62</v>
      </c>
      <c r="M91" s="219">
        <f t="shared" si="4"/>
        <v>1</v>
      </c>
      <c r="N91" s="218">
        <v>45818</v>
      </c>
      <c r="O91" s="34" t="s">
        <v>385</v>
      </c>
      <c r="P91" s="36" t="s">
        <v>242</v>
      </c>
      <c r="Q91" s="36" t="s">
        <v>181</v>
      </c>
      <c r="R91" s="36"/>
      <c r="S91" s="224" t="s">
        <v>391</v>
      </c>
      <c r="T91" s="225" t="s">
        <v>51</v>
      </c>
      <c r="U91" s="226">
        <v>-300</v>
      </c>
      <c r="V91" s="226">
        <v>200</v>
      </c>
      <c r="W91" s="303" t="s">
        <v>291</v>
      </c>
      <c r="X91" s="220">
        <v>45818</v>
      </c>
      <c r="Y91" s="34" t="s">
        <v>385</v>
      </c>
      <c r="Z91" s="227"/>
      <c r="AA91" s="220">
        <v>46000</v>
      </c>
      <c r="AB91" s="221" t="s">
        <v>54</v>
      </c>
      <c r="AC91" s="231"/>
      <c r="AD91" s="230"/>
      <c r="AE91" s="230"/>
      <c r="AF91" s="230"/>
      <c r="AG91" s="230"/>
    </row>
    <row r="92" spans="1:33" s="248" customFormat="1" ht="15" customHeight="1" x14ac:dyDescent="0.25">
      <c r="A92" s="32" t="s">
        <v>395</v>
      </c>
      <c r="B92" s="306" t="str">
        <f>IF((COUNTBLANK(AA92)=0),Stats!$E$7,IF((COUNTBLANK(N92)=0),IF((COUNTBLANK(X92)=0),IF((COUNTBLANK(AD92)=0),Stats!$E$6,Stats!$E$5),Stats!$E$4),""))</f>
        <v>Death</v>
      </c>
      <c r="C92" s="307" t="str">
        <f>IF(B92=Stats!$E$5,Stats!$E$11,"")</f>
        <v/>
      </c>
      <c r="D92" s="218">
        <v>45807</v>
      </c>
      <c r="E92" s="301">
        <f t="shared" ca="1" si="3"/>
        <v>295</v>
      </c>
      <c r="F92" s="306" t="s">
        <v>396</v>
      </c>
      <c r="G92" s="308" t="s">
        <v>397</v>
      </c>
      <c r="H92" s="306" t="s">
        <v>43</v>
      </c>
      <c r="I92" s="306" t="s">
        <v>44</v>
      </c>
      <c r="J92" s="306" t="s">
        <v>206</v>
      </c>
      <c r="K92" s="306" t="s">
        <v>398</v>
      </c>
      <c r="L92" s="41" t="s">
        <v>240</v>
      </c>
      <c r="M92" s="219">
        <f t="shared" si="4"/>
        <v>1</v>
      </c>
      <c r="N92" s="218">
        <v>45819</v>
      </c>
      <c r="O92" s="34" t="s">
        <v>53</v>
      </c>
      <c r="P92" s="36" t="s">
        <v>242</v>
      </c>
      <c r="Q92" s="36" t="s">
        <v>181</v>
      </c>
      <c r="R92" s="36"/>
      <c r="S92" s="224" t="s">
        <v>391</v>
      </c>
      <c r="T92" s="225" t="s">
        <v>51</v>
      </c>
      <c r="U92" s="226">
        <v>-50</v>
      </c>
      <c r="V92" s="226">
        <v>200</v>
      </c>
      <c r="W92" s="303" t="s">
        <v>279</v>
      </c>
      <c r="X92" s="220">
        <v>45819</v>
      </c>
      <c r="Y92" s="34" t="s">
        <v>53</v>
      </c>
      <c r="Z92" s="227"/>
      <c r="AA92" s="220">
        <v>46000</v>
      </c>
      <c r="AB92" s="221" t="s">
        <v>54</v>
      </c>
      <c r="AC92" s="253"/>
      <c r="AD92" s="251"/>
      <c r="AE92" s="251"/>
      <c r="AF92" s="251"/>
      <c r="AG92" s="251"/>
    </row>
    <row r="93" spans="1:33" s="248" customFormat="1" ht="15" customHeight="1" x14ac:dyDescent="0.25">
      <c r="A93" s="32" t="s">
        <v>399</v>
      </c>
      <c r="B93" s="306" t="str">
        <f>IF((COUNTBLANK(AA93)=0),Stats!$E$7,IF((COUNTBLANK(N93)=0),IF((COUNTBLANK(X93)=0),IF((COUNTBLANK(AD93)=0),Stats!$E$6,Stats!$E$5),Stats!$E$4),""))</f>
        <v>Death</v>
      </c>
      <c r="C93" s="307" t="str">
        <f>IF(B93=Stats!$E$5,Stats!$E$11,"")</f>
        <v/>
      </c>
      <c r="D93" s="218">
        <v>45807</v>
      </c>
      <c r="E93" s="301">
        <f t="shared" ca="1" si="3"/>
        <v>295</v>
      </c>
      <c r="F93" s="306" t="s">
        <v>400</v>
      </c>
      <c r="G93" s="308" t="s">
        <v>397</v>
      </c>
      <c r="H93" s="306" t="s">
        <v>43</v>
      </c>
      <c r="I93" s="306" t="s">
        <v>44</v>
      </c>
      <c r="J93" s="306" t="s">
        <v>206</v>
      </c>
      <c r="K93" s="306" t="s">
        <v>398</v>
      </c>
      <c r="L93" s="41" t="s">
        <v>240</v>
      </c>
      <c r="M93" s="219">
        <f t="shared" si="4"/>
        <v>1</v>
      </c>
      <c r="N93" s="218">
        <v>45819</v>
      </c>
      <c r="O93" s="34" t="s">
        <v>53</v>
      </c>
      <c r="P93" s="36" t="s">
        <v>242</v>
      </c>
      <c r="Q93" s="36" t="s">
        <v>181</v>
      </c>
      <c r="R93" s="36"/>
      <c r="S93" s="224" t="s">
        <v>391</v>
      </c>
      <c r="T93" s="225" t="s">
        <v>51</v>
      </c>
      <c r="U93" s="226">
        <v>-50</v>
      </c>
      <c r="V93" s="226">
        <v>200</v>
      </c>
      <c r="W93" s="303" t="s">
        <v>243</v>
      </c>
      <c r="X93" s="220">
        <v>45819</v>
      </c>
      <c r="Y93" s="34" t="s">
        <v>53</v>
      </c>
      <c r="Z93" s="227"/>
      <c r="AA93" s="220">
        <v>46000</v>
      </c>
      <c r="AB93" s="221" t="s">
        <v>54</v>
      </c>
      <c r="AC93" s="253"/>
      <c r="AD93" s="251"/>
      <c r="AE93" s="251"/>
      <c r="AF93" s="251"/>
      <c r="AG93" s="251"/>
    </row>
    <row r="94" spans="1:33" s="34" customFormat="1" ht="15" customHeight="1" x14ac:dyDescent="0.25">
      <c r="A94" s="32" t="s">
        <v>401</v>
      </c>
      <c r="B94" s="306" t="str">
        <f>IF((COUNTBLANK(AA94)=0),Stats!$E$7,IF((COUNTBLANK(N94)=0),IF((COUNTBLANK(X94)=0),IF((COUNTBLANK(AD94)=0),Stats!$E$6,Stats!$E$5),Stats!$E$4),""))</f>
        <v>Death</v>
      </c>
      <c r="C94" s="307" t="s">
        <v>59</v>
      </c>
      <c r="D94" s="218">
        <v>45807</v>
      </c>
      <c r="E94" s="301">
        <f t="shared" ca="1" si="3"/>
        <v>294</v>
      </c>
      <c r="F94" s="306" t="s">
        <v>402</v>
      </c>
      <c r="G94" s="308" t="s">
        <v>403</v>
      </c>
      <c r="H94" s="306" t="s">
        <v>43</v>
      </c>
      <c r="I94" s="306" t="s">
        <v>44</v>
      </c>
      <c r="J94" s="306" t="s">
        <v>206</v>
      </c>
      <c r="K94" s="306" t="s">
        <v>61</v>
      </c>
      <c r="L94" s="41" t="s">
        <v>62</v>
      </c>
      <c r="M94" s="219">
        <f t="shared" si="4"/>
        <v>1</v>
      </c>
      <c r="N94" s="218">
        <v>45826</v>
      </c>
      <c r="O94" s="34" t="s">
        <v>385</v>
      </c>
      <c r="P94" s="36" t="s">
        <v>171</v>
      </c>
      <c r="Q94" s="36" t="s">
        <v>181</v>
      </c>
      <c r="R94" s="36" t="s">
        <v>155</v>
      </c>
      <c r="S94" s="224" t="s">
        <v>386</v>
      </c>
      <c r="T94" s="225" t="s">
        <v>51</v>
      </c>
      <c r="U94" s="226">
        <v>-300</v>
      </c>
      <c r="V94" s="226">
        <v>200</v>
      </c>
      <c r="W94" s="303" t="s">
        <v>279</v>
      </c>
      <c r="X94" s="220">
        <v>45826</v>
      </c>
      <c r="Y94" s="34" t="s">
        <v>385</v>
      </c>
      <c r="Z94" s="227"/>
      <c r="AA94" s="220">
        <v>46010</v>
      </c>
      <c r="AB94" s="221" t="s">
        <v>54</v>
      </c>
      <c r="AC94" s="231"/>
      <c r="AD94" s="230"/>
      <c r="AE94" s="230"/>
      <c r="AF94" s="230"/>
      <c r="AG94" s="230"/>
    </row>
    <row r="95" spans="1:33" s="34" customFormat="1" ht="15" customHeight="1" x14ac:dyDescent="0.25">
      <c r="A95" s="32" t="s">
        <v>404</v>
      </c>
      <c r="B95" s="306" t="str">
        <f>IF((COUNTBLANK(AA95)=0),Stats!$E$7,IF((COUNTBLANK(N95)=0),IF((COUNTBLANK(X95)=0),IF((COUNTBLANK(AD95)=0),Stats!$E$6,Stats!$E$5),Stats!$E$4),""))</f>
        <v>Death</v>
      </c>
      <c r="C95" s="307" t="s">
        <v>59</v>
      </c>
      <c r="D95" s="218">
        <v>45807</v>
      </c>
      <c r="E95" s="301">
        <f t="shared" ca="1" si="3"/>
        <v>294</v>
      </c>
      <c r="F95" s="306" t="s">
        <v>405</v>
      </c>
      <c r="G95" s="308" t="s">
        <v>403</v>
      </c>
      <c r="H95" s="306" t="s">
        <v>43</v>
      </c>
      <c r="I95" s="306" t="s">
        <v>44</v>
      </c>
      <c r="J95" s="306" t="s">
        <v>206</v>
      </c>
      <c r="K95" s="306" t="s">
        <v>61</v>
      </c>
      <c r="L95" s="41" t="s">
        <v>62</v>
      </c>
      <c r="M95" s="219">
        <f t="shared" si="4"/>
        <v>1</v>
      </c>
      <c r="N95" s="218">
        <v>45826</v>
      </c>
      <c r="O95" s="34" t="s">
        <v>385</v>
      </c>
      <c r="P95" s="36" t="s">
        <v>171</v>
      </c>
      <c r="Q95" s="36" t="s">
        <v>181</v>
      </c>
      <c r="R95" s="36" t="s">
        <v>155</v>
      </c>
      <c r="S95" s="224" t="s">
        <v>386</v>
      </c>
      <c r="T95" s="225" t="s">
        <v>51</v>
      </c>
      <c r="U95" s="226">
        <v>-300</v>
      </c>
      <c r="V95" s="226">
        <v>200</v>
      </c>
      <c r="W95" s="303" t="s">
        <v>243</v>
      </c>
      <c r="X95" s="220">
        <v>45826</v>
      </c>
      <c r="Y95" s="34" t="s">
        <v>385</v>
      </c>
      <c r="Z95" s="227"/>
      <c r="AA95" s="220">
        <v>46010</v>
      </c>
      <c r="AB95" s="221" t="s">
        <v>54</v>
      </c>
      <c r="AC95" s="231"/>
      <c r="AD95" s="230"/>
      <c r="AE95" s="230"/>
      <c r="AF95" s="230"/>
      <c r="AG95" s="230"/>
    </row>
    <row r="96" spans="1:33" s="34" customFormat="1" ht="15" customHeight="1" x14ac:dyDescent="0.25">
      <c r="A96" s="32" t="s">
        <v>406</v>
      </c>
      <c r="B96" s="306" t="str">
        <f>IF((COUNTBLANK(AA96)=0),Stats!$E$7,IF((COUNTBLANK(N96)=0),IF((COUNTBLANK(X96)=0),IF((COUNTBLANK(AD96)=0),Stats!$E$6,Stats!$E$5),Stats!$E$4),""))</f>
        <v>Death</v>
      </c>
      <c r="C96" s="307" t="s">
        <v>407</v>
      </c>
      <c r="D96" s="218">
        <v>45807</v>
      </c>
      <c r="E96" s="301">
        <f t="shared" ca="1" si="3"/>
        <v>294</v>
      </c>
      <c r="F96" s="306" t="s">
        <v>408</v>
      </c>
      <c r="G96" s="308" t="s">
        <v>403</v>
      </c>
      <c r="H96" s="306" t="s">
        <v>43</v>
      </c>
      <c r="I96" s="306" t="s">
        <v>44</v>
      </c>
      <c r="J96" s="306" t="s">
        <v>206</v>
      </c>
      <c r="K96" s="306" t="s">
        <v>61</v>
      </c>
      <c r="L96" s="41" t="s">
        <v>62</v>
      </c>
      <c r="M96" s="219">
        <f t="shared" si="4"/>
        <v>1</v>
      </c>
      <c r="N96" s="218">
        <v>45827</v>
      </c>
      <c r="O96" s="34" t="s">
        <v>385</v>
      </c>
      <c r="P96" s="36" t="s">
        <v>242</v>
      </c>
      <c r="Q96" s="36" t="s">
        <v>181</v>
      </c>
      <c r="R96" s="36"/>
      <c r="S96" s="224" t="s">
        <v>391</v>
      </c>
      <c r="T96" s="225" t="s">
        <v>51</v>
      </c>
      <c r="U96" s="226">
        <v>-300</v>
      </c>
      <c r="V96" s="226">
        <v>200</v>
      </c>
      <c r="W96" s="303" t="s">
        <v>249</v>
      </c>
      <c r="X96" s="220">
        <v>45827</v>
      </c>
      <c r="Y96" s="34" t="s">
        <v>385</v>
      </c>
      <c r="Z96" s="227"/>
      <c r="AA96" s="220">
        <v>45859</v>
      </c>
      <c r="AB96" s="221" t="s">
        <v>160</v>
      </c>
      <c r="AC96" s="231"/>
      <c r="AD96" s="230"/>
      <c r="AE96" s="230"/>
      <c r="AF96" s="230"/>
      <c r="AG96" s="230"/>
    </row>
    <row r="97" spans="1:33" s="34" customFormat="1" ht="15" customHeight="1" x14ac:dyDescent="0.25">
      <c r="A97" s="32" t="s">
        <v>409</v>
      </c>
      <c r="B97" s="306" t="str">
        <f>IF((COUNTBLANK(AA97)=0),Stats!$E$7,IF((COUNTBLANK(N97)=0),IF((COUNTBLANK(X97)=0),IF((COUNTBLANK(AD97)=0),Stats!$E$6,Stats!$E$5),Stats!$E$4),""))</f>
        <v>Death</v>
      </c>
      <c r="C97" s="307" t="s">
        <v>59</v>
      </c>
      <c r="D97" s="218">
        <v>45807</v>
      </c>
      <c r="E97" s="301">
        <f t="shared" ca="1" si="3"/>
        <v>294</v>
      </c>
      <c r="F97" s="306" t="s">
        <v>410</v>
      </c>
      <c r="G97" s="308" t="s">
        <v>403</v>
      </c>
      <c r="H97" s="306" t="s">
        <v>43</v>
      </c>
      <c r="I97" s="306" t="s">
        <v>44</v>
      </c>
      <c r="J97" s="306" t="s">
        <v>206</v>
      </c>
      <c r="K97" s="306" t="s">
        <v>394</v>
      </c>
      <c r="L97" s="41" t="s">
        <v>62</v>
      </c>
      <c r="M97" s="219">
        <f t="shared" si="4"/>
        <v>1</v>
      </c>
      <c r="N97" s="218">
        <v>45827</v>
      </c>
      <c r="O97" s="34" t="s">
        <v>385</v>
      </c>
      <c r="P97" s="36" t="s">
        <v>242</v>
      </c>
      <c r="Q97" s="36" t="s">
        <v>181</v>
      </c>
      <c r="R97" s="36"/>
      <c r="S97" s="224" t="s">
        <v>391</v>
      </c>
      <c r="T97" s="225" t="s">
        <v>51</v>
      </c>
      <c r="U97" s="226">
        <v>-300</v>
      </c>
      <c r="V97" s="226">
        <v>200</v>
      </c>
      <c r="W97" s="303" t="s">
        <v>291</v>
      </c>
      <c r="X97" s="220">
        <v>45827</v>
      </c>
      <c r="Y97" s="34" t="s">
        <v>385</v>
      </c>
      <c r="Z97" s="227"/>
      <c r="AA97" s="220">
        <v>46010</v>
      </c>
      <c r="AB97" s="221" t="s">
        <v>54</v>
      </c>
      <c r="AC97" s="229"/>
      <c r="AD97" s="230"/>
      <c r="AE97" s="230"/>
      <c r="AF97" s="230"/>
      <c r="AG97" s="230"/>
    </row>
    <row r="98" spans="1:33" s="252" customFormat="1" ht="15" customHeight="1" x14ac:dyDescent="0.25">
      <c r="A98" s="32" t="s">
        <v>411</v>
      </c>
      <c r="B98" s="306" t="str">
        <f>IF((COUNTBLANK(AA98)=0),Stats!$E$7,IF((COUNTBLANK(N98)=0),IF((COUNTBLANK(X98)=0),IF((COUNTBLANK(AD98)=0),Stats!$E$6,Stats!$E$5),Stats!$E$4),""))</f>
        <v>Death</v>
      </c>
      <c r="C98" s="307" t="s">
        <v>204</v>
      </c>
      <c r="D98" s="218">
        <v>45807</v>
      </c>
      <c r="E98" s="301">
        <f t="shared" ca="1" si="3"/>
        <v>294</v>
      </c>
      <c r="F98" s="306" t="s">
        <v>412</v>
      </c>
      <c r="G98" s="308" t="s">
        <v>403</v>
      </c>
      <c r="H98" s="306" t="s">
        <v>43</v>
      </c>
      <c r="I98" s="306" t="s">
        <v>44</v>
      </c>
      <c r="J98" s="306" t="s">
        <v>206</v>
      </c>
      <c r="K98" s="306" t="s">
        <v>248</v>
      </c>
      <c r="L98" s="41" t="s">
        <v>413</v>
      </c>
      <c r="M98" s="219">
        <f t="shared" si="4"/>
        <v>1</v>
      </c>
      <c r="N98" s="218">
        <v>45846</v>
      </c>
      <c r="O98" s="34" t="s">
        <v>53</v>
      </c>
      <c r="P98" s="36" t="s">
        <v>154</v>
      </c>
      <c r="Q98" s="36" t="s">
        <v>181</v>
      </c>
      <c r="R98" s="36" t="s">
        <v>414</v>
      </c>
      <c r="S98" s="224"/>
      <c r="T98" s="225" t="s">
        <v>51</v>
      </c>
      <c r="U98" s="226">
        <v>-350</v>
      </c>
      <c r="V98" s="226">
        <v>400</v>
      </c>
      <c r="W98" s="303" t="s">
        <v>279</v>
      </c>
      <c r="X98" s="220"/>
      <c r="Y98" s="34" t="s">
        <v>53</v>
      </c>
      <c r="Z98" s="227"/>
      <c r="AA98" s="220">
        <v>46000</v>
      </c>
      <c r="AB98" s="221" t="s">
        <v>54</v>
      </c>
      <c r="AC98" s="254" t="s">
        <v>415</v>
      </c>
      <c r="AD98" s="251"/>
      <c r="AE98" s="251"/>
      <c r="AF98" s="251"/>
      <c r="AG98" s="251"/>
    </row>
    <row r="99" spans="1:33" s="271" customFormat="1" ht="15" customHeight="1" x14ac:dyDescent="0.25">
      <c r="A99" s="32" t="s">
        <v>416</v>
      </c>
      <c r="B99" s="306" t="str">
        <f>IF((COUNTBLANK(AA99)=0),Stats!$E$7,IF((COUNTBLANK(N99)=0),IF((COUNTBLANK(X99)=0),IF((COUNTBLANK(AD99)=0),Stats!$E$6,Stats!$E$5),Stats!$E$4),""))</f>
        <v>Death</v>
      </c>
      <c r="C99" s="307" t="s">
        <v>407</v>
      </c>
      <c r="D99" s="218">
        <v>45807</v>
      </c>
      <c r="E99" s="301">
        <f t="shared" ca="1" si="3"/>
        <v>311</v>
      </c>
      <c r="F99" s="306" t="s">
        <v>417</v>
      </c>
      <c r="G99" s="308" t="s">
        <v>418</v>
      </c>
      <c r="H99" s="306" t="s">
        <v>152</v>
      </c>
      <c r="I99" s="306" t="s">
        <v>114</v>
      </c>
      <c r="J99" s="306" t="s">
        <v>206</v>
      </c>
      <c r="K99" s="306" t="s">
        <v>419</v>
      </c>
      <c r="L99" s="41" t="s">
        <v>62</v>
      </c>
      <c r="M99" s="219">
        <f t="shared" si="4"/>
        <v>1</v>
      </c>
      <c r="N99" s="218"/>
      <c r="O99" s="34"/>
      <c r="P99" s="36"/>
      <c r="Q99" s="36"/>
      <c r="R99" s="36"/>
      <c r="S99" s="224"/>
      <c r="T99" s="225"/>
      <c r="U99" s="226"/>
      <c r="V99" s="226"/>
      <c r="W99" s="303"/>
      <c r="X99" s="220">
        <v>45824</v>
      </c>
      <c r="Y99" s="34" t="s">
        <v>98</v>
      </c>
      <c r="Z99" s="227"/>
      <c r="AA99" s="220">
        <v>45852</v>
      </c>
      <c r="AB99" s="221" t="s">
        <v>133</v>
      </c>
      <c r="AC99" s="238"/>
      <c r="AD99" s="270"/>
      <c r="AE99" s="270"/>
      <c r="AF99" s="270"/>
      <c r="AG99" s="270"/>
    </row>
    <row r="100" spans="1:33" s="89" customFormat="1" ht="15" customHeight="1" x14ac:dyDescent="0.25">
      <c r="A100" s="32" t="s">
        <v>420</v>
      </c>
      <c r="B100" s="306" t="str">
        <f>IF((COUNTBLANK(AA100)=0),Stats!$E$7,IF((COUNTBLANK(N100)=0),IF((COUNTBLANK(X100)=0),IF((COUNTBLANK(AD100)=0),Stats!$E$6,Stats!$E$5),Stats!$E$4),""))</f>
        <v>Death</v>
      </c>
      <c r="C100" s="307" t="s">
        <v>59</v>
      </c>
      <c r="D100" s="218">
        <v>45807</v>
      </c>
      <c r="E100" s="301">
        <f t="shared" ca="1" si="3"/>
        <v>311</v>
      </c>
      <c r="F100" s="306" t="s">
        <v>421</v>
      </c>
      <c r="G100" s="308" t="s">
        <v>418</v>
      </c>
      <c r="H100" s="306" t="s">
        <v>152</v>
      </c>
      <c r="I100" s="306" t="s">
        <v>114</v>
      </c>
      <c r="J100" s="306" t="s">
        <v>206</v>
      </c>
      <c r="K100" s="306" t="s">
        <v>419</v>
      </c>
      <c r="L100" s="41" t="s">
        <v>62</v>
      </c>
      <c r="M100" s="219">
        <f t="shared" si="4"/>
        <v>1</v>
      </c>
      <c r="N100" s="218"/>
      <c r="O100" s="34"/>
      <c r="P100" s="36"/>
      <c r="Q100" s="36"/>
      <c r="R100" s="36"/>
      <c r="S100" s="224"/>
      <c r="T100" s="225"/>
      <c r="U100" s="226"/>
      <c r="V100" s="226"/>
      <c r="W100" s="303"/>
      <c r="X100" s="220">
        <v>45824</v>
      </c>
      <c r="Y100" s="34" t="s">
        <v>98</v>
      </c>
      <c r="Z100" s="227"/>
      <c r="AA100" s="220">
        <v>46010</v>
      </c>
      <c r="AB100" s="221" t="s">
        <v>54</v>
      </c>
      <c r="AC100" s="229"/>
      <c r="AD100" s="230"/>
      <c r="AE100" s="230"/>
      <c r="AF100" s="230"/>
      <c r="AG100" s="230"/>
    </row>
    <row r="101" spans="1:33" ht="15" customHeight="1" x14ac:dyDescent="0.25">
      <c r="A101" s="32" t="s">
        <v>422</v>
      </c>
      <c r="B101" s="306" t="str">
        <f>IF((COUNTBLANK(AA101)=0),Stats!$E$7,IF((COUNTBLANK(N101)=0),IF((COUNTBLANK(X101)=0),IF((COUNTBLANK(AD101)=0),Stats!$E$6,Stats!$E$5),Stats!$E$4),""))</f>
        <v/>
      </c>
      <c r="C101" s="307" t="s">
        <v>59</v>
      </c>
      <c r="D101" s="218">
        <v>45807</v>
      </c>
      <c r="E101" s="301">
        <f t="shared" ca="1" si="3"/>
        <v>311</v>
      </c>
      <c r="F101" s="306" t="s">
        <v>423</v>
      </c>
      <c r="G101" s="308" t="s">
        <v>418</v>
      </c>
      <c r="H101" s="306" t="s">
        <v>152</v>
      </c>
      <c r="I101" s="306" t="s">
        <v>114</v>
      </c>
      <c r="J101" s="306" t="s">
        <v>206</v>
      </c>
      <c r="K101" s="306" t="s">
        <v>419</v>
      </c>
      <c r="L101" s="41" t="s">
        <v>62</v>
      </c>
      <c r="M101" s="219">
        <f t="shared" si="4"/>
        <v>1</v>
      </c>
      <c r="N101" s="218"/>
      <c r="S101" s="224"/>
      <c r="T101" s="225"/>
      <c r="U101" s="226"/>
      <c r="V101" s="226"/>
      <c r="W101" s="303"/>
      <c r="X101" s="220">
        <v>45824</v>
      </c>
      <c r="Y101" s="34" t="s">
        <v>98</v>
      </c>
      <c r="Z101" s="227"/>
      <c r="AA101" s="220"/>
      <c r="AB101" s="221"/>
      <c r="AC101" s="229"/>
      <c r="AD101" s="230"/>
      <c r="AE101" s="230"/>
      <c r="AF101" s="230"/>
      <c r="AG101" s="227"/>
    </row>
    <row r="102" spans="1:33" ht="15" customHeight="1" x14ac:dyDescent="0.25">
      <c r="A102" s="32" t="s">
        <v>424</v>
      </c>
      <c r="B102" s="306" t="str">
        <f>IF((COUNTBLANK(AA102)=0),Stats!$E$7,IF((COUNTBLANK(N102)=0),IF((COUNTBLANK(X102)=0),IF((COUNTBLANK(AD102)=0),Stats!$E$6,Stats!$E$5),Stats!$E$4),""))</f>
        <v>Death</v>
      </c>
      <c r="C102" s="307" t="s">
        <v>59</v>
      </c>
      <c r="D102" s="218">
        <v>45807</v>
      </c>
      <c r="E102" s="301">
        <f t="shared" ca="1" si="3"/>
        <v>311</v>
      </c>
      <c r="F102" s="306" t="s">
        <v>425</v>
      </c>
      <c r="G102" s="308" t="s">
        <v>418</v>
      </c>
      <c r="H102" s="306" t="s">
        <v>152</v>
      </c>
      <c r="I102" s="306" t="s">
        <v>114</v>
      </c>
      <c r="J102" s="306" t="s">
        <v>206</v>
      </c>
      <c r="K102" s="306" t="s">
        <v>419</v>
      </c>
      <c r="L102" s="41" t="s">
        <v>62</v>
      </c>
      <c r="M102" s="219">
        <f t="shared" si="4"/>
        <v>1</v>
      </c>
      <c r="N102" s="218"/>
      <c r="S102" s="224"/>
      <c r="T102" s="225"/>
      <c r="U102" s="226"/>
      <c r="V102" s="226"/>
      <c r="W102" s="303"/>
      <c r="X102" s="220">
        <v>45824</v>
      </c>
      <c r="Y102" s="34" t="s">
        <v>98</v>
      </c>
      <c r="Z102" s="227"/>
      <c r="AA102" s="220">
        <v>45870</v>
      </c>
      <c r="AB102" s="221" t="s">
        <v>133</v>
      </c>
      <c r="AC102" s="229"/>
      <c r="AD102" s="230"/>
      <c r="AE102" s="230"/>
      <c r="AF102" s="230"/>
      <c r="AG102" s="227"/>
    </row>
    <row r="103" spans="1:33" ht="15" customHeight="1" x14ac:dyDescent="0.25">
      <c r="A103" s="32" t="s">
        <v>426</v>
      </c>
      <c r="B103" s="306" t="str">
        <f>IF((COUNTBLANK(AA103)=0),Stats!$E$7,IF((COUNTBLANK(N103)=0),IF((COUNTBLANK(X103)=0),IF((COUNTBLANK(AD103)=0),Stats!$E$6,Stats!$E$5),Stats!$E$4),""))</f>
        <v/>
      </c>
      <c r="C103" s="307" t="s">
        <v>59</v>
      </c>
      <c r="D103" s="218">
        <v>45807</v>
      </c>
      <c r="E103" s="301">
        <f t="shared" ca="1" si="3"/>
        <v>311</v>
      </c>
      <c r="F103" s="306" t="s">
        <v>427</v>
      </c>
      <c r="G103" s="308" t="s">
        <v>418</v>
      </c>
      <c r="H103" s="306" t="s">
        <v>152</v>
      </c>
      <c r="I103" s="306" t="s">
        <v>114</v>
      </c>
      <c r="J103" s="306" t="s">
        <v>206</v>
      </c>
      <c r="K103" s="306" t="s">
        <v>419</v>
      </c>
      <c r="L103" s="41" t="s">
        <v>62</v>
      </c>
      <c r="M103" s="219">
        <f t="shared" si="4"/>
        <v>1</v>
      </c>
      <c r="N103" s="218"/>
      <c r="S103" s="224"/>
      <c r="T103" s="225"/>
      <c r="U103" s="226"/>
      <c r="V103" s="226"/>
      <c r="W103" s="303"/>
      <c r="X103" s="220">
        <v>45824</v>
      </c>
      <c r="Y103" s="34" t="s">
        <v>98</v>
      </c>
      <c r="Z103" s="227"/>
      <c r="AA103" s="220"/>
      <c r="AB103" s="221"/>
      <c r="AC103" s="229"/>
      <c r="AD103" s="230"/>
      <c r="AE103" s="230"/>
      <c r="AF103" s="230"/>
      <c r="AG103" s="227"/>
    </row>
    <row r="104" spans="1:33" ht="15" customHeight="1" x14ac:dyDescent="0.25">
      <c r="A104" s="32" t="s">
        <v>428</v>
      </c>
      <c r="B104" s="306" t="str">
        <f>IF((COUNTBLANK(AA104)=0),Stats!$E$7,IF((COUNTBLANK(N104)=0),IF((COUNTBLANK(X104)=0),IF((COUNTBLANK(AD104)=0),Stats!$E$6,Stats!$E$5),Stats!$E$4),""))</f>
        <v/>
      </c>
      <c r="C104" s="307" t="s">
        <v>59</v>
      </c>
      <c r="D104" s="218">
        <v>45807</v>
      </c>
      <c r="E104" s="301">
        <f t="shared" ca="1" si="3"/>
        <v>311</v>
      </c>
      <c r="F104" s="306" t="s">
        <v>429</v>
      </c>
      <c r="G104" s="308" t="s">
        <v>418</v>
      </c>
      <c r="H104" s="306" t="s">
        <v>152</v>
      </c>
      <c r="I104" s="306" t="s">
        <v>114</v>
      </c>
      <c r="J104" s="306" t="s">
        <v>206</v>
      </c>
      <c r="K104" s="306" t="s">
        <v>419</v>
      </c>
      <c r="L104" s="41" t="s">
        <v>62</v>
      </c>
      <c r="M104" s="219">
        <f t="shared" si="4"/>
        <v>1</v>
      </c>
      <c r="N104" s="218"/>
      <c r="S104" s="224"/>
      <c r="T104" s="225"/>
      <c r="U104" s="226"/>
      <c r="V104" s="226"/>
      <c r="W104" s="303"/>
      <c r="X104" s="220">
        <v>45824</v>
      </c>
      <c r="Y104" s="34" t="s">
        <v>98</v>
      </c>
      <c r="Z104" s="227"/>
      <c r="AA104" s="220"/>
      <c r="AB104" s="221"/>
      <c r="AC104" s="229"/>
      <c r="AD104" s="230"/>
      <c r="AE104" s="230"/>
      <c r="AF104" s="230"/>
      <c r="AG104" s="227"/>
    </row>
    <row r="105" spans="1:33" ht="15" customHeight="1" x14ac:dyDescent="0.25">
      <c r="A105" s="32" t="s">
        <v>430</v>
      </c>
      <c r="B105" s="306" t="str">
        <f>IF((COUNTBLANK(AA105)=0),Stats!$E$7,IF((COUNTBLANK(N105)=0),IF((COUNTBLANK(X105)=0),IF((COUNTBLANK(AD105)=0),Stats!$E$6,Stats!$E$5),Stats!$E$4),""))</f>
        <v>Death</v>
      </c>
      <c r="C105" s="307" t="s">
        <v>407</v>
      </c>
      <c r="D105" s="218">
        <v>45807</v>
      </c>
      <c r="E105" s="301">
        <f t="shared" ca="1" si="3"/>
        <v>314</v>
      </c>
      <c r="F105" s="306" t="s">
        <v>431</v>
      </c>
      <c r="G105" s="308" t="s">
        <v>432</v>
      </c>
      <c r="H105" s="306" t="s">
        <v>152</v>
      </c>
      <c r="I105" s="306" t="s">
        <v>44</v>
      </c>
      <c r="J105" s="306" t="s">
        <v>206</v>
      </c>
      <c r="K105" s="306" t="s">
        <v>419</v>
      </c>
      <c r="L105" s="41" t="s">
        <v>62</v>
      </c>
      <c r="M105" s="219">
        <f t="shared" si="4"/>
        <v>1</v>
      </c>
      <c r="N105" s="218"/>
      <c r="S105" s="224"/>
      <c r="T105" s="225"/>
      <c r="U105" s="226"/>
      <c r="V105" s="226"/>
      <c r="W105" s="303"/>
      <c r="X105" s="220">
        <v>45812</v>
      </c>
      <c r="Y105" s="34" t="s">
        <v>98</v>
      </c>
      <c r="Z105" s="227"/>
      <c r="AA105" s="220">
        <v>45852</v>
      </c>
      <c r="AB105" s="221" t="s">
        <v>133</v>
      </c>
      <c r="AC105" s="229"/>
      <c r="AD105" s="230"/>
      <c r="AE105" s="230"/>
      <c r="AF105" s="230"/>
      <c r="AG105" s="227"/>
    </row>
    <row r="106" spans="1:33" ht="15" customHeight="1" x14ac:dyDescent="0.25">
      <c r="A106" s="32" t="s">
        <v>433</v>
      </c>
      <c r="B106" s="306" t="str">
        <f>IF((COUNTBLANK(AA106)=0),Stats!$E$7,IF((COUNTBLANK(N106)=0),IF((COUNTBLANK(X106)=0),IF((COUNTBLANK(AD106)=0),Stats!$E$6,Stats!$E$5),Stats!$E$4),""))</f>
        <v>Death</v>
      </c>
      <c r="C106" s="307" t="s">
        <v>407</v>
      </c>
      <c r="D106" s="218">
        <v>45807</v>
      </c>
      <c r="E106" s="301">
        <f t="shared" ca="1" si="3"/>
        <v>314</v>
      </c>
      <c r="F106" s="306" t="s">
        <v>434</v>
      </c>
      <c r="G106" s="308" t="s">
        <v>432</v>
      </c>
      <c r="H106" s="306" t="s">
        <v>152</v>
      </c>
      <c r="I106" s="306" t="s">
        <v>44</v>
      </c>
      <c r="J106" s="306" t="s">
        <v>206</v>
      </c>
      <c r="K106" s="306" t="s">
        <v>419</v>
      </c>
      <c r="L106" s="41" t="s">
        <v>62</v>
      </c>
      <c r="M106" s="219">
        <f t="shared" si="4"/>
        <v>1</v>
      </c>
      <c r="N106" s="218"/>
      <c r="S106" s="224"/>
      <c r="T106" s="225"/>
      <c r="U106" s="226"/>
      <c r="V106" s="226"/>
      <c r="W106" s="303"/>
      <c r="X106" s="220">
        <v>45812</v>
      </c>
      <c r="Y106" s="34" t="s">
        <v>98</v>
      </c>
      <c r="Z106" s="227"/>
      <c r="AA106" s="220">
        <v>45853</v>
      </c>
      <c r="AB106" s="221" t="s">
        <v>133</v>
      </c>
      <c r="AC106" s="229"/>
      <c r="AD106" s="230"/>
      <c r="AE106" s="230"/>
      <c r="AF106" s="230"/>
      <c r="AG106" s="227"/>
    </row>
    <row r="107" spans="1:33" ht="15" customHeight="1" x14ac:dyDescent="0.25">
      <c r="A107" s="32" t="s">
        <v>435</v>
      </c>
      <c r="B107" s="306" t="str">
        <f>IF((COUNTBLANK(AA107)=0),Stats!$E$7,IF((COUNTBLANK(N107)=0),IF((COUNTBLANK(X107)=0),IF((COUNTBLANK(AD107)=0),Stats!$E$6,Stats!$E$5),Stats!$E$4),""))</f>
        <v>Death</v>
      </c>
      <c r="C107" s="307" t="s">
        <v>59</v>
      </c>
      <c r="D107" s="218">
        <v>45807</v>
      </c>
      <c r="E107" s="301">
        <f t="shared" ca="1" si="3"/>
        <v>311</v>
      </c>
      <c r="F107" s="306" t="s">
        <v>436</v>
      </c>
      <c r="G107" s="308" t="s">
        <v>437</v>
      </c>
      <c r="H107" s="306" t="s">
        <v>152</v>
      </c>
      <c r="I107" s="306" t="s">
        <v>44</v>
      </c>
      <c r="J107" s="306" t="s">
        <v>206</v>
      </c>
      <c r="K107" s="306" t="s">
        <v>419</v>
      </c>
      <c r="L107" s="41" t="s">
        <v>62</v>
      </c>
      <c r="M107" s="219">
        <f t="shared" ref="M107:M116" si="5">COUNTA(D107)*COUNTA(F107)*COUNTA(J107)*COUNTA(L107)</f>
        <v>1</v>
      </c>
      <c r="N107" s="218"/>
      <c r="S107" s="224"/>
      <c r="T107" s="225"/>
      <c r="U107" s="226"/>
      <c r="V107" s="226"/>
      <c r="W107" s="303"/>
      <c r="X107" s="220">
        <v>45824</v>
      </c>
      <c r="Y107" s="34" t="s">
        <v>98</v>
      </c>
      <c r="Z107" s="227"/>
      <c r="AA107" s="220">
        <v>45861</v>
      </c>
      <c r="AB107" s="221" t="s">
        <v>133</v>
      </c>
      <c r="AC107" s="229"/>
      <c r="AD107" s="230"/>
      <c r="AE107" s="230"/>
      <c r="AF107" s="230"/>
      <c r="AG107" s="227"/>
    </row>
    <row r="108" spans="1:33" ht="15" customHeight="1" x14ac:dyDescent="0.25">
      <c r="A108" s="32" t="s">
        <v>438</v>
      </c>
      <c r="B108" s="306" t="str">
        <f>IF((COUNTBLANK(AA108)=0),Stats!$E$7,IF((COUNTBLANK(N108)=0),IF((COUNTBLANK(X108)=0),IF((COUNTBLANK(AD108)=0),Stats!$E$6,Stats!$E$5),Stats!$E$4),""))</f>
        <v>Death</v>
      </c>
      <c r="C108" s="307" t="s">
        <v>59</v>
      </c>
      <c r="D108" s="218">
        <v>45807</v>
      </c>
      <c r="E108" s="301">
        <f t="shared" ca="1" si="3"/>
        <v>311</v>
      </c>
      <c r="F108" s="306" t="s">
        <v>439</v>
      </c>
      <c r="G108" s="308" t="s">
        <v>437</v>
      </c>
      <c r="H108" s="306" t="s">
        <v>152</v>
      </c>
      <c r="I108" s="306" t="s">
        <v>44</v>
      </c>
      <c r="J108" s="306" t="s">
        <v>206</v>
      </c>
      <c r="K108" s="306" t="s">
        <v>419</v>
      </c>
      <c r="L108" s="41" t="s">
        <v>62</v>
      </c>
      <c r="M108" s="219">
        <f t="shared" si="5"/>
        <v>1</v>
      </c>
      <c r="N108" s="218"/>
      <c r="S108" s="224"/>
      <c r="T108" s="225"/>
      <c r="U108" s="226"/>
      <c r="V108" s="226"/>
      <c r="W108" s="303"/>
      <c r="X108" s="220">
        <v>45824</v>
      </c>
      <c r="Y108" s="34" t="s">
        <v>98</v>
      </c>
      <c r="Z108" s="227"/>
      <c r="AA108" s="220">
        <v>46010</v>
      </c>
      <c r="AB108" s="221" t="s">
        <v>54</v>
      </c>
      <c r="AC108" s="229"/>
      <c r="AD108" s="230"/>
      <c r="AE108" s="230"/>
      <c r="AF108" s="230"/>
      <c r="AG108" s="227"/>
    </row>
    <row r="109" spans="1:33" ht="15" customHeight="1" x14ac:dyDescent="0.25">
      <c r="A109" s="32" t="s">
        <v>440</v>
      </c>
      <c r="B109" s="306" t="str">
        <f>IF((COUNTBLANK(AA109)=0),Stats!$E$7,IF((COUNTBLANK(N109)=0),IF((COUNTBLANK(X109)=0),IF((COUNTBLANK(AD109)=0),Stats!$E$6,Stats!$E$5),Stats!$E$4),""))</f>
        <v>Death</v>
      </c>
      <c r="C109" s="307" t="s">
        <v>407</v>
      </c>
      <c r="D109" s="218">
        <v>45807</v>
      </c>
      <c r="E109" s="301">
        <f t="shared" ca="1" si="3"/>
        <v>311</v>
      </c>
      <c r="F109" s="306" t="s">
        <v>441</v>
      </c>
      <c r="G109" s="308" t="s">
        <v>437</v>
      </c>
      <c r="H109" s="306" t="s">
        <v>152</v>
      </c>
      <c r="I109" s="306" t="s">
        <v>44</v>
      </c>
      <c r="J109" s="306" t="s">
        <v>206</v>
      </c>
      <c r="K109" s="306" t="s">
        <v>419</v>
      </c>
      <c r="L109" s="41" t="s">
        <v>62</v>
      </c>
      <c r="M109" s="219">
        <f t="shared" si="5"/>
        <v>1</v>
      </c>
      <c r="N109" s="218"/>
      <c r="S109" s="224"/>
      <c r="T109" s="225"/>
      <c r="U109" s="226"/>
      <c r="V109" s="226"/>
      <c r="W109" s="303"/>
      <c r="X109" s="220">
        <v>45824</v>
      </c>
      <c r="Y109" s="34" t="s">
        <v>98</v>
      </c>
      <c r="Z109" s="227"/>
      <c r="AA109" s="220">
        <v>45853</v>
      </c>
      <c r="AB109" s="221" t="s">
        <v>133</v>
      </c>
      <c r="AC109" s="229"/>
      <c r="AD109" s="230"/>
      <c r="AE109" s="230"/>
      <c r="AF109" s="230"/>
      <c r="AG109" s="227"/>
    </row>
    <row r="110" spans="1:33" ht="15" customHeight="1" x14ac:dyDescent="0.25">
      <c r="A110" s="32" t="s">
        <v>442</v>
      </c>
      <c r="B110" s="306" t="str">
        <f>IF((COUNTBLANK(AA110)=0),Stats!$E$7,IF((COUNTBLANK(N110)=0),IF((COUNTBLANK(X110)=0),IF((COUNTBLANK(AD110)=0),Stats!$E$6,Stats!$E$5),Stats!$E$4),""))</f>
        <v>Death</v>
      </c>
      <c r="C110" s="307" t="s">
        <v>59</v>
      </c>
      <c r="D110" s="218">
        <v>45807</v>
      </c>
      <c r="E110" s="301">
        <f t="shared" ca="1" si="3"/>
        <v>311</v>
      </c>
      <c r="F110" s="306" t="s">
        <v>443</v>
      </c>
      <c r="G110" s="308" t="s">
        <v>437</v>
      </c>
      <c r="H110" s="306" t="s">
        <v>152</v>
      </c>
      <c r="I110" s="306" t="s">
        <v>44</v>
      </c>
      <c r="J110" s="306" t="s">
        <v>206</v>
      </c>
      <c r="K110" s="306" t="s">
        <v>419</v>
      </c>
      <c r="L110" s="41" t="s">
        <v>62</v>
      </c>
      <c r="M110" s="219">
        <f t="shared" si="5"/>
        <v>1</v>
      </c>
      <c r="N110" s="218"/>
      <c r="S110" s="224"/>
      <c r="T110" s="225"/>
      <c r="U110" s="226"/>
      <c r="V110" s="226"/>
      <c r="W110" s="303"/>
      <c r="X110" s="220">
        <v>45824</v>
      </c>
      <c r="Y110" s="34" t="s">
        <v>98</v>
      </c>
      <c r="Z110" s="227"/>
      <c r="AA110" s="220">
        <v>46010</v>
      </c>
      <c r="AB110" s="221" t="s">
        <v>54</v>
      </c>
      <c r="AC110" s="229"/>
      <c r="AD110" s="230"/>
      <c r="AE110" s="230"/>
      <c r="AF110" s="230"/>
      <c r="AG110" s="227"/>
    </row>
    <row r="111" spans="1:33" ht="15" customHeight="1" x14ac:dyDescent="0.25">
      <c r="A111" s="32" t="s">
        <v>444</v>
      </c>
      <c r="B111" s="306" t="str">
        <f>IF((COUNTBLANK(AA111)=0),Stats!$E$7,IF((COUNTBLANK(N111)=0),IF((COUNTBLANK(X111)=0),IF((COUNTBLANK(AD111)=0),Stats!$E$6,Stats!$E$5),Stats!$E$4),""))</f>
        <v>Death</v>
      </c>
      <c r="C111" s="307" t="str">
        <f>IF(B111=Stats!$E$5,Stats!$E$11,"")</f>
        <v/>
      </c>
      <c r="D111" s="218">
        <v>45807</v>
      </c>
      <c r="E111" s="301">
        <f t="shared" ca="1" si="3"/>
        <v>311</v>
      </c>
      <c r="F111" s="306" t="s">
        <v>445</v>
      </c>
      <c r="G111" s="308" t="s">
        <v>437</v>
      </c>
      <c r="H111" s="306" t="s">
        <v>152</v>
      </c>
      <c r="I111" s="306" t="s">
        <v>44</v>
      </c>
      <c r="J111" s="306" t="s">
        <v>206</v>
      </c>
      <c r="K111" s="306" t="s">
        <v>419</v>
      </c>
      <c r="L111" s="41" t="s">
        <v>62</v>
      </c>
      <c r="M111" s="219">
        <f t="shared" si="5"/>
        <v>1</v>
      </c>
      <c r="N111" s="218"/>
      <c r="S111" s="224"/>
      <c r="T111" s="225"/>
      <c r="U111" s="226"/>
      <c r="V111" s="226"/>
      <c r="W111" s="303"/>
      <c r="X111" s="220"/>
      <c r="Z111" s="227"/>
      <c r="AA111" s="220">
        <v>46010</v>
      </c>
      <c r="AB111" s="221" t="s">
        <v>54</v>
      </c>
      <c r="AC111" s="229"/>
      <c r="AD111" s="230"/>
      <c r="AE111" s="230"/>
      <c r="AF111" s="230"/>
      <c r="AG111" s="227"/>
    </row>
    <row r="112" spans="1:33" s="256" customFormat="1" ht="15" customHeight="1" x14ac:dyDescent="0.25">
      <c r="A112" s="32" t="s">
        <v>446</v>
      </c>
      <c r="B112" s="306" t="str">
        <f>IF((COUNTBLANK(AA112)=0),Stats!$E$7,IF((COUNTBLANK(N112)=0),IF((COUNTBLANK(X112)=0),IF((COUNTBLANK(AD112)=0),Stats!$E$6,Stats!$E$5),Stats!$E$4),""))</f>
        <v>Death</v>
      </c>
      <c r="C112" s="307" t="s">
        <v>59</v>
      </c>
      <c r="D112" s="218">
        <v>45835</v>
      </c>
      <c r="E112" s="301">
        <f t="shared" ca="1" si="3"/>
        <v>314</v>
      </c>
      <c r="F112" s="306" t="s">
        <v>447</v>
      </c>
      <c r="G112" s="308" t="s">
        <v>448</v>
      </c>
      <c r="H112" s="306" t="s">
        <v>302</v>
      </c>
      <c r="I112" s="306" t="s">
        <v>44</v>
      </c>
      <c r="J112" s="306" t="s">
        <v>206</v>
      </c>
      <c r="K112" s="306" t="s">
        <v>61</v>
      </c>
      <c r="L112" s="41" t="s">
        <v>62</v>
      </c>
      <c r="M112" s="219">
        <f t="shared" si="5"/>
        <v>1</v>
      </c>
      <c r="N112" s="218">
        <v>45847</v>
      </c>
      <c r="O112" s="34" t="s">
        <v>53</v>
      </c>
      <c r="P112" s="36" t="s">
        <v>242</v>
      </c>
      <c r="Q112" s="36"/>
      <c r="R112" s="36"/>
      <c r="S112" s="224"/>
      <c r="T112" s="225" t="s">
        <v>51</v>
      </c>
      <c r="U112" s="226" t="s">
        <v>273</v>
      </c>
      <c r="V112" s="226">
        <v>400</v>
      </c>
      <c r="W112" s="303" t="s">
        <v>243</v>
      </c>
      <c r="X112" s="220">
        <v>45847</v>
      </c>
      <c r="Y112" s="34" t="s">
        <v>53</v>
      </c>
      <c r="Z112" s="227"/>
      <c r="AA112" s="220">
        <v>45925</v>
      </c>
      <c r="AB112" s="221" t="s">
        <v>133</v>
      </c>
      <c r="AC112" s="254" t="s">
        <v>449</v>
      </c>
      <c r="AD112" s="251"/>
      <c r="AE112" s="251"/>
      <c r="AF112" s="251"/>
      <c r="AG112" s="249"/>
    </row>
    <row r="113" spans="1:33" s="256" customFormat="1" ht="15" customHeight="1" x14ac:dyDescent="0.25">
      <c r="A113" s="32" t="s">
        <v>450</v>
      </c>
      <c r="B113" s="306" t="str">
        <f>IF((COUNTBLANK(AA113)=0),Stats!$E$7,IF((COUNTBLANK(N113)=0),IF((COUNTBLANK(X113)=0),IF((COUNTBLANK(AD113)=0),Stats!$E$6,Stats!$E$5),Stats!$E$4),""))</f>
        <v>Death</v>
      </c>
      <c r="C113" s="307" t="s">
        <v>59</v>
      </c>
      <c r="D113" s="218">
        <v>45835</v>
      </c>
      <c r="E113" s="301">
        <f t="shared" ca="1" si="3"/>
        <v>314</v>
      </c>
      <c r="F113" s="306" t="s">
        <v>451</v>
      </c>
      <c r="G113" s="308" t="s">
        <v>448</v>
      </c>
      <c r="H113" s="306" t="s">
        <v>302</v>
      </c>
      <c r="I113" s="306" t="s">
        <v>44</v>
      </c>
      <c r="J113" s="306" t="s">
        <v>206</v>
      </c>
      <c r="K113" s="306" t="s">
        <v>61</v>
      </c>
      <c r="L113" s="41" t="s">
        <v>62</v>
      </c>
      <c r="M113" s="219">
        <f t="shared" si="5"/>
        <v>1</v>
      </c>
      <c r="N113" s="218">
        <v>45848</v>
      </c>
      <c r="O113" s="34" t="s">
        <v>53</v>
      </c>
      <c r="P113" s="36" t="s">
        <v>242</v>
      </c>
      <c r="Q113" s="36"/>
      <c r="R113" s="36"/>
      <c r="S113" s="224"/>
      <c r="T113" s="225" t="s">
        <v>51</v>
      </c>
      <c r="U113" s="226" t="s">
        <v>273</v>
      </c>
      <c r="V113" s="226">
        <v>400</v>
      </c>
      <c r="W113" s="303" t="s">
        <v>249</v>
      </c>
      <c r="X113" s="220">
        <v>45848</v>
      </c>
      <c r="Y113" s="34" t="s">
        <v>53</v>
      </c>
      <c r="Z113" s="227"/>
      <c r="AA113" s="220">
        <v>45925</v>
      </c>
      <c r="AB113" s="221" t="s">
        <v>133</v>
      </c>
      <c r="AC113" s="254" t="s">
        <v>449</v>
      </c>
      <c r="AD113" s="251"/>
      <c r="AE113" s="251"/>
      <c r="AF113" s="251"/>
      <c r="AG113" s="249"/>
    </row>
    <row r="114" spans="1:33" s="256" customFormat="1" ht="15" customHeight="1" x14ac:dyDescent="0.25">
      <c r="A114" s="32" t="s">
        <v>452</v>
      </c>
      <c r="B114" s="306" t="str">
        <f>IF((COUNTBLANK(AA114)=0),Stats!$E$7,IF((COUNTBLANK(N114)=0),IF((COUNTBLANK(X114)=0),IF((COUNTBLANK(AD114)=0),Stats!$E$6,Stats!$E$5),Stats!$E$4),""))</f>
        <v>Death</v>
      </c>
      <c r="C114" s="307" t="str">
        <f>IF(B114=Stats!$E$5,Stats!$E$11,"")</f>
        <v/>
      </c>
      <c r="D114" s="218">
        <v>45835</v>
      </c>
      <c r="E114" s="301">
        <f t="shared" ca="1" si="3"/>
        <v>314</v>
      </c>
      <c r="F114" s="306" t="s">
        <v>453</v>
      </c>
      <c r="G114" s="308" t="s">
        <v>448</v>
      </c>
      <c r="H114" s="306" t="s">
        <v>302</v>
      </c>
      <c r="I114" s="306" t="s">
        <v>44</v>
      </c>
      <c r="J114" s="306" t="s">
        <v>206</v>
      </c>
      <c r="K114" s="306" t="s">
        <v>272</v>
      </c>
      <c r="L114" s="41" t="s">
        <v>240</v>
      </c>
      <c r="M114" s="219">
        <f t="shared" si="5"/>
        <v>1</v>
      </c>
      <c r="N114" s="218" t="s">
        <v>71</v>
      </c>
      <c r="O114" s="34" t="s">
        <v>53</v>
      </c>
      <c r="P114" s="36"/>
      <c r="Q114" s="36"/>
      <c r="R114" s="36"/>
      <c r="S114" s="224"/>
      <c r="T114" s="225"/>
      <c r="U114" s="226"/>
      <c r="V114" s="226"/>
      <c r="W114" s="303"/>
      <c r="X114" s="220" t="s">
        <v>71</v>
      </c>
      <c r="Y114" s="34" t="s">
        <v>53</v>
      </c>
      <c r="Z114" s="227"/>
      <c r="AA114" s="220">
        <v>45925</v>
      </c>
      <c r="AB114" s="221" t="s">
        <v>133</v>
      </c>
      <c r="AC114" s="254"/>
      <c r="AD114" s="251"/>
      <c r="AE114" s="251"/>
      <c r="AF114" s="251"/>
      <c r="AG114" s="249"/>
    </row>
    <row r="115" spans="1:33" s="256" customFormat="1" ht="15" customHeight="1" x14ac:dyDescent="0.25">
      <c r="A115" s="32" t="s">
        <v>454</v>
      </c>
      <c r="B115" s="306" t="str">
        <f>IF((COUNTBLANK(AA115)=0),Stats!$E$7,IF((COUNTBLANK(N115)=0),IF((COUNTBLANK(X115)=0),IF((COUNTBLANK(AD115)=0),Stats!$E$6,Stats!$E$5),Stats!$E$4),""))</f>
        <v>Check-up</v>
      </c>
      <c r="C115" s="307" t="s">
        <v>204</v>
      </c>
      <c r="D115" s="218">
        <v>45835</v>
      </c>
      <c r="E115" s="301">
        <f t="shared" ca="1" si="3"/>
        <v>313</v>
      </c>
      <c r="F115" s="306" t="s">
        <v>455</v>
      </c>
      <c r="G115" s="308" t="s">
        <v>456</v>
      </c>
      <c r="H115" s="306" t="s">
        <v>261</v>
      </c>
      <c r="I115" s="306" t="s">
        <v>44</v>
      </c>
      <c r="J115" s="306" t="s">
        <v>206</v>
      </c>
      <c r="K115" s="306" t="s">
        <v>272</v>
      </c>
      <c r="L115" s="41" t="s">
        <v>240</v>
      </c>
      <c r="M115" s="219">
        <f t="shared" si="5"/>
        <v>1</v>
      </c>
      <c r="N115" s="218">
        <v>45857</v>
      </c>
      <c r="O115" s="34" t="s">
        <v>53</v>
      </c>
      <c r="P115" s="36" t="s">
        <v>457</v>
      </c>
      <c r="Q115" s="36"/>
      <c r="R115" s="36"/>
      <c r="S115" s="224"/>
      <c r="T115" s="225" t="s">
        <v>51</v>
      </c>
      <c r="U115" s="226" t="s">
        <v>458</v>
      </c>
      <c r="V115" s="226">
        <v>400</v>
      </c>
      <c r="W115" s="303"/>
      <c r="X115" s="220">
        <v>45857</v>
      </c>
      <c r="Y115" s="34" t="s">
        <v>53</v>
      </c>
      <c r="Z115" s="227"/>
      <c r="AA115" s="220"/>
      <c r="AB115" s="221"/>
      <c r="AC115" s="254" t="s">
        <v>459</v>
      </c>
      <c r="AD115" s="251"/>
      <c r="AE115" s="251"/>
      <c r="AF115" s="251"/>
      <c r="AG115" s="249"/>
    </row>
    <row r="116" spans="1:33" ht="15" customHeight="1" x14ac:dyDescent="0.25">
      <c r="A116" s="32" t="s">
        <v>460</v>
      </c>
      <c r="B116" s="306" t="str">
        <f>IF((COUNTBLANK(AA116)=0),Stats!$E$7,IF((COUNTBLANK(N116)=0),IF((COUNTBLANK(X116)=0),IF((COUNTBLANK(AD116)=0),Stats!$E$6,Stats!$E$5),Stats!$E$4),""))</f>
        <v>Death</v>
      </c>
      <c r="C116" s="307" t="str">
        <f>IF(B116=Stats!$E$5,Stats!$E$11,"")</f>
        <v/>
      </c>
      <c r="D116" s="218">
        <v>45835</v>
      </c>
      <c r="E116" s="301">
        <f t="shared" ca="1" si="3"/>
        <v>313</v>
      </c>
      <c r="F116" s="306" t="s">
        <v>461</v>
      </c>
      <c r="G116" s="308" t="s">
        <v>456</v>
      </c>
      <c r="H116" s="306" t="s">
        <v>261</v>
      </c>
      <c r="I116" s="306" t="s">
        <v>44</v>
      </c>
      <c r="J116" s="306" t="s">
        <v>206</v>
      </c>
      <c r="K116" s="306" t="s">
        <v>272</v>
      </c>
      <c r="L116" s="41" t="s">
        <v>240</v>
      </c>
      <c r="M116" s="219">
        <f t="shared" si="5"/>
        <v>1</v>
      </c>
      <c r="N116" s="218"/>
      <c r="S116" s="224"/>
      <c r="T116" s="225"/>
      <c r="U116" s="226"/>
      <c r="V116" s="226"/>
      <c r="W116" s="303"/>
      <c r="X116" s="220"/>
      <c r="Z116" s="227"/>
      <c r="AA116" s="220">
        <v>45925</v>
      </c>
      <c r="AB116" s="221"/>
      <c r="AC116" s="229"/>
      <c r="AD116" s="230"/>
      <c r="AE116" s="230"/>
      <c r="AF116" s="230"/>
      <c r="AG116" s="227"/>
    </row>
    <row r="117" spans="1:33" s="256" customFormat="1" ht="15" customHeight="1" x14ac:dyDescent="0.25">
      <c r="A117" s="32" t="s">
        <v>462</v>
      </c>
      <c r="B117" s="306" t="str">
        <f>IF((COUNTBLANK(AA117)=0),Stats!$E$7,IF((COUNTBLANK(N117)=0),IF((COUNTBLANK(X117)=0),IF((COUNTBLANK(AD117)=0),Stats!$E$6,Stats!$E$5),Stats!$E$4),""))</f>
        <v>Death</v>
      </c>
      <c r="C117" s="307" t="s">
        <v>204</v>
      </c>
      <c r="D117" s="218">
        <v>45835</v>
      </c>
      <c r="E117" s="301">
        <f t="shared" ca="1" si="3"/>
        <v>294</v>
      </c>
      <c r="F117" s="306" t="s">
        <v>463</v>
      </c>
      <c r="G117" s="308" t="s">
        <v>464</v>
      </c>
      <c r="H117" s="306" t="s">
        <v>261</v>
      </c>
      <c r="I117" s="306" t="s">
        <v>44</v>
      </c>
      <c r="J117" s="306" t="s">
        <v>206</v>
      </c>
      <c r="K117" s="306" t="s">
        <v>272</v>
      </c>
      <c r="L117" s="41" t="s">
        <v>240</v>
      </c>
      <c r="M117" s="219">
        <f t="shared" ref="M117:M126" si="6">COUNTA(D117)*COUNTA(F119)*COUNTA(J117)*COUNTA(L117)</f>
        <v>1</v>
      </c>
      <c r="N117" s="218">
        <v>45836</v>
      </c>
      <c r="O117" s="34" t="s">
        <v>53</v>
      </c>
      <c r="P117" s="36" t="s">
        <v>457</v>
      </c>
      <c r="Q117" s="36"/>
      <c r="R117" s="36"/>
      <c r="S117" s="224"/>
      <c r="T117" s="225" t="s">
        <v>51</v>
      </c>
      <c r="U117" s="226" t="s">
        <v>458</v>
      </c>
      <c r="V117" s="226">
        <v>400</v>
      </c>
      <c r="W117" s="303" t="s">
        <v>243</v>
      </c>
      <c r="X117" s="220"/>
      <c r="Y117" s="34" t="s">
        <v>53</v>
      </c>
      <c r="Z117" s="227"/>
      <c r="AA117" s="220">
        <v>45925</v>
      </c>
      <c r="AB117" s="221"/>
      <c r="AC117" s="254" t="s">
        <v>459</v>
      </c>
      <c r="AD117" s="251"/>
      <c r="AE117" s="251"/>
      <c r="AF117" s="251"/>
      <c r="AG117" s="249"/>
    </row>
    <row r="118" spans="1:33" s="256" customFormat="1" ht="15" customHeight="1" x14ac:dyDescent="0.25">
      <c r="A118" s="32" t="s">
        <v>465</v>
      </c>
      <c r="B118" s="306" t="str">
        <f>IF((COUNTBLANK(AA118)=0),Stats!$E$7,IF((COUNTBLANK(N118)=0),IF((COUNTBLANK(X118)=0),IF((COUNTBLANK(AD118)=0),Stats!$E$6,Stats!$E$5),Stats!$E$4),""))</f>
        <v>Death</v>
      </c>
      <c r="C118" s="307" t="s">
        <v>204</v>
      </c>
      <c r="D118" s="218">
        <v>45835</v>
      </c>
      <c r="E118" s="301">
        <f t="shared" ca="1" si="3"/>
        <v>294</v>
      </c>
      <c r="F118" s="306" t="s">
        <v>466</v>
      </c>
      <c r="G118" s="308" t="s">
        <v>464</v>
      </c>
      <c r="H118" s="306" t="s">
        <v>261</v>
      </c>
      <c r="I118" s="306" t="s">
        <v>44</v>
      </c>
      <c r="J118" s="306" t="s">
        <v>206</v>
      </c>
      <c r="K118" s="306" t="s">
        <v>272</v>
      </c>
      <c r="L118" s="41" t="s">
        <v>240</v>
      </c>
      <c r="M118" s="219">
        <f t="shared" si="6"/>
        <v>1</v>
      </c>
      <c r="N118" s="218">
        <v>45836</v>
      </c>
      <c r="O118" s="34" t="s">
        <v>53</v>
      </c>
      <c r="P118" s="36" t="s">
        <v>457</v>
      </c>
      <c r="Q118" s="36"/>
      <c r="R118" s="36"/>
      <c r="S118" s="224"/>
      <c r="T118" s="225" t="s">
        <v>51</v>
      </c>
      <c r="U118" s="226" t="s">
        <v>458</v>
      </c>
      <c r="V118" s="226">
        <v>400</v>
      </c>
      <c r="W118" s="303" t="s">
        <v>279</v>
      </c>
      <c r="X118" s="220"/>
      <c r="Y118" s="34" t="s">
        <v>53</v>
      </c>
      <c r="Z118" s="227"/>
      <c r="AA118" s="220">
        <v>45925</v>
      </c>
      <c r="AB118" s="221"/>
      <c r="AC118" s="254" t="s">
        <v>459</v>
      </c>
      <c r="AD118" s="251"/>
      <c r="AE118" s="251"/>
      <c r="AF118" s="251"/>
      <c r="AG118" s="249"/>
    </row>
    <row r="119" spans="1:33" s="256" customFormat="1" ht="15" customHeight="1" x14ac:dyDescent="0.25">
      <c r="A119" s="32" t="s">
        <v>467</v>
      </c>
      <c r="B119" s="306" t="str">
        <f>IF((COUNTBLANK(AA119)=0),Stats!$E$7,IF((COUNTBLANK(N119)=0),IF((COUNTBLANK(X119)=0),IF((COUNTBLANK(AD119)=0),Stats!$E$6,Stats!$E$5),Stats!$E$4),""))</f>
        <v>Death</v>
      </c>
      <c r="C119" s="307" t="s">
        <v>59</v>
      </c>
      <c r="D119" s="218">
        <v>45835</v>
      </c>
      <c r="E119" s="301">
        <f t="shared" ca="1" si="3"/>
        <v>267</v>
      </c>
      <c r="F119" s="306" t="s">
        <v>468</v>
      </c>
      <c r="G119" s="308" t="s">
        <v>469</v>
      </c>
      <c r="H119" s="306" t="s">
        <v>470</v>
      </c>
      <c r="I119" s="306" t="s">
        <v>44</v>
      </c>
      <c r="J119" s="306" t="s">
        <v>206</v>
      </c>
      <c r="K119" s="306" t="s">
        <v>394</v>
      </c>
      <c r="L119" s="41" t="s">
        <v>240</v>
      </c>
      <c r="M119" s="219">
        <f t="shared" si="6"/>
        <v>1</v>
      </c>
      <c r="N119" s="218">
        <v>45842</v>
      </c>
      <c r="O119" s="34" t="s">
        <v>53</v>
      </c>
      <c r="P119" s="36" t="s">
        <v>171</v>
      </c>
      <c r="Q119" s="36" t="s">
        <v>471</v>
      </c>
      <c r="R119" s="36"/>
      <c r="S119" s="224"/>
      <c r="T119" s="225" t="s">
        <v>51</v>
      </c>
      <c r="U119" s="226" t="s">
        <v>273</v>
      </c>
      <c r="V119" s="226">
        <v>400</v>
      </c>
      <c r="W119" s="303" t="s">
        <v>243</v>
      </c>
      <c r="X119" s="220">
        <v>45842</v>
      </c>
      <c r="Y119" s="34" t="s">
        <v>53</v>
      </c>
      <c r="Z119" s="227"/>
      <c r="AA119" s="220">
        <v>46031</v>
      </c>
      <c r="AB119" s="221" t="s">
        <v>54</v>
      </c>
      <c r="AC119" s="254" t="s">
        <v>415</v>
      </c>
      <c r="AD119" s="251"/>
      <c r="AE119" s="251"/>
      <c r="AF119" s="251"/>
      <c r="AG119" s="249"/>
    </row>
    <row r="120" spans="1:33" s="256" customFormat="1" ht="15" customHeight="1" x14ac:dyDescent="0.25">
      <c r="A120" s="32" t="s">
        <v>472</v>
      </c>
      <c r="B120" s="306" t="str">
        <f>IF((COUNTBLANK(AA120)=0),Stats!$E$7,IF((COUNTBLANK(N120)=0),IF((COUNTBLANK(X120)=0),IF((COUNTBLANK(AD120)=0),Stats!$E$6,Stats!$E$5),Stats!$E$4),""))</f>
        <v>Death</v>
      </c>
      <c r="C120" s="307" t="s">
        <v>59</v>
      </c>
      <c r="D120" s="218">
        <v>45835</v>
      </c>
      <c r="E120" s="301">
        <f t="shared" ca="1" si="3"/>
        <v>267</v>
      </c>
      <c r="F120" s="306" t="s">
        <v>473</v>
      </c>
      <c r="G120" s="308" t="s">
        <v>469</v>
      </c>
      <c r="H120" s="306" t="s">
        <v>470</v>
      </c>
      <c r="I120" s="306" t="s">
        <v>44</v>
      </c>
      <c r="J120" s="306" t="s">
        <v>206</v>
      </c>
      <c r="K120" s="306" t="s">
        <v>394</v>
      </c>
      <c r="L120" s="41" t="s">
        <v>240</v>
      </c>
      <c r="M120" s="219">
        <f t="shared" si="6"/>
        <v>1</v>
      </c>
      <c r="N120" s="218">
        <v>45842</v>
      </c>
      <c r="O120" s="34" t="s">
        <v>53</v>
      </c>
      <c r="P120" s="36" t="s">
        <v>171</v>
      </c>
      <c r="Q120" s="36" t="s">
        <v>471</v>
      </c>
      <c r="R120" s="36"/>
      <c r="S120" s="224"/>
      <c r="T120" s="225" t="s">
        <v>51</v>
      </c>
      <c r="U120" s="226" t="s">
        <v>273</v>
      </c>
      <c r="V120" s="226">
        <v>400</v>
      </c>
      <c r="W120" s="303" t="s">
        <v>249</v>
      </c>
      <c r="X120" s="220">
        <v>45842</v>
      </c>
      <c r="Y120" s="34" t="s">
        <v>53</v>
      </c>
      <c r="Z120" s="227"/>
      <c r="AA120" s="220">
        <v>46031</v>
      </c>
      <c r="AB120" s="221" t="s">
        <v>54</v>
      </c>
      <c r="AC120" s="254" t="s">
        <v>415</v>
      </c>
      <c r="AD120" s="251"/>
      <c r="AE120" s="251"/>
      <c r="AF120" s="251"/>
      <c r="AG120" s="249"/>
    </row>
    <row r="121" spans="1:33" s="256" customFormat="1" ht="15" customHeight="1" x14ac:dyDescent="0.25">
      <c r="A121" s="32" t="s">
        <v>474</v>
      </c>
      <c r="B121" s="306" t="str">
        <f>IF((COUNTBLANK(AA121)=0),Stats!$E$7,IF((COUNTBLANK(N121)=0),IF((COUNTBLANK(X121)=0),IF((COUNTBLANK(AD121)=0),Stats!$E$6,Stats!$E$5),Stats!$E$4),""))</f>
        <v>Death</v>
      </c>
      <c r="C121" s="307" t="s">
        <v>204</v>
      </c>
      <c r="D121" s="218">
        <v>45835</v>
      </c>
      <c r="E121" s="301">
        <f t="shared" ca="1" si="3"/>
        <v>267</v>
      </c>
      <c r="F121" s="306" t="s">
        <v>475</v>
      </c>
      <c r="G121" s="308" t="s">
        <v>469</v>
      </c>
      <c r="H121" s="306" t="s">
        <v>43</v>
      </c>
      <c r="I121" s="306" t="s">
        <v>44</v>
      </c>
      <c r="J121" s="306" t="s">
        <v>206</v>
      </c>
      <c r="K121" s="306" t="s">
        <v>272</v>
      </c>
      <c r="L121" s="41" t="s">
        <v>413</v>
      </c>
      <c r="M121" s="219">
        <f t="shared" si="6"/>
        <v>1</v>
      </c>
      <c r="N121" s="218">
        <v>45842</v>
      </c>
      <c r="O121" s="34" t="s">
        <v>53</v>
      </c>
      <c r="P121" s="36" t="s">
        <v>171</v>
      </c>
      <c r="Q121" s="36" t="s">
        <v>471</v>
      </c>
      <c r="R121" s="36"/>
      <c r="S121" s="224"/>
      <c r="T121" s="225" t="s">
        <v>51</v>
      </c>
      <c r="U121" s="226" t="s">
        <v>273</v>
      </c>
      <c r="V121" s="226">
        <v>400</v>
      </c>
      <c r="W121" s="303" t="s">
        <v>291</v>
      </c>
      <c r="X121" s="220">
        <v>45842</v>
      </c>
      <c r="Y121" s="34" t="s">
        <v>53</v>
      </c>
      <c r="Z121" s="227"/>
      <c r="AA121" s="220">
        <v>46031</v>
      </c>
      <c r="AB121" s="221" t="s">
        <v>54</v>
      </c>
      <c r="AC121" s="254" t="s">
        <v>415</v>
      </c>
      <c r="AD121" s="251"/>
      <c r="AE121" s="251"/>
      <c r="AF121" s="251"/>
      <c r="AG121" s="249"/>
    </row>
    <row r="122" spans="1:33" s="256" customFormat="1" ht="15" customHeight="1" x14ac:dyDescent="0.25">
      <c r="A122" s="32" t="s">
        <v>476</v>
      </c>
      <c r="B122" s="306" t="str">
        <f>IF((COUNTBLANK(AA122)=0),Stats!$E$7,IF((COUNTBLANK(N122)=0),IF((COUNTBLANK(X122)=0),IF((COUNTBLANK(AD122)=0),Stats!$E$6,Stats!$E$5),Stats!$E$4),""))</f>
        <v>Death</v>
      </c>
      <c r="C122" s="307" t="s">
        <v>204</v>
      </c>
      <c r="D122" s="218">
        <v>45835</v>
      </c>
      <c r="E122" s="301">
        <f t="shared" ca="1" si="3"/>
        <v>267</v>
      </c>
      <c r="F122" s="306" t="s">
        <v>477</v>
      </c>
      <c r="G122" s="308" t="s">
        <v>469</v>
      </c>
      <c r="H122" s="306" t="s">
        <v>43</v>
      </c>
      <c r="I122" s="306" t="s">
        <v>44</v>
      </c>
      <c r="J122" s="306" t="s">
        <v>206</v>
      </c>
      <c r="K122" s="306" t="s">
        <v>272</v>
      </c>
      <c r="L122" s="41" t="s">
        <v>413</v>
      </c>
      <c r="M122" s="219">
        <f t="shared" si="6"/>
        <v>1</v>
      </c>
      <c r="N122" s="218">
        <v>45846</v>
      </c>
      <c r="O122" s="34" t="s">
        <v>53</v>
      </c>
      <c r="P122" s="36" t="s">
        <v>154</v>
      </c>
      <c r="Q122" s="36" t="s">
        <v>181</v>
      </c>
      <c r="R122" s="36" t="s">
        <v>414</v>
      </c>
      <c r="S122" s="224"/>
      <c r="T122" s="225" t="s">
        <v>478</v>
      </c>
      <c r="U122" s="226">
        <v>-350</v>
      </c>
      <c r="V122" s="226">
        <v>400</v>
      </c>
      <c r="W122" s="303" t="s">
        <v>279</v>
      </c>
      <c r="X122" s="220">
        <v>45846</v>
      </c>
      <c r="Y122" s="34" t="s">
        <v>53</v>
      </c>
      <c r="Z122" s="227"/>
      <c r="AA122" s="220">
        <v>46031</v>
      </c>
      <c r="AB122" s="221" t="s">
        <v>54</v>
      </c>
      <c r="AC122" s="254" t="s">
        <v>415</v>
      </c>
      <c r="AD122" s="251"/>
      <c r="AE122" s="251"/>
      <c r="AF122" s="251"/>
      <c r="AG122" s="249"/>
    </row>
    <row r="123" spans="1:33" ht="15" customHeight="1" x14ac:dyDescent="0.25">
      <c r="A123" s="32" t="s">
        <v>479</v>
      </c>
      <c r="B123" s="306" t="str">
        <f>IF((COUNTBLANK(AA123)=0),Stats!$E$7,IF((COUNTBLANK(N123)=0),IF((COUNTBLANK(X123)=0),IF((COUNTBLANK(AD123)=0),Stats!$E$6,Stats!$E$5),Stats!$E$4),""))</f>
        <v>Check-up</v>
      </c>
      <c r="C123" s="307" t="str">
        <f>IF(B123=Stats!$E$5,Stats!$E$11,"")</f>
        <v>To define</v>
      </c>
      <c r="D123" s="218">
        <v>45836</v>
      </c>
      <c r="E123" s="301">
        <f t="shared" ca="1" si="3"/>
        <v>267</v>
      </c>
      <c r="F123" s="306" t="s">
        <v>480</v>
      </c>
      <c r="G123" s="308" t="s">
        <v>481</v>
      </c>
      <c r="H123" s="306" t="s">
        <v>152</v>
      </c>
      <c r="I123" s="306" t="s">
        <v>44</v>
      </c>
      <c r="J123" s="306" t="s">
        <v>206</v>
      </c>
      <c r="K123" s="306" t="s">
        <v>132</v>
      </c>
      <c r="L123" s="41" t="s">
        <v>46</v>
      </c>
      <c r="M123" s="219">
        <f t="shared" si="6"/>
        <v>1</v>
      </c>
      <c r="N123" s="218">
        <v>45840</v>
      </c>
      <c r="O123" s="34" t="s">
        <v>285</v>
      </c>
      <c r="P123" s="36" t="s">
        <v>155</v>
      </c>
      <c r="Q123" s="36" t="s">
        <v>171</v>
      </c>
      <c r="S123" s="224" t="s">
        <v>482</v>
      </c>
      <c r="T123" s="225" t="s">
        <v>51</v>
      </c>
      <c r="U123" s="226">
        <v>-400</v>
      </c>
      <c r="V123" s="226">
        <v>400</v>
      </c>
      <c r="W123" s="303" t="s">
        <v>279</v>
      </c>
      <c r="X123" s="220">
        <v>45840</v>
      </c>
      <c r="Y123" s="34" t="s">
        <v>285</v>
      </c>
      <c r="Z123" s="227"/>
      <c r="AA123" s="220"/>
      <c r="AB123" s="221"/>
      <c r="AC123" s="229" t="s">
        <v>483</v>
      </c>
      <c r="AD123" s="230"/>
      <c r="AE123" s="230"/>
      <c r="AF123" s="230"/>
      <c r="AG123" s="227"/>
    </row>
    <row r="124" spans="1:33" ht="15" customHeight="1" x14ac:dyDescent="0.25">
      <c r="A124" s="32" t="s">
        <v>484</v>
      </c>
      <c r="B124" s="306" t="str">
        <f>IF((COUNTBLANK(AA124)=0),Stats!$E$7,IF((COUNTBLANK(N124)=0),IF((COUNTBLANK(X124)=0),IF((COUNTBLANK(AD124)=0),Stats!$E$6,Stats!$E$5),Stats!$E$4),""))</f>
        <v>Check-up</v>
      </c>
      <c r="C124" s="307" t="str">
        <f>IF(B124=Stats!$E$5,Stats!$E$11,"")</f>
        <v>To define</v>
      </c>
      <c r="D124" s="218">
        <v>45835</v>
      </c>
      <c r="E124" s="301">
        <f t="shared" ca="1" si="3"/>
        <v>267</v>
      </c>
      <c r="F124" s="306" t="s">
        <v>485</v>
      </c>
      <c r="G124" s="308" t="s">
        <v>481</v>
      </c>
      <c r="H124" s="306" t="s">
        <v>152</v>
      </c>
      <c r="I124" s="306" t="s">
        <v>44</v>
      </c>
      <c r="J124" s="306" t="s">
        <v>206</v>
      </c>
      <c r="K124" s="306" t="s">
        <v>132</v>
      </c>
      <c r="L124" s="41" t="s">
        <v>46</v>
      </c>
      <c r="M124" s="219">
        <f t="shared" si="6"/>
        <v>1</v>
      </c>
      <c r="N124" s="218">
        <v>45840</v>
      </c>
      <c r="O124" s="34" t="s">
        <v>285</v>
      </c>
      <c r="P124" s="36" t="s">
        <v>155</v>
      </c>
      <c r="Q124" s="36" t="s">
        <v>171</v>
      </c>
      <c r="S124" s="224" t="s">
        <v>482</v>
      </c>
      <c r="T124" s="225" t="s">
        <v>51</v>
      </c>
      <c r="U124" s="226">
        <v>-400</v>
      </c>
      <c r="V124" s="226">
        <v>400</v>
      </c>
      <c r="W124" s="303" t="s">
        <v>291</v>
      </c>
      <c r="X124" s="220">
        <v>45840</v>
      </c>
      <c r="Y124" s="34" t="s">
        <v>285</v>
      </c>
      <c r="Z124" s="227"/>
      <c r="AA124" s="220"/>
      <c r="AB124" s="221"/>
      <c r="AC124" s="229" t="s">
        <v>483</v>
      </c>
      <c r="AD124" s="230"/>
      <c r="AE124" s="230"/>
      <c r="AF124" s="230"/>
      <c r="AG124" s="227"/>
    </row>
    <row r="125" spans="1:33" ht="15" customHeight="1" x14ac:dyDescent="0.25">
      <c r="A125" s="32" t="s">
        <v>486</v>
      </c>
      <c r="B125" s="306" t="str">
        <f>IF((COUNTBLANK(AA125)=0),Stats!$E$7,IF((COUNTBLANK(N125)=0),IF((COUNTBLANK(X125)=0),IF((COUNTBLANK(AD125)=0),Stats!$E$6,Stats!$E$5),Stats!$E$4),""))</f>
        <v>Check-up</v>
      </c>
      <c r="C125" s="307" t="str">
        <f>IF(B125=Stats!$E$5,Stats!$E$11,"")</f>
        <v>To define</v>
      </c>
      <c r="D125" s="218">
        <v>45835</v>
      </c>
      <c r="E125" s="301">
        <f t="shared" ca="1" si="3"/>
        <v>267</v>
      </c>
      <c r="F125" s="306" t="s">
        <v>487</v>
      </c>
      <c r="G125" s="308" t="s">
        <v>481</v>
      </c>
      <c r="H125" s="306" t="s">
        <v>152</v>
      </c>
      <c r="I125" s="306" t="s">
        <v>44</v>
      </c>
      <c r="J125" s="306" t="s">
        <v>206</v>
      </c>
      <c r="K125" s="306" t="s">
        <v>132</v>
      </c>
      <c r="L125" s="41" t="s">
        <v>46</v>
      </c>
      <c r="M125" s="219">
        <f t="shared" si="6"/>
        <v>1</v>
      </c>
      <c r="N125" s="218">
        <v>45841</v>
      </c>
      <c r="O125" s="34" t="s">
        <v>285</v>
      </c>
      <c r="P125" s="36" t="s">
        <v>155</v>
      </c>
      <c r="Q125" s="36" t="s">
        <v>171</v>
      </c>
      <c r="S125" s="224" t="s">
        <v>488</v>
      </c>
      <c r="T125" s="225" t="s">
        <v>51</v>
      </c>
      <c r="U125" s="226">
        <v>-400</v>
      </c>
      <c r="V125" s="226">
        <v>400</v>
      </c>
      <c r="W125" s="303" t="s">
        <v>279</v>
      </c>
      <c r="X125" s="220">
        <v>45841</v>
      </c>
      <c r="Y125" s="34" t="s">
        <v>285</v>
      </c>
      <c r="Z125" s="227"/>
      <c r="AA125" s="220"/>
      <c r="AB125" s="221"/>
      <c r="AC125" s="229" t="s">
        <v>483</v>
      </c>
      <c r="AD125" s="230"/>
      <c r="AE125" s="230"/>
      <c r="AF125" s="230"/>
      <c r="AG125" s="227"/>
    </row>
    <row r="126" spans="1:33" ht="15" customHeight="1" x14ac:dyDescent="0.25">
      <c r="A126" s="32" t="s">
        <v>489</v>
      </c>
      <c r="B126" s="306" t="str">
        <f>IF((COUNTBLANK(AA126)=0),Stats!$E$7,IF((COUNTBLANK(N126)=0),IF((COUNTBLANK(X126)=0),IF((COUNTBLANK(AD126)=0),Stats!$E$6,Stats!$E$5),Stats!$E$4),""))</f>
        <v>Check-up</v>
      </c>
      <c r="C126" s="307" t="str">
        <f>IF(B126=Stats!$E$5,Stats!$E$11,"")</f>
        <v>To define</v>
      </c>
      <c r="D126" s="218">
        <v>45835</v>
      </c>
      <c r="E126" s="301">
        <f t="shared" ca="1" si="3"/>
        <v>267</v>
      </c>
      <c r="F126" s="306" t="s">
        <v>490</v>
      </c>
      <c r="G126" s="308" t="s">
        <v>481</v>
      </c>
      <c r="H126" s="306" t="s">
        <v>152</v>
      </c>
      <c r="I126" s="306" t="s">
        <v>44</v>
      </c>
      <c r="J126" s="306" t="s">
        <v>206</v>
      </c>
      <c r="K126" s="306" t="s">
        <v>132</v>
      </c>
      <c r="L126" s="41" t="s">
        <v>46</v>
      </c>
      <c r="M126" s="219">
        <f t="shared" si="6"/>
        <v>1</v>
      </c>
      <c r="N126" s="218">
        <v>45841</v>
      </c>
      <c r="O126" s="34" t="s">
        <v>285</v>
      </c>
      <c r="P126" s="36" t="s">
        <v>155</v>
      </c>
      <c r="Q126" s="36" t="s">
        <v>171</v>
      </c>
      <c r="S126" s="224" t="s">
        <v>488</v>
      </c>
      <c r="T126" s="225" t="s">
        <v>51</v>
      </c>
      <c r="U126" s="226">
        <v>-400</v>
      </c>
      <c r="V126" s="226">
        <v>400</v>
      </c>
      <c r="W126" s="303" t="s">
        <v>291</v>
      </c>
      <c r="X126" s="220">
        <v>45841</v>
      </c>
      <c r="Y126" s="34" t="s">
        <v>285</v>
      </c>
      <c r="Z126" s="227"/>
      <c r="AA126" s="220"/>
      <c r="AB126" s="221"/>
      <c r="AC126" s="229" t="s">
        <v>483</v>
      </c>
      <c r="AD126" s="230"/>
      <c r="AE126" s="230"/>
      <c r="AF126" s="230"/>
      <c r="AG126" s="227"/>
    </row>
    <row r="127" spans="1:33" ht="15" customHeight="1" x14ac:dyDescent="0.25">
      <c r="A127" s="32" t="s">
        <v>491</v>
      </c>
      <c r="B127" s="306" t="str">
        <f>IF((COUNTBLANK(AA127)=0),Stats!$E$7,IF((COUNTBLANK(N127)=0),IF((COUNTBLANK(X127)=0),IF((COUNTBLANK(AD127)=0),Stats!$E$6,Stats!$E$5),Stats!$E$4),""))</f>
        <v>Death</v>
      </c>
      <c r="C127" s="307" t="s">
        <v>325</v>
      </c>
      <c r="D127" s="218">
        <v>45835</v>
      </c>
      <c r="E127" s="301">
        <f t="shared" ca="1" si="3"/>
        <v>267</v>
      </c>
      <c r="F127" s="306" t="s">
        <v>492</v>
      </c>
      <c r="G127" s="308" t="s">
        <v>481</v>
      </c>
      <c r="H127" s="306" t="s">
        <v>152</v>
      </c>
      <c r="I127" s="306" t="s">
        <v>44</v>
      </c>
      <c r="J127" s="306" t="s">
        <v>206</v>
      </c>
      <c r="K127" s="306" t="s">
        <v>321</v>
      </c>
      <c r="L127" s="41" t="s">
        <v>284</v>
      </c>
      <c r="M127" s="219">
        <f>COUNTA(D127)*COUNTA(#REF!)*COUNTA(J127)*COUNTA(L127)</f>
        <v>1</v>
      </c>
      <c r="N127" s="218">
        <v>45846</v>
      </c>
      <c r="O127" s="34" t="s">
        <v>285</v>
      </c>
      <c r="P127" s="36" t="s">
        <v>493</v>
      </c>
      <c r="S127" s="224" t="s">
        <v>105</v>
      </c>
      <c r="T127" s="225" t="s">
        <v>51</v>
      </c>
      <c r="U127" s="226">
        <v>-450</v>
      </c>
      <c r="V127" s="226">
        <v>500</v>
      </c>
      <c r="W127" s="303" t="s">
        <v>279</v>
      </c>
      <c r="X127" s="220">
        <v>45846</v>
      </c>
      <c r="Y127" s="34" t="s">
        <v>285</v>
      </c>
      <c r="Z127" s="227"/>
      <c r="AA127" s="220">
        <v>46031</v>
      </c>
      <c r="AB127" s="221" t="s">
        <v>54</v>
      </c>
      <c r="AC127" s="229" t="s">
        <v>494</v>
      </c>
      <c r="AD127" s="230"/>
      <c r="AE127" s="230"/>
      <c r="AF127" s="230"/>
      <c r="AG127" s="227"/>
    </row>
    <row r="128" spans="1:33" ht="15" customHeight="1" x14ac:dyDescent="0.25">
      <c r="A128" s="32" t="s">
        <v>495</v>
      </c>
      <c r="B128" s="306" t="str">
        <f>IF((COUNTBLANK(AA128)=0),Stats!$E$7,IF((COUNTBLANK(N128)=0),IF((COUNTBLANK(X128)=0),IF((COUNTBLANK(AD128)=0),Stats!$E$6,Stats!$E$5),Stats!$E$4),""))</f>
        <v>Death</v>
      </c>
      <c r="C128" s="307" t="s">
        <v>325</v>
      </c>
      <c r="D128" s="218">
        <v>45835</v>
      </c>
      <c r="E128" s="301">
        <f t="shared" ca="1" si="3"/>
        <v>267</v>
      </c>
      <c r="F128" s="306" t="s">
        <v>496</v>
      </c>
      <c r="G128" s="308" t="s">
        <v>481</v>
      </c>
      <c r="H128" s="306" t="s">
        <v>152</v>
      </c>
      <c r="I128" s="306" t="s">
        <v>44</v>
      </c>
      <c r="J128" s="306" t="s">
        <v>206</v>
      </c>
      <c r="K128" s="306" t="s">
        <v>321</v>
      </c>
      <c r="L128" s="41" t="s">
        <v>284</v>
      </c>
      <c r="M128" s="219">
        <f>COUNTA(D128)*COUNTA(#REF!)*COUNTA(J128)*COUNTA(L128)</f>
        <v>1</v>
      </c>
      <c r="N128" s="218">
        <v>45846</v>
      </c>
      <c r="O128" s="34" t="s">
        <v>285</v>
      </c>
      <c r="P128" s="36" t="s">
        <v>493</v>
      </c>
      <c r="S128" s="224" t="s">
        <v>105</v>
      </c>
      <c r="T128" s="225" t="s">
        <v>51</v>
      </c>
      <c r="U128" s="226">
        <v>-450</v>
      </c>
      <c r="V128" s="226">
        <v>500</v>
      </c>
      <c r="W128" s="303" t="s">
        <v>291</v>
      </c>
      <c r="X128" s="220">
        <v>45846</v>
      </c>
      <c r="Y128" s="34" t="s">
        <v>285</v>
      </c>
      <c r="Z128" s="227"/>
      <c r="AA128" s="220">
        <v>46031</v>
      </c>
      <c r="AB128" s="221" t="s">
        <v>54</v>
      </c>
      <c r="AC128" s="280" t="s">
        <v>497</v>
      </c>
      <c r="AD128" s="230"/>
      <c r="AE128" s="230"/>
      <c r="AF128" s="230"/>
      <c r="AG128" s="227"/>
    </row>
    <row r="129" spans="1:33" ht="15" customHeight="1" x14ac:dyDescent="0.25">
      <c r="A129" s="32" t="s">
        <v>498</v>
      </c>
      <c r="B129" s="306" t="str">
        <f>IF((COUNTBLANK(AA129)=0),Stats!$E$7,IF((COUNTBLANK(N129)=0),IF((COUNTBLANK(X129)=0),IF((COUNTBLANK(AD129)=0),Stats!$E$6,Stats!$E$5),Stats!$E$4),""))</f>
        <v>Death</v>
      </c>
      <c r="C129" s="307" t="str">
        <f>IF(B129=Stats!$E$5,Stats!$E$11,"")</f>
        <v/>
      </c>
      <c r="D129" s="218">
        <v>45835</v>
      </c>
      <c r="E129" s="301">
        <f t="shared" ca="1" si="3"/>
        <v>288</v>
      </c>
      <c r="F129" s="306" t="s">
        <v>499</v>
      </c>
      <c r="G129" s="308" t="s">
        <v>500</v>
      </c>
      <c r="H129" s="306" t="s">
        <v>152</v>
      </c>
      <c r="I129" s="306" t="s">
        <v>44</v>
      </c>
      <c r="J129" s="306" t="s">
        <v>206</v>
      </c>
      <c r="K129" s="306" t="s">
        <v>321</v>
      </c>
      <c r="L129" s="41" t="s">
        <v>284</v>
      </c>
      <c r="M129" s="219">
        <f t="shared" ref="M129:M135" si="7">COUNTA(D129)*COUNTA(F129)*COUNTA(J129)*COUNTA(L129)</f>
        <v>1</v>
      </c>
      <c r="N129" s="218">
        <v>45838</v>
      </c>
      <c r="O129" s="34" t="s">
        <v>285</v>
      </c>
      <c r="P129" s="36" t="s">
        <v>501</v>
      </c>
      <c r="S129" s="224" t="s">
        <v>502</v>
      </c>
      <c r="T129" s="225" t="s">
        <v>51</v>
      </c>
      <c r="U129" s="226" t="s">
        <v>503</v>
      </c>
      <c r="V129" s="226">
        <v>500</v>
      </c>
      <c r="W129" s="303" t="s">
        <v>279</v>
      </c>
      <c r="X129" s="220">
        <v>45838</v>
      </c>
      <c r="Y129" s="34" t="s">
        <v>285</v>
      </c>
      <c r="Z129" s="227"/>
      <c r="AA129" s="220">
        <v>46031</v>
      </c>
      <c r="AB129" s="221" t="s">
        <v>54</v>
      </c>
      <c r="AC129" s="229" t="s">
        <v>54</v>
      </c>
      <c r="AD129" s="230"/>
      <c r="AE129" s="230"/>
      <c r="AF129" s="230"/>
      <c r="AG129" s="227"/>
    </row>
    <row r="130" spans="1:33" ht="15" customHeight="1" x14ac:dyDescent="0.25">
      <c r="A130" s="32" t="s">
        <v>504</v>
      </c>
      <c r="B130" s="306" t="str">
        <f>IF((COUNTBLANK(AA130)=0),Stats!$E$7,IF((COUNTBLANK(N130)=0),IF((COUNTBLANK(X130)=0),IF((COUNTBLANK(AD130)=0),Stats!$E$6,Stats!$E$5),Stats!$E$4),""))</f>
        <v>Death</v>
      </c>
      <c r="C130" s="307" t="str">
        <f>IF(B130=Stats!$E$5,Stats!$E$11,"")</f>
        <v/>
      </c>
      <c r="D130" s="218">
        <v>45835</v>
      </c>
      <c r="E130" s="301">
        <f t="shared" ca="1" si="3"/>
        <v>288</v>
      </c>
      <c r="F130" s="306" t="s">
        <v>505</v>
      </c>
      <c r="G130" s="308" t="s">
        <v>500</v>
      </c>
      <c r="H130" s="306" t="s">
        <v>152</v>
      </c>
      <c r="I130" s="306" t="s">
        <v>44</v>
      </c>
      <c r="J130" s="306" t="s">
        <v>206</v>
      </c>
      <c r="K130" s="306" t="s">
        <v>321</v>
      </c>
      <c r="L130" s="41" t="s">
        <v>284</v>
      </c>
      <c r="M130" s="219">
        <f t="shared" si="7"/>
        <v>1</v>
      </c>
      <c r="N130" s="218">
        <v>45838</v>
      </c>
      <c r="O130" s="34" t="s">
        <v>285</v>
      </c>
      <c r="P130" s="36" t="s">
        <v>501</v>
      </c>
      <c r="S130" s="224" t="s">
        <v>502</v>
      </c>
      <c r="T130" s="225" t="s">
        <v>51</v>
      </c>
      <c r="U130" s="226" t="s">
        <v>503</v>
      </c>
      <c r="V130" s="226">
        <v>500</v>
      </c>
      <c r="W130" s="303" t="s">
        <v>291</v>
      </c>
      <c r="X130" s="220">
        <v>45838</v>
      </c>
      <c r="Y130" s="34" t="s">
        <v>285</v>
      </c>
      <c r="Z130" s="227"/>
      <c r="AA130" s="220">
        <v>46031</v>
      </c>
      <c r="AB130" s="221" t="s">
        <v>54</v>
      </c>
      <c r="AC130" s="229" t="s">
        <v>335</v>
      </c>
      <c r="AD130" s="230"/>
      <c r="AE130" s="230"/>
      <c r="AF130" s="230"/>
      <c r="AG130" s="227"/>
    </row>
    <row r="131" spans="1:33" ht="15" customHeight="1" x14ac:dyDescent="0.25">
      <c r="A131" s="32" t="s">
        <v>506</v>
      </c>
      <c r="B131" s="306" t="str">
        <f>IF((COUNTBLANK(AA131)=0),Stats!$E$7,IF((COUNTBLANK(N131)=0),IF((COUNTBLANK(X131)=0),IF((COUNTBLANK(AD131)=0),Stats!$E$6,Stats!$E$5),Stats!$E$4),""))</f>
        <v>Death</v>
      </c>
      <c r="C131" s="307" t="str">
        <f>IF(B131=Stats!$E$5,Stats!$E$11,"")</f>
        <v/>
      </c>
      <c r="D131" s="218">
        <v>45835</v>
      </c>
      <c r="E131" s="301">
        <f t="shared" ca="1" si="3"/>
        <v>288</v>
      </c>
      <c r="F131" s="306" t="s">
        <v>507</v>
      </c>
      <c r="G131" s="308" t="s">
        <v>500</v>
      </c>
      <c r="H131" s="306" t="s">
        <v>152</v>
      </c>
      <c r="I131" s="306" t="s">
        <v>44</v>
      </c>
      <c r="J131" s="306" t="s">
        <v>206</v>
      </c>
      <c r="K131" s="306" t="s">
        <v>321</v>
      </c>
      <c r="L131" s="41" t="s">
        <v>284</v>
      </c>
      <c r="M131" s="219">
        <f t="shared" si="7"/>
        <v>1</v>
      </c>
      <c r="N131" s="218">
        <v>45839</v>
      </c>
      <c r="O131" s="34" t="s">
        <v>285</v>
      </c>
      <c r="P131" s="36" t="s">
        <v>501</v>
      </c>
      <c r="S131" s="224" t="s">
        <v>502</v>
      </c>
      <c r="T131" s="225" t="s">
        <v>51</v>
      </c>
      <c r="U131" s="226" t="s">
        <v>503</v>
      </c>
      <c r="V131" s="226">
        <v>500</v>
      </c>
      <c r="W131" s="303" t="s">
        <v>249</v>
      </c>
      <c r="X131" s="220">
        <v>45839</v>
      </c>
      <c r="Y131" s="34" t="s">
        <v>285</v>
      </c>
      <c r="Z131" s="227" t="s">
        <v>483</v>
      </c>
      <c r="AA131" s="220">
        <v>46029</v>
      </c>
      <c r="AB131" s="221" t="s">
        <v>160</v>
      </c>
      <c r="AC131" s="229" t="s">
        <v>335</v>
      </c>
      <c r="AD131" s="230"/>
      <c r="AE131" s="230"/>
      <c r="AF131" s="230"/>
      <c r="AG131" s="227"/>
    </row>
    <row r="132" spans="1:33" ht="15" customHeight="1" x14ac:dyDescent="0.25">
      <c r="A132" s="32" t="s">
        <v>508</v>
      </c>
      <c r="B132" s="306" t="str">
        <f>IF((COUNTBLANK(AA132)=0),Stats!$E$7,IF((COUNTBLANK(N132)=0),IF((COUNTBLANK(X132)=0),IF((COUNTBLANK(AD132)=0),Stats!$E$6,Stats!$E$5),Stats!$E$4),""))</f>
        <v>Death</v>
      </c>
      <c r="C132" s="307" t="str">
        <f>IF(B132=Stats!$E$5,Stats!$E$11,"")</f>
        <v/>
      </c>
      <c r="D132" s="218">
        <v>45835</v>
      </c>
      <c r="E132" s="301">
        <f t="shared" ref="E132:E195" ca="1" si="8">IFERROR(TODAY()-DATE(2000+MID(F132,SEARCH("-",F132,SEARCH("-",F132)+1)+1,2),MID(F132,SEARCH("-",F132,SEARCH("-",F132)+1)+3,2),MID(F132,SEARCH("-",F132,SEARCH("-",F132)+1)+5,2)),"")</f>
        <v>288</v>
      </c>
      <c r="F132" s="306" t="s">
        <v>509</v>
      </c>
      <c r="G132" s="308" t="s">
        <v>500</v>
      </c>
      <c r="H132" s="306" t="s">
        <v>152</v>
      </c>
      <c r="I132" s="306" t="s">
        <v>44</v>
      </c>
      <c r="J132" s="306" t="s">
        <v>206</v>
      </c>
      <c r="K132" s="306" t="s">
        <v>321</v>
      </c>
      <c r="L132" s="41" t="s">
        <v>284</v>
      </c>
      <c r="M132" s="219">
        <f t="shared" si="7"/>
        <v>1</v>
      </c>
      <c r="N132" s="218">
        <v>45839</v>
      </c>
      <c r="O132" s="34" t="s">
        <v>285</v>
      </c>
      <c r="P132" s="36" t="s">
        <v>501</v>
      </c>
      <c r="S132" s="224" t="s">
        <v>502</v>
      </c>
      <c r="T132" s="225" t="s">
        <v>51</v>
      </c>
      <c r="U132" s="226" t="s">
        <v>503</v>
      </c>
      <c r="V132" s="226">
        <v>500</v>
      </c>
      <c r="W132" s="303" t="s">
        <v>510</v>
      </c>
      <c r="X132" s="220">
        <v>45839</v>
      </c>
      <c r="Y132" s="34" t="s">
        <v>285</v>
      </c>
      <c r="Z132" s="227" t="s">
        <v>483</v>
      </c>
      <c r="AA132" s="220">
        <v>46031</v>
      </c>
      <c r="AB132" s="221" t="s">
        <v>54</v>
      </c>
      <c r="AC132" s="280" t="s">
        <v>511</v>
      </c>
      <c r="AD132" s="230"/>
      <c r="AE132" s="230"/>
      <c r="AF132" s="230"/>
      <c r="AG132" s="227"/>
    </row>
    <row r="133" spans="1:33" ht="15" customHeight="1" x14ac:dyDescent="0.25">
      <c r="A133" s="32" t="s">
        <v>512</v>
      </c>
      <c r="B133" s="306" t="str">
        <f>IF((COUNTBLANK(AA133)=0),Stats!$E$7,IF((COUNTBLANK(N133)=0),IF((COUNTBLANK(X133)=0),IF((COUNTBLANK(AD133)=0),Stats!$E$6,Stats!$E$5),Stats!$E$4),""))</f>
        <v>Death</v>
      </c>
      <c r="C133" s="307" t="str">
        <f>IF(B133=Stats!$E$5,Stats!$E$11,"")</f>
        <v/>
      </c>
      <c r="D133" s="218">
        <v>45835</v>
      </c>
      <c r="E133" s="301">
        <f t="shared" ca="1" si="8"/>
        <v>288</v>
      </c>
      <c r="F133" s="306" t="s">
        <v>513</v>
      </c>
      <c r="G133" s="308" t="s">
        <v>500</v>
      </c>
      <c r="H133" s="306" t="s">
        <v>152</v>
      </c>
      <c r="I133" s="306" t="s">
        <v>44</v>
      </c>
      <c r="J133" s="306" t="s">
        <v>206</v>
      </c>
      <c r="K133" s="306" t="s">
        <v>321</v>
      </c>
      <c r="L133" s="41" t="s">
        <v>284</v>
      </c>
      <c r="M133" s="219">
        <f t="shared" si="7"/>
        <v>1</v>
      </c>
      <c r="N133" s="218">
        <v>45839</v>
      </c>
      <c r="O133" s="34" t="s">
        <v>285</v>
      </c>
      <c r="P133" s="36" t="s">
        <v>501</v>
      </c>
      <c r="S133" s="224" t="s">
        <v>502</v>
      </c>
      <c r="T133" s="225" t="s">
        <v>51</v>
      </c>
      <c r="U133" s="226" t="s">
        <v>503</v>
      </c>
      <c r="V133" s="226">
        <v>500</v>
      </c>
      <c r="W133" s="303" t="s">
        <v>279</v>
      </c>
      <c r="X133" s="220">
        <v>45839</v>
      </c>
      <c r="Y133" s="34" t="s">
        <v>285</v>
      </c>
      <c r="Z133" s="227" t="s">
        <v>483</v>
      </c>
      <c r="AA133" s="220">
        <v>46031</v>
      </c>
      <c r="AB133" s="221" t="s">
        <v>54</v>
      </c>
      <c r="AC133" s="229" t="s">
        <v>514</v>
      </c>
      <c r="AD133" s="230"/>
      <c r="AE133" s="230"/>
      <c r="AF133" s="230"/>
      <c r="AG133" s="227"/>
    </row>
    <row r="134" spans="1:33" s="256" customFormat="1" ht="15" customHeight="1" x14ac:dyDescent="0.25">
      <c r="A134" s="32" t="s">
        <v>515</v>
      </c>
      <c r="B134" s="306" t="str">
        <f>IF((COUNTBLANK(AA134)=0),Stats!$E$7,IF((COUNTBLANK(N134)=0),IF((COUNTBLANK(X134)=0),IF((COUNTBLANK(AD134)=0),Stats!$E$6,Stats!$E$5),Stats!$E$4),""))</f>
        <v>Death</v>
      </c>
      <c r="C134" s="307" t="s">
        <v>204</v>
      </c>
      <c r="D134" s="218">
        <v>45845</v>
      </c>
      <c r="E134" s="301">
        <f t="shared" ca="1" si="8"/>
        <v>338</v>
      </c>
      <c r="F134" s="306" t="s">
        <v>516</v>
      </c>
      <c r="G134" s="308" t="s">
        <v>517</v>
      </c>
      <c r="H134" s="306" t="s">
        <v>261</v>
      </c>
      <c r="I134" s="306" t="s">
        <v>44</v>
      </c>
      <c r="J134" s="306" t="s">
        <v>206</v>
      </c>
      <c r="K134" s="306" t="s">
        <v>272</v>
      </c>
      <c r="L134" s="41" t="s">
        <v>240</v>
      </c>
      <c r="M134" s="219">
        <f t="shared" si="7"/>
        <v>1</v>
      </c>
      <c r="N134" s="218">
        <v>45858</v>
      </c>
      <c r="O134" s="34" t="s">
        <v>53</v>
      </c>
      <c r="P134" s="36" t="s">
        <v>242</v>
      </c>
      <c r="Q134" s="36"/>
      <c r="R134" s="36"/>
      <c r="S134" s="224"/>
      <c r="T134" s="225" t="s">
        <v>478</v>
      </c>
      <c r="U134" s="226" t="s">
        <v>518</v>
      </c>
      <c r="V134" s="226">
        <v>400</v>
      </c>
      <c r="W134" s="303"/>
      <c r="X134" s="220">
        <v>45858</v>
      </c>
      <c r="Y134" s="34" t="s">
        <v>53</v>
      </c>
      <c r="Z134" s="227"/>
      <c r="AA134" s="220">
        <v>46000</v>
      </c>
      <c r="AB134" s="221" t="s">
        <v>54</v>
      </c>
      <c r="AC134" s="254" t="s">
        <v>519</v>
      </c>
      <c r="AD134" s="251"/>
      <c r="AE134" s="251"/>
      <c r="AF134" s="251"/>
      <c r="AG134" s="249"/>
    </row>
    <row r="135" spans="1:33" s="256" customFormat="1" ht="15" customHeight="1" x14ac:dyDescent="0.25">
      <c r="A135" s="32" t="s">
        <v>520</v>
      </c>
      <c r="B135" s="306" t="str">
        <f>IF((COUNTBLANK(AA135)=0),Stats!$E$7,IF((COUNTBLANK(N135)=0),IF((COUNTBLANK(X135)=0),IF((COUNTBLANK(AD135)=0),Stats!$E$6,Stats!$E$5),Stats!$E$4),""))</f>
        <v>Death</v>
      </c>
      <c r="C135" s="307" t="s">
        <v>204</v>
      </c>
      <c r="D135" s="218">
        <v>45845</v>
      </c>
      <c r="E135" s="301">
        <f t="shared" ca="1" si="8"/>
        <v>338</v>
      </c>
      <c r="F135" s="306" t="s">
        <v>521</v>
      </c>
      <c r="G135" s="308" t="s">
        <v>517</v>
      </c>
      <c r="H135" s="306" t="s">
        <v>261</v>
      </c>
      <c r="I135" s="306" t="s">
        <v>44</v>
      </c>
      <c r="J135" s="306" t="s">
        <v>206</v>
      </c>
      <c r="K135" s="306" t="s">
        <v>272</v>
      </c>
      <c r="L135" s="41" t="s">
        <v>240</v>
      </c>
      <c r="M135" s="219">
        <f t="shared" si="7"/>
        <v>1</v>
      </c>
      <c r="N135" s="218">
        <v>45858</v>
      </c>
      <c r="O135" s="34" t="s">
        <v>53</v>
      </c>
      <c r="P135" s="36" t="s">
        <v>457</v>
      </c>
      <c r="Q135" s="36"/>
      <c r="R135" s="36"/>
      <c r="S135" s="224"/>
      <c r="T135" s="225" t="s">
        <v>478</v>
      </c>
      <c r="U135" s="226" t="s">
        <v>458</v>
      </c>
      <c r="V135" s="226">
        <v>400</v>
      </c>
      <c r="W135" s="303"/>
      <c r="X135" s="220">
        <v>45858</v>
      </c>
      <c r="Y135" s="34" t="s">
        <v>53</v>
      </c>
      <c r="Z135" s="227"/>
      <c r="AA135" s="220">
        <v>45913</v>
      </c>
      <c r="AB135" s="221" t="s">
        <v>160</v>
      </c>
      <c r="AC135" s="254" t="s">
        <v>459</v>
      </c>
      <c r="AD135" s="251"/>
      <c r="AE135" s="251"/>
      <c r="AF135" s="251"/>
      <c r="AG135" s="249"/>
    </row>
    <row r="136" spans="1:33" ht="15" customHeight="1" x14ac:dyDescent="0.25">
      <c r="A136" s="32" t="s">
        <v>522</v>
      </c>
      <c r="B136" s="306" t="str">
        <f>IF((COUNTBLANK(AA136)=0),Stats!$E$7,IF((COUNTBLANK(N136)=0),IF((COUNTBLANK(X136)=0),IF((COUNTBLANK(AD136)=0),Stats!$E$6,Stats!$E$5),Stats!$E$4),""))</f>
        <v>Death</v>
      </c>
      <c r="C136" s="307" t="str">
        <f>IF(B136=Stats!$E$5,Stats!$E$11,"")</f>
        <v/>
      </c>
      <c r="D136" s="218">
        <v>45845</v>
      </c>
      <c r="E136" s="301">
        <f t="shared" ca="1" si="8"/>
        <v>338</v>
      </c>
      <c r="F136" s="306" t="s">
        <v>523</v>
      </c>
      <c r="G136" s="308" t="s">
        <v>517</v>
      </c>
      <c r="H136" s="306" t="s">
        <v>261</v>
      </c>
      <c r="I136" s="306" t="s">
        <v>44</v>
      </c>
      <c r="J136" s="306" t="s">
        <v>206</v>
      </c>
      <c r="K136" s="306" t="s">
        <v>272</v>
      </c>
      <c r="L136" s="41" t="s">
        <v>240</v>
      </c>
      <c r="M136" s="219"/>
      <c r="N136" s="218"/>
      <c r="S136" s="224"/>
      <c r="T136" s="225"/>
      <c r="U136" s="226"/>
      <c r="V136" s="226"/>
      <c r="W136" s="303"/>
      <c r="X136" s="220"/>
      <c r="Z136" s="227"/>
      <c r="AA136" s="220">
        <v>45902</v>
      </c>
      <c r="AB136" s="221" t="s">
        <v>54</v>
      </c>
      <c r="AC136" s="229"/>
      <c r="AD136" s="230"/>
      <c r="AE136" s="230"/>
      <c r="AF136" s="230"/>
      <c r="AG136" s="227"/>
    </row>
    <row r="137" spans="1:33" s="256" customFormat="1" ht="15" customHeight="1" x14ac:dyDescent="0.25">
      <c r="A137" s="32" t="s">
        <v>524</v>
      </c>
      <c r="B137" s="306" t="str">
        <f>IF((COUNTBLANK(AA137)=0),Stats!$E$7,IF((COUNTBLANK(N137)=0),IF((COUNTBLANK(X137)=0),IF((COUNTBLANK(AD137)=0),Stats!$E$6,Stats!$E$5),Stats!$E$4),""))</f>
        <v>Death</v>
      </c>
      <c r="C137" s="307" t="s">
        <v>204</v>
      </c>
      <c r="D137" s="218">
        <v>45845</v>
      </c>
      <c r="E137" s="301">
        <f t="shared" ca="1" si="8"/>
        <v>313</v>
      </c>
      <c r="F137" s="306" t="s">
        <v>525</v>
      </c>
      <c r="G137" s="308" t="s">
        <v>526</v>
      </c>
      <c r="H137" s="306" t="s">
        <v>261</v>
      </c>
      <c r="I137" s="306" t="s">
        <v>114</v>
      </c>
      <c r="J137" s="306" t="s">
        <v>206</v>
      </c>
      <c r="K137" s="306" t="s">
        <v>272</v>
      </c>
      <c r="L137" s="41" t="s">
        <v>413</v>
      </c>
      <c r="M137" s="219">
        <f t="shared" ref="M137:M145" si="9">COUNTA(D137)*COUNTA(F137)*COUNTA(J137)*COUNTA(L137)</f>
        <v>1</v>
      </c>
      <c r="N137" s="218">
        <v>45853</v>
      </c>
      <c r="O137" s="34" t="s">
        <v>53</v>
      </c>
      <c r="P137" s="36" t="s">
        <v>527</v>
      </c>
      <c r="Q137" s="36" t="s">
        <v>414</v>
      </c>
      <c r="R137" s="36"/>
      <c r="S137" s="224"/>
      <c r="T137" s="225" t="s">
        <v>478</v>
      </c>
      <c r="U137" s="226" t="s">
        <v>528</v>
      </c>
      <c r="V137" s="226">
        <v>400</v>
      </c>
      <c r="W137" s="303" t="s">
        <v>279</v>
      </c>
      <c r="X137" s="220">
        <v>45853</v>
      </c>
      <c r="Y137" s="34" t="s">
        <v>53</v>
      </c>
      <c r="Z137" s="227"/>
      <c r="AA137" s="220">
        <v>46000</v>
      </c>
      <c r="AB137" s="221" t="s">
        <v>54</v>
      </c>
      <c r="AC137" s="254" t="s">
        <v>529</v>
      </c>
      <c r="AD137" s="251"/>
      <c r="AE137" s="251"/>
      <c r="AF137" s="251"/>
      <c r="AG137" s="249"/>
    </row>
    <row r="138" spans="1:33" s="256" customFormat="1" ht="15" customHeight="1" x14ac:dyDescent="0.25">
      <c r="A138" s="32" t="s">
        <v>530</v>
      </c>
      <c r="B138" s="306" t="str">
        <f>IF((COUNTBLANK(AA138)=0),Stats!$E$7,IF((COUNTBLANK(N138)=0),IF((COUNTBLANK(X138)=0),IF((COUNTBLANK(AD138)=0),Stats!$E$6,Stats!$E$5),Stats!$E$4),""))</f>
        <v>Death</v>
      </c>
      <c r="C138" s="307" t="s">
        <v>204</v>
      </c>
      <c r="D138" s="218">
        <v>45845</v>
      </c>
      <c r="E138" s="301">
        <f t="shared" ca="1" si="8"/>
        <v>273</v>
      </c>
      <c r="F138" s="306" t="s">
        <v>531</v>
      </c>
      <c r="G138" s="308" t="s">
        <v>532</v>
      </c>
      <c r="H138" s="306" t="s">
        <v>271</v>
      </c>
      <c r="I138" s="306" t="s">
        <v>44</v>
      </c>
      <c r="J138" s="306" t="s">
        <v>206</v>
      </c>
      <c r="K138" s="306" t="s">
        <v>272</v>
      </c>
      <c r="L138" s="41" t="s">
        <v>240</v>
      </c>
      <c r="M138" s="219">
        <f t="shared" si="9"/>
        <v>1</v>
      </c>
      <c r="N138" s="218">
        <v>45855</v>
      </c>
      <c r="O138" s="34" t="s">
        <v>53</v>
      </c>
      <c r="P138" s="36" t="s">
        <v>242</v>
      </c>
      <c r="Q138" s="36"/>
      <c r="R138" s="36"/>
      <c r="S138" s="224"/>
      <c r="T138" s="225" t="s">
        <v>478</v>
      </c>
      <c r="U138" s="226" t="s">
        <v>533</v>
      </c>
      <c r="V138" s="226">
        <v>400</v>
      </c>
      <c r="W138" s="303" t="s">
        <v>243</v>
      </c>
      <c r="X138" s="220">
        <v>45855</v>
      </c>
      <c r="Y138" s="34" t="s">
        <v>53</v>
      </c>
      <c r="Z138" s="227"/>
      <c r="AA138" s="220">
        <v>46031</v>
      </c>
      <c r="AB138" s="221" t="s">
        <v>54</v>
      </c>
      <c r="AC138" s="254" t="s">
        <v>534</v>
      </c>
      <c r="AD138" s="251"/>
      <c r="AE138" s="251"/>
      <c r="AF138" s="251"/>
      <c r="AG138" s="249"/>
    </row>
    <row r="139" spans="1:33" s="256" customFormat="1" ht="15" customHeight="1" x14ac:dyDescent="0.25">
      <c r="A139" s="32" t="s">
        <v>535</v>
      </c>
      <c r="B139" s="306" t="str">
        <f>IF((COUNTBLANK(AA139)=0),Stats!$E$7,IF((COUNTBLANK(N139)=0),IF((COUNTBLANK(X139)=0),IF((COUNTBLANK(AD139)=0),Stats!$E$6,Stats!$E$5),Stats!$E$4),""))</f>
        <v>Death</v>
      </c>
      <c r="C139" s="307" t="s">
        <v>204</v>
      </c>
      <c r="D139" s="218">
        <v>45845</v>
      </c>
      <c r="E139" s="301">
        <f t="shared" ca="1" si="8"/>
        <v>271</v>
      </c>
      <c r="F139" s="306" t="s">
        <v>536</v>
      </c>
      <c r="G139" s="308" t="s">
        <v>532</v>
      </c>
      <c r="H139" s="306" t="s">
        <v>271</v>
      </c>
      <c r="I139" s="306" t="s">
        <v>44</v>
      </c>
      <c r="J139" s="306" t="s">
        <v>206</v>
      </c>
      <c r="K139" s="306" t="s">
        <v>272</v>
      </c>
      <c r="L139" s="41" t="s">
        <v>240</v>
      </c>
      <c r="M139" s="219">
        <f t="shared" si="9"/>
        <v>1</v>
      </c>
      <c r="N139" s="218">
        <v>45857</v>
      </c>
      <c r="O139" s="34" t="s">
        <v>53</v>
      </c>
      <c r="P139" s="36" t="s">
        <v>242</v>
      </c>
      <c r="Q139" s="36"/>
      <c r="R139" s="36"/>
      <c r="S139" s="224"/>
      <c r="T139" s="225" t="s">
        <v>478</v>
      </c>
      <c r="U139" s="226" t="s">
        <v>533</v>
      </c>
      <c r="V139" s="226">
        <v>400</v>
      </c>
      <c r="W139" s="303" t="s">
        <v>249</v>
      </c>
      <c r="X139" s="220">
        <v>45857</v>
      </c>
      <c r="Y139" s="34" t="s">
        <v>53</v>
      </c>
      <c r="Z139" s="227"/>
      <c r="AA139" s="220">
        <v>46031</v>
      </c>
      <c r="AB139" s="221" t="s">
        <v>54</v>
      </c>
      <c r="AC139" s="254" t="s">
        <v>534</v>
      </c>
      <c r="AD139" s="251"/>
      <c r="AE139" s="251"/>
      <c r="AF139" s="251"/>
      <c r="AG139" s="249"/>
    </row>
    <row r="140" spans="1:33" s="256" customFormat="1" ht="15" customHeight="1" x14ac:dyDescent="0.25">
      <c r="A140" s="32" t="s">
        <v>537</v>
      </c>
      <c r="B140" s="306" t="str">
        <f>IF((COUNTBLANK(AA140)=0),Stats!$E$7,IF((COUNTBLANK(N140)=0),IF((COUNTBLANK(X140)=0),IF((COUNTBLANK(AD140)=0),Stats!$E$6,Stats!$E$5),Stats!$E$4),""))</f>
        <v>Death</v>
      </c>
      <c r="C140" s="307" t="s">
        <v>204</v>
      </c>
      <c r="D140" s="218">
        <v>45845</v>
      </c>
      <c r="E140" s="301">
        <f t="shared" ca="1" si="8"/>
        <v>271</v>
      </c>
      <c r="F140" s="306" t="s">
        <v>538</v>
      </c>
      <c r="G140" s="308" t="s">
        <v>532</v>
      </c>
      <c r="H140" s="306" t="s">
        <v>271</v>
      </c>
      <c r="I140" s="306" t="s">
        <v>44</v>
      </c>
      <c r="J140" s="306" t="s">
        <v>206</v>
      </c>
      <c r="K140" s="306" t="s">
        <v>272</v>
      </c>
      <c r="L140" s="41" t="s">
        <v>240</v>
      </c>
      <c r="M140" s="219">
        <f t="shared" si="9"/>
        <v>1</v>
      </c>
      <c r="N140" s="218">
        <v>45857</v>
      </c>
      <c r="O140" s="34" t="s">
        <v>53</v>
      </c>
      <c r="P140" s="36" t="s">
        <v>242</v>
      </c>
      <c r="Q140" s="36"/>
      <c r="R140" s="36"/>
      <c r="S140" s="224"/>
      <c r="T140" s="225" t="s">
        <v>478</v>
      </c>
      <c r="U140" s="226" t="s">
        <v>533</v>
      </c>
      <c r="V140" s="226">
        <v>400</v>
      </c>
      <c r="W140" s="303" t="s">
        <v>291</v>
      </c>
      <c r="X140" s="220">
        <v>45857</v>
      </c>
      <c r="Y140" s="34" t="s">
        <v>53</v>
      </c>
      <c r="Z140" s="227"/>
      <c r="AA140" s="220">
        <v>45919</v>
      </c>
      <c r="AB140" s="221" t="s">
        <v>160</v>
      </c>
      <c r="AC140" s="254" t="s">
        <v>534</v>
      </c>
      <c r="AD140" s="251"/>
      <c r="AE140" s="251"/>
      <c r="AF140" s="251"/>
      <c r="AG140" s="249"/>
    </row>
    <row r="141" spans="1:33" s="256" customFormat="1" ht="15" customHeight="1" x14ac:dyDescent="0.25">
      <c r="A141" s="32" t="s">
        <v>539</v>
      </c>
      <c r="B141" s="306" t="str">
        <f>IF((COUNTBLANK(AA141)=0),Stats!$E$7,IF((COUNTBLANK(N141)=0),IF((COUNTBLANK(X141)=0),IF((COUNTBLANK(AD141)=0),Stats!$E$6,Stats!$E$5),Stats!$E$4),""))</f>
        <v>Death</v>
      </c>
      <c r="C141" s="307" t="s">
        <v>204</v>
      </c>
      <c r="D141" s="218">
        <v>45845</v>
      </c>
      <c r="E141" s="301">
        <f t="shared" ca="1" si="8"/>
        <v>271</v>
      </c>
      <c r="F141" s="306" t="s">
        <v>540</v>
      </c>
      <c r="G141" s="308" t="s">
        <v>532</v>
      </c>
      <c r="H141" s="306" t="s">
        <v>271</v>
      </c>
      <c r="I141" s="306" t="s">
        <v>44</v>
      </c>
      <c r="J141" s="306" t="s">
        <v>206</v>
      </c>
      <c r="K141" s="306" t="s">
        <v>272</v>
      </c>
      <c r="L141" s="41" t="s">
        <v>240</v>
      </c>
      <c r="M141" s="219">
        <f t="shared" si="9"/>
        <v>1</v>
      </c>
      <c r="N141" s="218">
        <v>45858</v>
      </c>
      <c r="O141" s="34" t="s">
        <v>53</v>
      </c>
      <c r="P141" s="36" t="s">
        <v>242</v>
      </c>
      <c r="Q141" s="36"/>
      <c r="R141" s="36"/>
      <c r="S141" s="224"/>
      <c r="T141" s="225" t="s">
        <v>478</v>
      </c>
      <c r="U141" s="226" t="s">
        <v>533</v>
      </c>
      <c r="V141" s="226">
        <v>400</v>
      </c>
      <c r="W141" s="303" t="s">
        <v>279</v>
      </c>
      <c r="X141" s="220">
        <v>45858</v>
      </c>
      <c r="Y141" s="34" t="s">
        <v>53</v>
      </c>
      <c r="Z141" s="227"/>
      <c r="AA141" s="220">
        <v>46031</v>
      </c>
      <c r="AB141" s="221" t="s">
        <v>54</v>
      </c>
      <c r="AC141" s="254" t="s">
        <v>534</v>
      </c>
      <c r="AD141" s="251"/>
      <c r="AE141" s="251"/>
      <c r="AF141" s="251"/>
      <c r="AG141" s="249"/>
    </row>
    <row r="142" spans="1:33" s="256" customFormat="1" ht="15" customHeight="1" x14ac:dyDescent="0.25">
      <c r="A142" s="32" t="s">
        <v>541</v>
      </c>
      <c r="B142" s="306" t="str">
        <f>IF((COUNTBLANK(AA142)=0),Stats!$E$7,IF((COUNTBLANK(N142)=0),IF((COUNTBLANK(X142)=0),IF((COUNTBLANK(AD142)=0),Stats!$E$6,Stats!$E$5),Stats!$E$4),""))</f>
        <v>Death</v>
      </c>
      <c r="C142" s="307" t="s">
        <v>204</v>
      </c>
      <c r="D142" s="218">
        <v>45845</v>
      </c>
      <c r="E142" s="301">
        <f t="shared" ca="1" si="8"/>
        <v>294</v>
      </c>
      <c r="F142" s="306" t="s">
        <v>542</v>
      </c>
      <c r="G142" s="308" t="s">
        <v>543</v>
      </c>
      <c r="H142" s="306" t="s">
        <v>152</v>
      </c>
      <c r="I142" s="306" t="s">
        <v>44</v>
      </c>
      <c r="J142" s="306" t="s">
        <v>206</v>
      </c>
      <c r="K142" s="306" t="s">
        <v>272</v>
      </c>
      <c r="L142" s="41" t="s">
        <v>240</v>
      </c>
      <c r="M142" s="219">
        <f t="shared" si="9"/>
        <v>1</v>
      </c>
      <c r="N142" s="218">
        <v>45852</v>
      </c>
      <c r="O142" s="34" t="s">
        <v>53</v>
      </c>
      <c r="P142" s="36" t="s">
        <v>154</v>
      </c>
      <c r="Q142" s="36"/>
      <c r="R142" s="36"/>
      <c r="S142" s="224"/>
      <c r="T142" s="225" t="s">
        <v>51</v>
      </c>
      <c r="U142" s="226">
        <v>-300</v>
      </c>
      <c r="V142" s="226">
        <v>1000</v>
      </c>
      <c r="W142" s="303" t="s">
        <v>243</v>
      </c>
      <c r="X142" s="220">
        <v>45852</v>
      </c>
      <c r="Y142" s="34" t="s">
        <v>53</v>
      </c>
      <c r="Z142" s="227"/>
      <c r="AA142" s="220">
        <v>45971</v>
      </c>
      <c r="AB142" s="221" t="s">
        <v>133</v>
      </c>
      <c r="AC142" s="254" t="s">
        <v>529</v>
      </c>
      <c r="AD142" s="251"/>
      <c r="AE142" s="251"/>
      <c r="AF142" s="251"/>
      <c r="AG142" s="249"/>
    </row>
    <row r="143" spans="1:33" ht="15" customHeight="1" x14ac:dyDescent="0.25">
      <c r="A143" s="32" t="s">
        <v>544</v>
      </c>
      <c r="B143" s="306" t="str">
        <f>IF((COUNTBLANK(AA143)=0),Stats!$E$7,IF((COUNTBLANK(N143)=0),IF((COUNTBLANK(X143)=0),IF((COUNTBLANK(AD143)=0),Stats!$E$6,Stats!$E$5),Stats!$E$4),""))</f>
        <v>Death</v>
      </c>
      <c r="C143" s="307" t="str">
        <f>IF(B143=Stats!$E$5,Stats!$E$11,"")</f>
        <v/>
      </c>
      <c r="D143" s="218">
        <v>45845</v>
      </c>
      <c r="E143" s="301">
        <f t="shared" ca="1" si="8"/>
        <v>294</v>
      </c>
      <c r="F143" s="306" t="s">
        <v>545</v>
      </c>
      <c r="G143" s="308" t="s">
        <v>546</v>
      </c>
      <c r="H143" s="306" t="s">
        <v>152</v>
      </c>
      <c r="I143" s="306" t="s">
        <v>44</v>
      </c>
      <c r="J143" s="306" t="s">
        <v>206</v>
      </c>
      <c r="K143" s="306" t="s">
        <v>272</v>
      </c>
      <c r="L143" s="41" t="s">
        <v>240</v>
      </c>
      <c r="M143" s="219">
        <f t="shared" si="9"/>
        <v>1</v>
      </c>
      <c r="N143" s="218"/>
      <c r="S143" s="224"/>
      <c r="T143" s="225"/>
      <c r="U143" s="226"/>
      <c r="V143" s="226"/>
      <c r="W143" s="303"/>
      <c r="X143" s="220"/>
      <c r="Z143" s="227"/>
      <c r="AA143" s="220">
        <v>45925</v>
      </c>
      <c r="AB143" s="221" t="s">
        <v>54</v>
      </c>
      <c r="AC143" s="229"/>
      <c r="AD143" s="230"/>
      <c r="AE143" s="230"/>
      <c r="AF143" s="230"/>
      <c r="AG143" s="227"/>
    </row>
    <row r="144" spans="1:33" ht="15" customHeight="1" x14ac:dyDescent="0.25">
      <c r="A144" s="32" t="s">
        <v>547</v>
      </c>
      <c r="B144" s="306" t="str">
        <f>IF((COUNTBLANK(AA144)=0),Stats!$E$7,IF((COUNTBLANK(N144)=0),IF((COUNTBLANK(X144)=0),IF((COUNTBLANK(AD144)=0),Stats!$E$6,Stats!$E$5),Stats!$E$4),""))</f>
        <v>Death</v>
      </c>
      <c r="C144" s="307" t="str">
        <f>IF(B144=Stats!$E$5,Stats!$E$11,"")</f>
        <v/>
      </c>
      <c r="D144" s="218">
        <v>45845</v>
      </c>
      <c r="E144" s="301">
        <f t="shared" ca="1" si="8"/>
        <v>294</v>
      </c>
      <c r="F144" s="306" t="s">
        <v>548</v>
      </c>
      <c r="G144" s="308" t="s">
        <v>549</v>
      </c>
      <c r="H144" s="306" t="s">
        <v>152</v>
      </c>
      <c r="I144" s="306" t="s">
        <v>44</v>
      </c>
      <c r="J144" s="306" t="s">
        <v>206</v>
      </c>
      <c r="K144" s="306" t="s">
        <v>272</v>
      </c>
      <c r="L144" s="41" t="s">
        <v>240</v>
      </c>
      <c r="M144" s="219">
        <f t="shared" si="9"/>
        <v>1</v>
      </c>
      <c r="N144" s="218"/>
      <c r="S144" s="224"/>
      <c r="T144" s="225"/>
      <c r="U144" s="226"/>
      <c r="V144" s="226"/>
      <c r="W144" s="303"/>
      <c r="X144" s="220"/>
      <c r="Z144" s="227"/>
      <c r="AA144" s="220">
        <v>45925</v>
      </c>
      <c r="AB144" s="221" t="s">
        <v>54</v>
      </c>
      <c r="AC144" s="229"/>
      <c r="AD144" s="230"/>
      <c r="AE144" s="230"/>
      <c r="AF144" s="230"/>
      <c r="AG144" s="227"/>
    </row>
    <row r="145" spans="1:33" ht="15" customHeight="1" x14ac:dyDescent="0.25">
      <c r="A145" s="32" t="s">
        <v>550</v>
      </c>
      <c r="B145" s="306" t="str">
        <f>IF((COUNTBLANK(AA145)=0),Stats!$E$7,IF((COUNTBLANK(N145)=0),IF((COUNTBLANK(X145)=0),IF((COUNTBLANK(AD145)=0),Stats!$E$6,Stats!$E$5),Stats!$E$4),""))</f>
        <v>Death</v>
      </c>
      <c r="C145" s="307" t="str">
        <f>IF(B145=Stats!$E$5,Stats!$E$11,"")</f>
        <v/>
      </c>
      <c r="D145" s="218">
        <v>45845</v>
      </c>
      <c r="E145" s="301">
        <f t="shared" ca="1" si="8"/>
        <v>294</v>
      </c>
      <c r="F145" s="306" t="s">
        <v>551</v>
      </c>
      <c r="G145" s="308" t="s">
        <v>552</v>
      </c>
      <c r="H145" s="306" t="s">
        <v>152</v>
      </c>
      <c r="I145" s="306" t="s">
        <v>44</v>
      </c>
      <c r="J145" s="306" t="s">
        <v>206</v>
      </c>
      <c r="K145" s="306" t="s">
        <v>272</v>
      </c>
      <c r="L145" s="41" t="s">
        <v>240</v>
      </c>
      <c r="M145" s="219">
        <f t="shared" si="9"/>
        <v>1</v>
      </c>
      <c r="N145" s="218"/>
      <c r="S145" s="224"/>
      <c r="T145" s="225"/>
      <c r="U145" s="226"/>
      <c r="V145" s="226"/>
      <c r="W145" s="303"/>
      <c r="X145" s="220"/>
      <c r="Z145" s="227"/>
      <c r="AA145" s="220">
        <v>45925</v>
      </c>
      <c r="AB145" s="221" t="s">
        <v>54</v>
      </c>
      <c r="AC145" s="229"/>
      <c r="AD145" s="230"/>
      <c r="AE145" s="230"/>
      <c r="AF145" s="230"/>
      <c r="AG145" s="227"/>
    </row>
    <row r="146" spans="1:33" s="256" customFormat="1" ht="15" customHeight="1" x14ac:dyDescent="0.25">
      <c r="A146" s="32" t="s">
        <v>553</v>
      </c>
      <c r="B146" s="306" t="str">
        <f>IF((COUNTBLANK(AA146)=0),Stats!$E$7,IF((COUNTBLANK(N146)=0),IF((COUNTBLANK(X146)=0),IF((COUNTBLANK(AD146)=0),Stats!$E$6,Stats!$E$5),Stats!$E$4),""))</f>
        <v>Death</v>
      </c>
      <c r="C146" s="307" t="s">
        <v>204</v>
      </c>
      <c r="D146" s="218">
        <v>45845</v>
      </c>
      <c r="E146" s="301">
        <f t="shared" ca="1" si="8"/>
        <v>294</v>
      </c>
      <c r="F146" s="306" t="s">
        <v>554</v>
      </c>
      <c r="G146" s="308" t="s">
        <v>555</v>
      </c>
      <c r="H146" s="306" t="s">
        <v>261</v>
      </c>
      <c r="I146" s="306" t="s">
        <v>114</v>
      </c>
      <c r="J146" s="306" t="s">
        <v>206</v>
      </c>
      <c r="K146" s="306" t="s">
        <v>272</v>
      </c>
      <c r="L146" s="41" t="s">
        <v>413</v>
      </c>
      <c r="M146" s="219">
        <f>COUNTA(D146)*COUNTA(F148)*COUNTA(J146)*COUNTA(L146)</f>
        <v>1</v>
      </c>
      <c r="N146" s="218">
        <v>45860</v>
      </c>
      <c r="O146" s="34" t="s">
        <v>53</v>
      </c>
      <c r="P146" s="36" t="s">
        <v>527</v>
      </c>
      <c r="Q146" s="36" t="s">
        <v>414</v>
      </c>
      <c r="R146" s="36"/>
      <c r="S146" s="224"/>
      <c r="T146" s="225" t="s">
        <v>478</v>
      </c>
      <c r="U146" s="226" t="s">
        <v>556</v>
      </c>
      <c r="V146" s="226">
        <v>400</v>
      </c>
      <c r="W146" s="303" t="s">
        <v>243</v>
      </c>
      <c r="X146" s="220">
        <v>45860</v>
      </c>
      <c r="Y146" s="34" t="s">
        <v>53</v>
      </c>
      <c r="Z146" s="227"/>
      <c r="AA146" s="220">
        <v>46000</v>
      </c>
      <c r="AB146" s="221" t="s">
        <v>54</v>
      </c>
      <c r="AC146" s="254"/>
      <c r="AD146" s="251"/>
      <c r="AE146" s="251"/>
      <c r="AF146" s="251"/>
      <c r="AG146" s="249"/>
    </row>
    <row r="147" spans="1:33" s="256" customFormat="1" ht="15" customHeight="1" x14ac:dyDescent="0.25">
      <c r="A147" s="32" t="s">
        <v>557</v>
      </c>
      <c r="B147" s="306" t="str">
        <f>IF((COUNTBLANK(AA147)=0),Stats!$E$7,IF((COUNTBLANK(N147)=0),IF((COUNTBLANK(X147)=0),IF((COUNTBLANK(AD147)=0),Stats!$E$6,Stats!$E$5),Stats!$E$4),""))</f>
        <v>Death</v>
      </c>
      <c r="C147" s="307" t="s">
        <v>204</v>
      </c>
      <c r="D147" s="218">
        <v>45845</v>
      </c>
      <c r="E147" s="301">
        <f t="shared" ca="1" si="8"/>
        <v>294</v>
      </c>
      <c r="F147" s="306" t="s">
        <v>558</v>
      </c>
      <c r="G147" s="308" t="s">
        <v>555</v>
      </c>
      <c r="H147" s="306" t="s">
        <v>261</v>
      </c>
      <c r="I147" s="306" t="s">
        <v>114</v>
      </c>
      <c r="J147" s="306" t="s">
        <v>206</v>
      </c>
      <c r="K147" s="306" t="s">
        <v>272</v>
      </c>
      <c r="L147" s="41" t="s">
        <v>413</v>
      </c>
      <c r="M147" s="219">
        <f>COUNTA(D147)*COUNTA(F147)*COUNTA(J147)*COUNTA(L147)</f>
        <v>1</v>
      </c>
      <c r="N147" s="218">
        <v>45860</v>
      </c>
      <c r="O147" s="34" t="s">
        <v>53</v>
      </c>
      <c r="P147" s="36" t="s">
        <v>527</v>
      </c>
      <c r="Q147" s="36" t="s">
        <v>414</v>
      </c>
      <c r="R147" s="36"/>
      <c r="S147" s="224"/>
      <c r="T147" s="225" t="s">
        <v>51</v>
      </c>
      <c r="U147" s="226" t="s">
        <v>528</v>
      </c>
      <c r="V147" s="226">
        <v>400</v>
      </c>
      <c r="W147" s="303" t="s">
        <v>279</v>
      </c>
      <c r="X147" s="220">
        <v>45860</v>
      </c>
      <c r="Y147" s="34" t="s">
        <v>53</v>
      </c>
      <c r="Z147" s="227"/>
      <c r="AA147" s="220">
        <v>46000</v>
      </c>
      <c r="AB147" s="221" t="s">
        <v>54</v>
      </c>
      <c r="AC147" s="254"/>
      <c r="AD147" s="251"/>
      <c r="AE147" s="251"/>
      <c r="AF147" s="251"/>
      <c r="AG147" s="249"/>
    </row>
    <row r="148" spans="1:33" ht="15" customHeight="1" x14ac:dyDescent="0.25">
      <c r="A148" s="32" t="s">
        <v>559</v>
      </c>
      <c r="B148" s="306" t="str">
        <f>IF((COUNTBLANK(AA148)=0),Stats!$E$7,IF((COUNTBLANK(N148)=0),IF((COUNTBLANK(X148)=0),IF((COUNTBLANK(AD148)=0),Stats!$E$6,Stats!$E$5),Stats!$E$4),""))</f>
        <v>Death</v>
      </c>
      <c r="C148" s="307" t="s">
        <v>560</v>
      </c>
      <c r="D148" s="218">
        <v>45845</v>
      </c>
      <c r="E148" s="301">
        <f t="shared" ca="1" si="8"/>
        <v>294</v>
      </c>
      <c r="F148" s="306" t="s">
        <v>561</v>
      </c>
      <c r="G148" s="308" t="s">
        <v>464</v>
      </c>
      <c r="H148" s="306" t="s">
        <v>261</v>
      </c>
      <c r="I148" s="306" t="s">
        <v>44</v>
      </c>
      <c r="J148" s="306" t="s">
        <v>206</v>
      </c>
      <c r="K148" s="306" t="s">
        <v>272</v>
      </c>
      <c r="L148" s="41" t="s">
        <v>240</v>
      </c>
      <c r="M148" s="219">
        <f>COUNTA(D148)*COUNTA(#REF!)*COUNTA(J148)*COUNTA(L148)</f>
        <v>1</v>
      </c>
      <c r="N148" s="218">
        <v>45920</v>
      </c>
      <c r="O148" s="34" t="s">
        <v>53</v>
      </c>
      <c r="S148" s="224"/>
      <c r="T148" s="225"/>
      <c r="U148" s="226"/>
      <c r="V148" s="226"/>
      <c r="W148" s="303"/>
      <c r="X148" s="220"/>
      <c r="Z148" s="227"/>
      <c r="AA148" s="220">
        <v>45926</v>
      </c>
      <c r="AB148" s="221" t="s">
        <v>54</v>
      </c>
      <c r="AC148" s="229" t="s">
        <v>560</v>
      </c>
      <c r="AD148" s="230"/>
      <c r="AE148" s="230"/>
      <c r="AF148" s="230"/>
      <c r="AG148" s="227"/>
    </row>
    <row r="149" spans="1:33" s="256" customFormat="1" ht="15" customHeight="1" x14ac:dyDescent="0.25">
      <c r="A149" s="32" t="s">
        <v>562</v>
      </c>
      <c r="B149" s="306" t="str">
        <f>IF((COUNTBLANK(AA149)=0),Stats!$E$7,IF((COUNTBLANK(N149)=0),IF((COUNTBLANK(X149)=0),IF((COUNTBLANK(AD149)=0),Stats!$E$6,Stats!$E$5),Stats!$E$4),""))</f>
        <v>Death</v>
      </c>
      <c r="C149" s="307" t="s">
        <v>204</v>
      </c>
      <c r="D149" s="218">
        <v>45845</v>
      </c>
      <c r="E149" s="301">
        <f t="shared" ca="1" si="8"/>
        <v>294</v>
      </c>
      <c r="F149" s="306" t="s">
        <v>563</v>
      </c>
      <c r="G149" s="308" t="s">
        <v>564</v>
      </c>
      <c r="H149" s="306" t="s">
        <v>565</v>
      </c>
      <c r="I149" s="306" t="s">
        <v>114</v>
      </c>
      <c r="J149" s="306" t="s">
        <v>206</v>
      </c>
      <c r="K149" s="306" t="s">
        <v>272</v>
      </c>
      <c r="L149" s="41" t="s">
        <v>240</v>
      </c>
      <c r="M149" s="219">
        <f t="shared" ref="M149:M212" si="10">COUNTA(D149)*COUNTA(F149)*COUNTA(J149)*COUNTA(L149)</f>
        <v>1</v>
      </c>
      <c r="N149" s="218">
        <v>45849</v>
      </c>
      <c r="O149" s="34" t="s">
        <v>53</v>
      </c>
      <c r="P149" s="36" t="s">
        <v>242</v>
      </c>
      <c r="Q149" s="36"/>
      <c r="R149" s="36"/>
      <c r="S149" s="224"/>
      <c r="T149" s="225" t="s">
        <v>51</v>
      </c>
      <c r="U149" s="226" t="s">
        <v>273</v>
      </c>
      <c r="V149" s="226">
        <v>400</v>
      </c>
      <c r="W149" s="303" t="s">
        <v>243</v>
      </c>
      <c r="X149" s="220">
        <v>45849</v>
      </c>
      <c r="Y149" s="34" t="s">
        <v>53</v>
      </c>
      <c r="Z149" s="227"/>
      <c r="AA149" s="220">
        <v>45925</v>
      </c>
      <c r="AB149" s="221" t="s">
        <v>54</v>
      </c>
      <c r="AC149" s="254" t="s">
        <v>449</v>
      </c>
      <c r="AD149" s="251"/>
      <c r="AE149" s="251"/>
      <c r="AF149" s="251"/>
      <c r="AG149" s="249"/>
    </row>
    <row r="150" spans="1:33" ht="15" customHeight="1" x14ac:dyDescent="0.25">
      <c r="A150" s="32" t="s">
        <v>566</v>
      </c>
      <c r="B150" s="306" t="str">
        <f>IF((COUNTBLANK(AA150)=0),Stats!$E$7,IF((COUNTBLANK(N150)=0),IF((COUNTBLANK(X150)=0),IF((COUNTBLANK(AD150)=0),Stats!$E$6,Stats!$E$5),Stats!$E$4),""))</f>
        <v>Death</v>
      </c>
      <c r="C150" s="307" t="str">
        <f>IF(B150=Stats!$E$5,Stats!$E$11,"")</f>
        <v/>
      </c>
      <c r="D150" s="218">
        <v>45845</v>
      </c>
      <c r="E150" s="301">
        <f t="shared" ca="1" si="8"/>
        <v>294</v>
      </c>
      <c r="F150" s="306" t="s">
        <v>567</v>
      </c>
      <c r="G150" s="308" t="s">
        <v>564</v>
      </c>
      <c r="H150" s="306" t="s">
        <v>565</v>
      </c>
      <c r="I150" s="306" t="s">
        <v>114</v>
      </c>
      <c r="J150" s="306" t="s">
        <v>206</v>
      </c>
      <c r="K150" s="306" t="s">
        <v>272</v>
      </c>
      <c r="L150" s="41" t="s">
        <v>240</v>
      </c>
      <c r="M150" s="219">
        <f t="shared" si="10"/>
        <v>1</v>
      </c>
      <c r="N150" s="218"/>
      <c r="S150" s="224"/>
      <c r="T150" s="225"/>
      <c r="U150" s="226"/>
      <c r="V150" s="226"/>
      <c r="W150" s="303"/>
      <c r="X150" s="220"/>
      <c r="Z150" s="227"/>
      <c r="AA150" s="220">
        <v>45925</v>
      </c>
      <c r="AB150" s="221" t="s">
        <v>54</v>
      </c>
      <c r="AC150" s="229"/>
      <c r="AD150" s="230"/>
      <c r="AE150" s="230"/>
      <c r="AF150" s="230"/>
      <c r="AG150" s="227"/>
    </row>
    <row r="151" spans="1:33" ht="15" customHeight="1" x14ac:dyDescent="0.25">
      <c r="A151" s="32" t="s">
        <v>568</v>
      </c>
      <c r="B151" s="306" t="str">
        <f>IF((COUNTBLANK(AA151)=0),Stats!$E$7,IF((COUNTBLANK(N151)=0),IF((COUNTBLANK(X151)=0),IF((COUNTBLANK(AD151)=0),Stats!$E$6,Stats!$E$5),Stats!$E$4),""))</f>
        <v>Death</v>
      </c>
      <c r="C151" s="307" t="str">
        <f>IF(B151=Stats!$E$5,Stats!$E$11,"")</f>
        <v/>
      </c>
      <c r="D151" s="218">
        <v>45845</v>
      </c>
      <c r="E151" s="301">
        <f t="shared" ca="1" si="8"/>
        <v>294</v>
      </c>
      <c r="F151" s="306" t="s">
        <v>569</v>
      </c>
      <c r="G151" s="308" t="s">
        <v>564</v>
      </c>
      <c r="H151" s="306" t="s">
        <v>565</v>
      </c>
      <c r="I151" s="306" t="s">
        <v>114</v>
      </c>
      <c r="J151" s="306" t="s">
        <v>206</v>
      </c>
      <c r="K151" s="306" t="s">
        <v>272</v>
      </c>
      <c r="L151" s="41" t="s">
        <v>240</v>
      </c>
      <c r="M151" s="219">
        <f t="shared" si="10"/>
        <v>1</v>
      </c>
      <c r="N151" s="218"/>
      <c r="S151" s="224"/>
      <c r="T151" s="225"/>
      <c r="U151" s="226"/>
      <c r="V151" s="226"/>
      <c r="W151" s="303"/>
      <c r="X151" s="220"/>
      <c r="Z151" s="227"/>
      <c r="AA151" s="220">
        <v>45925</v>
      </c>
      <c r="AB151" s="221" t="s">
        <v>54</v>
      </c>
      <c r="AC151" s="229"/>
      <c r="AD151" s="230"/>
      <c r="AE151" s="230"/>
      <c r="AF151" s="230"/>
      <c r="AG151" s="227"/>
    </row>
    <row r="152" spans="1:33" ht="15" customHeight="1" x14ac:dyDescent="0.25">
      <c r="A152" s="32" t="s">
        <v>570</v>
      </c>
      <c r="B152" s="306" t="str">
        <f>IF((COUNTBLANK(AA152)=0),Stats!$E$7,IF((COUNTBLANK(N152)=0),IF((COUNTBLANK(X152)=0),IF((COUNTBLANK(AD152)=0),Stats!$E$6,Stats!$E$5),Stats!$E$4),""))</f>
        <v>Death</v>
      </c>
      <c r="C152" s="307" t="str">
        <f>IF(B152=Stats!$E$5,Stats!$E$11,"")</f>
        <v/>
      </c>
      <c r="D152" s="218">
        <v>45845</v>
      </c>
      <c r="E152" s="301">
        <f t="shared" ca="1" si="8"/>
        <v>294</v>
      </c>
      <c r="F152" s="306" t="s">
        <v>571</v>
      </c>
      <c r="G152" s="308" t="s">
        <v>564</v>
      </c>
      <c r="H152" s="306" t="s">
        <v>565</v>
      </c>
      <c r="I152" s="306" t="s">
        <v>114</v>
      </c>
      <c r="J152" s="306" t="s">
        <v>206</v>
      </c>
      <c r="K152" s="306" t="s">
        <v>272</v>
      </c>
      <c r="L152" s="41" t="s">
        <v>240</v>
      </c>
      <c r="M152" s="219">
        <f t="shared" si="10"/>
        <v>1</v>
      </c>
      <c r="N152" s="218"/>
      <c r="S152" s="224"/>
      <c r="T152" s="225"/>
      <c r="U152" s="226"/>
      <c r="V152" s="226"/>
      <c r="W152" s="303"/>
      <c r="X152" s="220"/>
      <c r="Z152" s="227"/>
      <c r="AA152" s="220">
        <v>45925</v>
      </c>
      <c r="AB152" s="221" t="s">
        <v>54</v>
      </c>
      <c r="AC152" s="229"/>
      <c r="AD152" s="230"/>
      <c r="AE152" s="230"/>
      <c r="AF152" s="230"/>
      <c r="AG152" s="227"/>
    </row>
    <row r="153" spans="1:33" ht="15" customHeight="1" x14ac:dyDescent="0.25">
      <c r="A153" s="32" t="s">
        <v>572</v>
      </c>
      <c r="B153" s="306" t="str">
        <f>IF((COUNTBLANK(AA153)=0),Stats!$E$7,IF((COUNTBLANK(N153)=0),IF((COUNTBLANK(X153)=0),IF((COUNTBLANK(AD153)=0),Stats!$E$6,Stats!$E$5),Stats!$E$4),""))</f>
        <v>Death</v>
      </c>
      <c r="C153" s="307" t="s">
        <v>192</v>
      </c>
      <c r="D153" s="218">
        <v>45849</v>
      </c>
      <c r="E153" s="301">
        <f t="shared" ca="1" si="8"/>
        <v>267</v>
      </c>
      <c r="F153" s="306" t="s">
        <v>573</v>
      </c>
      <c r="G153" s="308" t="s">
        <v>574</v>
      </c>
      <c r="H153" s="306" t="s">
        <v>152</v>
      </c>
      <c r="I153" s="306" t="s">
        <v>114</v>
      </c>
      <c r="J153" s="306" t="s">
        <v>206</v>
      </c>
      <c r="K153" s="306" t="s">
        <v>321</v>
      </c>
      <c r="L153" s="41" t="s">
        <v>284</v>
      </c>
      <c r="M153" s="219">
        <f t="shared" si="10"/>
        <v>1</v>
      </c>
      <c r="N153" s="218"/>
      <c r="S153" s="224"/>
      <c r="T153" s="225"/>
      <c r="U153" s="226"/>
      <c r="V153" s="226"/>
      <c r="W153" s="303"/>
      <c r="X153" s="220"/>
      <c r="Z153" s="227"/>
      <c r="AA153" s="220">
        <v>45869</v>
      </c>
      <c r="AB153" s="221" t="s">
        <v>75</v>
      </c>
      <c r="AC153" s="229"/>
      <c r="AD153" s="230"/>
      <c r="AE153" s="230"/>
      <c r="AF153" s="230"/>
      <c r="AG153" s="227"/>
    </row>
    <row r="154" spans="1:33" ht="15" customHeight="1" x14ac:dyDescent="0.25">
      <c r="A154" s="32" t="s">
        <v>575</v>
      </c>
      <c r="B154" s="306" t="str">
        <f>IF((COUNTBLANK(AA154)=0),Stats!$E$7,IF((COUNTBLANK(N154)=0),IF((COUNTBLANK(X154)=0),IF((COUNTBLANK(AD154)=0),Stats!$E$6,Stats!$E$5),Stats!$E$4),""))</f>
        <v>Death</v>
      </c>
      <c r="C154" s="307" t="str">
        <f>IF(B154=Stats!$E$5,Stats!$E$11,"")</f>
        <v/>
      </c>
      <c r="D154" s="218">
        <v>45849</v>
      </c>
      <c r="E154" s="301">
        <f t="shared" ca="1" si="8"/>
        <v>267</v>
      </c>
      <c r="F154" s="306" t="s">
        <v>576</v>
      </c>
      <c r="G154" s="308" t="s">
        <v>574</v>
      </c>
      <c r="H154" s="306" t="s">
        <v>152</v>
      </c>
      <c r="I154" s="306" t="s">
        <v>114</v>
      </c>
      <c r="J154" s="306" t="s">
        <v>206</v>
      </c>
      <c r="K154" s="306" t="s">
        <v>321</v>
      </c>
      <c r="L154" s="41" t="s">
        <v>284</v>
      </c>
      <c r="M154" s="219">
        <f t="shared" si="10"/>
        <v>1</v>
      </c>
      <c r="N154" s="218">
        <v>45902</v>
      </c>
      <c r="O154" s="34" t="s">
        <v>285</v>
      </c>
      <c r="P154" s="36" t="s">
        <v>501</v>
      </c>
      <c r="S154" s="224"/>
      <c r="T154" s="225" t="s">
        <v>51</v>
      </c>
      <c r="U154" s="226" t="s">
        <v>577</v>
      </c>
      <c r="V154" s="226">
        <v>500</v>
      </c>
      <c r="W154" s="303" t="s">
        <v>279</v>
      </c>
      <c r="X154" s="220">
        <v>45902</v>
      </c>
      <c r="Y154" s="34" t="s">
        <v>285</v>
      </c>
      <c r="Z154" s="227"/>
      <c r="AA154" s="220">
        <v>46031</v>
      </c>
      <c r="AB154" s="221" t="s">
        <v>54</v>
      </c>
      <c r="AC154" s="229"/>
      <c r="AD154" s="230"/>
      <c r="AE154" s="230"/>
      <c r="AF154" s="230"/>
      <c r="AG154" s="227"/>
    </row>
    <row r="155" spans="1:33" s="256" customFormat="1" ht="15" customHeight="1" x14ac:dyDescent="0.25">
      <c r="A155" s="32" t="s">
        <v>578</v>
      </c>
      <c r="B155" s="306" t="str">
        <f>IF((COUNTBLANK(AA155)=0),Stats!$E$7,IF((COUNTBLANK(N155)=0),IF((COUNTBLANK(X155)=0),IF((COUNTBLANK(AD155)=0),Stats!$E$6,Stats!$E$5),Stats!$E$4),""))</f>
        <v>Check-up</v>
      </c>
      <c r="C155" s="307" t="s">
        <v>204</v>
      </c>
      <c r="D155" s="218">
        <v>45856</v>
      </c>
      <c r="E155" s="301">
        <f t="shared" ca="1" si="8"/>
        <v>286</v>
      </c>
      <c r="F155" s="306" t="s">
        <v>579</v>
      </c>
      <c r="G155" s="308" t="s">
        <v>580</v>
      </c>
      <c r="H155" s="306" t="s">
        <v>43</v>
      </c>
      <c r="I155" s="306" t="s">
        <v>114</v>
      </c>
      <c r="J155" s="306" t="s">
        <v>206</v>
      </c>
      <c r="K155" s="306" t="s">
        <v>581</v>
      </c>
      <c r="L155" s="41" t="s">
        <v>413</v>
      </c>
      <c r="M155" s="219">
        <f t="shared" si="10"/>
        <v>1</v>
      </c>
      <c r="N155" s="218">
        <v>45860</v>
      </c>
      <c r="O155" s="34" t="s">
        <v>53</v>
      </c>
      <c r="P155" s="36" t="s">
        <v>527</v>
      </c>
      <c r="Q155" s="36" t="s">
        <v>181</v>
      </c>
      <c r="R155" s="36" t="s">
        <v>471</v>
      </c>
      <c r="S155" s="224"/>
      <c r="T155" s="225" t="s">
        <v>51</v>
      </c>
      <c r="U155" s="226" t="s">
        <v>582</v>
      </c>
      <c r="V155" s="226">
        <v>400</v>
      </c>
      <c r="W155" s="303" t="s">
        <v>243</v>
      </c>
      <c r="X155" s="220">
        <v>45860</v>
      </c>
      <c r="Y155" s="34" t="s">
        <v>53</v>
      </c>
      <c r="Z155" s="227"/>
      <c r="AA155" s="220"/>
      <c r="AB155" s="221"/>
      <c r="AC155" s="254" t="s">
        <v>583</v>
      </c>
      <c r="AD155" s="251"/>
      <c r="AE155" s="251"/>
      <c r="AF155" s="251"/>
      <c r="AG155" s="249"/>
    </row>
    <row r="156" spans="1:33" s="256" customFormat="1" ht="15" customHeight="1" x14ac:dyDescent="0.25">
      <c r="A156" s="32" t="s">
        <v>584</v>
      </c>
      <c r="B156" s="306" t="str">
        <f>IF((COUNTBLANK(AA156)=0),Stats!$E$7,IF((COUNTBLANK(N156)=0),IF((COUNTBLANK(X156)=0),IF((COUNTBLANK(AD156)=0),Stats!$E$6,Stats!$E$5),Stats!$E$4),""))</f>
        <v>Check-up</v>
      </c>
      <c r="C156" s="307" t="s">
        <v>204</v>
      </c>
      <c r="D156" s="218">
        <v>45856</v>
      </c>
      <c r="E156" s="301">
        <f t="shared" ca="1" si="8"/>
        <v>286</v>
      </c>
      <c r="F156" s="306" t="s">
        <v>585</v>
      </c>
      <c r="G156" s="308" t="s">
        <v>580</v>
      </c>
      <c r="H156" s="306" t="s">
        <v>43</v>
      </c>
      <c r="I156" s="306" t="s">
        <v>114</v>
      </c>
      <c r="J156" s="306" t="s">
        <v>206</v>
      </c>
      <c r="K156" s="306" t="s">
        <v>581</v>
      </c>
      <c r="L156" s="41" t="s">
        <v>413</v>
      </c>
      <c r="M156" s="219">
        <f t="shared" si="10"/>
        <v>1</v>
      </c>
      <c r="N156" s="218">
        <v>45860</v>
      </c>
      <c r="O156" s="34" t="s">
        <v>53</v>
      </c>
      <c r="P156" s="36" t="s">
        <v>527</v>
      </c>
      <c r="Q156" s="36" t="s">
        <v>181</v>
      </c>
      <c r="R156" s="36" t="s">
        <v>471</v>
      </c>
      <c r="S156" s="224"/>
      <c r="T156" s="225" t="s">
        <v>51</v>
      </c>
      <c r="U156" s="226" t="s">
        <v>582</v>
      </c>
      <c r="V156" s="226">
        <v>400</v>
      </c>
      <c r="W156" s="303" t="s">
        <v>249</v>
      </c>
      <c r="X156" s="220">
        <v>45860</v>
      </c>
      <c r="Y156" s="34" t="s">
        <v>53</v>
      </c>
      <c r="Z156" s="227"/>
      <c r="AA156" s="220"/>
      <c r="AB156" s="221"/>
      <c r="AC156" s="254" t="s">
        <v>583</v>
      </c>
      <c r="AD156" s="251"/>
      <c r="AE156" s="251"/>
      <c r="AF156" s="251"/>
      <c r="AG156" s="249"/>
    </row>
    <row r="157" spans="1:33" s="256" customFormat="1" ht="15" customHeight="1" x14ac:dyDescent="0.25">
      <c r="A157" s="32" t="s">
        <v>586</v>
      </c>
      <c r="B157" s="306" t="str">
        <f>IF((COUNTBLANK(AA157)=0),Stats!$E$7,IF((COUNTBLANK(N157)=0),IF((COUNTBLANK(X157)=0),IF((COUNTBLANK(AD157)=0),Stats!$E$6,Stats!$E$5),Stats!$E$4),""))</f>
        <v>Check-up</v>
      </c>
      <c r="C157" s="307" t="s">
        <v>204</v>
      </c>
      <c r="D157" s="218">
        <v>45856</v>
      </c>
      <c r="E157" s="301">
        <f t="shared" ca="1" si="8"/>
        <v>286</v>
      </c>
      <c r="F157" s="306" t="s">
        <v>587</v>
      </c>
      <c r="G157" s="308" t="s">
        <v>580</v>
      </c>
      <c r="H157" s="306" t="s">
        <v>43</v>
      </c>
      <c r="I157" s="306" t="s">
        <v>114</v>
      </c>
      <c r="J157" s="306" t="s">
        <v>206</v>
      </c>
      <c r="K157" s="306" t="s">
        <v>581</v>
      </c>
      <c r="L157" s="41" t="s">
        <v>413</v>
      </c>
      <c r="M157" s="219">
        <f t="shared" si="10"/>
        <v>1</v>
      </c>
      <c r="N157" s="218">
        <v>45860</v>
      </c>
      <c r="O157" s="34" t="s">
        <v>53</v>
      </c>
      <c r="P157" s="36" t="s">
        <v>527</v>
      </c>
      <c r="Q157" s="36" t="s">
        <v>181</v>
      </c>
      <c r="R157" s="36" t="s">
        <v>471</v>
      </c>
      <c r="S157" s="224"/>
      <c r="T157" s="225" t="s">
        <v>51</v>
      </c>
      <c r="U157" s="226" t="s">
        <v>582</v>
      </c>
      <c r="V157" s="226">
        <v>400</v>
      </c>
      <c r="W157" s="303" t="s">
        <v>291</v>
      </c>
      <c r="X157" s="220">
        <v>45860</v>
      </c>
      <c r="Y157" s="34" t="s">
        <v>53</v>
      </c>
      <c r="Z157" s="227"/>
      <c r="AA157" s="220"/>
      <c r="AB157" s="221"/>
      <c r="AC157" s="254" t="s">
        <v>583</v>
      </c>
      <c r="AD157" s="251"/>
      <c r="AE157" s="251"/>
      <c r="AF157" s="251"/>
      <c r="AG157" s="249"/>
    </row>
    <row r="158" spans="1:33" s="256" customFormat="1" ht="15" customHeight="1" x14ac:dyDescent="0.25">
      <c r="A158" s="32" t="s">
        <v>588</v>
      </c>
      <c r="B158" s="306" t="str">
        <f>IF((COUNTBLANK(AA158)=0),Stats!$E$7,IF((COUNTBLANK(N158)=0),IF((COUNTBLANK(X158)=0),IF((COUNTBLANK(AD158)=0),Stats!$E$6,Stats!$E$5),Stats!$E$4),""))</f>
        <v>Check-up</v>
      </c>
      <c r="C158" s="307" t="s">
        <v>204</v>
      </c>
      <c r="D158" s="218">
        <v>45856</v>
      </c>
      <c r="E158" s="301">
        <f t="shared" ca="1" si="8"/>
        <v>286</v>
      </c>
      <c r="F158" s="306" t="s">
        <v>589</v>
      </c>
      <c r="G158" s="308" t="s">
        <v>580</v>
      </c>
      <c r="H158" s="306" t="s">
        <v>43</v>
      </c>
      <c r="I158" s="306" t="s">
        <v>114</v>
      </c>
      <c r="J158" s="306" t="s">
        <v>206</v>
      </c>
      <c r="K158" s="306" t="s">
        <v>581</v>
      </c>
      <c r="L158" s="41" t="s">
        <v>413</v>
      </c>
      <c r="M158" s="219">
        <f t="shared" si="10"/>
        <v>1</v>
      </c>
      <c r="N158" s="218">
        <v>45861</v>
      </c>
      <c r="O158" s="34" t="s">
        <v>53</v>
      </c>
      <c r="P158" s="36"/>
      <c r="Q158" s="36"/>
      <c r="R158" s="36"/>
      <c r="S158" s="224"/>
      <c r="T158" s="225" t="s">
        <v>51</v>
      </c>
      <c r="U158" s="226" t="s">
        <v>582</v>
      </c>
      <c r="V158" s="226">
        <v>400</v>
      </c>
      <c r="W158" s="303" t="s">
        <v>279</v>
      </c>
      <c r="X158" s="220">
        <v>45861</v>
      </c>
      <c r="Y158" s="34" t="s">
        <v>53</v>
      </c>
      <c r="Z158" s="227"/>
      <c r="AA158" s="220"/>
      <c r="AB158" s="221"/>
      <c r="AC158" s="254" t="s">
        <v>583</v>
      </c>
      <c r="AD158" s="251"/>
      <c r="AE158" s="251"/>
      <c r="AF158" s="251"/>
      <c r="AG158" s="249"/>
    </row>
    <row r="159" spans="1:33" ht="15" customHeight="1" x14ac:dyDescent="0.25">
      <c r="A159" s="32" t="s">
        <v>590</v>
      </c>
      <c r="B159" s="306" t="str">
        <f>IF((COUNTBLANK(AA159)=0),Stats!$E$7,IF((COUNTBLANK(N159)=0),IF((COUNTBLANK(X159)=0),IF((COUNTBLANK(AD159)=0),Stats!$E$6,Stats!$E$5),Stats!$E$4),""))</f>
        <v>Check-up</v>
      </c>
      <c r="C159" s="307" t="str">
        <f>IF(B159=Stats!$E$5,Stats!$E$11,"")</f>
        <v>To define</v>
      </c>
      <c r="D159" s="218">
        <v>45856</v>
      </c>
      <c r="E159" s="301">
        <f t="shared" ca="1" si="8"/>
        <v>280</v>
      </c>
      <c r="F159" s="306" t="s">
        <v>591</v>
      </c>
      <c r="G159" s="308" t="s">
        <v>592</v>
      </c>
      <c r="H159" s="306" t="s">
        <v>43</v>
      </c>
      <c r="I159" s="306" t="s">
        <v>44</v>
      </c>
      <c r="J159" s="306" t="s">
        <v>206</v>
      </c>
      <c r="K159" s="306" t="s">
        <v>581</v>
      </c>
      <c r="L159" s="41" t="s">
        <v>413</v>
      </c>
      <c r="M159" s="219">
        <f t="shared" si="10"/>
        <v>1</v>
      </c>
      <c r="N159" s="218">
        <v>45964</v>
      </c>
      <c r="O159" s="34" t="s">
        <v>53</v>
      </c>
      <c r="P159" s="36" t="s">
        <v>593</v>
      </c>
      <c r="Q159" s="36" t="s">
        <v>471</v>
      </c>
      <c r="R159" s="36" t="s">
        <v>594</v>
      </c>
      <c r="S159" s="224"/>
      <c r="T159" s="225" t="s">
        <v>51</v>
      </c>
      <c r="U159" s="226" t="s">
        <v>582</v>
      </c>
      <c r="V159" s="226">
        <v>400</v>
      </c>
      <c r="W159" s="303" t="s">
        <v>243</v>
      </c>
      <c r="X159" s="220">
        <v>45964</v>
      </c>
      <c r="Y159" s="34" t="s">
        <v>53</v>
      </c>
      <c r="Z159" s="227"/>
      <c r="AA159" s="220"/>
      <c r="AB159" s="221"/>
      <c r="AC159" s="229"/>
      <c r="AD159" s="230"/>
      <c r="AE159" s="230"/>
      <c r="AF159" s="230"/>
      <c r="AG159" s="227"/>
    </row>
    <row r="160" spans="1:33" ht="15" customHeight="1" x14ac:dyDescent="0.25">
      <c r="A160" s="32" t="s">
        <v>595</v>
      </c>
      <c r="B160" s="306" t="str">
        <f>IF((COUNTBLANK(AA160)=0),Stats!$E$7,IF((COUNTBLANK(N160)=0),IF((COUNTBLANK(X160)=0),IF((COUNTBLANK(AD160)=0),Stats!$E$6,Stats!$E$5),Stats!$E$4),""))</f>
        <v>Check-up</v>
      </c>
      <c r="C160" s="307" t="str">
        <f>IF(B160=Stats!$E$5,Stats!$E$11,"")</f>
        <v>To define</v>
      </c>
      <c r="D160" s="218">
        <v>45856</v>
      </c>
      <c r="E160" s="301">
        <f t="shared" ca="1" si="8"/>
        <v>280</v>
      </c>
      <c r="F160" s="306" t="s">
        <v>596</v>
      </c>
      <c r="G160" s="308" t="s">
        <v>592</v>
      </c>
      <c r="H160" s="306" t="s">
        <v>43</v>
      </c>
      <c r="I160" s="306" t="s">
        <v>44</v>
      </c>
      <c r="J160" s="306" t="s">
        <v>206</v>
      </c>
      <c r="K160" s="306" t="s">
        <v>581</v>
      </c>
      <c r="L160" s="41" t="s">
        <v>413</v>
      </c>
      <c r="M160" s="219">
        <f t="shared" si="10"/>
        <v>1</v>
      </c>
      <c r="N160" s="218">
        <v>45964</v>
      </c>
      <c r="O160" s="34" t="s">
        <v>53</v>
      </c>
      <c r="P160" s="36" t="s">
        <v>593</v>
      </c>
      <c r="Q160" s="36" t="s">
        <v>471</v>
      </c>
      <c r="R160" s="36" t="s">
        <v>594</v>
      </c>
      <c r="S160" s="224"/>
      <c r="T160" s="225" t="s">
        <v>51</v>
      </c>
      <c r="U160" s="226" t="s">
        <v>582</v>
      </c>
      <c r="V160" s="226">
        <v>400</v>
      </c>
      <c r="W160" s="303" t="s">
        <v>249</v>
      </c>
      <c r="X160" s="220">
        <v>45964</v>
      </c>
      <c r="Y160" s="34" t="s">
        <v>53</v>
      </c>
      <c r="Z160" s="227"/>
      <c r="AA160" s="220"/>
      <c r="AB160" s="221"/>
      <c r="AC160" s="229"/>
      <c r="AD160" s="230"/>
      <c r="AE160" s="230"/>
      <c r="AF160" s="230"/>
      <c r="AG160" s="227"/>
    </row>
    <row r="161" spans="1:33" ht="15" customHeight="1" x14ac:dyDescent="0.25">
      <c r="A161" s="32" t="s">
        <v>597</v>
      </c>
      <c r="B161" s="306" t="str">
        <f>IF((COUNTBLANK(AA161)=0),Stats!$E$7,IF((COUNTBLANK(N161)=0),IF((COUNTBLANK(X161)=0),IF((COUNTBLANK(AD161)=0),Stats!$E$6,Stats!$E$5),Stats!$E$4),""))</f>
        <v>Check-up</v>
      </c>
      <c r="C161" s="307" t="str">
        <f>IF(B161=Stats!$E$5,Stats!$E$11,"")</f>
        <v>To define</v>
      </c>
      <c r="D161" s="218">
        <v>45856</v>
      </c>
      <c r="E161" s="301">
        <f t="shared" ca="1" si="8"/>
        <v>280</v>
      </c>
      <c r="F161" s="306" t="s">
        <v>598</v>
      </c>
      <c r="G161" s="308" t="s">
        <v>592</v>
      </c>
      <c r="H161" s="306" t="s">
        <v>43</v>
      </c>
      <c r="I161" s="306" t="s">
        <v>44</v>
      </c>
      <c r="J161" s="306" t="s">
        <v>206</v>
      </c>
      <c r="K161" s="306" t="s">
        <v>581</v>
      </c>
      <c r="L161" s="41" t="s">
        <v>413</v>
      </c>
      <c r="M161" s="219">
        <f t="shared" si="10"/>
        <v>1</v>
      </c>
      <c r="N161" s="218">
        <v>45964</v>
      </c>
      <c r="O161" s="34" t="s">
        <v>53</v>
      </c>
      <c r="P161" s="36" t="s">
        <v>593</v>
      </c>
      <c r="Q161" s="36" t="s">
        <v>471</v>
      </c>
      <c r="R161" s="36" t="s">
        <v>594</v>
      </c>
      <c r="S161" s="224"/>
      <c r="T161" s="225" t="s">
        <v>51</v>
      </c>
      <c r="U161" s="226" t="s">
        <v>582</v>
      </c>
      <c r="V161" s="226">
        <v>400</v>
      </c>
      <c r="W161" s="303" t="s">
        <v>291</v>
      </c>
      <c r="X161" s="220">
        <v>45964</v>
      </c>
      <c r="Y161" s="34" t="s">
        <v>53</v>
      </c>
      <c r="Z161" s="227"/>
      <c r="AA161" s="220"/>
      <c r="AB161" s="221"/>
      <c r="AC161" s="229"/>
      <c r="AD161" s="230"/>
      <c r="AE161" s="230"/>
      <c r="AF161" s="230"/>
      <c r="AG161" s="227"/>
    </row>
    <row r="162" spans="1:33" ht="15" customHeight="1" x14ac:dyDescent="0.25">
      <c r="A162" s="32" t="s">
        <v>599</v>
      </c>
      <c r="B162" s="306" t="str">
        <f>IF((COUNTBLANK(AA162)=0),Stats!$E$7,IF((COUNTBLANK(N162)=0),IF((COUNTBLANK(X162)=0),IF((COUNTBLANK(AD162)=0),Stats!$E$6,Stats!$E$5),Stats!$E$4),""))</f>
        <v>Check-up</v>
      </c>
      <c r="C162" s="307" t="str">
        <f>IF(B162=Stats!$E$5,Stats!$E$11,"")</f>
        <v>To define</v>
      </c>
      <c r="D162" s="218">
        <v>45856</v>
      </c>
      <c r="E162" s="301">
        <f t="shared" ca="1" si="8"/>
        <v>280</v>
      </c>
      <c r="F162" s="306" t="s">
        <v>600</v>
      </c>
      <c r="G162" s="308" t="s">
        <v>592</v>
      </c>
      <c r="H162" s="306" t="s">
        <v>43</v>
      </c>
      <c r="I162" s="306" t="s">
        <v>44</v>
      </c>
      <c r="J162" s="306" t="s">
        <v>206</v>
      </c>
      <c r="K162" s="306" t="s">
        <v>581</v>
      </c>
      <c r="L162" s="41" t="s">
        <v>413</v>
      </c>
      <c r="M162" s="219">
        <f t="shared" si="10"/>
        <v>1</v>
      </c>
      <c r="N162" s="218">
        <v>45964</v>
      </c>
      <c r="O162" s="34" t="s">
        <v>53</v>
      </c>
      <c r="P162" s="36" t="s">
        <v>593</v>
      </c>
      <c r="Q162" s="36" t="s">
        <v>471</v>
      </c>
      <c r="R162" s="36" t="s">
        <v>594</v>
      </c>
      <c r="S162" s="224"/>
      <c r="T162" s="225" t="s">
        <v>51</v>
      </c>
      <c r="U162" s="226" t="s">
        <v>582</v>
      </c>
      <c r="V162" s="226">
        <v>400</v>
      </c>
      <c r="W162" s="303" t="s">
        <v>279</v>
      </c>
      <c r="X162" s="220">
        <v>45964</v>
      </c>
      <c r="Y162" s="34" t="s">
        <v>53</v>
      </c>
      <c r="Z162" s="227"/>
      <c r="AA162" s="220"/>
      <c r="AB162" s="221"/>
      <c r="AC162" s="229"/>
      <c r="AD162" s="230"/>
      <c r="AE162" s="230"/>
      <c r="AF162" s="230"/>
      <c r="AG162" s="227"/>
    </row>
    <row r="163" spans="1:33" ht="15" customHeight="1" x14ac:dyDescent="0.25">
      <c r="A163" s="32" t="s">
        <v>601</v>
      </c>
      <c r="B163" s="306" t="str">
        <f>IF((COUNTBLANK(AA163)=0),Stats!$E$7,IF((COUNTBLANK(N163)=0),IF((COUNTBLANK(X163)=0),IF((COUNTBLANK(AD163)=0),Stats!$E$6,Stats!$E$5),Stats!$E$4),""))</f>
        <v>Death</v>
      </c>
      <c r="C163" s="307"/>
      <c r="D163" s="218">
        <v>45870</v>
      </c>
      <c r="E163" s="301">
        <f t="shared" ca="1" si="8"/>
        <v>240</v>
      </c>
      <c r="F163" s="306" t="s">
        <v>602</v>
      </c>
      <c r="G163" s="308" t="s">
        <v>603</v>
      </c>
      <c r="H163" s="306" t="s">
        <v>43</v>
      </c>
      <c r="I163" s="306" t="s">
        <v>44</v>
      </c>
      <c r="J163" s="306" t="s">
        <v>206</v>
      </c>
      <c r="K163" s="306" t="s">
        <v>272</v>
      </c>
      <c r="L163" s="41" t="s">
        <v>240</v>
      </c>
      <c r="M163" s="219">
        <f t="shared" si="10"/>
        <v>1</v>
      </c>
      <c r="N163" s="218"/>
      <c r="S163" s="224"/>
      <c r="T163" s="225"/>
      <c r="U163" s="226"/>
      <c r="V163" s="226"/>
      <c r="W163" s="303"/>
      <c r="X163" s="220"/>
      <c r="Z163" s="227"/>
      <c r="AA163" s="220">
        <v>46031</v>
      </c>
      <c r="AB163" s="221" t="s">
        <v>54</v>
      </c>
      <c r="AC163" s="229"/>
      <c r="AD163" s="230"/>
      <c r="AE163" s="230"/>
      <c r="AF163" s="230"/>
      <c r="AG163" s="227"/>
    </row>
    <row r="164" spans="1:33" ht="15" customHeight="1" x14ac:dyDescent="0.25">
      <c r="A164" s="32" t="s">
        <v>604</v>
      </c>
      <c r="B164" s="306" t="str">
        <f>IF((COUNTBLANK(AA164)=0),Stats!$E$7,IF((COUNTBLANK(N164)=0),IF((COUNTBLANK(X164)=0),IF((COUNTBLANK(AD164)=0),Stats!$E$6,Stats!$E$5),Stats!$E$4),""))</f>
        <v>Death</v>
      </c>
      <c r="C164" s="307" t="str">
        <f>IF(B164=Stats!$E$5,Stats!$E$11,"")</f>
        <v/>
      </c>
      <c r="D164" s="218">
        <v>45870</v>
      </c>
      <c r="E164" s="301">
        <f t="shared" ca="1" si="8"/>
        <v>240</v>
      </c>
      <c r="F164" s="306" t="s">
        <v>605</v>
      </c>
      <c r="G164" s="308" t="s">
        <v>603</v>
      </c>
      <c r="H164" s="306" t="s">
        <v>43</v>
      </c>
      <c r="I164" s="306" t="s">
        <v>44</v>
      </c>
      <c r="J164" s="306" t="s">
        <v>206</v>
      </c>
      <c r="K164" s="306" t="s">
        <v>272</v>
      </c>
      <c r="L164" s="41" t="s">
        <v>240</v>
      </c>
      <c r="M164" s="219">
        <f t="shared" si="10"/>
        <v>1</v>
      </c>
      <c r="N164" s="218"/>
      <c r="S164" s="224"/>
      <c r="T164" s="225"/>
      <c r="U164" s="226"/>
      <c r="V164" s="226"/>
      <c r="W164" s="303"/>
      <c r="X164" s="220"/>
      <c r="Z164" s="227"/>
      <c r="AA164" s="220">
        <v>46031</v>
      </c>
      <c r="AB164" s="221" t="s">
        <v>54</v>
      </c>
      <c r="AC164" s="229"/>
      <c r="AD164" s="230"/>
      <c r="AE164" s="230"/>
      <c r="AF164" s="230"/>
      <c r="AG164" s="227"/>
    </row>
    <row r="165" spans="1:33" ht="15" customHeight="1" x14ac:dyDescent="0.25">
      <c r="A165" s="32" t="s">
        <v>606</v>
      </c>
      <c r="B165" s="306" t="str">
        <f>IF((COUNTBLANK(AA165)=0),Stats!$E$7,IF((COUNTBLANK(N165)=0),IF((COUNTBLANK(X165)=0),IF((COUNTBLANK(AD165)=0),Stats!$E$6,Stats!$E$5),Stats!$E$4),""))</f>
        <v>Death</v>
      </c>
      <c r="C165" s="307" t="str">
        <f>IF(B165=Stats!$E$5,Stats!$E$11,"")</f>
        <v/>
      </c>
      <c r="D165" s="218">
        <v>45870</v>
      </c>
      <c r="E165" s="301">
        <f t="shared" ca="1" si="8"/>
        <v>240</v>
      </c>
      <c r="F165" s="306" t="s">
        <v>607</v>
      </c>
      <c r="G165" s="308" t="s">
        <v>603</v>
      </c>
      <c r="H165" s="306" t="s">
        <v>43</v>
      </c>
      <c r="I165" s="306" t="s">
        <v>44</v>
      </c>
      <c r="J165" s="306" t="s">
        <v>206</v>
      </c>
      <c r="K165" s="306" t="s">
        <v>272</v>
      </c>
      <c r="L165" s="41" t="s">
        <v>240</v>
      </c>
      <c r="M165" s="219">
        <f t="shared" si="10"/>
        <v>1</v>
      </c>
      <c r="N165" s="218"/>
      <c r="S165" s="224"/>
      <c r="T165" s="225"/>
      <c r="U165" s="226"/>
      <c r="V165" s="226"/>
      <c r="W165" s="303"/>
      <c r="X165" s="220"/>
      <c r="Z165" s="227"/>
      <c r="AA165" s="220">
        <v>46031</v>
      </c>
      <c r="AB165" s="221" t="s">
        <v>54</v>
      </c>
      <c r="AC165" s="229"/>
      <c r="AD165" s="230"/>
      <c r="AE165" s="230"/>
      <c r="AF165" s="230"/>
      <c r="AG165" s="227"/>
    </row>
    <row r="166" spans="1:33" ht="15" customHeight="1" x14ac:dyDescent="0.25">
      <c r="A166" s="32" t="s">
        <v>608</v>
      </c>
      <c r="B166" s="306" t="str">
        <f>IF((COUNTBLANK(AA166)=0),Stats!$E$7,IF((COUNTBLANK(N166)=0),IF((COUNTBLANK(X166)=0),IF((COUNTBLANK(AD166)=0),Stats!$E$6,Stats!$E$5),Stats!$E$4),""))</f>
        <v>Death</v>
      </c>
      <c r="C166" s="307" t="str">
        <f>IF(B166=Stats!$E$5,Stats!$E$11,"")</f>
        <v/>
      </c>
      <c r="D166" s="218">
        <v>45870</v>
      </c>
      <c r="E166" s="301">
        <f t="shared" ca="1" si="8"/>
        <v>240</v>
      </c>
      <c r="F166" s="306" t="s">
        <v>609</v>
      </c>
      <c r="G166" s="308" t="s">
        <v>603</v>
      </c>
      <c r="H166" s="306" t="s">
        <v>43</v>
      </c>
      <c r="I166" s="306" t="s">
        <v>44</v>
      </c>
      <c r="J166" s="306" t="s">
        <v>206</v>
      </c>
      <c r="K166" s="306" t="s">
        <v>272</v>
      </c>
      <c r="L166" s="41" t="s">
        <v>240</v>
      </c>
      <c r="M166" s="219">
        <f t="shared" si="10"/>
        <v>1</v>
      </c>
      <c r="N166" s="218"/>
      <c r="S166" s="224"/>
      <c r="T166" s="225"/>
      <c r="U166" s="226"/>
      <c r="V166" s="226"/>
      <c r="W166" s="303"/>
      <c r="X166" s="220"/>
      <c r="Z166" s="227"/>
      <c r="AA166" s="220">
        <v>46031</v>
      </c>
      <c r="AB166" s="221" t="s">
        <v>54</v>
      </c>
      <c r="AC166" s="229"/>
      <c r="AD166" s="230"/>
      <c r="AE166" s="230"/>
      <c r="AF166" s="230"/>
      <c r="AG166" s="227"/>
    </row>
    <row r="167" spans="1:33" ht="15" customHeight="1" x14ac:dyDescent="0.25">
      <c r="A167" s="32" t="s">
        <v>610</v>
      </c>
      <c r="B167" s="306" t="str">
        <f>IF((COUNTBLANK(AA167)=0),Stats!$E$7,IF((COUNTBLANK(N167)=0),IF((COUNTBLANK(X167)=0),IF((COUNTBLANK(AD167)=0),Stats!$E$6,Stats!$E$5),Stats!$E$4),""))</f>
        <v>Death</v>
      </c>
      <c r="C167" s="307" t="str">
        <f>IF(B167=Stats!$E$5,Stats!$E$11,"")</f>
        <v/>
      </c>
      <c r="D167" s="218">
        <v>45870</v>
      </c>
      <c r="E167" s="301">
        <f t="shared" ca="1" si="8"/>
        <v>238</v>
      </c>
      <c r="F167" s="306" t="s">
        <v>611</v>
      </c>
      <c r="G167" s="308" t="s">
        <v>612</v>
      </c>
      <c r="H167" s="306" t="s">
        <v>43</v>
      </c>
      <c r="I167" s="306" t="s">
        <v>44</v>
      </c>
      <c r="J167" s="306" t="s">
        <v>206</v>
      </c>
      <c r="K167" s="306" t="s">
        <v>272</v>
      </c>
      <c r="L167" s="41" t="s">
        <v>240</v>
      </c>
      <c r="M167" s="219">
        <f t="shared" si="10"/>
        <v>1</v>
      </c>
      <c r="N167" s="218"/>
      <c r="S167" s="224"/>
      <c r="T167" s="225"/>
      <c r="U167" s="226"/>
      <c r="V167" s="226"/>
      <c r="W167" s="303"/>
      <c r="X167" s="220"/>
      <c r="Z167" s="227"/>
      <c r="AA167" s="220">
        <v>46031</v>
      </c>
      <c r="AB167" s="221" t="s">
        <v>54</v>
      </c>
      <c r="AC167" s="229"/>
      <c r="AD167" s="230"/>
      <c r="AE167" s="230"/>
      <c r="AF167" s="230"/>
      <c r="AG167" s="227"/>
    </row>
    <row r="168" spans="1:33" ht="15" customHeight="1" x14ac:dyDescent="0.25">
      <c r="A168" s="32" t="s">
        <v>613</v>
      </c>
      <c r="B168" s="306" t="str">
        <f>IF((COUNTBLANK(AA168)=0),Stats!$E$7,IF((COUNTBLANK(N168)=0),IF((COUNTBLANK(X168)=0),IF((COUNTBLANK(AD168)=0),Stats!$E$6,Stats!$E$5),Stats!$E$4),""))</f>
        <v>Death</v>
      </c>
      <c r="C168" s="307" t="str">
        <f>IF(B168=Stats!$E$5,Stats!$E$11,"")</f>
        <v/>
      </c>
      <c r="D168" s="218">
        <v>45870</v>
      </c>
      <c r="E168" s="301">
        <f t="shared" ca="1" si="8"/>
        <v>238</v>
      </c>
      <c r="F168" s="306" t="s">
        <v>614</v>
      </c>
      <c r="G168" s="308" t="s">
        <v>612</v>
      </c>
      <c r="H168" s="306" t="s">
        <v>43</v>
      </c>
      <c r="I168" s="306" t="s">
        <v>44</v>
      </c>
      <c r="J168" s="306" t="s">
        <v>206</v>
      </c>
      <c r="K168" s="306" t="s">
        <v>272</v>
      </c>
      <c r="L168" s="41" t="s">
        <v>240</v>
      </c>
      <c r="M168" s="219">
        <f t="shared" si="10"/>
        <v>1</v>
      </c>
      <c r="N168" s="218"/>
      <c r="S168" s="224"/>
      <c r="T168" s="225"/>
      <c r="U168" s="226"/>
      <c r="V168" s="226"/>
      <c r="W168" s="303"/>
      <c r="X168" s="220"/>
      <c r="Z168" s="227"/>
      <c r="AA168" s="220">
        <v>46031</v>
      </c>
      <c r="AB168" s="221" t="s">
        <v>54</v>
      </c>
      <c r="AC168" s="229"/>
      <c r="AD168" s="230"/>
      <c r="AE168" s="230"/>
      <c r="AF168" s="230"/>
      <c r="AG168" s="227"/>
    </row>
    <row r="169" spans="1:33" ht="15" customHeight="1" x14ac:dyDescent="0.25">
      <c r="A169" s="32" t="s">
        <v>615</v>
      </c>
      <c r="B169" s="306" t="str">
        <f>IF((COUNTBLANK(AA169)=0),Stats!$E$7,IF((COUNTBLANK(N169)=0),IF((COUNTBLANK(X169)=0),IF((COUNTBLANK(AD169)=0),Stats!$E$6,Stats!$E$5),Stats!$E$4),""))</f>
        <v>Death</v>
      </c>
      <c r="C169" s="307" t="str">
        <f>IF(B169=Stats!$E$5,Stats!$E$11,"")</f>
        <v/>
      </c>
      <c r="D169" s="218">
        <v>45870</v>
      </c>
      <c r="E169" s="301">
        <f t="shared" ca="1" si="8"/>
        <v>238</v>
      </c>
      <c r="F169" s="306" t="s">
        <v>616</v>
      </c>
      <c r="G169" s="308" t="s">
        <v>612</v>
      </c>
      <c r="H169" s="306" t="s">
        <v>43</v>
      </c>
      <c r="I169" s="306" t="s">
        <v>44</v>
      </c>
      <c r="J169" s="306" t="s">
        <v>206</v>
      </c>
      <c r="K169" s="306" t="s">
        <v>272</v>
      </c>
      <c r="L169" s="41" t="s">
        <v>240</v>
      </c>
      <c r="M169" s="219">
        <f t="shared" si="10"/>
        <v>1</v>
      </c>
      <c r="N169" s="218"/>
      <c r="S169" s="224"/>
      <c r="T169" s="225"/>
      <c r="U169" s="226"/>
      <c r="V169" s="226"/>
      <c r="W169" s="303"/>
      <c r="X169" s="220"/>
      <c r="Z169" s="227"/>
      <c r="AA169" s="220">
        <v>46031</v>
      </c>
      <c r="AB169" s="221" t="s">
        <v>54</v>
      </c>
      <c r="AC169" s="229"/>
      <c r="AD169" s="230"/>
      <c r="AE169" s="230"/>
      <c r="AF169" s="230"/>
      <c r="AG169" s="227"/>
    </row>
    <row r="170" spans="1:33" ht="15" customHeight="1" x14ac:dyDescent="0.25">
      <c r="A170" s="32" t="s">
        <v>617</v>
      </c>
      <c r="B170" s="306" t="str">
        <f>IF((COUNTBLANK(AA170)=0),Stats!$E$7,IF((COUNTBLANK(N170)=0),IF((COUNTBLANK(X170)=0),IF((COUNTBLANK(AD170)=0),Stats!$E$6,Stats!$E$5),Stats!$E$4),""))</f>
        <v>Death</v>
      </c>
      <c r="C170" s="307" t="str">
        <f>IF(B170=Stats!$E$5,Stats!$E$11,"")</f>
        <v/>
      </c>
      <c r="D170" s="218">
        <v>45870</v>
      </c>
      <c r="E170" s="301">
        <f t="shared" ca="1" si="8"/>
        <v>238</v>
      </c>
      <c r="F170" s="306" t="s">
        <v>618</v>
      </c>
      <c r="G170" s="308" t="s">
        <v>612</v>
      </c>
      <c r="H170" s="306" t="s">
        <v>43</v>
      </c>
      <c r="I170" s="306" t="s">
        <v>44</v>
      </c>
      <c r="J170" s="306" t="s">
        <v>206</v>
      </c>
      <c r="K170" s="306" t="s">
        <v>272</v>
      </c>
      <c r="L170" s="41" t="s">
        <v>240</v>
      </c>
      <c r="M170" s="219">
        <f t="shared" si="10"/>
        <v>1</v>
      </c>
      <c r="N170" s="218"/>
      <c r="S170" s="224"/>
      <c r="T170" s="225"/>
      <c r="U170" s="226"/>
      <c r="V170" s="226"/>
      <c r="W170" s="303"/>
      <c r="X170" s="220"/>
      <c r="Z170" s="227"/>
      <c r="AA170" s="220">
        <v>46031</v>
      </c>
      <c r="AB170" s="221" t="s">
        <v>54</v>
      </c>
      <c r="AC170" s="229"/>
      <c r="AD170" s="230"/>
      <c r="AE170" s="230"/>
      <c r="AF170" s="230"/>
      <c r="AG170" s="227"/>
    </row>
    <row r="171" spans="1:33" ht="15" customHeight="1" x14ac:dyDescent="0.25">
      <c r="A171" s="32" t="s">
        <v>619</v>
      </c>
      <c r="B171" s="306" t="str">
        <f>IF((COUNTBLANK(AA171)=0),Stats!$E$7,IF((COUNTBLANK(N171)=0),IF((COUNTBLANK(X171)=0),IF((COUNTBLANK(AD171)=0),Stats!$E$6,Stats!$E$5),Stats!$E$4),""))</f>
        <v>Check-up</v>
      </c>
      <c r="C171" s="307" t="str">
        <f>IF(B171=Stats!$E$5,Stats!$E$11,"")</f>
        <v>To define</v>
      </c>
      <c r="D171" s="218">
        <v>45870</v>
      </c>
      <c r="E171" s="301">
        <f t="shared" ca="1" si="8"/>
        <v>238</v>
      </c>
      <c r="F171" s="306" t="s">
        <v>620</v>
      </c>
      <c r="G171" s="308" t="s">
        <v>612</v>
      </c>
      <c r="H171" s="306" t="s">
        <v>43</v>
      </c>
      <c r="I171" s="306" t="s">
        <v>44</v>
      </c>
      <c r="J171" s="306" t="s">
        <v>206</v>
      </c>
      <c r="K171" s="306" t="s">
        <v>272</v>
      </c>
      <c r="L171" s="41" t="s">
        <v>46</v>
      </c>
      <c r="M171" s="219">
        <f t="shared" si="10"/>
        <v>1</v>
      </c>
      <c r="N171" s="218">
        <v>45988</v>
      </c>
      <c r="O171" s="34" t="s">
        <v>621</v>
      </c>
      <c r="P171" s="36" t="s">
        <v>622</v>
      </c>
      <c r="Q171" s="36" t="s">
        <v>623</v>
      </c>
      <c r="R171" s="36" t="s">
        <v>594</v>
      </c>
      <c r="S171" s="224" t="s">
        <v>624</v>
      </c>
      <c r="T171" s="225" t="s">
        <v>625</v>
      </c>
      <c r="U171" s="226">
        <v>-300</v>
      </c>
      <c r="V171" s="226" t="s">
        <v>626</v>
      </c>
      <c r="W171" s="303" t="s">
        <v>627</v>
      </c>
      <c r="X171" s="220">
        <v>45988</v>
      </c>
      <c r="Y171" s="34" t="s">
        <v>621</v>
      </c>
      <c r="Z171" s="227" t="s">
        <v>628</v>
      </c>
      <c r="AA171" s="220"/>
      <c r="AB171" s="221"/>
      <c r="AC171" s="229"/>
      <c r="AD171" s="230"/>
      <c r="AE171" s="230"/>
      <c r="AF171" s="230"/>
      <c r="AG171" s="227"/>
    </row>
    <row r="172" spans="1:33" ht="15" customHeight="1" x14ac:dyDescent="0.25">
      <c r="A172" s="32" t="s">
        <v>629</v>
      </c>
      <c r="B172" s="306" t="str">
        <f>IF((COUNTBLANK(AA172)=0),Stats!$E$7,IF((COUNTBLANK(N172)=0),IF((COUNTBLANK(X172)=0),IF((COUNTBLANK(AD172)=0),Stats!$E$6,Stats!$E$5),Stats!$E$4),""))</f>
        <v/>
      </c>
      <c r="C172" s="307" t="str">
        <f>IF(B172=Stats!$E$5,Stats!$E$11,"")</f>
        <v/>
      </c>
      <c r="D172" s="218">
        <v>45870</v>
      </c>
      <c r="E172" s="301">
        <f t="shared" ca="1" si="8"/>
        <v>238</v>
      </c>
      <c r="F172" s="306" t="s">
        <v>630</v>
      </c>
      <c r="G172" s="308" t="s">
        <v>612</v>
      </c>
      <c r="H172" s="306" t="s">
        <v>43</v>
      </c>
      <c r="I172" s="306" t="s">
        <v>44</v>
      </c>
      <c r="J172" s="306" t="s">
        <v>206</v>
      </c>
      <c r="K172" s="306" t="s">
        <v>272</v>
      </c>
      <c r="L172" s="41" t="s">
        <v>46</v>
      </c>
      <c r="M172" s="219">
        <f t="shared" si="10"/>
        <v>1</v>
      </c>
      <c r="N172" s="218"/>
      <c r="S172" s="224"/>
      <c r="T172" s="225"/>
      <c r="U172" s="226"/>
      <c r="V172" s="226"/>
      <c r="W172" s="303"/>
      <c r="X172" s="220"/>
      <c r="Z172" s="227"/>
      <c r="AA172" s="220"/>
      <c r="AB172" s="221"/>
      <c r="AC172" s="229"/>
      <c r="AD172" s="230"/>
      <c r="AE172" s="230"/>
      <c r="AF172" s="230"/>
      <c r="AG172" s="227"/>
    </row>
    <row r="173" spans="1:33" x14ac:dyDescent="0.25">
      <c r="A173" s="32" t="s">
        <v>631</v>
      </c>
      <c r="B173" s="306" t="str">
        <f>IF((COUNTBLANK(AA173)=0),Stats!$E$7,IF((COUNTBLANK(N173)=0),IF((COUNTBLANK(X173)=0),IF((COUNTBLANK(AD173)=0),Stats!$E$6,Stats!$E$5),Stats!$E$4),""))</f>
        <v>Death</v>
      </c>
      <c r="C173" s="307" t="str">
        <f>IF(B173=Stats!$E$5,Stats!$E$11,"")</f>
        <v/>
      </c>
      <c r="D173" s="218">
        <v>45870</v>
      </c>
      <c r="E173" s="301">
        <f t="shared" ca="1" si="8"/>
        <v>262</v>
      </c>
      <c r="F173" s="306" t="s">
        <v>632</v>
      </c>
      <c r="G173" s="308" t="s">
        <v>633</v>
      </c>
      <c r="H173" s="306" t="s">
        <v>43</v>
      </c>
      <c r="I173" s="306" t="s">
        <v>44</v>
      </c>
      <c r="J173" s="306" t="s">
        <v>206</v>
      </c>
      <c r="K173" s="306" t="s">
        <v>355</v>
      </c>
      <c r="L173" s="41"/>
      <c r="M173" s="219">
        <f t="shared" si="10"/>
        <v>0</v>
      </c>
      <c r="N173" s="218"/>
      <c r="S173" s="224"/>
      <c r="T173" s="225"/>
      <c r="U173" s="226"/>
      <c r="V173" s="226"/>
      <c r="W173" s="303"/>
      <c r="X173" s="220"/>
      <c r="Z173" s="227"/>
      <c r="AA173" s="220">
        <v>45922</v>
      </c>
      <c r="AB173" s="221" t="s">
        <v>75</v>
      </c>
      <c r="AC173" s="229" t="s">
        <v>634</v>
      </c>
      <c r="AD173" s="230"/>
      <c r="AE173" s="230"/>
      <c r="AF173" s="230"/>
      <c r="AG173" s="227"/>
    </row>
    <row r="174" spans="1:33" x14ac:dyDescent="0.25">
      <c r="A174" s="32" t="s">
        <v>635</v>
      </c>
      <c r="B174" s="306" t="str">
        <f>IF((COUNTBLANK(AA174)=0),Stats!$E$7,IF((COUNTBLANK(N174)=0),IF((COUNTBLANK(X174)=0),IF((COUNTBLANK(AD174)=0),Stats!$E$6,Stats!$E$5),Stats!$E$4),""))</f>
        <v>Death</v>
      </c>
      <c r="C174" s="307" t="str">
        <f>IF(B174=Stats!$E$5,Stats!$E$11,"")</f>
        <v/>
      </c>
      <c r="D174" s="218">
        <v>45870</v>
      </c>
      <c r="E174" s="301">
        <f t="shared" ca="1" si="8"/>
        <v>262</v>
      </c>
      <c r="F174" s="306" t="s">
        <v>636</v>
      </c>
      <c r="G174" s="308" t="s">
        <v>633</v>
      </c>
      <c r="H174" s="306" t="s">
        <v>43</v>
      </c>
      <c r="I174" s="306" t="s">
        <v>44</v>
      </c>
      <c r="J174" s="306" t="s">
        <v>206</v>
      </c>
      <c r="K174" s="306" t="s">
        <v>355</v>
      </c>
      <c r="L174" s="41"/>
      <c r="M174" s="219">
        <f t="shared" si="10"/>
        <v>0</v>
      </c>
      <c r="N174" s="218"/>
      <c r="S174" s="224"/>
      <c r="T174" s="225"/>
      <c r="U174" s="226"/>
      <c r="V174" s="226"/>
      <c r="W174" s="303"/>
      <c r="X174" s="220"/>
      <c r="Z174" s="227"/>
      <c r="AA174" s="220">
        <v>45922</v>
      </c>
      <c r="AB174" s="221" t="s">
        <v>75</v>
      </c>
      <c r="AC174" s="229" t="s">
        <v>634</v>
      </c>
      <c r="AD174" s="230"/>
      <c r="AE174" s="230"/>
      <c r="AF174" s="230"/>
      <c r="AG174" s="227"/>
    </row>
    <row r="175" spans="1:33" x14ac:dyDescent="0.25">
      <c r="A175" s="32" t="s">
        <v>637</v>
      </c>
      <c r="B175" s="306" t="str">
        <f>IF((COUNTBLANK(AA175)=0),Stats!$E$7,IF((COUNTBLANK(N175)=0),IF((COUNTBLANK(X175)=0),IF((COUNTBLANK(AD175)=0),Stats!$E$6,Stats!$E$5),Stats!$E$4),""))</f>
        <v>Death</v>
      </c>
      <c r="C175" s="307" t="str">
        <f>IF(B175=Stats!$E$5,Stats!$E$11,"")</f>
        <v/>
      </c>
      <c r="D175" s="218">
        <v>45870</v>
      </c>
      <c r="E175" s="301">
        <f t="shared" ca="1" si="8"/>
        <v>262</v>
      </c>
      <c r="F175" s="306" t="s">
        <v>638</v>
      </c>
      <c r="G175" s="308" t="s">
        <v>633</v>
      </c>
      <c r="H175" s="306" t="s">
        <v>43</v>
      </c>
      <c r="I175" s="306" t="s">
        <v>44</v>
      </c>
      <c r="J175" s="306" t="s">
        <v>206</v>
      </c>
      <c r="K175" s="306" t="s">
        <v>355</v>
      </c>
      <c r="L175" s="41"/>
      <c r="M175" s="219">
        <f t="shared" si="10"/>
        <v>0</v>
      </c>
      <c r="N175" s="218"/>
      <c r="S175" s="224"/>
      <c r="T175" s="225"/>
      <c r="U175" s="226"/>
      <c r="V175" s="226"/>
      <c r="W175" s="303"/>
      <c r="X175" s="220"/>
      <c r="Z175" s="227"/>
      <c r="AA175" s="220">
        <v>45922</v>
      </c>
      <c r="AB175" s="221" t="s">
        <v>75</v>
      </c>
      <c r="AC175" s="229" t="s">
        <v>634</v>
      </c>
      <c r="AD175" s="230"/>
      <c r="AE175" s="230"/>
      <c r="AF175" s="230"/>
      <c r="AG175" s="227"/>
    </row>
    <row r="176" spans="1:33" x14ac:dyDescent="0.25">
      <c r="A176" s="32" t="s">
        <v>639</v>
      </c>
      <c r="B176" s="306" t="str">
        <f>IF((COUNTBLANK(AA176)=0),Stats!$E$7,IF((COUNTBLANK(N176)=0),IF((COUNTBLANK(X176)=0),IF((COUNTBLANK(AD176)=0),Stats!$E$6,Stats!$E$5),Stats!$E$4),""))</f>
        <v>Death</v>
      </c>
      <c r="C176" s="307" t="str">
        <f>IF(B176=Stats!$E$5,Stats!$E$11,"")</f>
        <v/>
      </c>
      <c r="D176" s="218">
        <v>45870</v>
      </c>
      <c r="E176" s="301">
        <f t="shared" ca="1" si="8"/>
        <v>262</v>
      </c>
      <c r="F176" s="306" t="s">
        <v>640</v>
      </c>
      <c r="G176" s="308" t="s">
        <v>633</v>
      </c>
      <c r="H176" s="306" t="s">
        <v>43</v>
      </c>
      <c r="I176" s="306" t="s">
        <v>44</v>
      </c>
      <c r="J176" s="306" t="s">
        <v>206</v>
      </c>
      <c r="K176" s="306" t="s">
        <v>355</v>
      </c>
      <c r="L176" s="41"/>
      <c r="M176" s="219">
        <f t="shared" si="10"/>
        <v>0</v>
      </c>
      <c r="N176" s="218"/>
      <c r="S176" s="224"/>
      <c r="T176" s="225"/>
      <c r="U176" s="226"/>
      <c r="V176" s="226"/>
      <c r="W176" s="303"/>
      <c r="X176" s="220"/>
      <c r="Z176" s="227"/>
      <c r="AA176" s="220">
        <v>45922</v>
      </c>
      <c r="AB176" s="221" t="s">
        <v>75</v>
      </c>
      <c r="AC176" s="229" t="s">
        <v>634</v>
      </c>
      <c r="AD176" s="230"/>
      <c r="AE176" s="230"/>
      <c r="AF176" s="230"/>
      <c r="AG176" s="227"/>
    </row>
    <row r="177" spans="1:33" x14ac:dyDescent="0.25">
      <c r="A177" s="32" t="s">
        <v>641</v>
      </c>
      <c r="B177" s="306" t="str">
        <f>IF((COUNTBLANK(AA177)=0),Stats!$E$7,IF((COUNTBLANK(N177)=0),IF((COUNTBLANK(X177)=0),IF((COUNTBLANK(AD177)=0),Stats!$E$6,Stats!$E$5),Stats!$E$4),""))</f>
        <v>Death</v>
      </c>
      <c r="C177" s="307" t="str">
        <f>IF(B177=Stats!$E$5,Stats!$E$11,"")</f>
        <v/>
      </c>
      <c r="D177" s="218">
        <v>45870</v>
      </c>
      <c r="E177" s="301">
        <f t="shared" ca="1" si="8"/>
        <v>262</v>
      </c>
      <c r="F177" s="306" t="s">
        <v>642</v>
      </c>
      <c r="G177" s="308" t="s">
        <v>633</v>
      </c>
      <c r="H177" s="306" t="s">
        <v>43</v>
      </c>
      <c r="I177" s="306" t="s">
        <v>44</v>
      </c>
      <c r="J177" s="306" t="s">
        <v>206</v>
      </c>
      <c r="K177" s="306" t="s">
        <v>355</v>
      </c>
      <c r="L177" s="41"/>
      <c r="M177" s="219">
        <f t="shared" si="10"/>
        <v>0</v>
      </c>
      <c r="N177" s="218"/>
      <c r="S177" s="224"/>
      <c r="T177" s="225"/>
      <c r="U177" s="226"/>
      <c r="V177" s="226"/>
      <c r="W177" s="303"/>
      <c r="X177" s="220"/>
      <c r="Z177" s="227"/>
      <c r="AA177" s="220">
        <v>46031</v>
      </c>
      <c r="AB177" s="221" t="s">
        <v>75</v>
      </c>
      <c r="AC177" s="229" t="s">
        <v>634</v>
      </c>
      <c r="AD177" s="230"/>
      <c r="AE177" s="230"/>
      <c r="AF177" s="230"/>
      <c r="AG177" s="227"/>
    </row>
    <row r="178" spans="1:33" x14ac:dyDescent="0.25">
      <c r="A178" s="32" t="s">
        <v>643</v>
      </c>
      <c r="B178" s="306" t="str">
        <f>IF((COUNTBLANK(AA178)=0),Stats!$E$7,IF((COUNTBLANK(N178)=0),IF((COUNTBLANK(X178)=0),IF((COUNTBLANK(AD178)=0),Stats!$E$6,Stats!$E$5),Stats!$E$4),""))</f>
        <v>Experiment</v>
      </c>
      <c r="C178" s="307" t="s">
        <v>59</v>
      </c>
      <c r="D178" s="218">
        <v>45905</v>
      </c>
      <c r="E178" s="301">
        <f t="shared" ca="1" si="8"/>
        <v>195</v>
      </c>
      <c r="F178" s="306" t="s">
        <v>644</v>
      </c>
      <c r="G178" s="308" t="s">
        <v>645</v>
      </c>
      <c r="H178" s="306" t="s">
        <v>43</v>
      </c>
      <c r="I178" s="306" t="s">
        <v>44</v>
      </c>
      <c r="J178" s="306" t="s">
        <v>206</v>
      </c>
      <c r="K178" s="306" t="s">
        <v>283</v>
      </c>
      <c r="L178" s="41" t="s">
        <v>46</v>
      </c>
      <c r="M178" s="219">
        <f t="shared" si="10"/>
        <v>1</v>
      </c>
      <c r="N178" s="218">
        <v>45974</v>
      </c>
      <c r="O178" s="34" t="s">
        <v>98</v>
      </c>
      <c r="P178" s="36" t="s">
        <v>623</v>
      </c>
      <c r="Q178" s="36" t="s">
        <v>646</v>
      </c>
      <c r="R178" s="36" t="s">
        <v>594</v>
      </c>
      <c r="S178" s="224" t="s">
        <v>647</v>
      </c>
      <c r="T178" s="225" t="s">
        <v>648</v>
      </c>
      <c r="U178" s="226">
        <v>-350</v>
      </c>
      <c r="V178" s="226">
        <v>400</v>
      </c>
      <c r="W178" s="303" t="s">
        <v>649</v>
      </c>
      <c r="X178" s="220">
        <v>45974</v>
      </c>
      <c r="Y178" s="34" t="s">
        <v>98</v>
      </c>
      <c r="Z178" s="227" t="s">
        <v>650</v>
      </c>
      <c r="AA178" s="220"/>
      <c r="AB178" s="221"/>
      <c r="AC178" s="229"/>
      <c r="AD178" s="230" t="s">
        <v>651</v>
      </c>
      <c r="AE178" s="230"/>
      <c r="AF178" s="230"/>
      <c r="AG178" s="227"/>
    </row>
    <row r="179" spans="1:33" x14ac:dyDescent="0.25">
      <c r="A179" s="32" t="s">
        <v>652</v>
      </c>
      <c r="B179" s="306" t="str">
        <f>IF((COUNTBLANK(AA179)=0),Stats!$E$7,IF((COUNTBLANK(N179)=0),IF((COUNTBLANK(X179)=0),IF((COUNTBLANK(AD179)=0),Stats!$E$6,Stats!$E$5),Stats!$E$4),""))</f>
        <v>Death</v>
      </c>
      <c r="C179" s="307" t="str">
        <f>IF(B179=Stats!$E$5,Stats!$E$11,"")</f>
        <v/>
      </c>
      <c r="D179" s="218">
        <v>45905</v>
      </c>
      <c r="E179" s="301">
        <f t="shared" ca="1" si="8"/>
        <v>195</v>
      </c>
      <c r="F179" s="306" t="s">
        <v>653</v>
      </c>
      <c r="G179" s="308" t="s">
        <v>645</v>
      </c>
      <c r="H179" s="306" t="s">
        <v>43</v>
      </c>
      <c r="I179" s="306" t="s">
        <v>44</v>
      </c>
      <c r="J179" s="306" t="s">
        <v>206</v>
      </c>
      <c r="K179" s="306" t="s">
        <v>283</v>
      </c>
      <c r="L179" s="41" t="s">
        <v>46</v>
      </c>
      <c r="M179" s="219">
        <f t="shared" si="10"/>
        <v>1</v>
      </c>
      <c r="N179" s="218"/>
      <c r="S179" s="224"/>
      <c r="T179" s="225"/>
      <c r="U179" s="226"/>
      <c r="V179" s="226"/>
      <c r="W179" s="303"/>
      <c r="X179" s="220"/>
      <c r="Z179" s="227" t="s">
        <v>654</v>
      </c>
      <c r="AA179" s="220">
        <v>45974</v>
      </c>
      <c r="AB179" s="221" t="s">
        <v>366</v>
      </c>
      <c r="AC179" s="229"/>
      <c r="AD179" s="230"/>
      <c r="AE179" s="230"/>
      <c r="AF179" s="230"/>
      <c r="AG179" s="227"/>
    </row>
    <row r="180" spans="1:33" x14ac:dyDescent="0.25">
      <c r="A180" s="32" t="s">
        <v>655</v>
      </c>
      <c r="B180" s="306" t="str">
        <f>IF((COUNTBLANK(AA180)=0),Stats!$E$7,IF((COUNTBLANK(N180)=0),IF((COUNTBLANK(X180)=0),IF((COUNTBLANK(AD180)=0),Stats!$E$6,Stats!$E$5),Stats!$E$4),""))</f>
        <v>Experiment</v>
      </c>
      <c r="C180" s="307" t="s">
        <v>59</v>
      </c>
      <c r="D180" s="218">
        <v>45905</v>
      </c>
      <c r="E180" s="301">
        <f t="shared" ca="1" si="8"/>
        <v>195</v>
      </c>
      <c r="F180" s="306" t="s">
        <v>656</v>
      </c>
      <c r="G180" s="308" t="s">
        <v>657</v>
      </c>
      <c r="H180" s="306" t="s">
        <v>43</v>
      </c>
      <c r="I180" s="306" t="s">
        <v>44</v>
      </c>
      <c r="J180" s="306" t="s">
        <v>206</v>
      </c>
      <c r="K180" s="306" t="s">
        <v>283</v>
      </c>
      <c r="L180" s="41" t="s">
        <v>46</v>
      </c>
      <c r="M180" s="219">
        <f t="shared" si="10"/>
        <v>1</v>
      </c>
      <c r="N180" s="218">
        <v>45974</v>
      </c>
      <c r="O180" s="34" t="s">
        <v>98</v>
      </c>
      <c r="P180" s="36" t="s">
        <v>623</v>
      </c>
      <c r="Q180" s="36" t="s">
        <v>646</v>
      </c>
      <c r="R180" s="36" t="s">
        <v>594</v>
      </c>
      <c r="S180" s="224" t="s">
        <v>658</v>
      </c>
      <c r="T180" s="225" t="s">
        <v>659</v>
      </c>
      <c r="U180" s="226">
        <v>-350</v>
      </c>
      <c r="V180" s="226">
        <v>400</v>
      </c>
      <c r="W180" s="303" t="s">
        <v>279</v>
      </c>
      <c r="X180" s="220">
        <v>45974</v>
      </c>
      <c r="Y180" s="34" t="s">
        <v>98</v>
      </c>
      <c r="Z180" s="227" t="s">
        <v>654</v>
      </c>
      <c r="AA180" s="220"/>
      <c r="AB180" s="221"/>
      <c r="AC180" s="229"/>
      <c r="AD180" s="230" t="s">
        <v>660</v>
      </c>
      <c r="AE180" s="230"/>
      <c r="AF180" s="230"/>
      <c r="AG180" s="227"/>
    </row>
    <row r="181" spans="1:33" x14ac:dyDescent="0.25">
      <c r="A181" s="32" t="s">
        <v>661</v>
      </c>
      <c r="B181" s="306" t="str">
        <f>IF((COUNTBLANK(AA181)=0),Stats!$E$7,IF((COUNTBLANK(N181)=0),IF((COUNTBLANK(X181)=0),IF((COUNTBLANK(AD181)=0),Stats!$E$6,Stats!$E$5),Stats!$E$4),""))</f>
        <v>Check-up</v>
      </c>
      <c r="C181" s="307" t="str">
        <f>IF(B181=Stats!$E$5,Stats!$E$11,"")</f>
        <v>To define</v>
      </c>
      <c r="D181" s="218">
        <v>45905</v>
      </c>
      <c r="E181" s="301">
        <f t="shared" ca="1" si="8"/>
        <v>244</v>
      </c>
      <c r="F181" s="306" t="s">
        <v>662</v>
      </c>
      <c r="G181" s="308" t="s">
        <v>663</v>
      </c>
      <c r="H181" s="306" t="s">
        <v>261</v>
      </c>
      <c r="I181" s="306" t="s">
        <v>114</v>
      </c>
      <c r="J181" s="306" t="s">
        <v>206</v>
      </c>
      <c r="K181" s="306" t="s">
        <v>272</v>
      </c>
      <c r="L181" s="41" t="s">
        <v>240</v>
      </c>
      <c r="M181" s="219">
        <f t="shared" si="10"/>
        <v>1</v>
      </c>
      <c r="N181" s="218">
        <v>45920</v>
      </c>
      <c r="O181" s="34" t="s">
        <v>53</v>
      </c>
      <c r="S181" s="224"/>
      <c r="T181" s="225" t="s">
        <v>51</v>
      </c>
      <c r="U181" s="226">
        <v>-500</v>
      </c>
      <c r="V181" s="226">
        <v>400</v>
      </c>
      <c r="W181" s="303" t="s">
        <v>243</v>
      </c>
      <c r="X181" s="220">
        <v>45920</v>
      </c>
      <c r="Y181" s="34" t="s">
        <v>53</v>
      </c>
      <c r="Z181" s="227"/>
      <c r="AA181" s="220"/>
      <c r="AB181" s="221"/>
      <c r="AC181" s="229"/>
      <c r="AD181" s="230"/>
      <c r="AE181" s="230"/>
      <c r="AF181" s="230"/>
      <c r="AG181" s="227"/>
    </row>
    <row r="182" spans="1:33" x14ac:dyDescent="0.25">
      <c r="A182" s="32" t="s">
        <v>664</v>
      </c>
      <c r="B182" s="306" t="str">
        <f>IF((COUNTBLANK(AA182)=0),Stats!$E$7,IF((COUNTBLANK(N182)=0),IF((COUNTBLANK(X182)=0),IF((COUNTBLANK(AD182)=0),Stats!$E$6,Stats!$E$5),Stats!$E$4),""))</f>
        <v>Check-up</v>
      </c>
      <c r="C182" s="307" t="str">
        <f>IF(B182=Stats!$E$5,Stats!$E$11,"")</f>
        <v>To define</v>
      </c>
      <c r="D182" s="218">
        <v>45905</v>
      </c>
      <c r="E182" s="301">
        <f t="shared" ca="1" si="8"/>
        <v>244</v>
      </c>
      <c r="F182" s="306" t="s">
        <v>665</v>
      </c>
      <c r="G182" s="308" t="s">
        <v>666</v>
      </c>
      <c r="H182" s="306" t="s">
        <v>261</v>
      </c>
      <c r="I182" s="306" t="s">
        <v>44</v>
      </c>
      <c r="J182" s="306" t="s">
        <v>206</v>
      </c>
      <c r="K182" s="306" t="s">
        <v>272</v>
      </c>
      <c r="L182" s="41" t="s">
        <v>240</v>
      </c>
      <c r="M182" s="219">
        <f t="shared" si="10"/>
        <v>1</v>
      </c>
      <c r="N182" s="218">
        <v>45920</v>
      </c>
      <c r="O182" s="34" t="s">
        <v>53</v>
      </c>
      <c r="S182" s="224"/>
      <c r="T182" s="225" t="s">
        <v>51</v>
      </c>
      <c r="U182" s="226">
        <v>-500</v>
      </c>
      <c r="V182" s="226">
        <v>400</v>
      </c>
      <c r="W182" s="303" t="s">
        <v>279</v>
      </c>
      <c r="X182" s="220">
        <v>45920</v>
      </c>
      <c r="Y182" s="34" t="s">
        <v>53</v>
      </c>
      <c r="Z182" s="227"/>
      <c r="AA182" s="220"/>
      <c r="AB182" s="221"/>
      <c r="AC182" s="229"/>
      <c r="AD182" s="230"/>
      <c r="AE182" s="230"/>
      <c r="AF182" s="230"/>
      <c r="AG182" s="227"/>
    </row>
    <row r="183" spans="1:33" x14ac:dyDescent="0.25">
      <c r="A183" s="32" t="s">
        <v>667</v>
      </c>
      <c r="B183" s="306" t="str">
        <f>IF((COUNTBLANK(AA183)=0),Stats!$E$7,IF((COUNTBLANK(N183)=0),IF((COUNTBLANK(X183)=0),IF((COUNTBLANK(AD183)=0),Stats!$E$6,Stats!$E$5),Stats!$E$4),""))</f>
        <v>Check-up</v>
      </c>
      <c r="C183" s="307" t="str">
        <f>IF(B183=Stats!$E$5,Stats!$E$11,"")</f>
        <v>To define</v>
      </c>
      <c r="D183" s="218">
        <v>45905</v>
      </c>
      <c r="E183" s="301">
        <f t="shared" ca="1" si="8"/>
        <v>244</v>
      </c>
      <c r="F183" s="306" t="s">
        <v>668</v>
      </c>
      <c r="G183" s="308" t="s">
        <v>666</v>
      </c>
      <c r="H183" s="306" t="s">
        <v>261</v>
      </c>
      <c r="I183" s="306" t="s">
        <v>44</v>
      </c>
      <c r="J183" s="306" t="s">
        <v>206</v>
      </c>
      <c r="K183" s="306" t="s">
        <v>272</v>
      </c>
      <c r="L183" s="41" t="s">
        <v>240</v>
      </c>
      <c r="M183" s="219">
        <f t="shared" si="10"/>
        <v>1</v>
      </c>
      <c r="N183" s="218">
        <v>45920</v>
      </c>
      <c r="O183" s="34" t="s">
        <v>53</v>
      </c>
      <c r="S183" s="224"/>
      <c r="T183" s="225" t="s">
        <v>51</v>
      </c>
      <c r="U183" s="226">
        <v>-500</v>
      </c>
      <c r="V183" s="226">
        <v>400</v>
      </c>
      <c r="W183" s="303" t="s">
        <v>279</v>
      </c>
      <c r="X183" s="220">
        <v>45920</v>
      </c>
      <c r="Y183" s="34" t="s">
        <v>53</v>
      </c>
      <c r="Z183" s="227"/>
      <c r="AA183" s="220"/>
      <c r="AB183" s="221"/>
      <c r="AC183" s="229"/>
      <c r="AD183" s="230"/>
      <c r="AE183" s="230"/>
      <c r="AF183" s="230"/>
      <c r="AG183" s="227"/>
    </row>
    <row r="184" spans="1:33" x14ac:dyDescent="0.25">
      <c r="A184" s="32" t="s">
        <v>669</v>
      </c>
      <c r="B184" s="306" t="str">
        <f>IF((COUNTBLANK(AA184)=0),Stats!$E$7,IF((COUNTBLANK(N184)=0),IF((COUNTBLANK(X184)=0),IF((COUNTBLANK(AD184)=0),Stats!$E$6,Stats!$E$5),Stats!$E$4),""))</f>
        <v>Check-up</v>
      </c>
      <c r="C184" s="307" t="str">
        <f>IF(B184=Stats!$E$5,Stats!$E$11,"")</f>
        <v>To define</v>
      </c>
      <c r="D184" s="218">
        <v>45905</v>
      </c>
      <c r="E184" s="301">
        <f t="shared" ca="1" si="8"/>
        <v>221</v>
      </c>
      <c r="F184" s="306" t="s">
        <v>670</v>
      </c>
      <c r="G184" s="308" t="s">
        <v>671</v>
      </c>
      <c r="H184" s="306" t="s">
        <v>43</v>
      </c>
      <c r="I184" s="306" t="s">
        <v>44</v>
      </c>
      <c r="J184" s="306" t="s">
        <v>206</v>
      </c>
      <c r="K184" s="306" t="s">
        <v>355</v>
      </c>
      <c r="L184" s="41" t="s">
        <v>356</v>
      </c>
      <c r="M184" s="219">
        <f t="shared" si="10"/>
        <v>1</v>
      </c>
      <c r="N184" s="218">
        <v>45923</v>
      </c>
      <c r="O184" s="34" t="s">
        <v>153</v>
      </c>
      <c r="P184" s="36" t="s">
        <v>357</v>
      </c>
      <c r="S184" s="224"/>
      <c r="T184" s="225" t="s">
        <v>358</v>
      </c>
      <c r="U184" s="226" t="s">
        <v>359</v>
      </c>
      <c r="V184" s="380" t="s">
        <v>672</v>
      </c>
      <c r="W184" s="303" t="s">
        <v>243</v>
      </c>
      <c r="X184" s="220">
        <v>45938</v>
      </c>
      <c r="Y184" s="34" t="s">
        <v>153</v>
      </c>
      <c r="Z184" s="227"/>
      <c r="AA184" s="220"/>
      <c r="AB184" s="221"/>
      <c r="AC184" s="229"/>
      <c r="AD184" s="230"/>
      <c r="AE184" s="230"/>
      <c r="AF184" s="230"/>
      <c r="AG184" s="227"/>
    </row>
    <row r="185" spans="1:33" x14ac:dyDescent="0.25">
      <c r="A185" s="32" t="s">
        <v>673</v>
      </c>
      <c r="B185" s="306" t="str">
        <f>IF((COUNTBLANK(AA185)=0),Stats!$E$7,IF((COUNTBLANK(N185)=0),IF((COUNTBLANK(X185)=0),IF((COUNTBLANK(AD185)=0),Stats!$E$6,Stats!$E$5),Stats!$E$4),""))</f>
        <v>Death</v>
      </c>
      <c r="C185" s="307" t="str">
        <f>IF(B185=Stats!$E$5,Stats!$E$11,"")</f>
        <v/>
      </c>
      <c r="D185" s="218">
        <v>45905</v>
      </c>
      <c r="E185" s="301">
        <f t="shared" ca="1" si="8"/>
        <v>221</v>
      </c>
      <c r="F185" s="306" t="s">
        <v>674</v>
      </c>
      <c r="G185" s="308" t="s">
        <v>671</v>
      </c>
      <c r="H185" s="306" t="s">
        <v>43</v>
      </c>
      <c r="I185" s="306" t="s">
        <v>44</v>
      </c>
      <c r="J185" s="306" t="s">
        <v>206</v>
      </c>
      <c r="K185" s="306" t="s">
        <v>355</v>
      </c>
      <c r="L185" s="41" t="s">
        <v>356</v>
      </c>
      <c r="M185" s="219">
        <f t="shared" si="10"/>
        <v>1</v>
      </c>
      <c r="N185" s="218">
        <v>45923</v>
      </c>
      <c r="O185" s="34" t="s">
        <v>153</v>
      </c>
      <c r="S185" s="224"/>
      <c r="T185" s="225"/>
      <c r="U185" s="226"/>
      <c r="V185" s="226"/>
      <c r="W185" s="303" t="s">
        <v>279</v>
      </c>
      <c r="X185" s="220"/>
      <c r="Z185" s="227"/>
      <c r="AA185" s="220">
        <v>45933</v>
      </c>
      <c r="AB185" s="221" t="s">
        <v>81</v>
      </c>
      <c r="AC185" s="229" t="s">
        <v>675</v>
      </c>
      <c r="AD185" s="230"/>
      <c r="AE185" s="230"/>
      <c r="AF185" s="230"/>
      <c r="AG185" s="227"/>
    </row>
    <row r="186" spans="1:33" x14ac:dyDescent="0.25">
      <c r="A186" s="32" t="s">
        <v>676</v>
      </c>
      <c r="B186" s="306" t="str">
        <f>IF((COUNTBLANK(AA186)=0),Stats!$E$7,IF((COUNTBLANK(N186)=0),IF((COUNTBLANK(X186)=0),IF((COUNTBLANK(AD186)=0),Stats!$E$6,Stats!$E$5),Stats!$E$4),""))</f>
        <v>Check-up</v>
      </c>
      <c r="C186" s="307" t="s">
        <v>204</v>
      </c>
      <c r="D186" s="218">
        <v>45905</v>
      </c>
      <c r="E186" s="301">
        <f t="shared" ca="1" si="8"/>
        <v>221</v>
      </c>
      <c r="F186" s="306" t="s">
        <v>677</v>
      </c>
      <c r="G186" s="308" t="s">
        <v>678</v>
      </c>
      <c r="H186" s="306" t="s">
        <v>43</v>
      </c>
      <c r="I186" s="306" t="s">
        <v>114</v>
      </c>
      <c r="J186" s="306" t="s">
        <v>206</v>
      </c>
      <c r="K186" s="306" t="s">
        <v>355</v>
      </c>
      <c r="L186" s="41" t="s">
        <v>356</v>
      </c>
      <c r="M186" s="219">
        <f t="shared" si="10"/>
        <v>1</v>
      </c>
      <c r="N186" s="218">
        <v>45924</v>
      </c>
      <c r="O186" s="34" t="s">
        <v>153</v>
      </c>
      <c r="P186" s="36" t="s">
        <v>357</v>
      </c>
      <c r="S186" s="224"/>
      <c r="T186" s="225" t="s">
        <v>358</v>
      </c>
      <c r="U186" s="226" t="s">
        <v>359</v>
      </c>
      <c r="V186" s="380" t="s">
        <v>672</v>
      </c>
      <c r="W186" s="303"/>
      <c r="X186" s="220">
        <v>45951</v>
      </c>
      <c r="Y186" s="34" t="s">
        <v>153</v>
      </c>
      <c r="Z186" s="227"/>
      <c r="AA186" s="220"/>
      <c r="AB186" s="221"/>
      <c r="AC186" s="229"/>
      <c r="AD186" s="230"/>
      <c r="AE186" s="230"/>
      <c r="AF186" s="230"/>
      <c r="AG186" s="227"/>
    </row>
    <row r="187" spans="1:33" x14ac:dyDescent="0.25">
      <c r="A187" s="32" t="s">
        <v>679</v>
      </c>
      <c r="B187" s="306" t="str">
        <f>IF((COUNTBLANK(AA187)=0),Stats!$E$7,IF((COUNTBLANK(N187)=0),IF((COUNTBLANK(X187)=0),IF((COUNTBLANK(AD187)=0),Stats!$E$6,Stats!$E$5),Stats!$E$4),""))</f>
        <v>Check-up</v>
      </c>
      <c r="C187" s="307" t="s">
        <v>204</v>
      </c>
      <c r="D187" s="218">
        <v>45905</v>
      </c>
      <c r="E187" s="301">
        <f t="shared" ca="1" si="8"/>
        <v>221</v>
      </c>
      <c r="F187" s="306" t="s">
        <v>680</v>
      </c>
      <c r="G187" s="308" t="s">
        <v>678</v>
      </c>
      <c r="H187" s="306" t="s">
        <v>43</v>
      </c>
      <c r="I187" s="306" t="s">
        <v>114</v>
      </c>
      <c r="J187" s="306" t="s">
        <v>206</v>
      </c>
      <c r="K187" s="306" t="s">
        <v>355</v>
      </c>
      <c r="L187" s="41" t="s">
        <v>356</v>
      </c>
      <c r="M187" s="219">
        <f t="shared" si="10"/>
        <v>1</v>
      </c>
      <c r="N187" s="218">
        <v>45924</v>
      </c>
      <c r="O187" s="34" t="s">
        <v>153</v>
      </c>
      <c r="P187" s="36" t="s">
        <v>357</v>
      </c>
      <c r="S187" s="224"/>
      <c r="T187" s="225" t="s">
        <v>358</v>
      </c>
      <c r="U187" s="226" t="s">
        <v>359</v>
      </c>
      <c r="V187" s="226" t="s">
        <v>672</v>
      </c>
      <c r="W187" s="303" t="s">
        <v>243</v>
      </c>
      <c r="X187" s="220">
        <v>45952</v>
      </c>
      <c r="Y187" s="34" t="s">
        <v>153</v>
      </c>
      <c r="Z187" s="227"/>
      <c r="AA187" s="220"/>
      <c r="AB187" s="221"/>
      <c r="AC187" s="229"/>
      <c r="AD187" s="230"/>
      <c r="AE187" s="230"/>
      <c r="AF187" s="230"/>
      <c r="AG187" s="227"/>
    </row>
    <row r="188" spans="1:33" x14ac:dyDescent="0.25">
      <c r="A188" s="32" t="s">
        <v>681</v>
      </c>
      <c r="B188" s="306" t="str">
        <f>IF((COUNTBLANK(AA188)=0),Stats!$E$7,IF((COUNTBLANK(N188)=0),IF((COUNTBLANK(X188)=0),IF((COUNTBLANK(AD188)=0),Stats!$E$6,Stats!$E$5),Stats!$E$4),""))</f>
        <v>Check-up</v>
      </c>
      <c r="C188" s="307" t="s">
        <v>204</v>
      </c>
      <c r="D188" s="218">
        <v>45905</v>
      </c>
      <c r="E188" s="301">
        <f t="shared" ca="1" si="8"/>
        <v>221</v>
      </c>
      <c r="F188" s="306" t="s">
        <v>682</v>
      </c>
      <c r="G188" s="308" t="s">
        <v>678</v>
      </c>
      <c r="H188" s="306" t="s">
        <v>43</v>
      </c>
      <c r="I188" s="306" t="s">
        <v>114</v>
      </c>
      <c r="J188" s="306" t="s">
        <v>206</v>
      </c>
      <c r="K188" s="306" t="s">
        <v>355</v>
      </c>
      <c r="L188" s="41" t="s">
        <v>356</v>
      </c>
      <c r="M188" s="219">
        <f t="shared" si="10"/>
        <v>1</v>
      </c>
      <c r="N188" s="218">
        <v>45924</v>
      </c>
      <c r="O188" s="34" t="s">
        <v>153</v>
      </c>
      <c r="P188" s="36" t="s">
        <v>357</v>
      </c>
      <c r="S188" s="224"/>
      <c r="T188" s="225" t="s">
        <v>358</v>
      </c>
      <c r="U188" s="226" t="s">
        <v>359</v>
      </c>
      <c r="V188" s="226" t="s">
        <v>672</v>
      </c>
      <c r="W188" s="303" t="s">
        <v>249</v>
      </c>
      <c r="X188" s="220">
        <v>45952</v>
      </c>
      <c r="Y188" s="34" t="s">
        <v>153</v>
      </c>
      <c r="Z188" s="227"/>
      <c r="AA188" s="220"/>
      <c r="AB188" s="221"/>
      <c r="AC188" s="229"/>
      <c r="AD188" s="230"/>
      <c r="AE188" s="230"/>
      <c r="AF188" s="230"/>
      <c r="AG188" s="227"/>
    </row>
    <row r="189" spans="1:33" x14ac:dyDescent="0.25">
      <c r="A189" s="32" t="s">
        <v>683</v>
      </c>
      <c r="B189" s="306" t="str">
        <f>IF((COUNTBLANK(AA189)=0),Stats!$E$7,IF((COUNTBLANK(N189)=0),IF((COUNTBLANK(X189)=0),IF((COUNTBLANK(AD189)=0),Stats!$E$6,Stats!$E$5),Stats!$E$4),""))</f>
        <v>Injected</v>
      </c>
      <c r="C189" s="307" t="s">
        <v>325</v>
      </c>
      <c r="D189" s="218">
        <v>45905</v>
      </c>
      <c r="E189" s="301">
        <f t="shared" ca="1" si="8"/>
        <v>229</v>
      </c>
      <c r="F189" s="306" t="s">
        <v>684</v>
      </c>
      <c r="G189" s="308" t="s">
        <v>685</v>
      </c>
      <c r="H189" s="306" t="s">
        <v>43</v>
      </c>
      <c r="I189" s="306" t="s">
        <v>114</v>
      </c>
      <c r="J189" s="306" t="s">
        <v>206</v>
      </c>
      <c r="K189" s="306" t="s">
        <v>394</v>
      </c>
      <c r="L189" s="41" t="s">
        <v>240</v>
      </c>
      <c r="M189" s="219">
        <f t="shared" si="10"/>
        <v>1</v>
      </c>
      <c r="N189" s="218">
        <v>45996</v>
      </c>
      <c r="O189" s="34" t="s">
        <v>241</v>
      </c>
      <c r="P189" s="36" t="s">
        <v>686</v>
      </c>
      <c r="S189" s="224"/>
      <c r="T189" s="225" t="s">
        <v>51</v>
      </c>
      <c r="U189" s="226">
        <v>-350</v>
      </c>
      <c r="V189" s="226">
        <v>400</v>
      </c>
      <c r="W189" s="303"/>
      <c r="X189" s="220"/>
      <c r="Z189" s="227"/>
      <c r="AA189" s="220"/>
      <c r="AB189" s="221"/>
      <c r="AC189" s="229"/>
      <c r="AD189" s="230"/>
      <c r="AE189" s="230"/>
      <c r="AF189" s="230"/>
      <c r="AG189" s="227"/>
    </row>
    <row r="190" spans="1:33" x14ac:dyDescent="0.25">
      <c r="A190" s="32" t="s">
        <v>687</v>
      </c>
      <c r="B190" s="306" t="str">
        <f>IF((COUNTBLANK(AA190)=0),Stats!$E$7,IF((COUNTBLANK(N190)=0),IF((COUNTBLANK(X190)=0),IF((COUNTBLANK(AD190)=0),Stats!$E$6,Stats!$E$5),Stats!$E$4),""))</f>
        <v>Death</v>
      </c>
      <c r="C190" s="307" t="s">
        <v>325</v>
      </c>
      <c r="D190" s="218">
        <v>45905</v>
      </c>
      <c r="E190" s="301">
        <f t="shared" ca="1" si="8"/>
        <v>229</v>
      </c>
      <c r="F190" s="306" t="s">
        <v>688</v>
      </c>
      <c r="G190" s="308" t="s">
        <v>685</v>
      </c>
      <c r="H190" s="306" t="s">
        <v>43</v>
      </c>
      <c r="I190" s="306" t="s">
        <v>114</v>
      </c>
      <c r="J190" s="306" t="s">
        <v>206</v>
      </c>
      <c r="K190" s="306" t="s">
        <v>394</v>
      </c>
      <c r="L190" s="41" t="s">
        <v>240</v>
      </c>
      <c r="M190" s="219">
        <f t="shared" si="10"/>
        <v>1</v>
      </c>
      <c r="N190" s="218">
        <v>45996</v>
      </c>
      <c r="O190" s="34" t="s">
        <v>241</v>
      </c>
      <c r="P190" s="36" t="s">
        <v>686</v>
      </c>
      <c r="S190" s="224"/>
      <c r="T190" s="225" t="s">
        <v>51</v>
      </c>
      <c r="U190" s="226">
        <v>-350</v>
      </c>
      <c r="V190" s="226">
        <v>400</v>
      </c>
      <c r="W190" s="303"/>
      <c r="X190" s="220"/>
      <c r="Z190" s="227"/>
      <c r="AA190" s="220">
        <v>46057</v>
      </c>
      <c r="AB190" s="221" t="s">
        <v>160</v>
      </c>
      <c r="AC190" s="229"/>
      <c r="AD190" s="230"/>
      <c r="AE190" s="230"/>
      <c r="AF190" s="230"/>
      <c r="AG190" s="227"/>
    </row>
    <row r="191" spans="1:33" x14ac:dyDescent="0.25">
      <c r="A191" s="32" t="s">
        <v>689</v>
      </c>
      <c r="B191" s="306" t="str">
        <f>IF((COUNTBLANK(AA191)=0),Stats!$E$7,IF((COUNTBLANK(N191)=0),IF((COUNTBLANK(X191)=0),IF((COUNTBLANK(AD191)=0),Stats!$E$6,Stats!$E$5),Stats!$E$4),""))</f>
        <v/>
      </c>
      <c r="C191" s="307" t="s">
        <v>59</v>
      </c>
      <c r="D191" s="218">
        <v>45905</v>
      </c>
      <c r="E191" s="301">
        <f t="shared" ca="1" si="8"/>
        <v>227</v>
      </c>
      <c r="F191" s="306" t="s">
        <v>690</v>
      </c>
      <c r="G191" s="308" t="s">
        <v>691</v>
      </c>
      <c r="H191" s="306" t="s">
        <v>43</v>
      </c>
      <c r="I191" s="306" t="s">
        <v>44</v>
      </c>
      <c r="J191" s="306" t="s">
        <v>206</v>
      </c>
      <c r="K191" s="306" t="s">
        <v>394</v>
      </c>
      <c r="L191" s="41" t="s">
        <v>240</v>
      </c>
      <c r="M191" s="219">
        <f t="shared" si="10"/>
        <v>1</v>
      </c>
      <c r="N191" s="218"/>
      <c r="S191" s="224"/>
      <c r="T191" s="225"/>
      <c r="U191" s="226"/>
      <c r="V191" s="226"/>
      <c r="W191" s="303"/>
      <c r="X191" s="220"/>
      <c r="Z191" s="227"/>
      <c r="AA191" s="220"/>
      <c r="AB191" s="221"/>
      <c r="AC191" s="229"/>
      <c r="AD191" s="230"/>
      <c r="AE191" s="230"/>
      <c r="AF191" s="230"/>
      <c r="AG191" s="227"/>
    </row>
    <row r="192" spans="1:33" x14ac:dyDescent="0.25">
      <c r="A192" s="32" t="s">
        <v>692</v>
      </c>
      <c r="B192" s="306" t="str">
        <f>IF((COUNTBLANK(AA192)=0),Stats!$E$7,IF((COUNTBLANK(N192)=0),IF((COUNTBLANK(X192)=0),IF((COUNTBLANK(AD192)=0),Stats!$E$6,Stats!$E$5),Stats!$E$4),""))</f>
        <v/>
      </c>
      <c r="C192" s="307" t="s">
        <v>59</v>
      </c>
      <c r="D192" s="218">
        <v>45905</v>
      </c>
      <c r="E192" s="301">
        <f t="shared" ca="1" si="8"/>
        <v>227</v>
      </c>
      <c r="F192" s="306" t="s">
        <v>693</v>
      </c>
      <c r="G192" s="308" t="s">
        <v>691</v>
      </c>
      <c r="H192" s="306" t="s">
        <v>43</v>
      </c>
      <c r="I192" s="306" t="s">
        <v>44</v>
      </c>
      <c r="J192" s="306" t="s">
        <v>206</v>
      </c>
      <c r="K192" s="306" t="s">
        <v>394</v>
      </c>
      <c r="L192" s="41" t="s">
        <v>240</v>
      </c>
      <c r="M192" s="219">
        <f t="shared" si="10"/>
        <v>1</v>
      </c>
      <c r="N192" s="218"/>
      <c r="S192" s="224"/>
      <c r="T192" s="225"/>
      <c r="U192" s="226"/>
      <c r="V192" s="226"/>
      <c r="W192" s="303"/>
      <c r="X192" s="220"/>
      <c r="Z192" s="227"/>
      <c r="AA192" s="220"/>
      <c r="AB192" s="221"/>
      <c r="AC192" s="229"/>
      <c r="AD192" s="230"/>
      <c r="AE192" s="230"/>
      <c r="AF192" s="230"/>
      <c r="AG192" s="227"/>
    </row>
    <row r="193" spans="1:33" x14ac:dyDescent="0.25">
      <c r="A193" s="32" t="s">
        <v>694</v>
      </c>
      <c r="B193" s="306" t="str">
        <f>IF((COUNTBLANK(AA193)=0),Stats!$E$7,IF((COUNTBLANK(N193)=0),IF((COUNTBLANK(X193)=0),IF((COUNTBLANK(AD193)=0),Stats!$E$6,Stats!$E$5),Stats!$E$4),""))</f>
        <v/>
      </c>
      <c r="C193" s="307" t="s">
        <v>59</v>
      </c>
      <c r="D193" s="218">
        <v>45905</v>
      </c>
      <c r="E193" s="301">
        <f t="shared" ca="1" si="8"/>
        <v>227</v>
      </c>
      <c r="F193" s="306" t="s">
        <v>695</v>
      </c>
      <c r="G193" s="308" t="s">
        <v>691</v>
      </c>
      <c r="H193" s="306" t="s">
        <v>43</v>
      </c>
      <c r="I193" s="306" t="s">
        <v>44</v>
      </c>
      <c r="J193" s="306" t="s">
        <v>206</v>
      </c>
      <c r="K193" s="306" t="s">
        <v>394</v>
      </c>
      <c r="L193" s="41" t="s">
        <v>240</v>
      </c>
      <c r="M193" s="219">
        <f t="shared" si="10"/>
        <v>1</v>
      </c>
      <c r="N193" s="218"/>
      <c r="S193" s="224"/>
      <c r="T193" s="225"/>
      <c r="U193" s="226"/>
      <c r="V193" s="226"/>
      <c r="W193" s="303"/>
      <c r="X193" s="220"/>
      <c r="Z193" s="227"/>
      <c r="AA193" s="220"/>
      <c r="AB193" s="221"/>
      <c r="AC193" s="229"/>
      <c r="AD193" s="230"/>
      <c r="AE193" s="230"/>
      <c r="AF193" s="230"/>
      <c r="AG193" s="227"/>
    </row>
    <row r="194" spans="1:33" x14ac:dyDescent="0.25">
      <c r="A194" s="32" t="s">
        <v>696</v>
      </c>
      <c r="B194" s="306" t="str">
        <f>IF((COUNTBLANK(AA194)=0),Stats!$E$7,IF((COUNTBLANK(N194)=0),IF((COUNTBLANK(X194)=0),IF((COUNTBLANK(AD194)=0),Stats!$E$6,Stats!$E$5),Stats!$E$4),""))</f>
        <v/>
      </c>
      <c r="C194" s="307" t="s">
        <v>59</v>
      </c>
      <c r="D194" s="218">
        <v>45905</v>
      </c>
      <c r="E194" s="301">
        <f t="shared" ca="1" si="8"/>
        <v>227</v>
      </c>
      <c r="F194" s="306" t="s">
        <v>697</v>
      </c>
      <c r="G194" s="308" t="s">
        <v>691</v>
      </c>
      <c r="H194" s="306" t="s">
        <v>43</v>
      </c>
      <c r="I194" s="306" t="s">
        <v>44</v>
      </c>
      <c r="J194" s="306" t="s">
        <v>206</v>
      </c>
      <c r="K194" s="306" t="s">
        <v>394</v>
      </c>
      <c r="L194" s="41" t="s">
        <v>240</v>
      </c>
      <c r="M194" s="219">
        <f t="shared" si="10"/>
        <v>1</v>
      </c>
      <c r="N194" s="218"/>
      <c r="S194" s="224"/>
      <c r="T194" s="225"/>
      <c r="U194" s="226"/>
      <c r="V194" s="226"/>
      <c r="W194" s="303"/>
      <c r="X194" s="220"/>
      <c r="Z194" s="227"/>
      <c r="AA194" s="220"/>
      <c r="AB194" s="221"/>
      <c r="AC194" s="229"/>
      <c r="AD194" s="230"/>
      <c r="AE194" s="230"/>
      <c r="AF194" s="230"/>
      <c r="AG194" s="227"/>
    </row>
    <row r="195" spans="1:33" x14ac:dyDescent="0.25">
      <c r="A195" s="32" t="s">
        <v>698</v>
      </c>
      <c r="B195" s="306" t="str">
        <f>IF((COUNTBLANK(AA195)=0),Stats!$E$7,IF((COUNTBLANK(N195)=0),IF((COUNTBLANK(X195)=0),IF((COUNTBLANK(AD195)=0),Stats!$E$6,Stats!$E$5),Stats!$E$4),""))</f>
        <v/>
      </c>
      <c r="C195" s="307" t="s">
        <v>59</v>
      </c>
      <c r="D195" s="218">
        <v>45905</v>
      </c>
      <c r="E195" s="301">
        <f t="shared" ca="1" si="8"/>
        <v>229</v>
      </c>
      <c r="F195" s="306" t="s">
        <v>699</v>
      </c>
      <c r="G195" s="308" t="s">
        <v>700</v>
      </c>
      <c r="H195" s="306" t="s">
        <v>43</v>
      </c>
      <c r="I195" s="306" t="s">
        <v>44</v>
      </c>
      <c r="J195" s="306" t="s">
        <v>206</v>
      </c>
      <c r="K195" s="306" t="s">
        <v>394</v>
      </c>
      <c r="L195" s="41" t="s">
        <v>240</v>
      </c>
      <c r="M195" s="219">
        <f t="shared" si="10"/>
        <v>1</v>
      </c>
      <c r="N195" s="218"/>
      <c r="S195" s="224"/>
      <c r="T195" s="225"/>
      <c r="U195" s="226"/>
      <c r="V195" s="226"/>
      <c r="W195" s="303"/>
      <c r="X195" s="220"/>
      <c r="Z195" s="227"/>
      <c r="AA195" s="220"/>
      <c r="AB195" s="221"/>
      <c r="AC195" s="229"/>
      <c r="AD195" s="230"/>
      <c r="AE195" s="230"/>
      <c r="AF195" s="230"/>
      <c r="AG195" s="227"/>
    </row>
    <row r="196" spans="1:33" x14ac:dyDescent="0.25">
      <c r="A196" s="32" t="s">
        <v>701</v>
      </c>
      <c r="B196" s="306" t="str">
        <f>IF((COUNTBLANK(AA196)=0),Stats!$E$7,IF((COUNTBLANK(N196)=0),IF((COUNTBLANK(X196)=0),IF((COUNTBLANK(AD196)=0),Stats!$E$6,Stats!$E$5),Stats!$E$4),""))</f>
        <v/>
      </c>
      <c r="C196" s="307" t="s">
        <v>59</v>
      </c>
      <c r="D196" s="218">
        <v>45905</v>
      </c>
      <c r="E196" s="301">
        <f t="shared" ref="E196:E259" ca="1" si="11">IFERROR(TODAY()-DATE(2000+MID(F196,SEARCH("-",F196,SEARCH("-",F196)+1)+1,2),MID(F196,SEARCH("-",F196,SEARCH("-",F196)+1)+3,2),MID(F196,SEARCH("-",F196,SEARCH("-",F196)+1)+5,2)),"")</f>
        <v>229</v>
      </c>
      <c r="F196" s="306" t="s">
        <v>702</v>
      </c>
      <c r="G196" s="308" t="s">
        <v>700</v>
      </c>
      <c r="H196" s="306" t="s">
        <v>43</v>
      </c>
      <c r="I196" s="306" t="s">
        <v>44</v>
      </c>
      <c r="J196" s="306" t="s">
        <v>206</v>
      </c>
      <c r="K196" s="306" t="s">
        <v>394</v>
      </c>
      <c r="L196" s="41" t="s">
        <v>240</v>
      </c>
      <c r="M196" s="219">
        <f t="shared" si="10"/>
        <v>1</v>
      </c>
      <c r="N196" s="218"/>
      <c r="S196" s="224"/>
      <c r="T196" s="225"/>
      <c r="U196" s="226"/>
      <c r="V196" s="226"/>
      <c r="W196" s="303"/>
      <c r="X196" s="220"/>
      <c r="Z196" s="227"/>
      <c r="AA196" s="220"/>
      <c r="AB196" s="221"/>
      <c r="AC196" s="229"/>
      <c r="AD196" s="230"/>
      <c r="AE196" s="230"/>
      <c r="AF196" s="230"/>
      <c r="AG196" s="227"/>
    </row>
    <row r="197" spans="1:33" x14ac:dyDescent="0.25">
      <c r="A197" s="32" t="s">
        <v>703</v>
      </c>
      <c r="B197" s="306" t="str">
        <f>IF((COUNTBLANK(AA197)=0),Stats!$E$7,IF((COUNTBLANK(N197)=0),IF((COUNTBLANK(X197)=0),IF((COUNTBLANK(AD197)=0),Stats!$E$6,Stats!$E$5),Stats!$E$4),""))</f>
        <v/>
      </c>
      <c r="C197" s="307" t="s">
        <v>59</v>
      </c>
      <c r="D197" s="218">
        <v>45905</v>
      </c>
      <c r="E197" s="301">
        <f t="shared" ca="1" si="11"/>
        <v>229</v>
      </c>
      <c r="F197" s="306" t="s">
        <v>704</v>
      </c>
      <c r="G197" s="308" t="s">
        <v>700</v>
      </c>
      <c r="H197" s="306" t="s">
        <v>43</v>
      </c>
      <c r="I197" s="306" t="s">
        <v>44</v>
      </c>
      <c r="J197" s="306" t="s">
        <v>206</v>
      </c>
      <c r="K197" s="306" t="s">
        <v>394</v>
      </c>
      <c r="L197" s="41" t="s">
        <v>240</v>
      </c>
      <c r="M197" s="219">
        <f t="shared" si="10"/>
        <v>1</v>
      </c>
      <c r="N197" s="218"/>
      <c r="S197" s="224"/>
      <c r="T197" s="225"/>
      <c r="U197" s="226"/>
      <c r="V197" s="226"/>
      <c r="W197" s="303"/>
      <c r="X197" s="220"/>
      <c r="Z197" s="227"/>
      <c r="AA197" s="220"/>
      <c r="AB197" s="221"/>
      <c r="AC197" s="229"/>
      <c r="AD197" s="230"/>
      <c r="AE197" s="230"/>
      <c r="AF197" s="230"/>
      <c r="AG197" s="227"/>
    </row>
    <row r="198" spans="1:33" x14ac:dyDescent="0.25">
      <c r="A198" s="32" t="s">
        <v>705</v>
      </c>
      <c r="B198" s="306" t="str">
        <f>IF((COUNTBLANK(AA198)=0),Stats!$E$7,IF((COUNTBLANK(N198)=0),IF((COUNTBLANK(X198)=0),IF((COUNTBLANK(AD198)=0),Stats!$E$6,Stats!$E$5),Stats!$E$4),""))</f>
        <v/>
      </c>
      <c r="C198" s="307" t="s">
        <v>59</v>
      </c>
      <c r="D198" s="218">
        <v>45905</v>
      </c>
      <c r="E198" s="301">
        <f t="shared" ca="1" si="11"/>
        <v>229</v>
      </c>
      <c r="F198" s="306" t="s">
        <v>706</v>
      </c>
      <c r="G198" s="308" t="s">
        <v>700</v>
      </c>
      <c r="H198" s="306" t="s">
        <v>43</v>
      </c>
      <c r="I198" s="306" t="s">
        <v>44</v>
      </c>
      <c r="J198" s="306" t="s">
        <v>206</v>
      </c>
      <c r="K198" s="306" t="s">
        <v>394</v>
      </c>
      <c r="L198" s="41" t="s">
        <v>240</v>
      </c>
      <c r="M198" s="219">
        <f t="shared" si="10"/>
        <v>1</v>
      </c>
      <c r="N198" s="218"/>
      <c r="S198" s="224"/>
      <c r="T198" s="225"/>
      <c r="U198" s="226"/>
      <c r="V198" s="226"/>
      <c r="W198" s="303"/>
      <c r="X198" s="220"/>
      <c r="Z198" s="227"/>
      <c r="AA198" s="220"/>
      <c r="AB198" s="221"/>
      <c r="AC198" s="229"/>
      <c r="AD198" s="230"/>
      <c r="AE198" s="230"/>
      <c r="AF198" s="230"/>
      <c r="AG198" s="227"/>
    </row>
    <row r="199" spans="1:33" x14ac:dyDescent="0.25">
      <c r="A199" s="32" t="s">
        <v>707</v>
      </c>
      <c r="B199" s="306" t="str">
        <f>IF((COUNTBLANK(AA199)=0),Stats!$E$7,IF((COUNTBLANK(N199)=0),IF((COUNTBLANK(X199)=0),IF((COUNTBLANK(AD199)=0),Stats!$E$6,Stats!$E$5),Stats!$E$4),""))</f>
        <v>Check-up</v>
      </c>
      <c r="C199" s="307" t="str">
        <f>IF(B199=Stats!$E$5,Stats!$E$11,"")</f>
        <v>To define</v>
      </c>
      <c r="D199" s="218">
        <v>45905</v>
      </c>
      <c r="E199" s="301">
        <f t="shared" ca="1" si="11"/>
        <v>197</v>
      </c>
      <c r="F199" s="306" t="s">
        <v>708</v>
      </c>
      <c r="G199" s="308" t="s">
        <v>709</v>
      </c>
      <c r="H199" s="306" t="s">
        <v>43</v>
      </c>
      <c r="I199" s="306" t="s">
        <v>44</v>
      </c>
      <c r="J199" s="306" t="s">
        <v>206</v>
      </c>
      <c r="K199" s="306" t="s">
        <v>581</v>
      </c>
      <c r="L199" s="41" t="s">
        <v>413</v>
      </c>
      <c r="M199" s="219">
        <f t="shared" si="10"/>
        <v>1</v>
      </c>
      <c r="N199" s="218">
        <v>45965</v>
      </c>
      <c r="O199" s="34" t="s">
        <v>53</v>
      </c>
      <c r="P199" s="36" t="s">
        <v>593</v>
      </c>
      <c r="Q199" s="36" t="s">
        <v>471</v>
      </c>
      <c r="R199" s="36" t="s">
        <v>594</v>
      </c>
      <c r="S199" s="224" t="s">
        <v>51</v>
      </c>
      <c r="T199" s="225" t="s">
        <v>582</v>
      </c>
      <c r="U199" s="226">
        <v>400</v>
      </c>
      <c r="V199" s="226" t="s">
        <v>243</v>
      </c>
      <c r="W199" s="303"/>
      <c r="X199" s="220">
        <v>45965</v>
      </c>
      <c r="Y199" s="34" t="s">
        <v>53</v>
      </c>
      <c r="Z199" s="227"/>
      <c r="AA199" s="220"/>
      <c r="AB199" s="221"/>
      <c r="AC199" s="229"/>
      <c r="AD199" s="230"/>
      <c r="AE199" s="230"/>
      <c r="AF199" s="230"/>
      <c r="AG199" s="227"/>
    </row>
    <row r="200" spans="1:33" x14ac:dyDescent="0.25">
      <c r="A200" s="32" t="s">
        <v>710</v>
      </c>
      <c r="B200" s="306" t="str">
        <f>IF((COUNTBLANK(AA200)=0),Stats!$E$7,IF((COUNTBLANK(N200)=0),IF((COUNTBLANK(X200)=0),IF((COUNTBLANK(AD200)=0),Stats!$E$6,Stats!$E$5),Stats!$E$4),""))</f>
        <v>Check-up</v>
      </c>
      <c r="C200" s="307" t="s">
        <v>192</v>
      </c>
      <c r="D200" s="218">
        <v>45905</v>
      </c>
      <c r="E200" s="301">
        <f t="shared" ca="1" si="11"/>
        <v>197</v>
      </c>
      <c r="F200" s="306" t="s">
        <v>711</v>
      </c>
      <c r="G200" s="308" t="s">
        <v>709</v>
      </c>
      <c r="H200" s="306" t="s">
        <v>43</v>
      </c>
      <c r="I200" s="306" t="s">
        <v>44</v>
      </c>
      <c r="J200" s="306" t="s">
        <v>206</v>
      </c>
      <c r="K200" s="306" t="s">
        <v>581</v>
      </c>
      <c r="L200" s="41" t="s">
        <v>413</v>
      </c>
      <c r="M200" s="219">
        <f t="shared" si="10"/>
        <v>1</v>
      </c>
      <c r="N200" s="218">
        <v>45965</v>
      </c>
      <c r="O200" s="34" t="s">
        <v>53</v>
      </c>
      <c r="P200" s="36" t="s">
        <v>712</v>
      </c>
      <c r="Q200" s="36" t="s">
        <v>414</v>
      </c>
      <c r="S200" s="224" t="s">
        <v>51</v>
      </c>
      <c r="T200" s="225" t="s">
        <v>582</v>
      </c>
      <c r="U200" s="226">
        <v>400</v>
      </c>
      <c r="V200" s="226" t="s">
        <v>249</v>
      </c>
      <c r="W200" s="303"/>
      <c r="X200" s="220">
        <v>45965</v>
      </c>
      <c r="Y200" s="34" t="s">
        <v>53</v>
      </c>
      <c r="Z200" s="227"/>
      <c r="AA200" s="220"/>
      <c r="AB200" s="221"/>
      <c r="AC200" s="229" t="s">
        <v>713</v>
      </c>
      <c r="AD200" s="230"/>
      <c r="AE200" s="230"/>
      <c r="AF200" s="230"/>
      <c r="AG200" s="227"/>
    </row>
    <row r="201" spans="1:33" x14ac:dyDescent="0.25">
      <c r="A201" s="32" t="s">
        <v>714</v>
      </c>
      <c r="B201" s="306" t="str">
        <f>IF((COUNTBLANK(AA201)=0),Stats!$E$7,IF((COUNTBLANK(N201)=0),IF((COUNTBLANK(X201)=0),IF((COUNTBLANK(AD201)=0),Stats!$E$6,Stats!$E$5),Stats!$E$4),""))</f>
        <v>Check-up</v>
      </c>
      <c r="C201" s="307" t="str">
        <f>IF(B201=Stats!$E$5,Stats!$E$11,"")</f>
        <v>To define</v>
      </c>
      <c r="D201" s="218">
        <v>45905</v>
      </c>
      <c r="E201" s="301">
        <f t="shared" ca="1" si="11"/>
        <v>197</v>
      </c>
      <c r="F201" s="306" t="s">
        <v>715</v>
      </c>
      <c r="G201" s="308" t="s">
        <v>709</v>
      </c>
      <c r="H201" s="306" t="s">
        <v>43</v>
      </c>
      <c r="I201" s="306" t="s">
        <v>44</v>
      </c>
      <c r="J201" s="306" t="s">
        <v>206</v>
      </c>
      <c r="K201" s="306" t="s">
        <v>581</v>
      </c>
      <c r="L201" s="41" t="s">
        <v>413</v>
      </c>
      <c r="M201" s="219">
        <f t="shared" si="10"/>
        <v>1</v>
      </c>
      <c r="N201" s="218">
        <v>45965</v>
      </c>
      <c r="O201" s="34" t="s">
        <v>53</v>
      </c>
      <c r="P201" s="36" t="s">
        <v>712</v>
      </c>
      <c r="Q201" s="36" t="s">
        <v>414</v>
      </c>
      <c r="S201" s="224" t="s">
        <v>51</v>
      </c>
      <c r="T201" s="225" t="s">
        <v>582</v>
      </c>
      <c r="U201" s="226">
        <v>400</v>
      </c>
      <c r="V201" s="226" t="s">
        <v>279</v>
      </c>
      <c r="W201" s="303"/>
      <c r="X201" s="220">
        <v>45965</v>
      </c>
      <c r="Y201" s="34" t="s">
        <v>53</v>
      </c>
      <c r="Z201" s="227"/>
      <c r="AA201" s="220"/>
      <c r="AB201" s="221"/>
      <c r="AC201" s="229"/>
      <c r="AD201" s="230"/>
      <c r="AE201" s="230"/>
      <c r="AF201" s="230"/>
      <c r="AG201" s="227"/>
    </row>
    <row r="202" spans="1:33" x14ac:dyDescent="0.25">
      <c r="A202" s="32" t="s">
        <v>716</v>
      </c>
      <c r="B202" s="306" t="str">
        <f>IF((COUNTBLANK(AA202)=0),Stats!$E$7,IF((COUNTBLANK(N202)=0),IF((COUNTBLANK(X202)=0),IF((COUNTBLANK(AD202)=0),Stats!$E$6,Stats!$E$5),Stats!$E$4),""))</f>
        <v>Check-up</v>
      </c>
      <c r="C202" s="307" t="str">
        <f>IF(B202=Stats!$E$5,Stats!$E$11,"")</f>
        <v>To define</v>
      </c>
      <c r="D202" s="218">
        <v>45905</v>
      </c>
      <c r="E202" s="301">
        <f t="shared" ca="1" si="11"/>
        <v>197</v>
      </c>
      <c r="F202" s="306" t="s">
        <v>717</v>
      </c>
      <c r="G202" s="308" t="s">
        <v>718</v>
      </c>
      <c r="H202" s="306" t="s">
        <v>43</v>
      </c>
      <c r="I202" s="306" t="s">
        <v>114</v>
      </c>
      <c r="J202" s="306" t="s">
        <v>206</v>
      </c>
      <c r="K202" s="306" t="s">
        <v>581</v>
      </c>
      <c r="L202" s="41" t="s">
        <v>413</v>
      </c>
      <c r="M202" s="219">
        <f t="shared" si="10"/>
        <v>1</v>
      </c>
      <c r="N202" s="218">
        <v>45973</v>
      </c>
      <c r="O202" s="34" t="s">
        <v>53</v>
      </c>
      <c r="P202" s="36" t="s">
        <v>712</v>
      </c>
      <c r="Q202" s="36" t="s">
        <v>414</v>
      </c>
      <c r="S202" s="224" t="s">
        <v>51</v>
      </c>
      <c r="T202" s="225" t="s">
        <v>582</v>
      </c>
      <c r="U202" s="226">
        <v>400</v>
      </c>
      <c r="V202" s="226" t="s">
        <v>249</v>
      </c>
      <c r="W202" s="303"/>
      <c r="X202" s="220">
        <v>45973</v>
      </c>
      <c r="Y202" s="34" t="s">
        <v>53</v>
      </c>
      <c r="Z202" s="227"/>
      <c r="AA202" s="220"/>
      <c r="AB202" s="221"/>
      <c r="AC202" s="229"/>
      <c r="AD202" s="230"/>
      <c r="AE202" s="230"/>
      <c r="AF202" s="230"/>
      <c r="AG202" s="227"/>
    </row>
    <row r="203" spans="1:33" x14ac:dyDescent="0.25">
      <c r="A203" s="32" t="s">
        <v>719</v>
      </c>
      <c r="B203" s="306" t="str">
        <f>IF((COUNTBLANK(AA203)=0),Stats!$E$7,IF((COUNTBLANK(N203)=0),IF((COUNTBLANK(X203)=0),IF((COUNTBLANK(AD203)=0),Stats!$E$6,Stats!$E$5),Stats!$E$4),""))</f>
        <v>Check-up</v>
      </c>
      <c r="C203" s="307" t="str">
        <f>IF(B203=Stats!$E$5,Stats!$E$11,"")</f>
        <v>To define</v>
      </c>
      <c r="D203" s="218">
        <v>45905</v>
      </c>
      <c r="E203" s="301">
        <f t="shared" ca="1" si="11"/>
        <v>197</v>
      </c>
      <c r="F203" s="306" t="s">
        <v>720</v>
      </c>
      <c r="G203" s="308" t="s">
        <v>718</v>
      </c>
      <c r="H203" s="306" t="s">
        <v>43</v>
      </c>
      <c r="I203" s="306" t="s">
        <v>114</v>
      </c>
      <c r="J203" s="306" t="s">
        <v>206</v>
      </c>
      <c r="K203" s="306" t="s">
        <v>581</v>
      </c>
      <c r="L203" s="41" t="s">
        <v>413</v>
      </c>
      <c r="M203" s="219">
        <f t="shared" si="10"/>
        <v>1</v>
      </c>
      <c r="N203" s="218">
        <v>45973</v>
      </c>
      <c r="O203" s="34" t="s">
        <v>53</v>
      </c>
      <c r="P203" s="36" t="s">
        <v>712</v>
      </c>
      <c r="Q203" s="36" t="s">
        <v>414</v>
      </c>
      <c r="S203" s="224" t="s">
        <v>51</v>
      </c>
      <c r="T203" s="225" t="s">
        <v>582</v>
      </c>
      <c r="U203" s="226">
        <v>400</v>
      </c>
      <c r="V203" s="226" t="s">
        <v>279</v>
      </c>
      <c r="W203" s="303"/>
      <c r="X203" s="220">
        <v>45973</v>
      </c>
      <c r="Y203" s="34" t="s">
        <v>53</v>
      </c>
      <c r="Z203" s="227"/>
      <c r="AA203" s="220"/>
      <c r="AB203" s="221"/>
      <c r="AC203" s="229"/>
      <c r="AD203" s="230"/>
      <c r="AE203" s="230"/>
      <c r="AF203" s="230"/>
      <c r="AG203" s="227"/>
    </row>
    <row r="204" spans="1:33" x14ac:dyDescent="0.25">
      <c r="A204" s="32" t="s">
        <v>721</v>
      </c>
      <c r="B204" s="306" t="str">
        <f>IF((COUNTBLANK(AA204)=0),Stats!$E$7,IF((COUNTBLANK(N204)=0),IF((COUNTBLANK(X204)=0),IF((COUNTBLANK(AD204)=0),Stats!$E$6,Stats!$E$5),Stats!$E$4),""))</f>
        <v>Death</v>
      </c>
      <c r="C204" s="307" t="str">
        <f>IF(B204=Stats!$E$5,Stats!$E$11,"")</f>
        <v/>
      </c>
      <c r="D204" s="218">
        <v>45905</v>
      </c>
      <c r="E204" s="301">
        <f t="shared" ca="1" si="11"/>
        <v>294</v>
      </c>
      <c r="F204" s="306" t="s">
        <v>722</v>
      </c>
      <c r="G204" s="308" t="s">
        <v>543</v>
      </c>
      <c r="H204" s="306" t="s">
        <v>152</v>
      </c>
      <c r="I204" s="306" t="s">
        <v>44</v>
      </c>
      <c r="J204" s="306" t="s">
        <v>206</v>
      </c>
      <c r="K204" s="306" t="s">
        <v>283</v>
      </c>
      <c r="L204" s="41" t="s">
        <v>284</v>
      </c>
      <c r="M204" s="219">
        <f t="shared" si="10"/>
        <v>1</v>
      </c>
      <c r="N204" s="218"/>
      <c r="S204" s="224"/>
      <c r="T204" s="225"/>
      <c r="U204" s="226"/>
      <c r="V204" s="226"/>
      <c r="W204" s="303"/>
      <c r="X204" s="220"/>
      <c r="Z204" s="227"/>
      <c r="AA204" s="220">
        <v>46031</v>
      </c>
      <c r="AB204" s="221" t="s">
        <v>54</v>
      </c>
      <c r="AC204" s="229"/>
      <c r="AD204" s="230"/>
      <c r="AE204" s="230"/>
      <c r="AF204" s="230"/>
      <c r="AG204" s="227"/>
    </row>
    <row r="205" spans="1:33" x14ac:dyDescent="0.25">
      <c r="A205" s="32" t="s">
        <v>723</v>
      </c>
      <c r="B205" s="306" t="str">
        <f>IF((COUNTBLANK(AA205)=0),Stats!$E$7,IF((COUNTBLANK(N205)=0),IF((COUNTBLANK(X205)=0),IF((COUNTBLANK(AD205)=0),Stats!$E$6,Stats!$E$5),Stats!$E$4),""))</f>
        <v>Death</v>
      </c>
      <c r="C205" s="307" t="str">
        <f>IF(B205=Stats!$E$5,Stats!$E$11,"")</f>
        <v/>
      </c>
      <c r="D205" s="218">
        <v>45905</v>
      </c>
      <c r="E205" s="301">
        <f t="shared" ca="1" si="11"/>
        <v>294</v>
      </c>
      <c r="F205" s="306" t="s">
        <v>724</v>
      </c>
      <c r="G205" s="308" t="s">
        <v>552</v>
      </c>
      <c r="H205" s="306" t="s">
        <v>152</v>
      </c>
      <c r="I205" s="306" t="s">
        <v>114</v>
      </c>
      <c r="J205" s="306" t="s">
        <v>206</v>
      </c>
      <c r="K205" s="306" t="s">
        <v>321</v>
      </c>
      <c r="L205" s="41" t="s">
        <v>284</v>
      </c>
      <c r="M205" s="219">
        <f t="shared" si="10"/>
        <v>1</v>
      </c>
      <c r="N205" s="218">
        <v>45923</v>
      </c>
      <c r="O205" s="34" t="s">
        <v>285</v>
      </c>
      <c r="P205" s="36" t="s">
        <v>493</v>
      </c>
      <c r="S205" s="224" t="s">
        <v>105</v>
      </c>
      <c r="T205" s="225" t="s">
        <v>51</v>
      </c>
      <c r="U205" s="226">
        <v>-450</v>
      </c>
      <c r="V205" s="226">
        <v>500</v>
      </c>
      <c r="W205" s="303"/>
      <c r="X205" s="220">
        <v>45923</v>
      </c>
      <c r="Y205" s="34" t="s">
        <v>285</v>
      </c>
      <c r="Z205" s="227" t="s">
        <v>725</v>
      </c>
      <c r="AA205" s="220">
        <v>46000</v>
      </c>
      <c r="AB205" s="221" t="s">
        <v>54</v>
      </c>
      <c r="AC205" s="229"/>
      <c r="AD205" s="230"/>
      <c r="AE205" s="230"/>
      <c r="AF205" s="230"/>
      <c r="AG205" s="227"/>
    </row>
    <row r="206" spans="1:33" x14ac:dyDescent="0.25">
      <c r="A206" s="32" t="s">
        <v>726</v>
      </c>
      <c r="B206" s="306" t="str">
        <f>IF((COUNTBLANK(AA206)=0),Stats!$E$7,IF((COUNTBLANK(N206)=0),IF((COUNTBLANK(X206)=0),IF((COUNTBLANK(AD206)=0),Stats!$E$6,Stats!$E$5),Stats!$E$4),""))</f>
        <v>Check-up</v>
      </c>
      <c r="C206" s="307" t="s">
        <v>325</v>
      </c>
      <c r="D206" s="218">
        <v>45905</v>
      </c>
      <c r="E206" s="301">
        <f t="shared" ca="1" si="11"/>
        <v>218</v>
      </c>
      <c r="F206" s="306" t="s">
        <v>727</v>
      </c>
      <c r="G206" s="308" t="s">
        <v>728</v>
      </c>
      <c r="H206" s="306" t="s">
        <v>152</v>
      </c>
      <c r="I206" s="306" t="s">
        <v>114</v>
      </c>
      <c r="J206" s="306" t="s">
        <v>206</v>
      </c>
      <c r="K206" s="306" t="s">
        <v>321</v>
      </c>
      <c r="L206" s="41" t="s">
        <v>284</v>
      </c>
      <c r="M206" s="219">
        <f t="shared" si="10"/>
        <v>1</v>
      </c>
      <c r="N206" s="218">
        <v>45909</v>
      </c>
      <c r="O206" s="34" t="s">
        <v>285</v>
      </c>
      <c r="P206" s="36" t="s">
        <v>493</v>
      </c>
      <c r="S206" s="224" t="s">
        <v>105</v>
      </c>
      <c r="T206" s="225" t="s">
        <v>51</v>
      </c>
      <c r="U206" s="226">
        <v>-450</v>
      </c>
      <c r="V206" s="226">
        <v>500</v>
      </c>
      <c r="W206" s="303"/>
      <c r="X206" s="220">
        <v>45909</v>
      </c>
      <c r="Y206" s="34" t="s">
        <v>285</v>
      </c>
      <c r="Z206" s="227" t="s">
        <v>729</v>
      </c>
      <c r="AA206" s="220"/>
      <c r="AB206" s="221"/>
      <c r="AC206" s="229" t="s">
        <v>335</v>
      </c>
      <c r="AD206" s="230"/>
      <c r="AE206" s="230"/>
      <c r="AF206" s="230"/>
      <c r="AG206" s="227"/>
    </row>
    <row r="207" spans="1:33" x14ac:dyDescent="0.25">
      <c r="A207" s="32" t="s">
        <v>730</v>
      </c>
      <c r="B207" s="306" t="str">
        <f>IF((COUNTBLANK(AA207)=0),Stats!$E$7,IF((COUNTBLANK(N207)=0),IF((COUNTBLANK(X207)=0),IF((COUNTBLANK(AD207)=0),Stats!$E$6,Stats!$E$5),Stats!$E$4),""))</f>
        <v>Check-up</v>
      </c>
      <c r="C207" s="307" t="s">
        <v>325</v>
      </c>
      <c r="D207" s="218">
        <v>45905</v>
      </c>
      <c r="E207" s="301">
        <f t="shared" ca="1" si="11"/>
        <v>218</v>
      </c>
      <c r="F207" s="306" t="s">
        <v>731</v>
      </c>
      <c r="G207" s="308" t="s">
        <v>728</v>
      </c>
      <c r="H207" s="306" t="s">
        <v>152</v>
      </c>
      <c r="I207" s="306" t="s">
        <v>114</v>
      </c>
      <c r="J207" s="306" t="s">
        <v>206</v>
      </c>
      <c r="K207" s="306" t="s">
        <v>321</v>
      </c>
      <c r="L207" s="41" t="s">
        <v>284</v>
      </c>
      <c r="M207" s="219">
        <f t="shared" si="10"/>
        <v>1</v>
      </c>
      <c r="N207" s="218">
        <v>45909</v>
      </c>
      <c r="O207" s="34" t="s">
        <v>285</v>
      </c>
      <c r="P207" s="36" t="s">
        <v>493</v>
      </c>
      <c r="S207" s="224" t="s">
        <v>105</v>
      </c>
      <c r="T207" s="225" t="s">
        <v>51</v>
      </c>
      <c r="U207" s="226">
        <v>-450</v>
      </c>
      <c r="V207" s="226">
        <v>500</v>
      </c>
      <c r="W207" s="303"/>
      <c r="X207" s="220">
        <v>45909</v>
      </c>
      <c r="Y207" s="34" t="s">
        <v>285</v>
      </c>
      <c r="Z207" s="227" t="s">
        <v>732</v>
      </c>
      <c r="AA207" s="220"/>
      <c r="AB207" s="221"/>
      <c r="AC207" s="229" t="s">
        <v>335</v>
      </c>
      <c r="AD207" s="230"/>
      <c r="AE207" s="230"/>
      <c r="AF207" s="230"/>
      <c r="AG207" s="227"/>
    </row>
    <row r="208" spans="1:33" x14ac:dyDescent="0.25">
      <c r="A208" s="32" t="s">
        <v>733</v>
      </c>
      <c r="B208" s="306" t="str">
        <f>IF((COUNTBLANK(AA208)=0),Stats!$E$7,IF((COUNTBLANK(N208)=0),IF((COUNTBLANK(X208)=0),IF((COUNTBLANK(AD208)=0),Stats!$E$6,Stats!$E$5),Stats!$E$4),""))</f>
        <v>Check-up</v>
      </c>
      <c r="C208" s="307" t="s">
        <v>325</v>
      </c>
      <c r="D208" s="218">
        <v>45905</v>
      </c>
      <c r="E208" s="301">
        <f t="shared" ca="1" si="11"/>
        <v>218</v>
      </c>
      <c r="F208" s="306" t="s">
        <v>734</v>
      </c>
      <c r="G208" s="308" t="s">
        <v>728</v>
      </c>
      <c r="H208" s="306" t="s">
        <v>152</v>
      </c>
      <c r="I208" s="306" t="s">
        <v>114</v>
      </c>
      <c r="J208" s="306" t="s">
        <v>206</v>
      </c>
      <c r="K208" s="306" t="s">
        <v>321</v>
      </c>
      <c r="L208" s="41" t="s">
        <v>284</v>
      </c>
      <c r="M208" s="219">
        <f t="shared" si="10"/>
        <v>1</v>
      </c>
      <c r="N208" s="218">
        <v>45910</v>
      </c>
      <c r="O208" s="34" t="s">
        <v>285</v>
      </c>
      <c r="P208" s="36" t="s">
        <v>493</v>
      </c>
      <c r="S208" s="224" t="s">
        <v>105</v>
      </c>
      <c r="T208" s="225" t="s">
        <v>51</v>
      </c>
      <c r="U208" s="226">
        <v>-450</v>
      </c>
      <c r="V208" s="226">
        <v>500</v>
      </c>
      <c r="W208" s="303"/>
      <c r="X208" s="220">
        <v>45910</v>
      </c>
      <c r="Y208" s="34" t="s">
        <v>285</v>
      </c>
      <c r="Z208" s="227" t="s">
        <v>735</v>
      </c>
      <c r="AA208" s="220"/>
      <c r="AB208" s="221"/>
      <c r="AC208" s="229" t="s">
        <v>736</v>
      </c>
      <c r="AD208" s="230"/>
      <c r="AE208" s="230"/>
      <c r="AF208" s="230"/>
      <c r="AG208" s="227"/>
    </row>
    <row r="209" spans="1:33" x14ac:dyDescent="0.25">
      <c r="A209" s="32" t="s">
        <v>737</v>
      </c>
      <c r="B209" s="306" t="str">
        <f>IF((COUNTBLANK(AA209)=0),Stats!$E$7,IF((COUNTBLANK(N209)=0),IF((COUNTBLANK(X209)=0),IF((COUNTBLANK(AD209)=0),Stats!$E$6,Stats!$E$5),Stats!$E$4),""))</f>
        <v>Death</v>
      </c>
      <c r="C209" s="307" t="str">
        <f>IF(B209=Stats!$E$5,Stats!$E$11,"")</f>
        <v/>
      </c>
      <c r="D209" s="218">
        <v>45905</v>
      </c>
      <c r="E209" s="301">
        <f t="shared" ca="1" si="11"/>
        <v>314</v>
      </c>
      <c r="F209" s="306" t="s">
        <v>738</v>
      </c>
      <c r="G209" s="308" t="s">
        <v>739</v>
      </c>
      <c r="H209" s="306" t="s">
        <v>152</v>
      </c>
      <c r="I209" s="306" t="s">
        <v>114</v>
      </c>
      <c r="J209" s="306" t="s">
        <v>206</v>
      </c>
      <c r="K209" s="306" t="s">
        <v>283</v>
      </c>
      <c r="L209" s="41" t="s">
        <v>284</v>
      </c>
      <c r="M209" s="219">
        <f t="shared" si="10"/>
        <v>1</v>
      </c>
      <c r="N209" s="218"/>
      <c r="S209" s="224"/>
      <c r="T209" s="225"/>
      <c r="U209" s="226"/>
      <c r="V209" s="226"/>
      <c r="W209" s="303"/>
      <c r="X209" s="220"/>
      <c r="Z209" s="227"/>
      <c r="AA209" s="220">
        <v>45925</v>
      </c>
      <c r="AB209" s="221" t="s">
        <v>54</v>
      </c>
      <c r="AC209" s="229"/>
      <c r="AD209" s="230"/>
      <c r="AE209" s="230"/>
      <c r="AF209" s="230"/>
      <c r="AG209" s="227"/>
    </row>
    <row r="210" spans="1:33" x14ac:dyDescent="0.25">
      <c r="A210" s="32" t="s">
        <v>740</v>
      </c>
      <c r="B210" s="306" t="str">
        <f>IF((COUNTBLANK(AA210)=0),Stats!$E$7,IF((COUNTBLANK(N210)=0),IF((COUNTBLANK(X210)=0),IF((COUNTBLANK(AD210)=0),Stats!$E$6,Stats!$E$5),Stats!$E$4),""))</f>
        <v>Death</v>
      </c>
      <c r="C210" s="307" t="str">
        <f>IF(B210=Stats!$E$5,Stats!$E$11,"")</f>
        <v/>
      </c>
      <c r="D210" s="218">
        <v>45905</v>
      </c>
      <c r="E210" s="301">
        <f t="shared" ca="1" si="11"/>
        <v>314</v>
      </c>
      <c r="F210" s="306" t="s">
        <v>741</v>
      </c>
      <c r="G210" s="308" t="s">
        <v>739</v>
      </c>
      <c r="H210" s="306" t="s">
        <v>152</v>
      </c>
      <c r="I210" s="306" t="s">
        <v>114</v>
      </c>
      <c r="J210" s="306" t="s">
        <v>206</v>
      </c>
      <c r="K210" s="306" t="s">
        <v>283</v>
      </c>
      <c r="L210" s="41" t="s">
        <v>284</v>
      </c>
      <c r="M210" s="219">
        <f t="shared" si="10"/>
        <v>1</v>
      </c>
      <c r="N210" s="218"/>
      <c r="S210" s="224"/>
      <c r="T210" s="225"/>
      <c r="U210" s="226"/>
      <c r="V210" s="226"/>
      <c r="W210" s="303"/>
      <c r="X210" s="220"/>
      <c r="Z210" s="227"/>
      <c r="AA210" s="220">
        <v>45925</v>
      </c>
      <c r="AB210" s="221" t="s">
        <v>54</v>
      </c>
      <c r="AC210" s="229"/>
      <c r="AD210" s="230"/>
      <c r="AE210" s="230"/>
      <c r="AF210" s="230"/>
      <c r="AG210" s="227"/>
    </row>
    <row r="211" spans="1:33" x14ac:dyDescent="0.25">
      <c r="A211" s="32" t="s">
        <v>742</v>
      </c>
      <c r="B211" s="306" t="str">
        <f>IF((COUNTBLANK(AA211)=0),Stats!$E$7,IF((COUNTBLANK(N211)=0),IF((COUNTBLANK(X211)=0),IF((COUNTBLANK(AD211)=0),Stats!$E$6,Stats!$E$5),Stats!$E$4),""))</f>
        <v>Check-up</v>
      </c>
      <c r="C211" s="307" t="s">
        <v>325</v>
      </c>
      <c r="D211" s="218">
        <v>45905</v>
      </c>
      <c r="E211" s="301">
        <f t="shared" ca="1" si="11"/>
        <v>226</v>
      </c>
      <c r="F211" s="306" t="s">
        <v>743</v>
      </c>
      <c r="G211" s="308" t="s">
        <v>744</v>
      </c>
      <c r="H211" s="306" t="s">
        <v>152</v>
      </c>
      <c r="I211" s="306" t="s">
        <v>44</v>
      </c>
      <c r="J211" s="306" t="s">
        <v>206</v>
      </c>
      <c r="K211" s="306" t="s">
        <v>321</v>
      </c>
      <c r="L211" s="41" t="s">
        <v>284</v>
      </c>
      <c r="M211" s="219">
        <f t="shared" si="10"/>
        <v>1</v>
      </c>
      <c r="N211" s="218">
        <v>45910</v>
      </c>
      <c r="O211" s="34" t="s">
        <v>285</v>
      </c>
      <c r="P211" s="36" t="s">
        <v>493</v>
      </c>
      <c r="S211" s="224" t="s">
        <v>105</v>
      </c>
      <c r="T211" s="225" t="s">
        <v>51</v>
      </c>
      <c r="U211" s="226">
        <v>-450</v>
      </c>
      <c r="V211" s="226">
        <v>500</v>
      </c>
      <c r="W211" s="303"/>
      <c r="X211" s="220">
        <v>45910</v>
      </c>
      <c r="Y211" s="34" t="s">
        <v>285</v>
      </c>
      <c r="Z211" s="227" t="s">
        <v>745</v>
      </c>
      <c r="AA211" s="220"/>
      <c r="AB211" s="221"/>
      <c r="AC211" s="229" t="s">
        <v>746</v>
      </c>
      <c r="AD211" s="230"/>
      <c r="AE211" s="230"/>
      <c r="AF211" s="230"/>
      <c r="AG211" s="227"/>
    </row>
    <row r="212" spans="1:33" x14ac:dyDescent="0.25">
      <c r="A212" s="32" t="s">
        <v>747</v>
      </c>
      <c r="B212" s="306" t="str">
        <f>IF((COUNTBLANK(AA212)=0),Stats!$E$7,IF((COUNTBLANK(N212)=0),IF((COUNTBLANK(X212)=0),IF((COUNTBLANK(AD212)=0),Stats!$E$6,Stats!$E$5),Stats!$E$4),""))</f>
        <v>Check-up</v>
      </c>
      <c r="C212" s="307" t="s">
        <v>325</v>
      </c>
      <c r="D212" s="218">
        <v>45905</v>
      </c>
      <c r="E212" s="301">
        <f t="shared" ca="1" si="11"/>
        <v>226</v>
      </c>
      <c r="F212" s="306" t="s">
        <v>748</v>
      </c>
      <c r="G212" s="308" t="s">
        <v>744</v>
      </c>
      <c r="H212" s="306" t="s">
        <v>152</v>
      </c>
      <c r="I212" s="306" t="s">
        <v>44</v>
      </c>
      <c r="J212" s="306" t="s">
        <v>206</v>
      </c>
      <c r="K212" s="306" t="s">
        <v>321</v>
      </c>
      <c r="L212" s="41" t="s">
        <v>284</v>
      </c>
      <c r="M212" s="219">
        <f t="shared" si="10"/>
        <v>1</v>
      </c>
      <c r="N212" s="218">
        <v>45915</v>
      </c>
      <c r="O212" s="34" t="s">
        <v>285</v>
      </c>
      <c r="P212" s="36" t="s">
        <v>493</v>
      </c>
      <c r="S212" s="224" t="s">
        <v>105</v>
      </c>
      <c r="T212" s="225" t="s">
        <v>51</v>
      </c>
      <c r="U212" s="226">
        <v>-450</v>
      </c>
      <c r="V212" s="226">
        <v>500</v>
      </c>
      <c r="W212" s="303"/>
      <c r="X212" s="220">
        <v>45915</v>
      </c>
      <c r="Y212" s="34" t="s">
        <v>285</v>
      </c>
      <c r="Z212" s="227" t="s">
        <v>745</v>
      </c>
      <c r="AA212" s="220"/>
      <c r="AB212" s="221"/>
      <c r="AC212" s="229" t="s">
        <v>335</v>
      </c>
      <c r="AD212" s="230"/>
      <c r="AE212" s="230"/>
      <c r="AF212" s="230"/>
      <c r="AG212" s="227"/>
    </row>
    <row r="213" spans="1:33" x14ac:dyDescent="0.25">
      <c r="A213" s="32" t="s">
        <v>749</v>
      </c>
      <c r="B213" s="306" t="str">
        <f>IF((COUNTBLANK(AA213)=0),Stats!$E$7,IF((COUNTBLANK(N213)=0),IF((COUNTBLANK(X213)=0),IF((COUNTBLANK(AD213)=0),Stats!$E$6,Stats!$E$5),Stats!$E$4),""))</f>
        <v>Check-up</v>
      </c>
      <c r="C213" s="307" t="s">
        <v>325</v>
      </c>
      <c r="D213" s="218">
        <v>45905</v>
      </c>
      <c r="E213" s="301">
        <f t="shared" ca="1" si="11"/>
        <v>226</v>
      </c>
      <c r="F213" s="306" t="s">
        <v>750</v>
      </c>
      <c r="G213" s="308" t="s">
        <v>744</v>
      </c>
      <c r="H213" s="306" t="s">
        <v>152</v>
      </c>
      <c r="I213" s="306" t="s">
        <v>44</v>
      </c>
      <c r="J213" s="306" t="s">
        <v>206</v>
      </c>
      <c r="K213" s="306" t="s">
        <v>321</v>
      </c>
      <c r="L213" s="41" t="s">
        <v>284</v>
      </c>
      <c r="M213" s="219">
        <f t="shared" ref="M213:M276" si="12">COUNTA(D213)*COUNTA(F213)*COUNTA(J213)*COUNTA(L213)</f>
        <v>1</v>
      </c>
      <c r="N213" s="218">
        <v>45915</v>
      </c>
      <c r="O213" s="34" t="s">
        <v>285</v>
      </c>
      <c r="P213" s="36" t="s">
        <v>493</v>
      </c>
      <c r="S213" s="224" t="s">
        <v>105</v>
      </c>
      <c r="T213" s="225" t="s">
        <v>51</v>
      </c>
      <c r="U213" s="226">
        <v>-450</v>
      </c>
      <c r="V213" s="226">
        <v>500</v>
      </c>
      <c r="W213" s="303"/>
      <c r="X213" s="220">
        <v>45915</v>
      </c>
      <c r="Y213" s="34" t="s">
        <v>285</v>
      </c>
      <c r="Z213" s="227" t="s">
        <v>745</v>
      </c>
      <c r="AA213" s="220"/>
      <c r="AB213" s="221"/>
      <c r="AC213" s="229" t="s">
        <v>335</v>
      </c>
      <c r="AD213" s="230"/>
      <c r="AE213" s="230"/>
      <c r="AF213" s="230"/>
      <c r="AG213" s="227"/>
    </row>
    <row r="214" spans="1:33" x14ac:dyDescent="0.25">
      <c r="A214" s="32" t="s">
        <v>751</v>
      </c>
      <c r="B214" s="306" t="str">
        <f>IF((COUNTBLANK(AA214)=0),Stats!$E$7,IF((COUNTBLANK(N214)=0),IF((COUNTBLANK(X214)=0),IF((COUNTBLANK(AD214)=0),Stats!$E$6,Stats!$E$5),Stats!$E$4),""))</f>
        <v>Check-up</v>
      </c>
      <c r="C214" s="307" t="s">
        <v>325</v>
      </c>
      <c r="D214" s="218">
        <v>45905</v>
      </c>
      <c r="E214" s="301">
        <f t="shared" ca="1" si="11"/>
        <v>226</v>
      </c>
      <c r="F214" s="306" t="s">
        <v>752</v>
      </c>
      <c r="G214" s="308" t="s">
        <v>744</v>
      </c>
      <c r="H214" s="306" t="s">
        <v>152</v>
      </c>
      <c r="I214" s="306" t="s">
        <v>44</v>
      </c>
      <c r="J214" s="306" t="s">
        <v>206</v>
      </c>
      <c r="K214" s="306" t="s">
        <v>321</v>
      </c>
      <c r="L214" s="41" t="s">
        <v>284</v>
      </c>
      <c r="M214" s="219">
        <f t="shared" si="12"/>
        <v>1</v>
      </c>
      <c r="N214" s="218">
        <v>45922</v>
      </c>
      <c r="O214" s="34" t="s">
        <v>285</v>
      </c>
      <c r="P214" s="36" t="s">
        <v>493</v>
      </c>
      <c r="S214" s="224" t="s">
        <v>105</v>
      </c>
      <c r="T214" s="225" t="s">
        <v>51</v>
      </c>
      <c r="U214" s="226">
        <v>-450</v>
      </c>
      <c r="V214" s="226">
        <v>500</v>
      </c>
      <c r="W214" s="303"/>
      <c r="X214" s="220">
        <v>45922</v>
      </c>
      <c r="Y214" s="34" t="s">
        <v>285</v>
      </c>
      <c r="Z214" s="227" t="s">
        <v>649</v>
      </c>
      <c r="AA214" s="220"/>
      <c r="AB214" s="221"/>
      <c r="AC214" s="229" t="s">
        <v>753</v>
      </c>
      <c r="AD214" s="230"/>
      <c r="AE214" s="230"/>
      <c r="AF214" s="230"/>
      <c r="AG214" s="227"/>
    </row>
    <row r="215" spans="1:33" x14ac:dyDescent="0.25">
      <c r="A215" s="32" t="s">
        <v>754</v>
      </c>
      <c r="B215" s="306" t="str">
        <f>IF((COUNTBLANK(AA215)=0),Stats!$E$7,IF((COUNTBLANK(N215)=0),IF((COUNTBLANK(X215)=0),IF((COUNTBLANK(AD215)=0),Stats!$E$6,Stats!$E$5),Stats!$E$4),""))</f>
        <v>Check-up</v>
      </c>
      <c r="C215" s="307" t="s">
        <v>325</v>
      </c>
      <c r="D215" s="218">
        <v>45905</v>
      </c>
      <c r="E215" s="301">
        <f t="shared" ca="1" si="11"/>
        <v>226</v>
      </c>
      <c r="F215" s="306" t="s">
        <v>755</v>
      </c>
      <c r="G215" s="308" t="s">
        <v>756</v>
      </c>
      <c r="H215" s="306" t="s">
        <v>152</v>
      </c>
      <c r="I215" s="306" t="s">
        <v>114</v>
      </c>
      <c r="J215" s="306" t="s">
        <v>206</v>
      </c>
      <c r="K215" s="306" t="s">
        <v>321</v>
      </c>
      <c r="L215" s="41" t="s">
        <v>284</v>
      </c>
      <c r="M215" s="219">
        <f t="shared" si="12"/>
        <v>1</v>
      </c>
      <c r="N215" s="218">
        <v>45922</v>
      </c>
      <c r="O215" s="34" t="s">
        <v>285</v>
      </c>
      <c r="P215" s="36" t="s">
        <v>493</v>
      </c>
      <c r="S215" s="224" t="s">
        <v>105</v>
      </c>
      <c r="T215" s="225" t="s">
        <v>51</v>
      </c>
      <c r="U215" s="226">
        <v>-450</v>
      </c>
      <c r="V215" s="226">
        <v>500</v>
      </c>
      <c r="W215" s="303"/>
      <c r="X215" s="220">
        <v>45922</v>
      </c>
      <c r="Y215" s="34" t="s">
        <v>285</v>
      </c>
      <c r="Z215" s="227" t="s">
        <v>279</v>
      </c>
      <c r="AA215" s="220"/>
      <c r="AB215" s="221"/>
      <c r="AC215" s="229" t="s">
        <v>753</v>
      </c>
      <c r="AD215" s="230"/>
      <c r="AE215" s="230"/>
      <c r="AF215" s="230"/>
      <c r="AG215" s="227"/>
    </row>
    <row r="216" spans="1:33" x14ac:dyDescent="0.25">
      <c r="A216" s="32" t="s">
        <v>757</v>
      </c>
      <c r="B216" s="306" t="str">
        <f>IF((COUNTBLANK(AA216)=0),Stats!$E$7,IF((COUNTBLANK(N216)=0),IF((COUNTBLANK(X216)=0),IF((COUNTBLANK(AD216)=0),Stats!$E$6,Stats!$E$5),Stats!$E$4),""))</f>
        <v>Check-up</v>
      </c>
      <c r="C216" s="307" t="s">
        <v>325</v>
      </c>
      <c r="D216" s="218">
        <v>45905</v>
      </c>
      <c r="E216" s="301">
        <f t="shared" ca="1" si="11"/>
        <v>226</v>
      </c>
      <c r="F216" s="306" t="s">
        <v>758</v>
      </c>
      <c r="G216" s="308" t="s">
        <v>756</v>
      </c>
      <c r="H216" s="306" t="s">
        <v>152</v>
      </c>
      <c r="I216" s="306" t="s">
        <v>114</v>
      </c>
      <c r="J216" s="306" t="s">
        <v>206</v>
      </c>
      <c r="K216" s="306" t="s">
        <v>321</v>
      </c>
      <c r="L216" s="41" t="s">
        <v>284</v>
      </c>
      <c r="M216" s="219">
        <f t="shared" si="12"/>
        <v>1</v>
      </c>
      <c r="N216" s="218">
        <v>45923</v>
      </c>
      <c r="O216" s="34" t="s">
        <v>285</v>
      </c>
      <c r="P216" s="36" t="s">
        <v>493</v>
      </c>
      <c r="S216" s="224" t="s">
        <v>105</v>
      </c>
      <c r="T216" s="225" t="s">
        <v>51</v>
      </c>
      <c r="U216" s="226">
        <v>-450</v>
      </c>
      <c r="V216" s="226">
        <v>500</v>
      </c>
      <c r="W216" s="303"/>
      <c r="X216" s="220">
        <v>45923</v>
      </c>
      <c r="Y216" s="34" t="s">
        <v>285</v>
      </c>
      <c r="Z216" s="227" t="s">
        <v>291</v>
      </c>
      <c r="AA216" s="220"/>
      <c r="AB216" s="221"/>
      <c r="AC216" s="229" t="s">
        <v>759</v>
      </c>
      <c r="AD216" s="230"/>
      <c r="AE216" s="230"/>
      <c r="AF216" s="230"/>
      <c r="AG216" s="227"/>
    </row>
    <row r="217" spans="1:33" x14ac:dyDescent="0.25">
      <c r="A217" s="32" t="s">
        <v>760</v>
      </c>
      <c r="B217" s="306" t="str">
        <f>IF((COUNTBLANK(AA217)=0),Stats!$E$7,IF((COUNTBLANK(N217)=0),IF((COUNTBLANK(X217)=0),IF((COUNTBLANK(AD217)=0),Stats!$E$6,Stats!$E$5),Stats!$E$4),""))</f>
        <v/>
      </c>
      <c r="C217" s="307" t="s">
        <v>325</v>
      </c>
      <c r="D217" s="218">
        <v>45905</v>
      </c>
      <c r="E217" s="301">
        <f t="shared" ca="1" si="11"/>
        <v>252</v>
      </c>
      <c r="F217" s="306" t="s">
        <v>761</v>
      </c>
      <c r="G217" s="308" t="s">
        <v>762</v>
      </c>
      <c r="H217" s="306" t="s">
        <v>763</v>
      </c>
      <c r="I217" s="306" t="s">
        <v>114</v>
      </c>
      <c r="J217" s="306" t="s">
        <v>206</v>
      </c>
      <c r="K217" s="306" t="s">
        <v>394</v>
      </c>
      <c r="L217" s="41" t="s">
        <v>240</v>
      </c>
      <c r="M217" s="219">
        <f t="shared" si="12"/>
        <v>1</v>
      </c>
      <c r="N217" s="218"/>
      <c r="S217" s="224"/>
      <c r="T217" s="225"/>
      <c r="U217" s="226"/>
      <c r="V217" s="226"/>
      <c r="W217" s="303"/>
      <c r="X217" s="220"/>
      <c r="Z217" s="227"/>
      <c r="AA217" s="220"/>
      <c r="AB217" s="221"/>
      <c r="AC217" s="229"/>
      <c r="AD217" s="230"/>
      <c r="AE217" s="230"/>
      <c r="AF217" s="230"/>
      <c r="AG217" s="227"/>
    </row>
    <row r="218" spans="1:33" x14ac:dyDescent="0.25">
      <c r="A218" s="32" t="s">
        <v>764</v>
      </c>
      <c r="B218" s="306" t="str">
        <f>IF((COUNTBLANK(AA218)=0),Stats!$E$7,IF((COUNTBLANK(N218)=0),IF((COUNTBLANK(X218)=0),IF((COUNTBLANK(AD218)=0),Stats!$E$6,Stats!$E$5),Stats!$E$4),""))</f>
        <v/>
      </c>
      <c r="C218" s="307" t="s">
        <v>325</v>
      </c>
      <c r="D218" s="218">
        <v>45905</v>
      </c>
      <c r="E218" s="301">
        <f t="shared" ca="1" si="11"/>
        <v>252</v>
      </c>
      <c r="F218" s="306" t="s">
        <v>765</v>
      </c>
      <c r="G218" s="308" t="s">
        <v>762</v>
      </c>
      <c r="H218" s="306" t="s">
        <v>763</v>
      </c>
      <c r="I218" s="306" t="s">
        <v>114</v>
      </c>
      <c r="J218" s="306" t="s">
        <v>206</v>
      </c>
      <c r="K218" s="306" t="s">
        <v>394</v>
      </c>
      <c r="L218" s="41" t="s">
        <v>240</v>
      </c>
      <c r="M218" s="219">
        <f t="shared" si="12"/>
        <v>1</v>
      </c>
      <c r="N218" s="218"/>
      <c r="S218" s="224"/>
      <c r="T218" s="225"/>
      <c r="U218" s="226"/>
      <c r="V218" s="226"/>
      <c r="W218" s="303"/>
      <c r="X218" s="220"/>
      <c r="Z218" s="227"/>
      <c r="AA218" s="220"/>
      <c r="AB218" s="221"/>
      <c r="AC218" s="229"/>
      <c r="AD218" s="230"/>
      <c r="AE218" s="230"/>
      <c r="AF218" s="230"/>
      <c r="AG218" s="227"/>
    </row>
    <row r="219" spans="1:33" x14ac:dyDescent="0.25">
      <c r="A219" s="32" t="s">
        <v>766</v>
      </c>
      <c r="B219" s="306" t="str">
        <f>IF((COUNTBLANK(AA219)=0),Stats!$E$7,IF((COUNTBLANK(N219)=0),IF((COUNTBLANK(X219)=0),IF((COUNTBLANK(AD219)=0),Stats!$E$6,Stats!$E$5),Stats!$E$4),""))</f>
        <v/>
      </c>
      <c r="C219" s="307" t="s">
        <v>325</v>
      </c>
      <c r="D219" s="218">
        <v>45905</v>
      </c>
      <c r="E219" s="301">
        <f t="shared" ca="1" si="11"/>
        <v>252</v>
      </c>
      <c r="F219" s="306" t="s">
        <v>767</v>
      </c>
      <c r="G219" s="308" t="s">
        <v>762</v>
      </c>
      <c r="H219" s="306" t="s">
        <v>763</v>
      </c>
      <c r="I219" s="306" t="s">
        <v>114</v>
      </c>
      <c r="J219" s="306" t="s">
        <v>206</v>
      </c>
      <c r="K219" s="306" t="s">
        <v>394</v>
      </c>
      <c r="L219" s="41" t="s">
        <v>240</v>
      </c>
      <c r="M219" s="219">
        <f t="shared" si="12"/>
        <v>1</v>
      </c>
      <c r="N219" s="218"/>
      <c r="S219" s="224"/>
      <c r="T219" s="225"/>
      <c r="U219" s="226"/>
      <c r="V219" s="226"/>
      <c r="W219" s="303"/>
      <c r="X219" s="220"/>
      <c r="Z219" s="227"/>
      <c r="AA219" s="220"/>
      <c r="AB219" s="221"/>
      <c r="AC219" s="229"/>
      <c r="AD219" s="230"/>
      <c r="AE219" s="230"/>
      <c r="AF219" s="230"/>
      <c r="AG219" s="227"/>
    </row>
    <row r="220" spans="1:33" x14ac:dyDescent="0.25">
      <c r="A220" s="32" t="s">
        <v>768</v>
      </c>
      <c r="B220" s="306" t="str">
        <f>IF((COUNTBLANK(AA220)=0),Stats!$E$7,IF((COUNTBLANK(N220)=0),IF((COUNTBLANK(X220)=0),IF((COUNTBLANK(AD220)=0),Stats!$E$6,Stats!$E$5),Stats!$E$4),""))</f>
        <v/>
      </c>
      <c r="C220" s="307" t="s">
        <v>325</v>
      </c>
      <c r="D220" s="218">
        <v>45905</v>
      </c>
      <c r="E220" s="301">
        <f t="shared" ca="1" si="11"/>
        <v>254</v>
      </c>
      <c r="F220" s="306" t="s">
        <v>769</v>
      </c>
      <c r="G220" s="308" t="s">
        <v>770</v>
      </c>
      <c r="H220" s="306" t="s">
        <v>763</v>
      </c>
      <c r="I220" s="306" t="s">
        <v>114</v>
      </c>
      <c r="J220" s="306" t="s">
        <v>206</v>
      </c>
      <c r="K220" s="306" t="s">
        <v>394</v>
      </c>
      <c r="L220" s="41" t="s">
        <v>240</v>
      </c>
      <c r="M220" s="219">
        <f t="shared" si="12"/>
        <v>1</v>
      </c>
      <c r="N220" s="218"/>
      <c r="S220" s="224"/>
      <c r="T220" s="225"/>
      <c r="U220" s="226"/>
      <c r="V220" s="226"/>
      <c r="W220" s="303"/>
      <c r="X220" s="220"/>
      <c r="Z220" s="227"/>
      <c r="AA220" s="220"/>
      <c r="AB220" s="221"/>
      <c r="AC220" s="229"/>
      <c r="AD220" s="230"/>
      <c r="AE220" s="230"/>
      <c r="AF220" s="230"/>
      <c r="AG220" s="227"/>
    </row>
    <row r="221" spans="1:33" x14ac:dyDescent="0.25">
      <c r="A221" s="32" t="s">
        <v>771</v>
      </c>
      <c r="B221" s="306" t="str">
        <f>IF((COUNTBLANK(AA221)=0),Stats!$E$7,IF((COUNTBLANK(N221)=0),IF((COUNTBLANK(X221)=0),IF((COUNTBLANK(AD221)=0),Stats!$E$6,Stats!$E$5),Stats!$E$4),""))</f>
        <v/>
      </c>
      <c r="C221" s="307" t="s">
        <v>325</v>
      </c>
      <c r="D221" s="218">
        <v>45905</v>
      </c>
      <c r="E221" s="301">
        <f t="shared" ca="1" si="11"/>
        <v>254</v>
      </c>
      <c r="F221" s="306" t="s">
        <v>772</v>
      </c>
      <c r="G221" s="308" t="s">
        <v>770</v>
      </c>
      <c r="H221" s="306" t="s">
        <v>763</v>
      </c>
      <c r="I221" s="306" t="s">
        <v>114</v>
      </c>
      <c r="J221" s="306" t="s">
        <v>206</v>
      </c>
      <c r="K221" s="306" t="s">
        <v>394</v>
      </c>
      <c r="L221" s="41" t="s">
        <v>240</v>
      </c>
      <c r="M221" s="219">
        <f t="shared" si="12"/>
        <v>1</v>
      </c>
      <c r="N221" s="218"/>
      <c r="S221" s="224"/>
      <c r="T221" s="225"/>
      <c r="U221" s="226"/>
      <c r="V221" s="226"/>
      <c r="W221" s="303"/>
      <c r="X221" s="220"/>
      <c r="Z221" s="227"/>
      <c r="AA221" s="220"/>
      <c r="AB221" s="221"/>
      <c r="AC221" s="229"/>
      <c r="AD221" s="230"/>
      <c r="AE221" s="230"/>
      <c r="AF221" s="230"/>
      <c r="AG221" s="227"/>
    </row>
    <row r="222" spans="1:33" x14ac:dyDescent="0.25">
      <c r="A222" s="32" t="s">
        <v>773</v>
      </c>
      <c r="B222" s="306" t="str">
        <f>IF((COUNTBLANK(AA222)=0),Stats!$E$7,IF((COUNTBLANK(N222)=0),IF((COUNTBLANK(X222)=0),IF((COUNTBLANK(AD222)=0),Stats!$E$6,Stats!$E$5),Stats!$E$4),""))</f>
        <v/>
      </c>
      <c r="C222" s="307" t="s">
        <v>325</v>
      </c>
      <c r="D222" s="218">
        <v>45905</v>
      </c>
      <c r="E222" s="301">
        <f t="shared" ca="1" si="11"/>
        <v>254</v>
      </c>
      <c r="F222" s="306" t="s">
        <v>774</v>
      </c>
      <c r="G222" s="308" t="s">
        <v>770</v>
      </c>
      <c r="H222" s="306" t="s">
        <v>763</v>
      </c>
      <c r="I222" s="306" t="s">
        <v>114</v>
      </c>
      <c r="J222" s="306" t="s">
        <v>206</v>
      </c>
      <c r="K222" s="306" t="s">
        <v>394</v>
      </c>
      <c r="L222" s="41" t="s">
        <v>240</v>
      </c>
      <c r="M222" s="219">
        <f t="shared" si="12"/>
        <v>1</v>
      </c>
      <c r="N222" s="218"/>
      <c r="S222" s="224"/>
      <c r="T222" s="225"/>
      <c r="U222" s="226"/>
      <c r="V222" s="226"/>
      <c r="W222" s="303"/>
      <c r="X222" s="220"/>
      <c r="Z222" s="227"/>
      <c r="AA222" s="220"/>
      <c r="AB222" s="221"/>
      <c r="AC222" s="229"/>
      <c r="AD222" s="230"/>
      <c r="AE222" s="230"/>
      <c r="AF222" s="230"/>
      <c r="AG222" s="227"/>
    </row>
    <row r="223" spans="1:33" x14ac:dyDescent="0.25">
      <c r="A223" s="32" t="s">
        <v>775</v>
      </c>
      <c r="B223" s="306" t="str">
        <f>IF((COUNTBLANK(AA223)=0),Stats!$E$7,IF((COUNTBLANK(N223)=0),IF((COUNTBLANK(X223)=0),IF((COUNTBLANK(AD223)=0),Stats!$E$6,Stats!$E$5),Stats!$E$4),""))</f>
        <v>Check-up</v>
      </c>
      <c r="C223" s="307" t="s">
        <v>325</v>
      </c>
      <c r="D223" s="218">
        <v>45905</v>
      </c>
      <c r="E223" s="301">
        <f t="shared" ca="1" si="11"/>
        <v>254</v>
      </c>
      <c r="F223" s="306" t="s">
        <v>776</v>
      </c>
      <c r="G223" s="308" t="s">
        <v>770</v>
      </c>
      <c r="H223" s="306" t="s">
        <v>763</v>
      </c>
      <c r="I223" s="306" t="s">
        <v>114</v>
      </c>
      <c r="J223" s="306" t="s">
        <v>206</v>
      </c>
      <c r="K223" s="306" t="s">
        <v>394</v>
      </c>
      <c r="L223" s="41" t="s">
        <v>46</v>
      </c>
      <c r="M223" s="219">
        <f t="shared" si="12"/>
        <v>1</v>
      </c>
      <c r="N223" s="218">
        <v>45989</v>
      </c>
      <c r="O223" s="34" t="s">
        <v>621</v>
      </c>
      <c r="S223" s="224"/>
      <c r="T223" s="225" t="s">
        <v>625</v>
      </c>
      <c r="U223" s="226"/>
      <c r="V223" s="226"/>
      <c r="W223" s="303"/>
      <c r="X223" s="220">
        <v>45989</v>
      </c>
      <c r="Y223" s="34" t="s">
        <v>621</v>
      </c>
      <c r="Z223" s="227" t="s">
        <v>777</v>
      </c>
      <c r="AA223" s="220"/>
      <c r="AB223" s="221"/>
      <c r="AC223" s="229"/>
      <c r="AD223" s="230"/>
      <c r="AE223" s="230"/>
      <c r="AF223" s="230"/>
      <c r="AG223" s="227"/>
    </row>
    <row r="224" spans="1:33" x14ac:dyDescent="0.25">
      <c r="A224" s="32" t="s">
        <v>778</v>
      </c>
      <c r="B224" s="306" t="str">
        <f>IF((COUNTBLANK(AA224)=0),Stats!$E$7,IF((COUNTBLANK(N224)=0),IF((COUNTBLANK(X224)=0),IF((COUNTBLANK(AD224)=0),Stats!$E$6,Stats!$E$5),Stats!$E$4),""))</f>
        <v/>
      </c>
      <c r="C224" s="307" t="s">
        <v>325</v>
      </c>
      <c r="D224" s="218">
        <v>45905</v>
      </c>
      <c r="E224" s="301">
        <f t="shared" ca="1" si="11"/>
        <v>254</v>
      </c>
      <c r="F224" s="306" t="s">
        <v>779</v>
      </c>
      <c r="G224" s="308" t="s">
        <v>770</v>
      </c>
      <c r="H224" s="306" t="s">
        <v>763</v>
      </c>
      <c r="I224" s="306" t="s">
        <v>114</v>
      </c>
      <c r="J224" s="306" t="s">
        <v>206</v>
      </c>
      <c r="K224" s="306" t="s">
        <v>394</v>
      </c>
      <c r="L224" s="41" t="s">
        <v>46</v>
      </c>
      <c r="M224" s="219">
        <f t="shared" si="12"/>
        <v>1</v>
      </c>
      <c r="N224" s="218"/>
      <c r="S224" s="224"/>
      <c r="T224" s="225"/>
      <c r="U224" s="226"/>
      <c r="V224" s="226"/>
      <c r="W224" s="303"/>
      <c r="X224" s="220"/>
      <c r="Z224" s="227"/>
      <c r="AA224" s="220"/>
      <c r="AB224" s="221"/>
      <c r="AC224" s="229"/>
      <c r="AD224" s="230"/>
      <c r="AE224" s="230"/>
      <c r="AF224" s="230"/>
      <c r="AG224" s="227"/>
    </row>
    <row r="225" spans="1:33" x14ac:dyDescent="0.25">
      <c r="A225" s="32" t="s">
        <v>780</v>
      </c>
      <c r="B225" s="306" t="str">
        <f>IF((COUNTBLANK(AA225)=0),Stats!$E$7,IF((COUNTBLANK(N225)=0),IF((COUNTBLANK(X225)=0),IF((COUNTBLANK(AD225)=0),Stats!$E$6,Stats!$E$5),Stats!$E$4),""))</f>
        <v>Death</v>
      </c>
      <c r="C225" s="307" t="str">
        <f>IF(B225=Stats!$E$5,Stats!$E$11,"")</f>
        <v/>
      </c>
      <c r="D225" s="218">
        <v>45905</v>
      </c>
      <c r="E225" s="301">
        <f t="shared" ca="1" si="11"/>
        <v>304</v>
      </c>
      <c r="F225" s="306" t="s">
        <v>781</v>
      </c>
      <c r="G225" s="308" t="s">
        <v>782</v>
      </c>
      <c r="H225" s="306" t="s">
        <v>152</v>
      </c>
      <c r="I225" s="306" t="s">
        <v>44</v>
      </c>
      <c r="J225" s="306" t="s">
        <v>206</v>
      </c>
      <c r="K225" s="306" t="s">
        <v>394</v>
      </c>
      <c r="L225" s="41" t="s">
        <v>240</v>
      </c>
      <c r="M225" s="219">
        <f t="shared" si="12"/>
        <v>1</v>
      </c>
      <c r="N225" s="218"/>
      <c r="S225" s="224"/>
      <c r="T225" s="225"/>
      <c r="U225" s="226"/>
      <c r="V225" s="226"/>
      <c r="W225" s="303"/>
      <c r="X225" s="220"/>
      <c r="Z225" s="227"/>
      <c r="AA225" s="220">
        <v>45925</v>
      </c>
      <c r="AB225" s="221" t="s">
        <v>54</v>
      </c>
      <c r="AC225" s="229"/>
      <c r="AD225" s="230"/>
      <c r="AE225" s="230"/>
      <c r="AF225" s="230"/>
      <c r="AG225" s="227"/>
    </row>
    <row r="226" spans="1:33" x14ac:dyDescent="0.25">
      <c r="A226" s="32" t="s">
        <v>783</v>
      </c>
      <c r="B226" s="306" t="str">
        <f>IF((COUNTBLANK(AA226)=0),Stats!$E$7,IF((COUNTBLANK(N226)=0),IF((COUNTBLANK(X226)=0),IF((COUNTBLANK(AD226)=0),Stats!$E$6,Stats!$E$5),Stats!$E$4),""))</f>
        <v>Death</v>
      </c>
      <c r="C226" s="307" t="str">
        <f>IF(B226=Stats!$E$5,Stats!$E$11,"")</f>
        <v/>
      </c>
      <c r="D226" s="218">
        <v>45905</v>
      </c>
      <c r="E226" s="301">
        <f t="shared" ca="1" si="11"/>
        <v>304</v>
      </c>
      <c r="F226" s="306" t="s">
        <v>784</v>
      </c>
      <c r="G226" s="308" t="s">
        <v>782</v>
      </c>
      <c r="H226" s="306" t="s">
        <v>152</v>
      </c>
      <c r="I226" s="306" t="s">
        <v>44</v>
      </c>
      <c r="J226" s="306" t="s">
        <v>206</v>
      </c>
      <c r="K226" s="306" t="s">
        <v>394</v>
      </c>
      <c r="L226" s="41" t="s">
        <v>240</v>
      </c>
      <c r="M226" s="219">
        <f t="shared" si="12"/>
        <v>1</v>
      </c>
      <c r="N226" s="218"/>
      <c r="S226" s="224"/>
      <c r="T226" s="225"/>
      <c r="U226" s="226"/>
      <c r="V226" s="226"/>
      <c r="W226" s="303"/>
      <c r="X226" s="220"/>
      <c r="Z226" s="227"/>
      <c r="AA226" s="220">
        <v>45925</v>
      </c>
      <c r="AB226" s="221" t="s">
        <v>54</v>
      </c>
      <c r="AC226" s="229"/>
      <c r="AD226" s="230"/>
      <c r="AE226" s="230"/>
      <c r="AF226" s="230"/>
      <c r="AG226" s="227"/>
    </row>
    <row r="227" spans="1:33" x14ac:dyDescent="0.25">
      <c r="A227" s="32" t="s">
        <v>785</v>
      </c>
      <c r="B227" s="306" t="str">
        <f>IF((COUNTBLANK(AA227)=0),Stats!$E$7,IF((COUNTBLANK(N227)=0),IF((COUNTBLANK(X227)=0),IF((COUNTBLANK(AD227)=0),Stats!$E$6,Stats!$E$5),Stats!$E$4),""))</f>
        <v>Check-up</v>
      </c>
      <c r="C227" s="307" t="str">
        <f>IF(B227=Stats!$E$5,Stats!$E$11,"")</f>
        <v>To define</v>
      </c>
      <c r="D227" s="218">
        <v>45905</v>
      </c>
      <c r="E227" s="301">
        <f t="shared" ca="1" si="11"/>
        <v>265</v>
      </c>
      <c r="F227" s="306" t="s">
        <v>786</v>
      </c>
      <c r="G227" s="308" t="s">
        <v>787</v>
      </c>
      <c r="H227" s="306" t="s">
        <v>565</v>
      </c>
      <c r="I227" s="306" t="s">
        <v>114</v>
      </c>
      <c r="J227" s="306" t="s">
        <v>206</v>
      </c>
      <c r="K227" s="306" t="s">
        <v>272</v>
      </c>
      <c r="L227" s="41" t="s">
        <v>240</v>
      </c>
      <c r="M227" s="219">
        <f t="shared" si="12"/>
        <v>1</v>
      </c>
      <c r="N227" s="218">
        <v>45906</v>
      </c>
      <c r="O227" s="34" t="s">
        <v>53</v>
      </c>
      <c r="P227" s="36" t="s">
        <v>242</v>
      </c>
      <c r="S227" s="224"/>
      <c r="T227" s="225" t="s">
        <v>478</v>
      </c>
      <c r="U227" s="226" t="s">
        <v>273</v>
      </c>
      <c r="V227" s="226">
        <v>400</v>
      </c>
      <c r="W227" s="303"/>
      <c r="X227" s="220">
        <v>45906</v>
      </c>
      <c r="Y227" s="34" t="s">
        <v>53</v>
      </c>
      <c r="Z227" s="227"/>
      <c r="AA227" s="220"/>
      <c r="AB227" s="221"/>
      <c r="AC227" s="229"/>
      <c r="AD227" s="230"/>
      <c r="AE227" s="230"/>
      <c r="AF227" s="230"/>
      <c r="AG227" s="227"/>
    </row>
    <row r="228" spans="1:33" x14ac:dyDescent="0.25">
      <c r="A228" s="32" t="s">
        <v>788</v>
      </c>
      <c r="B228" s="306" t="str">
        <f>IF((COUNTBLANK(AA228)=0),Stats!$E$7,IF((COUNTBLANK(N228)=0),IF((COUNTBLANK(X228)=0),IF((COUNTBLANK(AD228)=0),Stats!$E$6,Stats!$E$5),Stats!$E$4),""))</f>
        <v>Check-up</v>
      </c>
      <c r="C228" s="307" t="str">
        <f>IF(B228=Stats!$E$5,Stats!$E$11,"")</f>
        <v>To define</v>
      </c>
      <c r="D228" s="218">
        <v>45905</v>
      </c>
      <c r="E228" s="301">
        <f t="shared" ca="1" si="11"/>
        <v>265</v>
      </c>
      <c r="F228" s="306" t="s">
        <v>789</v>
      </c>
      <c r="G228" s="308" t="s">
        <v>787</v>
      </c>
      <c r="H228" s="306" t="s">
        <v>565</v>
      </c>
      <c r="I228" s="306" t="s">
        <v>114</v>
      </c>
      <c r="J228" s="306" t="s">
        <v>206</v>
      </c>
      <c r="K228" s="306" t="s">
        <v>272</v>
      </c>
      <c r="L228" s="41" t="s">
        <v>240</v>
      </c>
      <c r="M228" s="219">
        <f t="shared" si="12"/>
        <v>1</v>
      </c>
      <c r="N228" s="218">
        <v>45912</v>
      </c>
      <c r="O228" s="34" t="s">
        <v>53</v>
      </c>
      <c r="P228" s="36" t="s">
        <v>242</v>
      </c>
      <c r="S228" s="224"/>
      <c r="T228" s="225" t="s">
        <v>478</v>
      </c>
      <c r="U228" s="226" t="s">
        <v>273</v>
      </c>
      <c r="V228" s="226">
        <v>400</v>
      </c>
      <c r="W228" s="303"/>
      <c r="X228" s="220">
        <v>45912</v>
      </c>
      <c r="Y228" s="34" t="s">
        <v>53</v>
      </c>
      <c r="Z228" s="227"/>
      <c r="AA228" s="220"/>
      <c r="AB228" s="221"/>
      <c r="AC228" s="229"/>
      <c r="AD228" s="230"/>
      <c r="AE228" s="230"/>
      <c r="AF228" s="230"/>
      <c r="AG228" s="227"/>
    </row>
    <row r="229" spans="1:33" x14ac:dyDescent="0.25">
      <c r="A229" s="32" t="s">
        <v>790</v>
      </c>
      <c r="B229" s="306" t="str">
        <f>IF((COUNTBLANK(AA229)=0),Stats!$E$7,IF((COUNTBLANK(N229)=0),IF((COUNTBLANK(X229)=0),IF((COUNTBLANK(AD229)=0),Stats!$E$6,Stats!$E$5),Stats!$E$4),""))</f>
        <v>Check-up</v>
      </c>
      <c r="C229" s="307" t="str">
        <f>IF(B229=Stats!$E$5,Stats!$E$11,"")</f>
        <v>To define</v>
      </c>
      <c r="D229" s="218">
        <v>45905</v>
      </c>
      <c r="E229" s="301">
        <f t="shared" ca="1" si="11"/>
        <v>265</v>
      </c>
      <c r="F229" s="306" t="s">
        <v>791</v>
      </c>
      <c r="G229" s="308" t="s">
        <v>787</v>
      </c>
      <c r="H229" s="306" t="s">
        <v>565</v>
      </c>
      <c r="I229" s="306" t="s">
        <v>114</v>
      </c>
      <c r="J229" s="306" t="s">
        <v>206</v>
      </c>
      <c r="K229" s="306" t="s">
        <v>272</v>
      </c>
      <c r="L229" s="41" t="s">
        <v>240</v>
      </c>
      <c r="M229" s="219">
        <f t="shared" si="12"/>
        <v>1</v>
      </c>
      <c r="N229" s="218">
        <v>45915</v>
      </c>
      <c r="O229" s="34" t="s">
        <v>53</v>
      </c>
      <c r="P229" s="36" t="s">
        <v>242</v>
      </c>
      <c r="S229" s="224"/>
      <c r="T229" s="225" t="s">
        <v>478</v>
      </c>
      <c r="U229" s="226" t="s">
        <v>273</v>
      </c>
      <c r="V229" s="226">
        <v>400</v>
      </c>
      <c r="W229" s="303"/>
      <c r="X229" s="220">
        <v>45915</v>
      </c>
      <c r="Y229" s="34" t="s">
        <v>53</v>
      </c>
      <c r="Z229" s="227"/>
      <c r="AA229" s="220"/>
      <c r="AB229" s="221"/>
      <c r="AC229" s="229"/>
      <c r="AD229" s="230"/>
      <c r="AE229" s="230"/>
      <c r="AF229" s="230"/>
      <c r="AG229" s="227"/>
    </row>
    <row r="230" spans="1:33" x14ac:dyDescent="0.25">
      <c r="A230" s="32" t="s">
        <v>792</v>
      </c>
      <c r="B230" s="306" t="str">
        <f>IF((COUNTBLANK(AA230)=0),Stats!$E$7,IF((COUNTBLANK(N230)=0),IF((COUNTBLANK(X230)=0),IF((COUNTBLANK(AD230)=0),Stats!$E$6,Stats!$E$5),Stats!$E$4),""))</f>
        <v>Check-up</v>
      </c>
      <c r="C230" s="307" t="str">
        <f>IF(B230=Stats!$E$5,Stats!$E$11,"")</f>
        <v>To define</v>
      </c>
      <c r="D230" s="218">
        <v>45905</v>
      </c>
      <c r="E230" s="301">
        <f t="shared" ca="1" si="11"/>
        <v>265</v>
      </c>
      <c r="F230" s="306" t="s">
        <v>793</v>
      </c>
      <c r="G230" s="308" t="s">
        <v>787</v>
      </c>
      <c r="H230" s="306" t="s">
        <v>565</v>
      </c>
      <c r="I230" s="306" t="s">
        <v>114</v>
      </c>
      <c r="J230" s="306" t="s">
        <v>206</v>
      </c>
      <c r="K230" s="306" t="s">
        <v>272</v>
      </c>
      <c r="L230" s="41" t="s">
        <v>240</v>
      </c>
      <c r="M230" s="219">
        <f t="shared" si="12"/>
        <v>1</v>
      </c>
      <c r="N230" s="218">
        <v>45915</v>
      </c>
      <c r="O230" s="34" t="s">
        <v>53</v>
      </c>
      <c r="P230" s="36" t="s">
        <v>242</v>
      </c>
      <c r="S230" s="224"/>
      <c r="T230" s="225" t="s">
        <v>478</v>
      </c>
      <c r="U230" s="226" t="s">
        <v>273</v>
      </c>
      <c r="V230" s="226">
        <v>400</v>
      </c>
      <c r="W230" s="303"/>
      <c r="X230" s="220">
        <v>45915</v>
      </c>
      <c r="Y230" s="34" t="s">
        <v>53</v>
      </c>
      <c r="Z230" s="227" t="s">
        <v>794</v>
      </c>
      <c r="AA230" s="220"/>
      <c r="AB230" s="221"/>
      <c r="AC230" s="229"/>
      <c r="AD230" s="230"/>
      <c r="AE230" s="230"/>
      <c r="AF230" s="230"/>
      <c r="AG230" s="227"/>
    </row>
    <row r="231" spans="1:33" x14ac:dyDescent="0.25">
      <c r="A231" s="32" t="s">
        <v>795</v>
      </c>
      <c r="B231" s="306" t="str">
        <f>IF((COUNTBLANK(AA231)=0),Stats!$E$7,IF((COUNTBLANK(N231)=0),IF((COUNTBLANK(X231)=0),IF((COUNTBLANK(AD231)=0),Stats!$E$6,Stats!$E$5),Stats!$E$4),""))</f>
        <v>Check-up</v>
      </c>
      <c r="C231" s="307" t="str">
        <f>IF(B231=Stats!$E$5,Stats!$E$11,"")</f>
        <v>To define</v>
      </c>
      <c r="D231" s="218">
        <v>45905</v>
      </c>
      <c r="E231" s="301">
        <f t="shared" ca="1" si="11"/>
        <v>265</v>
      </c>
      <c r="F231" s="306" t="s">
        <v>796</v>
      </c>
      <c r="G231" s="308" t="s">
        <v>787</v>
      </c>
      <c r="H231" s="306" t="s">
        <v>565</v>
      </c>
      <c r="I231" s="306" t="s">
        <v>114</v>
      </c>
      <c r="J231" s="306" t="s">
        <v>206</v>
      </c>
      <c r="K231" s="306" t="s">
        <v>272</v>
      </c>
      <c r="L231" s="41" t="s">
        <v>240</v>
      </c>
      <c r="M231" s="219">
        <f t="shared" si="12"/>
        <v>1</v>
      </c>
      <c r="N231" s="218">
        <v>45915</v>
      </c>
      <c r="O231" s="34" t="s">
        <v>53</v>
      </c>
      <c r="P231" s="36" t="s">
        <v>242</v>
      </c>
      <c r="S231" s="224"/>
      <c r="T231" s="225" t="s">
        <v>478</v>
      </c>
      <c r="U231" s="226" t="s">
        <v>273</v>
      </c>
      <c r="V231" s="226">
        <v>400</v>
      </c>
      <c r="W231" s="303"/>
      <c r="X231" s="220">
        <v>45915</v>
      </c>
      <c r="Y231" s="34" t="s">
        <v>53</v>
      </c>
      <c r="Z231" s="227"/>
      <c r="AA231" s="220"/>
      <c r="AB231" s="221"/>
      <c r="AC231" s="229"/>
      <c r="AD231" s="230"/>
      <c r="AE231" s="230"/>
      <c r="AF231" s="230"/>
      <c r="AG231" s="227"/>
    </row>
    <row r="232" spans="1:33" x14ac:dyDescent="0.25">
      <c r="A232" s="32" t="s">
        <v>797</v>
      </c>
      <c r="B232" s="306" t="str">
        <f>IF((COUNTBLANK(AA232)=0),Stats!$E$7,IF((COUNTBLANK(N232)=0),IF((COUNTBLANK(X232)=0),IF((COUNTBLANK(AD232)=0),Stats!$E$6,Stats!$E$5),Stats!$E$4),""))</f>
        <v/>
      </c>
      <c r="C232" s="307" t="str">
        <f>IF(B232=Stats!$E$5,Stats!$E$11,"")</f>
        <v/>
      </c>
      <c r="D232" s="218">
        <v>45905</v>
      </c>
      <c r="E232" s="301">
        <f t="shared" ca="1" si="11"/>
        <v>265</v>
      </c>
      <c r="F232" s="306" t="s">
        <v>798</v>
      </c>
      <c r="G232" s="308" t="s">
        <v>787</v>
      </c>
      <c r="H232" s="306" t="s">
        <v>565</v>
      </c>
      <c r="I232" s="306" t="s">
        <v>44</v>
      </c>
      <c r="J232" s="306" t="s">
        <v>206</v>
      </c>
      <c r="K232" s="306" t="s">
        <v>272</v>
      </c>
      <c r="L232" s="41" t="s">
        <v>240</v>
      </c>
      <c r="M232" s="219">
        <f t="shared" si="12"/>
        <v>1</v>
      </c>
      <c r="N232" s="218"/>
      <c r="S232" s="224"/>
      <c r="T232" s="225"/>
      <c r="U232" s="226"/>
      <c r="V232" s="226"/>
      <c r="W232" s="303"/>
      <c r="X232" s="220"/>
      <c r="Z232" s="227"/>
      <c r="AA232" s="220"/>
      <c r="AB232" s="221"/>
      <c r="AC232" s="229"/>
      <c r="AD232" s="230"/>
      <c r="AE232" s="230"/>
      <c r="AF232" s="230"/>
      <c r="AG232" s="227"/>
    </row>
    <row r="233" spans="1:33" x14ac:dyDescent="0.25">
      <c r="A233" s="32" t="s">
        <v>799</v>
      </c>
      <c r="B233" s="306" t="str">
        <f>IF((COUNTBLANK(AA233)=0),Stats!$E$7,IF((COUNTBLANK(N233)=0),IF((COUNTBLANK(X233)=0),IF((COUNTBLANK(AD233)=0),Stats!$E$6,Stats!$E$5),Stats!$E$4),""))</f>
        <v>Experiment</v>
      </c>
      <c r="C233" s="307" t="s">
        <v>204</v>
      </c>
      <c r="D233" s="218">
        <v>45933</v>
      </c>
      <c r="E233" s="301">
        <f t="shared" ca="1" si="11"/>
        <v>175</v>
      </c>
      <c r="F233" s="306" t="s">
        <v>800</v>
      </c>
      <c r="G233" s="308" t="s">
        <v>801</v>
      </c>
      <c r="H233" s="306" t="s">
        <v>43</v>
      </c>
      <c r="I233" s="306" t="s">
        <v>44</v>
      </c>
      <c r="J233" s="306" t="s">
        <v>206</v>
      </c>
      <c r="K233" s="306" t="s">
        <v>272</v>
      </c>
      <c r="L233" s="41" t="s">
        <v>240</v>
      </c>
      <c r="M233" s="219">
        <f t="shared" si="12"/>
        <v>1</v>
      </c>
      <c r="N233" s="218">
        <v>45935</v>
      </c>
      <c r="O233" s="34" t="s">
        <v>53</v>
      </c>
      <c r="P233" s="36" t="s">
        <v>181</v>
      </c>
      <c r="Q233" s="36" t="s">
        <v>457</v>
      </c>
      <c r="S233" s="224"/>
      <c r="T233" s="225" t="s">
        <v>478</v>
      </c>
      <c r="U233" s="226" t="s">
        <v>802</v>
      </c>
      <c r="V233" s="226">
        <v>400</v>
      </c>
      <c r="W233" s="303" t="s">
        <v>279</v>
      </c>
      <c r="X233" s="220">
        <v>45935</v>
      </c>
      <c r="Y233" s="34" t="s">
        <v>53</v>
      </c>
      <c r="Z233" s="227"/>
      <c r="AA233" s="220"/>
      <c r="AB233" s="221"/>
      <c r="AC233" s="229" t="s">
        <v>803</v>
      </c>
      <c r="AD233" s="230" t="s">
        <v>804</v>
      </c>
      <c r="AE233" s="230"/>
      <c r="AF233" s="230"/>
      <c r="AG233" s="227"/>
    </row>
    <row r="234" spans="1:33" x14ac:dyDescent="0.25">
      <c r="A234" s="32" t="s">
        <v>805</v>
      </c>
      <c r="B234" s="306" t="str">
        <f>IF((COUNTBLANK(AA234)=0),Stats!$E$7,IF((COUNTBLANK(N234)=0),IF((COUNTBLANK(X234)=0),IF((COUNTBLANK(AD234)=0),Stats!$E$6,Stats!$E$5),Stats!$E$4),""))</f>
        <v>Experiment</v>
      </c>
      <c r="C234" s="307" t="s">
        <v>204</v>
      </c>
      <c r="D234" s="218">
        <v>45933</v>
      </c>
      <c r="E234" s="301">
        <f t="shared" ca="1" si="11"/>
        <v>175</v>
      </c>
      <c r="F234" s="306" t="s">
        <v>806</v>
      </c>
      <c r="G234" s="308" t="s">
        <v>801</v>
      </c>
      <c r="H234" s="306" t="s">
        <v>43</v>
      </c>
      <c r="I234" s="306" t="s">
        <v>44</v>
      </c>
      <c r="J234" s="306" t="s">
        <v>206</v>
      </c>
      <c r="K234" s="306" t="s">
        <v>272</v>
      </c>
      <c r="L234" s="41" t="s">
        <v>240</v>
      </c>
      <c r="M234" s="219">
        <f t="shared" si="12"/>
        <v>1</v>
      </c>
      <c r="N234" s="218">
        <v>45935</v>
      </c>
      <c r="O234" s="34" t="s">
        <v>53</v>
      </c>
      <c r="P234" s="36" t="s">
        <v>181</v>
      </c>
      <c r="Q234" s="36" t="s">
        <v>457</v>
      </c>
      <c r="S234" s="224"/>
      <c r="T234" s="225" t="s">
        <v>478</v>
      </c>
      <c r="U234" s="226" t="s">
        <v>802</v>
      </c>
      <c r="V234" s="226">
        <v>400</v>
      </c>
      <c r="W234" s="303" t="s">
        <v>243</v>
      </c>
      <c r="X234" s="220">
        <v>45935</v>
      </c>
      <c r="Y234" s="34" t="s">
        <v>53</v>
      </c>
      <c r="Z234" s="227"/>
      <c r="AA234" s="220"/>
      <c r="AB234" s="221"/>
      <c r="AC234" s="229" t="s">
        <v>803</v>
      </c>
      <c r="AD234" s="230" t="s">
        <v>804</v>
      </c>
      <c r="AE234" s="230"/>
      <c r="AF234" s="230"/>
      <c r="AG234" s="227"/>
    </row>
    <row r="235" spans="1:33" x14ac:dyDescent="0.25">
      <c r="A235" s="32" t="s">
        <v>807</v>
      </c>
      <c r="B235" s="306" t="str">
        <f>IF((COUNTBLANK(AA235)=0),Stats!$E$7,IF((COUNTBLANK(N235)=0),IF((COUNTBLANK(X235)=0),IF((COUNTBLANK(AD235)=0),Stats!$E$6,Stats!$E$5),Stats!$E$4),""))</f>
        <v>Experiment</v>
      </c>
      <c r="C235" s="307" t="s">
        <v>204</v>
      </c>
      <c r="D235" s="218">
        <v>45933</v>
      </c>
      <c r="E235" s="301">
        <f t="shared" ca="1" si="11"/>
        <v>175</v>
      </c>
      <c r="F235" s="306" t="s">
        <v>808</v>
      </c>
      <c r="G235" s="308" t="s">
        <v>801</v>
      </c>
      <c r="H235" s="306" t="s">
        <v>43</v>
      </c>
      <c r="I235" s="306" t="s">
        <v>44</v>
      </c>
      <c r="J235" s="306" t="s">
        <v>206</v>
      </c>
      <c r="K235" s="306" t="s">
        <v>272</v>
      </c>
      <c r="L235" s="41" t="s">
        <v>240</v>
      </c>
      <c r="M235" s="219">
        <f t="shared" si="12"/>
        <v>1</v>
      </c>
      <c r="N235" s="218">
        <v>45936</v>
      </c>
      <c r="O235" s="34" t="s">
        <v>53</v>
      </c>
      <c r="P235" s="36" t="s">
        <v>181</v>
      </c>
      <c r="Q235" s="36" t="s">
        <v>457</v>
      </c>
      <c r="S235" s="224"/>
      <c r="T235" s="225" t="s">
        <v>478</v>
      </c>
      <c r="U235" s="226" t="s">
        <v>802</v>
      </c>
      <c r="V235" s="226">
        <v>400</v>
      </c>
      <c r="W235" s="303" t="s">
        <v>249</v>
      </c>
      <c r="X235" s="220">
        <v>45936</v>
      </c>
      <c r="Y235" s="34" t="s">
        <v>53</v>
      </c>
      <c r="Z235" s="227"/>
      <c r="AA235" s="220"/>
      <c r="AB235" s="221"/>
      <c r="AC235" s="229" t="s">
        <v>803</v>
      </c>
      <c r="AD235" s="230" t="s">
        <v>804</v>
      </c>
      <c r="AE235" s="230"/>
      <c r="AF235" s="230"/>
      <c r="AG235" s="227"/>
    </row>
    <row r="236" spans="1:33" x14ac:dyDescent="0.25">
      <c r="A236" s="32" t="s">
        <v>809</v>
      </c>
      <c r="B236" s="306" t="str">
        <f>IF((COUNTBLANK(AA236)=0),Stats!$E$7,IF((COUNTBLANK(N236)=0),IF((COUNTBLANK(X236)=0),IF((COUNTBLANK(AD236)=0),Stats!$E$6,Stats!$E$5),Stats!$E$4),""))</f>
        <v>Experiment</v>
      </c>
      <c r="C236" s="307" t="s">
        <v>204</v>
      </c>
      <c r="D236" s="218">
        <v>45933</v>
      </c>
      <c r="E236" s="301">
        <f t="shared" ca="1" si="11"/>
        <v>175</v>
      </c>
      <c r="F236" s="306" t="s">
        <v>810</v>
      </c>
      <c r="G236" s="308" t="s">
        <v>801</v>
      </c>
      <c r="H236" s="306" t="s">
        <v>43</v>
      </c>
      <c r="I236" s="306" t="s">
        <v>44</v>
      </c>
      <c r="J236" s="306" t="s">
        <v>206</v>
      </c>
      <c r="K236" s="306" t="s">
        <v>272</v>
      </c>
      <c r="L236" s="41" t="s">
        <v>240</v>
      </c>
      <c r="M236" s="219">
        <f t="shared" si="12"/>
        <v>1</v>
      </c>
      <c r="N236" s="218">
        <v>45936</v>
      </c>
      <c r="O236" s="34" t="s">
        <v>53</v>
      </c>
      <c r="P236" s="36" t="s">
        <v>181</v>
      </c>
      <c r="Q236" s="36" t="s">
        <v>457</v>
      </c>
      <c r="S236" s="224"/>
      <c r="T236" s="225" t="s">
        <v>478</v>
      </c>
      <c r="U236" s="226" t="s">
        <v>802</v>
      </c>
      <c r="V236" s="226">
        <v>400</v>
      </c>
      <c r="W236" s="303" t="s">
        <v>291</v>
      </c>
      <c r="X236" s="220">
        <v>45936</v>
      </c>
      <c r="Y236" s="34" t="s">
        <v>53</v>
      </c>
      <c r="Z236" s="227"/>
      <c r="AA236" s="220"/>
      <c r="AB236" s="221"/>
      <c r="AC236" s="229" t="s">
        <v>803</v>
      </c>
      <c r="AD236" s="230" t="s">
        <v>804</v>
      </c>
      <c r="AE236" s="230"/>
      <c r="AF236" s="230"/>
      <c r="AG236" s="227"/>
    </row>
    <row r="237" spans="1:33" ht="15" customHeight="1" x14ac:dyDescent="0.25">
      <c r="A237" s="32" t="s">
        <v>811</v>
      </c>
      <c r="B237" s="306" t="str">
        <f>IF((COUNTBLANK(AA237)=0),Stats!$E$7,IF((COUNTBLANK(N237)=0),IF((COUNTBLANK(X237)=0),IF((COUNTBLANK(AD237)=0),Stats!$E$6,Stats!$E$5),Stats!$E$4),""))</f>
        <v>Experiment</v>
      </c>
      <c r="C237" s="307" t="s">
        <v>325</v>
      </c>
      <c r="D237" s="218">
        <v>45933</v>
      </c>
      <c r="E237" s="301">
        <f t="shared" ca="1" si="11"/>
        <v>161</v>
      </c>
      <c r="F237" s="306" t="s">
        <v>812</v>
      </c>
      <c r="G237" s="308" t="s">
        <v>813</v>
      </c>
      <c r="H237" s="306" t="s">
        <v>152</v>
      </c>
      <c r="I237" s="306" t="s">
        <v>114</v>
      </c>
      <c r="J237" s="306" t="s">
        <v>206</v>
      </c>
      <c r="K237" s="306" t="s">
        <v>321</v>
      </c>
      <c r="L237" s="41" t="s">
        <v>284</v>
      </c>
      <c r="M237" s="219">
        <f t="shared" si="12"/>
        <v>1</v>
      </c>
      <c r="N237" s="218">
        <v>45964</v>
      </c>
      <c r="O237" s="34" t="s">
        <v>285</v>
      </c>
      <c r="P237" s="36" t="s">
        <v>493</v>
      </c>
      <c r="S237" s="224"/>
      <c r="T237" s="225" t="s">
        <v>51</v>
      </c>
      <c r="U237" s="226">
        <v>-450</v>
      </c>
      <c r="V237" s="226">
        <v>500</v>
      </c>
      <c r="W237" s="303" t="s">
        <v>279</v>
      </c>
      <c r="X237" s="220">
        <v>45964</v>
      </c>
      <c r="Y237" s="34" t="s">
        <v>285</v>
      </c>
      <c r="Z237" s="227"/>
      <c r="AA237" s="220"/>
      <c r="AB237" s="221"/>
      <c r="AC237" s="229" t="s">
        <v>814</v>
      </c>
      <c r="AD237" s="381">
        <v>45980</v>
      </c>
      <c r="AE237" s="230"/>
      <c r="AF237" s="230"/>
      <c r="AG237" s="227"/>
    </row>
    <row r="238" spans="1:33" ht="15" customHeight="1" x14ac:dyDescent="0.25">
      <c r="A238" s="32" t="s">
        <v>815</v>
      </c>
      <c r="B238" s="306" t="str">
        <f>IF((COUNTBLANK(AA238)=0),Stats!$E$7,IF((COUNTBLANK(N238)=0),IF((COUNTBLANK(X238)=0),IF((COUNTBLANK(AD238)=0),Stats!$E$6,Stats!$E$5),Stats!$E$4),""))</f>
        <v>Experiment</v>
      </c>
      <c r="C238" s="307" t="s">
        <v>325</v>
      </c>
      <c r="D238" s="218">
        <v>45933</v>
      </c>
      <c r="E238" s="301">
        <f t="shared" ca="1" si="11"/>
        <v>161</v>
      </c>
      <c r="F238" s="306" t="s">
        <v>816</v>
      </c>
      <c r="G238" s="308" t="s">
        <v>813</v>
      </c>
      <c r="H238" s="306" t="s">
        <v>152</v>
      </c>
      <c r="I238" s="306" t="s">
        <v>114</v>
      </c>
      <c r="J238" s="306" t="s">
        <v>206</v>
      </c>
      <c r="K238" s="306" t="s">
        <v>321</v>
      </c>
      <c r="L238" s="41" t="s">
        <v>284</v>
      </c>
      <c r="M238" s="219">
        <f t="shared" si="12"/>
        <v>1</v>
      </c>
      <c r="N238" s="218">
        <v>45964</v>
      </c>
      <c r="O238" s="34" t="s">
        <v>285</v>
      </c>
      <c r="P238" s="36" t="s">
        <v>493</v>
      </c>
      <c r="S238" s="224"/>
      <c r="T238" s="225" t="s">
        <v>51</v>
      </c>
      <c r="U238" s="226">
        <v>-450</v>
      </c>
      <c r="V238" s="226">
        <v>500</v>
      </c>
      <c r="W238" s="303" t="s">
        <v>291</v>
      </c>
      <c r="X238" s="220">
        <v>45964</v>
      </c>
      <c r="Y238" s="34" t="s">
        <v>285</v>
      </c>
      <c r="Z238" s="227"/>
      <c r="AA238" s="220"/>
      <c r="AB238" s="221"/>
      <c r="AC238" s="229" t="s">
        <v>817</v>
      </c>
      <c r="AD238" s="381">
        <v>45980</v>
      </c>
      <c r="AE238" s="230"/>
      <c r="AF238" s="230"/>
      <c r="AG238" s="227"/>
    </row>
    <row r="239" spans="1:33" ht="14.25" customHeight="1" x14ac:dyDescent="0.25">
      <c r="A239" s="32" t="s">
        <v>818</v>
      </c>
      <c r="B239" s="306" t="str">
        <f>IF((COUNTBLANK(AA239)=0),Stats!$E$7,IF((COUNTBLANK(N239)=0),IF((COUNTBLANK(X239)=0),IF((COUNTBLANK(AD239)=0),Stats!$E$6,Stats!$E$5),Stats!$E$4),""))</f>
        <v>Experiment</v>
      </c>
      <c r="C239" s="307" t="s">
        <v>325</v>
      </c>
      <c r="D239" s="218">
        <v>45933</v>
      </c>
      <c r="E239" s="301">
        <f t="shared" ca="1" si="11"/>
        <v>161</v>
      </c>
      <c r="F239" s="306" t="s">
        <v>819</v>
      </c>
      <c r="G239" s="308" t="s">
        <v>813</v>
      </c>
      <c r="H239" s="306" t="s">
        <v>152</v>
      </c>
      <c r="I239" s="306" t="s">
        <v>114</v>
      </c>
      <c r="J239" s="306" t="s">
        <v>206</v>
      </c>
      <c r="K239" s="306" t="s">
        <v>321</v>
      </c>
      <c r="L239" s="41" t="s">
        <v>284</v>
      </c>
      <c r="M239" s="219">
        <f t="shared" si="12"/>
        <v>1</v>
      </c>
      <c r="N239" s="218">
        <v>45965</v>
      </c>
      <c r="O239" s="34" t="s">
        <v>285</v>
      </c>
      <c r="P239" s="36" t="s">
        <v>493</v>
      </c>
      <c r="S239" s="224"/>
      <c r="T239" s="225" t="s">
        <v>51</v>
      </c>
      <c r="U239" s="226">
        <v>-450</v>
      </c>
      <c r="V239" s="226">
        <v>500</v>
      </c>
      <c r="W239" s="303" t="s">
        <v>243</v>
      </c>
      <c r="X239" s="220">
        <v>45965</v>
      </c>
      <c r="Y239" s="34" t="s">
        <v>285</v>
      </c>
      <c r="Z239" s="227"/>
      <c r="AA239" s="220"/>
      <c r="AB239" s="221"/>
      <c r="AC239" s="229" t="s">
        <v>820</v>
      </c>
      <c r="AD239" s="381">
        <v>45980</v>
      </c>
      <c r="AE239" s="230"/>
      <c r="AF239" s="230"/>
      <c r="AG239" s="227"/>
    </row>
    <row r="240" spans="1:33" ht="12.75" customHeight="1" x14ac:dyDescent="0.25">
      <c r="A240" s="32" t="s">
        <v>821</v>
      </c>
      <c r="B240" s="306" t="str">
        <f>IF((COUNTBLANK(AA240)=0),Stats!$E$7,IF((COUNTBLANK(N240)=0),IF((COUNTBLANK(X240)=0),IF((COUNTBLANK(AD240)=0),Stats!$E$6,Stats!$E$5),Stats!$E$4),""))</f>
        <v>Experiment</v>
      </c>
      <c r="C240" s="307" t="s">
        <v>325</v>
      </c>
      <c r="D240" s="218">
        <v>45933</v>
      </c>
      <c r="E240" s="301">
        <f t="shared" ca="1" si="11"/>
        <v>161</v>
      </c>
      <c r="F240" s="306" t="s">
        <v>822</v>
      </c>
      <c r="G240" s="308" t="s">
        <v>813</v>
      </c>
      <c r="H240" s="306" t="s">
        <v>152</v>
      </c>
      <c r="I240" s="306" t="s">
        <v>114</v>
      </c>
      <c r="J240" s="306" t="s">
        <v>206</v>
      </c>
      <c r="K240" s="306" t="s">
        <v>321</v>
      </c>
      <c r="L240" s="41" t="s">
        <v>284</v>
      </c>
      <c r="M240" s="219">
        <f t="shared" si="12"/>
        <v>1</v>
      </c>
      <c r="N240" s="218">
        <v>45965</v>
      </c>
      <c r="O240" s="34" t="s">
        <v>285</v>
      </c>
      <c r="P240" s="36" t="s">
        <v>493</v>
      </c>
      <c r="S240" s="224"/>
      <c r="T240" s="225" t="s">
        <v>51</v>
      </c>
      <c r="U240" s="226">
        <v>-450</v>
      </c>
      <c r="V240" s="226">
        <v>500</v>
      </c>
      <c r="W240" s="303" t="s">
        <v>279</v>
      </c>
      <c r="X240" s="220">
        <v>45965</v>
      </c>
      <c r="Y240" s="34" t="s">
        <v>285</v>
      </c>
      <c r="Z240" s="227"/>
      <c r="AA240" s="220"/>
      <c r="AB240" s="221"/>
      <c r="AC240" s="229" t="s">
        <v>820</v>
      </c>
      <c r="AD240" s="381">
        <v>45980</v>
      </c>
      <c r="AE240" s="230"/>
      <c r="AF240" s="230"/>
      <c r="AG240" s="227"/>
    </row>
    <row r="241" spans="1:33" ht="15.75" customHeight="1" x14ac:dyDescent="0.25">
      <c r="A241" s="32" t="s">
        <v>823</v>
      </c>
      <c r="B241" s="306" t="str">
        <f>IF((COUNTBLANK(AA241)=0),Stats!$E$7,IF((COUNTBLANK(N241)=0),IF((COUNTBLANK(X241)=0),IF((COUNTBLANK(AD241)=0),Stats!$E$6,Stats!$E$5),Stats!$E$4),""))</f>
        <v>Experiment</v>
      </c>
      <c r="C241" s="307" t="s">
        <v>204</v>
      </c>
      <c r="D241" s="218">
        <v>45933</v>
      </c>
      <c r="E241" s="301">
        <f t="shared" ca="1" si="11"/>
        <v>161</v>
      </c>
      <c r="F241" s="306" t="s">
        <v>824</v>
      </c>
      <c r="G241" s="308" t="s">
        <v>813</v>
      </c>
      <c r="H241" s="306" t="s">
        <v>152</v>
      </c>
      <c r="I241" s="306" t="s">
        <v>114</v>
      </c>
      <c r="J241" s="306" t="s">
        <v>206</v>
      </c>
      <c r="K241" s="306" t="s">
        <v>321</v>
      </c>
      <c r="L241" s="41" t="s">
        <v>284</v>
      </c>
      <c r="M241" s="219">
        <f t="shared" si="12"/>
        <v>1</v>
      </c>
      <c r="N241" s="218">
        <v>45966</v>
      </c>
      <c r="O241" s="34" t="s">
        <v>285</v>
      </c>
      <c r="P241" s="36" t="s">
        <v>493</v>
      </c>
      <c r="S241" s="224"/>
      <c r="T241" s="225" t="s">
        <v>51</v>
      </c>
      <c r="U241" s="226">
        <v>-450</v>
      </c>
      <c r="V241" s="226">
        <v>500</v>
      </c>
      <c r="W241" s="303" t="s">
        <v>291</v>
      </c>
      <c r="X241" s="220">
        <v>45966</v>
      </c>
      <c r="Y241" s="34" t="s">
        <v>285</v>
      </c>
      <c r="Z241" s="227"/>
      <c r="AA241" s="220"/>
      <c r="AB241" s="221"/>
      <c r="AC241" s="229" t="s">
        <v>825</v>
      </c>
      <c r="AD241" s="381">
        <v>45980</v>
      </c>
      <c r="AE241" s="230"/>
      <c r="AF241" s="230"/>
      <c r="AG241" s="227"/>
    </row>
    <row r="242" spans="1:33" ht="14.25" customHeight="1" x14ac:dyDescent="0.25">
      <c r="A242" s="32" t="s">
        <v>826</v>
      </c>
      <c r="B242" s="306" t="str">
        <f>IF((COUNTBLANK(AA242)=0),Stats!$E$7,IF((COUNTBLANK(N242)=0),IF((COUNTBLANK(X242)=0),IF((COUNTBLANK(AD242)=0),Stats!$E$6,Stats!$E$5),Stats!$E$4),""))</f>
        <v>Experiment</v>
      </c>
      <c r="C242" s="307" t="s">
        <v>204</v>
      </c>
      <c r="D242" s="218">
        <v>45933</v>
      </c>
      <c r="E242" s="301">
        <f t="shared" ca="1" si="11"/>
        <v>161</v>
      </c>
      <c r="F242" s="306" t="s">
        <v>827</v>
      </c>
      <c r="G242" s="308" t="s">
        <v>813</v>
      </c>
      <c r="H242" s="306" t="s">
        <v>152</v>
      </c>
      <c r="I242" s="306" t="s">
        <v>114</v>
      </c>
      <c r="J242" s="306" t="s">
        <v>206</v>
      </c>
      <c r="K242" s="306" t="s">
        <v>321</v>
      </c>
      <c r="L242" s="41" t="s">
        <v>284</v>
      </c>
      <c r="M242" s="219">
        <f t="shared" si="12"/>
        <v>1</v>
      </c>
      <c r="N242" s="218">
        <v>45966</v>
      </c>
      <c r="O242" s="34" t="s">
        <v>285</v>
      </c>
      <c r="P242" s="36" t="s">
        <v>493</v>
      </c>
      <c r="S242" s="224"/>
      <c r="T242" s="225" t="s">
        <v>51</v>
      </c>
      <c r="U242" s="226">
        <v>-450</v>
      </c>
      <c r="V242" s="226">
        <v>500</v>
      </c>
      <c r="W242" s="303" t="s">
        <v>243</v>
      </c>
      <c r="X242" s="220">
        <v>45966</v>
      </c>
      <c r="Y242" s="34" t="s">
        <v>285</v>
      </c>
      <c r="Z242" s="227"/>
      <c r="AA242" s="220"/>
      <c r="AB242" s="221"/>
      <c r="AC242" s="229" t="s">
        <v>828</v>
      </c>
      <c r="AD242" s="381">
        <v>45980</v>
      </c>
      <c r="AE242" s="230"/>
      <c r="AF242" s="230"/>
      <c r="AG242" s="227"/>
    </row>
    <row r="243" spans="1:33" x14ac:dyDescent="0.25">
      <c r="A243" s="32" t="s">
        <v>829</v>
      </c>
      <c r="B243" s="306" t="str">
        <f>IF((COUNTBLANK(AA243)=0),Stats!$E$7,IF((COUNTBLANK(N243)=0),IF((COUNTBLANK(X243)=0),IF((COUNTBLANK(AD243)=0),Stats!$E$6,Stats!$E$5),Stats!$E$4),""))</f>
        <v>Death</v>
      </c>
      <c r="C243" s="307" t="str">
        <f>IF(B243=Stats!$E$5,Stats!$E$11,"")</f>
        <v/>
      </c>
      <c r="D243" s="218">
        <v>45933</v>
      </c>
      <c r="E243" s="301">
        <f t="shared" ca="1" si="11"/>
        <v>171</v>
      </c>
      <c r="F243" s="306" t="s">
        <v>830</v>
      </c>
      <c r="G243" s="308" t="s">
        <v>831</v>
      </c>
      <c r="H243" s="306" t="s">
        <v>239</v>
      </c>
      <c r="I243" s="306" t="s">
        <v>44</v>
      </c>
      <c r="J243" s="306" t="s">
        <v>206</v>
      </c>
      <c r="K243" s="306" t="s">
        <v>272</v>
      </c>
      <c r="L243" s="41" t="s">
        <v>240</v>
      </c>
      <c r="M243" s="219">
        <f t="shared" si="12"/>
        <v>1</v>
      </c>
      <c r="N243" s="218">
        <v>45941</v>
      </c>
      <c r="O243" s="34" t="s">
        <v>53</v>
      </c>
      <c r="P243" s="36" t="s">
        <v>242</v>
      </c>
      <c r="S243" s="224"/>
      <c r="T243" s="225" t="s">
        <v>51</v>
      </c>
      <c r="U243" s="226" t="s">
        <v>832</v>
      </c>
      <c r="V243" s="226">
        <v>400</v>
      </c>
      <c r="W243" s="303"/>
      <c r="X243" s="220">
        <v>45941</v>
      </c>
      <c r="Y243" s="34" t="s">
        <v>53</v>
      </c>
      <c r="Z243" s="227"/>
      <c r="AA243" s="220">
        <v>45948</v>
      </c>
      <c r="AB243" s="221" t="s">
        <v>160</v>
      </c>
      <c r="AC243" s="229"/>
      <c r="AD243" s="230"/>
      <c r="AE243" s="230"/>
      <c r="AF243" s="230"/>
      <c r="AG243" s="227"/>
    </row>
    <row r="244" spans="1:33" x14ac:dyDescent="0.25">
      <c r="A244" s="32" t="s">
        <v>833</v>
      </c>
      <c r="B244" s="306" t="str">
        <f>IF((COUNTBLANK(AA244)=0),Stats!$E$7,IF((COUNTBLANK(N244)=0),IF((COUNTBLANK(X244)=0),IF((COUNTBLANK(AD244)=0),Stats!$E$6,Stats!$E$5),Stats!$E$4),""))</f>
        <v>Check-up</v>
      </c>
      <c r="C244" s="307" t="str">
        <f>IF(B244=Stats!$E$5,Stats!$E$11,"")</f>
        <v>To define</v>
      </c>
      <c r="D244" s="218">
        <v>45933</v>
      </c>
      <c r="E244" s="301">
        <f t="shared" ca="1" si="11"/>
        <v>171</v>
      </c>
      <c r="F244" s="306" t="s">
        <v>834</v>
      </c>
      <c r="G244" s="308" t="s">
        <v>831</v>
      </c>
      <c r="H244" s="306" t="s">
        <v>239</v>
      </c>
      <c r="I244" s="306" t="s">
        <v>44</v>
      </c>
      <c r="J244" s="306" t="s">
        <v>206</v>
      </c>
      <c r="K244" s="306" t="s">
        <v>272</v>
      </c>
      <c r="L244" s="41" t="s">
        <v>240</v>
      </c>
      <c r="M244" s="219">
        <f t="shared" si="12"/>
        <v>1</v>
      </c>
      <c r="N244" s="218">
        <v>45941</v>
      </c>
      <c r="O244" s="34" t="s">
        <v>53</v>
      </c>
      <c r="P244" s="36" t="s">
        <v>242</v>
      </c>
      <c r="S244" s="224"/>
      <c r="T244" s="225" t="s">
        <v>51</v>
      </c>
      <c r="U244" s="226" t="s">
        <v>832</v>
      </c>
      <c r="V244" s="226">
        <v>400</v>
      </c>
      <c r="W244" s="303"/>
      <c r="X244" s="220">
        <v>45941</v>
      </c>
      <c r="Y244" s="34" t="s">
        <v>53</v>
      </c>
      <c r="Z244" s="227"/>
      <c r="AA244" s="220"/>
      <c r="AB244" s="221"/>
      <c r="AC244" s="229"/>
      <c r="AD244" s="230"/>
      <c r="AE244" s="230"/>
      <c r="AF244" s="230"/>
      <c r="AG244" s="227"/>
    </row>
    <row r="245" spans="1:33" x14ac:dyDescent="0.25">
      <c r="A245" s="32" t="s">
        <v>835</v>
      </c>
      <c r="B245" s="306" t="str">
        <f>IF((COUNTBLANK(AA245)=0),Stats!$E$7,IF((COUNTBLANK(N245)=0),IF((COUNTBLANK(X245)=0),IF((COUNTBLANK(AD245)=0),Stats!$E$6,Stats!$E$5),Stats!$E$4),""))</f>
        <v>Death</v>
      </c>
      <c r="C245" s="307" t="str">
        <f>IF(B245=Stats!$E$5,Stats!$E$11,"")</f>
        <v/>
      </c>
      <c r="D245" s="218">
        <v>45933</v>
      </c>
      <c r="E245" s="301">
        <f t="shared" ca="1" si="11"/>
        <v>171</v>
      </c>
      <c r="F245" s="306" t="s">
        <v>836</v>
      </c>
      <c r="G245" s="308" t="s">
        <v>831</v>
      </c>
      <c r="H245" s="306" t="s">
        <v>239</v>
      </c>
      <c r="I245" s="306" t="s">
        <v>44</v>
      </c>
      <c r="J245" s="306" t="s">
        <v>206</v>
      </c>
      <c r="K245" s="306" t="s">
        <v>272</v>
      </c>
      <c r="L245" s="41" t="s">
        <v>240</v>
      </c>
      <c r="M245" s="219">
        <f t="shared" si="12"/>
        <v>1</v>
      </c>
      <c r="N245" s="218">
        <v>45941</v>
      </c>
      <c r="O245" s="34" t="s">
        <v>53</v>
      </c>
      <c r="P245" s="36" t="s">
        <v>242</v>
      </c>
      <c r="S245" s="224"/>
      <c r="T245" s="225" t="s">
        <v>51</v>
      </c>
      <c r="U245" s="226" t="s">
        <v>832</v>
      </c>
      <c r="V245" s="226">
        <v>400</v>
      </c>
      <c r="W245" s="303"/>
      <c r="X245" s="220">
        <v>45941</v>
      </c>
      <c r="Y245" s="34" t="s">
        <v>53</v>
      </c>
      <c r="Z245" s="227"/>
      <c r="AA245" s="220">
        <v>45941</v>
      </c>
      <c r="AB245" s="221" t="s">
        <v>366</v>
      </c>
      <c r="AC245" s="229" t="s">
        <v>837</v>
      </c>
      <c r="AD245" s="230"/>
      <c r="AE245" s="230"/>
      <c r="AF245" s="230"/>
      <c r="AG245" s="227"/>
    </row>
    <row r="246" spans="1:33" x14ac:dyDescent="0.25">
      <c r="A246" s="32" t="s">
        <v>838</v>
      </c>
      <c r="B246" s="306" t="str">
        <f>IF((COUNTBLANK(AA246)=0),Stats!$E$7,IF((COUNTBLANK(N246)=0),IF((COUNTBLANK(X246)=0),IF((COUNTBLANK(AD246)=0),Stats!$E$6,Stats!$E$5),Stats!$E$4),""))</f>
        <v>Death</v>
      </c>
      <c r="C246" s="307" t="str">
        <f>IF(B246=Stats!$E$5,Stats!$E$11,"")</f>
        <v/>
      </c>
      <c r="D246" s="218">
        <v>45933</v>
      </c>
      <c r="E246" s="301">
        <f t="shared" ca="1" si="11"/>
        <v>171</v>
      </c>
      <c r="F246" s="306" t="s">
        <v>839</v>
      </c>
      <c r="G246" s="308" t="s">
        <v>831</v>
      </c>
      <c r="H246" s="306" t="s">
        <v>239</v>
      </c>
      <c r="I246" s="306" t="s">
        <v>44</v>
      </c>
      <c r="J246" s="306" t="s">
        <v>206</v>
      </c>
      <c r="K246" s="306" t="s">
        <v>272</v>
      </c>
      <c r="L246" s="41" t="s">
        <v>240</v>
      </c>
      <c r="M246" s="219">
        <f t="shared" si="12"/>
        <v>1</v>
      </c>
      <c r="N246" s="218">
        <v>45941</v>
      </c>
      <c r="O246" s="34" t="s">
        <v>53</v>
      </c>
      <c r="P246" s="36" t="s">
        <v>242</v>
      </c>
      <c r="S246" s="224"/>
      <c r="T246" s="225" t="s">
        <v>51</v>
      </c>
      <c r="U246" s="226" t="s">
        <v>832</v>
      </c>
      <c r="V246" s="226">
        <v>400</v>
      </c>
      <c r="W246" s="303"/>
      <c r="X246" s="220">
        <v>45941</v>
      </c>
      <c r="Y246" s="34" t="s">
        <v>53</v>
      </c>
      <c r="Z246" s="227"/>
      <c r="AA246" s="220">
        <v>45941</v>
      </c>
      <c r="AB246" s="221" t="s">
        <v>366</v>
      </c>
      <c r="AC246" s="229" t="s">
        <v>840</v>
      </c>
      <c r="AD246" s="230"/>
      <c r="AE246" s="230"/>
      <c r="AF246" s="230"/>
      <c r="AG246" s="227"/>
    </row>
    <row r="247" spans="1:33" x14ac:dyDescent="0.25">
      <c r="A247" s="32" t="s">
        <v>841</v>
      </c>
      <c r="B247" s="306" t="str">
        <f>IF((COUNTBLANK(AA247)=0),Stats!$E$7,IF((COUNTBLANK(N247)=0),IF((COUNTBLANK(X247)=0),IF((COUNTBLANK(AD247)=0),Stats!$E$6,Stats!$E$5),Stats!$E$4),""))</f>
        <v>Check-up</v>
      </c>
      <c r="C247" s="307" t="str">
        <f>IF(B247=Stats!$E$5,Stats!$E$11,"")</f>
        <v>To define</v>
      </c>
      <c r="D247" s="218">
        <v>45933</v>
      </c>
      <c r="E247" s="301">
        <f t="shared" ca="1" si="11"/>
        <v>204</v>
      </c>
      <c r="F247" s="306" t="s">
        <v>842</v>
      </c>
      <c r="G247" s="308" t="s">
        <v>843</v>
      </c>
      <c r="H247" s="306" t="s">
        <v>239</v>
      </c>
      <c r="I247" s="306" t="s">
        <v>114</v>
      </c>
      <c r="J247" s="306" t="s">
        <v>206</v>
      </c>
      <c r="K247" s="306" t="s">
        <v>272</v>
      </c>
      <c r="L247" s="41" t="s">
        <v>240</v>
      </c>
      <c r="M247" s="219">
        <f t="shared" si="12"/>
        <v>1</v>
      </c>
      <c r="N247" s="218">
        <v>45943</v>
      </c>
      <c r="O247" s="34" t="s">
        <v>53</v>
      </c>
      <c r="P247" s="36" t="s">
        <v>242</v>
      </c>
      <c r="S247" s="224"/>
      <c r="T247" s="225" t="s">
        <v>51</v>
      </c>
      <c r="U247" s="226" t="s">
        <v>832</v>
      </c>
      <c r="V247" s="226">
        <v>400</v>
      </c>
      <c r="W247" s="303"/>
      <c r="X247" s="220">
        <v>45943</v>
      </c>
      <c r="Y247" s="34" t="s">
        <v>53</v>
      </c>
      <c r="Z247" s="227"/>
      <c r="AA247" s="220"/>
      <c r="AB247" s="221"/>
      <c r="AC247" s="229"/>
      <c r="AD247" s="230"/>
      <c r="AE247" s="230"/>
      <c r="AF247" s="230"/>
      <c r="AG247" s="227"/>
    </row>
    <row r="248" spans="1:33" x14ac:dyDescent="0.25">
      <c r="A248" s="32" t="s">
        <v>844</v>
      </c>
      <c r="B248" s="306" t="str">
        <f>IF((COUNTBLANK(AA248)=0),Stats!$E$7,IF((COUNTBLANK(N248)=0),IF((COUNTBLANK(X248)=0),IF((COUNTBLANK(AD248)=0),Stats!$E$6,Stats!$E$5),Stats!$E$4),""))</f>
        <v>Check-up</v>
      </c>
      <c r="C248" s="307" t="str">
        <f>IF(B248=Stats!$E$5,Stats!$E$11,"")</f>
        <v>To define</v>
      </c>
      <c r="D248" s="218">
        <v>45933</v>
      </c>
      <c r="E248" s="301">
        <f t="shared" ca="1" si="11"/>
        <v>204</v>
      </c>
      <c r="F248" s="306" t="s">
        <v>845</v>
      </c>
      <c r="G248" s="308" t="s">
        <v>843</v>
      </c>
      <c r="H248" s="306" t="s">
        <v>239</v>
      </c>
      <c r="I248" s="306" t="s">
        <v>114</v>
      </c>
      <c r="J248" s="306" t="s">
        <v>206</v>
      </c>
      <c r="K248" s="306" t="s">
        <v>272</v>
      </c>
      <c r="L248" s="41" t="s">
        <v>240</v>
      </c>
      <c r="M248" s="219">
        <f t="shared" si="12"/>
        <v>1</v>
      </c>
      <c r="N248" s="218">
        <v>45943</v>
      </c>
      <c r="O248" s="34" t="s">
        <v>53</v>
      </c>
      <c r="P248" s="36" t="s">
        <v>593</v>
      </c>
      <c r="S248" s="224"/>
      <c r="T248" s="225" t="s">
        <v>51</v>
      </c>
      <c r="U248" s="226" t="s">
        <v>832</v>
      </c>
      <c r="V248" s="226">
        <v>400</v>
      </c>
      <c r="W248" s="303"/>
      <c r="X248" s="220">
        <v>45943</v>
      </c>
      <c r="Y248" s="34" t="s">
        <v>53</v>
      </c>
      <c r="Z248" s="227"/>
      <c r="AA248" s="220"/>
      <c r="AB248" s="221"/>
      <c r="AC248" s="229"/>
      <c r="AD248" s="230"/>
      <c r="AE248" s="230"/>
      <c r="AF248" s="230"/>
      <c r="AG248" s="227"/>
    </row>
    <row r="249" spans="1:33" ht="15.75" customHeight="1" x14ac:dyDescent="0.25">
      <c r="A249" s="32" t="s">
        <v>846</v>
      </c>
      <c r="B249" s="306" t="str">
        <f>IF((COUNTBLANK(AA249)=0),Stats!$E$7,IF((COUNTBLANK(N249)=0),IF((COUNTBLANK(X249)=0),IF((COUNTBLANK(AD249)=0),Stats!$E$6,Stats!$E$5),Stats!$E$4),""))</f>
        <v>Check-up</v>
      </c>
      <c r="C249" s="307" t="str">
        <f>IF(B249=Stats!$E$5,Stats!$E$11,"")</f>
        <v>To define</v>
      </c>
      <c r="D249" s="218">
        <v>45933</v>
      </c>
      <c r="E249" s="301">
        <f t="shared" ca="1" si="11"/>
        <v>204</v>
      </c>
      <c r="F249" s="306" t="s">
        <v>847</v>
      </c>
      <c r="G249" s="308" t="s">
        <v>843</v>
      </c>
      <c r="H249" s="306" t="s">
        <v>239</v>
      </c>
      <c r="I249" s="306" t="s">
        <v>114</v>
      </c>
      <c r="J249" s="306" t="s">
        <v>206</v>
      </c>
      <c r="K249" s="306" t="s">
        <v>272</v>
      </c>
      <c r="L249" s="41" t="s">
        <v>240</v>
      </c>
      <c r="M249" s="219">
        <f t="shared" si="12"/>
        <v>1</v>
      </c>
      <c r="N249" s="218">
        <v>45943</v>
      </c>
      <c r="O249" s="34" t="s">
        <v>53</v>
      </c>
      <c r="P249" s="36" t="s">
        <v>593</v>
      </c>
      <c r="S249" s="224"/>
      <c r="T249" s="225" t="s">
        <v>51</v>
      </c>
      <c r="U249" s="226" t="s">
        <v>832</v>
      </c>
      <c r="V249" s="226">
        <v>400</v>
      </c>
      <c r="W249" s="303"/>
      <c r="X249" s="220">
        <v>45943</v>
      </c>
      <c r="Y249" s="34" t="s">
        <v>53</v>
      </c>
      <c r="Z249" s="227"/>
      <c r="AA249" s="220"/>
      <c r="AB249" s="221"/>
      <c r="AC249" s="229"/>
      <c r="AD249" s="230"/>
      <c r="AE249" s="230"/>
      <c r="AF249" s="230"/>
      <c r="AG249" s="227"/>
    </row>
    <row r="250" spans="1:33" ht="17.25" customHeight="1" x14ac:dyDescent="0.25">
      <c r="A250" s="32" t="s">
        <v>848</v>
      </c>
      <c r="B250" s="306" t="str">
        <f>IF((COUNTBLANK(AA250)=0),Stats!$E$7,IF((COUNTBLANK(N250)=0),IF((COUNTBLANK(X250)=0),IF((COUNTBLANK(AD250)=0),Stats!$E$6,Stats!$E$5),Stats!$E$4),""))</f>
        <v>Death</v>
      </c>
      <c r="C250" s="307"/>
      <c r="D250" s="218">
        <v>45933</v>
      </c>
      <c r="E250" s="301">
        <f t="shared" ca="1" si="11"/>
        <v>175</v>
      </c>
      <c r="F250" s="306" t="s">
        <v>849</v>
      </c>
      <c r="G250" s="308" t="s">
        <v>850</v>
      </c>
      <c r="H250" s="306" t="s">
        <v>43</v>
      </c>
      <c r="I250" s="306" t="s">
        <v>114</v>
      </c>
      <c r="J250" s="306" t="s">
        <v>206</v>
      </c>
      <c r="K250" s="306" t="s">
        <v>355</v>
      </c>
      <c r="L250" s="41" t="s">
        <v>356</v>
      </c>
      <c r="M250" s="219">
        <f t="shared" si="12"/>
        <v>1</v>
      </c>
      <c r="N250" s="218">
        <v>45980</v>
      </c>
      <c r="O250" s="34" t="s">
        <v>153</v>
      </c>
      <c r="S250" s="224"/>
      <c r="T250" s="225"/>
      <c r="U250" s="226"/>
      <c r="V250" s="226"/>
      <c r="W250" s="303" t="s">
        <v>243</v>
      </c>
      <c r="X250" s="220"/>
      <c r="Z250" s="227"/>
      <c r="AA250" s="220">
        <v>46001</v>
      </c>
      <c r="AB250" s="221" t="s">
        <v>54</v>
      </c>
      <c r="AC250" s="229" t="s">
        <v>851</v>
      </c>
      <c r="AD250" s="230"/>
      <c r="AE250" s="230"/>
      <c r="AF250" s="230"/>
      <c r="AG250" s="227"/>
    </row>
    <row r="251" spans="1:33" ht="15.75" customHeight="1" x14ac:dyDescent="0.25">
      <c r="A251" s="32" t="s">
        <v>852</v>
      </c>
      <c r="B251" s="306" t="str">
        <f>IF((COUNTBLANK(AA251)=0),Stats!$E$7,IF((COUNTBLANK(N251)=0),IF((COUNTBLANK(X251)=0),IF((COUNTBLANK(AD251)=0),Stats!$E$6,Stats!$E$5),Stats!$E$4),""))</f>
        <v>Check-up</v>
      </c>
      <c r="C251" s="307" t="s">
        <v>204</v>
      </c>
      <c r="D251" s="218">
        <v>45933</v>
      </c>
      <c r="E251" s="301">
        <f t="shared" ca="1" si="11"/>
        <v>175</v>
      </c>
      <c r="F251" s="306" t="s">
        <v>853</v>
      </c>
      <c r="G251" s="308" t="s">
        <v>850</v>
      </c>
      <c r="H251" s="306" t="s">
        <v>43</v>
      </c>
      <c r="I251" s="306" t="s">
        <v>114</v>
      </c>
      <c r="J251" s="306" t="s">
        <v>206</v>
      </c>
      <c r="K251" s="306" t="s">
        <v>355</v>
      </c>
      <c r="L251" s="41" t="s">
        <v>356</v>
      </c>
      <c r="M251" s="219">
        <f t="shared" si="12"/>
        <v>1</v>
      </c>
      <c r="N251" s="218">
        <v>45980</v>
      </c>
      <c r="O251" s="34" t="s">
        <v>153</v>
      </c>
      <c r="P251" s="36" t="s">
        <v>357</v>
      </c>
      <c r="S251" s="224"/>
      <c r="T251" s="225" t="s">
        <v>358</v>
      </c>
      <c r="U251" s="226" t="s">
        <v>854</v>
      </c>
      <c r="V251" s="226" t="s">
        <v>672</v>
      </c>
      <c r="W251" s="303" t="s">
        <v>249</v>
      </c>
      <c r="X251" s="220">
        <v>45999</v>
      </c>
      <c r="Y251" s="34" t="s">
        <v>153</v>
      </c>
      <c r="Z251" s="227"/>
      <c r="AA251" s="220"/>
      <c r="AB251" s="221"/>
      <c r="AC251" s="229"/>
      <c r="AD251" s="230"/>
      <c r="AE251" s="230"/>
      <c r="AF251" s="230"/>
      <c r="AG251" s="227"/>
    </row>
    <row r="252" spans="1:33" ht="19.5" customHeight="1" x14ac:dyDescent="0.25">
      <c r="A252" s="32" t="s">
        <v>855</v>
      </c>
      <c r="B252" s="306" t="str">
        <f>IF((COUNTBLANK(AA252)=0),Stats!$E$7,IF((COUNTBLANK(N252)=0),IF((COUNTBLANK(X252)=0),IF((COUNTBLANK(AD252)=0),Stats!$E$6,Stats!$E$5),Stats!$E$4),""))</f>
        <v>Check-up</v>
      </c>
      <c r="C252" s="307" t="s">
        <v>204</v>
      </c>
      <c r="D252" s="218">
        <v>45933</v>
      </c>
      <c r="E252" s="301">
        <f t="shared" ca="1" si="11"/>
        <v>175</v>
      </c>
      <c r="F252" s="306" t="s">
        <v>856</v>
      </c>
      <c r="G252" s="308" t="s">
        <v>850</v>
      </c>
      <c r="H252" s="306" t="s">
        <v>43</v>
      </c>
      <c r="I252" s="306" t="s">
        <v>114</v>
      </c>
      <c r="J252" s="306" t="s">
        <v>206</v>
      </c>
      <c r="K252" s="306" t="s">
        <v>355</v>
      </c>
      <c r="L252" s="41" t="s">
        <v>356</v>
      </c>
      <c r="M252" s="219">
        <f t="shared" si="12"/>
        <v>1</v>
      </c>
      <c r="N252" s="218">
        <v>45980</v>
      </c>
      <c r="O252" s="34" t="s">
        <v>153</v>
      </c>
      <c r="P252" s="36" t="s">
        <v>357</v>
      </c>
      <c r="S252" s="224"/>
      <c r="T252" s="225" t="s">
        <v>358</v>
      </c>
      <c r="U252" s="226" t="s">
        <v>854</v>
      </c>
      <c r="V252" s="226" t="s">
        <v>672</v>
      </c>
      <c r="W252" s="303" t="s">
        <v>279</v>
      </c>
      <c r="X252" s="220">
        <v>46000</v>
      </c>
      <c r="Y252" s="34" t="s">
        <v>153</v>
      </c>
      <c r="Z252" s="227"/>
      <c r="AA252" s="220"/>
      <c r="AB252" s="221"/>
      <c r="AC252" s="229"/>
      <c r="AD252" s="230"/>
      <c r="AE252" s="230"/>
      <c r="AF252" s="230"/>
      <c r="AG252" s="227"/>
    </row>
    <row r="253" spans="1:33" ht="16.5" customHeight="1" x14ac:dyDescent="0.25">
      <c r="A253" s="32" t="s">
        <v>857</v>
      </c>
      <c r="B253" s="306" t="str">
        <f>IF((COUNTBLANK(AA253)=0),Stats!$E$7,IF((COUNTBLANK(N253)=0),IF((COUNTBLANK(X253)=0),IF((COUNTBLANK(AD253)=0),Stats!$E$6,Stats!$E$5),Stats!$E$4),""))</f>
        <v>Check-up</v>
      </c>
      <c r="C253" s="307" t="s">
        <v>204</v>
      </c>
      <c r="D253" s="218">
        <v>45933</v>
      </c>
      <c r="E253" s="301">
        <f t="shared" ca="1" si="11"/>
        <v>172</v>
      </c>
      <c r="F253" s="306" t="s">
        <v>858</v>
      </c>
      <c r="G253" s="308" t="s">
        <v>859</v>
      </c>
      <c r="H253" s="306" t="s">
        <v>43</v>
      </c>
      <c r="I253" s="306" t="s">
        <v>44</v>
      </c>
      <c r="J253" s="306" t="s">
        <v>206</v>
      </c>
      <c r="K253" s="306" t="s">
        <v>355</v>
      </c>
      <c r="L253" s="41" t="s">
        <v>356</v>
      </c>
      <c r="M253" s="219">
        <f t="shared" si="12"/>
        <v>1</v>
      </c>
      <c r="N253" s="218">
        <v>45981</v>
      </c>
      <c r="O253" s="34" t="s">
        <v>153</v>
      </c>
      <c r="P253" s="36" t="s">
        <v>357</v>
      </c>
      <c r="S253" s="224"/>
      <c r="T253" s="225" t="s">
        <v>358</v>
      </c>
      <c r="U253" s="226" t="s">
        <v>854</v>
      </c>
      <c r="V253" s="226" t="s">
        <v>672</v>
      </c>
      <c r="W253" s="303" t="s">
        <v>243</v>
      </c>
      <c r="X253" s="220">
        <v>46000</v>
      </c>
      <c r="Y253" s="34" t="s">
        <v>153</v>
      </c>
      <c r="Z253" s="227"/>
      <c r="AA253" s="220"/>
      <c r="AB253" s="221"/>
      <c r="AC253" s="229"/>
      <c r="AD253" s="230"/>
      <c r="AE253" s="230"/>
      <c r="AF253" s="230"/>
      <c r="AG253" s="227"/>
    </row>
    <row r="254" spans="1:33" ht="17.25" customHeight="1" x14ac:dyDescent="0.25">
      <c r="A254" s="32" t="s">
        <v>860</v>
      </c>
      <c r="B254" s="306" t="str">
        <f>IF((COUNTBLANK(AA254)=0),Stats!$E$7,IF((COUNTBLANK(N254)=0),IF((COUNTBLANK(X254)=0),IF((COUNTBLANK(AD254)=0),Stats!$E$6,Stats!$E$5),Stats!$E$4),""))</f>
        <v>Check-up</v>
      </c>
      <c r="C254" s="307" t="s">
        <v>204</v>
      </c>
      <c r="D254" s="218">
        <v>45933</v>
      </c>
      <c r="E254" s="301">
        <f t="shared" ca="1" si="11"/>
        <v>172</v>
      </c>
      <c r="F254" s="306" t="s">
        <v>861</v>
      </c>
      <c r="G254" s="308" t="s">
        <v>859</v>
      </c>
      <c r="H254" s="306" t="s">
        <v>43</v>
      </c>
      <c r="I254" s="306" t="s">
        <v>44</v>
      </c>
      <c r="J254" s="306" t="s">
        <v>206</v>
      </c>
      <c r="K254" s="306" t="s">
        <v>355</v>
      </c>
      <c r="L254" s="41" t="s">
        <v>356</v>
      </c>
      <c r="M254" s="219">
        <f t="shared" si="12"/>
        <v>1</v>
      </c>
      <c r="N254" s="218">
        <v>45981</v>
      </c>
      <c r="O254" s="34" t="s">
        <v>153</v>
      </c>
      <c r="P254" s="36" t="s">
        <v>357</v>
      </c>
      <c r="S254" s="224"/>
      <c r="T254" s="225" t="s">
        <v>358</v>
      </c>
      <c r="U254" s="226" t="s">
        <v>854</v>
      </c>
      <c r="V254" s="226" t="s">
        <v>672</v>
      </c>
      <c r="W254" s="303" t="s">
        <v>249</v>
      </c>
      <c r="X254" s="220">
        <v>46001</v>
      </c>
      <c r="Y254" s="34" t="s">
        <v>153</v>
      </c>
      <c r="Z254" s="227"/>
      <c r="AA254" s="220"/>
      <c r="AB254" s="221"/>
      <c r="AC254" s="229"/>
      <c r="AD254" s="230"/>
      <c r="AE254" s="230"/>
      <c r="AF254" s="230"/>
      <c r="AG254" s="227"/>
    </row>
    <row r="255" spans="1:33" ht="18" customHeight="1" x14ac:dyDescent="0.25">
      <c r="A255" s="32" t="s">
        <v>862</v>
      </c>
      <c r="B255" s="306" t="str">
        <f>IF((COUNTBLANK(AA255)=0),Stats!$E$7,IF((COUNTBLANK(N255)=0),IF((COUNTBLANK(X255)=0),IF((COUNTBLANK(AD255)=0),Stats!$E$6,Stats!$E$5),Stats!$E$4),""))</f>
        <v>Death</v>
      </c>
      <c r="C255" s="307" t="str">
        <f>IF(B255=Stats!$E$5,Stats!$E$11,"")</f>
        <v/>
      </c>
      <c r="D255" s="218">
        <v>45933</v>
      </c>
      <c r="E255" s="301">
        <f t="shared" ca="1" si="11"/>
        <v>172</v>
      </c>
      <c r="F255" s="306" t="s">
        <v>863</v>
      </c>
      <c r="G255" s="308" t="s">
        <v>859</v>
      </c>
      <c r="H255" s="306" t="s">
        <v>43</v>
      </c>
      <c r="I255" s="306" t="s">
        <v>44</v>
      </c>
      <c r="J255" s="306" t="s">
        <v>206</v>
      </c>
      <c r="K255" s="306" t="s">
        <v>355</v>
      </c>
      <c r="L255" s="41" t="s">
        <v>356</v>
      </c>
      <c r="M255" s="219">
        <f t="shared" si="12"/>
        <v>1</v>
      </c>
      <c r="N255" s="218">
        <v>45982</v>
      </c>
      <c r="O255" s="34" t="s">
        <v>153</v>
      </c>
      <c r="S255" s="224"/>
      <c r="T255" s="225"/>
      <c r="U255" s="226"/>
      <c r="V255" s="226"/>
      <c r="W255" s="303" t="s">
        <v>291</v>
      </c>
      <c r="X255" s="220"/>
      <c r="Z255" s="227"/>
      <c r="AA255" s="220">
        <v>45982</v>
      </c>
      <c r="AB255" s="221" t="s">
        <v>366</v>
      </c>
      <c r="AC255" s="229"/>
      <c r="AD255" s="230"/>
      <c r="AE255" s="230"/>
      <c r="AF255" s="230"/>
      <c r="AG255" s="227"/>
    </row>
    <row r="256" spans="1:33" ht="18" customHeight="1" x14ac:dyDescent="0.25">
      <c r="A256" s="32" t="s">
        <v>864</v>
      </c>
      <c r="B256" s="306" t="str">
        <f>IF((COUNTBLANK(AA256)=0),Stats!$E$7,IF((COUNTBLANK(N256)=0),IF((COUNTBLANK(X256)=0),IF((COUNTBLANK(AD256)=0),Stats!$E$6,Stats!$E$5),Stats!$E$4),""))</f>
        <v>Death</v>
      </c>
      <c r="C256" s="307"/>
      <c r="D256" s="218">
        <v>45933</v>
      </c>
      <c r="E256" s="301">
        <f t="shared" ca="1" si="11"/>
        <v>172</v>
      </c>
      <c r="F256" s="306" t="s">
        <v>865</v>
      </c>
      <c r="G256" s="308" t="s">
        <v>859</v>
      </c>
      <c r="H256" s="306" t="s">
        <v>43</v>
      </c>
      <c r="I256" s="306" t="s">
        <v>44</v>
      </c>
      <c r="J256" s="306" t="s">
        <v>206</v>
      </c>
      <c r="K256" s="306" t="s">
        <v>355</v>
      </c>
      <c r="L256" s="41" t="s">
        <v>356</v>
      </c>
      <c r="M256" s="219">
        <f t="shared" si="12"/>
        <v>1</v>
      </c>
      <c r="N256" s="218">
        <v>45982</v>
      </c>
      <c r="O256" s="34" t="s">
        <v>153</v>
      </c>
      <c r="P256" s="36" t="s">
        <v>357</v>
      </c>
      <c r="S256" s="224"/>
      <c r="T256" s="225" t="s">
        <v>358</v>
      </c>
      <c r="U256" s="226" t="s">
        <v>854</v>
      </c>
      <c r="V256" s="226" t="s">
        <v>672</v>
      </c>
      <c r="W256" s="303" t="s">
        <v>279</v>
      </c>
      <c r="X256" s="220">
        <v>46013</v>
      </c>
      <c r="Y256" s="34" t="s">
        <v>153</v>
      </c>
      <c r="Z256" s="227"/>
      <c r="AA256" s="220">
        <v>46029</v>
      </c>
      <c r="AB256" s="221" t="s">
        <v>133</v>
      </c>
      <c r="AC256" s="229"/>
      <c r="AD256" s="230"/>
      <c r="AE256" s="230"/>
      <c r="AF256" s="230"/>
      <c r="AG256" s="227"/>
    </row>
    <row r="257" spans="1:33" ht="17.25" customHeight="1" x14ac:dyDescent="0.25">
      <c r="A257" s="32" t="s">
        <v>866</v>
      </c>
      <c r="B257" s="306" t="str">
        <f>IF((COUNTBLANK(AA257)=0),Stats!$E$7,IF((COUNTBLANK(N257)=0),IF((COUNTBLANK(X257)=0),IF((COUNTBLANK(AD257)=0),Stats!$E$6,Stats!$E$5),Stats!$E$4),""))</f>
        <v/>
      </c>
      <c r="C257" s="307" t="str">
        <f>IF(B257=Stats!$E$5,Stats!$E$11,"")</f>
        <v/>
      </c>
      <c r="D257" s="218">
        <v>45964</v>
      </c>
      <c r="E257" s="301">
        <f t="shared" ca="1" si="11"/>
        <v>169</v>
      </c>
      <c r="F257" s="306" t="s">
        <v>867</v>
      </c>
      <c r="G257" s="308" t="s">
        <v>868</v>
      </c>
      <c r="H257" s="306" t="s">
        <v>43</v>
      </c>
      <c r="I257" s="306" t="s">
        <v>114</v>
      </c>
      <c r="J257" s="306" t="s">
        <v>206</v>
      </c>
      <c r="K257" s="306" t="s">
        <v>581</v>
      </c>
      <c r="L257" s="41" t="s">
        <v>413</v>
      </c>
      <c r="M257" s="219">
        <f t="shared" si="12"/>
        <v>1</v>
      </c>
      <c r="N257" s="218"/>
      <c r="S257" s="224"/>
      <c r="T257" s="225"/>
      <c r="U257" s="226"/>
      <c r="V257" s="226"/>
      <c r="W257" s="303"/>
      <c r="X257" s="220"/>
      <c r="Z257" s="227"/>
      <c r="AA257" s="220"/>
      <c r="AB257" s="221"/>
      <c r="AC257" s="229"/>
      <c r="AD257" s="230"/>
      <c r="AE257" s="230"/>
      <c r="AF257" s="230"/>
      <c r="AG257" s="227"/>
    </row>
    <row r="258" spans="1:33" ht="16.5" customHeight="1" x14ac:dyDescent="0.25">
      <c r="A258" s="32" t="s">
        <v>869</v>
      </c>
      <c r="B258" s="306" t="str">
        <f>IF((COUNTBLANK(AA258)=0),Stats!$E$7,IF((COUNTBLANK(N258)=0),IF((COUNTBLANK(X258)=0),IF((COUNTBLANK(AD258)=0),Stats!$E$6,Stats!$E$5),Stats!$E$4),""))</f>
        <v/>
      </c>
      <c r="C258" s="307" t="str">
        <f>IF(B258=Stats!$E$5,Stats!$E$11,"")</f>
        <v/>
      </c>
      <c r="D258" s="218">
        <v>45964</v>
      </c>
      <c r="E258" s="301">
        <f t="shared" ca="1" si="11"/>
        <v>169</v>
      </c>
      <c r="F258" s="306" t="s">
        <v>870</v>
      </c>
      <c r="G258" s="308" t="s">
        <v>868</v>
      </c>
      <c r="H258" s="306" t="s">
        <v>43</v>
      </c>
      <c r="I258" s="306" t="s">
        <v>114</v>
      </c>
      <c r="J258" s="306" t="s">
        <v>206</v>
      </c>
      <c r="K258" s="306" t="s">
        <v>581</v>
      </c>
      <c r="L258" s="41" t="s">
        <v>413</v>
      </c>
      <c r="M258" s="219">
        <f t="shared" si="12"/>
        <v>1</v>
      </c>
      <c r="N258" s="218"/>
      <c r="S258" s="224"/>
      <c r="T258" s="225"/>
      <c r="U258" s="226"/>
      <c r="V258" s="226"/>
      <c r="W258" s="303"/>
      <c r="X258" s="220"/>
      <c r="Z258" s="227"/>
      <c r="AA258" s="220"/>
      <c r="AB258" s="221"/>
      <c r="AC258" s="229"/>
      <c r="AD258" s="230"/>
      <c r="AE258" s="230"/>
      <c r="AF258" s="230"/>
      <c r="AG258" s="227"/>
    </row>
    <row r="259" spans="1:33" ht="14.25" customHeight="1" x14ac:dyDescent="0.25">
      <c r="A259" s="32" t="s">
        <v>871</v>
      </c>
      <c r="B259" s="306" t="str">
        <f>IF((COUNTBLANK(AA259)=0),Stats!$E$7,IF((COUNTBLANK(N259)=0),IF((COUNTBLANK(X259)=0),IF((COUNTBLANK(AD259)=0),Stats!$E$6,Stats!$E$5),Stats!$E$4),""))</f>
        <v/>
      </c>
      <c r="C259" s="307" t="str">
        <f>IF(B259=Stats!$E$5,Stats!$E$11,"")</f>
        <v/>
      </c>
      <c r="D259" s="218">
        <v>45964</v>
      </c>
      <c r="E259" s="301">
        <f t="shared" ca="1" si="11"/>
        <v>169</v>
      </c>
      <c r="F259" s="306" t="s">
        <v>872</v>
      </c>
      <c r="G259" s="308" t="s">
        <v>868</v>
      </c>
      <c r="H259" s="306" t="s">
        <v>43</v>
      </c>
      <c r="I259" s="306" t="s">
        <v>114</v>
      </c>
      <c r="J259" s="306" t="s">
        <v>206</v>
      </c>
      <c r="K259" s="306" t="s">
        <v>581</v>
      </c>
      <c r="L259" s="41" t="s">
        <v>413</v>
      </c>
      <c r="M259" s="219">
        <f t="shared" si="12"/>
        <v>1</v>
      </c>
      <c r="N259" s="218"/>
      <c r="S259" s="224"/>
      <c r="T259" s="225"/>
      <c r="U259" s="226"/>
      <c r="V259" s="226"/>
      <c r="W259" s="303"/>
      <c r="X259" s="220"/>
      <c r="Z259" s="227"/>
      <c r="AA259" s="220"/>
      <c r="AB259" s="221"/>
      <c r="AC259" s="229"/>
      <c r="AD259" s="230"/>
      <c r="AE259" s="230"/>
      <c r="AF259" s="230"/>
      <c r="AG259" s="227"/>
    </row>
    <row r="260" spans="1:33" ht="15" customHeight="1" x14ac:dyDescent="0.25">
      <c r="A260" s="32" t="s">
        <v>873</v>
      </c>
      <c r="B260" s="306" t="str">
        <f>IF((COUNTBLANK(AA260)=0),Stats!$E$7,IF((COUNTBLANK(N260)=0),IF((COUNTBLANK(X260)=0),IF((COUNTBLANK(AD260)=0),Stats!$E$6,Stats!$E$5),Stats!$E$4),""))</f>
        <v>Check-up</v>
      </c>
      <c r="C260" s="307" t="s">
        <v>325</v>
      </c>
      <c r="D260" s="218">
        <v>45964</v>
      </c>
      <c r="E260" s="301">
        <f t="shared" ref="E260:E323" ca="1" si="13">IFERROR(TODAY()-DATE(2000+MID(F260,SEARCH("-",F260,SEARCH("-",F260)+1)+1,2),MID(F260,SEARCH("-",F260,SEARCH("-",F260)+1)+3,2),MID(F260,SEARCH("-",F260,SEARCH("-",F260)+1)+5,2)),"")</f>
        <v>135</v>
      </c>
      <c r="F260" s="306" t="s">
        <v>874</v>
      </c>
      <c r="G260" s="308" t="s">
        <v>875</v>
      </c>
      <c r="H260" s="306" t="s">
        <v>152</v>
      </c>
      <c r="I260" s="306" t="s">
        <v>114</v>
      </c>
      <c r="J260" s="306" t="s">
        <v>206</v>
      </c>
      <c r="K260" s="306" t="s">
        <v>321</v>
      </c>
      <c r="L260" s="41" t="s">
        <v>284</v>
      </c>
      <c r="M260" s="219">
        <f t="shared" si="12"/>
        <v>1</v>
      </c>
      <c r="N260" s="218">
        <v>45987</v>
      </c>
      <c r="O260" s="34" t="s">
        <v>285</v>
      </c>
      <c r="P260" s="36" t="s">
        <v>493</v>
      </c>
      <c r="S260" s="224" t="s">
        <v>105</v>
      </c>
      <c r="T260" s="225" t="s">
        <v>51</v>
      </c>
      <c r="U260" s="226">
        <v>-450</v>
      </c>
      <c r="V260" s="226">
        <v>500</v>
      </c>
      <c r="W260" s="303" t="s">
        <v>279</v>
      </c>
      <c r="X260" s="220">
        <v>45987</v>
      </c>
      <c r="Y260" s="34" t="s">
        <v>285</v>
      </c>
      <c r="Z260" s="227"/>
      <c r="AA260" s="220"/>
      <c r="AB260" s="221"/>
      <c r="AC260" s="229" t="s">
        <v>876</v>
      </c>
      <c r="AD260" s="230"/>
      <c r="AE260" s="230"/>
      <c r="AF260" s="230"/>
      <c r="AG260" s="227"/>
    </row>
    <row r="261" spans="1:33" ht="16.5" customHeight="1" x14ac:dyDescent="0.25">
      <c r="A261" s="32" t="s">
        <v>877</v>
      </c>
      <c r="B261" s="306" t="str">
        <f>IF((COUNTBLANK(AA261)=0),Stats!$E$7,IF((COUNTBLANK(N261)=0),IF((COUNTBLANK(X261)=0),IF((COUNTBLANK(AD261)=0),Stats!$E$6,Stats!$E$5),Stats!$E$4),""))</f>
        <v>Check-up</v>
      </c>
      <c r="C261" s="307" t="s">
        <v>325</v>
      </c>
      <c r="D261" s="218">
        <v>45964</v>
      </c>
      <c r="E261" s="301">
        <f t="shared" ca="1" si="13"/>
        <v>135</v>
      </c>
      <c r="F261" s="306" t="s">
        <v>878</v>
      </c>
      <c r="G261" s="308" t="s">
        <v>875</v>
      </c>
      <c r="H261" s="306" t="s">
        <v>152</v>
      </c>
      <c r="I261" s="306" t="s">
        <v>114</v>
      </c>
      <c r="J261" s="306" t="s">
        <v>206</v>
      </c>
      <c r="K261" s="306" t="s">
        <v>321</v>
      </c>
      <c r="L261" s="41" t="s">
        <v>284</v>
      </c>
      <c r="M261" s="219">
        <f t="shared" si="12"/>
        <v>1</v>
      </c>
      <c r="N261" s="218">
        <v>45987</v>
      </c>
      <c r="O261" s="34" t="s">
        <v>285</v>
      </c>
      <c r="P261" s="36" t="s">
        <v>493</v>
      </c>
      <c r="S261" s="224" t="s">
        <v>105</v>
      </c>
      <c r="T261" s="225" t="s">
        <v>51</v>
      </c>
      <c r="U261" s="226">
        <v>-450</v>
      </c>
      <c r="V261" s="226">
        <v>500</v>
      </c>
      <c r="W261" s="303" t="s">
        <v>243</v>
      </c>
      <c r="X261" s="220">
        <v>45987</v>
      </c>
      <c r="Y261" s="34" t="s">
        <v>285</v>
      </c>
      <c r="Z261" s="227"/>
      <c r="AA261" s="220"/>
      <c r="AB261" s="221"/>
      <c r="AC261" s="229" t="s">
        <v>879</v>
      </c>
      <c r="AD261" s="230"/>
      <c r="AE261" s="230"/>
      <c r="AF261" s="230"/>
      <c r="AG261" s="227"/>
    </row>
    <row r="262" spans="1:33" ht="17.25" customHeight="1" x14ac:dyDescent="0.25">
      <c r="A262" s="32" t="s">
        <v>880</v>
      </c>
      <c r="B262" s="306" t="str">
        <f>IF((COUNTBLANK(AA262)=0),Stats!$E$7,IF((COUNTBLANK(N262)=0),IF((COUNTBLANK(X262)=0),IF((COUNTBLANK(AD262)=0),Stats!$E$6,Stats!$E$5),Stats!$E$4),""))</f>
        <v>Check-up</v>
      </c>
      <c r="C262" s="307" t="s">
        <v>325</v>
      </c>
      <c r="D262" s="218">
        <v>45964</v>
      </c>
      <c r="E262" s="301">
        <f t="shared" ca="1" si="13"/>
        <v>135</v>
      </c>
      <c r="F262" s="306" t="s">
        <v>881</v>
      </c>
      <c r="G262" s="308" t="s">
        <v>875</v>
      </c>
      <c r="H262" s="306" t="s">
        <v>152</v>
      </c>
      <c r="I262" s="306" t="s">
        <v>114</v>
      </c>
      <c r="J262" s="306" t="s">
        <v>206</v>
      </c>
      <c r="K262" s="306" t="s">
        <v>321</v>
      </c>
      <c r="L262" s="41" t="s">
        <v>284</v>
      </c>
      <c r="M262" s="219">
        <f t="shared" si="12"/>
        <v>1</v>
      </c>
      <c r="N262" s="218">
        <v>45987</v>
      </c>
      <c r="O262" s="34" t="s">
        <v>285</v>
      </c>
      <c r="P262" s="36" t="s">
        <v>493</v>
      </c>
      <c r="S262" s="224" t="s">
        <v>105</v>
      </c>
      <c r="T262" s="225" t="s">
        <v>51</v>
      </c>
      <c r="U262" s="226">
        <v>-450</v>
      </c>
      <c r="V262" s="226">
        <v>500</v>
      </c>
      <c r="W262" s="303" t="s">
        <v>882</v>
      </c>
      <c r="X262" s="220">
        <v>45987</v>
      </c>
      <c r="Y262" s="34" t="s">
        <v>285</v>
      </c>
      <c r="Z262" s="227"/>
      <c r="AA262" s="220"/>
      <c r="AB262" s="221"/>
      <c r="AC262" s="229" t="s">
        <v>876</v>
      </c>
      <c r="AD262" s="230"/>
      <c r="AE262" s="230"/>
      <c r="AF262" s="230"/>
      <c r="AG262" s="227"/>
    </row>
    <row r="263" spans="1:33" ht="16.5" customHeight="1" x14ac:dyDescent="0.25">
      <c r="A263" s="32" t="s">
        <v>883</v>
      </c>
      <c r="B263" s="306" t="str">
        <f>IF((COUNTBLANK(AA263)=0),Stats!$E$7,IF((COUNTBLANK(N263)=0),IF((COUNTBLANK(X263)=0),IF((COUNTBLANK(AD263)=0),Stats!$E$6,Stats!$E$5),Stats!$E$4),""))</f>
        <v>Check-up</v>
      </c>
      <c r="C263" s="307" t="s">
        <v>325</v>
      </c>
      <c r="D263" s="218">
        <v>45964</v>
      </c>
      <c r="E263" s="301">
        <f t="shared" ca="1" si="13"/>
        <v>135</v>
      </c>
      <c r="F263" s="306" t="s">
        <v>884</v>
      </c>
      <c r="G263" s="308" t="s">
        <v>885</v>
      </c>
      <c r="H263" s="306" t="s">
        <v>152</v>
      </c>
      <c r="I263" s="306" t="s">
        <v>114</v>
      </c>
      <c r="J263" s="306" t="s">
        <v>206</v>
      </c>
      <c r="K263" s="306" t="s">
        <v>321</v>
      </c>
      <c r="L263" s="41" t="s">
        <v>284</v>
      </c>
      <c r="M263" s="219">
        <f t="shared" si="12"/>
        <v>1</v>
      </c>
      <c r="N263" s="218">
        <v>45988</v>
      </c>
      <c r="O263" s="34" t="s">
        <v>285</v>
      </c>
      <c r="P263" s="36" t="s">
        <v>493</v>
      </c>
      <c r="S263" s="224" t="s">
        <v>105</v>
      </c>
      <c r="T263" s="225" t="s">
        <v>51</v>
      </c>
      <c r="U263" s="226">
        <v>-450</v>
      </c>
      <c r="V263" s="226">
        <v>500</v>
      </c>
      <c r="W263" s="303" t="s">
        <v>279</v>
      </c>
      <c r="X263" s="220">
        <v>45988</v>
      </c>
      <c r="Y263" s="34" t="s">
        <v>285</v>
      </c>
      <c r="Z263" s="227"/>
      <c r="AA263" s="220"/>
      <c r="AB263" s="221"/>
      <c r="AC263" s="229" t="s">
        <v>876</v>
      </c>
      <c r="AD263" s="230"/>
      <c r="AE263" s="230"/>
      <c r="AF263" s="230"/>
      <c r="AG263" s="227"/>
    </row>
    <row r="264" spans="1:33" ht="14.25" customHeight="1" x14ac:dyDescent="0.25">
      <c r="A264" s="32" t="s">
        <v>886</v>
      </c>
      <c r="B264" s="306" t="str">
        <f>IF((COUNTBLANK(AA264)=0),Stats!$E$7,IF((COUNTBLANK(N264)=0),IF((COUNTBLANK(X264)=0),IF((COUNTBLANK(AD264)=0),Stats!$E$6,Stats!$E$5),Stats!$E$4),""))</f>
        <v>Check-up</v>
      </c>
      <c r="C264" s="307" t="s">
        <v>325</v>
      </c>
      <c r="D264" s="218">
        <v>45964</v>
      </c>
      <c r="E264" s="301">
        <f t="shared" ca="1" si="13"/>
        <v>135</v>
      </c>
      <c r="F264" s="306" t="s">
        <v>887</v>
      </c>
      <c r="G264" s="308" t="s">
        <v>885</v>
      </c>
      <c r="H264" s="306" t="s">
        <v>152</v>
      </c>
      <c r="I264" s="306" t="s">
        <v>114</v>
      </c>
      <c r="J264" s="306" t="s">
        <v>206</v>
      </c>
      <c r="K264" s="306" t="s">
        <v>321</v>
      </c>
      <c r="L264" s="41" t="s">
        <v>284</v>
      </c>
      <c r="M264" s="219">
        <f t="shared" si="12"/>
        <v>1</v>
      </c>
      <c r="N264" s="218">
        <v>45988</v>
      </c>
      <c r="O264" s="34" t="s">
        <v>285</v>
      </c>
      <c r="P264" s="36" t="s">
        <v>493</v>
      </c>
      <c r="S264" s="224" t="s">
        <v>105</v>
      </c>
      <c r="T264" s="225" t="s">
        <v>51</v>
      </c>
      <c r="U264" s="226">
        <v>-450</v>
      </c>
      <c r="V264" s="226">
        <v>500</v>
      </c>
      <c r="W264" s="303" t="s">
        <v>291</v>
      </c>
      <c r="X264" s="220">
        <v>45988</v>
      </c>
      <c r="Y264" s="34" t="s">
        <v>285</v>
      </c>
      <c r="Z264" s="227"/>
      <c r="AA264" s="220"/>
      <c r="AB264" s="221"/>
      <c r="AC264" s="229" t="s">
        <v>876</v>
      </c>
      <c r="AD264" s="230"/>
      <c r="AE264" s="230"/>
      <c r="AF264" s="230"/>
      <c r="AG264" s="227"/>
    </row>
    <row r="265" spans="1:33" ht="17.25" customHeight="1" x14ac:dyDescent="0.25">
      <c r="A265" s="32" t="s">
        <v>888</v>
      </c>
      <c r="B265" s="306" t="str">
        <f>IF((COUNTBLANK(AA265)=0),Stats!$E$7,IF((COUNTBLANK(N265)=0),IF((COUNTBLANK(X265)=0),IF((COUNTBLANK(AD265)=0),Stats!$E$6,Stats!$E$5),Stats!$E$4),""))</f>
        <v>Death</v>
      </c>
      <c r="C265" s="307" t="str">
        <f>IF(B265=Stats!$E$5,Stats!$E$11,"")</f>
        <v/>
      </c>
      <c r="D265" s="218">
        <v>45964</v>
      </c>
      <c r="E265" s="301">
        <f t="shared" ca="1" si="13"/>
        <v>135</v>
      </c>
      <c r="F265" s="306" t="s">
        <v>889</v>
      </c>
      <c r="G265" s="308" t="s">
        <v>885</v>
      </c>
      <c r="H265" s="306" t="s">
        <v>152</v>
      </c>
      <c r="I265" s="306" t="s">
        <v>114</v>
      </c>
      <c r="J265" s="306" t="s">
        <v>206</v>
      </c>
      <c r="K265" s="306" t="s">
        <v>61</v>
      </c>
      <c r="L265" s="41" t="s">
        <v>62</v>
      </c>
      <c r="M265" s="219">
        <f t="shared" si="12"/>
        <v>1</v>
      </c>
      <c r="N265" s="218"/>
      <c r="S265" s="224"/>
      <c r="T265" s="225"/>
      <c r="U265" s="226"/>
      <c r="V265" s="226"/>
      <c r="W265" s="303"/>
      <c r="X265" s="220">
        <v>46043</v>
      </c>
      <c r="Z265" s="227"/>
      <c r="AA265" s="220">
        <v>46055</v>
      </c>
      <c r="AB265" s="221" t="s">
        <v>133</v>
      </c>
      <c r="AC265" s="229"/>
      <c r="AD265" s="230"/>
      <c r="AE265" s="230"/>
      <c r="AF265" s="230"/>
      <c r="AG265" s="227"/>
    </row>
    <row r="266" spans="1:33" ht="15" customHeight="1" x14ac:dyDescent="0.25">
      <c r="A266" s="32" t="s">
        <v>890</v>
      </c>
      <c r="B266" s="306" t="str">
        <f>IF((COUNTBLANK(AA266)=0),Stats!$E$7,IF((COUNTBLANK(N266)=0),IF((COUNTBLANK(X266)=0),IF((COUNTBLANK(AD266)=0),Stats!$E$6,Stats!$E$5),Stats!$E$4),""))</f>
        <v/>
      </c>
      <c r="C266" s="307" t="str">
        <f>IF(B266=Stats!$E$5,Stats!$E$11,"")</f>
        <v/>
      </c>
      <c r="D266" s="218">
        <v>45964</v>
      </c>
      <c r="E266" s="301">
        <f t="shared" ca="1" si="13"/>
        <v>135</v>
      </c>
      <c r="F266" s="306" t="s">
        <v>891</v>
      </c>
      <c r="G266" s="308" t="s">
        <v>885</v>
      </c>
      <c r="H266" s="306" t="s">
        <v>152</v>
      </c>
      <c r="I266" s="306" t="s">
        <v>114</v>
      </c>
      <c r="J266" s="306" t="s">
        <v>206</v>
      </c>
      <c r="K266" s="306" t="s">
        <v>61</v>
      </c>
      <c r="L266" s="41" t="s">
        <v>62</v>
      </c>
      <c r="M266" s="219">
        <f t="shared" si="12"/>
        <v>1</v>
      </c>
      <c r="N266" s="218"/>
      <c r="S266" s="224"/>
      <c r="T266" s="225"/>
      <c r="U266" s="226"/>
      <c r="V266" s="226"/>
      <c r="W266" s="303"/>
      <c r="X266" s="220">
        <v>46043</v>
      </c>
      <c r="Z266" s="227" t="s">
        <v>892</v>
      </c>
      <c r="AA266" s="220"/>
      <c r="AB266" s="221"/>
      <c r="AC266" s="229"/>
      <c r="AD266" s="230"/>
      <c r="AE266" s="230"/>
      <c r="AF266" s="230"/>
      <c r="AG266" s="227"/>
    </row>
    <row r="267" spans="1:33" ht="12.75" customHeight="1" x14ac:dyDescent="0.25">
      <c r="A267" s="32" t="s">
        <v>893</v>
      </c>
      <c r="B267" s="306" t="str">
        <f>IF((COUNTBLANK(AA267)=0),Stats!$E$7,IF((COUNTBLANK(N267)=0),IF((COUNTBLANK(X267)=0),IF((COUNTBLANK(AD267)=0),Stats!$E$6,Stats!$E$5),Stats!$E$4),""))</f>
        <v/>
      </c>
      <c r="C267" s="307" t="str">
        <f>IF(B267=Stats!$E$5,Stats!$E$11,"")</f>
        <v/>
      </c>
      <c r="D267" s="218">
        <v>45964</v>
      </c>
      <c r="E267" s="301">
        <f t="shared" ca="1" si="13"/>
        <v>135</v>
      </c>
      <c r="F267" s="306" t="s">
        <v>894</v>
      </c>
      <c r="G267" s="308" t="s">
        <v>885</v>
      </c>
      <c r="H267" s="306" t="s">
        <v>152</v>
      </c>
      <c r="I267" s="306" t="s">
        <v>114</v>
      </c>
      <c r="J267" s="306" t="s">
        <v>206</v>
      </c>
      <c r="K267" s="306" t="s">
        <v>61</v>
      </c>
      <c r="L267" s="41" t="s">
        <v>62</v>
      </c>
      <c r="M267" s="219">
        <f t="shared" si="12"/>
        <v>1</v>
      </c>
      <c r="N267" s="218"/>
      <c r="S267" s="224"/>
      <c r="T267" s="225"/>
      <c r="U267" s="226"/>
      <c r="V267" s="226"/>
      <c r="W267" s="303"/>
      <c r="X267" s="220">
        <v>46043</v>
      </c>
      <c r="Z267" s="227" t="s">
        <v>892</v>
      </c>
      <c r="AA267" s="220"/>
      <c r="AB267" s="221"/>
      <c r="AC267" s="229"/>
      <c r="AD267" s="230"/>
      <c r="AE267" s="230"/>
      <c r="AF267" s="230"/>
      <c r="AG267" s="227"/>
    </row>
    <row r="268" spans="1:33" ht="16.5" customHeight="1" x14ac:dyDescent="0.25">
      <c r="A268" s="32" t="s">
        <v>895</v>
      </c>
      <c r="B268" s="306" t="str">
        <f>IF((COUNTBLANK(AA268)=0),Stats!$E$7,IF((COUNTBLANK(N268)=0),IF((COUNTBLANK(X268)=0),IF((COUNTBLANK(AD268)=0),Stats!$E$6,Stats!$E$5),Stats!$E$4),""))</f>
        <v/>
      </c>
      <c r="C268" s="307" t="str">
        <f>IF(B268=Stats!$E$5,Stats!$E$11,"")</f>
        <v/>
      </c>
      <c r="D268" s="218">
        <v>45964</v>
      </c>
      <c r="E268" s="301">
        <f t="shared" ca="1" si="13"/>
        <v>135</v>
      </c>
      <c r="F268" s="306" t="s">
        <v>896</v>
      </c>
      <c r="G268" s="308" t="s">
        <v>885</v>
      </c>
      <c r="H268" s="306" t="s">
        <v>152</v>
      </c>
      <c r="I268" s="306" t="s">
        <v>114</v>
      </c>
      <c r="J268" s="306" t="s">
        <v>206</v>
      </c>
      <c r="K268" s="306" t="s">
        <v>61</v>
      </c>
      <c r="L268" s="41" t="s">
        <v>62</v>
      </c>
      <c r="M268" s="219">
        <f t="shared" si="12"/>
        <v>1</v>
      </c>
      <c r="N268" s="218"/>
      <c r="S268" s="224"/>
      <c r="T268" s="225"/>
      <c r="U268" s="226"/>
      <c r="V268" s="226"/>
      <c r="W268" s="303"/>
      <c r="X268" s="220">
        <v>46043</v>
      </c>
      <c r="Z268" s="227" t="s">
        <v>892</v>
      </c>
      <c r="AA268" s="220"/>
      <c r="AB268" s="221"/>
      <c r="AC268" s="229"/>
      <c r="AD268" s="230"/>
      <c r="AE268" s="230"/>
      <c r="AF268" s="230"/>
      <c r="AG268" s="227"/>
    </row>
    <row r="269" spans="1:33" x14ac:dyDescent="0.25">
      <c r="A269" s="32" t="s">
        <v>897</v>
      </c>
      <c r="B269" s="306" t="str">
        <f>IF((COUNTBLANK(AA269)=0),Stats!$E$7,IF((COUNTBLANK(N269)=0),IF((COUNTBLANK(X269)=0),IF((COUNTBLANK(AD269)=0),Stats!$E$6,Stats!$E$5),Stats!$E$4),""))</f>
        <v>Death</v>
      </c>
      <c r="C269" s="307" t="str">
        <f>IF(B269=Stats!$E$5,Stats!$E$11,"")</f>
        <v/>
      </c>
      <c r="D269" s="218">
        <v>45964</v>
      </c>
      <c r="E269" s="301">
        <f t="shared" ca="1" si="13"/>
        <v>479</v>
      </c>
      <c r="F269" s="306" t="s">
        <v>898</v>
      </c>
      <c r="G269" s="308" t="s">
        <v>899</v>
      </c>
      <c r="H269" s="306" t="s">
        <v>900</v>
      </c>
      <c r="I269" s="306" t="s">
        <v>114</v>
      </c>
      <c r="J269" s="306" t="s">
        <v>206</v>
      </c>
      <c r="K269" s="306" t="s">
        <v>272</v>
      </c>
      <c r="L269" s="41" t="s">
        <v>240</v>
      </c>
      <c r="M269" s="219">
        <f t="shared" si="12"/>
        <v>1</v>
      </c>
      <c r="N269" s="218"/>
      <c r="S269" s="224"/>
      <c r="T269" s="225"/>
      <c r="U269" s="226"/>
      <c r="V269" s="226"/>
      <c r="W269" s="303"/>
      <c r="X269" s="220"/>
      <c r="Z269" s="227"/>
      <c r="AA269" s="220">
        <v>46031</v>
      </c>
      <c r="AB269" s="221" t="s">
        <v>54</v>
      </c>
      <c r="AC269" s="229"/>
      <c r="AD269" s="230"/>
      <c r="AE269" s="230"/>
      <c r="AF269" s="230"/>
      <c r="AG269" s="227"/>
    </row>
    <row r="270" spans="1:33" x14ac:dyDescent="0.25">
      <c r="A270" s="32" t="s">
        <v>901</v>
      </c>
      <c r="B270" s="306" t="str">
        <f>IF((COUNTBLANK(AA270)=0),Stats!$E$7,IF((COUNTBLANK(N270)=0),IF((COUNTBLANK(X270)=0),IF((COUNTBLANK(AD270)=0),Stats!$E$6,Stats!$E$5),Stats!$E$4),""))</f>
        <v>Death</v>
      </c>
      <c r="C270" s="307" t="str">
        <f>IF(B270=Stats!$E$5,Stats!$E$11,"")</f>
        <v/>
      </c>
      <c r="D270" s="218">
        <v>45964</v>
      </c>
      <c r="E270" s="301">
        <f t="shared" ca="1" si="13"/>
        <v>479</v>
      </c>
      <c r="F270" s="306" t="s">
        <v>902</v>
      </c>
      <c r="G270" s="308" t="s">
        <v>899</v>
      </c>
      <c r="H270" s="306" t="s">
        <v>900</v>
      </c>
      <c r="I270" s="306" t="s">
        <v>114</v>
      </c>
      <c r="J270" s="306" t="s">
        <v>206</v>
      </c>
      <c r="K270" s="306" t="s">
        <v>272</v>
      </c>
      <c r="L270" s="41" t="s">
        <v>240</v>
      </c>
      <c r="M270" s="219">
        <f t="shared" si="12"/>
        <v>1</v>
      </c>
      <c r="N270" s="218"/>
      <c r="S270" s="224"/>
      <c r="T270" s="225"/>
      <c r="U270" s="226"/>
      <c r="V270" s="226"/>
      <c r="W270" s="303"/>
      <c r="X270" s="220"/>
      <c r="Z270" s="227"/>
      <c r="AA270" s="220">
        <v>46031</v>
      </c>
      <c r="AB270" s="221" t="s">
        <v>54</v>
      </c>
      <c r="AC270" s="229"/>
      <c r="AD270" s="230"/>
      <c r="AE270" s="230"/>
      <c r="AF270" s="230"/>
      <c r="AG270" s="227"/>
    </row>
    <row r="271" spans="1:33" x14ac:dyDescent="0.25">
      <c r="A271" s="32" t="s">
        <v>903</v>
      </c>
      <c r="B271" s="306" t="str">
        <f>IF((COUNTBLANK(AA271)=0),Stats!$E$7,IF((COUNTBLANK(N271)=0),IF((COUNTBLANK(X271)=0),IF((COUNTBLANK(AD271)=0),Stats!$E$6,Stats!$E$5),Stats!$E$4),""))</f>
        <v>Death</v>
      </c>
      <c r="C271" s="307" t="str">
        <f>IF(B271=Stats!$E$5,Stats!$E$11,"")</f>
        <v/>
      </c>
      <c r="D271" s="218">
        <v>45964</v>
      </c>
      <c r="E271" s="301">
        <f t="shared" ca="1" si="13"/>
        <v>499</v>
      </c>
      <c r="F271" s="306" t="s">
        <v>904</v>
      </c>
      <c r="G271" s="308" t="s">
        <v>905</v>
      </c>
      <c r="H271" s="306" t="s">
        <v>900</v>
      </c>
      <c r="I271" s="306" t="s">
        <v>114</v>
      </c>
      <c r="J271" s="306" t="s">
        <v>206</v>
      </c>
      <c r="K271" s="306" t="s">
        <v>272</v>
      </c>
      <c r="L271" s="41" t="s">
        <v>240</v>
      </c>
      <c r="M271" s="219">
        <f t="shared" si="12"/>
        <v>1</v>
      </c>
      <c r="N271" s="218"/>
      <c r="S271" s="224"/>
      <c r="T271" s="225"/>
      <c r="U271" s="226"/>
      <c r="V271" s="226"/>
      <c r="W271" s="303"/>
      <c r="X271" s="220"/>
      <c r="Z271" s="227"/>
      <c r="AA271" s="220">
        <v>46031</v>
      </c>
      <c r="AB271" s="221" t="s">
        <v>54</v>
      </c>
      <c r="AC271" s="229"/>
      <c r="AD271" s="230"/>
      <c r="AE271" s="230"/>
      <c r="AF271" s="230"/>
      <c r="AG271" s="227"/>
    </row>
    <row r="272" spans="1:33" x14ac:dyDescent="0.25">
      <c r="A272" s="32" t="s">
        <v>906</v>
      </c>
      <c r="B272" s="306" t="str">
        <f>IF((COUNTBLANK(AA272)=0),Stats!$E$7,IF((COUNTBLANK(N272)=0),IF((COUNTBLANK(X272)=0),IF((COUNTBLANK(AD272)=0),Stats!$E$6,Stats!$E$5),Stats!$E$4),""))</f>
        <v>Death</v>
      </c>
      <c r="C272" s="307" t="str">
        <f>IF(B272=Stats!$E$5,Stats!$E$11,"")</f>
        <v/>
      </c>
      <c r="D272" s="218">
        <v>45964</v>
      </c>
      <c r="E272" s="301">
        <f t="shared" ca="1" si="13"/>
        <v>499</v>
      </c>
      <c r="F272" s="306" t="s">
        <v>907</v>
      </c>
      <c r="G272" s="308" t="s">
        <v>905</v>
      </c>
      <c r="H272" s="306" t="s">
        <v>900</v>
      </c>
      <c r="I272" s="306" t="s">
        <v>114</v>
      </c>
      <c r="J272" s="306" t="s">
        <v>206</v>
      </c>
      <c r="K272" s="306" t="s">
        <v>272</v>
      </c>
      <c r="L272" s="41" t="s">
        <v>240</v>
      </c>
      <c r="M272" s="219">
        <f t="shared" si="12"/>
        <v>1</v>
      </c>
      <c r="N272" s="218"/>
      <c r="S272" s="224"/>
      <c r="T272" s="225"/>
      <c r="U272" s="226"/>
      <c r="V272" s="226"/>
      <c r="W272" s="303"/>
      <c r="X272" s="220"/>
      <c r="Z272" s="227"/>
      <c r="AA272" s="220">
        <v>46031</v>
      </c>
      <c r="AB272" s="221" t="s">
        <v>54</v>
      </c>
      <c r="AC272" s="229"/>
      <c r="AD272" s="230"/>
      <c r="AE272" s="230"/>
      <c r="AF272" s="230"/>
      <c r="AG272" s="227"/>
    </row>
    <row r="273" spans="1:33" x14ac:dyDescent="0.25">
      <c r="A273" s="32" t="s">
        <v>908</v>
      </c>
      <c r="B273" s="306" t="str">
        <f>IF((COUNTBLANK(AA273)=0),Stats!$E$7,IF((COUNTBLANK(N273)=0),IF((COUNTBLANK(X273)=0),IF((COUNTBLANK(AD273)=0),Stats!$E$6,Stats!$E$5),Stats!$E$4),""))</f>
        <v>Death</v>
      </c>
      <c r="C273" s="307" t="str">
        <f>IF(B273=Stats!$E$5,Stats!$E$11,"")</f>
        <v/>
      </c>
      <c r="D273" s="218">
        <v>45964</v>
      </c>
      <c r="E273" s="301">
        <f t="shared" ca="1" si="13"/>
        <v>499</v>
      </c>
      <c r="F273" s="306" t="s">
        <v>909</v>
      </c>
      <c r="G273" s="308" t="s">
        <v>905</v>
      </c>
      <c r="H273" s="306" t="s">
        <v>900</v>
      </c>
      <c r="I273" s="306" t="s">
        <v>114</v>
      </c>
      <c r="J273" s="306" t="s">
        <v>206</v>
      </c>
      <c r="K273" s="306" t="s">
        <v>272</v>
      </c>
      <c r="L273" s="41" t="s">
        <v>240</v>
      </c>
      <c r="M273" s="219">
        <f t="shared" si="12"/>
        <v>1</v>
      </c>
      <c r="N273" s="218"/>
      <c r="S273" s="224"/>
      <c r="T273" s="225"/>
      <c r="U273" s="226"/>
      <c r="V273" s="226"/>
      <c r="W273" s="303"/>
      <c r="X273" s="220"/>
      <c r="Z273" s="227"/>
      <c r="AA273" s="220">
        <v>46031</v>
      </c>
      <c r="AB273" s="221" t="s">
        <v>54</v>
      </c>
      <c r="AC273" s="229"/>
      <c r="AD273" s="230"/>
      <c r="AE273" s="230"/>
      <c r="AF273" s="230"/>
      <c r="AG273" s="227"/>
    </row>
    <row r="274" spans="1:33" x14ac:dyDescent="0.25">
      <c r="A274" s="32" t="s">
        <v>910</v>
      </c>
      <c r="B274" s="306" t="str">
        <f>IF((COUNTBLANK(AA274)=0),Stats!$E$7,IF((COUNTBLANK(N274)=0),IF((COUNTBLANK(X274)=0),IF((COUNTBLANK(AD274)=0),Stats!$E$6,Stats!$E$5),Stats!$E$4),""))</f>
        <v/>
      </c>
      <c r="C274" s="307" t="str">
        <f>IF(B274=Stats!$E$5,Stats!$E$11,"")</f>
        <v/>
      </c>
      <c r="D274" s="218">
        <v>45981</v>
      </c>
      <c r="E274" s="301">
        <f t="shared" ca="1" si="13"/>
        <v>190</v>
      </c>
      <c r="F274" s="306" t="s">
        <v>911</v>
      </c>
      <c r="G274" s="308" t="s">
        <v>912</v>
      </c>
      <c r="H274" s="306" t="s">
        <v>131</v>
      </c>
      <c r="I274" s="306" t="s">
        <v>114</v>
      </c>
      <c r="J274" s="306" t="s">
        <v>206</v>
      </c>
      <c r="K274" s="306" t="s">
        <v>132</v>
      </c>
      <c r="L274" s="41" t="s">
        <v>46</v>
      </c>
      <c r="M274" s="219"/>
      <c r="N274" s="218"/>
      <c r="S274" s="224"/>
      <c r="T274" s="225"/>
      <c r="U274" s="226"/>
      <c r="V274" s="226"/>
      <c r="W274" s="303"/>
      <c r="X274" s="220"/>
      <c r="Z274" s="227"/>
      <c r="AA274" s="220"/>
      <c r="AB274" s="221"/>
      <c r="AC274" s="229"/>
      <c r="AD274" s="230"/>
      <c r="AE274" s="230"/>
      <c r="AF274" s="230"/>
      <c r="AG274" s="227"/>
    </row>
    <row r="275" spans="1:33" x14ac:dyDescent="0.25">
      <c r="A275" s="32" t="s">
        <v>913</v>
      </c>
      <c r="B275" s="306" t="str">
        <f>IF((COUNTBLANK(AA275)=0),Stats!$E$7,IF((COUNTBLANK(N275)=0),IF((COUNTBLANK(X275)=0),IF((COUNTBLANK(AD275)=0),Stats!$E$6,Stats!$E$5),Stats!$E$4),""))</f>
        <v/>
      </c>
      <c r="C275" s="307" t="str">
        <f>IF(B275=Stats!$E$5,Stats!$E$11,"")</f>
        <v/>
      </c>
      <c r="D275" s="218">
        <v>45981</v>
      </c>
      <c r="E275" s="301">
        <f t="shared" ca="1" si="13"/>
        <v>190</v>
      </c>
      <c r="F275" s="306" t="s">
        <v>914</v>
      </c>
      <c r="G275" s="308" t="s">
        <v>912</v>
      </c>
      <c r="H275" s="306" t="s">
        <v>131</v>
      </c>
      <c r="I275" s="306" t="s">
        <v>114</v>
      </c>
      <c r="J275" s="306" t="s">
        <v>206</v>
      </c>
      <c r="K275" s="306" t="s">
        <v>132</v>
      </c>
      <c r="L275" s="41" t="s">
        <v>46</v>
      </c>
      <c r="M275" s="219"/>
      <c r="N275" s="218"/>
      <c r="S275" s="224"/>
      <c r="T275" s="225"/>
      <c r="U275" s="226"/>
      <c r="V275" s="226"/>
      <c r="W275" s="303"/>
      <c r="X275" s="220"/>
      <c r="Z275" s="227"/>
      <c r="AA275" s="220"/>
      <c r="AB275" s="221"/>
      <c r="AC275" s="229"/>
      <c r="AD275" s="230"/>
      <c r="AE275" s="230"/>
      <c r="AF275" s="230"/>
      <c r="AG275" s="227"/>
    </row>
    <row r="276" spans="1:33" x14ac:dyDescent="0.25">
      <c r="A276" s="32" t="s">
        <v>915</v>
      </c>
      <c r="B276" s="306" t="str">
        <f>IF((COUNTBLANK(AA276)=0),Stats!$E$7,IF((COUNTBLANK(N276)=0),IF((COUNTBLANK(X276)=0),IF((COUNTBLANK(AD276)=0),Stats!$E$6,Stats!$E$5),Stats!$E$4),""))</f>
        <v/>
      </c>
      <c r="C276" s="307" t="str">
        <f>IF(B276=Stats!$E$5,Stats!$E$11,"")</f>
        <v/>
      </c>
      <c r="D276" s="218">
        <v>45981</v>
      </c>
      <c r="E276" s="301">
        <f t="shared" ca="1" si="13"/>
        <v>190</v>
      </c>
      <c r="F276" s="306" t="s">
        <v>916</v>
      </c>
      <c r="G276" s="308" t="s">
        <v>912</v>
      </c>
      <c r="H276" s="306" t="s">
        <v>131</v>
      </c>
      <c r="I276" s="306" t="s">
        <v>114</v>
      </c>
      <c r="J276" s="306" t="s">
        <v>206</v>
      </c>
      <c r="K276" s="306" t="s">
        <v>132</v>
      </c>
      <c r="L276" s="41" t="s">
        <v>46</v>
      </c>
      <c r="M276" s="219">
        <f t="shared" si="12"/>
        <v>1</v>
      </c>
      <c r="N276" s="218"/>
      <c r="S276" s="224"/>
      <c r="T276" s="225"/>
      <c r="U276" s="226"/>
      <c r="V276" s="226"/>
      <c r="W276" s="303"/>
      <c r="X276" s="220"/>
      <c r="Z276" s="227"/>
      <c r="AA276" s="220"/>
      <c r="AB276" s="221"/>
      <c r="AC276" s="229"/>
      <c r="AD276" s="230"/>
      <c r="AE276" s="230"/>
      <c r="AF276" s="230"/>
      <c r="AG276" s="227"/>
    </row>
    <row r="277" spans="1:33" x14ac:dyDescent="0.25">
      <c r="A277" s="32" t="s">
        <v>917</v>
      </c>
      <c r="B277" s="306" t="str">
        <f>IF((COUNTBLANK(AA277)=0),Stats!$E$7,IF((COUNTBLANK(N277)=0),IF((COUNTBLANK(X277)=0),IF((COUNTBLANK(AD277)=0),Stats!$E$6,Stats!$E$5),Stats!$E$4),""))</f>
        <v/>
      </c>
      <c r="C277" s="307" t="str">
        <f>IF(B277=Stats!$E$5,Stats!$E$11,"")</f>
        <v/>
      </c>
      <c r="D277" s="218">
        <v>45981</v>
      </c>
      <c r="E277" s="301">
        <f t="shared" ca="1" si="13"/>
        <v>190</v>
      </c>
      <c r="F277" s="306" t="s">
        <v>918</v>
      </c>
      <c r="G277" s="308" t="s">
        <v>912</v>
      </c>
      <c r="H277" s="306" t="s">
        <v>131</v>
      </c>
      <c r="I277" s="306" t="s">
        <v>114</v>
      </c>
      <c r="J277" s="306" t="s">
        <v>206</v>
      </c>
      <c r="K277" s="306" t="s">
        <v>132</v>
      </c>
      <c r="L277" s="41" t="s">
        <v>46</v>
      </c>
      <c r="M277" s="219">
        <f t="shared" ref="M277:M340" si="14">COUNTA(D277)*COUNTA(F277)*COUNTA(J277)*COUNTA(L277)</f>
        <v>1</v>
      </c>
      <c r="N277" s="218"/>
      <c r="S277" s="224"/>
      <c r="T277" s="225"/>
      <c r="U277" s="226"/>
      <c r="V277" s="226"/>
      <c r="W277" s="303"/>
      <c r="X277" s="220"/>
      <c r="Z277" s="227"/>
      <c r="AA277" s="220"/>
      <c r="AB277" s="221"/>
      <c r="AC277" s="229"/>
      <c r="AD277" s="230"/>
      <c r="AE277" s="230"/>
      <c r="AF277" s="230"/>
      <c r="AG277" s="227"/>
    </row>
    <row r="278" spans="1:33" x14ac:dyDescent="0.25">
      <c r="A278" s="32" t="s">
        <v>919</v>
      </c>
      <c r="B278" s="306" t="str">
        <f>IF((COUNTBLANK(AA278)=0),Stats!$E$7,IF((COUNTBLANK(N278)=0),IF((COUNTBLANK(X278)=0),IF((COUNTBLANK(AD278)=0),Stats!$E$6,Stats!$E$5),Stats!$E$4),""))</f>
        <v/>
      </c>
      <c r="C278" s="307" t="str">
        <f>IF(B278=Stats!$E$5,Stats!$E$11,"")</f>
        <v/>
      </c>
      <c r="D278" s="218">
        <v>45995</v>
      </c>
      <c r="E278" s="301">
        <f t="shared" ca="1" si="13"/>
        <v>108</v>
      </c>
      <c r="F278" s="306" t="s">
        <v>920</v>
      </c>
      <c r="G278" s="308" t="s">
        <v>921</v>
      </c>
      <c r="H278" s="306" t="s">
        <v>152</v>
      </c>
      <c r="I278" s="306" t="s">
        <v>114</v>
      </c>
      <c r="J278" s="306" t="s">
        <v>206</v>
      </c>
      <c r="K278" s="306" t="s">
        <v>61</v>
      </c>
      <c r="L278" s="41" t="s">
        <v>62</v>
      </c>
      <c r="M278" s="219">
        <f t="shared" si="14"/>
        <v>1</v>
      </c>
      <c r="N278" s="218"/>
      <c r="S278" s="224"/>
      <c r="T278" s="225"/>
      <c r="U278" s="226"/>
      <c r="V278" s="226"/>
      <c r="W278" s="303"/>
      <c r="X278" s="220">
        <v>46042</v>
      </c>
      <c r="Z278" s="227" t="s">
        <v>922</v>
      </c>
      <c r="AA278" s="220"/>
      <c r="AB278" s="221"/>
      <c r="AC278" s="229"/>
      <c r="AD278" s="230"/>
      <c r="AE278" s="230"/>
      <c r="AF278" s="230"/>
      <c r="AG278" s="227"/>
    </row>
    <row r="279" spans="1:33" x14ac:dyDescent="0.25">
      <c r="A279" s="32" t="s">
        <v>923</v>
      </c>
      <c r="B279" s="306" t="str">
        <f>IF((COUNTBLANK(AA279)=0),Stats!$E$7,IF((COUNTBLANK(N279)=0),IF((COUNTBLANK(X279)=0),IF((COUNTBLANK(AD279)=0),Stats!$E$6,Stats!$E$5),Stats!$E$4),""))</f>
        <v>Death</v>
      </c>
      <c r="C279" s="307" t="str">
        <f>IF(B279=Stats!$E$5,Stats!$E$11,"")</f>
        <v/>
      </c>
      <c r="D279" s="218">
        <v>45995</v>
      </c>
      <c r="E279" s="301">
        <f t="shared" ca="1" si="13"/>
        <v>108</v>
      </c>
      <c r="F279" s="306" t="s">
        <v>924</v>
      </c>
      <c r="G279" s="308" t="s">
        <v>921</v>
      </c>
      <c r="H279" s="306" t="s">
        <v>152</v>
      </c>
      <c r="I279" s="306" t="s">
        <v>114</v>
      </c>
      <c r="J279" s="306" t="s">
        <v>206</v>
      </c>
      <c r="K279" s="306" t="s">
        <v>61</v>
      </c>
      <c r="L279" s="41" t="s">
        <v>62</v>
      </c>
      <c r="M279" s="219">
        <f t="shared" si="14"/>
        <v>1</v>
      </c>
      <c r="N279" s="218"/>
      <c r="S279" s="224"/>
      <c r="T279" s="225"/>
      <c r="U279" s="226"/>
      <c r="V279" s="226"/>
      <c r="W279" s="303"/>
      <c r="X279" s="220"/>
      <c r="Z279" s="227"/>
      <c r="AA279" s="220">
        <v>46046</v>
      </c>
      <c r="AB279" s="221" t="s">
        <v>133</v>
      </c>
      <c r="AC279" s="229"/>
      <c r="AD279" s="230"/>
      <c r="AE279" s="230"/>
      <c r="AF279" s="230"/>
      <c r="AG279" s="227"/>
    </row>
    <row r="280" spans="1:33" x14ac:dyDescent="0.25">
      <c r="A280" s="32" t="s">
        <v>925</v>
      </c>
      <c r="B280" s="306" t="str">
        <f>IF((COUNTBLANK(AA280)=0),Stats!$E$7,IF((COUNTBLANK(N280)=0),IF((COUNTBLANK(X280)=0),IF((COUNTBLANK(AD280)=0),Stats!$E$6,Stats!$E$5),Stats!$E$4),""))</f>
        <v/>
      </c>
      <c r="C280" s="307" t="str">
        <f>IF(B280=Stats!$E$5,Stats!$E$11,"")</f>
        <v/>
      </c>
      <c r="D280" s="218">
        <v>45995</v>
      </c>
      <c r="E280" s="301">
        <f t="shared" ca="1" si="13"/>
        <v>108</v>
      </c>
      <c r="F280" s="306" t="s">
        <v>926</v>
      </c>
      <c r="G280" s="308" t="s">
        <v>921</v>
      </c>
      <c r="H280" s="306" t="s">
        <v>152</v>
      </c>
      <c r="I280" s="306" t="s">
        <v>114</v>
      </c>
      <c r="J280" s="306" t="s">
        <v>206</v>
      </c>
      <c r="K280" s="306" t="s">
        <v>61</v>
      </c>
      <c r="L280" s="41" t="s">
        <v>62</v>
      </c>
      <c r="M280" s="219">
        <f t="shared" si="14"/>
        <v>1</v>
      </c>
      <c r="N280" s="218"/>
      <c r="S280" s="224"/>
      <c r="T280" s="225"/>
      <c r="U280" s="226"/>
      <c r="V280" s="226"/>
      <c r="W280" s="303"/>
      <c r="X280" s="220">
        <v>46042</v>
      </c>
      <c r="Z280" s="227" t="s">
        <v>922</v>
      </c>
      <c r="AA280" s="220"/>
      <c r="AB280" s="221"/>
      <c r="AC280" s="229"/>
      <c r="AD280" s="230"/>
      <c r="AE280" s="230"/>
      <c r="AF280" s="230"/>
      <c r="AG280" s="227"/>
    </row>
    <row r="281" spans="1:33" x14ac:dyDescent="0.25">
      <c r="A281" s="32" t="s">
        <v>927</v>
      </c>
      <c r="B281" s="306" t="str">
        <f>IF((COUNTBLANK(AA281)=0),Stats!$E$7,IF((COUNTBLANK(N281)=0),IF((COUNTBLANK(X281)=0),IF((COUNTBLANK(AD281)=0),Stats!$E$6,Stats!$E$5),Stats!$E$4),""))</f>
        <v>Death</v>
      </c>
      <c r="C281" s="307" t="str">
        <f>IF(B281=Stats!$E$5,Stats!$E$11,"")</f>
        <v/>
      </c>
      <c r="D281" s="218">
        <v>45995</v>
      </c>
      <c r="E281" s="301">
        <f t="shared" ca="1" si="13"/>
        <v>108</v>
      </c>
      <c r="F281" s="306" t="s">
        <v>928</v>
      </c>
      <c r="G281" s="308" t="s">
        <v>921</v>
      </c>
      <c r="H281" s="306" t="s">
        <v>152</v>
      </c>
      <c r="I281" s="306" t="s">
        <v>114</v>
      </c>
      <c r="J281" s="306" t="s">
        <v>206</v>
      </c>
      <c r="K281" s="306" t="s">
        <v>61</v>
      </c>
      <c r="L281" s="41" t="s">
        <v>62</v>
      </c>
      <c r="M281" s="219">
        <f t="shared" si="14"/>
        <v>1</v>
      </c>
      <c r="N281" s="218"/>
      <c r="S281" s="224"/>
      <c r="T281" s="225"/>
      <c r="U281" s="226"/>
      <c r="V281" s="226"/>
      <c r="W281" s="303"/>
      <c r="X281" s="220"/>
      <c r="Z281" s="227"/>
      <c r="AA281" s="220">
        <v>46036</v>
      </c>
      <c r="AB281" s="221" t="s">
        <v>366</v>
      </c>
      <c r="AC281" s="229"/>
      <c r="AD281" s="230"/>
      <c r="AE281" s="230"/>
      <c r="AF281" s="230"/>
      <c r="AG281" s="227"/>
    </row>
    <row r="282" spans="1:33" x14ac:dyDescent="0.25">
      <c r="A282" s="32" t="s">
        <v>929</v>
      </c>
      <c r="B282" s="306" t="str">
        <f>IF((COUNTBLANK(AA282)=0),Stats!$E$7,IF((COUNTBLANK(N282)=0),IF((COUNTBLANK(X282)=0),IF((COUNTBLANK(AD282)=0),Stats!$E$6,Stats!$E$5),Stats!$E$4),""))</f>
        <v/>
      </c>
      <c r="C282" s="307" t="str">
        <f>IF(B282=Stats!$E$5,Stats!$E$11,"")</f>
        <v/>
      </c>
      <c r="D282" s="218">
        <v>45995</v>
      </c>
      <c r="E282" s="301">
        <f t="shared" ca="1" si="13"/>
        <v>108</v>
      </c>
      <c r="F282" s="306" t="s">
        <v>930</v>
      </c>
      <c r="G282" s="308" t="s">
        <v>921</v>
      </c>
      <c r="H282" s="306" t="s">
        <v>152</v>
      </c>
      <c r="I282" s="306" t="s">
        <v>114</v>
      </c>
      <c r="J282" s="306" t="s">
        <v>206</v>
      </c>
      <c r="K282" s="306" t="s">
        <v>61</v>
      </c>
      <c r="L282" s="41" t="s">
        <v>62</v>
      </c>
      <c r="M282" s="219">
        <f t="shared" si="14"/>
        <v>1</v>
      </c>
      <c r="N282" s="218"/>
      <c r="S282" s="224"/>
      <c r="T282" s="225"/>
      <c r="U282" s="226"/>
      <c r="V282" s="226"/>
      <c r="W282" s="303"/>
      <c r="X282" s="220">
        <v>46042</v>
      </c>
      <c r="Z282" s="227" t="s">
        <v>931</v>
      </c>
      <c r="AA282" s="220"/>
      <c r="AB282" s="221"/>
      <c r="AC282" s="229"/>
      <c r="AD282" s="230"/>
      <c r="AE282" s="230"/>
      <c r="AF282" s="230"/>
      <c r="AG282" s="227"/>
    </row>
    <row r="283" spans="1:33" x14ac:dyDescent="0.25">
      <c r="A283" s="32" t="s">
        <v>932</v>
      </c>
      <c r="B283" s="306" t="str">
        <f>IF((COUNTBLANK(AA283)=0),Stats!$E$7,IF((COUNTBLANK(N283)=0),IF((COUNTBLANK(X283)=0),IF((COUNTBLANK(AD283)=0),Stats!$E$6,Stats!$E$5),Stats!$E$4),""))</f>
        <v/>
      </c>
      <c r="C283" s="307" t="str">
        <f>IF(B283=Stats!$E$5,Stats!$E$11,"")</f>
        <v/>
      </c>
      <c r="D283" s="218">
        <v>45995</v>
      </c>
      <c r="E283" s="301">
        <f t="shared" ca="1" si="13"/>
        <v>108</v>
      </c>
      <c r="F283" s="306" t="s">
        <v>933</v>
      </c>
      <c r="G283" s="308" t="s">
        <v>921</v>
      </c>
      <c r="H283" s="306" t="s">
        <v>152</v>
      </c>
      <c r="I283" s="306" t="s">
        <v>114</v>
      </c>
      <c r="J283" s="306" t="s">
        <v>206</v>
      </c>
      <c r="K283" s="306" t="s">
        <v>61</v>
      </c>
      <c r="L283" s="41" t="s">
        <v>62</v>
      </c>
      <c r="M283" s="219">
        <f t="shared" si="14"/>
        <v>1</v>
      </c>
      <c r="N283" s="218"/>
      <c r="S283" s="224"/>
      <c r="T283" s="225"/>
      <c r="U283" s="226"/>
      <c r="V283" s="226"/>
      <c r="W283" s="303"/>
      <c r="X283" s="220">
        <v>46042</v>
      </c>
      <c r="Z283" s="227" t="s">
        <v>931</v>
      </c>
      <c r="AA283" s="220"/>
      <c r="AB283" s="221"/>
      <c r="AC283" s="229"/>
      <c r="AD283" s="230"/>
      <c r="AE283" s="230"/>
      <c r="AF283" s="230"/>
      <c r="AG283" s="227"/>
    </row>
    <row r="284" spans="1:33" x14ac:dyDescent="0.25">
      <c r="A284" s="32" t="s">
        <v>934</v>
      </c>
      <c r="B284" s="306" t="str">
        <f>IF((COUNTBLANK(AA284)=0),Stats!$E$7,IF((COUNTBLANK(N284)=0),IF((COUNTBLANK(X284)=0),IF((COUNTBLANK(AD284)=0),Stats!$E$6,Stats!$E$5),Stats!$E$4),""))</f>
        <v>Death</v>
      </c>
      <c r="C284" s="307" t="str">
        <f>IF(B284=Stats!$E$5,Stats!$E$11,"")</f>
        <v/>
      </c>
      <c r="D284" s="218">
        <v>45995</v>
      </c>
      <c r="E284" s="301">
        <f t="shared" ca="1" si="13"/>
        <v>272</v>
      </c>
      <c r="F284" s="306" t="s">
        <v>935</v>
      </c>
      <c r="G284" s="308" t="s">
        <v>936</v>
      </c>
      <c r="H284" s="306" t="s">
        <v>131</v>
      </c>
      <c r="I284" s="306" t="s">
        <v>114</v>
      </c>
      <c r="J284" s="306" t="s">
        <v>206</v>
      </c>
      <c r="K284" s="306" t="s">
        <v>937</v>
      </c>
      <c r="L284" s="41" t="s">
        <v>356</v>
      </c>
      <c r="M284" s="219">
        <f t="shared" si="14"/>
        <v>1</v>
      </c>
      <c r="N284" s="218"/>
      <c r="S284" s="224"/>
      <c r="T284" s="225"/>
      <c r="U284" s="226"/>
      <c r="V284" s="226"/>
      <c r="W284" s="303"/>
      <c r="X284" s="220"/>
      <c r="Z284" s="227"/>
      <c r="AA284" s="220">
        <v>46031</v>
      </c>
      <c r="AB284" s="221" t="s">
        <v>54</v>
      </c>
      <c r="AC284" s="229"/>
      <c r="AD284" s="230"/>
      <c r="AE284" s="230"/>
      <c r="AF284" s="230"/>
      <c r="AG284" s="227"/>
    </row>
    <row r="285" spans="1:33" x14ac:dyDescent="0.25">
      <c r="A285" s="32" t="s">
        <v>938</v>
      </c>
      <c r="B285" s="306" t="str">
        <f>IF((COUNTBLANK(AA285)=0),Stats!$E$7,IF((COUNTBLANK(N285)=0),IF((COUNTBLANK(X285)=0),IF((COUNTBLANK(AD285)=0),Stats!$E$6,Stats!$E$5),Stats!$E$4),""))</f>
        <v>Death</v>
      </c>
      <c r="C285" s="307" t="str">
        <f>IF(B285=Stats!$E$5,Stats!$E$11,"")</f>
        <v/>
      </c>
      <c r="D285" s="218">
        <v>45995</v>
      </c>
      <c r="E285" s="301">
        <f t="shared" ca="1" si="13"/>
        <v>272</v>
      </c>
      <c r="F285" s="306" t="s">
        <v>939</v>
      </c>
      <c r="G285" s="308" t="s">
        <v>936</v>
      </c>
      <c r="H285" s="306" t="s">
        <v>131</v>
      </c>
      <c r="I285" s="306" t="s">
        <v>114</v>
      </c>
      <c r="J285" s="306" t="s">
        <v>206</v>
      </c>
      <c r="K285" s="306" t="s">
        <v>937</v>
      </c>
      <c r="L285" s="41" t="s">
        <v>356</v>
      </c>
      <c r="M285" s="219">
        <f t="shared" si="14"/>
        <v>1</v>
      </c>
      <c r="N285" s="218"/>
      <c r="S285" s="224"/>
      <c r="T285" s="225"/>
      <c r="U285" s="226"/>
      <c r="V285" s="226"/>
      <c r="W285" s="303"/>
      <c r="X285" s="220"/>
      <c r="Z285" s="227"/>
      <c r="AA285" s="220">
        <v>46031</v>
      </c>
      <c r="AB285" s="221" t="s">
        <v>54</v>
      </c>
      <c r="AC285" s="229"/>
      <c r="AD285" s="230"/>
      <c r="AE285" s="230"/>
      <c r="AF285" s="230"/>
      <c r="AG285" s="227"/>
    </row>
    <row r="286" spans="1:33" x14ac:dyDescent="0.25">
      <c r="A286" s="32" t="s">
        <v>940</v>
      </c>
      <c r="B286" s="306" t="str">
        <f>IF((COUNTBLANK(AA286)=0),Stats!$E$7,IF((COUNTBLANK(N286)=0),IF((COUNTBLANK(X286)=0),IF((COUNTBLANK(AD286)=0),Stats!$E$6,Stats!$E$5),Stats!$E$4),""))</f>
        <v>Death</v>
      </c>
      <c r="C286" s="307" t="str">
        <f>IF(B286=Stats!$E$5,Stats!$E$11,"")</f>
        <v/>
      </c>
      <c r="D286" s="218">
        <v>45995</v>
      </c>
      <c r="E286" s="301">
        <f t="shared" ca="1" si="13"/>
        <v>272</v>
      </c>
      <c r="F286" s="306" t="s">
        <v>941</v>
      </c>
      <c r="G286" s="308" t="s">
        <v>936</v>
      </c>
      <c r="H286" s="306" t="s">
        <v>131</v>
      </c>
      <c r="I286" s="306" t="s">
        <v>114</v>
      </c>
      <c r="J286" s="306" t="s">
        <v>206</v>
      </c>
      <c r="K286" s="306" t="s">
        <v>937</v>
      </c>
      <c r="L286" s="41" t="s">
        <v>356</v>
      </c>
      <c r="M286" s="219">
        <f t="shared" si="14"/>
        <v>1</v>
      </c>
      <c r="N286" s="218"/>
      <c r="S286" s="224"/>
      <c r="T286" s="225"/>
      <c r="U286" s="226"/>
      <c r="V286" s="226"/>
      <c r="W286" s="303"/>
      <c r="X286" s="220"/>
      <c r="Z286" s="227"/>
      <c r="AA286" s="220">
        <v>46031</v>
      </c>
      <c r="AB286" s="221" t="s">
        <v>54</v>
      </c>
      <c r="AC286" s="229"/>
      <c r="AD286" s="230"/>
      <c r="AE286" s="230"/>
      <c r="AF286" s="230"/>
      <c r="AG286" s="227"/>
    </row>
    <row r="287" spans="1:33" x14ac:dyDescent="0.25">
      <c r="A287" s="32" t="s">
        <v>942</v>
      </c>
      <c r="B287" s="306" t="str">
        <f>IF((COUNTBLANK(AA287)=0),Stats!$E$7,IF((COUNTBLANK(N287)=0),IF((COUNTBLANK(X287)=0),IF((COUNTBLANK(AD287)=0),Stats!$E$6,Stats!$E$5),Stats!$E$4),""))</f>
        <v/>
      </c>
      <c r="C287" s="307" t="str">
        <f>IF(B287=Stats!$E$5,Stats!$E$11,"")</f>
        <v/>
      </c>
      <c r="D287" s="218">
        <v>45995</v>
      </c>
      <c r="E287" s="301">
        <f t="shared" ca="1" si="13"/>
        <v>108</v>
      </c>
      <c r="F287" s="306" t="s">
        <v>943</v>
      </c>
      <c r="G287" s="308" t="s">
        <v>944</v>
      </c>
      <c r="H287" s="306" t="s">
        <v>152</v>
      </c>
      <c r="I287" s="306" t="s">
        <v>44</v>
      </c>
      <c r="J287" s="306" t="s">
        <v>206</v>
      </c>
      <c r="K287" s="306" t="s">
        <v>61</v>
      </c>
      <c r="L287" s="41" t="s">
        <v>62</v>
      </c>
      <c r="M287" s="219">
        <f t="shared" si="14"/>
        <v>1</v>
      </c>
      <c r="N287" s="218"/>
      <c r="S287" s="224"/>
      <c r="T287" s="225"/>
      <c r="U287" s="226"/>
      <c r="V287" s="226"/>
      <c r="W287" s="303"/>
      <c r="X287" s="220">
        <v>46042</v>
      </c>
      <c r="Z287" s="227" t="s">
        <v>945</v>
      </c>
      <c r="AA287" s="220"/>
      <c r="AB287" s="221"/>
      <c r="AC287" s="229"/>
      <c r="AD287" s="230"/>
      <c r="AE287" s="230"/>
      <c r="AF287" s="230"/>
      <c r="AG287" s="227"/>
    </row>
    <row r="288" spans="1:33" x14ac:dyDescent="0.25">
      <c r="A288" s="32" t="s">
        <v>946</v>
      </c>
      <c r="B288" s="306" t="str">
        <f>IF((COUNTBLANK(AA288)=0),Stats!$E$7,IF((COUNTBLANK(N288)=0),IF((COUNTBLANK(X288)=0),IF((COUNTBLANK(AD288)=0),Stats!$E$6,Stats!$E$5),Stats!$E$4),""))</f>
        <v>Death</v>
      </c>
      <c r="C288" s="307" t="str">
        <f>IF(B288=Stats!$E$5,Stats!$E$11,"")</f>
        <v/>
      </c>
      <c r="D288" s="218">
        <v>45995</v>
      </c>
      <c r="E288" s="301">
        <f t="shared" ca="1" si="13"/>
        <v>108</v>
      </c>
      <c r="F288" s="306" t="s">
        <v>947</v>
      </c>
      <c r="G288" s="308" t="s">
        <v>944</v>
      </c>
      <c r="H288" s="306" t="s">
        <v>152</v>
      </c>
      <c r="I288" s="306" t="s">
        <v>44</v>
      </c>
      <c r="J288" s="306" t="s">
        <v>206</v>
      </c>
      <c r="K288" s="306" t="s">
        <v>61</v>
      </c>
      <c r="L288" s="41" t="s">
        <v>62</v>
      </c>
      <c r="M288" s="219">
        <f t="shared" si="14"/>
        <v>1</v>
      </c>
      <c r="N288" s="218"/>
      <c r="S288" s="224"/>
      <c r="T288" s="225"/>
      <c r="U288" s="226"/>
      <c r="V288" s="226"/>
      <c r="W288" s="303"/>
      <c r="X288" s="220"/>
      <c r="Z288" s="227"/>
      <c r="AA288" s="220">
        <v>46038</v>
      </c>
      <c r="AB288" s="221" t="s">
        <v>160</v>
      </c>
      <c r="AC288" s="229"/>
      <c r="AD288" s="230"/>
      <c r="AE288" s="230"/>
      <c r="AF288" s="230"/>
      <c r="AG288" s="227"/>
    </row>
    <row r="289" spans="1:33" x14ac:dyDescent="0.25">
      <c r="A289" s="32" t="s">
        <v>948</v>
      </c>
      <c r="B289" s="306" t="str">
        <f>IF((COUNTBLANK(AA289)=0),Stats!$E$7,IF((COUNTBLANK(N289)=0),IF((COUNTBLANK(X289)=0),IF((COUNTBLANK(AD289)=0),Stats!$E$6,Stats!$E$5),Stats!$E$4),""))</f>
        <v>Death</v>
      </c>
      <c r="C289" s="307" t="str">
        <f>IF(B289=Stats!$E$5,Stats!$E$11,"")</f>
        <v/>
      </c>
      <c r="D289" s="218">
        <v>45995</v>
      </c>
      <c r="E289" s="301">
        <f t="shared" ca="1" si="13"/>
        <v>108</v>
      </c>
      <c r="F289" s="306" t="s">
        <v>949</v>
      </c>
      <c r="G289" s="308" t="s">
        <v>944</v>
      </c>
      <c r="H289" s="306" t="s">
        <v>152</v>
      </c>
      <c r="I289" s="306" t="s">
        <v>44</v>
      </c>
      <c r="J289" s="306" t="s">
        <v>206</v>
      </c>
      <c r="K289" s="306" t="s">
        <v>61</v>
      </c>
      <c r="L289" s="41" t="s">
        <v>62</v>
      </c>
      <c r="M289" s="219">
        <f t="shared" si="14"/>
        <v>1</v>
      </c>
      <c r="N289" s="218"/>
      <c r="S289" s="224"/>
      <c r="T289" s="225"/>
      <c r="U289" s="226"/>
      <c r="V289" s="226"/>
      <c r="W289" s="303"/>
      <c r="X289" s="220"/>
      <c r="Z289" s="227"/>
      <c r="AA289" s="220">
        <v>46036</v>
      </c>
      <c r="AB289" s="221" t="s">
        <v>366</v>
      </c>
      <c r="AC289" s="229"/>
      <c r="AD289" s="230"/>
      <c r="AE289" s="230"/>
      <c r="AF289" s="230"/>
      <c r="AG289" s="227"/>
    </row>
    <row r="290" spans="1:33" x14ac:dyDescent="0.25">
      <c r="A290" s="32" t="s">
        <v>950</v>
      </c>
      <c r="B290" s="306" t="str">
        <f>IF((COUNTBLANK(AA290)=0),Stats!$E$7,IF((COUNTBLANK(N290)=0),IF((COUNTBLANK(X290)=0),IF((COUNTBLANK(AD290)=0),Stats!$E$6,Stats!$E$5),Stats!$E$4),""))</f>
        <v/>
      </c>
      <c r="C290" s="307" t="str">
        <f>IF(B290=Stats!$E$5,Stats!$E$11,"")</f>
        <v/>
      </c>
      <c r="D290" s="218">
        <v>45995</v>
      </c>
      <c r="E290" s="301">
        <f t="shared" ca="1" si="13"/>
        <v>108</v>
      </c>
      <c r="F290" s="306" t="s">
        <v>951</v>
      </c>
      <c r="G290" s="308" t="s">
        <v>944</v>
      </c>
      <c r="H290" s="306" t="s">
        <v>152</v>
      </c>
      <c r="I290" s="306" t="s">
        <v>44</v>
      </c>
      <c r="J290" s="306" t="s">
        <v>206</v>
      </c>
      <c r="K290" s="306" t="s">
        <v>61</v>
      </c>
      <c r="L290" s="41" t="s">
        <v>62</v>
      </c>
      <c r="M290" s="219">
        <f t="shared" si="14"/>
        <v>1</v>
      </c>
      <c r="N290" s="218"/>
      <c r="S290" s="224"/>
      <c r="T290" s="225"/>
      <c r="U290" s="226"/>
      <c r="V290" s="226"/>
      <c r="W290" s="303"/>
      <c r="X290" s="220">
        <v>46042</v>
      </c>
      <c r="Z290" s="227" t="s">
        <v>945</v>
      </c>
      <c r="AA290" s="220"/>
      <c r="AB290" s="221"/>
      <c r="AC290" s="229"/>
      <c r="AD290" s="230"/>
      <c r="AE290" s="230"/>
      <c r="AF290" s="230"/>
      <c r="AG290" s="227"/>
    </row>
    <row r="291" spans="1:33" x14ac:dyDescent="0.25">
      <c r="A291" s="32" t="s">
        <v>952</v>
      </c>
      <c r="B291" s="306" t="str">
        <f>IF((COUNTBLANK(AA291)=0),Stats!$E$7,IF((COUNTBLANK(N291)=0),IF((COUNTBLANK(X291)=0),IF((COUNTBLANK(AD291)=0),Stats!$E$6,Stats!$E$5),Stats!$E$4),""))</f>
        <v>Injected</v>
      </c>
      <c r="C291" s="307" t="str">
        <f>IF(B291=Stats!$E$5,Stats!$E$11,"")</f>
        <v/>
      </c>
      <c r="D291" s="218">
        <v>46009</v>
      </c>
      <c r="E291" s="301">
        <f t="shared" ca="1" si="13"/>
        <v>171</v>
      </c>
      <c r="F291" s="306" t="s">
        <v>953</v>
      </c>
      <c r="G291" s="308" t="s">
        <v>954</v>
      </c>
      <c r="H291" s="306" t="s">
        <v>271</v>
      </c>
      <c r="I291" s="306" t="s">
        <v>44</v>
      </c>
      <c r="J291" s="306" t="s">
        <v>206</v>
      </c>
      <c r="K291" s="306" t="s">
        <v>394</v>
      </c>
      <c r="L291" s="41" t="s">
        <v>240</v>
      </c>
      <c r="M291" s="219">
        <f t="shared" si="14"/>
        <v>1</v>
      </c>
      <c r="N291" s="218">
        <v>46013</v>
      </c>
      <c r="O291" s="34" t="s">
        <v>241</v>
      </c>
      <c r="P291" s="36" t="s">
        <v>593</v>
      </c>
      <c r="S291" s="224"/>
      <c r="T291" s="225" t="s">
        <v>51</v>
      </c>
      <c r="U291" s="226">
        <v>-300</v>
      </c>
      <c r="V291" s="226">
        <v>400</v>
      </c>
      <c r="W291" s="303" t="s">
        <v>279</v>
      </c>
      <c r="X291" s="220"/>
      <c r="Z291" s="227"/>
      <c r="AA291" s="220"/>
      <c r="AB291" s="221"/>
      <c r="AC291" s="229"/>
      <c r="AD291" s="230"/>
      <c r="AE291" s="230"/>
      <c r="AF291" s="230"/>
      <c r="AG291" s="227"/>
    </row>
    <row r="292" spans="1:33" x14ac:dyDescent="0.25">
      <c r="A292" s="32" t="s">
        <v>955</v>
      </c>
      <c r="B292" s="306" t="str">
        <f>IF((COUNTBLANK(AA292)=0),Stats!$E$7,IF((COUNTBLANK(N292)=0),IF((COUNTBLANK(X292)=0),IF((COUNTBLANK(AD292)=0),Stats!$E$6,Stats!$E$5),Stats!$E$4),""))</f>
        <v>Injected</v>
      </c>
      <c r="C292" s="307" t="str">
        <f>IF(B292=Stats!$E$5,Stats!$E$11,"")</f>
        <v/>
      </c>
      <c r="D292" s="218">
        <v>46009</v>
      </c>
      <c r="E292" s="301">
        <f t="shared" ca="1" si="13"/>
        <v>171</v>
      </c>
      <c r="F292" s="306" t="s">
        <v>956</v>
      </c>
      <c r="G292" s="308" t="s">
        <v>954</v>
      </c>
      <c r="H292" s="306" t="s">
        <v>271</v>
      </c>
      <c r="I292" s="306" t="s">
        <v>44</v>
      </c>
      <c r="J292" s="306" t="s">
        <v>206</v>
      </c>
      <c r="K292" s="306" t="s">
        <v>394</v>
      </c>
      <c r="L292" s="41" t="s">
        <v>240</v>
      </c>
      <c r="M292" s="219">
        <f t="shared" si="14"/>
        <v>1</v>
      </c>
      <c r="N292" s="218">
        <v>46013</v>
      </c>
      <c r="O292" s="34" t="s">
        <v>241</v>
      </c>
      <c r="P292" s="36" t="s">
        <v>593</v>
      </c>
      <c r="S292" s="224"/>
      <c r="T292" s="225" t="s">
        <v>51</v>
      </c>
      <c r="U292" s="226">
        <v>-300</v>
      </c>
      <c r="V292" s="226">
        <v>400</v>
      </c>
      <c r="W292" s="303" t="s">
        <v>243</v>
      </c>
      <c r="X292" s="220"/>
      <c r="Z292" s="227"/>
      <c r="AA292" s="220"/>
      <c r="AB292" s="221"/>
      <c r="AC292" s="229"/>
      <c r="AD292" s="230"/>
      <c r="AE292" s="230"/>
      <c r="AF292" s="230"/>
      <c r="AG292" s="227"/>
    </row>
    <row r="293" spans="1:33" x14ac:dyDescent="0.25">
      <c r="A293" s="32" t="s">
        <v>957</v>
      </c>
      <c r="B293" s="306" t="str">
        <f>IF((COUNTBLANK(AA293)=0),Stats!$E$7,IF((COUNTBLANK(N293)=0),IF((COUNTBLANK(X293)=0),IF((COUNTBLANK(AD293)=0),Stats!$E$6,Stats!$E$5),Stats!$E$4),""))</f>
        <v/>
      </c>
      <c r="C293" s="307" t="str">
        <f>IF(B293=Stats!$E$5,Stats!$E$11,"")</f>
        <v/>
      </c>
      <c r="D293" s="218">
        <v>46009</v>
      </c>
      <c r="E293" s="301">
        <f t="shared" ca="1" si="13"/>
        <v>171</v>
      </c>
      <c r="F293" s="306" t="s">
        <v>958</v>
      </c>
      <c r="G293" s="308" t="s">
        <v>954</v>
      </c>
      <c r="H293" s="306" t="s">
        <v>271</v>
      </c>
      <c r="I293" s="306" t="s">
        <v>44</v>
      </c>
      <c r="J293" s="306" t="s">
        <v>206</v>
      </c>
      <c r="K293" s="306" t="s">
        <v>272</v>
      </c>
      <c r="L293" s="41" t="s">
        <v>240</v>
      </c>
      <c r="M293" s="219">
        <f t="shared" si="14"/>
        <v>1</v>
      </c>
      <c r="N293" s="218"/>
      <c r="S293" s="224"/>
      <c r="T293" s="225"/>
      <c r="U293" s="226"/>
      <c r="V293" s="226"/>
      <c r="W293" s="303"/>
      <c r="X293" s="220"/>
      <c r="Z293" s="227"/>
      <c r="AA293" s="220"/>
      <c r="AB293" s="221"/>
      <c r="AC293" s="229"/>
      <c r="AD293" s="230"/>
      <c r="AE293" s="230"/>
      <c r="AF293" s="230"/>
      <c r="AG293" s="227"/>
    </row>
    <row r="294" spans="1:33" x14ac:dyDescent="0.25">
      <c r="A294" s="32" t="s">
        <v>959</v>
      </c>
      <c r="B294" s="306" t="str">
        <f>IF((COUNTBLANK(AA294)=0),Stats!$E$7,IF((COUNTBLANK(N294)=0),IF((COUNTBLANK(X294)=0),IF((COUNTBLANK(AD294)=0),Stats!$E$6,Stats!$E$5),Stats!$E$4),""))</f>
        <v/>
      </c>
      <c r="C294" s="307" t="str">
        <f>IF(B294=Stats!$E$5,Stats!$E$11,"")</f>
        <v/>
      </c>
      <c r="D294" s="218">
        <v>46009</v>
      </c>
      <c r="E294" s="301">
        <f t="shared" ca="1" si="13"/>
        <v>171</v>
      </c>
      <c r="F294" s="306" t="s">
        <v>960</v>
      </c>
      <c r="G294" s="308" t="s">
        <v>954</v>
      </c>
      <c r="H294" s="306" t="s">
        <v>271</v>
      </c>
      <c r="I294" s="306" t="s">
        <v>44</v>
      </c>
      <c r="J294" s="306" t="s">
        <v>206</v>
      </c>
      <c r="K294" s="306" t="s">
        <v>272</v>
      </c>
      <c r="L294" s="41" t="s">
        <v>240</v>
      </c>
      <c r="M294" s="219">
        <f t="shared" si="14"/>
        <v>1</v>
      </c>
      <c r="N294" s="218"/>
      <c r="S294" s="224"/>
      <c r="T294" s="225"/>
      <c r="U294" s="226"/>
      <c r="V294" s="226"/>
      <c r="W294" s="303"/>
      <c r="X294" s="220"/>
      <c r="Z294" s="227"/>
      <c r="AA294" s="220"/>
      <c r="AB294" s="221"/>
      <c r="AC294" s="229"/>
      <c r="AD294" s="230"/>
      <c r="AE294" s="230"/>
      <c r="AF294" s="230"/>
      <c r="AG294" s="227"/>
    </row>
    <row r="295" spans="1:33" x14ac:dyDescent="0.25">
      <c r="A295" s="32" t="s">
        <v>961</v>
      </c>
      <c r="B295" s="306" t="str">
        <f>IF((COUNTBLANK(AA295)=0),Stats!$E$7,IF((COUNTBLANK(N295)=0),IF((COUNTBLANK(X295)=0),IF((COUNTBLANK(AD295)=0),Stats!$E$6,Stats!$E$5),Stats!$E$4),""))</f>
        <v/>
      </c>
      <c r="C295" s="307" t="str">
        <f>IF(B295=Stats!$E$5,Stats!$E$11,"")</f>
        <v/>
      </c>
      <c r="D295" s="218">
        <v>46009</v>
      </c>
      <c r="E295" s="301">
        <f t="shared" ca="1" si="13"/>
        <v>115</v>
      </c>
      <c r="F295" s="306" t="s">
        <v>962</v>
      </c>
      <c r="G295" s="308" t="s">
        <v>963</v>
      </c>
      <c r="H295" s="306" t="s">
        <v>900</v>
      </c>
      <c r="I295" s="306" t="s">
        <v>114</v>
      </c>
      <c r="J295" s="306" t="s">
        <v>206</v>
      </c>
      <c r="K295" s="306" t="s">
        <v>272</v>
      </c>
      <c r="L295" s="41" t="s">
        <v>240</v>
      </c>
      <c r="M295" s="219">
        <f t="shared" si="14"/>
        <v>1</v>
      </c>
      <c r="N295" s="218"/>
      <c r="S295" s="224"/>
      <c r="T295" s="225"/>
      <c r="U295" s="226"/>
      <c r="V295" s="226"/>
      <c r="W295" s="303"/>
      <c r="X295" s="220"/>
      <c r="Z295" s="227"/>
      <c r="AA295" s="220"/>
      <c r="AB295" s="221"/>
      <c r="AC295" s="229"/>
      <c r="AD295" s="230"/>
      <c r="AE295" s="230"/>
      <c r="AF295" s="230"/>
      <c r="AG295" s="227"/>
    </row>
    <row r="296" spans="1:33" x14ac:dyDescent="0.25">
      <c r="A296" s="32" t="s">
        <v>964</v>
      </c>
      <c r="B296" s="306" t="str">
        <f>IF((COUNTBLANK(AA296)=0),Stats!$E$7,IF((COUNTBLANK(N296)=0),IF((COUNTBLANK(X296)=0),IF((COUNTBLANK(AD296)=0),Stats!$E$6,Stats!$E$5),Stats!$E$4),""))</f>
        <v/>
      </c>
      <c r="C296" s="307" t="str">
        <f>IF(B296=Stats!$E$5,Stats!$E$11,"")</f>
        <v/>
      </c>
      <c r="D296" s="218">
        <v>46009</v>
      </c>
      <c r="E296" s="301">
        <f t="shared" ca="1" si="13"/>
        <v>115</v>
      </c>
      <c r="F296" s="306" t="s">
        <v>965</v>
      </c>
      <c r="G296" s="308" t="s">
        <v>963</v>
      </c>
      <c r="H296" s="306" t="s">
        <v>900</v>
      </c>
      <c r="I296" s="306" t="s">
        <v>114</v>
      </c>
      <c r="J296" s="306" t="s">
        <v>206</v>
      </c>
      <c r="K296" s="306" t="s">
        <v>272</v>
      </c>
      <c r="L296" s="41" t="s">
        <v>240</v>
      </c>
      <c r="M296" s="219">
        <f t="shared" si="14"/>
        <v>1</v>
      </c>
      <c r="N296" s="218"/>
      <c r="S296" s="224"/>
      <c r="T296" s="225"/>
      <c r="U296" s="226"/>
      <c r="V296" s="226"/>
      <c r="W296" s="303"/>
      <c r="X296" s="220"/>
      <c r="Z296" s="227"/>
      <c r="AA296" s="220"/>
      <c r="AB296" s="221"/>
      <c r="AC296" s="229"/>
      <c r="AD296" s="230"/>
      <c r="AE296" s="230"/>
      <c r="AF296" s="230"/>
      <c r="AG296" s="227"/>
    </row>
    <row r="297" spans="1:33" x14ac:dyDescent="0.25">
      <c r="A297" s="32" t="s">
        <v>966</v>
      </c>
      <c r="B297" s="306" t="str">
        <f>IF((COUNTBLANK(AA297)=0),Stats!$E$7,IF((COUNTBLANK(N297)=0),IF((COUNTBLANK(X297)=0),IF((COUNTBLANK(AD297)=0),Stats!$E$6,Stats!$E$5),Stats!$E$4),""))</f>
        <v/>
      </c>
      <c r="C297" s="307" t="str">
        <f>IF(B297=Stats!$E$5,Stats!$E$11,"")</f>
        <v/>
      </c>
      <c r="D297" s="218">
        <v>46009</v>
      </c>
      <c r="E297" s="301">
        <f t="shared" ca="1" si="13"/>
        <v>115</v>
      </c>
      <c r="F297" s="306" t="s">
        <v>967</v>
      </c>
      <c r="G297" s="308" t="s">
        <v>963</v>
      </c>
      <c r="H297" s="306" t="s">
        <v>900</v>
      </c>
      <c r="I297" s="306" t="s">
        <v>114</v>
      </c>
      <c r="J297" s="306" t="s">
        <v>206</v>
      </c>
      <c r="K297" s="306" t="s">
        <v>272</v>
      </c>
      <c r="L297" s="41" t="s">
        <v>240</v>
      </c>
      <c r="M297" s="219">
        <f t="shared" si="14"/>
        <v>1</v>
      </c>
      <c r="N297" s="218"/>
      <c r="S297" s="224"/>
      <c r="T297" s="225"/>
      <c r="U297" s="226"/>
      <c r="V297" s="226"/>
      <c r="W297" s="303"/>
      <c r="X297" s="220"/>
      <c r="Z297" s="227"/>
      <c r="AA297" s="220"/>
      <c r="AB297" s="221"/>
      <c r="AC297" s="229"/>
      <c r="AD297" s="230"/>
      <c r="AE297" s="230"/>
      <c r="AF297" s="230"/>
      <c r="AG297" s="227"/>
    </row>
    <row r="298" spans="1:33" x14ac:dyDescent="0.25">
      <c r="A298" s="32" t="s">
        <v>968</v>
      </c>
      <c r="B298" s="306" t="str">
        <f>IF((COUNTBLANK(AA298)=0),Stats!$E$7,IF((COUNTBLANK(N298)=0),IF((COUNTBLANK(X298)=0),IF((COUNTBLANK(AD298)=0),Stats!$E$6,Stats!$E$5),Stats!$E$4),""))</f>
        <v/>
      </c>
      <c r="C298" s="307" t="str">
        <f>IF(B298=Stats!$E$5,Stats!$E$11,"")</f>
        <v/>
      </c>
      <c r="D298" s="218">
        <v>46009</v>
      </c>
      <c r="E298" s="301">
        <f t="shared" ca="1" si="13"/>
        <v>115</v>
      </c>
      <c r="F298" s="306" t="s">
        <v>969</v>
      </c>
      <c r="G298" s="308" t="s">
        <v>963</v>
      </c>
      <c r="H298" s="306" t="s">
        <v>900</v>
      </c>
      <c r="I298" s="306" t="s">
        <v>114</v>
      </c>
      <c r="J298" s="306" t="s">
        <v>206</v>
      </c>
      <c r="K298" s="306" t="s">
        <v>272</v>
      </c>
      <c r="L298" s="41" t="s">
        <v>240</v>
      </c>
      <c r="M298" s="219">
        <f t="shared" si="14"/>
        <v>1</v>
      </c>
      <c r="N298" s="218"/>
      <c r="S298" s="224"/>
      <c r="T298" s="225"/>
      <c r="U298" s="226"/>
      <c r="V298" s="226"/>
      <c r="W298" s="303"/>
      <c r="X298" s="220"/>
      <c r="Z298" s="227"/>
      <c r="AA298" s="220"/>
      <c r="AB298" s="221"/>
      <c r="AC298" s="229"/>
      <c r="AD298" s="230"/>
      <c r="AE298" s="230"/>
      <c r="AF298" s="230"/>
      <c r="AG298" s="227"/>
    </row>
    <row r="299" spans="1:33" x14ac:dyDescent="0.25">
      <c r="A299" s="32" t="s">
        <v>970</v>
      </c>
      <c r="B299" s="306" t="str">
        <f>IF((COUNTBLANK(AA299)=0),Stats!$E$7,IF((COUNTBLANK(N299)=0),IF((COUNTBLANK(X299)=0),IF((COUNTBLANK(AD299)=0),Stats!$E$6,Stats!$E$5),Stats!$E$4),""))</f>
        <v>Injected</v>
      </c>
      <c r="C299" s="307" t="str">
        <f>IF(B299=Stats!$E$5,Stats!$E$11,"")</f>
        <v/>
      </c>
      <c r="D299" s="218">
        <v>46009</v>
      </c>
      <c r="E299" s="301">
        <f t="shared" ca="1" si="13"/>
        <v>121</v>
      </c>
      <c r="F299" s="306" t="s">
        <v>971</v>
      </c>
      <c r="G299" s="308" t="s">
        <v>972</v>
      </c>
      <c r="H299" s="306" t="s">
        <v>43</v>
      </c>
      <c r="I299" s="306" t="s">
        <v>44</v>
      </c>
      <c r="J299" s="306" t="s">
        <v>206</v>
      </c>
      <c r="K299" s="306" t="s">
        <v>283</v>
      </c>
      <c r="L299" s="41" t="s">
        <v>46</v>
      </c>
      <c r="M299" s="219">
        <f t="shared" si="14"/>
        <v>1</v>
      </c>
      <c r="N299" s="218">
        <v>46000</v>
      </c>
      <c r="S299" s="224"/>
      <c r="T299" s="225"/>
      <c r="U299" s="226"/>
      <c r="V299" s="226" t="s">
        <v>973</v>
      </c>
      <c r="W299" s="303"/>
      <c r="X299" s="220"/>
      <c r="Z299" s="227" t="s">
        <v>243</v>
      </c>
      <c r="AA299" s="220"/>
      <c r="AB299" s="221"/>
      <c r="AC299" s="229" t="s">
        <v>190</v>
      </c>
      <c r="AD299" s="230"/>
      <c r="AE299" s="230"/>
      <c r="AF299" s="230"/>
      <c r="AG299" s="227"/>
    </row>
    <row r="300" spans="1:33" x14ac:dyDescent="0.25">
      <c r="A300" s="32" t="s">
        <v>974</v>
      </c>
      <c r="B300" s="306" t="str">
        <f>IF((COUNTBLANK(AA300)=0),Stats!$E$7,IF((COUNTBLANK(N300)=0),IF((COUNTBLANK(X300)=0),IF((COUNTBLANK(AD300)=0),Stats!$E$6,Stats!$E$5),Stats!$E$4),""))</f>
        <v>Injected</v>
      </c>
      <c r="C300" s="307" t="str">
        <f>IF(B300=Stats!$E$5,Stats!$E$11,"")</f>
        <v/>
      </c>
      <c r="D300" s="218">
        <v>46009</v>
      </c>
      <c r="E300" s="301">
        <f t="shared" ca="1" si="13"/>
        <v>121</v>
      </c>
      <c r="F300" s="306" t="s">
        <v>975</v>
      </c>
      <c r="G300" s="308" t="s">
        <v>972</v>
      </c>
      <c r="H300" s="306" t="s">
        <v>43</v>
      </c>
      <c r="I300" s="306" t="s">
        <v>44</v>
      </c>
      <c r="J300" s="306" t="s">
        <v>206</v>
      </c>
      <c r="K300" s="306" t="s">
        <v>283</v>
      </c>
      <c r="L300" s="41" t="s">
        <v>46</v>
      </c>
      <c r="M300" s="219">
        <f t="shared" si="14"/>
        <v>1</v>
      </c>
      <c r="N300" s="218">
        <v>46000</v>
      </c>
      <c r="S300" s="224"/>
      <c r="T300" s="225"/>
      <c r="U300" s="226"/>
      <c r="V300" s="226" t="s">
        <v>973</v>
      </c>
      <c r="W300" s="303"/>
      <c r="X300" s="220"/>
      <c r="Z300" s="227" t="s">
        <v>249</v>
      </c>
      <c r="AA300" s="220"/>
      <c r="AB300" s="221"/>
      <c r="AC300" s="229" t="s">
        <v>190</v>
      </c>
      <c r="AD300" s="230"/>
      <c r="AE300" s="230"/>
      <c r="AF300" s="230"/>
      <c r="AG300" s="227"/>
    </row>
    <row r="301" spans="1:33" x14ac:dyDescent="0.25">
      <c r="A301" s="32" t="s">
        <v>976</v>
      </c>
      <c r="B301" s="306" t="str">
        <f>IF((COUNTBLANK(AA301)=0),Stats!$E$7,IF((COUNTBLANK(N301)=0),IF((COUNTBLANK(X301)=0),IF((COUNTBLANK(AD301)=0),Stats!$E$6,Stats!$E$5),Stats!$E$4),""))</f>
        <v>Injected</v>
      </c>
      <c r="C301" s="307" t="str">
        <f>IF(B301=Stats!$E$5,Stats!$E$11,"")</f>
        <v/>
      </c>
      <c r="D301" s="218">
        <v>46009</v>
      </c>
      <c r="E301" s="301">
        <f t="shared" ca="1" si="13"/>
        <v>121</v>
      </c>
      <c r="F301" s="306" t="s">
        <v>977</v>
      </c>
      <c r="G301" s="308" t="s">
        <v>972</v>
      </c>
      <c r="H301" s="306" t="s">
        <v>43</v>
      </c>
      <c r="I301" s="306" t="s">
        <v>44</v>
      </c>
      <c r="J301" s="306" t="s">
        <v>206</v>
      </c>
      <c r="K301" s="306" t="s">
        <v>283</v>
      </c>
      <c r="L301" s="41" t="s">
        <v>46</v>
      </c>
      <c r="M301" s="219">
        <f t="shared" si="14"/>
        <v>1</v>
      </c>
      <c r="N301" s="218">
        <v>46000</v>
      </c>
      <c r="S301" s="224"/>
      <c r="T301" s="225"/>
      <c r="U301" s="226"/>
      <c r="V301" s="226" t="s">
        <v>973</v>
      </c>
      <c r="W301" s="303"/>
      <c r="X301" s="220"/>
      <c r="Z301" s="227" t="s">
        <v>279</v>
      </c>
      <c r="AA301" s="220"/>
      <c r="AB301" s="221"/>
      <c r="AC301" s="229" t="s">
        <v>190</v>
      </c>
      <c r="AD301" s="230"/>
      <c r="AE301" s="230"/>
      <c r="AF301" s="230"/>
      <c r="AG301" s="227"/>
    </row>
    <row r="302" spans="1:33" x14ac:dyDescent="0.25">
      <c r="A302" s="32" t="s">
        <v>978</v>
      </c>
      <c r="B302" s="306" t="str">
        <f>IF((COUNTBLANK(AA302)=0),Stats!$E$7,IF((COUNTBLANK(N302)=0),IF((COUNTBLANK(X302)=0),IF((COUNTBLANK(AD302)=0),Stats!$E$6,Stats!$E$5),Stats!$E$4),""))</f>
        <v>Injected</v>
      </c>
      <c r="C302" s="307" t="str">
        <f>IF(B302=Stats!$E$5,Stats!$E$11,"")</f>
        <v/>
      </c>
      <c r="D302" s="218">
        <v>46009</v>
      </c>
      <c r="E302" s="301">
        <f t="shared" ca="1" si="13"/>
        <v>121</v>
      </c>
      <c r="F302" s="306" t="s">
        <v>979</v>
      </c>
      <c r="G302" s="308" t="s">
        <v>980</v>
      </c>
      <c r="H302" s="306" t="s">
        <v>43</v>
      </c>
      <c r="I302" s="306" t="s">
        <v>44</v>
      </c>
      <c r="J302" s="306" t="s">
        <v>206</v>
      </c>
      <c r="K302" s="306" t="s">
        <v>283</v>
      </c>
      <c r="L302" s="41" t="s">
        <v>46</v>
      </c>
      <c r="M302" s="219">
        <f t="shared" si="14"/>
        <v>1</v>
      </c>
      <c r="N302" s="218">
        <v>46000</v>
      </c>
      <c r="S302" s="224"/>
      <c r="T302" s="225"/>
      <c r="U302" s="226"/>
      <c r="V302" s="226" t="s">
        <v>973</v>
      </c>
      <c r="W302" s="303"/>
      <c r="X302" s="220"/>
      <c r="Z302" s="227" t="s">
        <v>243</v>
      </c>
      <c r="AA302" s="220"/>
      <c r="AB302" s="221"/>
      <c r="AC302" s="229" t="s">
        <v>190</v>
      </c>
      <c r="AD302" s="230"/>
      <c r="AE302" s="230"/>
      <c r="AF302" s="230"/>
      <c r="AG302" s="227"/>
    </row>
    <row r="303" spans="1:33" x14ac:dyDescent="0.25">
      <c r="A303" s="32" t="s">
        <v>981</v>
      </c>
      <c r="B303" s="306" t="str">
        <f>IF((COUNTBLANK(AA303)=0),Stats!$E$7,IF((COUNTBLANK(N303)=0),IF((COUNTBLANK(X303)=0),IF((COUNTBLANK(AD303)=0),Stats!$E$6,Stats!$E$5),Stats!$E$4),""))</f>
        <v>Injected</v>
      </c>
      <c r="C303" s="307" t="str">
        <f>IF(B303=Stats!$E$5,Stats!$E$11,"")</f>
        <v/>
      </c>
      <c r="D303" s="218">
        <v>46009</v>
      </c>
      <c r="E303" s="301">
        <f t="shared" ca="1" si="13"/>
        <v>121</v>
      </c>
      <c r="F303" s="306" t="s">
        <v>982</v>
      </c>
      <c r="G303" s="308" t="s">
        <v>980</v>
      </c>
      <c r="H303" s="306" t="s">
        <v>43</v>
      </c>
      <c r="I303" s="306" t="s">
        <v>44</v>
      </c>
      <c r="J303" s="306" t="s">
        <v>206</v>
      </c>
      <c r="K303" s="306" t="s">
        <v>283</v>
      </c>
      <c r="L303" s="41" t="s">
        <v>46</v>
      </c>
      <c r="M303" s="219">
        <f t="shared" si="14"/>
        <v>1</v>
      </c>
      <c r="N303" s="218">
        <v>46000</v>
      </c>
      <c r="S303" s="224"/>
      <c r="T303" s="225"/>
      <c r="U303" s="226"/>
      <c r="V303" s="226" t="s">
        <v>973</v>
      </c>
      <c r="W303" s="303"/>
      <c r="X303" s="220"/>
      <c r="Z303" s="227" t="s">
        <v>249</v>
      </c>
      <c r="AA303" s="220"/>
      <c r="AB303" s="221"/>
      <c r="AC303" s="229" t="s">
        <v>190</v>
      </c>
      <c r="AD303" s="230"/>
      <c r="AE303" s="230"/>
      <c r="AF303" s="230"/>
      <c r="AG303" s="227"/>
    </row>
    <row r="304" spans="1:33" x14ac:dyDescent="0.25">
      <c r="A304" s="32" t="s">
        <v>983</v>
      </c>
      <c r="B304" s="306" t="str">
        <f>IF((COUNTBLANK(AA304)=0),Stats!$E$7,IF((COUNTBLANK(N304)=0),IF((COUNTBLANK(X304)=0),IF((COUNTBLANK(AD304)=0),Stats!$E$6,Stats!$E$5),Stats!$E$4),""))</f>
        <v>Injected</v>
      </c>
      <c r="C304" s="307" t="str">
        <f>IF(B304=Stats!$E$5,Stats!$E$11,"")</f>
        <v/>
      </c>
      <c r="D304" s="218">
        <v>46009</v>
      </c>
      <c r="E304" s="301">
        <f t="shared" ca="1" si="13"/>
        <v>121</v>
      </c>
      <c r="F304" s="306" t="s">
        <v>984</v>
      </c>
      <c r="G304" s="308" t="s">
        <v>980</v>
      </c>
      <c r="H304" s="306" t="s">
        <v>43</v>
      </c>
      <c r="I304" s="306" t="s">
        <v>44</v>
      </c>
      <c r="J304" s="306" t="s">
        <v>206</v>
      </c>
      <c r="K304" s="306" t="s">
        <v>283</v>
      </c>
      <c r="L304" s="41" t="s">
        <v>46</v>
      </c>
      <c r="M304" s="219">
        <f t="shared" si="14"/>
        <v>1</v>
      </c>
      <c r="N304" s="218">
        <v>46000</v>
      </c>
      <c r="S304" s="224"/>
      <c r="T304" s="225"/>
      <c r="U304" s="226"/>
      <c r="V304" s="226" t="s">
        <v>973</v>
      </c>
      <c r="W304" s="303"/>
      <c r="X304" s="220"/>
      <c r="Z304" s="227" t="s">
        <v>279</v>
      </c>
      <c r="AA304" s="220"/>
      <c r="AB304" s="221"/>
      <c r="AC304" s="229" t="s">
        <v>190</v>
      </c>
      <c r="AD304" s="230"/>
      <c r="AE304" s="230"/>
      <c r="AF304" s="230"/>
      <c r="AG304" s="227"/>
    </row>
    <row r="305" spans="1:33" x14ac:dyDescent="0.25">
      <c r="A305" s="32" t="s">
        <v>985</v>
      </c>
      <c r="B305" s="306" t="str">
        <f>IF((COUNTBLANK(AA305)=0),Stats!$E$7,IF((COUNTBLANK(N305)=0),IF((COUNTBLANK(X305)=0),IF((COUNTBLANK(AD305)=0),Stats!$E$6,Stats!$E$5),Stats!$E$4),""))</f>
        <v>Check-up</v>
      </c>
      <c r="C305" s="307" t="str">
        <f>IF(B305=Stats!$E$5,Stats!$E$11,"")</f>
        <v>To define</v>
      </c>
      <c r="D305" s="218">
        <v>46030</v>
      </c>
      <c r="E305" s="301">
        <f t="shared" ca="1" si="13"/>
        <v>86</v>
      </c>
      <c r="F305" s="306" t="s">
        <v>986</v>
      </c>
      <c r="G305" s="308" t="s">
        <v>987</v>
      </c>
      <c r="H305" s="306" t="s">
        <v>152</v>
      </c>
      <c r="I305" s="306" t="s">
        <v>114</v>
      </c>
      <c r="J305" s="306" t="s">
        <v>206</v>
      </c>
      <c r="K305" s="306" t="s">
        <v>321</v>
      </c>
      <c r="L305" s="41" t="s">
        <v>284</v>
      </c>
      <c r="M305" s="219">
        <f t="shared" si="14"/>
        <v>1</v>
      </c>
      <c r="N305" s="218">
        <v>46032</v>
      </c>
      <c r="O305" s="34" t="s">
        <v>285</v>
      </c>
      <c r="P305" s="36" t="s">
        <v>493</v>
      </c>
      <c r="S305" s="224" t="s">
        <v>988</v>
      </c>
      <c r="T305" s="225" t="s">
        <v>51</v>
      </c>
      <c r="U305" s="226" t="s">
        <v>989</v>
      </c>
      <c r="V305" s="226" t="s">
        <v>990</v>
      </c>
      <c r="W305" s="303" t="s">
        <v>991</v>
      </c>
      <c r="X305" s="220">
        <v>46032</v>
      </c>
      <c r="Y305" s="34" t="s">
        <v>285</v>
      </c>
      <c r="Z305" s="227" t="s">
        <v>279</v>
      </c>
      <c r="AA305" s="220"/>
      <c r="AB305" s="221"/>
      <c r="AC305" s="229"/>
      <c r="AD305" s="230"/>
      <c r="AE305" s="230"/>
      <c r="AF305" s="230"/>
      <c r="AG305" s="227"/>
    </row>
    <row r="306" spans="1:33" x14ac:dyDescent="0.25">
      <c r="A306" s="32" t="s">
        <v>992</v>
      </c>
      <c r="B306" s="306" t="str">
        <f>IF((COUNTBLANK(AA306)=0),Stats!$E$7,IF((COUNTBLANK(N306)=0),IF((COUNTBLANK(X306)=0),IF((COUNTBLANK(AD306)=0),Stats!$E$6,Stats!$E$5),Stats!$E$4),""))</f>
        <v>Check-up</v>
      </c>
      <c r="C306" s="307" t="str">
        <f>IF(B306=Stats!$E$5,Stats!$E$11,"")</f>
        <v>To define</v>
      </c>
      <c r="D306" s="218">
        <v>46030</v>
      </c>
      <c r="E306" s="301">
        <f t="shared" ca="1" si="13"/>
        <v>86</v>
      </c>
      <c r="F306" s="306" t="s">
        <v>993</v>
      </c>
      <c r="G306" s="308" t="s">
        <v>987</v>
      </c>
      <c r="H306" s="306" t="s">
        <v>152</v>
      </c>
      <c r="I306" s="306" t="s">
        <v>114</v>
      </c>
      <c r="J306" s="306" t="s">
        <v>206</v>
      </c>
      <c r="K306" s="306" t="s">
        <v>321</v>
      </c>
      <c r="L306" s="41" t="s">
        <v>284</v>
      </c>
      <c r="M306" s="219">
        <f t="shared" si="14"/>
        <v>1</v>
      </c>
      <c r="N306" s="218">
        <v>46032</v>
      </c>
      <c r="O306" s="34" t="s">
        <v>285</v>
      </c>
      <c r="P306" s="36" t="s">
        <v>493</v>
      </c>
      <c r="S306" s="224" t="s">
        <v>988</v>
      </c>
      <c r="T306" s="225" t="s">
        <v>51</v>
      </c>
      <c r="U306" s="226" t="s">
        <v>989</v>
      </c>
      <c r="V306" s="226" t="s">
        <v>990</v>
      </c>
      <c r="W306" s="303" t="s">
        <v>991</v>
      </c>
      <c r="X306" s="220">
        <v>46032</v>
      </c>
      <c r="Y306" s="34" t="s">
        <v>285</v>
      </c>
      <c r="Z306" s="227" t="s">
        <v>291</v>
      </c>
      <c r="AA306" s="220"/>
      <c r="AB306" s="221"/>
      <c r="AC306" s="229"/>
      <c r="AD306" s="230"/>
      <c r="AE306" s="230"/>
      <c r="AF306" s="230"/>
      <c r="AG306" s="227"/>
    </row>
    <row r="307" spans="1:33" x14ac:dyDescent="0.25">
      <c r="A307" s="32" t="s">
        <v>994</v>
      </c>
      <c r="B307" s="306" t="str">
        <f>IF((COUNTBLANK(AA307)=0),Stats!$E$7,IF((COUNTBLANK(N307)=0),IF((COUNTBLANK(X307)=0),IF((COUNTBLANK(AD307)=0),Stats!$E$6,Stats!$E$5),Stats!$E$4),""))</f>
        <v>Check-up</v>
      </c>
      <c r="C307" s="307" t="str">
        <f>IF(B307=Stats!$E$5,Stats!$E$11,"")</f>
        <v>To define</v>
      </c>
      <c r="D307" s="218">
        <v>46030</v>
      </c>
      <c r="E307" s="301">
        <f t="shared" ca="1" si="13"/>
        <v>86</v>
      </c>
      <c r="F307" s="306" t="s">
        <v>995</v>
      </c>
      <c r="G307" s="308" t="s">
        <v>987</v>
      </c>
      <c r="H307" s="306" t="s">
        <v>152</v>
      </c>
      <c r="I307" s="306" t="s">
        <v>114</v>
      </c>
      <c r="J307" s="306" t="s">
        <v>206</v>
      </c>
      <c r="K307" s="306" t="s">
        <v>321</v>
      </c>
      <c r="L307" s="41" t="s">
        <v>284</v>
      </c>
      <c r="M307" s="219">
        <f t="shared" si="14"/>
        <v>1</v>
      </c>
      <c r="N307" s="218">
        <v>46035</v>
      </c>
      <c r="O307" s="34" t="s">
        <v>285</v>
      </c>
      <c r="P307" s="36" t="s">
        <v>493</v>
      </c>
      <c r="S307" s="224" t="s">
        <v>988</v>
      </c>
      <c r="T307" s="225" t="s">
        <v>51</v>
      </c>
      <c r="U307" s="226" t="s">
        <v>989</v>
      </c>
      <c r="V307" s="226" t="s">
        <v>990</v>
      </c>
      <c r="W307" s="303" t="s">
        <v>991</v>
      </c>
      <c r="X307" s="220">
        <v>46034</v>
      </c>
      <c r="Y307" s="34" t="s">
        <v>285</v>
      </c>
      <c r="Z307" s="227" t="s">
        <v>243</v>
      </c>
      <c r="AA307" s="220"/>
      <c r="AB307" s="221"/>
      <c r="AC307" s="229"/>
      <c r="AD307" s="230"/>
      <c r="AE307" s="230"/>
      <c r="AF307" s="230"/>
      <c r="AG307" s="227"/>
    </row>
    <row r="308" spans="1:33" x14ac:dyDescent="0.25">
      <c r="A308" s="32" t="s">
        <v>996</v>
      </c>
      <c r="B308" s="306" t="str">
        <f>IF((COUNTBLANK(AA308)=0),Stats!$E$7,IF((COUNTBLANK(N308)=0),IF((COUNTBLANK(X308)=0),IF((COUNTBLANK(AD308)=0),Stats!$E$6,Stats!$E$5),Stats!$E$4),""))</f>
        <v>Check-up</v>
      </c>
      <c r="C308" s="307" t="str">
        <f>IF(B308=Stats!$E$5,Stats!$E$11,"")</f>
        <v>To define</v>
      </c>
      <c r="D308" s="218">
        <v>46030</v>
      </c>
      <c r="E308" s="301">
        <f t="shared" ca="1" si="13"/>
        <v>86</v>
      </c>
      <c r="F308" s="306" t="s">
        <v>997</v>
      </c>
      <c r="G308" s="308" t="s">
        <v>987</v>
      </c>
      <c r="H308" s="306" t="s">
        <v>152</v>
      </c>
      <c r="I308" s="306" t="s">
        <v>114</v>
      </c>
      <c r="J308" s="306" t="s">
        <v>206</v>
      </c>
      <c r="K308" s="306" t="s">
        <v>321</v>
      </c>
      <c r="L308" s="41" t="s">
        <v>284</v>
      </c>
      <c r="M308" s="219">
        <f t="shared" si="14"/>
        <v>1</v>
      </c>
      <c r="N308" s="218">
        <v>46037</v>
      </c>
      <c r="O308" s="34" t="s">
        <v>285</v>
      </c>
      <c r="P308" s="36" t="s">
        <v>493</v>
      </c>
      <c r="S308" s="224" t="s">
        <v>988</v>
      </c>
      <c r="T308" s="225" t="s">
        <v>51</v>
      </c>
      <c r="U308" s="226" t="s">
        <v>989</v>
      </c>
      <c r="V308" s="226" t="s">
        <v>990</v>
      </c>
      <c r="W308" s="303" t="s">
        <v>998</v>
      </c>
      <c r="X308" s="220">
        <v>46037</v>
      </c>
      <c r="Y308" s="34" t="s">
        <v>285</v>
      </c>
      <c r="Z308" s="227" t="s">
        <v>249</v>
      </c>
      <c r="AA308" s="220"/>
      <c r="AB308" s="221"/>
      <c r="AC308" s="229"/>
      <c r="AD308" s="230"/>
      <c r="AE308" s="230"/>
      <c r="AF308" s="230"/>
      <c r="AG308" s="227"/>
    </row>
    <row r="309" spans="1:33" x14ac:dyDescent="0.25">
      <c r="A309" s="32" t="s">
        <v>999</v>
      </c>
      <c r="B309" s="306" t="str">
        <f>IF((COUNTBLANK(AA309)=0),Stats!$E$7,IF((COUNTBLANK(N309)=0),IF((COUNTBLANK(X309)=0),IF((COUNTBLANK(AD309)=0),Stats!$E$6,Stats!$E$5),Stats!$E$4),""))</f>
        <v>Death</v>
      </c>
      <c r="C309" s="307" t="str">
        <f>IF(B309=Stats!$E$5,Stats!$E$11,"")</f>
        <v/>
      </c>
      <c r="D309" s="218">
        <v>46031</v>
      </c>
      <c r="E309" s="301">
        <f t="shared" ca="1" si="13"/>
        <v>86</v>
      </c>
      <c r="F309" s="306" t="s">
        <v>1000</v>
      </c>
      <c r="G309" s="308" t="s">
        <v>987</v>
      </c>
      <c r="H309" s="306" t="s">
        <v>152</v>
      </c>
      <c r="I309" s="306" t="s">
        <v>114</v>
      </c>
      <c r="J309" s="306" t="s">
        <v>206</v>
      </c>
      <c r="K309" s="306" t="s">
        <v>321</v>
      </c>
      <c r="L309" s="41" t="s">
        <v>284</v>
      </c>
      <c r="M309" s="219">
        <f t="shared" si="14"/>
        <v>1</v>
      </c>
      <c r="N309" s="218"/>
      <c r="S309" s="224"/>
      <c r="T309" s="225"/>
      <c r="U309" s="226"/>
      <c r="V309" s="226"/>
      <c r="W309" s="303"/>
      <c r="X309" s="220"/>
      <c r="Z309" s="227"/>
      <c r="AA309" s="220">
        <v>46032</v>
      </c>
      <c r="AB309" s="221" t="s">
        <v>81</v>
      </c>
      <c r="AC309" s="229"/>
      <c r="AD309" s="230"/>
      <c r="AE309" s="230"/>
      <c r="AF309" s="230"/>
      <c r="AG309" s="227"/>
    </row>
    <row r="310" spans="1:33" x14ac:dyDescent="0.25">
      <c r="A310" s="32" t="s">
        <v>1001</v>
      </c>
      <c r="B310" s="306" t="str">
        <f>IF((COUNTBLANK(AA310)=0),Stats!$E$7,IF((COUNTBLANK(N310)=0),IF((COUNTBLANK(X310)=0),IF((COUNTBLANK(AD310)=0),Stats!$E$6,Stats!$E$5),Stats!$E$4),""))</f>
        <v/>
      </c>
      <c r="C310" s="307" t="str">
        <f>IF(B310=Stats!$E$5,Stats!$E$11,"")</f>
        <v/>
      </c>
      <c r="D310" s="218">
        <v>46045</v>
      </c>
      <c r="E310" s="301">
        <f t="shared" ca="1" si="13"/>
        <v>121</v>
      </c>
      <c r="F310" s="306" t="s">
        <v>1002</v>
      </c>
      <c r="G310" s="308" t="s">
        <v>1003</v>
      </c>
      <c r="H310" s="306" t="s">
        <v>565</v>
      </c>
      <c r="I310" s="306" t="s">
        <v>44</v>
      </c>
      <c r="J310" s="306" t="s">
        <v>206</v>
      </c>
      <c r="K310" s="306" t="s">
        <v>272</v>
      </c>
      <c r="L310" s="41" t="s">
        <v>240</v>
      </c>
      <c r="M310" s="219">
        <f t="shared" si="14"/>
        <v>1</v>
      </c>
      <c r="N310" s="218"/>
      <c r="S310" s="224"/>
      <c r="T310" s="225"/>
      <c r="U310" s="226"/>
      <c r="V310" s="226"/>
      <c r="W310" s="303"/>
      <c r="X310" s="220"/>
      <c r="Z310" s="227"/>
      <c r="AA310" s="220"/>
      <c r="AB310" s="221"/>
      <c r="AC310" s="229"/>
      <c r="AD310" s="230"/>
      <c r="AE310" s="230"/>
      <c r="AF310" s="230"/>
      <c r="AG310" s="227"/>
    </row>
    <row r="311" spans="1:33" x14ac:dyDescent="0.25">
      <c r="A311" s="32" t="s">
        <v>1004</v>
      </c>
      <c r="B311" s="306" t="str">
        <f>IF((COUNTBLANK(AA311)=0),Stats!$E$7,IF((COUNTBLANK(N311)=0),IF((COUNTBLANK(X311)=0),IF((COUNTBLANK(AD311)=0),Stats!$E$6,Stats!$E$5),Stats!$E$4),""))</f>
        <v/>
      </c>
      <c r="C311" s="307" t="str">
        <f>IF(B311=Stats!$E$5,Stats!$E$11,"")</f>
        <v/>
      </c>
      <c r="D311" s="218">
        <v>46045</v>
      </c>
      <c r="E311" s="301">
        <f t="shared" ca="1" si="13"/>
        <v>121</v>
      </c>
      <c r="F311" s="306" t="s">
        <v>1005</v>
      </c>
      <c r="G311" s="308" t="s">
        <v>1003</v>
      </c>
      <c r="H311" s="306" t="s">
        <v>565</v>
      </c>
      <c r="I311" s="306" t="s">
        <v>44</v>
      </c>
      <c r="J311" s="306" t="s">
        <v>206</v>
      </c>
      <c r="K311" s="306" t="s">
        <v>272</v>
      </c>
      <c r="L311" s="41" t="s">
        <v>240</v>
      </c>
      <c r="M311" s="219">
        <f t="shared" si="14"/>
        <v>1</v>
      </c>
      <c r="N311" s="218"/>
      <c r="S311" s="224"/>
      <c r="T311" s="225"/>
      <c r="U311" s="226"/>
      <c r="V311" s="226"/>
      <c r="W311" s="303"/>
      <c r="X311" s="220"/>
      <c r="Z311" s="227"/>
      <c r="AA311" s="220"/>
      <c r="AB311" s="221"/>
      <c r="AC311" s="229"/>
      <c r="AD311" s="230"/>
      <c r="AE311" s="230"/>
      <c r="AF311" s="230"/>
      <c r="AG311" s="227"/>
    </row>
    <row r="312" spans="1:33" x14ac:dyDescent="0.25">
      <c r="A312" s="32" t="s">
        <v>1006</v>
      </c>
      <c r="B312" s="306" t="str">
        <f>IF((COUNTBLANK(AA312)=0),Stats!$E$7,IF((COUNTBLANK(N312)=0),IF((COUNTBLANK(X312)=0),IF((COUNTBLANK(AD312)=0),Stats!$E$6,Stats!$E$5),Stats!$E$4),""))</f>
        <v/>
      </c>
      <c r="C312" s="307" t="str">
        <f>IF(B312=Stats!$E$5,Stats!$E$11,"")</f>
        <v/>
      </c>
      <c r="D312" s="218">
        <v>46045</v>
      </c>
      <c r="E312" s="301">
        <f t="shared" ca="1" si="13"/>
        <v>121</v>
      </c>
      <c r="F312" s="306" t="s">
        <v>1007</v>
      </c>
      <c r="G312" s="308" t="s">
        <v>1003</v>
      </c>
      <c r="H312" s="306" t="s">
        <v>565</v>
      </c>
      <c r="I312" s="306" t="s">
        <v>44</v>
      </c>
      <c r="J312" s="306" t="s">
        <v>206</v>
      </c>
      <c r="K312" s="306" t="s">
        <v>272</v>
      </c>
      <c r="L312" s="41" t="s">
        <v>240</v>
      </c>
      <c r="M312" s="219">
        <f t="shared" si="14"/>
        <v>1</v>
      </c>
      <c r="N312" s="218"/>
      <c r="S312" s="224"/>
      <c r="T312" s="225"/>
      <c r="U312" s="226"/>
      <c r="V312" s="226"/>
      <c r="W312" s="303"/>
      <c r="X312" s="220"/>
      <c r="Z312" s="227"/>
      <c r="AA312" s="220"/>
      <c r="AB312" s="221"/>
      <c r="AC312" s="229"/>
      <c r="AD312" s="230"/>
      <c r="AE312" s="230"/>
      <c r="AF312" s="230"/>
      <c r="AG312" s="227"/>
    </row>
    <row r="313" spans="1:33" x14ac:dyDescent="0.25">
      <c r="A313" s="32" t="s">
        <v>1008</v>
      </c>
      <c r="B313" s="306" t="str">
        <f>IF((COUNTBLANK(AA313)=0),Stats!$E$7,IF((COUNTBLANK(N313)=0),IF((COUNTBLANK(X313)=0),IF((COUNTBLANK(AD313)=0),Stats!$E$6,Stats!$E$5),Stats!$E$4),""))</f>
        <v/>
      </c>
      <c r="C313" s="307" t="str">
        <f>IF(B313=Stats!$E$5,Stats!$E$11,"")</f>
        <v/>
      </c>
      <c r="D313" s="218">
        <v>46045</v>
      </c>
      <c r="E313" s="301">
        <f t="shared" ca="1" si="13"/>
        <v>121</v>
      </c>
      <c r="F313" s="306" t="s">
        <v>1009</v>
      </c>
      <c r="G313" s="308" t="s">
        <v>1003</v>
      </c>
      <c r="H313" s="306" t="s">
        <v>565</v>
      </c>
      <c r="I313" s="306" t="s">
        <v>44</v>
      </c>
      <c r="J313" s="306" t="s">
        <v>206</v>
      </c>
      <c r="K313" s="306" t="s">
        <v>272</v>
      </c>
      <c r="L313" s="41" t="s">
        <v>240</v>
      </c>
      <c r="M313" s="219">
        <f t="shared" si="14"/>
        <v>1</v>
      </c>
      <c r="N313" s="218"/>
      <c r="S313" s="224"/>
      <c r="T313" s="225"/>
      <c r="U313" s="226"/>
      <c r="V313" s="226"/>
      <c r="W313" s="303"/>
      <c r="X313" s="220"/>
      <c r="Z313" s="227"/>
      <c r="AA313" s="220"/>
      <c r="AB313" s="221"/>
      <c r="AC313" s="229"/>
      <c r="AD313" s="230"/>
      <c r="AE313" s="230"/>
      <c r="AF313" s="230"/>
      <c r="AG313" s="227"/>
    </row>
    <row r="314" spans="1:33" x14ac:dyDescent="0.25">
      <c r="A314" s="32" t="s">
        <v>1010</v>
      </c>
      <c r="B314" s="306" t="str">
        <f>IF((COUNTBLANK(AA314)=0),Stats!$E$7,IF((COUNTBLANK(N314)=0),IF((COUNTBLANK(X314)=0),IF((COUNTBLANK(AD314)=0),Stats!$E$6,Stats!$E$5),Stats!$E$4),""))</f>
        <v/>
      </c>
      <c r="C314" s="307" t="str">
        <f>IF(B314=Stats!$E$5,Stats!$E$11,"")</f>
        <v/>
      </c>
      <c r="D314" s="218">
        <v>46045</v>
      </c>
      <c r="E314" s="301">
        <f t="shared" ca="1" si="13"/>
        <v>121</v>
      </c>
      <c r="F314" s="306" t="s">
        <v>1011</v>
      </c>
      <c r="G314" s="308" t="s">
        <v>1003</v>
      </c>
      <c r="H314" s="306" t="s">
        <v>565</v>
      </c>
      <c r="I314" s="306" t="s">
        <v>44</v>
      </c>
      <c r="J314" s="306" t="s">
        <v>206</v>
      </c>
      <c r="K314" s="306" t="s">
        <v>272</v>
      </c>
      <c r="L314" s="41" t="s">
        <v>240</v>
      </c>
      <c r="M314" s="219">
        <f t="shared" si="14"/>
        <v>1</v>
      </c>
      <c r="N314" s="218"/>
      <c r="S314" s="224"/>
      <c r="T314" s="225"/>
      <c r="U314" s="226"/>
      <c r="V314" s="226"/>
      <c r="W314" s="303"/>
      <c r="X314" s="220"/>
      <c r="Z314" s="227"/>
      <c r="AA314" s="220"/>
      <c r="AB314" s="221"/>
      <c r="AC314" s="229"/>
      <c r="AD314" s="230"/>
      <c r="AE314" s="230"/>
      <c r="AF314" s="230"/>
      <c r="AG314" s="227"/>
    </row>
    <row r="315" spans="1:33" x14ac:dyDescent="0.25">
      <c r="A315" s="32" t="s">
        <v>1012</v>
      </c>
      <c r="B315" s="306" t="str">
        <f>IF((COUNTBLANK(AA315)=0),Stats!$E$7,IF((COUNTBLANK(N315)=0),IF((COUNTBLANK(X315)=0),IF((COUNTBLANK(AD315)=0),Stats!$E$6,Stats!$E$5),Stats!$E$4),""))</f>
        <v>Injected</v>
      </c>
      <c r="C315" s="307" t="str">
        <f>IF(B315=Stats!$E$5,Stats!$E$11,"")</f>
        <v/>
      </c>
      <c r="D315" s="218">
        <v>46045</v>
      </c>
      <c r="E315" s="301">
        <f t="shared" ca="1" si="13"/>
        <v>72</v>
      </c>
      <c r="F315" s="306" t="s">
        <v>1013</v>
      </c>
      <c r="G315" s="308" t="s">
        <v>1014</v>
      </c>
      <c r="H315" s="306" t="s">
        <v>354</v>
      </c>
      <c r="I315" s="306" t="s">
        <v>44</v>
      </c>
      <c r="J315" s="306" t="s">
        <v>206</v>
      </c>
      <c r="K315" s="306" t="s">
        <v>355</v>
      </c>
      <c r="L315" s="41" t="s">
        <v>356</v>
      </c>
      <c r="M315" s="219">
        <f t="shared" si="14"/>
        <v>1</v>
      </c>
      <c r="N315" s="218">
        <v>46049</v>
      </c>
      <c r="S315" s="224"/>
      <c r="T315" s="225"/>
      <c r="U315" s="226"/>
      <c r="V315" s="226"/>
      <c r="W315" s="303" t="s">
        <v>243</v>
      </c>
      <c r="X315" s="220"/>
      <c r="Z315" s="227"/>
      <c r="AA315" s="220"/>
      <c r="AB315" s="221"/>
      <c r="AC315" s="229"/>
      <c r="AD315" s="230"/>
      <c r="AE315" s="230"/>
      <c r="AF315" s="230"/>
      <c r="AG315" s="227"/>
    </row>
    <row r="316" spans="1:33" x14ac:dyDescent="0.25">
      <c r="A316" s="32" t="s">
        <v>1015</v>
      </c>
      <c r="B316" s="306" t="str">
        <f>IF((COUNTBLANK(AA316)=0),Stats!$E$7,IF((COUNTBLANK(N316)=0),IF((COUNTBLANK(X316)=0),IF((COUNTBLANK(AD316)=0),Stats!$E$6,Stats!$E$5),Stats!$E$4),""))</f>
        <v>Injected</v>
      </c>
      <c r="C316" s="307" t="str">
        <f>IF(B316=Stats!$E$5,Stats!$E$11,"")</f>
        <v/>
      </c>
      <c r="D316" s="218">
        <v>46045</v>
      </c>
      <c r="E316" s="301">
        <f t="shared" ca="1" si="13"/>
        <v>72</v>
      </c>
      <c r="F316" s="306" t="s">
        <v>1016</v>
      </c>
      <c r="G316" s="308" t="s">
        <v>1014</v>
      </c>
      <c r="H316" s="306" t="s">
        <v>354</v>
      </c>
      <c r="I316" s="306" t="s">
        <v>44</v>
      </c>
      <c r="J316" s="306" t="s">
        <v>206</v>
      </c>
      <c r="K316" s="306" t="s">
        <v>355</v>
      </c>
      <c r="L316" s="41" t="s">
        <v>356</v>
      </c>
      <c r="M316" s="219">
        <f t="shared" si="14"/>
        <v>1</v>
      </c>
      <c r="N316" s="218">
        <v>46049</v>
      </c>
      <c r="S316" s="224"/>
      <c r="T316" s="225"/>
      <c r="U316" s="226"/>
      <c r="V316" s="226"/>
      <c r="W316" s="303" t="s">
        <v>249</v>
      </c>
      <c r="X316" s="220"/>
      <c r="Z316" s="227"/>
      <c r="AA316" s="220"/>
      <c r="AB316" s="221"/>
      <c r="AC316" s="229"/>
      <c r="AD316" s="230"/>
      <c r="AE316" s="230"/>
      <c r="AF316" s="230"/>
      <c r="AG316" s="227"/>
    </row>
    <row r="317" spans="1:33" x14ac:dyDescent="0.25">
      <c r="A317" s="32" t="s">
        <v>1017</v>
      </c>
      <c r="B317" s="306" t="str">
        <f>IF((COUNTBLANK(AA317)=0),Stats!$E$7,IF((COUNTBLANK(N317)=0),IF((COUNTBLANK(X317)=0),IF((COUNTBLANK(AD317)=0),Stats!$E$6,Stats!$E$5),Stats!$E$4),""))</f>
        <v>Injected</v>
      </c>
      <c r="C317" s="307" t="str">
        <f>IF(B317=Stats!$E$5,Stats!$E$11,"")</f>
        <v/>
      </c>
      <c r="D317" s="218">
        <v>46045</v>
      </c>
      <c r="E317" s="301">
        <f t="shared" ca="1" si="13"/>
        <v>72</v>
      </c>
      <c r="F317" s="306" t="s">
        <v>1018</v>
      </c>
      <c r="G317" s="308" t="s">
        <v>1014</v>
      </c>
      <c r="H317" s="306" t="s">
        <v>354</v>
      </c>
      <c r="I317" s="306" t="s">
        <v>44</v>
      </c>
      <c r="J317" s="306" t="s">
        <v>206</v>
      </c>
      <c r="K317" s="306" t="s">
        <v>355</v>
      </c>
      <c r="L317" s="41" t="s">
        <v>356</v>
      </c>
      <c r="M317" s="219">
        <f t="shared" si="14"/>
        <v>1</v>
      </c>
      <c r="N317" s="218">
        <v>46049</v>
      </c>
      <c r="S317" s="224"/>
      <c r="T317" s="225"/>
      <c r="U317" s="226"/>
      <c r="V317" s="226"/>
      <c r="W317" s="303" t="s">
        <v>291</v>
      </c>
      <c r="X317" s="220"/>
      <c r="Z317" s="227"/>
      <c r="AA317" s="220"/>
      <c r="AB317" s="221"/>
      <c r="AC317" s="229"/>
      <c r="AD317" s="230"/>
      <c r="AE317" s="230"/>
      <c r="AF317" s="230"/>
      <c r="AG317" s="227"/>
    </row>
    <row r="318" spans="1:33" x14ac:dyDescent="0.25">
      <c r="A318" s="32" t="s">
        <v>1019</v>
      </c>
      <c r="B318" s="306" t="str">
        <f>IF((COUNTBLANK(AA318)=0),Stats!$E$7,IF((COUNTBLANK(N318)=0),IF((COUNTBLANK(X318)=0),IF((COUNTBLANK(AD318)=0),Stats!$E$6,Stats!$E$5),Stats!$E$4),""))</f>
        <v>Injected</v>
      </c>
      <c r="C318" s="307" t="str">
        <f>IF(B318=Stats!$E$5,Stats!$E$11,"")</f>
        <v/>
      </c>
      <c r="D318" s="218">
        <v>46045</v>
      </c>
      <c r="E318" s="301">
        <f t="shared" ca="1" si="13"/>
        <v>72</v>
      </c>
      <c r="F318" s="306" t="s">
        <v>1020</v>
      </c>
      <c r="G318" s="308" t="s">
        <v>1014</v>
      </c>
      <c r="H318" s="306" t="s">
        <v>354</v>
      </c>
      <c r="I318" s="306" t="s">
        <v>44</v>
      </c>
      <c r="J318" s="306" t="s">
        <v>206</v>
      </c>
      <c r="K318" s="306" t="s">
        <v>355</v>
      </c>
      <c r="L318" s="41" t="s">
        <v>356</v>
      </c>
      <c r="M318" s="219">
        <f t="shared" si="14"/>
        <v>1</v>
      </c>
      <c r="N318" s="218">
        <v>46049</v>
      </c>
      <c r="S318" s="224"/>
      <c r="T318" s="225"/>
      <c r="U318" s="226"/>
      <c r="V318" s="226"/>
      <c r="W318" s="303" t="s">
        <v>279</v>
      </c>
      <c r="X318" s="220"/>
      <c r="Z318" s="227"/>
      <c r="AA318" s="220"/>
      <c r="AB318" s="221"/>
      <c r="AC318" s="229"/>
      <c r="AD318" s="230"/>
      <c r="AE318" s="230"/>
      <c r="AF318" s="230"/>
      <c r="AG318" s="227"/>
    </row>
    <row r="319" spans="1:33" x14ac:dyDescent="0.25">
      <c r="A319" s="32" t="s">
        <v>1021</v>
      </c>
      <c r="B319" s="306" t="str">
        <f>IF((COUNTBLANK(AA319)=0),Stats!$E$7,IF((COUNTBLANK(N319)=0),IF((COUNTBLANK(X319)=0),IF((COUNTBLANK(AD319)=0),Stats!$E$6,Stats!$E$5),Stats!$E$4),""))</f>
        <v>Injected</v>
      </c>
      <c r="C319" s="307" t="str">
        <f>IF(B319=Stats!$E$5,Stats!$E$11,"")</f>
        <v/>
      </c>
      <c r="D319" s="218">
        <v>46045</v>
      </c>
      <c r="E319" s="301">
        <f t="shared" ca="1" si="13"/>
        <v>78</v>
      </c>
      <c r="F319" s="306" t="s">
        <v>1022</v>
      </c>
      <c r="G319" s="308" t="s">
        <v>1023</v>
      </c>
      <c r="H319" s="306" t="s">
        <v>354</v>
      </c>
      <c r="I319" s="306" t="s">
        <v>44</v>
      </c>
      <c r="J319" s="306" t="s">
        <v>206</v>
      </c>
      <c r="K319" s="306" t="s">
        <v>355</v>
      </c>
      <c r="L319" s="41" t="s">
        <v>356</v>
      </c>
      <c r="M319" s="219">
        <f t="shared" si="14"/>
        <v>1</v>
      </c>
      <c r="N319" s="218">
        <v>46050</v>
      </c>
      <c r="S319" s="224"/>
      <c r="T319" s="225"/>
      <c r="U319" s="226"/>
      <c r="V319" s="226"/>
      <c r="W319" s="303" t="s">
        <v>243</v>
      </c>
      <c r="X319" s="220"/>
      <c r="Z319" s="227"/>
      <c r="AA319" s="220"/>
      <c r="AB319" s="221"/>
      <c r="AC319" s="229"/>
      <c r="AD319" s="230"/>
      <c r="AE319" s="230"/>
      <c r="AF319" s="230"/>
      <c r="AG319" s="227"/>
    </row>
    <row r="320" spans="1:33" x14ac:dyDescent="0.25">
      <c r="A320" s="32" t="s">
        <v>1024</v>
      </c>
      <c r="B320" s="306" t="str">
        <f>IF((COUNTBLANK(AA320)=0),Stats!$E$7,IF((COUNTBLANK(N320)=0),IF((COUNTBLANK(X320)=0),IF((COUNTBLANK(AD320)=0),Stats!$E$6,Stats!$E$5),Stats!$E$4),""))</f>
        <v>Injected</v>
      </c>
      <c r="C320" s="307" t="str">
        <f>IF(B320=Stats!$E$5,Stats!$E$11,"")</f>
        <v/>
      </c>
      <c r="D320" s="218">
        <v>46045</v>
      </c>
      <c r="E320" s="301">
        <f t="shared" ca="1" si="13"/>
        <v>78</v>
      </c>
      <c r="F320" s="306" t="s">
        <v>1025</v>
      </c>
      <c r="G320" s="308" t="s">
        <v>1023</v>
      </c>
      <c r="H320" s="306" t="s">
        <v>354</v>
      </c>
      <c r="I320" s="306" t="s">
        <v>44</v>
      </c>
      <c r="J320" s="306" t="s">
        <v>206</v>
      </c>
      <c r="K320" s="306" t="s">
        <v>355</v>
      </c>
      <c r="L320" s="41" t="s">
        <v>356</v>
      </c>
      <c r="M320" s="219">
        <f t="shared" si="14"/>
        <v>1</v>
      </c>
      <c r="N320" s="218">
        <v>46050</v>
      </c>
      <c r="S320" s="224"/>
      <c r="T320" s="225"/>
      <c r="U320" s="226"/>
      <c r="V320" s="226"/>
      <c r="W320" s="303" t="s">
        <v>249</v>
      </c>
      <c r="X320" s="220"/>
      <c r="Z320" s="227"/>
      <c r="AA320" s="220"/>
      <c r="AB320" s="221"/>
      <c r="AC320" s="229"/>
      <c r="AD320" s="230"/>
      <c r="AE320" s="230"/>
      <c r="AF320" s="230"/>
      <c r="AG320" s="227"/>
    </row>
    <row r="321" spans="1:33" x14ac:dyDescent="0.25">
      <c r="A321" s="32" t="s">
        <v>1026</v>
      </c>
      <c r="B321" s="306" t="str">
        <f>IF((COUNTBLANK(AA321)=0),Stats!$E$7,IF((COUNTBLANK(N321)=0),IF((COUNTBLANK(X321)=0),IF((COUNTBLANK(AD321)=0),Stats!$E$6,Stats!$E$5),Stats!$E$4),""))</f>
        <v>Injected</v>
      </c>
      <c r="C321" s="307" t="str">
        <f>IF(B321=Stats!$E$5,Stats!$E$11,"")</f>
        <v/>
      </c>
      <c r="D321" s="218">
        <v>46045</v>
      </c>
      <c r="E321" s="301">
        <f t="shared" ca="1" si="13"/>
        <v>78</v>
      </c>
      <c r="F321" s="306" t="s">
        <v>1027</v>
      </c>
      <c r="G321" s="308" t="s">
        <v>1023</v>
      </c>
      <c r="H321" s="306" t="s">
        <v>354</v>
      </c>
      <c r="I321" s="306" t="s">
        <v>44</v>
      </c>
      <c r="J321" s="306" t="s">
        <v>206</v>
      </c>
      <c r="K321" s="306" t="s">
        <v>355</v>
      </c>
      <c r="L321" s="41" t="s">
        <v>356</v>
      </c>
      <c r="M321" s="219">
        <f t="shared" si="14"/>
        <v>1</v>
      </c>
      <c r="N321" s="218">
        <v>46051</v>
      </c>
      <c r="S321" s="224"/>
      <c r="T321" s="225"/>
      <c r="U321" s="226"/>
      <c r="V321" s="226"/>
      <c r="W321" s="303" t="s">
        <v>291</v>
      </c>
      <c r="X321" s="220"/>
      <c r="Z321" s="227"/>
      <c r="AA321" s="220"/>
      <c r="AB321" s="221"/>
      <c r="AC321" s="229"/>
      <c r="AD321" s="230"/>
      <c r="AE321" s="230"/>
      <c r="AF321" s="230"/>
      <c r="AG321" s="227"/>
    </row>
    <row r="322" spans="1:33" x14ac:dyDescent="0.25">
      <c r="A322" s="32" t="s">
        <v>1028</v>
      </c>
      <c r="B322" s="306" t="str">
        <f>IF((COUNTBLANK(AA322)=0),Stats!$E$7,IF((COUNTBLANK(N322)=0),IF((COUNTBLANK(X322)=0),IF((COUNTBLANK(AD322)=0),Stats!$E$6,Stats!$E$5),Stats!$E$4),""))</f>
        <v>Injected</v>
      </c>
      <c r="C322" s="307" t="str">
        <f>IF(B322=Stats!$E$5,Stats!$E$11,"")</f>
        <v/>
      </c>
      <c r="D322" s="218">
        <v>46045</v>
      </c>
      <c r="E322" s="301">
        <f t="shared" ca="1" si="13"/>
        <v>78</v>
      </c>
      <c r="F322" s="306" t="s">
        <v>1029</v>
      </c>
      <c r="G322" s="308" t="s">
        <v>1023</v>
      </c>
      <c r="H322" s="306" t="s">
        <v>354</v>
      </c>
      <c r="I322" s="306" t="s">
        <v>44</v>
      </c>
      <c r="J322" s="306" t="s">
        <v>206</v>
      </c>
      <c r="K322" s="306" t="s">
        <v>355</v>
      </c>
      <c r="L322" s="41" t="s">
        <v>356</v>
      </c>
      <c r="M322" s="219">
        <f t="shared" si="14"/>
        <v>1</v>
      </c>
      <c r="N322" s="218">
        <v>46051</v>
      </c>
      <c r="S322" s="224"/>
      <c r="T322" s="225"/>
      <c r="U322" s="226"/>
      <c r="V322" s="226"/>
      <c r="W322" s="303" t="s">
        <v>312</v>
      </c>
      <c r="X322" s="220"/>
      <c r="Z322" s="227"/>
      <c r="AA322" s="220"/>
      <c r="AB322" s="221"/>
      <c r="AC322" s="229"/>
      <c r="AD322" s="230"/>
      <c r="AE322" s="230"/>
      <c r="AF322" s="230"/>
      <c r="AG322" s="227"/>
    </row>
    <row r="323" spans="1:33" x14ac:dyDescent="0.25">
      <c r="A323" s="32" t="s">
        <v>1030</v>
      </c>
      <c r="B323" s="306" t="str">
        <f>IF((COUNTBLANK(AA323)=0),Stats!$E$7,IF((COUNTBLANK(N323)=0),IF((COUNTBLANK(X323)=0),IF((COUNTBLANK(AD323)=0),Stats!$E$6,Stats!$E$5),Stats!$E$4),""))</f>
        <v>Death</v>
      </c>
      <c r="C323" s="307" t="str">
        <f>IF(B323=Stats!$E$5,Stats!$E$11,"")</f>
        <v/>
      </c>
      <c r="D323" s="218">
        <v>46045</v>
      </c>
      <c r="E323" s="301">
        <f t="shared" ca="1" si="13"/>
        <v>78</v>
      </c>
      <c r="F323" s="306" t="s">
        <v>1031</v>
      </c>
      <c r="G323" s="308" t="s">
        <v>1023</v>
      </c>
      <c r="H323" s="306" t="s">
        <v>354</v>
      </c>
      <c r="I323" s="306" t="s">
        <v>44</v>
      </c>
      <c r="J323" s="306" t="s">
        <v>206</v>
      </c>
      <c r="K323" s="306" t="s">
        <v>355</v>
      </c>
      <c r="L323" s="41" t="s">
        <v>356</v>
      </c>
      <c r="M323" s="219">
        <f t="shared" si="14"/>
        <v>1</v>
      </c>
      <c r="N323" s="218">
        <v>46051</v>
      </c>
      <c r="S323" s="224"/>
      <c r="T323" s="225"/>
      <c r="U323" s="226"/>
      <c r="V323" s="226"/>
      <c r="W323" s="303" t="s">
        <v>279</v>
      </c>
      <c r="X323" s="220"/>
      <c r="Z323" s="227"/>
      <c r="AA323" s="220">
        <v>46057</v>
      </c>
      <c r="AB323" s="221" t="s">
        <v>1032</v>
      </c>
      <c r="AC323" s="229"/>
      <c r="AD323" s="230"/>
      <c r="AE323" s="230"/>
      <c r="AF323" s="230"/>
      <c r="AG323" s="227"/>
    </row>
    <row r="324" spans="1:33" x14ac:dyDescent="0.25">
      <c r="A324" s="32" t="s">
        <v>1033</v>
      </c>
      <c r="B324" s="306" t="str">
        <f>IF((COUNTBLANK(AA324)=0),Stats!$E$7,IF((COUNTBLANK(N324)=0),IF((COUNTBLANK(X324)=0),IF((COUNTBLANK(AD324)=0),Stats!$E$6,Stats!$E$5),Stats!$E$4),""))</f>
        <v>Death</v>
      </c>
      <c r="C324" s="307" t="str">
        <f>IF(B324=Stats!$E$5,Stats!$E$11,"")</f>
        <v/>
      </c>
      <c r="D324" s="218">
        <v>46045</v>
      </c>
      <c r="E324" s="301">
        <f t="shared" ref="E324:E387" ca="1" si="15">IFERROR(TODAY()-DATE(2000+MID(F324,SEARCH("-",F324,SEARCH("-",F324)+1)+1,2),MID(F324,SEARCH("-",F324,SEARCH("-",F324)+1)+3,2),MID(F324,SEARCH("-",F324,SEARCH("-",F324)+1)+5,2)),"")</f>
        <v>78</v>
      </c>
      <c r="F324" s="306" t="s">
        <v>1034</v>
      </c>
      <c r="G324" s="308" t="s">
        <v>1035</v>
      </c>
      <c r="H324" s="306" t="s">
        <v>354</v>
      </c>
      <c r="I324" s="306" t="s">
        <v>44</v>
      </c>
      <c r="J324" s="306" t="s">
        <v>206</v>
      </c>
      <c r="K324" s="306" t="s">
        <v>355</v>
      </c>
      <c r="L324" s="41" t="s">
        <v>356</v>
      </c>
      <c r="M324" s="219">
        <f t="shared" si="14"/>
        <v>1</v>
      </c>
      <c r="N324" s="218">
        <v>46048</v>
      </c>
      <c r="S324" s="224"/>
      <c r="T324" s="225"/>
      <c r="U324" s="226"/>
      <c r="V324" s="226"/>
      <c r="W324" s="303" t="s">
        <v>243</v>
      </c>
      <c r="X324" s="220"/>
      <c r="Z324" s="227"/>
      <c r="AA324" s="220">
        <v>46049</v>
      </c>
      <c r="AB324" s="221" t="s">
        <v>160</v>
      </c>
      <c r="AC324" s="229" t="s">
        <v>1036</v>
      </c>
      <c r="AD324" s="230"/>
      <c r="AE324" s="230"/>
      <c r="AF324" s="230"/>
      <c r="AG324" s="227"/>
    </row>
    <row r="325" spans="1:33" x14ac:dyDescent="0.25">
      <c r="A325" s="32" t="s">
        <v>1037</v>
      </c>
      <c r="B325" s="306" t="str">
        <f>IF((COUNTBLANK(AA325)=0),Stats!$E$7,IF((COUNTBLANK(N325)=0),IF((COUNTBLANK(X325)=0),IF((COUNTBLANK(AD325)=0),Stats!$E$6,Stats!$E$5),Stats!$E$4),""))</f>
        <v>Injected</v>
      </c>
      <c r="C325" s="307" t="str">
        <f>IF(B325=Stats!$E$5,Stats!$E$11,"")</f>
        <v/>
      </c>
      <c r="D325" s="218">
        <v>46045</v>
      </c>
      <c r="E325" s="301">
        <f t="shared" ca="1" si="15"/>
        <v>78</v>
      </c>
      <c r="F325" s="306" t="s">
        <v>1038</v>
      </c>
      <c r="G325" s="308" t="s">
        <v>1035</v>
      </c>
      <c r="H325" s="306" t="s">
        <v>354</v>
      </c>
      <c r="I325" s="306" t="s">
        <v>44</v>
      </c>
      <c r="J325" s="306" t="s">
        <v>206</v>
      </c>
      <c r="K325" s="306" t="s">
        <v>355</v>
      </c>
      <c r="L325" s="41" t="s">
        <v>356</v>
      </c>
      <c r="M325" s="219">
        <f t="shared" si="14"/>
        <v>1</v>
      </c>
      <c r="N325" s="218">
        <v>46048</v>
      </c>
      <c r="S325" s="224"/>
      <c r="T325" s="225"/>
      <c r="U325" s="226"/>
      <c r="V325" s="226"/>
      <c r="W325" s="303" t="s">
        <v>249</v>
      </c>
      <c r="X325" s="220"/>
      <c r="Z325" s="227"/>
      <c r="AA325" s="220"/>
      <c r="AB325" s="221"/>
      <c r="AC325" s="229"/>
      <c r="AD325" s="230"/>
      <c r="AE325" s="230"/>
      <c r="AF325" s="230"/>
      <c r="AG325" s="227"/>
    </row>
    <row r="326" spans="1:33" x14ac:dyDescent="0.25">
      <c r="A326" s="32" t="s">
        <v>1039</v>
      </c>
      <c r="B326" s="306" t="str">
        <f>IF((COUNTBLANK(AA326)=0),Stats!$E$7,IF((COUNTBLANK(N326)=0),IF((COUNTBLANK(X326)=0),IF((COUNTBLANK(AD326)=0),Stats!$E$6,Stats!$E$5),Stats!$E$4),""))</f>
        <v>Injected</v>
      </c>
      <c r="C326" s="307" t="str">
        <f>IF(B326=Stats!$E$5,Stats!$E$11,"")</f>
        <v/>
      </c>
      <c r="D326" s="218">
        <v>46045</v>
      </c>
      <c r="E326" s="301">
        <f t="shared" ca="1" si="15"/>
        <v>78</v>
      </c>
      <c r="F326" s="306" t="s">
        <v>1040</v>
      </c>
      <c r="G326" s="308" t="s">
        <v>1035</v>
      </c>
      <c r="H326" s="306" t="s">
        <v>354</v>
      </c>
      <c r="I326" s="306" t="s">
        <v>44</v>
      </c>
      <c r="J326" s="306" t="s">
        <v>206</v>
      </c>
      <c r="K326" s="306" t="s">
        <v>355</v>
      </c>
      <c r="L326" s="41" t="s">
        <v>356</v>
      </c>
      <c r="M326" s="219">
        <f t="shared" si="14"/>
        <v>1</v>
      </c>
      <c r="N326" s="218">
        <v>46048</v>
      </c>
      <c r="S326" s="224"/>
      <c r="T326" s="225"/>
      <c r="U326" s="226"/>
      <c r="V326" s="226"/>
      <c r="W326" s="303" t="s">
        <v>279</v>
      </c>
      <c r="X326" s="220"/>
      <c r="Z326" s="227"/>
      <c r="AA326" s="220"/>
      <c r="AB326" s="221"/>
      <c r="AC326" s="229"/>
      <c r="AD326" s="230"/>
      <c r="AE326" s="230"/>
      <c r="AF326" s="230"/>
      <c r="AG326" s="227"/>
    </row>
    <row r="327" spans="1:33" x14ac:dyDescent="0.25">
      <c r="A327" s="32" t="s">
        <v>1041</v>
      </c>
      <c r="B327" s="306" t="str">
        <f>IF((COUNTBLANK(AA327)=0),Stats!$E$7,IF((COUNTBLANK(N327)=0),IF((COUNTBLANK(X327)=0),IF((COUNTBLANK(AD327)=0),Stats!$E$6,Stats!$E$5),Stats!$E$4),""))</f>
        <v>Check-up</v>
      </c>
      <c r="C327" s="307" t="str">
        <f>IF(B327=Stats!$E$5,Stats!$E$11,"")</f>
        <v>To define</v>
      </c>
      <c r="D327" s="218">
        <v>46045</v>
      </c>
      <c r="E327" s="301">
        <f t="shared" ca="1" si="15"/>
        <v>76</v>
      </c>
      <c r="F327" s="306" t="s">
        <v>1042</v>
      </c>
      <c r="G327" s="308" t="s">
        <v>1043</v>
      </c>
      <c r="H327" s="306" t="s">
        <v>261</v>
      </c>
      <c r="I327" s="306" t="s">
        <v>44</v>
      </c>
      <c r="J327" s="306" t="s">
        <v>206</v>
      </c>
      <c r="K327" s="306" t="s">
        <v>248</v>
      </c>
      <c r="L327" s="41" t="s">
        <v>413</v>
      </c>
      <c r="M327" s="219">
        <f t="shared" si="14"/>
        <v>1</v>
      </c>
      <c r="N327" s="218">
        <v>46055</v>
      </c>
      <c r="O327" s="34" t="s">
        <v>385</v>
      </c>
      <c r="P327" s="36" t="s">
        <v>593</v>
      </c>
      <c r="S327" s="224" t="s">
        <v>105</v>
      </c>
      <c r="T327" s="225" t="s">
        <v>51</v>
      </c>
      <c r="U327" s="226">
        <v>-450</v>
      </c>
      <c r="V327" s="226" t="s">
        <v>973</v>
      </c>
      <c r="W327" s="303" t="s">
        <v>279</v>
      </c>
      <c r="X327" s="220">
        <v>46055</v>
      </c>
      <c r="Y327" s="34" t="s">
        <v>385</v>
      </c>
      <c r="Z327" s="227"/>
      <c r="AA327" s="220"/>
      <c r="AB327" s="221"/>
      <c r="AC327" s="229"/>
      <c r="AD327" s="230"/>
      <c r="AE327" s="230"/>
      <c r="AF327" s="230"/>
      <c r="AG327" s="227"/>
    </row>
    <row r="328" spans="1:33" x14ac:dyDescent="0.25">
      <c r="A328" s="32" t="s">
        <v>1044</v>
      </c>
      <c r="B328" s="306" t="str">
        <f>IF((COUNTBLANK(AA328)=0),Stats!$E$7,IF((COUNTBLANK(N328)=0),IF((COUNTBLANK(X328)=0),IF((COUNTBLANK(AD328)=0),Stats!$E$6,Stats!$E$5),Stats!$E$4),""))</f>
        <v>Check-up</v>
      </c>
      <c r="C328" s="307" t="str">
        <f>IF(B328=Stats!$E$5,Stats!$E$11,"")</f>
        <v>To define</v>
      </c>
      <c r="D328" s="218">
        <v>46045</v>
      </c>
      <c r="E328" s="301">
        <f t="shared" ca="1" si="15"/>
        <v>76</v>
      </c>
      <c r="F328" s="306" t="s">
        <v>1045</v>
      </c>
      <c r="G328" s="308" t="s">
        <v>1043</v>
      </c>
      <c r="H328" s="306" t="s">
        <v>261</v>
      </c>
      <c r="I328" s="306" t="s">
        <v>44</v>
      </c>
      <c r="J328" s="306" t="s">
        <v>206</v>
      </c>
      <c r="K328" s="306" t="s">
        <v>248</v>
      </c>
      <c r="L328" s="41" t="s">
        <v>413</v>
      </c>
      <c r="M328" s="219">
        <f t="shared" si="14"/>
        <v>1</v>
      </c>
      <c r="N328" s="218">
        <v>46056</v>
      </c>
      <c r="O328" s="34" t="s">
        <v>385</v>
      </c>
      <c r="P328" s="36" t="s">
        <v>593</v>
      </c>
      <c r="S328" s="224" t="s">
        <v>105</v>
      </c>
      <c r="T328" s="225" t="s">
        <v>51</v>
      </c>
      <c r="U328" s="226">
        <v>-450</v>
      </c>
      <c r="V328" s="226" t="s">
        <v>973</v>
      </c>
      <c r="W328" s="303" t="s">
        <v>243</v>
      </c>
      <c r="X328" s="220">
        <v>46056</v>
      </c>
      <c r="Y328" s="34" t="s">
        <v>385</v>
      </c>
      <c r="Z328" s="227"/>
      <c r="AA328" s="220"/>
      <c r="AB328" s="221"/>
      <c r="AC328" s="229"/>
      <c r="AD328" s="230"/>
      <c r="AE328" s="230"/>
      <c r="AF328" s="230"/>
      <c r="AG328" s="227"/>
    </row>
    <row r="329" spans="1:33" x14ac:dyDescent="0.25">
      <c r="A329" s="32" t="s">
        <v>1046</v>
      </c>
      <c r="B329" s="306" t="str">
        <f>IF((COUNTBLANK(AA329)=0),Stats!$E$7,IF((COUNTBLANK(N329)=0),IF((COUNTBLANK(X329)=0),IF((COUNTBLANK(AD329)=0),Stats!$E$6,Stats!$E$5),Stats!$E$4),""))</f>
        <v>Death</v>
      </c>
      <c r="C329" s="307" t="str">
        <f>IF(B329=Stats!$E$5,Stats!$E$11,"")</f>
        <v/>
      </c>
      <c r="D329" s="218">
        <v>46045</v>
      </c>
      <c r="E329" s="301">
        <f t="shared" ca="1" si="15"/>
        <v>76</v>
      </c>
      <c r="F329" s="306" t="s">
        <v>1047</v>
      </c>
      <c r="G329" s="308" t="s">
        <v>1043</v>
      </c>
      <c r="H329" s="306" t="s">
        <v>261</v>
      </c>
      <c r="I329" s="306" t="s">
        <v>44</v>
      </c>
      <c r="J329" s="306" t="s">
        <v>206</v>
      </c>
      <c r="K329" s="306" t="s">
        <v>248</v>
      </c>
      <c r="L329" s="41" t="s">
        <v>413</v>
      </c>
      <c r="M329" s="219">
        <f t="shared" si="14"/>
        <v>1</v>
      </c>
      <c r="N329" s="218">
        <v>46057</v>
      </c>
      <c r="O329" s="34" t="s">
        <v>385</v>
      </c>
      <c r="S329" s="224"/>
      <c r="T329" s="225"/>
      <c r="U329" s="226"/>
      <c r="V329" s="226"/>
      <c r="W329" s="303"/>
      <c r="X329" s="220">
        <v>46057</v>
      </c>
      <c r="Y329" s="34" t="s">
        <v>385</v>
      </c>
      <c r="Z329" s="227"/>
      <c r="AA329" s="220">
        <v>46057</v>
      </c>
      <c r="AB329" s="221" t="s">
        <v>366</v>
      </c>
      <c r="AC329" s="229"/>
      <c r="AD329" s="230"/>
      <c r="AE329" s="230"/>
      <c r="AF329" s="230"/>
      <c r="AG329" s="227"/>
    </row>
    <row r="330" spans="1:33" x14ac:dyDescent="0.25">
      <c r="A330" s="32" t="s">
        <v>1048</v>
      </c>
      <c r="B330" s="306" t="str">
        <f>IF((COUNTBLANK(AA330)=0),Stats!$E$7,IF((COUNTBLANK(N330)=0),IF((COUNTBLANK(X330)=0),IF((COUNTBLANK(AD330)=0),Stats!$E$6,Stats!$E$5),Stats!$E$4),""))</f>
        <v>Death</v>
      </c>
      <c r="C330" s="307" t="str">
        <f>IF(B330=Stats!$E$5,Stats!$E$11,"")</f>
        <v/>
      </c>
      <c r="D330" s="218">
        <v>46045</v>
      </c>
      <c r="E330" s="301">
        <f t="shared" ca="1" si="15"/>
        <v>76</v>
      </c>
      <c r="F330" s="306" t="s">
        <v>1049</v>
      </c>
      <c r="G330" s="308" t="s">
        <v>1043</v>
      </c>
      <c r="H330" s="306" t="s">
        <v>261</v>
      </c>
      <c r="I330" s="306" t="s">
        <v>44</v>
      </c>
      <c r="J330" s="306" t="s">
        <v>206</v>
      </c>
      <c r="K330" s="306" t="s">
        <v>248</v>
      </c>
      <c r="L330" s="41" t="s">
        <v>413</v>
      </c>
      <c r="M330" s="219">
        <f t="shared" si="14"/>
        <v>1</v>
      </c>
      <c r="N330" s="218">
        <v>46057</v>
      </c>
      <c r="O330" s="34" t="s">
        <v>385</v>
      </c>
      <c r="S330" s="224"/>
      <c r="T330" s="225"/>
      <c r="U330" s="226"/>
      <c r="V330" s="226"/>
      <c r="W330" s="303"/>
      <c r="X330" s="220">
        <v>46057</v>
      </c>
      <c r="Y330" s="34" t="s">
        <v>385</v>
      </c>
      <c r="Z330" s="227"/>
      <c r="AA330" s="220">
        <v>46057</v>
      </c>
      <c r="AB330" s="221" t="s">
        <v>366</v>
      </c>
      <c r="AC330" s="229"/>
      <c r="AD330" s="230"/>
      <c r="AE330" s="230"/>
      <c r="AF330" s="230"/>
      <c r="AG330" s="227"/>
    </row>
    <row r="331" spans="1:33" x14ac:dyDescent="0.25">
      <c r="A331" s="32" t="s">
        <v>1050</v>
      </c>
      <c r="B331" s="306" t="str">
        <f>IF((COUNTBLANK(AA331)=0),Stats!$E$7,IF((COUNTBLANK(N331)=0),IF((COUNTBLANK(X331)=0),IF((COUNTBLANK(AD331)=0),Stats!$E$6,Stats!$E$5),Stats!$E$4),""))</f>
        <v/>
      </c>
      <c r="C331" s="307" t="str">
        <f>IF(B331=Stats!$E$5,Stats!$E$11,"")</f>
        <v/>
      </c>
      <c r="D331" s="218">
        <v>46045</v>
      </c>
      <c r="E331" s="301">
        <f t="shared" ca="1" si="15"/>
        <v>122</v>
      </c>
      <c r="F331" s="306" t="s">
        <v>1051</v>
      </c>
      <c r="G331" s="308" t="s">
        <v>868</v>
      </c>
      <c r="H331" s="306" t="s">
        <v>43</v>
      </c>
      <c r="I331" s="306" t="s">
        <v>114</v>
      </c>
      <c r="J331" s="306" t="s">
        <v>206</v>
      </c>
      <c r="K331" s="306" t="s">
        <v>272</v>
      </c>
      <c r="L331" s="41" t="s">
        <v>240</v>
      </c>
      <c r="M331" s="219">
        <f t="shared" si="14"/>
        <v>1</v>
      </c>
      <c r="N331" s="218"/>
      <c r="S331" s="224"/>
      <c r="T331" s="225"/>
      <c r="U331" s="226"/>
      <c r="V331" s="226"/>
      <c r="W331" s="303"/>
      <c r="X331" s="220"/>
      <c r="Z331" s="227"/>
      <c r="AA331" s="220"/>
      <c r="AB331" s="221"/>
      <c r="AC331" s="229"/>
      <c r="AD331" s="230"/>
      <c r="AE331" s="230"/>
      <c r="AF331" s="230"/>
      <c r="AG331" s="227"/>
    </row>
    <row r="332" spans="1:33" x14ac:dyDescent="0.25">
      <c r="A332" s="32" t="s">
        <v>1052</v>
      </c>
      <c r="B332" s="306" t="str">
        <f>IF((COUNTBLANK(AA332)=0),Stats!$E$7,IF((COUNTBLANK(N332)=0),IF((COUNTBLANK(X332)=0),IF((COUNTBLANK(AD332)=0),Stats!$E$6,Stats!$E$5),Stats!$E$4),""))</f>
        <v/>
      </c>
      <c r="C332" s="307" t="str">
        <f>IF(B332=Stats!$E$5,Stats!$E$11,"")</f>
        <v/>
      </c>
      <c r="D332" s="218">
        <v>46045</v>
      </c>
      <c r="E332" s="301">
        <f t="shared" ca="1" si="15"/>
        <v>122</v>
      </c>
      <c r="F332" s="306" t="s">
        <v>1053</v>
      </c>
      <c r="G332" s="308" t="s">
        <v>868</v>
      </c>
      <c r="H332" s="306" t="s">
        <v>43</v>
      </c>
      <c r="I332" s="306" t="s">
        <v>114</v>
      </c>
      <c r="J332" s="306" t="s">
        <v>206</v>
      </c>
      <c r="K332" s="306" t="s">
        <v>272</v>
      </c>
      <c r="L332" s="41" t="s">
        <v>240</v>
      </c>
      <c r="M332" s="219">
        <f t="shared" si="14"/>
        <v>1</v>
      </c>
      <c r="N332" s="218"/>
      <c r="S332" s="224"/>
      <c r="T332" s="225"/>
      <c r="U332" s="226"/>
      <c r="V332" s="226"/>
      <c r="W332" s="303"/>
      <c r="X332" s="220"/>
      <c r="Z332" s="227"/>
      <c r="AA332" s="220"/>
      <c r="AB332" s="221"/>
      <c r="AC332" s="229"/>
      <c r="AD332" s="230"/>
      <c r="AE332" s="230"/>
      <c r="AF332" s="230"/>
      <c r="AG332" s="227"/>
    </row>
    <row r="333" spans="1:33" x14ac:dyDescent="0.25">
      <c r="A333" s="32" t="s">
        <v>1054</v>
      </c>
      <c r="B333" s="306" t="str">
        <f>IF((COUNTBLANK(AA333)=0),Stats!$E$7,IF((COUNTBLANK(N333)=0),IF((COUNTBLANK(X333)=0),IF((COUNTBLANK(AD333)=0),Stats!$E$6,Stats!$E$5),Stats!$E$4),""))</f>
        <v/>
      </c>
      <c r="C333" s="307" t="str">
        <f>IF(B333=Stats!$E$5,Stats!$E$11,"")</f>
        <v/>
      </c>
      <c r="D333" s="218">
        <v>46045</v>
      </c>
      <c r="E333" s="301">
        <f t="shared" ca="1" si="15"/>
        <v>122</v>
      </c>
      <c r="F333" s="306" t="s">
        <v>1055</v>
      </c>
      <c r="G333" s="308" t="s">
        <v>868</v>
      </c>
      <c r="H333" s="306" t="s">
        <v>43</v>
      </c>
      <c r="I333" s="306" t="s">
        <v>114</v>
      </c>
      <c r="J333" s="306" t="s">
        <v>206</v>
      </c>
      <c r="K333" s="306" t="s">
        <v>272</v>
      </c>
      <c r="L333" s="41" t="s">
        <v>240</v>
      </c>
      <c r="M333" s="219">
        <f t="shared" si="14"/>
        <v>1</v>
      </c>
      <c r="N333" s="218"/>
      <c r="S333" s="224"/>
      <c r="T333" s="225"/>
      <c r="U333" s="226"/>
      <c r="V333" s="226"/>
      <c r="W333" s="303"/>
      <c r="X333" s="220"/>
      <c r="Z333" s="227"/>
      <c r="AA333" s="220"/>
      <c r="AB333" s="221"/>
      <c r="AC333" s="229"/>
      <c r="AD333" s="230"/>
      <c r="AE333" s="230"/>
      <c r="AF333" s="230"/>
      <c r="AG333" s="227"/>
    </row>
    <row r="334" spans="1:33" x14ac:dyDescent="0.25">
      <c r="A334" s="32" t="s">
        <v>1056</v>
      </c>
      <c r="B334" s="306" t="str">
        <f>IF((COUNTBLANK(AA334)=0),Stats!$E$7,IF((COUNTBLANK(N334)=0),IF((COUNTBLANK(X334)=0),IF((COUNTBLANK(AD334)=0),Stats!$E$6,Stats!$E$5),Stats!$E$4),""))</f>
        <v/>
      </c>
      <c r="C334" s="307" t="str">
        <f>IF(B334=Stats!$E$5,Stats!$E$11,"")</f>
        <v/>
      </c>
      <c r="D334" s="218">
        <v>46045</v>
      </c>
      <c r="E334" s="301">
        <f t="shared" ca="1" si="15"/>
        <v>126</v>
      </c>
      <c r="F334" s="306" t="s">
        <v>1057</v>
      </c>
      <c r="G334" s="308" t="s">
        <v>1058</v>
      </c>
      <c r="H334" s="306" t="s">
        <v>43</v>
      </c>
      <c r="I334" s="306" t="s">
        <v>114</v>
      </c>
      <c r="J334" s="306" t="s">
        <v>206</v>
      </c>
      <c r="K334" s="306" t="s">
        <v>272</v>
      </c>
      <c r="L334" s="41" t="s">
        <v>240</v>
      </c>
      <c r="M334" s="219">
        <f t="shared" si="14"/>
        <v>1</v>
      </c>
      <c r="N334" s="218"/>
      <c r="S334" s="224"/>
      <c r="T334" s="225"/>
      <c r="U334" s="226"/>
      <c r="V334" s="226"/>
      <c r="W334" s="303"/>
      <c r="X334" s="220"/>
      <c r="Z334" s="227"/>
      <c r="AA334" s="220"/>
      <c r="AB334" s="221"/>
      <c r="AC334" s="229"/>
      <c r="AD334" s="230"/>
      <c r="AE334" s="230"/>
      <c r="AF334" s="230"/>
      <c r="AG334" s="227"/>
    </row>
    <row r="335" spans="1:33" x14ac:dyDescent="0.25">
      <c r="A335" s="32" t="s">
        <v>1059</v>
      </c>
      <c r="B335" s="306" t="str">
        <f>IF((COUNTBLANK(AA335)=0),Stats!$E$7,IF((COUNTBLANK(N335)=0),IF((COUNTBLANK(X335)=0),IF((COUNTBLANK(AD335)=0),Stats!$E$6,Stats!$E$5),Stats!$E$4),""))</f>
        <v/>
      </c>
      <c r="C335" s="307" t="str">
        <f>IF(B335=Stats!$E$5,Stats!$E$11,"")</f>
        <v/>
      </c>
      <c r="D335" s="218">
        <v>46045</v>
      </c>
      <c r="E335" s="301">
        <f t="shared" ca="1" si="15"/>
        <v>126</v>
      </c>
      <c r="F335" s="306" t="s">
        <v>1060</v>
      </c>
      <c r="G335" s="308" t="s">
        <v>1058</v>
      </c>
      <c r="H335" s="306" t="s">
        <v>43</v>
      </c>
      <c r="I335" s="306" t="s">
        <v>114</v>
      </c>
      <c r="J335" s="306" t="s">
        <v>206</v>
      </c>
      <c r="K335" s="306" t="s">
        <v>272</v>
      </c>
      <c r="L335" s="41" t="s">
        <v>240</v>
      </c>
      <c r="M335" s="219">
        <f t="shared" si="14"/>
        <v>1</v>
      </c>
      <c r="N335" s="218"/>
      <c r="S335" s="224"/>
      <c r="T335" s="225"/>
      <c r="U335" s="226"/>
      <c r="V335" s="226"/>
      <c r="W335" s="303"/>
      <c r="X335" s="220"/>
      <c r="Z335" s="227"/>
      <c r="AA335" s="220"/>
      <c r="AB335" s="221"/>
      <c r="AC335" s="229"/>
      <c r="AD335" s="230"/>
      <c r="AE335" s="230"/>
      <c r="AF335" s="230"/>
      <c r="AG335" s="227"/>
    </row>
    <row r="336" spans="1:33" x14ac:dyDescent="0.25">
      <c r="A336" s="32" t="s">
        <v>1061</v>
      </c>
      <c r="B336" s="306" t="str">
        <f>IF((COUNTBLANK(AA336)=0),Stats!$E$7,IF((COUNTBLANK(N336)=0),IF((COUNTBLANK(X336)=0),IF((COUNTBLANK(AD336)=0),Stats!$E$6,Stats!$E$5),Stats!$E$4),""))</f>
        <v/>
      </c>
      <c r="C336" s="307" t="str">
        <f>IF(B336=Stats!$E$5,Stats!$E$11,"")</f>
        <v/>
      </c>
      <c r="D336" s="218">
        <v>46045</v>
      </c>
      <c r="E336" s="301">
        <f t="shared" ca="1" si="15"/>
        <v>126</v>
      </c>
      <c r="F336" s="306" t="s">
        <v>1062</v>
      </c>
      <c r="G336" s="308" t="s">
        <v>1058</v>
      </c>
      <c r="H336" s="306" t="s">
        <v>43</v>
      </c>
      <c r="I336" s="306" t="s">
        <v>114</v>
      </c>
      <c r="J336" s="306" t="s">
        <v>206</v>
      </c>
      <c r="K336" s="306" t="s">
        <v>272</v>
      </c>
      <c r="L336" s="41" t="s">
        <v>240</v>
      </c>
      <c r="M336" s="219">
        <f t="shared" si="14"/>
        <v>1</v>
      </c>
      <c r="N336" s="218"/>
      <c r="S336" s="224"/>
      <c r="T336" s="225"/>
      <c r="U336" s="226"/>
      <c r="V336" s="226"/>
      <c r="W336" s="303"/>
      <c r="X336" s="220"/>
      <c r="Z336" s="227"/>
      <c r="AA336" s="220"/>
      <c r="AB336" s="221"/>
      <c r="AC336" s="229"/>
      <c r="AD336" s="230"/>
      <c r="AE336" s="230"/>
      <c r="AF336" s="230"/>
      <c r="AG336" s="227"/>
    </row>
    <row r="337" spans="1:33" x14ac:dyDescent="0.25">
      <c r="A337" s="32" t="s">
        <v>1063</v>
      </c>
      <c r="B337" s="306" t="str">
        <f>IF((COUNTBLANK(AA337)=0),Stats!$E$7,IF((COUNTBLANK(N337)=0),IF((COUNTBLANK(X337)=0),IF((COUNTBLANK(AD337)=0),Stats!$E$6,Stats!$E$5),Stats!$E$4),""))</f>
        <v/>
      </c>
      <c r="C337" s="307" t="str">
        <f>IF(B337=Stats!$E$5,Stats!$E$11,"")</f>
        <v/>
      </c>
      <c r="D337" s="218">
        <v>46045</v>
      </c>
      <c r="E337" s="301">
        <f t="shared" ca="1" si="15"/>
        <v>126</v>
      </c>
      <c r="F337" s="306" t="s">
        <v>1064</v>
      </c>
      <c r="G337" s="308" t="s">
        <v>1058</v>
      </c>
      <c r="H337" s="306" t="s">
        <v>43</v>
      </c>
      <c r="I337" s="306" t="s">
        <v>114</v>
      </c>
      <c r="J337" s="306" t="s">
        <v>206</v>
      </c>
      <c r="K337" s="306" t="s">
        <v>272</v>
      </c>
      <c r="L337" s="41" t="s">
        <v>240</v>
      </c>
      <c r="M337" s="219">
        <f t="shared" si="14"/>
        <v>1</v>
      </c>
      <c r="N337" s="218"/>
      <c r="S337" s="224"/>
      <c r="T337" s="225"/>
      <c r="U337" s="226"/>
      <c r="V337" s="226"/>
      <c r="W337" s="303"/>
      <c r="X337" s="220"/>
      <c r="Z337" s="227"/>
      <c r="AA337" s="220"/>
      <c r="AB337" s="221"/>
      <c r="AC337" s="229"/>
      <c r="AD337" s="230"/>
      <c r="AE337" s="230"/>
      <c r="AF337" s="230"/>
      <c r="AG337" s="227"/>
    </row>
    <row r="338" spans="1:33" x14ac:dyDescent="0.25">
      <c r="A338" s="32" t="s">
        <v>1065</v>
      </c>
      <c r="B338" s="306" t="str">
        <f>IF((COUNTBLANK(AA338)=0),Stats!$E$7,IF((COUNTBLANK(N338)=0),IF((COUNTBLANK(X338)=0),IF((COUNTBLANK(AD338)=0),Stats!$E$6,Stats!$E$5),Stats!$E$4),""))</f>
        <v/>
      </c>
      <c r="C338" s="307" t="str">
        <f>IF(B338=Stats!$E$5,Stats!$E$11,"")</f>
        <v/>
      </c>
      <c r="D338" s="218">
        <v>46045</v>
      </c>
      <c r="E338" s="301">
        <f t="shared" ca="1" si="15"/>
        <v>126</v>
      </c>
      <c r="F338" s="306" t="s">
        <v>1066</v>
      </c>
      <c r="G338" s="308" t="s">
        <v>1058</v>
      </c>
      <c r="H338" s="306" t="s">
        <v>43</v>
      </c>
      <c r="I338" s="306" t="s">
        <v>114</v>
      </c>
      <c r="J338" s="306" t="s">
        <v>206</v>
      </c>
      <c r="K338" s="306" t="s">
        <v>272</v>
      </c>
      <c r="L338" s="41" t="s">
        <v>240</v>
      </c>
      <c r="M338" s="219">
        <f t="shared" si="14"/>
        <v>1</v>
      </c>
      <c r="N338" s="218"/>
      <c r="S338" s="224"/>
      <c r="T338" s="225"/>
      <c r="U338" s="226"/>
      <c r="V338" s="226"/>
      <c r="W338" s="303"/>
      <c r="X338" s="220"/>
      <c r="Z338" s="227"/>
      <c r="AA338" s="220"/>
      <c r="AB338" s="221"/>
      <c r="AC338" s="229"/>
      <c r="AD338" s="230"/>
      <c r="AE338" s="230"/>
      <c r="AF338" s="230"/>
      <c r="AG338" s="227"/>
    </row>
    <row r="339" spans="1:33" x14ac:dyDescent="0.25">
      <c r="A339" s="32"/>
      <c r="B339" s="306"/>
      <c r="C339" s="307"/>
      <c r="D339" s="218"/>
      <c r="E339" s="301"/>
      <c r="F339" s="306"/>
      <c r="G339" s="308"/>
      <c r="H339" s="306"/>
      <c r="I339" s="306"/>
      <c r="J339" s="306"/>
      <c r="K339" s="306"/>
      <c r="L339" s="41"/>
      <c r="M339" s="219"/>
      <c r="N339" s="218"/>
      <c r="S339" s="224"/>
      <c r="T339" s="225"/>
      <c r="U339" s="226"/>
      <c r="V339" s="226"/>
      <c r="W339" s="303"/>
      <c r="X339" s="220"/>
      <c r="Z339" s="227"/>
      <c r="AA339" s="220"/>
      <c r="AB339" s="221"/>
      <c r="AC339" s="229"/>
      <c r="AD339" s="230"/>
      <c r="AE339" s="230"/>
      <c r="AF339" s="230"/>
      <c r="AG339" s="227"/>
    </row>
    <row r="340" spans="1:33" x14ac:dyDescent="0.25">
      <c r="A340" s="32"/>
      <c r="B340" s="306"/>
      <c r="C340" s="307"/>
      <c r="D340" s="218"/>
      <c r="E340" s="301"/>
      <c r="F340" s="306"/>
      <c r="G340" s="308"/>
      <c r="H340" s="306"/>
      <c r="I340" s="306"/>
      <c r="J340" s="306"/>
      <c r="K340" s="306"/>
      <c r="L340" s="41"/>
      <c r="M340" s="219"/>
      <c r="N340" s="218"/>
      <c r="S340" s="224"/>
      <c r="T340" s="225"/>
      <c r="U340" s="226"/>
      <c r="V340" s="226"/>
      <c r="W340" s="303"/>
      <c r="X340" s="220"/>
      <c r="Z340" s="227"/>
      <c r="AA340" s="220"/>
      <c r="AB340" s="221"/>
      <c r="AC340" s="229"/>
      <c r="AD340" s="230"/>
      <c r="AE340" s="230"/>
      <c r="AF340" s="230"/>
      <c r="AG340" s="227"/>
    </row>
    <row r="341" spans="1:33" x14ac:dyDescent="0.25">
      <c r="A341" s="32"/>
      <c r="B341" s="306"/>
      <c r="C341" s="307"/>
      <c r="D341" s="218"/>
      <c r="E341" s="301"/>
      <c r="F341" s="306"/>
      <c r="G341" s="308"/>
      <c r="H341" s="306"/>
      <c r="I341" s="306"/>
      <c r="J341" s="306"/>
      <c r="K341" s="306"/>
      <c r="L341" s="41"/>
      <c r="M341" s="219"/>
      <c r="N341" s="218"/>
      <c r="S341" s="224"/>
      <c r="T341" s="225"/>
      <c r="U341" s="226"/>
      <c r="V341" s="226"/>
      <c r="W341" s="303"/>
      <c r="X341" s="220"/>
      <c r="Z341" s="227"/>
      <c r="AA341" s="220"/>
      <c r="AB341" s="221"/>
      <c r="AC341" s="229"/>
      <c r="AD341" s="230"/>
      <c r="AE341" s="230"/>
      <c r="AF341" s="230"/>
      <c r="AG341" s="227"/>
    </row>
    <row r="342" spans="1:33" x14ac:dyDescent="0.25">
      <c r="A342" s="32"/>
      <c r="B342" s="306"/>
      <c r="C342" s="307"/>
      <c r="D342" s="218"/>
      <c r="E342" s="301"/>
      <c r="F342" s="306"/>
      <c r="G342" s="308"/>
      <c r="H342" s="306"/>
      <c r="I342" s="306"/>
      <c r="J342" s="306"/>
      <c r="K342" s="306"/>
      <c r="L342" s="41"/>
      <c r="M342" s="219"/>
      <c r="N342" s="218"/>
      <c r="S342" s="224"/>
      <c r="T342" s="225"/>
      <c r="U342" s="226"/>
      <c r="V342" s="226"/>
      <c r="W342" s="303"/>
      <c r="X342" s="220"/>
      <c r="Z342" s="227"/>
      <c r="AA342" s="220"/>
      <c r="AB342" s="221"/>
      <c r="AC342" s="229"/>
      <c r="AD342" s="230"/>
      <c r="AE342" s="230"/>
      <c r="AF342" s="230"/>
      <c r="AG342" s="227"/>
    </row>
    <row r="343" spans="1:33" x14ac:dyDescent="0.25">
      <c r="A343" s="32"/>
      <c r="B343" s="306"/>
      <c r="C343" s="307"/>
      <c r="D343" s="218"/>
      <c r="E343" s="301"/>
      <c r="F343" s="306"/>
      <c r="G343" s="308"/>
      <c r="H343" s="306"/>
      <c r="I343" s="306"/>
      <c r="J343" s="306"/>
      <c r="K343" s="306"/>
      <c r="L343" s="41"/>
      <c r="M343" s="219"/>
      <c r="N343" s="218"/>
      <c r="S343" s="224"/>
      <c r="T343" s="225"/>
      <c r="U343" s="226"/>
      <c r="V343" s="226"/>
      <c r="W343" s="303"/>
      <c r="X343" s="220"/>
      <c r="Z343" s="227"/>
      <c r="AA343" s="220"/>
      <c r="AB343" s="221"/>
      <c r="AC343" s="229"/>
      <c r="AD343" s="230"/>
      <c r="AE343" s="230"/>
      <c r="AF343" s="230"/>
      <c r="AG343" s="227"/>
    </row>
    <row r="344" spans="1:33" x14ac:dyDescent="0.25">
      <c r="A344" s="32"/>
      <c r="B344" s="306"/>
      <c r="C344" s="307"/>
      <c r="D344" s="218"/>
      <c r="E344" s="301"/>
      <c r="F344" s="306"/>
      <c r="G344" s="308"/>
      <c r="H344" s="306"/>
      <c r="I344" s="306"/>
      <c r="J344" s="306"/>
      <c r="K344" s="306"/>
      <c r="L344" s="41"/>
      <c r="M344" s="219"/>
      <c r="N344" s="218"/>
      <c r="S344" s="224"/>
      <c r="T344" s="225"/>
      <c r="U344" s="226"/>
      <c r="V344" s="226"/>
      <c r="W344" s="303"/>
      <c r="X344" s="220"/>
      <c r="Z344" s="227"/>
      <c r="AA344" s="220"/>
      <c r="AB344" s="221"/>
      <c r="AC344" s="229"/>
      <c r="AD344" s="230"/>
      <c r="AE344" s="230"/>
      <c r="AF344" s="230"/>
      <c r="AG344" s="227"/>
    </row>
    <row r="345" spans="1:33" x14ac:dyDescent="0.25">
      <c r="A345" s="32"/>
      <c r="B345" s="306"/>
      <c r="C345" s="307"/>
      <c r="D345" s="218"/>
      <c r="E345" s="301"/>
      <c r="F345" s="306"/>
      <c r="G345" s="308"/>
      <c r="H345" s="306"/>
      <c r="I345" s="306"/>
      <c r="J345" s="306"/>
      <c r="K345" s="306"/>
      <c r="L345" s="41"/>
      <c r="M345" s="219"/>
      <c r="N345" s="218"/>
      <c r="S345" s="224"/>
      <c r="T345" s="225"/>
      <c r="U345" s="226"/>
      <c r="V345" s="226"/>
      <c r="W345" s="303"/>
      <c r="X345" s="220"/>
      <c r="Z345" s="227"/>
      <c r="AA345" s="220"/>
      <c r="AB345" s="221"/>
      <c r="AC345" s="229"/>
      <c r="AD345" s="230"/>
      <c r="AE345" s="230"/>
      <c r="AF345" s="230"/>
      <c r="AG345" s="227"/>
    </row>
    <row r="346" spans="1:33" x14ac:dyDescent="0.25">
      <c r="A346" s="32"/>
      <c r="B346" s="306"/>
      <c r="C346" s="307"/>
      <c r="D346" s="218"/>
      <c r="E346" s="301"/>
      <c r="F346" s="306"/>
      <c r="G346" s="308"/>
      <c r="H346" s="306"/>
      <c r="I346" s="306"/>
      <c r="J346" s="306"/>
      <c r="K346" s="306"/>
      <c r="L346" s="41"/>
      <c r="M346" s="219"/>
      <c r="N346" s="218"/>
      <c r="S346" s="224"/>
      <c r="T346" s="225"/>
      <c r="U346" s="226"/>
      <c r="V346" s="226"/>
      <c r="W346" s="303"/>
      <c r="X346" s="220"/>
      <c r="Z346" s="227"/>
      <c r="AA346" s="220"/>
      <c r="AB346" s="221"/>
      <c r="AC346" s="229"/>
      <c r="AD346" s="230"/>
      <c r="AE346" s="230"/>
      <c r="AF346" s="230"/>
      <c r="AG346" s="227"/>
    </row>
    <row r="347" spans="1:33" x14ac:dyDescent="0.25">
      <c r="A347" s="32"/>
      <c r="B347" s="306"/>
      <c r="C347" s="307"/>
      <c r="D347" s="218"/>
      <c r="E347" s="301"/>
      <c r="F347" s="306"/>
      <c r="G347" s="308"/>
      <c r="H347" s="306"/>
      <c r="I347" s="306"/>
      <c r="J347" s="306"/>
      <c r="K347" s="306"/>
      <c r="L347" s="41"/>
      <c r="M347" s="219"/>
      <c r="N347" s="218"/>
      <c r="S347" s="224"/>
      <c r="T347" s="225"/>
      <c r="U347" s="226"/>
      <c r="V347" s="226"/>
      <c r="W347" s="303"/>
      <c r="X347" s="220"/>
      <c r="Z347" s="227"/>
      <c r="AA347" s="220"/>
      <c r="AB347" s="221"/>
      <c r="AC347" s="229"/>
      <c r="AD347" s="230"/>
      <c r="AE347" s="230"/>
      <c r="AF347" s="230"/>
      <c r="AG347" s="227"/>
    </row>
    <row r="348" spans="1:33" x14ac:dyDescent="0.25">
      <c r="A348" s="32"/>
      <c r="B348" s="306"/>
      <c r="C348" s="307"/>
      <c r="D348" s="218"/>
      <c r="E348" s="301"/>
      <c r="F348" s="306"/>
      <c r="G348" s="308"/>
      <c r="H348" s="306"/>
      <c r="I348" s="306"/>
      <c r="J348" s="306"/>
      <c r="K348" s="306"/>
      <c r="L348" s="41"/>
      <c r="M348" s="219"/>
      <c r="N348" s="218"/>
      <c r="S348" s="224"/>
      <c r="T348" s="225"/>
      <c r="U348" s="226"/>
      <c r="V348" s="226"/>
      <c r="W348" s="303"/>
      <c r="X348" s="220"/>
      <c r="Z348" s="227"/>
      <c r="AA348" s="220"/>
      <c r="AB348" s="221"/>
      <c r="AC348" s="229"/>
      <c r="AD348" s="230"/>
      <c r="AE348" s="230"/>
      <c r="AF348" s="230"/>
      <c r="AG348" s="227"/>
    </row>
    <row r="349" spans="1:33" x14ac:dyDescent="0.25">
      <c r="A349" s="32"/>
      <c r="B349" s="306"/>
      <c r="C349" s="307"/>
      <c r="D349" s="218"/>
      <c r="E349" s="301"/>
      <c r="F349" s="306"/>
      <c r="G349" s="308"/>
      <c r="H349" s="306"/>
      <c r="I349" s="306"/>
      <c r="J349" s="306"/>
      <c r="K349" s="306"/>
      <c r="L349" s="41"/>
      <c r="M349" s="219"/>
      <c r="N349" s="218"/>
      <c r="S349" s="224"/>
      <c r="T349" s="225"/>
      <c r="U349" s="226"/>
      <c r="V349" s="226"/>
      <c r="W349" s="303"/>
      <c r="X349" s="220"/>
      <c r="Z349" s="227"/>
      <c r="AA349" s="220"/>
      <c r="AB349" s="221"/>
      <c r="AC349" s="229"/>
      <c r="AD349" s="230"/>
      <c r="AE349" s="230"/>
      <c r="AF349" s="230"/>
      <c r="AG349" s="227"/>
    </row>
    <row r="350" spans="1:33" x14ac:dyDescent="0.25">
      <c r="A350" s="32"/>
      <c r="B350" s="306"/>
      <c r="C350" s="307"/>
      <c r="D350" s="218"/>
      <c r="E350" s="301"/>
      <c r="F350" s="306"/>
      <c r="G350" s="308"/>
      <c r="H350" s="306"/>
      <c r="I350" s="306"/>
      <c r="J350" s="306"/>
      <c r="K350" s="306"/>
      <c r="L350" s="41"/>
      <c r="M350" s="219"/>
      <c r="N350" s="218"/>
      <c r="S350" s="224"/>
      <c r="T350" s="225"/>
      <c r="U350" s="226"/>
      <c r="V350" s="226"/>
      <c r="W350" s="303"/>
      <c r="X350" s="220"/>
      <c r="Z350" s="227"/>
      <c r="AA350" s="220"/>
      <c r="AB350" s="221"/>
      <c r="AC350" s="229"/>
      <c r="AD350" s="230"/>
      <c r="AE350" s="230"/>
      <c r="AF350" s="230"/>
      <c r="AG350" s="227"/>
    </row>
    <row r="351" spans="1:33" x14ac:dyDescent="0.25">
      <c r="A351" s="32"/>
      <c r="B351" s="306"/>
      <c r="C351" s="307"/>
      <c r="D351" s="218"/>
      <c r="E351" s="301"/>
      <c r="F351" s="306"/>
      <c r="G351" s="308"/>
      <c r="H351" s="306"/>
      <c r="I351" s="306"/>
      <c r="J351" s="306"/>
      <c r="K351" s="306"/>
      <c r="L351" s="41"/>
      <c r="M351" s="219"/>
      <c r="N351" s="218"/>
      <c r="S351" s="224"/>
      <c r="T351" s="225"/>
      <c r="U351" s="226"/>
      <c r="V351" s="226"/>
      <c r="W351" s="303"/>
      <c r="X351" s="220"/>
      <c r="Z351" s="227"/>
      <c r="AA351" s="220"/>
      <c r="AB351" s="221"/>
      <c r="AC351" s="229"/>
      <c r="AD351" s="230"/>
      <c r="AE351" s="230"/>
      <c r="AF351" s="230"/>
      <c r="AG351" s="227"/>
    </row>
    <row r="352" spans="1:33" x14ac:dyDescent="0.25">
      <c r="A352" s="32"/>
      <c r="B352" s="306"/>
      <c r="C352" s="307"/>
      <c r="D352" s="218"/>
      <c r="E352" s="301"/>
      <c r="F352" s="306"/>
      <c r="G352" s="308"/>
      <c r="H352" s="306"/>
      <c r="I352" s="306"/>
      <c r="J352" s="306"/>
      <c r="K352" s="306"/>
      <c r="L352" s="41"/>
      <c r="M352" s="219"/>
      <c r="N352" s="218"/>
      <c r="S352" s="224"/>
      <c r="T352" s="225"/>
      <c r="U352" s="226"/>
      <c r="V352" s="226"/>
      <c r="W352" s="303"/>
      <c r="X352" s="220"/>
      <c r="Z352" s="227"/>
      <c r="AA352" s="220"/>
      <c r="AB352" s="221"/>
      <c r="AC352" s="229"/>
      <c r="AD352" s="230"/>
      <c r="AE352" s="230"/>
      <c r="AF352" s="230"/>
      <c r="AG352" s="227"/>
    </row>
    <row r="353" spans="1:33" x14ac:dyDescent="0.25">
      <c r="A353" s="32"/>
      <c r="B353" s="306"/>
      <c r="C353" s="307"/>
      <c r="D353" s="218"/>
      <c r="E353" s="301"/>
      <c r="F353" s="306"/>
      <c r="G353" s="308"/>
      <c r="H353" s="306"/>
      <c r="I353" s="306"/>
      <c r="J353" s="306"/>
      <c r="K353" s="306"/>
      <c r="L353" s="41"/>
      <c r="M353" s="219"/>
      <c r="N353" s="218"/>
      <c r="S353" s="224"/>
      <c r="T353" s="225"/>
      <c r="U353" s="226"/>
      <c r="V353" s="226"/>
      <c r="W353" s="303"/>
      <c r="X353" s="220"/>
      <c r="Z353" s="227"/>
      <c r="AA353" s="220"/>
      <c r="AB353" s="221"/>
      <c r="AC353" s="229"/>
      <c r="AD353" s="230"/>
      <c r="AE353" s="230"/>
      <c r="AF353" s="230"/>
      <c r="AG353" s="227"/>
    </row>
    <row r="354" spans="1:33" x14ac:dyDescent="0.25">
      <c r="A354" s="32"/>
      <c r="B354" s="306"/>
      <c r="C354" s="307"/>
      <c r="D354" s="218"/>
      <c r="E354" s="301"/>
      <c r="F354" s="306"/>
      <c r="G354" s="308"/>
      <c r="H354" s="306"/>
      <c r="I354" s="306"/>
      <c r="J354" s="306"/>
      <c r="K354" s="306"/>
      <c r="L354" s="41"/>
      <c r="M354" s="219"/>
      <c r="N354" s="218"/>
      <c r="S354" s="224"/>
      <c r="T354" s="225"/>
      <c r="U354" s="226"/>
      <c r="V354" s="226"/>
      <c r="W354" s="303"/>
      <c r="X354" s="220"/>
      <c r="Z354" s="227"/>
      <c r="AA354" s="220"/>
      <c r="AB354" s="221"/>
      <c r="AC354" s="229"/>
      <c r="AD354" s="230"/>
      <c r="AE354" s="230"/>
      <c r="AF354" s="230"/>
      <c r="AG354" s="227"/>
    </row>
    <row r="355" spans="1:33" x14ac:dyDescent="0.25">
      <c r="A355" s="32"/>
      <c r="B355" s="306"/>
      <c r="C355" s="307"/>
      <c r="D355" s="218"/>
      <c r="E355" s="301"/>
      <c r="F355" s="306"/>
      <c r="G355" s="308"/>
      <c r="H355" s="306"/>
      <c r="I355" s="306"/>
      <c r="J355" s="306"/>
      <c r="K355" s="306"/>
      <c r="L355" s="41"/>
      <c r="M355" s="219"/>
      <c r="N355" s="218"/>
      <c r="S355" s="224"/>
      <c r="T355" s="225"/>
      <c r="U355" s="226"/>
      <c r="V355" s="226"/>
      <c r="W355" s="303"/>
      <c r="X355" s="220"/>
      <c r="Z355" s="227"/>
      <c r="AA355" s="220"/>
      <c r="AB355" s="221"/>
      <c r="AC355" s="229"/>
      <c r="AD355" s="230"/>
      <c r="AE355" s="230"/>
      <c r="AF355" s="230"/>
      <c r="AG355" s="227"/>
    </row>
    <row r="356" spans="1:33" x14ac:dyDescent="0.25">
      <c r="A356" s="32"/>
      <c r="B356" s="306"/>
      <c r="C356" s="307"/>
      <c r="D356" s="218"/>
      <c r="E356" s="301"/>
      <c r="F356" s="306"/>
      <c r="G356" s="308"/>
      <c r="H356" s="306"/>
      <c r="I356" s="306"/>
      <c r="J356" s="306"/>
      <c r="K356" s="306"/>
      <c r="L356" s="41"/>
      <c r="M356" s="219"/>
      <c r="N356" s="218"/>
      <c r="S356" s="224"/>
      <c r="T356" s="225"/>
      <c r="U356" s="226"/>
      <c r="V356" s="226"/>
      <c r="W356" s="303"/>
      <c r="X356" s="220"/>
      <c r="Z356" s="227"/>
      <c r="AA356" s="220"/>
      <c r="AB356" s="221"/>
      <c r="AC356" s="229"/>
      <c r="AD356" s="230"/>
      <c r="AE356" s="230"/>
      <c r="AF356" s="230"/>
      <c r="AG356" s="227"/>
    </row>
    <row r="357" spans="1:33" x14ac:dyDescent="0.25">
      <c r="A357" s="32"/>
      <c r="B357" s="306"/>
      <c r="C357" s="307"/>
      <c r="D357" s="218"/>
      <c r="E357" s="301"/>
      <c r="F357" s="306"/>
      <c r="G357" s="308"/>
      <c r="H357" s="306"/>
      <c r="I357" s="306"/>
      <c r="J357" s="306"/>
      <c r="K357" s="306"/>
      <c r="L357" s="41"/>
      <c r="M357" s="219"/>
      <c r="N357" s="218"/>
      <c r="S357" s="224"/>
      <c r="T357" s="225"/>
      <c r="U357" s="226"/>
      <c r="V357" s="226"/>
      <c r="W357" s="303"/>
      <c r="X357" s="220"/>
      <c r="Z357" s="227"/>
      <c r="AA357" s="220"/>
      <c r="AB357" s="221"/>
      <c r="AC357" s="229"/>
      <c r="AD357" s="230"/>
      <c r="AE357" s="230"/>
      <c r="AF357" s="230"/>
      <c r="AG357" s="227"/>
    </row>
    <row r="358" spans="1:33" x14ac:dyDescent="0.25">
      <c r="A358" s="32"/>
      <c r="B358" s="306"/>
      <c r="C358" s="307"/>
      <c r="D358" s="218"/>
      <c r="E358" s="301"/>
      <c r="F358" s="306"/>
      <c r="G358" s="308"/>
      <c r="H358" s="306"/>
      <c r="I358" s="306"/>
      <c r="J358" s="306"/>
      <c r="K358" s="306"/>
      <c r="L358" s="41"/>
      <c r="M358" s="219"/>
      <c r="N358" s="218"/>
      <c r="S358" s="224"/>
      <c r="T358" s="225"/>
      <c r="U358" s="226"/>
      <c r="V358" s="226"/>
      <c r="W358" s="303"/>
      <c r="X358" s="220"/>
      <c r="Z358" s="227"/>
      <c r="AA358" s="220"/>
      <c r="AB358" s="221"/>
      <c r="AC358" s="229"/>
      <c r="AD358" s="230"/>
      <c r="AE358" s="230"/>
      <c r="AF358" s="230"/>
      <c r="AG358" s="227"/>
    </row>
    <row r="359" spans="1:33" x14ac:dyDescent="0.25">
      <c r="A359" s="32"/>
      <c r="B359" s="306"/>
      <c r="C359" s="307"/>
      <c r="D359" s="218"/>
      <c r="E359" s="301"/>
      <c r="F359" s="306"/>
      <c r="G359" s="308"/>
      <c r="H359" s="306"/>
      <c r="I359" s="306"/>
      <c r="J359" s="306"/>
      <c r="K359" s="306"/>
      <c r="L359" s="41"/>
      <c r="M359" s="219"/>
      <c r="N359" s="218"/>
      <c r="S359" s="224"/>
      <c r="T359" s="225"/>
      <c r="U359" s="226"/>
      <c r="V359" s="226"/>
      <c r="W359" s="303"/>
      <c r="X359" s="220"/>
      <c r="Z359" s="227"/>
      <c r="AA359" s="220"/>
      <c r="AB359" s="221"/>
      <c r="AC359" s="229"/>
      <c r="AD359" s="230"/>
      <c r="AE359" s="230"/>
      <c r="AF359" s="230"/>
      <c r="AG359" s="227"/>
    </row>
    <row r="360" spans="1:33" x14ac:dyDescent="0.25">
      <c r="A360" s="32"/>
      <c r="B360" s="306"/>
      <c r="C360" s="307"/>
      <c r="D360" s="218"/>
      <c r="E360" s="301"/>
      <c r="F360" s="306"/>
      <c r="G360" s="308"/>
      <c r="H360" s="306"/>
      <c r="I360" s="306"/>
      <c r="J360" s="306"/>
      <c r="K360" s="306"/>
      <c r="L360" s="41"/>
      <c r="M360" s="219"/>
      <c r="N360" s="218"/>
      <c r="S360" s="224"/>
      <c r="T360" s="225"/>
      <c r="U360" s="226"/>
      <c r="V360" s="226"/>
      <c r="W360" s="303"/>
      <c r="X360" s="220"/>
      <c r="Z360" s="227"/>
      <c r="AA360" s="220"/>
      <c r="AB360" s="221"/>
      <c r="AC360" s="229"/>
      <c r="AD360" s="230"/>
      <c r="AE360" s="230"/>
      <c r="AF360" s="230"/>
      <c r="AG360" s="227"/>
    </row>
    <row r="361" spans="1:33" x14ac:dyDescent="0.25">
      <c r="A361" s="32"/>
      <c r="B361" s="306"/>
      <c r="C361" s="307"/>
      <c r="D361" s="218"/>
      <c r="E361" s="301"/>
      <c r="F361" s="306"/>
      <c r="G361" s="308"/>
      <c r="H361" s="306"/>
      <c r="I361" s="306"/>
      <c r="J361" s="306"/>
      <c r="K361" s="306"/>
      <c r="L361" s="41"/>
      <c r="M361" s="219"/>
      <c r="N361" s="218"/>
      <c r="S361" s="224"/>
      <c r="T361" s="225"/>
      <c r="U361" s="226"/>
      <c r="V361" s="226"/>
      <c r="W361" s="303"/>
      <c r="X361" s="220"/>
      <c r="Z361" s="227"/>
      <c r="AA361" s="220"/>
      <c r="AB361" s="221"/>
      <c r="AC361" s="229"/>
      <c r="AD361" s="230"/>
      <c r="AE361" s="230"/>
      <c r="AF361" s="230"/>
      <c r="AG361" s="227"/>
    </row>
    <row r="362" spans="1:33" x14ac:dyDescent="0.25">
      <c r="A362" s="32"/>
      <c r="B362" s="306"/>
      <c r="C362" s="307"/>
      <c r="D362" s="312"/>
      <c r="E362" s="301"/>
      <c r="F362" s="232"/>
      <c r="J362" s="306"/>
      <c r="K362" s="306"/>
      <c r="L362" s="313"/>
      <c r="M362" s="219"/>
      <c r="N362" s="218"/>
      <c r="S362" s="224"/>
      <c r="T362" s="228"/>
      <c r="U362" s="226"/>
      <c r="V362" s="226"/>
      <c r="W362" s="303"/>
      <c r="X362" s="220"/>
      <c r="Z362" s="227"/>
      <c r="AA362" s="220"/>
      <c r="AB362" s="221"/>
      <c r="AC362" s="229"/>
      <c r="AD362" s="230"/>
      <c r="AE362" s="230"/>
      <c r="AF362" s="230"/>
      <c r="AG362" s="227"/>
    </row>
    <row r="363" spans="1:33" x14ac:dyDescent="0.25">
      <c r="A363" s="32"/>
      <c r="B363" s="306"/>
      <c r="C363" s="307"/>
      <c r="D363" s="312"/>
      <c r="E363" s="301"/>
      <c r="F363" s="232"/>
      <c r="J363" s="306"/>
      <c r="K363" s="306"/>
      <c r="L363" s="313"/>
      <c r="M363" s="219"/>
      <c r="N363" s="218"/>
      <c r="S363" s="224"/>
      <c r="T363" s="228"/>
      <c r="U363" s="226"/>
      <c r="V363" s="226"/>
      <c r="W363" s="303"/>
      <c r="X363" s="220"/>
      <c r="Z363" s="227"/>
      <c r="AA363" s="220"/>
      <c r="AB363" s="221"/>
      <c r="AC363" s="229"/>
      <c r="AD363" s="230"/>
      <c r="AE363" s="230"/>
      <c r="AF363" s="230"/>
      <c r="AG363" s="227"/>
    </row>
    <row r="364" spans="1:33" x14ac:dyDescent="0.25">
      <c r="A364" s="32"/>
      <c r="B364" s="306"/>
      <c r="C364" s="307"/>
      <c r="D364" s="312"/>
      <c r="E364" s="301"/>
      <c r="F364" s="232"/>
      <c r="J364" s="306"/>
      <c r="K364" s="306"/>
      <c r="L364" s="313"/>
      <c r="M364" s="219"/>
      <c r="N364" s="218"/>
      <c r="S364" s="224"/>
      <c r="T364" s="228"/>
      <c r="U364" s="226"/>
      <c r="V364" s="226"/>
      <c r="W364" s="303"/>
      <c r="X364" s="220"/>
      <c r="Z364" s="227"/>
      <c r="AA364" s="220"/>
      <c r="AB364" s="221"/>
      <c r="AC364" s="229"/>
      <c r="AD364" s="230"/>
      <c r="AE364" s="230"/>
      <c r="AF364" s="230"/>
      <c r="AG364" s="227"/>
    </row>
    <row r="365" spans="1:33" x14ac:dyDescent="0.25">
      <c r="A365" s="32"/>
      <c r="B365" s="306"/>
      <c r="C365" s="307"/>
      <c r="D365" s="312"/>
      <c r="E365" s="301"/>
      <c r="F365" s="232"/>
      <c r="J365" s="306"/>
      <c r="K365" s="306"/>
      <c r="L365" s="313"/>
      <c r="M365" s="219"/>
      <c r="N365" s="218"/>
      <c r="S365" s="224"/>
      <c r="T365" s="228"/>
      <c r="U365" s="226"/>
      <c r="V365" s="226"/>
      <c r="W365" s="303"/>
      <c r="X365" s="220"/>
      <c r="Z365" s="227"/>
      <c r="AA365" s="220"/>
      <c r="AB365" s="221"/>
      <c r="AC365" s="229"/>
      <c r="AD365" s="230"/>
      <c r="AE365" s="230"/>
      <c r="AF365" s="230"/>
      <c r="AG365" s="227"/>
    </row>
    <row r="366" spans="1:33" x14ac:dyDescent="0.25">
      <c r="A366" s="32"/>
      <c r="B366" s="306"/>
      <c r="C366" s="307"/>
      <c r="D366" s="312"/>
      <c r="E366" s="301"/>
      <c r="F366" s="232"/>
      <c r="J366" s="306"/>
      <c r="K366" s="306"/>
      <c r="L366" s="313"/>
      <c r="M366" s="219"/>
      <c r="N366" s="218"/>
      <c r="S366" s="224"/>
      <c r="T366" s="228"/>
      <c r="U366" s="226"/>
      <c r="V366" s="226"/>
      <c r="W366" s="303"/>
      <c r="X366" s="220"/>
      <c r="Z366" s="227"/>
      <c r="AA366" s="220"/>
      <c r="AB366" s="221"/>
      <c r="AC366" s="229"/>
      <c r="AD366" s="230"/>
      <c r="AE366" s="230"/>
      <c r="AF366" s="230"/>
      <c r="AG366" s="227"/>
    </row>
    <row r="367" spans="1:33" x14ac:dyDescent="0.25">
      <c r="A367" s="32"/>
      <c r="B367" s="306"/>
      <c r="C367" s="307"/>
      <c r="D367" s="312"/>
      <c r="E367" s="301"/>
      <c r="F367" s="232"/>
      <c r="J367" s="306"/>
      <c r="K367" s="306"/>
      <c r="L367" s="313"/>
      <c r="M367" s="219"/>
      <c r="N367" s="218"/>
      <c r="S367" s="224"/>
      <c r="T367" s="228"/>
      <c r="U367" s="226"/>
      <c r="V367" s="226"/>
      <c r="W367" s="303"/>
      <c r="X367" s="220"/>
      <c r="Z367" s="227"/>
      <c r="AA367" s="220"/>
      <c r="AB367" s="221"/>
      <c r="AC367" s="229"/>
      <c r="AD367" s="230"/>
      <c r="AE367" s="230"/>
      <c r="AF367" s="230"/>
      <c r="AG367" s="227"/>
    </row>
    <row r="368" spans="1:33" x14ac:dyDescent="0.25">
      <c r="A368" s="32"/>
      <c r="B368" s="306"/>
      <c r="C368" s="307"/>
      <c r="D368" s="312"/>
      <c r="E368" s="301"/>
      <c r="F368" s="232"/>
      <c r="J368" s="306"/>
      <c r="K368" s="306"/>
      <c r="L368" s="313"/>
      <c r="M368" s="219"/>
      <c r="N368" s="218"/>
      <c r="S368" s="224"/>
      <c r="T368" s="228"/>
      <c r="U368" s="226"/>
      <c r="V368" s="226"/>
      <c r="W368" s="303"/>
      <c r="X368" s="220"/>
      <c r="Z368" s="227"/>
      <c r="AA368" s="220"/>
      <c r="AB368" s="221"/>
      <c r="AC368" s="229"/>
      <c r="AD368" s="230"/>
      <c r="AE368" s="230"/>
      <c r="AF368" s="230"/>
      <c r="AG368" s="227"/>
    </row>
    <row r="369" spans="1:33" x14ac:dyDescent="0.25">
      <c r="A369" s="32"/>
      <c r="B369" s="306"/>
      <c r="C369" s="307"/>
      <c r="D369" s="312"/>
      <c r="E369" s="301"/>
      <c r="F369" s="232"/>
      <c r="J369" s="306"/>
      <c r="K369" s="306"/>
      <c r="L369" s="313"/>
      <c r="M369" s="219"/>
      <c r="N369" s="218"/>
      <c r="S369" s="224"/>
      <c r="T369" s="228"/>
      <c r="U369" s="226"/>
      <c r="V369" s="226"/>
      <c r="W369" s="303"/>
      <c r="X369" s="220"/>
      <c r="Z369" s="227"/>
      <c r="AA369" s="220"/>
      <c r="AB369" s="221"/>
      <c r="AC369" s="229"/>
      <c r="AD369" s="230"/>
      <c r="AE369" s="230"/>
      <c r="AF369" s="230"/>
      <c r="AG369" s="227"/>
    </row>
    <row r="370" spans="1:33" x14ac:dyDescent="0.25">
      <c r="A370" s="32"/>
      <c r="B370" s="306"/>
      <c r="C370" s="307"/>
      <c r="D370" s="312"/>
      <c r="E370" s="301"/>
      <c r="F370" s="232"/>
      <c r="J370" s="306"/>
      <c r="K370" s="306"/>
      <c r="L370" s="313"/>
      <c r="M370" s="219"/>
      <c r="N370" s="218"/>
      <c r="S370" s="224"/>
      <c r="T370" s="228"/>
      <c r="U370" s="226"/>
      <c r="V370" s="226"/>
      <c r="W370" s="303"/>
      <c r="X370" s="220"/>
      <c r="Z370" s="227"/>
      <c r="AA370" s="220"/>
      <c r="AB370" s="221"/>
      <c r="AC370" s="229"/>
      <c r="AD370" s="230"/>
      <c r="AE370" s="230"/>
      <c r="AF370" s="230"/>
      <c r="AG370" s="227"/>
    </row>
    <row r="371" spans="1:33" x14ac:dyDescent="0.25">
      <c r="A371" s="32"/>
      <c r="B371" s="306"/>
      <c r="C371" s="307"/>
      <c r="D371" s="312"/>
      <c r="E371" s="301"/>
      <c r="F371" s="232"/>
      <c r="J371" s="306"/>
      <c r="K371" s="306"/>
      <c r="L371" s="313"/>
      <c r="M371" s="219"/>
      <c r="N371" s="218"/>
      <c r="S371" s="224"/>
      <c r="T371" s="228"/>
      <c r="U371" s="226"/>
      <c r="V371" s="226"/>
      <c r="W371" s="303"/>
      <c r="X371" s="220"/>
      <c r="Z371" s="227"/>
      <c r="AA371" s="220"/>
      <c r="AB371" s="221"/>
      <c r="AC371" s="229"/>
      <c r="AD371" s="230"/>
      <c r="AE371" s="230"/>
      <c r="AF371" s="230"/>
      <c r="AG371" s="227"/>
    </row>
    <row r="372" spans="1:33" x14ac:dyDescent="0.25">
      <c r="A372" s="32"/>
      <c r="B372" s="306"/>
      <c r="C372" s="307"/>
      <c r="D372" s="312"/>
      <c r="E372" s="301"/>
      <c r="F372" s="232"/>
      <c r="J372" s="306"/>
      <c r="K372" s="306"/>
      <c r="L372" s="313"/>
      <c r="M372" s="219"/>
      <c r="N372" s="218"/>
      <c r="S372" s="224"/>
      <c r="T372" s="228"/>
      <c r="U372" s="226"/>
      <c r="V372" s="226"/>
      <c r="W372" s="303"/>
      <c r="X372" s="220"/>
      <c r="Z372" s="227"/>
      <c r="AA372" s="220"/>
      <c r="AB372" s="221"/>
      <c r="AC372" s="229"/>
      <c r="AD372" s="230"/>
      <c r="AE372" s="230"/>
      <c r="AF372" s="230"/>
      <c r="AG372" s="227"/>
    </row>
    <row r="373" spans="1:33" x14ac:dyDescent="0.25">
      <c r="A373" s="32"/>
      <c r="B373" s="306"/>
      <c r="C373" s="307"/>
      <c r="D373" s="312"/>
      <c r="E373" s="301"/>
      <c r="F373" s="232"/>
      <c r="J373" s="306"/>
      <c r="K373" s="306"/>
      <c r="L373" s="313"/>
      <c r="M373" s="219"/>
      <c r="N373" s="218"/>
      <c r="S373" s="224"/>
      <c r="T373" s="228"/>
      <c r="U373" s="226"/>
      <c r="V373" s="226"/>
      <c r="W373" s="303"/>
      <c r="X373" s="220"/>
      <c r="Z373" s="227"/>
      <c r="AA373" s="220"/>
      <c r="AB373" s="221"/>
      <c r="AC373" s="229"/>
      <c r="AD373" s="230"/>
      <c r="AE373" s="230"/>
      <c r="AF373" s="230"/>
      <c r="AG373" s="227"/>
    </row>
    <row r="374" spans="1:33" x14ac:dyDescent="0.25">
      <c r="A374" s="32"/>
      <c r="B374" s="306"/>
      <c r="C374" s="307"/>
      <c r="D374" s="312"/>
      <c r="E374" s="301"/>
      <c r="F374" s="232"/>
      <c r="J374" s="306"/>
      <c r="K374" s="306"/>
      <c r="L374" s="313"/>
      <c r="M374" s="219"/>
      <c r="N374" s="218"/>
      <c r="S374" s="224"/>
      <c r="T374" s="228"/>
      <c r="U374" s="226"/>
      <c r="V374" s="226"/>
      <c r="W374" s="303"/>
      <c r="X374" s="220"/>
      <c r="Z374" s="227"/>
      <c r="AA374" s="220"/>
      <c r="AB374" s="221"/>
      <c r="AC374" s="229"/>
      <c r="AD374" s="230"/>
      <c r="AE374" s="230"/>
      <c r="AF374" s="230"/>
      <c r="AG374" s="227"/>
    </row>
    <row r="375" spans="1:33" x14ac:dyDescent="0.25">
      <c r="A375" s="32"/>
      <c r="B375" s="306"/>
      <c r="C375" s="307"/>
      <c r="D375" s="312"/>
      <c r="E375" s="301"/>
      <c r="F375" s="232"/>
      <c r="J375" s="306"/>
      <c r="K375" s="306"/>
      <c r="L375" s="313"/>
      <c r="M375" s="219"/>
      <c r="N375" s="218"/>
      <c r="S375" s="224"/>
      <c r="T375" s="228"/>
      <c r="U375" s="226"/>
      <c r="V375" s="226"/>
      <c r="W375" s="303"/>
      <c r="X375" s="220"/>
      <c r="Z375" s="227"/>
      <c r="AA375" s="220"/>
      <c r="AB375" s="221"/>
      <c r="AC375" s="229"/>
      <c r="AD375" s="230"/>
      <c r="AE375" s="230"/>
      <c r="AF375" s="230"/>
      <c r="AG375" s="227"/>
    </row>
    <row r="376" spans="1:33" x14ac:dyDescent="0.25">
      <c r="A376" s="32"/>
      <c r="B376" s="306"/>
      <c r="C376" s="307"/>
      <c r="D376" s="312"/>
      <c r="E376" s="301"/>
      <c r="F376" s="232"/>
      <c r="J376" s="306"/>
      <c r="K376" s="306"/>
      <c r="L376" s="313"/>
      <c r="M376" s="219"/>
      <c r="N376" s="218"/>
      <c r="S376" s="224"/>
      <c r="T376" s="228"/>
      <c r="U376" s="226"/>
      <c r="V376" s="226"/>
      <c r="W376" s="303"/>
      <c r="X376" s="220"/>
      <c r="Z376" s="227"/>
      <c r="AA376" s="220"/>
      <c r="AB376" s="221"/>
      <c r="AC376" s="229"/>
      <c r="AD376" s="230"/>
      <c r="AE376" s="230"/>
      <c r="AF376" s="230"/>
      <c r="AG376" s="227"/>
    </row>
    <row r="377" spans="1:33" x14ac:dyDescent="0.25">
      <c r="A377" s="32"/>
      <c r="B377" s="306"/>
      <c r="C377" s="307"/>
      <c r="D377" s="312"/>
      <c r="E377" s="301"/>
      <c r="F377" s="232"/>
      <c r="J377" s="306"/>
      <c r="K377" s="306"/>
      <c r="L377" s="313"/>
      <c r="M377" s="219"/>
      <c r="N377" s="218"/>
      <c r="S377" s="224"/>
      <c r="T377" s="228"/>
      <c r="U377" s="226"/>
      <c r="V377" s="226"/>
      <c r="W377" s="303"/>
      <c r="X377" s="220"/>
      <c r="Z377" s="227"/>
      <c r="AA377" s="220"/>
      <c r="AB377" s="221"/>
      <c r="AC377" s="229"/>
      <c r="AD377" s="230"/>
      <c r="AE377" s="230"/>
      <c r="AF377" s="230"/>
      <c r="AG377" s="227"/>
    </row>
    <row r="378" spans="1:33" x14ac:dyDescent="0.25">
      <c r="A378" s="32"/>
      <c r="B378" s="306"/>
      <c r="C378" s="307"/>
      <c r="D378" s="312"/>
      <c r="E378" s="301"/>
      <c r="F378" s="232"/>
      <c r="J378" s="306"/>
      <c r="K378" s="306"/>
      <c r="L378" s="313"/>
      <c r="M378" s="219"/>
      <c r="N378" s="218"/>
      <c r="S378" s="224"/>
      <c r="T378" s="228"/>
      <c r="U378" s="226"/>
      <c r="V378" s="226"/>
      <c r="W378" s="303"/>
      <c r="X378" s="220"/>
      <c r="Z378" s="227"/>
      <c r="AA378" s="220"/>
      <c r="AB378" s="221"/>
      <c r="AC378" s="229"/>
      <c r="AD378" s="230"/>
      <c r="AE378" s="230"/>
      <c r="AF378" s="230"/>
      <c r="AG378" s="227"/>
    </row>
    <row r="379" spans="1:33" x14ac:dyDescent="0.25">
      <c r="A379" s="32"/>
      <c r="B379" s="306"/>
      <c r="C379" s="307"/>
      <c r="D379" s="312"/>
      <c r="E379" s="301"/>
      <c r="F379" s="232"/>
      <c r="J379" s="306"/>
      <c r="K379" s="306"/>
      <c r="L379" s="313"/>
      <c r="M379" s="219"/>
      <c r="N379" s="218"/>
      <c r="S379" s="224"/>
      <c r="T379" s="228"/>
      <c r="U379" s="226"/>
      <c r="V379" s="226"/>
      <c r="W379" s="303"/>
      <c r="X379" s="220"/>
      <c r="Z379" s="227"/>
      <c r="AA379" s="220"/>
      <c r="AB379" s="221"/>
      <c r="AC379" s="229"/>
      <c r="AD379" s="230"/>
      <c r="AE379" s="230"/>
      <c r="AF379" s="230"/>
      <c r="AG379" s="227"/>
    </row>
    <row r="380" spans="1:33" x14ac:dyDescent="0.25">
      <c r="A380" s="32"/>
      <c r="B380" s="306"/>
      <c r="C380" s="307"/>
      <c r="D380" s="312"/>
      <c r="E380" s="301"/>
      <c r="F380" s="232"/>
      <c r="J380" s="306"/>
      <c r="K380" s="306"/>
      <c r="L380" s="313"/>
      <c r="M380" s="219"/>
      <c r="N380" s="218"/>
      <c r="S380" s="224"/>
      <c r="T380" s="228"/>
      <c r="U380" s="226"/>
      <c r="V380" s="226"/>
      <c r="W380" s="303"/>
      <c r="X380" s="220"/>
      <c r="Z380" s="227"/>
      <c r="AA380" s="220"/>
      <c r="AB380" s="221"/>
      <c r="AC380" s="229"/>
      <c r="AD380" s="230"/>
      <c r="AE380" s="230"/>
      <c r="AF380" s="230"/>
      <c r="AG380" s="227"/>
    </row>
    <row r="381" spans="1:33" x14ac:dyDescent="0.25">
      <c r="A381" s="32"/>
      <c r="B381" s="306"/>
      <c r="C381" s="307"/>
      <c r="D381" s="312"/>
      <c r="E381" s="301"/>
      <c r="F381" s="232"/>
      <c r="J381" s="306"/>
      <c r="K381" s="306"/>
      <c r="L381" s="313"/>
      <c r="M381" s="219"/>
      <c r="N381" s="218"/>
      <c r="S381" s="224"/>
      <c r="T381" s="228"/>
      <c r="U381" s="226"/>
      <c r="V381" s="226"/>
      <c r="W381" s="303"/>
      <c r="X381" s="220"/>
      <c r="Z381" s="227"/>
      <c r="AA381" s="220"/>
      <c r="AB381" s="221"/>
      <c r="AC381" s="229"/>
      <c r="AD381" s="230"/>
      <c r="AE381" s="230"/>
      <c r="AF381" s="230"/>
      <c r="AG381" s="227"/>
    </row>
    <row r="382" spans="1:33" x14ac:dyDescent="0.25">
      <c r="A382" s="32"/>
      <c r="B382" s="306"/>
      <c r="C382" s="307"/>
      <c r="D382" s="312"/>
      <c r="E382" s="301"/>
      <c r="F382" s="232"/>
      <c r="J382" s="306"/>
      <c r="K382" s="306"/>
      <c r="L382" s="313"/>
      <c r="M382" s="219"/>
      <c r="N382" s="218"/>
      <c r="S382" s="224"/>
      <c r="T382" s="228"/>
      <c r="U382" s="226"/>
      <c r="V382" s="226"/>
      <c r="W382" s="303"/>
      <c r="X382" s="220"/>
      <c r="Z382" s="227"/>
      <c r="AA382" s="220"/>
      <c r="AB382" s="221"/>
      <c r="AC382" s="229"/>
      <c r="AD382" s="230"/>
      <c r="AE382" s="230"/>
      <c r="AF382" s="230"/>
      <c r="AG382" s="227"/>
    </row>
    <row r="383" spans="1:33" x14ac:dyDescent="0.25">
      <c r="A383" s="32"/>
      <c r="B383" s="306"/>
      <c r="C383" s="307"/>
      <c r="D383" s="312"/>
      <c r="E383" s="301"/>
      <c r="F383" s="232"/>
      <c r="J383" s="306"/>
      <c r="K383" s="306"/>
      <c r="L383" s="313"/>
      <c r="M383" s="219"/>
      <c r="N383" s="218"/>
      <c r="S383" s="224"/>
      <c r="T383" s="228"/>
      <c r="U383" s="226"/>
      <c r="V383" s="226"/>
      <c r="W383" s="303"/>
      <c r="X383" s="220"/>
      <c r="Z383" s="227"/>
      <c r="AA383" s="220"/>
      <c r="AB383" s="221"/>
      <c r="AC383" s="229"/>
      <c r="AD383" s="230"/>
      <c r="AE383" s="230"/>
      <c r="AF383" s="230"/>
      <c r="AG383" s="227"/>
    </row>
    <row r="384" spans="1:33" x14ac:dyDescent="0.25">
      <c r="A384" s="32"/>
      <c r="B384" s="306"/>
      <c r="C384" s="307"/>
      <c r="D384" s="312"/>
      <c r="E384" s="301"/>
      <c r="F384" s="232"/>
      <c r="J384" s="306"/>
      <c r="K384" s="306"/>
      <c r="L384" s="313"/>
      <c r="M384" s="219"/>
      <c r="N384" s="218"/>
      <c r="S384" s="224"/>
      <c r="T384" s="228"/>
      <c r="U384" s="226"/>
      <c r="V384" s="226"/>
      <c r="W384" s="303"/>
      <c r="X384" s="220"/>
      <c r="Z384" s="227"/>
      <c r="AA384" s="220"/>
      <c r="AB384" s="221"/>
      <c r="AC384" s="229"/>
      <c r="AD384" s="230"/>
      <c r="AE384" s="230"/>
      <c r="AF384" s="230"/>
      <c r="AG384" s="227"/>
    </row>
    <row r="385" spans="1:33" x14ac:dyDescent="0.25">
      <c r="A385" s="32"/>
      <c r="B385" s="306"/>
      <c r="C385" s="307"/>
      <c r="D385" s="312"/>
      <c r="E385" s="301"/>
      <c r="F385" s="232"/>
      <c r="J385" s="306"/>
      <c r="K385" s="306"/>
      <c r="L385" s="313"/>
      <c r="M385" s="219"/>
      <c r="N385" s="218"/>
      <c r="S385" s="224"/>
      <c r="T385" s="228"/>
      <c r="U385" s="226"/>
      <c r="V385" s="226"/>
      <c r="W385" s="303"/>
      <c r="X385" s="220"/>
      <c r="Z385" s="227"/>
      <c r="AA385" s="220"/>
      <c r="AB385" s="221"/>
      <c r="AC385" s="229"/>
      <c r="AD385" s="230"/>
      <c r="AE385" s="230"/>
      <c r="AF385" s="230"/>
      <c r="AG385" s="227"/>
    </row>
    <row r="386" spans="1:33" x14ac:dyDescent="0.25">
      <c r="A386" s="32"/>
      <c r="B386" s="306"/>
      <c r="C386" s="307"/>
      <c r="D386" s="312"/>
      <c r="E386" s="301"/>
      <c r="F386" s="232"/>
      <c r="J386" s="306"/>
      <c r="K386" s="306"/>
      <c r="L386" s="313"/>
      <c r="M386" s="219"/>
      <c r="N386" s="218"/>
      <c r="S386" s="224"/>
      <c r="T386" s="228"/>
      <c r="U386" s="226"/>
      <c r="V386" s="226"/>
      <c r="W386" s="303"/>
      <c r="X386" s="220"/>
      <c r="Z386" s="227"/>
      <c r="AA386" s="220"/>
      <c r="AB386" s="221"/>
      <c r="AC386" s="229"/>
      <c r="AD386" s="230"/>
      <c r="AE386" s="230"/>
      <c r="AF386" s="230"/>
      <c r="AG386" s="227"/>
    </row>
    <row r="387" spans="1:33" x14ac:dyDescent="0.25">
      <c r="A387" s="32"/>
      <c r="B387" s="306"/>
      <c r="C387" s="307"/>
      <c r="D387" s="312"/>
      <c r="E387" s="301"/>
      <c r="F387" s="232"/>
      <c r="J387" s="306"/>
      <c r="K387" s="306"/>
      <c r="L387" s="313"/>
      <c r="M387" s="219"/>
      <c r="N387" s="218"/>
      <c r="S387" s="224"/>
      <c r="T387" s="228"/>
      <c r="U387" s="226"/>
      <c r="V387" s="226"/>
      <c r="W387" s="303"/>
      <c r="X387" s="220"/>
      <c r="Z387" s="227"/>
      <c r="AA387" s="220"/>
      <c r="AB387" s="221"/>
      <c r="AC387" s="229"/>
      <c r="AD387" s="230"/>
      <c r="AE387" s="230"/>
      <c r="AF387" s="230"/>
      <c r="AG387" s="227"/>
    </row>
    <row r="388" spans="1:33" x14ac:dyDescent="0.25">
      <c r="A388" s="32"/>
      <c r="B388" s="306"/>
      <c r="C388" s="307"/>
      <c r="D388" s="312"/>
      <c r="E388" s="301"/>
      <c r="F388" s="232"/>
      <c r="J388" s="306"/>
      <c r="K388" s="306"/>
      <c r="L388" s="313"/>
      <c r="M388" s="219"/>
      <c r="N388" s="218"/>
      <c r="S388" s="224"/>
      <c r="T388" s="228"/>
      <c r="U388" s="226"/>
      <c r="V388" s="226"/>
      <c r="W388" s="303"/>
      <c r="X388" s="220"/>
      <c r="Z388" s="227"/>
      <c r="AA388" s="220"/>
      <c r="AB388" s="221"/>
      <c r="AC388" s="229"/>
      <c r="AD388" s="230"/>
      <c r="AE388" s="230"/>
      <c r="AF388" s="230"/>
      <c r="AG388" s="227"/>
    </row>
    <row r="389" spans="1:33" x14ac:dyDescent="0.25">
      <c r="A389" s="32"/>
      <c r="B389" s="306"/>
      <c r="C389" s="307"/>
      <c r="D389" s="312"/>
      <c r="E389" s="301"/>
      <c r="F389" s="232"/>
      <c r="J389" s="306"/>
      <c r="K389" s="306"/>
      <c r="L389" s="313"/>
      <c r="M389" s="219"/>
      <c r="N389" s="218"/>
      <c r="S389" s="224"/>
      <c r="T389" s="228"/>
      <c r="U389" s="226"/>
      <c r="V389" s="226"/>
      <c r="W389" s="303"/>
      <c r="X389" s="220"/>
      <c r="Z389" s="227"/>
      <c r="AA389" s="220"/>
      <c r="AB389" s="221"/>
      <c r="AC389" s="229"/>
      <c r="AD389" s="230"/>
      <c r="AE389" s="230"/>
      <c r="AF389" s="230"/>
      <c r="AG389" s="227"/>
    </row>
    <row r="390" spans="1:33" x14ac:dyDescent="0.25">
      <c r="A390" s="32"/>
      <c r="B390" s="306"/>
      <c r="C390" s="307"/>
      <c r="D390" s="312"/>
      <c r="E390" s="301"/>
      <c r="F390" s="232"/>
      <c r="J390" s="306"/>
      <c r="K390" s="306"/>
      <c r="L390" s="313"/>
      <c r="M390" s="219"/>
      <c r="N390" s="218"/>
      <c r="S390" s="224"/>
      <c r="T390" s="228"/>
      <c r="U390" s="226"/>
      <c r="V390" s="226"/>
      <c r="W390" s="303"/>
      <c r="X390" s="220"/>
      <c r="Z390" s="227"/>
      <c r="AA390" s="220"/>
      <c r="AB390" s="221"/>
      <c r="AC390" s="229"/>
      <c r="AD390" s="230"/>
      <c r="AE390" s="230"/>
      <c r="AF390" s="230"/>
      <c r="AG390" s="227"/>
    </row>
    <row r="391" spans="1:33" x14ac:dyDescent="0.25">
      <c r="A391" s="32"/>
      <c r="B391" s="306"/>
      <c r="C391" s="307"/>
      <c r="D391" s="312"/>
      <c r="E391" s="301"/>
      <c r="F391" s="232"/>
      <c r="J391" s="306"/>
      <c r="K391" s="306"/>
      <c r="L391" s="313"/>
      <c r="M391" s="219"/>
      <c r="N391" s="218"/>
      <c r="S391" s="224"/>
      <c r="T391" s="228"/>
      <c r="U391" s="226"/>
      <c r="V391" s="226"/>
      <c r="W391" s="303"/>
      <c r="X391" s="220"/>
      <c r="Z391" s="227"/>
      <c r="AA391" s="220"/>
      <c r="AB391" s="221"/>
      <c r="AC391" s="229"/>
      <c r="AD391" s="230"/>
      <c r="AE391" s="230"/>
      <c r="AF391" s="230"/>
      <c r="AG391" s="227"/>
    </row>
    <row r="392" spans="1:33" x14ac:dyDescent="0.25">
      <c r="A392" s="32"/>
      <c r="B392" s="306"/>
      <c r="C392" s="307"/>
      <c r="D392" s="312"/>
      <c r="E392" s="301"/>
      <c r="F392" s="232"/>
      <c r="J392" s="306"/>
      <c r="K392" s="306"/>
      <c r="L392" s="313"/>
      <c r="M392" s="219"/>
      <c r="N392" s="218"/>
      <c r="S392" s="224"/>
      <c r="T392" s="228"/>
      <c r="U392" s="226"/>
      <c r="V392" s="226"/>
      <c r="W392" s="303"/>
      <c r="X392" s="220"/>
      <c r="Z392" s="227"/>
      <c r="AA392" s="220"/>
      <c r="AB392" s="221"/>
      <c r="AC392" s="229"/>
      <c r="AD392" s="230"/>
      <c r="AE392" s="230"/>
      <c r="AF392" s="230"/>
      <c r="AG392" s="227"/>
    </row>
    <row r="393" spans="1:33" x14ac:dyDescent="0.25">
      <c r="A393" s="32"/>
      <c r="B393" s="306"/>
      <c r="C393" s="307"/>
      <c r="D393" s="312"/>
      <c r="E393" s="301"/>
      <c r="F393" s="232"/>
      <c r="J393" s="306"/>
      <c r="K393" s="306"/>
      <c r="L393" s="313"/>
      <c r="M393" s="219"/>
      <c r="N393" s="218"/>
      <c r="S393" s="224"/>
      <c r="T393" s="228"/>
      <c r="U393" s="226"/>
      <c r="V393" s="226"/>
      <c r="W393" s="303"/>
      <c r="X393" s="220"/>
      <c r="Z393" s="227"/>
      <c r="AA393" s="220"/>
      <c r="AB393" s="221"/>
      <c r="AC393" s="229"/>
      <c r="AD393" s="230"/>
      <c r="AE393" s="230"/>
      <c r="AF393" s="230"/>
      <c r="AG393" s="227"/>
    </row>
    <row r="394" spans="1:33" x14ac:dyDescent="0.25">
      <c r="A394" s="32"/>
      <c r="B394" s="306"/>
      <c r="C394" s="307"/>
      <c r="D394" s="312"/>
      <c r="E394" s="301"/>
      <c r="F394" s="232"/>
      <c r="J394" s="306"/>
      <c r="K394" s="306"/>
      <c r="L394" s="313"/>
      <c r="M394" s="219"/>
      <c r="N394" s="218"/>
      <c r="S394" s="224"/>
      <c r="T394" s="228"/>
      <c r="U394" s="226"/>
      <c r="V394" s="226"/>
      <c r="W394" s="303"/>
      <c r="X394" s="220"/>
      <c r="Z394" s="227"/>
      <c r="AA394" s="220"/>
      <c r="AB394" s="221"/>
      <c r="AC394" s="229"/>
      <c r="AD394" s="230"/>
      <c r="AE394" s="230"/>
      <c r="AF394" s="230"/>
      <c r="AG394" s="227"/>
    </row>
    <row r="395" spans="1:33" x14ac:dyDescent="0.25">
      <c r="A395" s="32"/>
      <c r="B395" s="306"/>
      <c r="C395" s="307"/>
      <c r="D395" s="312"/>
      <c r="E395" s="301"/>
      <c r="F395" s="232"/>
      <c r="J395" s="306"/>
      <c r="K395" s="306"/>
      <c r="L395" s="313"/>
      <c r="M395" s="219"/>
      <c r="N395" s="218"/>
      <c r="S395" s="224"/>
      <c r="T395" s="228"/>
      <c r="U395" s="226"/>
      <c r="V395" s="226"/>
      <c r="W395" s="303"/>
      <c r="X395" s="220"/>
      <c r="Z395" s="227"/>
      <c r="AA395" s="220"/>
      <c r="AB395" s="221"/>
      <c r="AC395" s="229"/>
      <c r="AD395" s="230"/>
      <c r="AE395" s="230"/>
      <c r="AF395" s="230"/>
      <c r="AG395" s="227"/>
    </row>
    <row r="396" spans="1:33" x14ac:dyDescent="0.25">
      <c r="A396" s="32"/>
      <c r="B396" s="306"/>
      <c r="C396" s="307"/>
      <c r="D396" s="312"/>
      <c r="E396" s="301"/>
      <c r="F396" s="232"/>
      <c r="J396" s="306"/>
      <c r="K396" s="306"/>
      <c r="L396" s="313"/>
      <c r="M396" s="219"/>
      <c r="N396" s="218"/>
      <c r="S396" s="224"/>
      <c r="T396" s="228"/>
      <c r="U396" s="226"/>
      <c r="V396" s="226"/>
      <c r="W396" s="303"/>
      <c r="X396" s="220"/>
      <c r="Z396" s="227"/>
      <c r="AA396" s="220"/>
      <c r="AB396" s="221"/>
      <c r="AC396" s="229"/>
      <c r="AD396" s="230"/>
      <c r="AE396" s="230"/>
      <c r="AF396" s="230"/>
      <c r="AG396" s="227"/>
    </row>
    <row r="397" spans="1:33" x14ac:dyDescent="0.25">
      <c r="A397" s="32"/>
      <c r="B397" s="306"/>
      <c r="C397" s="307"/>
      <c r="D397" s="312"/>
      <c r="E397" s="301"/>
      <c r="F397" s="232"/>
      <c r="J397" s="306"/>
      <c r="K397" s="306"/>
      <c r="L397" s="313"/>
      <c r="M397" s="219"/>
      <c r="N397" s="218"/>
      <c r="S397" s="224"/>
      <c r="T397" s="228"/>
      <c r="U397" s="226"/>
      <c r="V397" s="226"/>
      <c r="W397" s="303"/>
      <c r="X397" s="220"/>
      <c r="Z397" s="227"/>
      <c r="AA397" s="220"/>
      <c r="AB397" s="221"/>
      <c r="AC397" s="229"/>
      <c r="AD397" s="230"/>
      <c r="AE397" s="230"/>
      <c r="AF397" s="230"/>
      <c r="AG397" s="227"/>
    </row>
    <row r="398" spans="1:33" x14ac:dyDescent="0.25">
      <c r="A398" s="32"/>
      <c r="B398" s="306"/>
      <c r="C398" s="307"/>
      <c r="D398" s="312"/>
      <c r="E398" s="301"/>
      <c r="F398" s="232"/>
      <c r="J398" s="306"/>
      <c r="K398" s="306"/>
      <c r="L398" s="313"/>
      <c r="M398" s="219"/>
      <c r="N398" s="218"/>
      <c r="S398" s="224"/>
      <c r="T398" s="228"/>
      <c r="U398" s="226"/>
      <c r="V398" s="226"/>
      <c r="W398" s="303"/>
      <c r="X398" s="220"/>
      <c r="Z398" s="227"/>
      <c r="AA398" s="220"/>
      <c r="AB398" s="221"/>
      <c r="AC398" s="229"/>
      <c r="AD398" s="230"/>
      <c r="AE398" s="230"/>
      <c r="AF398" s="230"/>
      <c r="AG398" s="227"/>
    </row>
    <row r="399" spans="1:33" x14ac:dyDescent="0.25">
      <c r="A399" s="32"/>
      <c r="B399" s="306"/>
      <c r="C399" s="307"/>
      <c r="D399" s="312"/>
      <c r="E399" s="301"/>
      <c r="F399" s="232"/>
      <c r="J399" s="306"/>
      <c r="K399" s="306"/>
      <c r="L399" s="313"/>
      <c r="M399" s="219"/>
      <c r="N399" s="218"/>
      <c r="S399" s="224"/>
      <c r="T399" s="228"/>
      <c r="U399" s="226"/>
      <c r="V399" s="226"/>
      <c r="W399" s="303"/>
      <c r="X399" s="220"/>
      <c r="Z399" s="227"/>
      <c r="AA399" s="220"/>
      <c r="AB399" s="221"/>
      <c r="AC399" s="229"/>
      <c r="AD399" s="230"/>
      <c r="AE399" s="230"/>
      <c r="AF399" s="230"/>
      <c r="AG399" s="227"/>
    </row>
    <row r="400" spans="1:33" x14ac:dyDescent="0.25">
      <c r="A400" s="32"/>
      <c r="B400" s="306"/>
      <c r="C400" s="307"/>
      <c r="D400" s="312"/>
      <c r="E400" s="301"/>
      <c r="F400" s="232"/>
      <c r="J400" s="306"/>
      <c r="K400" s="306"/>
      <c r="L400" s="313"/>
      <c r="M400" s="219"/>
      <c r="N400" s="218"/>
      <c r="S400" s="224"/>
      <c r="T400" s="228"/>
      <c r="U400" s="226"/>
      <c r="V400" s="226"/>
      <c r="W400" s="303"/>
      <c r="X400" s="220"/>
      <c r="Z400" s="227"/>
      <c r="AA400" s="220"/>
      <c r="AB400" s="221"/>
      <c r="AC400" s="229"/>
      <c r="AD400" s="230"/>
      <c r="AE400" s="230"/>
      <c r="AF400" s="230"/>
      <c r="AG400" s="227"/>
    </row>
    <row r="401" spans="1:33" x14ac:dyDescent="0.25">
      <c r="A401" s="32"/>
      <c r="B401" s="306"/>
      <c r="C401" s="307"/>
      <c r="D401" s="312"/>
      <c r="E401" s="301"/>
      <c r="F401" s="232"/>
      <c r="J401" s="306"/>
      <c r="K401" s="306"/>
      <c r="L401" s="313"/>
      <c r="M401" s="219"/>
      <c r="N401" s="218"/>
      <c r="S401" s="224"/>
      <c r="T401" s="228"/>
      <c r="U401" s="226"/>
      <c r="V401" s="226"/>
      <c r="W401" s="303"/>
      <c r="X401" s="220"/>
      <c r="Z401" s="227"/>
      <c r="AA401" s="220"/>
      <c r="AB401" s="221"/>
      <c r="AC401" s="229"/>
      <c r="AD401" s="230"/>
      <c r="AE401" s="230"/>
      <c r="AF401" s="230"/>
      <c r="AG401" s="227"/>
    </row>
    <row r="402" spans="1:33" x14ac:dyDescent="0.25">
      <c r="A402" s="32"/>
      <c r="B402" s="306"/>
      <c r="C402" s="307"/>
      <c r="D402" s="312"/>
      <c r="E402" s="301"/>
      <c r="F402" s="232"/>
      <c r="J402" s="306"/>
      <c r="K402" s="306"/>
      <c r="L402" s="313"/>
      <c r="M402" s="219"/>
      <c r="N402" s="218"/>
      <c r="S402" s="224"/>
      <c r="T402" s="228"/>
      <c r="U402" s="226"/>
      <c r="V402" s="226"/>
      <c r="W402" s="303"/>
      <c r="X402" s="220"/>
      <c r="Z402" s="227"/>
      <c r="AA402" s="220"/>
      <c r="AB402" s="221"/>
      <c r="AC402" s="229"/>
      <c r="AD402" s="230"/>
      <c r="AE402" s="230"/>
      <c r="AF402" s="230"/>
      <c r="AG402" s="227"/>
    </row>
    <row r="403" spans="1:33" x14ac:dyDescent="0.25">
      <c r="A403" s="32"/>
      <c r="B403" s="306"/>
      <c r="C403" s="307"/>
      <c r="D403" s="312"/>
      <c r="E403" s="301"/>
      <c r="F403" s="232"/>
      <c r="J403" s="306"/>
      <c r="K403" s="306"/>
      <c r="L403" s="313"/>
      <c r="M403" s="219"/>
      <c r="N403" s="218"/>
      <c r="S403" s="224"/>
      <c r="T403" s="228"/>
      <c r="U403" s="226"/>
      <c r="V403" s="226"/>
      <c r="W403" s="303"/>
      <c r="X403" s="220"/>
      <c r="Z403" s="227"/>
      <c r="AA403" s="220"/>
      <c r="AB403" s="221"/>
      <c r="AC403" s="229"/>
      <c r="AD403" s="230"/>
      <c r="AE403" s="230"/>
      <c r="AF403" s="230"/>
      <c r="AG403" s="227"/>
    </row>
    <row r="404" spans="1:33" x14ac:dyDescent="0.25">
      <c r="A404" s="32"/>
      <c r="B404" s="306"/>
      <c r="C404" s="307"/>
      <c r="D404" s="312"/>
      <c r="E404" s="301"/>
      <c r="F404" s="232"/>
      <c r="J404" s="306"/>
      <c r="K404" s="306"/>
      <c r="L404" s="313"/>
      <c r="M404" s="219"/>
      <c r="N404" s="218"/>
      <c r="S404" s="224"/>
      <c r="T404" s="228"/>
      <c r="U404" s="226"/>
      <c r="V404" s="226"/>
      <c r="W404" s="303"/>
      <c r="X404" s="220"/>
      <c r="Z404" s="227"/>
      <c r="AA404" s="220"/>
      <c r="AB404" s="221"/>
      <c r="AC404" s="229"/>
      <c r="AD404" s="230"/>
      <c r="AE404" s="230"/>
      <c r="AF404" s="230"/>
      <c r="AG404" s="227"/>
    </row>
    <row r="405" spans="1:33" x14ac:dyDescent="0.25">
      <c r="A405" s="32"/>
      <c r="B405" s="306"/>
      <c r="C405" s="307"/>
      <c r="D405" s="312"/>
      <c r="E405" s="301"/>
      <c r="F405" s="232"/>
      <c r="J405" s="306"/>
      <c r="K405" s="306"/>
      <c r="L405" s="313"/>
      <c r="M405" s="219"/>
      <c r="N405" s="218"/>
      <c r="S405" s="224"/>
      <c r="T405" s="228"/>
      <c r="U405" s="226"/>
      <c r="V405" s="226"/>
      <c r="W405" s="303"/>
      <c r="X405" s="220"/>
      <c r="Z405" s="227"/>
      <c r="AA405" s="220"/>
      <c r="AB405" s="221"/>
      <c r="AC405" s="229"/>
      <c r="AD405" s="230"/>
      <c r="AE405" s="230"/>
      <c r="AF405" s="230"/>
      <c r="AG405" s="227"/>
    </row>
    <row r="406" spans="1:33" x14ac:dyDescent="0.25">
      <c r="A406" s="32"/>
      <c r="B406" s="306"/>
      <c r="C406" s="307"/>
      <c r="D406" s="312"/>
      <c r="E406" s="301"/>
      <c r="F406" s="232"/>
      <c r="J406" s="306"/>
      <c r="K406" s="306"/>
      <c r="L406" s="313"/>
      <c r="M406" s="219"/>
      <c r="N406" s="218"/>
      <c r="S406" s="224"/>
      <c r="T406" s="228"/>
      <c r="U406" s="226"/>
      <c r="V406" s="226"/>
      <c r="W406" s="303"/>
      <c r="X406" s="220"/>
      <c r="Z406" s="227"/>
      <c r="AA406" s="220"/>
      <c r="AB406" s="221"/>
      <c r="AC406" s="229"/>
      <c r="AD406" s="230"/>
      <c r="AE406" s="230"/>
      <c r="AF406" s="230"/>
      <c r="AG406" s="227"/>
    </row>
    <row r="407" spans="1:33" x14ac:dyDescent="0.25">
      <c r="A407" s="32"/>
      <c r="B407" s="306"/>
      <c r="C407" s="307"/>
      <c r="D407" s="312"/>
      <c r="E407" s="301"/>
      <c r="F407" s="232"/>
      <c r="J407" s="306"/>
      <c r="K407" s="306"/>
      <c r="L407" s="313"/>
      <c r="M407" s="219"/>
      <c r="N407" s="218"/>
      <c r="S407" s="224"/>
      <c r="T407" s="228"/>
      <c r="U407" s="226"/>
      <c r="V407" s="226"/>
      <c r="W407" s="303"/>
      <c r="X407" s="220"/>
      <c r="Z407" s="227"/>
      <c r="AA407" s="220"/>
      <c r="AB407" s="221"/>
      <c r="AC407" s="229"/>
      <c r="AD407" s="230"/>
      <c r="AE407" s="230"/>
      <c r="AF407" s="230"/>
      <c r="AG407" s="227"/>
    </row>
    <row r="408" spans="1:33" x14ac:dyDescent="0.25">
      <c r="A408" s="32"/>
      <c r="B408" s="306"/>
      <c r="C408" s="307"/>
      <c r="D408" s="312"/>
      <c r="E408" s="301"/>
      <c r="F408" s="232"/>
      <c r="J408" s="306"/>
      <c r="K408" s="306"/>
      <c r="L408" s="313"/>
      <c r="M408" s="219"/>
      <c r="N408" s="218"/>
      <c r="S408" s="224"/>
      <c r="T408" s="228"/>
      <c r="U408" s="226"/>
      <c r="V408" s="226"/>
      <c r="W408" s="303"/>
      <c r="X408" s="220"/>
      <c r="Z408" s="227"/>
      <c r="AA408" s="220"/>
      <c r="AB408" s="221"/>
      <c r="AC408" s="229"/>
      <c r="AD408" s="230"/>
      <c r="AE408" s="230"/>
      <c r="AF408" s="230"/>
      <c r="AG408" s="227"/>
    </row>
    <row r="409" spans="1:33" x14ac:dyDescent="0.25">
      <c r="A409" s="32"/>
      <c r="B409" s="306"/>
      <c r="C409" s="307"/>
      <c r="D409" s="312"/>
      <c r="E409" s="301"/>
      <c r="F409" s="232"/>
      <c r="J409" s="306"/>
      <c r="K409" s="306"/>
      <c r="L409" s="313"/>
      <c r="M409" s="219"/>
      <c r="N409" s="218"/>
      <c r="S409" s="224"/>
      <c r="T409" s="228"/>
      <c r="U409" s="226"/>
      <c r="V409" s="226"/>
      <c r="W409" s="303"/>
      <c r="X409" s="220"/>
      <c r="Z409" s="227"/>
      <c r="AA409" s="220"/>
      <c r="AB409" s="221"/>
      <c r="AC409" s="229"/>
      <c r="AD409" s="230"/>
      <c r="AE409" s="230"/>
      <c r="AF409" s="230"/>
      <c r="AG409" s="227"/>
    </row>
    <row r="410" spans="1:33" x14ac:dyDescent="0.25">
      <c r="A410" s="32"/>
      <c r="B410" s="306"/>
      <c r="C410" s="307"/>
      <c r="D410" s="312"/>
      <c r="E410" s="301"/>
      <c r="F410" s="232"/>
      <c r="J410" s="306"/>
      <c r="K410" s="306"/>
      <c r="L410" s="313"/>
      <c r="M410" s="219"/>
      <c r="N410" s="218"/>
      <c r="S410" s="224"/>
      <c r="T410" s="228"/>
      <c r="U410" s="226"/>
      <c r="V410" s="226"/>
      <c r="W410" s="303"/>
      <c r="X410" s="220"/>
      <c r="Z410" s="227"/>
      <c r="AA410" s="220"/>
      <c r="AB410" s="221"/>
      <c r="AC410" s="229"/>
      <c r="AD410" s="230"/>
      <c r="AE410" s="230"/>
      <c r="AF410" s="230"/>
      <c r="AG410" s="227"/>
    </row>
    <row r="411" spans="1:33" x14ac:dyDescent="0.25">
      <c r="A411" s="32"/>
      <c r="B411" s="306"/>
      <c r="C411" s="307"/>
      <c r="D411" s="312"/>
      <c r="E411" s="301"/>
      <c r="F411" s="232"/>
      <c r="J411" s="306"/>
      <c r="K411" s="306"/>
      <c r="L411" s="313"/>
      <c r="M411" s="219"/>
      <c r="N411" s="218"/>
      <c r="S411" s="224"/>
      <c r="T411" s="228"/>
      <c r="U411" s="226"/>
      <c r="V411" s="226"/>
      <c r="W411" s="303"/>
      <c r="X411" s="220"/>
      <c r="Z411" s="227"/>
      <c r="AA411" s="220"/>
      <c r="AB411" s="221"/>
      <c r="AC411" s="229"/>
      <c r="AD411" s="230"/>
      <c r="AE411" s="230"/>
      <c r="AF411" s="230"/>
      <c r="AG411" s="227"/>
    </row>
    <row r="412" spans="1:33" x14ac:dyDescent="0.25">
      <c r="A412" s="32"/>
      <c r="B412" s="306"/>
      <c r="C412" s="307"/>
      <c r="D412" s="312"/>
      <c r="E412" s="301"/>
      <c r="F412" s="232"/>
      <c r="J412" s="306"/>
      <c r="K412" s="306"/>
      <c r="L412" s="313"/>
      <c r="M412" s="219"/>
      <c r="N412" s="218"/>
      <c r="S412" s="224"/>
      <c r="T412" s="228"/>
      <c r="U412" s="226"/>
      <c r="V412" s="226"/>
      <c r="W412" s="303"/>
      <c r="X412" s="220"/>
      <c r="Z412" s="227"/>
      <c r="AA412" s="220"/>
      <c r="AB412" s="221"/>
      <c r="AC412" s="229"/>
      <c r="AD412" s="230"/>
      <c r="AE412" s="230"/>
      <c r="AF412" s="230"/>
      <c r="AG412" s="227"/>
    </row>
    <row r="413" spans="1:33" x14ac:dyDescent="0.25">
      <c r="A413" s="32"/>
      <c r="B413" s="306"/>
      <c r="C413" s="307"/>
      <c r="D413" s="312"/>
      <c r="E413" s="301"/>
      <c r="F413" s="232"/>
      <c r="J413" s="306"/>
      <c r="K413" s="306"/>
      <c r="L413" s="313"/>
      <c r="M413" s="219"/>
      <c r="N413" s="218"/>
      <c r="S413" s="224"/>
      <c r="T413" s="228"/>
      <c r="U413" s="226"/>
      <c r="V413" s="226"/>
      <c r="W413" s="303"/>
      <c r="X413" s="220"/>
      <c r="Z413" s="227"/>
      <c r="AA413" s="220"/>
      <c r="AB413" s="221"/>
      <c r="AC413" s="229"/>
      <c r="AD413" s="230"/>
      <c r="AE413" s="230"/>
      <c r="AF413" s="230"/>
      <c r="AG413" s="227"/>
    </row>
    <row r="414" spans="1:33" x14ac:dyDescent="0.25">
      <c r="A414" s="32"/>
      <c r="B414" s="306"/>
      <c r="C414" s="307"/>
      <c r="D414" s="312"/>
      <c r="E414" s="301"/>
      <c r="F414" s="232"/>
      <c r="J414" s="306"/>
      <c r="K414" s="306"/>
      <c r="L414" s="313"/>
      <c r="M414" s="219"/>
      <c r="N414" s="218"/>
      <c r="S414" s="224"/>
      <c r="T414" s="228"/>
      <c r="U414" s="226"/>
      <c r="V414" s="226"/>
      <c r="W414" s="303"/>
      <c r="X414" s="220"/>
      <c r="Z414" s="227"/>
      <c r="AA414" s="220"/>
      <c r="AB414" s="221"/>
      <c r="AC414" s="229"/>
      <c r="AD414" s="230"/>
      <c r="AE414" s="230"/>
      <c r="AF414" s="230"/>
      <c r="AG414" s="227"/>
    </row>
    <row r="415" spans="1:33" x14ac:dyDescent="0.25">
      <c r="A415" s="32"/>
      <c r="B415" s="306"/>
      <c r="C415" s="307"/>
      <c r="D415" s="312"/>
      <c r="E415" s="301"/>
      <c r="F415" s="232"/>
      <c r="J415" s="306"/>
      <c r="K415" s="306"/>
      <c r="L415" s="313"/>
      <c r="M415" s="219"/>
      <c r="N415" s="218"/>
      <c r="S415" s="224"/>
      <c r="T415" s="228"/>
      <c r="U415" s="226"/>
      <c r="V415" s="226"/>
      <c r="W415" s="303"/>
      <c r="X415" s="220"/>
      <c r="Z415" s="227"/>
      <c r="AA415" s="220"/>
      <c r="AB415" s="221"/>
      <c r="AC415" s="229"/>
      <c r="AD415" s="230"/>
      <c r="AE415" s="230"/>
      <c r="AF415" s="230"/>
      <c r="AG415" s="227"/>
    </row>
    <row r="416" spans="1:33" x14ac:dyDescent="0.25">
      <c r="A416" s="32"/>
      <c r="B416" s="306"/>
      <c r="C416" s="307"/>
      <c r="D416" s="312"/>
      <c r="E416" s="301"/>
      <c r="F416" s="232"/>
      <c r="J416" s="306"/>
      <c r="K416" s="306"/>
      <c r="L416" s="313"/>
      <c r="M416" s="219"/>
      <c r="N416" s="218"/>
      <c r="S416" s="224"/>
      <c r="T416" s="228"/>
      <c r="U416" s="226"/>
      <c r="V416" s="226"/>
      <c r="W416" s="303"/>
      <c r="X416" s="220"/>
      <c r="Z416" s="227"/>
      <c r="AA416" s="220"/>
      <c r="AB416" s="221"/>
      <c r="AC416" s="229"/>
      <c r="AD416" s="230"/>
      <c r="AE416" s="230"/>
      <c r="AF416" s="230"/>
      <c r="AG416" s="227"/>
    </row>
    <row r="417" spans="1:33" x14ac:dyDescent="0.25">
      <c r="A417" s="32"/>
      <c r="B417" s="306"/>
      <c r="C417" s="307"/>
      <c r="D417" s="312"/>
      <c r="E417" s="301"/>
      <c r="F417" s="232"/>
      <c r="J417" s="306"/>
      <c r="K417" s="306"/>
      <c r="L417" s="313"/>
      <c r="M417" s="219"/>
      <c r="N417" s="218"/>
      <c r="S417" s="224"/>
      <c r="T417" s="228"/>
      <c r="U417" s="226"/>
      <c r="V417" s="226"/>
      <c r="W417" s="303"/>
      <c r="X417" s="220"/>
      <c r="Z417" s="227"/>
      <c r="AA417" s="220"/>
      <c r="AB417" s="221"/>
      <c r="AC417" s="229"/>
      <c r="AD417" s="230"/>
      <c r="AE417" s="230"/>
      <c r="AF417" s="230"/>
      <c r="AG417" s="227"/>
    </row>
    <row r="418" spans="1:33" x14ac:dyDescent="0.25">
      <c r="A418" s="32"/>
      <c r="B418" s="306"/>
      <c r="C418" s="307"/>
      <c r="D418" s="312"/>
      <c r="E418" s="301"/>
      <c r="F418" s="232"/>
      <c r="J418" s="306"/>
      <c r="K418" s="306"/>
      <c r="L418" s="313"/>
      <c r="M418" s="219"/>
      <c r="N418" s="218"/>
      <c r="S418" s="224"/>
      <c r="T418" s="228"/>
      <c r="U418" s="226"/>
      <c r="V418" s="226"/>
      <c r="W418" s="303"/>
      <c r="X418" s="220"/>
      <c r="Z418" s="227"/>
      <c r="AA418" s="220"/>
      <c r="AB418" s="221"/>
      <c r="AC418" s="229"/>
      <c r="AD418" s="230"/>
      <c r="AE418" s="230"/>
      <c r="AF418" s="230"/>
      <c r="AG418" s="227"/>
    </row>
    <row r="419" spans="1:33" x14ac:dyDescent="0.25">
      <c r="A419" s="32"/>
      <c r="B419" s="306"/>
      <c r="C419" s="307"/>
      <c r="D419" s="312"/>
      <c r="E419" s="301"/>
      <c r="F419" s="232"/>
      <c r="J419" s="306"/>
      <c r="K419" s="306"/>
      <c r="L419" s="313"/>
      <c r="M419" s="219"/>
      <c r="N419" s="218"/>
      <c r="S419" s="224"/>
      <c r="T419" s="228"/>
      <c r="U419" s="226"/>
      <c r="V419" s="226"/>
      <c r="W419" s="303"/>
      <c r="X419" s="220"/>
      <c r="Z419" s="227"/>
      <c r="AA419" s="220"/>
      <c r="AB419" s="221"/>
      <c r="AC419" s="229"/>
      <c r="AD419" s="230"/>
      <c r="AE419" s="230"/>
      <c r="AF419" s="230"/>
      <c r="AG419" s="227"/>
    </row>
    <row r="420" spans="1:33" x14ac:dyDescent="0.25">
      <c r="A420" s="32"/>
      <c r="B420" s="306"/>
      <c r="C420" s="307"/>
      <c r="D420" s="312"/>
      <c r="E420" s="301"/>
      <c r="F420" s="232"/>
      <c r="J420" s="306"/>
      <c r="K420" s="306"/>
      <c r="L420" s="313"/>
      <c r="M420" s="219"/>
      <c r="N420" s="218"/>
      <c r="S420" s="224"/>
      <c r="T420" s="228"/>
      <c r="U420" s="226"/>
      <c r="V420" s="226"/>
      <c r="W420" s="303"/>
      <c r="X420" s="220"/>
      <c r="Z420" s="227"/>
      <c r="AA420" s="220"/>
      <c r="AB420" s="221"/>
      <c r="AC420" s="229"/>
      <c r="AD420" s="230"/>
      <c r="AE420" s="230"/>
      <c r="AF420" s="230"/>
      <c r="AG420" s="227"/>
    </row>
    <row r="421" spans="1:33" x14ac:dyDescent="0.25">
      <c r="A421" s="32"/>
      <c r="B421" s="306"/>
      <c r="C421" s="307"/>
      <c r="D421" s="312"/>
      <c r="E421" s="301"/>
      <c r="F421" s="232"/>
      <c r="J421" s="306"/>
      <c r="K421" s="306"/>
      <c r="L421" s="313"/>
      <c r="M421" s="219"/>
      <c r="N421" s="218"/>
      <c r="S421" s="224"/>
      <c r="T421" s="228"/>
      <c r="U421" s="226"/>
      <c r="V421" s="226"/>
      <c r="W421" s="303"/>
      <c r="X421" s="220"/>
      <c r="Z421" s="227"/>
      <c r="AA421" s="220"/>
      <c r="AB421" s="221"/>
      <c r="AC421" s="229"/>
      <c r="AD421" s="230"/>
      <c r="AE421" s="230"/>
      <c r="AF421" s="230"/>
      <c r="AG421" s="227"/>
    </row>
    <row r="422" spans="1:33" x14ac:dyDescent="0.25">
      <c r="A422" s="32"/>
      <c r="B422" s="306"/>
      <c r="C422" s="307"/>
      <c r="D422" s="312"/>
      <c r="E422" s="301"/>
      <c r="F422" s="232"/>
      <c r="J422" s="306"/>
      <c r="K422" s="306"/>
      <c r="L422" s="313"/>
      <c r="M422" s="219"/>
      <c r="N422" s="218"/>
      <c r="S422" s="224"/>
      <c r="T422" s="228"/>
      <c r="U422" s="226"/>
      <c r="V422" s="226"/>
      <c r="W422" s="303"/>
      <c r="X422" s="220"/>
      <c r="Z422" s="227"/>
      <c r="AA422" s="220"/>
      <c r="AB422" s="221"/>
      <c r="AC422" s="229"/>
      <c r="AD422" s="230"/>
      <c r="AE422" s="230"/>
      <c r="AF422" s="230"/>
      <c r="AG422" s="227"/>
    </row>
    <row r="423" spans="1:33" x14ac:dyDescent="0.25">
      <c r="A423" s="32"/>
      <c r="B423" s="306"/>
      <c r="C423" s="307"/>
      <c r="D423" s="312"/>
      <c r="E423" s="301"/>
      <c r="F423" s="232"/>
      <c r="J423" s="306"/>
      <c r="K423" s="306"/>
      <c r="L423" s="313"/>
      <c r="M423" s="219"/>
      <c r="N423" s="218"/>
      <c r="S423" s="224"/>
      <c r="T423" s="228"/>
      <c r="U423" s="226"/>
      <c r="V423" s="226"/>
      <c r="W423" s="303"/>
      <c r="X423" s="220"/>
      <c r="Z423" s="227"/>
      <c r="AA423" s="220"/>
      <c r="AB423" s="221"/>
      <c r="AC423" s="229"/>
      <c r="AD423" s="230"/>
      <c r="AE423" s="230"/>
      <c r="AF423" s="230"/>
      <c r="AG423" s="227"/>
    </row>
    <row r="424" spans="1:33" x14ac:dyDescent="0.25">
      <c r="A424" s="32"/>
      <c r="B424" s="306"/>
      <c r="C424" s="307"/>
      <c r="D424" s="312"/>
      <c r="E424" s="301"/>
      <c r="F424" s="232"/>
      <c r="J424" s="306"/>
      <c r="K424" s="306"/>
      <c r="L424" s="313"/>
      <c r="M424" s="219"/>
      <c r="N424" s="218"/>
      <c r="S424" s="224"/>
      <c r="T424" s="228"/>
      <c r="U424" s="226"/>
      <c r="V424" s="226"/>
      <c r="W424" s="303"/>
      <c r="X424" s="220"/>
      <c r="Z424" s="227"/>
      <c r="AA424" s="220"/>
      <c r="AB424" s="221"/>
      <c r="AC424" s="229"/>
      <c r="AD424" s="230"/>
      <c r="AE424" s="230"/>
      <c r="AF424" s="230"/>
      <c r="AG424" s="227"/>
    </row>
    <row r="425" spans="1:33" x14ac:dyDescent="0.25">
      <c r="A425" s="32"/>
      <c r="B425" s="306"/>
      <c r="C425" s="307"/>
      <c r="D425" s="312"/>
      <c r="E425" s="301"/>
      <c r="F425" s="232"/>
      <c r="J425" s="306"/>
      <c r="K425" s="306"/>
      <c r="L425" s="313"/>
      <c r="M425" s="219"/>
      <c r="N425" s="218"/>
      <c r="S425" s="224"/>
      <c r="T425" s="228"/>
      <c r="U425" s="226"/>
      <c r="V425" s="226"/>
      <c r="W425" s="303"/>
      <c r="X425" s="220"/>
      <c r="Z425" s="227"/>
      <c r="AA425" s="220"/>
      <c r="AB425" s="221"/>
      <c r="AC425" s="229"/>
      <c r="AD425" s="230"/>
      <c r="AE425" s="230"/>
      <c r="AF425" s="230"/>
      <c r="AG425" s="227"/>
    </row>
    <row r="426" spans="1:33" x14ac:dyDescent="0.25">
      <c r="A426" s="32"/>
      <c r="B426" s="306"/>
      <c r="C426" s="307"/>
      <c r="D426" s="312"/>
      <c r="E426" s="301"/>
      <c r="F426" s="232"/>
      <c r="J426" s="306"/>
      <c r="K426" s="306"/>
      <c r="L426" s="313"/>
      <c r="M426" s="219"/>
      <c r="N426" s="218"/>
      <c r="S426" s="224"/>
      <c r="T426" s="228"/>
      <c r="U426" s="226"/>
      <c r="V426" s="226"/>
      <c r="W426" s="303"/>
      <c r="X426" s="220"/>
      <c r="Z426" s="227"/>
      <c r="AA426" s="220"/>
      <c r="AB426" s="221"/>
      <c r="AC426" s="229"/>
      <c r="AD426" s="230"/>
      <c r="AE426" s="230"/>
      <c r="AF426" s="230"/>
      <c r="AG426" s="227"/>
    </row>
    <row r="427" spans="1:33" x14ac:dyDescent="0.25">
      <c r="A427" s="32"/>
      <c r="B427" s="306"/>
      <c r="C427" s="307"/>
      <c r="D427" s="312"/>
      <c r="E427" s="301"/>
      <c r="F427" s="232"/>
      <c r="J427" s="306"/>
      <c r="K427" s="306"/>
      <c r="L427" s="313"/>
      <c r="M427" s="219"/>
      <c r="N427" s="218"/>
      <c r="S427" s="224"/>
      <c r="T427" s="228"/>
      <c r="U427" s="226"/>
      <c r="V427" s="226"/>
      <c r="W427" s="303"/>
      <c r="X427" s="220"/>
      <c r="Z427" s="227"/>
      <c r="AA427" s="220"/>
      <c r="AB427" s="221"/>
      <c r="AC427" s="229"/>
      <c r="AD427" s="230"/>
      <c r="AE427" s="230"/>
      <c r="AF427" s="230"/>
      <c r="AG427" s="227"/>
    </row>
    <row r="428" spans="1:33" x14ac:dyDescent="0.25">
      <c r="A428" s="32"/>
      <c r="B428" s="306"/>
      <c r="C428" s="307"/>
      <c r="D428" s="312"/>
      <c r="E428" s="301"/>
      <c r="F428" s="232"/>
      <c r="J428" s="306"/>
      <c r="K428" s="306"/>
      <c r="L428" s="313"/>
      <c r="M428" s="219"/>
      <c r="N428" s="218"/>
      <c r="S428" s="224"/>
      <c r="T428" s="228"/>
      <c r="U428" s="226"/>
      <c r="V428" s="226"/>
      <c r="W428" s="303"/>
      <c r="X428" s="220"/>
      <c r="Z428" s="227"/>
      <c r="AA428" s="220"/>
      <c r="AB428" s="221"/>
      <c r="AC428" s="229"/>
      <c r="AD428" s="230"/>
      <c r="AE428" s="230"/>
      <c r="AF428" s="230"/>
      <c r="AG428" s="227"/>
    </row>
    <row r="429" spans="1:33" x14ac:dyDescent="0.25">
      <c r="A429" s="32"/>
      <c r="B429" s="306"/>
      <c r="C429" s="307"/>
      <c r="D429" s="312"/>
      <c r="E429" s="301"/>
      <c r="F429" s="232"/>
      <c r="J429" s="306"/>
      <c r="K429" s="306"/>
      <c r="L429" s="313"/>
      <c r="M429" s="219"/>
      <c r="N429" s="218"/>
      <c r="S429" s="224"/>
      <c r="T429" s="228"/>
      <c r="U429" s="226"/>
      <c r="V429" s="226"/>
      <c r="W429" s="303"/>
      <c r="X429" s="220"/>
      <c r="Z429" s="227"/>
      <c r="AA429" s="220"/>
      <c r="AB429" s="221"/>
      <c r="AC429" s="229"/>
      <c r="AD429" s="230"/>
      <c r="AE429" s="230"/>
      <c r="AF429" s="230"/>
      <c r="AG429" s="227"/>
    </row>
    <row r="430" spans="1:33" x14ac:dyDescent="0.25">
      <c r="A430" s="32"/>
      <c r="B430" s="306"/>
      <c r="C430" s="307"/>
      <c r="D430" s="312"/>
      <c r="E430" s="301"/>
      <c r="F430" s="232"/>
      <c r="J430" s="306"/>
      <c r="K430" s="306"/>
      <c r="L430" s="313"/>
      <c r="M430" s="219"/>
      <c r="N430" s="218"/>
      <c r="S430" s="224"/>
      <c r="T430" s="228"/>
      <c r="U430" s="226"/>
      <c r="V430" s="226"/>
      <c r="W430" s="303"/>
      <c r="X430" s="220"/>
      <c r="Z430" s="227"/>
      <c r="AA430" s="220"/>
      <c r="AB430" s="221"/>
      <c r="AC430" s="229"/>
      <c r="AD430" s="230"/>
      <c r="AE430" s="230"/>
      <c r="AF430" s="230"/>
      <c r="AG430" s="227"/>
    </row>
    <row r="431" spans="1:33" x14ac:dyDescent="0.25">
      <c r="A431" s="32"/>
      <c r="B431" s="306"/>
      <c r="C431" s="307"/>
      <c r="D431" s="312"/>
      <c r="E431" s="301"/>
      <c r="F431" s="232"/>
      <c r="J431" s="306"/>
      <c r="K431" s="306"/>
      <c r="L431" s="313"/>
      <c r="M431" s="219"/>
      <c r="N431" s="218"/>
      <c r="S431" s="224"/>
      <c r="T431" s="228"/>
      <c r="U431" s="226"/>
      <c r="V431" s="226"/>
      <c r="W431" s="303"/>
      <c r="X431" s="220"/>
      <c r="Z431" s="227"/>
      <c r="AA431" s="220"/>
      <c r="AB431" s="221"/>
      <c r="AC431" s="229"/>
      <c r="AD431" s="230"/>
      <c r="AE431" s="230"/>
      <c r="AF431" s="230"/>
      <c r="AG431" s="227"/>
    </row>
    <row r="432" spans="1:33" x14ac:dyDescent="0.25">
      <c r="A432" s="32"/>
      <c r="B432" s="306"/>
      <c r="C432" s="307"/>
      <c r="D432" s="312"/>
      <c r="E432" s="301"/>
      <c r="F432" s="232"/>
      <c r="J432" s="306"/>
      <c r="K432" s="306"/>
      <c r="L432" s="313"/>
      <c r="M432" s="219"/>
      <c r="N432" s="218"/>
      <c r="S432" s="224"/>
      <c r="T432" s="228"/>
      <c r="U432" s="226"/>
      <c r="V432" s="226"/>
      <c r="W432" s="303"/>
      <c r="X432" s="220"/>
      <c r="Z432" s="227"/>
      <c r="AA432" s="220"/>
      <c r="AB432" s="221"/>
      <c r="AC432" s="229"/>
      <c r="AD432" s="230"/>
      <c r="AE432" s="230"/>
      <c r="AF432" s="230"/>
      <c r="AG432" s="227"/>
    </row>
    <row r="433" spans="1:33" x14ac:dyDescent="0.25">
      <c r="A433" s="32"/>
      <c r="B433" s="306"/>
      <c r="C433" s="307"/>
      <c r="D433" s="312"/>
      <c r="E433" s="301"/>
      <c r="F433" s="232"/>
      <c r="J433" s="306"/>
      <c r="K433" s="306"/>
      <c r="L433" s="313"/>
      <c r="M433" s="219"/>
      <c r="N433" s="218"/>
      <c r="S433" s="224"/>
      <c r="T433" s="228"/>
      <c r="U433" s="226"/>
      <c r="V433" s="226"/>
      <c r="W433" s="303"/>
      <c r="X433" s="220"/>
      <c r="Z433" s="227"/>
      <c r="AA433" s="220"/>
      <c r="AB433" s="221"/>
      <c r="AC433" s="229"/>
      <c r="AD433" s="230"/>
      <c r="AE433" s="230"/>
      <c r="AF433" s="230"/>
      <c r="AG433" s="227"/>
    </row>
    <row r="434" spans="1:33" x14ac:dyDescent="0.25">
      <c r="A434" s="32"/>
      <c r="B434" s="306"/>
      <c r="C434" s="307"/>
      <c r="D434" s="312"/>
      <c r="E434" s="301"/>
      <c r="F434" s="232"/>
      <c r="J434" s="306"/>
      <c r="K434" s="306"/>
      <c r="L434" s="313"/>
      <c r="M434" s="219"/>
      <c r="N434" s="218"/>
      <c r="S434" s="224"/>
      <c r="T434" s="228"/>
      <c r="U434" s="226"/>
      <c r="V434" s="226"/>
      <c r="W434" s="303"/>
      <c r="X434" s="220"/>
      <c r="Z434" s="227"/>
      <c r="AA434" s="220"/>
      <c r="AB434" s="221"/>
      <c r="AC434" s="229"/>
      <c r="AD434" s="230"/>
      <c r="AE434" s="230"/>
      <c r="AF434" s="230"/>
      <c r="AG434" s="227"/>
    </row>
    <row r="435" spans="1:33" x14ac:dyDescent="0.25">
      <c r="A435" s="32"/>
      <c r="B435" s="306"/>
      <c r="C435" s="307"/>
      <c r="D435" s="312"/>
      <c r="E435" s="301"/>
      <c r="F435" s="232"/>
      <c r="J435" s="306"/>
      <c r="K435" s="306"/>
      <c r="L435" s="313"/>
      <c r="M435" s="219"/>
      <c r="N435" s="218"/>
      <c r="S435" s="224"/>
      <c r="T435" s="228"/>
      <c r="U435" s="226"/>
      <c r="V435" s="226"/>
      <c r="W435" s="303"/>
      <c r="X435" s="220"/>
      <c r="Z435" s="227"/>
      <c r="AA435" s="220"/>
      <c r="AB435" s="221"/>
      <c r="AC435" s="229"/>
      <c r="AD435" s="230"/>
      <c r="AE435" s="230"/>
      <c r="AF435" s="230"/>
      <c r="AG435" s="227"/>
    </row>
    <row r="436" spans="1:33" x14ac:dyDescent="0.25">
      <c r="A436" s="32"/>
      <c r="B436" s="306"/>
      <c r="C436" s="307"/>
      <c r="D436" s="312"/>
      <c r="E436" s="301"/>
      <c r="F436" s="232"/>
      <c r="J436" s="306"/>
      <c r="K436" s="306"/>
      <c r="L436" s="313"/>
      <c r="M436" s="219"/>
      <c r="N436" s="218"/>
      <c r="S436" s="224"/>
      <c r="T436" s="228"/>
      <c r="U436" s="226"/>
      <c r="V436" s="226"/>
      <c r="W436" s="303"/>
      <c r="X436" s="220"/>
      <c r="Z436" s="227"/>
      <c r="AA436" s="220"/>
      <c r="AB436" s="221"/>
      <c r="AC436" s="229"/>
      <c r="AD436" s="230"/>
      <c r="AE436" s="230"/>
      <c r="AF436" s="230"/>
      <c r="AG436" s="227"/>
    </row>
    <row r="437" spans="1:33" x14ac:dyDescent="0.25">
      <c r="A437" s="32"/>
      <c r="B437" s="306"/>
      <c r="C437" s="307"/>
      <c r="D437" s="312"/>
      <c r="E437" s="301"/>
      <c r="F437" s="232"/>
      <c r="J437" s="306"/>
      <c r="K437" s="306"/>
      <c r="L437" s="313"/>
      <c r="M437" s="219"/>
      <c r="N437" s="218"/>
      <c r="S437" s="224"/>
      <c r="T437" s="228"/>
      <c r="U437" s="226"/>
      <c r="V437" s="226"/>
      <c r="W437" s="303"/>
      <c r="X437" s="220"/>
      <c r="Z437" s="227"/>
      <c r="AA437" s="220"/>
      <c r="AB437" s="221"/>
      <c r="AC437" s="229"/>
      <c r="AD437" s="230"/>
      <c r="AE437" s="230"/>
      <c r="AF437" s="230"/>
      <c r="AG437" s="227"/>
    </row>
    <row r="438" spans="1:33" x14ac:dyDescent="0.25">
      <c r="A438" s="32"/>
      <c r="B438" s="306"/>
      <c r="C438" s="307"/>
      <c r="D438" s="312"/>
      <c r="E438" s="301"/>
      <c r="F438" s="232"/>
      <c r="J438" s="306"/>
      <c r="K438" s="306"/>
      <c r="L438" s="313"/>
      <c r="M438" s="219"/>
      <c r="N438" s="218"/>
      <c r="S438" s="224"/>
      <c r="T438" s="228"/>
      <c r="U438" s="226"/>
      <c r="V438" s="226"/>
      <c r="W438" s="303"/>
      <c r="X438" s="220"/>
      <c r="Z438" s="227"/>
      <c r="AA438" s="220"/>
      <c r="AB438" s="221"/>
      <c r="AC438" s="229"/>
      <c r="AD438" s="230"/>
      <c r="AE438" s="230"/>
      <c r="AF438" s="230"/>
      <c r="AG438" s="227"/>
    </row>
    <row r="439" spans="1:33" x14ac:dyDescent="0.25">
      <c r="A439" s="32"/>
      <c r="B439" s="306"/>
      <c r="C439" s="307"/>
      <c r="D439" s="312"/>
      <c r="E439" s="301"/>
      <c r="F439" s="232"/>
      <c r="J439" s="306"/>
      <c r="K439" s="306"/>
      <c r="L439" s="313"/>
      <c r="M439" s="219"/>
      <c r="N439" s="218"/>
      <c r="S439" s="224"/>
      <c r="T439" s="228"/>
      <c r="U439" s="226"/>
      <c r="V439" s="226"/>
      <c r="W439" s="303"/>
      <c r="X439" s="220"/>
      <c r="Z439" s="227"/>
      <c r="AA439" s="220"/>
      <c r="AB439" s="221"/>
      <c r="AC439" s="229"/>
      <c r="AD439" s="230"/>
      <c r="AE439" s="230"/>
      <c r="AF439" s="230"/>
      <c r="AG439" s="227"/>
    </row>
    <row r="440" spans="1:33" x14ac:dyDescent="0.25">
      <c r="A440" s="32"/>
      <c r="B440" s="306"/>
      <c r="C440" s="307"/>
      <c r="D440" s="312"/>
      <c r="E440" s="301"/>
      <c r="F440" s="232"/>
      <c r="J440" s="306"/>
      <c r="K440" s="306"/>
      <c r="L440" s="313"/>
      <c r="M440" s="219"/>
      <c r="N440" s="218"/>
      <c r="S440" s="224"/>
      <c r="T440" s="228"/>
      <c r="U440" s="226"/>
      <c r="V440" s="226"/>
      <c r="W440" s="303"/>
      <c r="X440" s="220"/>
      <c r="Z440" s="227"/>
      <c r="AA440" s="220"/>
      <c r="AB440" s="221"/>
      <c r="AC440" s="229"/>
      <c r="AD440" s="230"/>
      <c r="AE440" s="230"/>
      <c r="AF440" s="230"/>
      <c r="AG440" s="227"/>
    </row>
    <row r="441" spans="1:33" x14ac:dyDescent="0.25">
      <c r="A441" s="32"/>
      <c r="B441" s="306"/>
      <c r="C441" s="307"/>
      <c r="D441" s="312"/>
      <c r="E441" s="301"/>
      <c r="F441" s="232"/>
      <c r="J441" s="306"/>
      <c r="K441" s="306"/>
      <c r="L441" s="313"/>
      <c r="M441" s="219"/>
      <c r="N441" s="218"/>
      <c r="S441" s="224"/>
      <c r="T441" s="228"/>
      <c r="U441" s="226"/>
      <c r="V441" s="226"/>
      <c r="W441" s="303"/>
      <c r="X441" s="220"/>
      <c r="Z441" s="227"/>
      <c r="AA441" s="220"/>
      <c r="AB441" s="221"/>
      <c r="AC441" s="229"/>
      <c r="AD441" s="230"/>
      <c r="AE441" s="230"/>
      <c r="AF441" s="230"/>
      <c r="AG441" s="227"/>
    </row>
    <row r="442" spans="1:33" x14ac:dyDescent="0.25">
      <c r="A442" s="32"/>
      <c r="B442" s="306"/>
      <c r="C442" s="307"/>
      <c r="D442" s="312"/>
      <c r="E442" s="301"/>
      <c r="F442" s="232"/>
      <c r="J442" s="306"/>
      <c r="K442" s="306"/>
      <c r="L442" s="313"/>
      <c r="M442" s="219"/>
      <c r="N442" s="218"/>
      <c r="S442" s="224"/>
      <c r="T442" s="228"/>
      <c r="U442" s="226"/>
      <c r="V442" s="226"/>
      <c r="W442" s="303"/>
      <c r="X442" s="220"/>
      <c r="Z442" s="227"/>
      <c r="AA442" s="220"/>
      <c r="AB442" s="221"/>
      <c r="AC442" s="229"/>
      <c r="AD442" s="230"/>
      <c r="AE442" s="230"/>
      <c r="AF442" s="230"/>
      <c r="AG442" s="227"/>
    </row>
    <row r="443" spans="1:33" x14ac:dyDescent="0.25">
      <c r="A443" s="32"/>
      <c r="B443" s="306"/>
      <c r="C443" s="307"/>
      <c r="D443" s="312"/>
      <c r="E443" s="301"/>
      <c r="F443" s="232"/>
      <c r="J443" s="306"/>
      <c r="K443" s="306"/>
      <c r="L443" s="313"/>
      <c r="M443" s="219"/>
      <c r="N443" s="218"/>
      <c r="S443" s="224"/>
      <c r="T443" s="228"/>
      <c r="U443" s="226"/>
      <c r="V443" s="226"/>
      <c r="W443" s="303"/>
      <c r="X443" s="220"/>
      <c r="Z443" s="227"/>
      <c r="AA443" s="220"/>
      <c r="AB443" s="221"/>
      <c r="AC443" s="229"/>
      <c r="AD443" s="230"/>
      <c r="AE443" s="230"/>
      <c r="AF443" s="230"/>
      <c r="AG443" s="227"/>
    </row>
    <row r="444" spans="1:33" x14ac:dyDescent="0.25">
      <c r="A444" s="32"/>
      <c r="B444" s="306"/>
      <c r="C444" s="307"/>
      <c r="D444" s="312"/>
      <c r="E444" s="301"/>
      <c r="F444" s="232"/>
      <c r="J444" s="306"/>
      <c r="K444" s="306"/>
      <c r="L444" s="313"/>
      <c r="M444" s="219"/>
      <c r="N444" s="218"/>
      <c r="S444" s="224"/>
      <c r="T444" s="228"/>
      <c r="U444" s="226"/>
      <c r="V444" s="226"/>
      <c r="W444" s="303"/>
      <c r="X444" s="220"/>
      <c r="Z444" s="227"/>
      <c r="AA444" s="220"/>
      <c r="AB444" s="221"/>
      <c r="AC444" s="229"/>
      <c r="AD444" s="230"/>
      <c r="AE444" s="230"/>
      <c r="AF444" s="230"/>
      <c r="AG444" s="227"/>
    </row>
    <row r="445" spans="1:33" x14ac:dyDescent="0.25">
      <c r="A445" s="32"/>
      <c r="B445" s="306"/>
      <c r="C445" s="307"/>
      <c r="D445" s="312"/>
      <c r="E445" s="301"/>
      <c r="F445" s="232"/>
      <c r="J445" s="306"/>
      <c r="K445" s="306"/>
      <c r="L445" s="313"/>
      <c r="M445" s="219"/>
      <c r="N445" s="218"/>
      <c r="S445" s="224"/>
      <c r="T445" s="228"/>
      <c r="U445" s="226"/>
      <c r="V445" s="226"/>
      <c r="W445" s="303"/>
      <c r="X445" s="220"/>
      <c r="Z445" s="227"/>
      <c r="AA445" s="220"/>
      <c r="AB445" s="221"/>
      <c r="AC445" s="229"/>
      <c r="AD445" s="230"/>
      <c r="AE445" s="230"/>
      <c r="AF445" s="230"/>
      <c r="AG445" s="227"/>
    </row>
    <row r="446" spans="1:33" x14ac:dyDescent="0.25">
      <c r="A446" s="32"/>
      <c r="B446" s="306"/>
      <c r="C446" s="307"/>
      <c r="D446" s="312"/>
      <c r="E446" s="301"/>
      <c r="F446" s="232"/>
      <c r="J446" s="306"/>
      <c r="K446" s="306"/>
      <c r="L446" s="313"/>
      <c r="M446" s="219"/>
      <c r="N446" s="218"/>
      <c r="S446" s="224"/>
      <c r="T446" s="228"/>
      <c r="U446" s="226"/>
      <c r="V446" s="226"/>
      <c r="W446" s="303"/>
      <c r="X446" s="220"/>
      <c r="Z446" s="227"/>
      <c r="AA446" s="220"/>
      <c r="AB446" s="221"/>
      <c r="AC446" s="229"/>
      <c r="AD446" s="230"/>
      <c r="AE446" s="230"/>
      <c r="AF446" s="230"/>
      <c r="AG446" s="227"/>
    </row>
    <row r="447" spans="1:33" x14ac:dyDescent="0.25">
      <c r="A447" s="32"/>
      <c r="B447" s="306"/>
      <c r="C447" s="307"/>
      <c r="D447" s="312"/>
      <c r="E447" s="301"/>
      <c r="F447" s="232"/>
      <c r="J447" s="306"/>
      <c r="K447" s="306"/>
      <c r="L447" s="313"/>
      <c r="M447" s="219"/>
      <c r="N447" s="218"/>
      <c r="S447" s="224"/>
      <c r="T447" s="228"/>
      <c r="U447" s="226"/>
      <c r="V447" s="226"/>
      <c r="W447" s="303"/>
      <c r="X447" s="220"/>
      <c r="Z447" s="227"/>
      <c r="AA447" s="220"/>
      <c r="AB447" s="221"/>
      <c r="AC447" s="229"/>
      <c r="AD447" s="230"/>
      <c r="AE447" s="230"/>
      <c r="AF447" s="230"/>
      <c r="AG447" s="227"/>
    </row>
    <row r="448" spans="1:33" x14ac:dyDescent="0.25">
      <c r="A448" s="32"/>
      <c r="B448" s="306"/>
      <c r="C448" s="307"/>
      <c r="D448" s="312"/>
      <c r="E448" s="301"/>
      <c r="F448" s="232"/>
      <c r="J448" s="306"/>
      <c r="K448" s="306"/>
      <c r="L448" s="313"/>
      <c r="M448" s="219"/>
      <c r="N448" s="218"/>
      <c r="S448" s="224"/>
      <c r="T448" s="228"/>
      <c r="U448" s="226"/>
      <c r="V448" s="226"/>
      <c r="W448" s="303"/>
      <c r="X448" s="220"/>
      <c r="Z448" s="227"/>
      <c r="AA448" s="220"/>
      <c r="AB448" s="221"/>
      <c r="AC448" s="229"/>
      <c r="AD448" s="230"/>
      <c r="AE448" s="230"/>
      <c r="AF448" s="230"/>
      <c r="AG448" s="227"/>
    </row>
    <row r="449" spans="1:33" x14ac:dyDescent="0.25">
      <c r="A449" s="32"/>
      <c r="B449" s="306"/>
      <c r="C449" s="307"/>
      <c r="D449" s="312"/>
      <c r="E449" s="301"/>
      <c r="F449" s="232"/>
      <c r="J449" s="306"/>
      <c r="K449" s="306"/>
      <c r="L449" s="313"/>
      <c r="M449" s="219"/>
      <c r="N449" s="218"/>
      <c r="S449" s="224"/>
      <c r="T449" s="228"/>
      <c r="U449" s="226"/>
      <c r="V449" s="226"/>
      <c r="W449" s="303"/>
      <c r="X449" s="220"/>
      <c r="Z449" s="227"/>
      <c r="AA449" s="220"/>
      <c r="AB449" s="221"/>
      <c r="AC449" s="229"/>
      <c r="AD449" s="230"/>
      <c r="AE449" s="230"/>
      <c r="AF449" s="230"/>
      <c r="AG449" s="227"/>
    </row>
    <row r="450" spans="1:33" x14ac:dyDescent="0.25">
      <c r="A450" s="32"/>
      <c r="B450" s="306"/>
      <c r="C450" s="307"/>
      <c r="D450" s="312"/>
      <c r="E450" s="301"/>
      <c r="F450" s="232"/>
      <c r="J450" s="306"/>
      <c r="K450" s="306"/>
      <c r="L450" s="313"/>
      <c r="M450" s="219"/>
      <c r="N450" s="218"/>
      <c r="S450" s="224"/>
      <c r="T450" s="228"/>
      <c r="U450" s="226"/>
      <c r="V450" s="226"/>
      <c r="W450" s="303"/>
      <c r="X450" s="220"/>
      <c r="Z450" s="227"/>
      <c r="AA450" s="220"/>
      <c r="AB450" s="221"/>
      <c r="AC450" s="229"/>
      <c r="AD450" s="230"/>
      <c r="AE450" s="230"/>
      <c r="AF450" s="230"/>
      <c r="AG450" s="227"/>
    </row>
    <row r="451" spans="1:33" x14ac:dyDescent="0.25">
      <c r="A451" s="32"/>
      <c r="B451" s="306"/>
      <c r="C451" s="307"/>
      <c r="D451" s="312"/>
      <c r="E451" s="301"/>
      <c r="F451" s="232"/>
      <c r="J451" s="306"/>
      <c r="K451" s="306"/>
      <c r="L451" s="313"/>
      <c r="M451" s="219"/>
      <c r="N451" s="218"/>
      <c r="S451" s="224"/>
      <c r="T451" s="228"/>
      <c r="U451" s="226"/>
      <c r="V451" s="226"/>
      <c r="W451" s="303"/>
      <c r="X451" s="220"/>
      <c r="Z451" s="227"/>
      <c r="AA451" s="220"/>
      <c r="AB451" s="221"/>
      <c r="AC451" s="229"/>
      <c r="AD451" s="230"/>
      <c r="AE451" s="230"/>
      <c r="AF451" s="230"/>
      <c r="AG451" s="227"/>
    </row>
    <row r="452" spans="1:33" x14ac:dyDescent="0.25">
      <c r="A452" s="32"/>
      <c r="B452" s="306"/>
      <c r="C452" s="307"/>
      <c r="D452" s="312"/>
      <c r="E452" s="301"/>
      <c r="F452" s="232"/>
      <c r="J452" s="306"/>
      <c r="K452" s="306"/>
      <c r="L452" s="313"/>
      <c r="M452" s="219"/>
      <c r="N452" s="218"/>
      <c r="S452" s="224"/>
      <c r="T452" s="228"/>
      <c r="U452" s="226"/>
      <c r="V452" s="226"/>
      <c r="W452" s="303"/>
      <c r="X452" s="220"/>
      <c r="Z452" s="227"/>
      <c r="AA452" s="220"/>
      <c r="AB452" s="221"/>
      <c r="AC452" s="229"/>
      <c r="AD452" s="230"/>
      <c r="AE452" s="230"/>
      <c r="AF452" s="230"/>
      <c r="AG452" s="227"/>
    </row>
    <row r="453" spans="1:33" x14ac:dyDescent="0.25">
      <c r="A453" s="32"/>
      <c r="B453" s="306"/>
      <c r="C453" s="307"/>
      <c r="D453" s="312"/>
      <c r="E453" s="301"/>
      <c r="F453" s="232"/>
      <c r="J453" s="306"/>
      <c r="K453" s="306"/>
      <c r="L453" s="313"/>
      <c r="M453" s="219"/>
      <c r="N453" s="218"/>
      <c r="S453" s="224"/>
      <c r="T453" s="228"/>
      <c r="U453" s="226"/>
      <c r="V453" s="226"/>
      <c r="W453" s="303"/>
      <c r="X453" s="220"/>
      <c r="Z453" s="227"/>
      <c r="AA453" s="220"/>
      <c r="AB453" s="221"/>
      <c r="AC453" s="229"/>
      <c r="AD453" s="230"/>
      <c r="AE453" s="230"/>
      <c r="AF453" s="230"/>
      <c r="AG453" s="227"/>
    </row>
    <row r="454" spans="1:33" x14ac:dyDescent="0.25">
      <c r="A454" s="32"/>
      <c r="B454" s="306"/>
      <c r="C454" s="307"/>
      <c r="D454" s="312"/>
      <c r="E454" s="301"/>
      <c r="F454" s="232"/>
      <c r="J454" s="306"/>
      <c r="K454" s="306"/>
      <c r="L454" s="313"/>
      <c r="M454" s="219"/>
      <c r="N454" s="218"/>
      <c r="S454" s="224"/>
      <c r="T454" s="228"/>
      <c r="U454" s="226"/>
      <c r="V454" s="226"/>
      <c r="W454" s="303"/>
      <c r="X454" s="220"/>
      <c r="Z454" s="227"/>
      <c r="AA454" s="220"/>
      <c r="AB454" s="221"/>
      <c r="AC454" s="229"/>
      <c r="AD454" s="230"/>
      <c r="AE454" s="230"/>
      <c r="AF454" s="230"/>
      <c r="AG454" s="227"/>
    </row>
    <row r="455" spans="1:33" x14ac:dyDescent="0.25">
      <c r="A455" s="32"/>
      <c r="B455" s="306"/>
      <c r="C455" s="307"/>
      <c r="D455" s="312"/>
      <c r="E455" s="301"/>
      <c r="F455" s="232"/>
      <c r="J455" s="306"/>
      <c r="K455" s="306"/>
      <c r="L455" s="313"/>
      <c r="M455" s="219"/>
      <c r="N455" s="218"/>
      <c r="S455" s="224"/>
      <c r="T455" s="228"/>
      <c r="U455" s="226"/>
      <c r="V455" s="226"/>
      <c r="W455" s="303"/>
      <c r="X455" s="220"/>
      <c r="Z455" s="227"/>
      <c r="AA455" s="220"/>
      <c r="AB455" s="221"/>
      <c r="AC455" s="229"/>
      <c r="AD455" s="230"/>
      <c r="AE455" s="230"/>
      <c r="AF455" s="230"/>
      <c r="AG455" s="227"/>
    </row>
    <row r="456" spans="1:33" x14ac:dyDescent="0.25">
      <c r="A456" s="32"/>
      <c r="B456" s="306"/>
      <c r="C456" s="307"/>
      <c r="D456" s="312"/>
      <c r="E456" s="301"/>
      <c r="F456" s="232"/>
      <c r="J456" s="306"/>
      <c r="K456" s="306"/>
      <c r="L456" s="313"/>
      <c r="M456" s="219"/>
      <c r="N456" s="218"/>
      <c r="S456" s="224"/>
      <c r="T456" s="228"/>
      <c r="U456" s="226"/>
      <c r="V456" s="226"/>
      <c r="W456" s="303"/>
      <c r="X456" s="220"/>
      <c r="Z456" s="227"/>
      <c r="AA456" s="220"/>
      <c r="AB456" s="221"/>
      <c r="AC456" s="229"/>
      <c r="AD456" s="230"/>
      <c r="AE456" s="230"/>
      <c r="AF456" s="230"/>
      <c r="AG456" s="227"/>
    </row>
    <row r="457" spans="1:33" x14ac:dyDescent="0.25">
      <c r="A457" s="32"/>
      <c r="B457" s="306"/>
      <c r="C457" s="307"/>
      <c r="D457" s="312"/>
      <c r="E457" s="301"/>
      <c r="F457" s="232"/>
      <c r="J457" s="306"/>
      <c r="K457" s="306"/>
      <c r="L457" s="313"/>
      <c r="M457" s="219"/>
      <c r="N457" s="218"/>
      <c r="S457" s="224"/>
      <c r="T457" s="228"/>
      <c r="U457" s="226"/>
      <c r="V457" s="226"/>
      <c r="W457" s="303"/>
      <c r="X457" s="220"/>
      <c r="Z457" s="227"/>
      <c r="AA457" s="220"/>
      <c r="AB457" s="221"/>
      <c r="AC457" s="229"/>
      <c r="AD457" s="230"/>
      <c r="AE457" s="230"/>
      <c r="AF457" s="230"/>
      <c r="AG457" s="227"/>
    </row>
    <row r="458" spans="1:33" x14ac:dyDescent="0.25">
      <c r="A458" s="32"/>
      <c r="B458" s="306"/>
      <c r="C458" s="307"/>
      <c r="D458" s="312"/>
      <c r="E458" s="301"/>
      <c r="F458" s="232"/>
      <c r="J458" s="306"/>
      <c r="K458" s="306"/>
      <c r="L458" s="313"/>
      <c r="M458" s="219"/>
      <c r="N458" s="218"/>
      <c r="S458" s="224"/>
      <c r="T458" s="228"/>
      <c r="U458" s="226"/>
      <c r="V458" s="226"/>
      <c r="W458" s="303"/>
      <c r="X458" s="220"/>
      <c r="Z458" s="227"/>
      <c r="AA458" s="220"/>
      <c r="AB458" s="221"/>
      <c r="AC458" s="229"/>
      <c r="AD458" s="230"/>
      <c r="AE458" s="230"/>
      <c r="AF458" s="230"/>
      <c r="AG458" s="227"/>
    </row>
    <row r="459" spans="1:33" x14ac:dyDescent="0.25">
      <c r="A459" s="32"/>
      <c r="B459" s="306"/>
      <c r="C459" s="307"/>
      <c r="D459" s="312"/>
      <c r="E459" s="301"/>
      <c r="F459" s="232"/>
      <c r="J459" s="306"/>
      <c r="K459" s="306"/>
      <c r="L459" s="313"/>
      <c r="M459" s="219"/>
      <c r="N459" s="218"/>
      <c r="S459" s="224"/>
      <c r="T459" s="228"/>
      <c r="U459" s="226"/>
      <c r="V459" s="226"/>
      <c r="W459" s="303"/>
      <c r="X459" s="220"/>
      <c r="Z459" s="227"/>
      <c r="AA459" s="220"/>
      <c r="AB459" s="221"/>
      <c r="AC459" s="229"/>
      <c r="AD459" s="230"/>
      <c r="AE459" s="230"/>
      <c r="AF459" s="230"/>
      <c r="AG459" s="227"/>
    </row>
    <row r="460" spans="1:33" x14ac:dyDescent="0.25">
      <c r="A460" s="32"/>
      <c r="B460" s="306"/>
      <c r="C460" s="307"/>
      <c r="D460" s="312"/>
      <c r="E460" s="301"/>
      <c r="F460" s="232"/>
      <c r="J460" s="306"/>
      <c r="K460" s="306"/>
      <c r="L460" s="313"/>
      <c r="M460" s="219"/>
      <c r="N460" s="218"/>
      <c r="S460" s="224"/>
      <c r="T460" s="228"/>
      <c r="U460" s="226"/>
      <c r="V460" s="226"/>
      <c r="W460" s="303"/>
      <c r="X460" s="220"/>
      <c r="Z460" s="227"/>
      <c r="AA460" s="220"/>
      <c r="AB460" s="221"/>
      <c r="AC460" s="229"/>
      <c r="AD460" s="230"/>
      <c r="AE460" s="230"/>
      <c r="AF460" s="230"/>
      <c r="AG460" s="227"/>
    </row>
    <row r="461" spans="1:33" x14ac:dyDescent="0.25">
      <c r="A461" s="32"/>
      <c r="B461" s="306"/>
      <c r="C461" s="307"/>
      <c r="D461" s="312"/>
      <c r="E461" s="301"/>
      <c r="F461" s="232"/>
      <c r="J461" s="306"/>
      <c r="K461" s="306"/>
      <c r="L461" s="313"/>
      <c r="M461" s="219"/>
      <c r="N461" s="218"/>
      <c r="S461" s="224"/>
      <c r="T461" s="228"/>
      <c r="U461" s="226"/>
      <c r="V461" s="226"/>
      <c r="W461" s="303"/>
      <c r="X461" s="220"/>
      <c r="Z461" s="227"/>
      <c r="AA461" s="220"/>
      <c r="AB461" s="221"/>
      <c r="AC461" s="229"/>
      <c r="AD461" s="230"/>
      <c r="AE461" s="230"/>
      <c r="AF461" s="230"/>
      <c r="AG461" s="227"/>
    </row>
    <row r="462" spans="1:33" x14ac:dyDescent="0.25">
      <c r="A462" s="32"/>
      <c r="B462" s="306"/>
      <c r="C462" s="307"/>
      <c r="D462" s="312"/>
      <c r="E462" s="301"/>
      <c r="F462" s="232"/>
      <c r="J462" s="306"/>
      <c r="K462" s="306"/>
      <c r="L462" s="313"/>
      <c r="M462" s="219"/>
      <c r="N462" s="218"/>
      <c r="S462" s="224"/>
      <c r="T462" s="228"/>
      <c r="U462" s="226"/>
      <c r="V462" s="226"/>
      <c r="W462" s="303"/>
      <c r="X462" s="220"/>
      <c r="Z462" s="227"/>
      <c r="AA462" s="220"/>
      <c r="AB462" s="221"/>
      <c r="AC462" s="229"/>
      <c r="AD462" s="230"/>
      <c r="AE462" s="230"/>
      <c r="AF462" s="230"/>
      <c r="AG462" s="227"/>
    </row>
    <row r="463" spans="1:33" x14ac:dyDescent="0.25">
      <c r="A463" s="32"/>
      <c r="B463" s="306"/>
      <c r="C463" s="307"/>
      <c r="D463" s="312"/>
      <c r="E463" s="301"/>
      <c r="F463" s="232"/>
      <c r="J463" s="306"/>
      <c r="K463" s="306"/>
      <c r="L463" s="313"/>
      <c r="M463" s="219"/>
      <c r="N463" s="218"/>
      <c r="S463" s="224"/>
      <c r="T463" s="228"/>
      <c r="U463" s="226"/>
      <c r="V463" s="226"/>
      <c r="W463" s="303"/>
      <c r="X463" s="220"/>
      <c r="Z463" s="227"/>
      <c r="AA463" s="220"/>
      <c r="AB463" s="221"/>
      <c r="AC463" s="229"/>
      <c r="AD463" s="230"/>
      <c r="AE463" s="230"/>
      <c r="AF463" s="230"/>
      <c r="AG463" s="227"/>
    </row>
    <row r="464" spans="1:33" x14ac:dyDescent="0.25">
      <c r="A464" s="32"/>
      <c r="B464" s="306"/>
      <c r="C464" s="307"/>
      <c r="D464" s="312"/>
      <c r="E464" s="301"/>
      <c r="F464" s="232"/>
      <c r="J464" s="306"/>
      <c r="K464" s="306"/>
      <c r="L464" s="313"/>
      <c r="M464" s="219"/>
      <c r="N464" s="218"/>
      <c r="S464" s="224"/>
      <c r="T464" s="228"/>
      <c r="U464" s="226"/>
      <c r="V464" s="226"/>
      <c r="W464" s="303"/>
      <c r="X464" s="220"/>
      <c r="Z464" s="227"/>
      <c r="AA464" s="220"/>
      <c r="AB464" s="221"/>
      <c r="AC464" s="229"/>
      <c r="AD464" s="230"/>
      <c r="AE464" s="230"/>
      <c r="AF464" s="230"/>
      <c r="AG464" s="227"/>
    </row>
    <row r="465" spans="1:33" x14ac:dyDescent="0.25">
      <c r="A465" s="32"/>
      <c r="B465" s="306"/>
      <c r="C465" s="307"/>
      <c r="D465" s="312"/>
      <c r="E465" s="301"/>
      <c r="F465" s="232"/>
      <c r="J465" s="306"/>
      <c r="K465" s="306"/>
      <c r="L465" s="313"/>
      <c r="M465" s="219"/>
      <c r="N465" s="218"/>
      <c r="S465" s="224"/>
      <c r="T465" s="228"/>
      <c r="U465" s="226"/>
      <c r="V465" s="226"/>
      <c r="W465" s="303"/>
      <c r="X465" s="220"/>
      <c r="Z465" s="227"/>
      <c r="AA465" s="220"/>
      <c r="AB465" s="221"/>
      <c r="AC465" s="229"/>
      <c r="AD465" s="230"/>
      <c r="AE465" s="230"/>
      <c r="AF465" s="230"/>
      <c r="AG465" s="227"/>
    </row>
    <row r="466" spans="1:33" x14ac:dyDescent="0.25">
      <c r="A466" s="32"/>
      <c r="B466" s="306"/>
      <c r="C466" s="307"/>
      <c r="D466" s="312"/>
      <c r="E466" s="301"/>
      <c r="F466" s="232"/>
      <c r="J466" s="306"/>
      <c r="K466" s="306"/>
      <c r="L466" s="313"/>
      <c r="M466" s="219"/>
      <c r="N466" s="218"/>
      <c r="S466" s="224"/>
      <c r="T466" s="228"/>
      <c r="U466" s="226"/>
      <c r="V466" s="226"/>
      <c r="W466" s="303"/>
      <c r="X466" s="220"/>
      <c r="Z466" s="227"/>
      <c r="AA466" s="220"/>
      <c r="AB466" s="221"/>
      <c r="AC466" s="229"/>
      <c r="AD466" s="230"/>
      <c r="AE466" s="230"/>
      <c r="AF466" s="230"/>
      <c r="AG466" s="227"/>
    </row>
    <row r="467" spans="1:33" x14ac:dyDescent="0.25">
      <c r="A467" s="32"/>
      <c r="B467" s="306"/>
      <c r="C467" s="307"/>
      <c r="D467" s="312"/>
      <c r="E467" s="301"/>
      <c r="F467" s="232"/>
      <c r="J467" s="306"/>
      <c r="K467" s="306"/>
      <c r="L467" s="313"/>
      <c r="M467" s="219"/>
      <c r="N467" s="218"/>
      <c r="S467" s="224"/>
      <c r="T467" s="228"/>
      <c r="U467" s="226"/>
      <c r="V467" s="226"/>
      <c r="W467" s="303"/>
      <c r="X467" s="220"/>
      <c r="Z467" s="227"/>
      <c r="AA467" s="220"/>
      <c r="AB467" s="221"/>
      <c r="AC467" s="229"/>
      <c r="AD467" s="230"/>
      <c r="AE467" s="230"/>
      <c r="AF467" s="230"/>
      <c r="AG467" s="227"/>
    </row>
    <row r="468" spans="1:33" x14ac:dyDescent="0.25">
      <c r="A468" s="32"/>
      <c r="B468" s="306"/>
      <c r="C468" s="307"/>
      <c r="D468" s="312"/>
      <c r="E468" s="301"/>
      <c r="F468" s="232"/>
      <c r="J468" s="306"/>
      <c r="K468" s="306"/>
      <c r="L468" s="313"/>
      <c r="M468" s="219"/>
      <c r="N468" s="218"/>
      <c r="S468" s="224"/>
      <c r="T468" s="228"/>
      <c r="U468" s="226"/>
      <c r="V468" s="226"/>
      <c r="W468" s="303"/>
      <c r="X468" s="220"/>
      <c r="Z468" s="227"/>
      <c r="AA468" s="220"/>
      <c r="AB468" s="221"/>
      <c r="AC468" s="229"/>
      <c r="AD468" s="230"/>
      <c r="AE468" s="230"/>
      <c r="AF468" s="230"/>
      <c r="AG468" s="227"/>
    </row>
    <row r="469" spans="1:33" x14ac:dyDescent="0.25">
      <c r="A469" s="32"/>
      <c r="B469" s="306"/>
      <c r="C469" s="307"/>
      <c r="D469" s="312"/>
      <c r="E469" s="301"/>
      <c r="F469" s="232"/>
      <c r="J469" s="306"/>
      <c r="K469" s="306"/>
      <c r="L469" s="313"/>
      <c r="M469" s="219"/>
      <c r="N469" s="218"/>
      <c r="S469" s="224"/>
      <c r="T469" s="228"/>
      <c r="U469" s="226"/>
      <c r="V469" s="226"/>
      <c r="W469" s="303"/>
      <c r="X469" s="220"/>
      <c r="Z469" s="227"/>
      <c r="AA469" s="220"/>
      <c r="AB469" s="221"/>
      <c r="AC469" s="229"/>
      <c r="AD469" s="230"/>
      <c r="AE469" s="230"/>
      <c r="AF469" s="230"/>
      <c r="AG469" s="227"/>
    </row>
    <row r="470" spans="1:33" x14ac:dyDescent="0.25">
      <c r="A470" s="32"/>
      <c r="B470" s="306"/>
      <c r="C470" s="307"/>
      <c r="D470" s="312"/>
      <c r="E470" s="301"/>
      <c r="F470" s="232"/>
      <c r="J470" s="306"/>
      <c r="K470" s="306"/>
      <c r="L470" s="313"/>
      <c r="M470" s="219"/>
      <c r="N470" s="218"/>
      <c r="S470" s="224"/>
      <c r="T470" s="228"/>
      <c r="U470" s="226"/>
      <c r="V470" s="226"/>
      <c r="W470" s="303"/>
      <c r="X470" s="220"/>
      <c r="Z470" s="227"/>
      <c r="AA470" s="220"/>
      <c r="AB470" s="221"/>
      <c r="AC470" s="229"/>
      <c r="AD470" s="230"/>
      <c r="AE470" s="230"/>
      <c r="AF470" s="230"/>
      <c r="AG470" s="227"/>
    </row>
    <row r="471" spans="1:33" x14ac:dyDescent="0.25">
      <c r="A471" s="32"/>
      <c r="B471" s="306"/>
      <c r="C471" s="307"/>
      <c r="D471" s="312"/>
      <c r="E471" s="301"/>
      <c r="F471" s="232"/>
      <c r="J471" s="306"/>
      <c r="K471" s="306"/>
      <c r="L471" s="313"/>
      <c r="M471" s="219"/>
      <c r="N471" s="218"/>
      <c r="S471" s="224"/>
      <c r="T471" s="228"/>
      <c r="U471" s="226"/>
      <c r="V471" s="226"/>
      <c r="W471" s="303"/>
      <c r="X471" s="220"/>
      <c r="Z471" s="227"/>
      <c r="AA471" s="220"/>
      <c r="AB471" s="221"/>
      <c r="AC471" s="229"/>
      <c r="AD471" s="230"/>
      <c r="AE471" s="230"/>
      <c r="AF471" s="230"/>
      <c r="AG471" s="227"/>
    </row>
    <row r="472" spans="1:33" x14ac:dyDescent="0.25">
      <c r="A472" s="32"/>
      <c r="B472" s="306"/>
      <c r="C472" s="307"/>
      <c r="D472" s="312"/>
      <c r="E472" s="301"/>
      <c r="F472" s="232"/>
      <c r="J472" s="306"/>
      <c r="K472" s="306"/>
      <c r="L472" s="313"/>
      <c r="M472" s="219"/>
      <c r="N472" s="218"/>
      <c r="S472" s="224"/>
      <c r="T472" s="228"/>
      <c r="U472" s="226"/>
      <c r="V472" s="226"/>
      <c r="W472" s="303"/>
      <c r="X472" s="220"/>
      <c r="Z472" s="227"/>
      <c r="AA472" s="220"/>
      <c r="AB472" s="221"/>
      <c r="AC472" s="229"/>
      <c r="AD472" s="230"/>
      <c r="AE472" s="230"/>
      <c r="AF472" s="230"/>
      <c r="AG472" s="227"/>
    </row>
    <row r="473" spans="1:33" x14ac:dyDescent="0.25">
      <c r="A473" s="32"/>
      <c r="B473" s="306"/>
      <c r="C473" s="307"/>
      <c r="D473" s="312"/>
      <c r="E473" s="301"/>
      <c r="F473" s="232"/>
      <c r="J473" s="306"/>
      <c r="K473" s="306"/>
      <c r="L473" s="313"/>
      <c r="M473" s="219"/>
      <c r="N473" s="218"/>
      <c r="S473" s="224"/>
      <c r="T473" s="228"/>
      <c r="U473" s="226"/>
      <c r="V473" s="226"/>
      <c r="W473" s="303"/>
      <c r="X473" s="220"/>
      <c r="Z473" s="227"/>
      <c r="AA473" s="220"/>
      <c r="AB473" s="221"/>
      <c r="AC473" s="229"/>
      <c r="AD473" s="230"/>
      <c r="AE473" s="230"/>
      <c r="AF473" s="230"/>
      <c r="AG473" s="227"/>
    </row>
    <row r="474" spans="1:33" x14ac:dyDescent="0.25">
      <c r="A474" s="32"/>
      <c r="B474" s="306"/>
      <c r="C474" s="307"/>
      <c r="D474" s="312"/>
      <c r="E474" s="301"/>
      <c r="F474" s="232"/>
      <c r="J474" s="306"/>
      <c r="K474" s="306"/>
      <c r="L474" s="313"/>
      <c r="M474" s="219"/>
      <c r="N474" s="218"/>
      <c r="S474" s="224"/>
      <c r="T474" s="228"/>
      <c r="U474" s="226"/>
      <c r="V474" s="226"/>
      <c r="W474" s="303"/>
      <c r="X474" s="220"/>
      <c r="Z474" s="227"/>
      <c r="AA474" s="220"/>
      <c r="AB474" s="221"/>
      <c r="AC474" s="229"/>
      <c r="AD474" s="230"/>
      <c r="AE474" s="230"/>
      <c r="AF474" s="230"/>
      <c r="AG474" s="227"/>
    </row>
    <row r="475" spans="1:33" x14ac:dyDescent="0.25">
      <c r="A475" s="32"/>
      <c r="B475" s="306"/>
      <c r="C475" s="307"/>
      <c r="D475" s="312"/>
      <c r="E475" s="301"/>
      <c r="F475" s="232"/>
      <c r="J475" s="306"/>
      <c r="K475" s="306"/>
      <c r="L475" s="313"/>
      <c r="M475" s="219"/>
      <c r="N475" s="218"/>
      <c r="S475" s="224"/>
      <c r="T475" s="228"/>
      <c r="U475" s="226"/>
      <c r="V475" s="226"/>
      <c r="W475" s="303"/>
      <c r="X475" s="220"/>
      <c r="Z475" s="227"/>
      <c r="AA475" s="220"/>
      <c r="AB475" s="221"/>
      <c r="AC475" s="229"/>
      <c r="AD475" s="230"/>
      <c r="AE475" s="230"/>
      <c r="AF475" s="230"/>
      <c r="AG475" s="227"/>
    </row>
    <row r="476" spans="1:33" x14ac:dyDescent="0.25">
      <c r="A476" s="32"/>
      <c r="B476" s="306"/>
      <c r="C476" s="307"/>
      <c r="D476" s="312"/>
      <c r="E476" s="301"/>
      <c r="F476" s="232"/>
      <c r="J476" s="306"/>
      <c r="K476" s="306"/>
      <c r="L476" s="313"/>
      <c r="M476" s="219"/>
      <c r="N476" s="218"/>
      <c r="S476" s="224"/>
      <c r="T476" s="228"/>
      <c r="U476" s="226"/>
      <c r="V476" s="226"/>
      <c r="W476" s="303"/>
      <c r="X476" s="220"/>
      <c r="Z476" s="227"/>
      <c r="AA476" s="220"/>
      <c r="AB476" s="221"/>
      <c r="AC476" s="229"/>
      <c r="AD476" s="230"/>
      <c r="AE476" s="230"/>
      <c r="AF476" s="230"/>
      <c r="AG476" s="227"/>
    </row>
    <row r="477" spans="1:33" x14ac:dyDescent="0.25">
      <c r="A477" s="32"/>
      <c r="B477" s="306"/>
      <c r="C477" s="307"/>
      <c r="D477" s="312"/>
      <c r="E477" s="301"/>
      <c r="F477" s="232"/>
      <c r="J477" s="306"/>
      <c r="K477" s="306"/>
      <c r="L477" s="313"/>
      <c r="M477" s="219"/>
      <c r="N477" s="218"/>
      <c r="S477" s="224"/>
      <c r="T477" s="228"/>
      <c r="U477" s="226"/>
      <c r="V477" s="226"/>
      <c r="W477" s="303"/>
      <c r="X477" s="220"/>
      <c r="Z477" s="227"/>
      <c r="AA477" s="220"/>
      <c r="AB477" s="221"/>
      <c r="AC477" s="229"/>
      <c r="AD477" s="230"/>
      <c r="AE477" s="230"/>
      <c r="AF477" s="230"/>
      <c r="AG477" s="227"/>
    </row>
    <row r="478" spans="1:33" x14ac:dyDescent="0.25">
      <c r="A478" s="32"/>
      <c r="B478" s="306"/>
      <c r="C478" s="307"/>
      <c r="D478" s="312"/>
      <c r="E478" s="301"/>
      <c r="F478" s="232"/>
      <c r="J478" s="306"/>
      <c r="K478" s="306"/>
      <c r="L478" s="313"/>
      <c r="M478" s="219"/>
      <c r="N478" s="218"/>
      <c r="S478" s="224"/>
      <c r="T478" s="228"/>
      <c r="U478" s="226"/>
      <c r="V478" s="226"/>
      <c r="W478" s="303"/>
      <c r="X478" s="220"/>
      <c r="Z478" s="227"/>
      <c r="AA478" s="220"/>
      <c r="AB478" s="221"/>
      <c r="AC478" s="229"/>
      <c r="AD478" s="230"/>
      <c r="AE478" s="230"/>
      <c r="AF478" s="230"/>
      <c r="AG478" s="227"/>
    </row>
    <row r="479" spans="1:33" x14ac:dyDescent="0.25">
      <c r="A479" s="32"/>
      <c r="B479" s="306"/>
      <c r="C479" s="307"/>
      <c r="D479" s="312"/>
      <c r="E479" s="301"/>
      <c r="F479" s="232"/>
      <c r="J479" s="306"/>
      <c r="K479" s="306"/>
      <c r="L479" s="313"/>
      <c r="M479" s="219"/>
      <c r="N479" s="218"/>
      <c r="S479" s="224"/>
      <c r="T479" s="228"/>
      <c r="U479" s="226"/>
      <c r="V479" s="226"/>
      <c r="W479" s="303"/>
      <c r="X479" s="220"/>
      <c r="Z479" s="227"/>
      <c r="AA479" s="220"/>
      <c r="AB479" s="221"/>
      <c r="AC479" s="229"/>
      <c r="AD479" s="230"/>
      <c r="AE479" s="230"/>
      <c r="AF479" s="230"/>
      <c r="AG479" s="227"/>
    </row>
    <row r="480" spans="1:33" x14ac:dyDescent="0.25">
      <c r="A480" s="32"/>
      <c r="B480" s="306"/>
      <c r="C480" s="307"/>
      <c r="D480" s="312"/>
      <c r="E480" s="301"/>
      <c r="F480" s="232"/>
      <c r="J480" s="306"/>
      <c r="K480" s="306"/>
      <c r="L480" s="313"/>
      <c r="M480" s="219"/>
      <c r="N480" s="218"/>
      <c r="S480" s="224"/>
      <c r="T480" s="228"/>
      <c r="U480" s="226"/>
      <c r="V480" s="226"/>
      <c r="W480" s="303"/>
      <c r="X480" s="220"/>
      <c r="Z480" s="227"/>
      <c r="AA480" s="220"/>
      <c r="AB480" s="221"/>
      <c r="AC480" s="229"/>
      <c r="AD480" s="230"/>
      <c r="AE480" s="230"/>
      <c r="AF480" s="230"/>
      <c r="AG480" s="227"/>
    </row>
    <row r="481" spans="1:33" x14ac:dyDescent="0.25">
      <c r="A481" s="32"/>
      <c r="B481" s="306"/>
      <c r="C481" s="307"/>
      <c r="D481" s="312"/>
      <c r="E481" s="301"/>
      <c r="F481" s="232"/>
      <c r="J481" s="306"/>
      <c r="K481" s="306"/>
      <c r="L481" s="313"/>
      <c r="M481" s="219"/>
      <c r="N481" s="218"/>
      <c r="S481" s="224"/>
      <c r="T481" s="228"/>
      <c r="U481" s="226"/>
      <c r="V481" s="226"/>
      <c r="W481" s="303"/>
      <c r="X481" s="220"/>
      <c r="Z481" s="227"/>
      <c r="AA481" s="220"/>
      <c r="AB481" s="221"/>
      <c r="AC481" s="229"/>
      <c r="AD481" s="230"/>
      <c r="AE481" s="230"/>
      <c r="AF481" s="230"/>
      <c r="AG481" s="227"/>
    </row>
    <row r="482" spans="1:33" x14ac:dyDescent="0.25">
      <c r="A482" s="32"/>
      <c r="B482" s="306"/>
      <c r="C482" s="307"/>
      <c r="D482" s="312"/>
      <c r="E482" s="301"/>
      <c r="F482" s="232"/>
      <c r="J482" s="306"/>
      <c r="K482" s="306"/>
      <c r="L482" s="313"/>
      <c r="M482" s="219"/>
      <c r="N482" s="218"/>
      <c r="S482" s="224"/>
      <c r="T482" s="228"/>
      <c r="U482" s="226"/>
      <c r="V482" s="226"/>
      <c r="W482" s="303"/>
      <c r="X482" s="220"/>
      <c r="Z482" s="227"/>
      <c r="AA482" s="220"/>
      <c r="AB482" s="221"/>
      <c r="AC482" s="229"/>
      <c r="AD482" s="230"/>
      <c r="AE482" s="230"/>
      <c r="AF482" s="230"/>
      <c r="AG482" s="227"/>
    </row>
    <row r="483" spans="1:33" x14ac:dyDescent="0.25">
      <c r="A483" s="32"/>
      <c r="B483" s="306"/>
      <c r="C483" s="307"/>
      <c r="D483" s="312"/>
      <c r="E483" s="301"/>
      <c r="F483" s="232"/>
      <c r="J483" s="306"/>
      <c r="K483" s="306"/>
      <c r="L483" s="313"/>
      <c r="M483" s="219"/>
      <c r="N483" s="218"/>
      <c r="S483" s="224"/>
      <c r="T483" s="228"/>
      <c r="U483" s="226"/>
      <c r="V483" s="226"/>
      <c r="W483" s="303"/>
      <c r="X483" s="220"/>
      <c r="Z483" s="227"/>
      <c r="AA483" s="220"/>
      <c r="AB483" s="221"/>
      <c r="AC483" s="229"/>
      <c r="AD483" s="230"/>
      <c r="AE483" s="230"/>
      <c r="AF483" s="230"/>
      <c r="AG483" s="227"/>
    </row>
    <row r="484" spans="1:33" x14ac:dyDescent="0.25">
      <c r="A484" s="32"/>
      <c r="B484" s="306"/>
      <c r="C484" s="307"/>
      <c r="D484" s="312"/>
      <c r="E484" s="301"/>
      <c r="F484" s="232"/>
      <c r="J484" s="306"/>
      <c r="K484" s="306"/>
      <c r="L484" s="313"/>
      <c r="M484" s="219"/>
      <c r="N484" s="218"/>
      <c r="S484" s="224"/>
      <c r="T484" s="228"/>
      <c r="U484" s="226"/>
      <c r="V484" s="226"/>
      <c r="W484" s="303"/>
      <c r="X484" s="220"/>
      <c r="Z484" s="227"/>
      <c r="AA484" s="220"/>
      <c r="AB484" s="221"/>
      <c r="AC484" s="229"/>
      <c r="AD484" s="230"/>
      <c r="AE484" s="230"/>
      <c r="AF484" s="230"/>
      <c r="AG484" s="227"/>
    </row>
    <row r="485" spans="1:33" x14ac:dyDescent="0.25">
      <c r="A485" s="32"/>
      <c r="B485" s="306"/>
      <c r="C485" s="307"/>
      <c r="D485" s="312"/>
      <c r="E485" s="301"/>
      <c r="F485" s="232"/>
      <c r="J485" s="306"/>
      <c r="K485" s="306"/>
      <c r="L485" s="313"/>
      <c r="M485" s="219"/>
      <c r="N485" s="218"/>
      <c r="S485" s="224"/>
      <c r="T485" s="228"/>
      <c r="U485" s="226"/>
      <c r="V485" s="226"/>
      <c r="W485" s="303"/>
      <c r="X485" s="220"/>
      <c r="Z485" s="227"/>
      <c r="AA485" s="220"/>
      <c r="AB485" s="221"/>
      <c r="AC485" s="229"/>
      <c r="AD485" s="230"/>
      <c r="AE485" s="230"/>
      <c r="AF485" s="230"/>
      <c r="AG485" s="227"/>
    </row>
    <row r="486" spans="1:33" x14ac:dyDescent="0.25">
      <c r="A486" s="32"/>
      <c r="B486" s="306"/>
      <c r="C486" s="307"/>
      <c r="D486" s="312"/>
      <c r="E486" s="301"/>
      <c r="F486" s="232"/>
      <c r="J486" s="306"/>
      <c r="K486" s="306"/>
      <c r="L486" s="313"/>
      <c r="M486" s="219"/>
      <c r="N486" s="218"/>
      <c r="S486" s="224"/>
      <c r="T486" s="228"/>
      <c r="U486" s="226"/>
      <c r="V486" s="226"/>
      <c r="W486" s="303"/>
      <c r="X486" s="220"/>
      <c r="Z486" s="227"/>
      <c r="AA486" s="220"/>
      <c r="AB486" s="221"/>
      <c r="AC486" s="229"/>
      <c r="AD486" s="230"/>
      <c r="AE486" s="230"/>
      <c r="AF486" s="230"/>
      <c r="AG486" s="227"/>
    </row>
    <row r="487" spans="1:33" x14ac:dyDescent="0.25">
      <c r="A487" s="32"/>
      <c r="B487" s="306"/>
      <c r="C487" s="307"/>
      <c r="D487" s="312"/>
      <c r="E487" s="301"/>
      <c r="F487" s="232"/>
      <c r="J487" s="306"/>
      <c r="K487" s="306"/>
      <c r="L487" s="313"/>
      <c r="M487" s="219"/>
      <c r="N487" s="218"/>
      <c r="S487" s="224"/>
      <c r="T487" s="228"/>
      <c r="U487" s="226"/>
      <c r="V487" s="226"/>
      <c r="W487" s="303"/>
      <c r="X487" s="220"/>
      <c r="Z487" s="227"/>
      <c r="AA487" s="220"/>
      <c r="AB487" s="221"/>
      <c r="AC487" s="229"/>
      <c r="AD487" s="230"/>
      <c r="AE487" s="230"/>
      <c r="AF487" s="230"/>
      <c r="AG487" s="227"/>
    </row>
    <row r="488" spans="1:33" x14ac:dyDescent="0.25">
      <c r="A488" s="32"/>
      <c r="B488" s="306"/>
      <c r="C488" s="307"/>
      <c r="D488" s="312"/>
      <c r="E488" s="301"/>
      <c r="F488" s="232"/>
      <c r="J488" s="306"/>
      <c r="K488" s="306"/>
      <c r="L488" s="313"/>
      <c r="M488" s="219"/>
      <c r="N488" s="218"/>
      <c r="S488" s="224"/>
      <c r="T488" s="228"/>
      <c r="U488" s="226"/>
      <c r="V488" s="226"/>
      <c r="W488" s="303"/>
      <c r="X488" s="220"/>
      <c r="Z488" s="227"/>
      <c r="AA488" s="220"/>
      <c r="AB488" s="221"/>
      <c r="AC488" s="229"/>
      <c r="AD488" s="230"/>
      <c r="AE488" s="230"/>
      <c r="AF488" s="230"/>
      <c r="AG488" s="227"/>
    </row>
    <row r="489" spans="1:33" x14ac:dyDescent="0.25">
      <c r="A489" s="32"/>
      <c r="B489" s="306"/>
      <c r="C489" s="307"/>
      <c r="D489" s="312"/>
      <c r="E489" s="301"/>
      <c r="F489" s="232"/>
      <c r="J489" s="306"/>
      <c r="K489" s="306"/>
      <c r="L489" s="313"/>
      <c r="M489" s="219"/>
      <c r="N489" s="218"/>
      <c r="S489" s="224"/>
      <c r="T489" s="228"/>
      <c r="U489" s="226"/>
      <c r="V489" s="226"/>
      <c r="W489" s="303"/>
      <c r="X489" s="220"/>
      <c r="Z489" s="227"/>
      <c r="AA489" s="220"/>
      <c r="AB489" s="221"/>
      <c r="AC489" s="229"/>
      <c r="AD489" s="230"/>
      <c r="AE489" s="230"/>
      <c r="AF489" s="230"/>
      <c r="AG489" s="227"/>
    </row>
    <row r="490" spans="1:33" x14ac:dyDescent="0.25">
      <c r="A490" s="32"/>
      <c r="B490" s="306"/>
      <c r="C490" s="307"/>
      <c r="D490" s="312"/>
      <c r="E490" s="301"/>
      <c r="F490" s="232"/>
      <c r="J490" s="306"/>
      <c r="K490" s="306"/>
      <c r="L490" s="313"/>
      <c r="M490" s="219"/>
      <c r="N490" s="218"/>
      <c r="S490" s="224"/>
      <c r="T490" s="228"/>
      <c r="U490" s="226"/>
      <c r="V490" s="226"/>
      <c r="W490" s="303"/>
      <c r="X490" s="220"/>
      <c r="Z490" s="227"/>
      <c r="AA490" s="220"/>
      <c r="AB490" s="221"/>
      <c r="AC490" s="229"/>
      <c r="AD490" s="230"/>
      <c r="AE490" s="230"/>
      <c r="AF490" s="230"/>
      <c r="AG490" s="227"/>
    </row>
    <row r="491" spans="1:33" x14ac:dyDescent="0.25">
      <c r="A491" s="32"/>
      <c r="B491" s="306"/>
      <c r="C491" s="307"/>
      <c r="D491" s="312"/>
      <c r="E491" s="301"/>
      <c r="F491" s="232"/>
      <c r="J491" s="306"/>
      <c r="K491" s="306"/>
      <c r="L491" s="313"/>
      <c r="M491" s="219"/>
      <c r="N491" s="218"/>
      <c r="S491" s="224"/>
      <c r="T491" s="228"/>
      <c r="U491" s="226"/>
      <c r="V491" s="226"/>
      <c r="W491" s="303"/>
      <c r="X491" s="220"/>
      <c r="Z491" s="227"/>
      <c r="AA491" s="220"/>
      <c r="AB491" s="221"/>
      <c r="AC491" s="229"/>
      <c r="AD491" s="230"/>
      <c r="AE491" s="230"/>
      <c r="AF491" s="230"/>
      <c r="AG491" s="227"/>
    </row>
    <row r="492" spans="1:33" x14ac:dyDescent="0.25">
      <c r="A492" s="32"/>
      <c r="B492" s="306"/>
      <c r="C492" s="307"/>
      <c r="D492" s="312"/>
      <c r="E492" s="301"/>
      <c r="F492" s="232"/>
      <c r="J492" s="306"/>
      <c r="K492" s="306"/>
      <c r="L492" s="313"/>
      <c r="M492" s="219"/>
      <c r="N492" s="218"/>
      <c r="S492" s="224"/>
      <c r="T492" s="228"/>
      <c r="U492" s="226"/>
      <c r="V492" s="226"/>
      <c r="W492" s="303"/>
      <c r="X492" s="220"/>
      <c r="Z492" s="227"/>
      <c r="AA492" s="220"/>
      <c r="AB492" s="221"/>
      <c r="AC492" s="229"/>
      <c r="AD492" s="230"/>
      <c r="AE492" s="230"/>
      <c r="AF492" s="230"/>
      <c r="AG492" s="227"/>
    </row>
    <row r="493" spans="1:33" x14ac:dyDescent="0.25">
      <c r="A493" s="32"/>
      <c r="B493" s="306"/>
      <c r="C493" s="307"/>
      <c r="D493" s="312"/>
      <c r="E493" s="301"/>
      <c r="F493" s="232"/>
      <c r="J493" s="306"/>
      <c r="K493" s="306"/>
      <c r="L493" s="313"/>
      <c r="M493" s="219"/>
      <c r="N493" s="218"/>
      <c r="S493" s="224"/>
      <c r="T493" s="228"/>
      <c r="U493" s="226"/>
      <c r="V493" s="226"/>
      <c r="W493" s="303"/>
      <c r="X493" s="220"/>
      <c r="Z493" s="227"/>
      <c r="AA493" s="220"/>
      <c r="AB493" s="221"/>
      <c r="AC493" s="229"/>
      <c r="AD493" s="230"/>
      <c r="AE493" s="230"/>
      <c r="AF493" s="230"/>
      <c r="AG493" s="227"/>
    </row>
    <row r="494" spans="1:33" x14ac:dyDescent="0.25">
      <c r="A494" s="32"/>
      <c r="B494" s="306"/>
      <c r="C494" s="307"/>
      <c r="D494" s="312"/>
      <c r="E494" s="301"/>
      <c r="F494" s="232"/>
      <c r="J494" s="306"/>
      <c r="K494" s="306"/>
      <c r="L494" s="313"/>
      <c r="M494" s="219"/>
      <c r="N494" s="218"/>
      <c r="S494" s="224"/>
      <c r="T494" s="228"/>
      <c r="U494" s="226"/>
      <c r="V494" s="226"/>
      <c r="W494" s="303"/>
      <c r="X494" s="220"/>
      <c r="Z494" s="227"/>
      <c r="AA494" s="220"/>
      <c r="AB494" s="221"/>
      <c r="AC494" s="229"/>
      <c r="AD494" s="230"/>
      <c r="AE494" s="230"/>
      <c r="AF494" s="230"/>
      <c r="AG494" s="227"/>
    </row>
    <row r="495" spans="1:33" x14ac:dyDescent="0.25">
      <c r="A495" s="32"/>
      <c r="B495" s="306"/>
      <c r="C495" s="307"/>
      <c r="D495" s="312"/>
      <c r="E495" s="301"/>
      <c r="F495" s="232"/>
      <c r="J495" s="306"/>
      <c r="K495" s="306"/>
      <c r="L495" s="313"/>
      <c r="M495" s="219"/>
      <c r="N495" s="218"/>
      <c r="S495" s="224"/>
      <c r="T495" s="228"/>
      <c r="U495" s="226"/>
      <c r="V495" s="226"/>
      <c r="W495" s="303"/>
      <c r="X495" s="220"/>
      <c r="Z495" s="227"/>
      <c r="AA495" s="220"/>
      <c r="AB495" s="221"/>
      <c r="AC495" s="229"/>
      <c r="AD495" s="230"/>
      <c r="AE495" s="230"/>
      <c r="AF495" s="230"/>
      <c r="AG495" s="227"/>
    </row>
    <row r="496" spans="1:33" x14ac:dyDescent="0.25">
      <c r="A496" s="32"/>
      <c r="B496" s="306"/>
      <c r="C496" s="307"/>
      <c r="D496" s="312"/>
      <c r="E496" s="301"/>
      <c r="F496" s="232"/>
      <c r="J496" s="306"/>
      <c r="K496" s="306"/>
      <c r="L496" s="313"/>
      <c r="M496" s="219"/>
      <c r="N496" s="218"/>
      <c r="S496" s="224"/>
      <c r="T496" s="228"/>
      <c r="U496" s="226"/>
      <c r="V496" s="226"/>
      <c r="W496" s="303"/>
      <c r="X496" s="220"/>
      <c r="Z496" s="227"/>
      <c r="AA496" s="220"/>
      <c r="AB496" s="221"/>
      <c r="AC496" s="229"/>
      <c r="AD496" s="230"/>
      <c r="AE496" s="230"/>
      <c r="AF496" s="230"/>
      <c r="AG496" s="227"/>
    </row>
    <row r="497" spans="1:33" x14ac:dyDescent="0.25">
      <c r="A497" s="32"/>
      <c r="B497" s="306"/>
      <c r="C497" s="307"/>
      <c r="D497" s="312"/>
      <c r="E497" s="301"/>
      <c r="F497" s="232"/>
      <c r="J497" s="306"/>
      <c r="K497" s="306"/>
      <c r="L497" s="313"/>
      <c r="M497" s="219"/>
      <c r="N497" s="218"/>
      <c r="S497" s="224"/>
      <c r="T497" s="228"/>
      <c r="U497" s="226"/>
      <c r="V497" s="226"/>
      <c r="W497" s="303"/>
      <c r="X497" s="220"/>
      <c r="Z497" s="227"/>
      <c r="AA497" s="220"/>
      <c r="AB497" s="221"/>
      <c r="AC497" s="229"/>
      <c r="AD497" s="230"/>
      <c r="AE497" s="230"/>
      <c r="AF497" s="230"/>
      <c r="AG497" s="227"/>
    </row>
    <row r="498" spans="1:33" x14ac:dyDescent="0.25">
      <c r="A498" s="32"/>
      <c r="B498" s="306"/>
      <c r="C498" s="307"/>
      <c r="D498" s="312"/>
      <c r="E498" s="301"/>
      <c r="F498" s="232"/>
      <c r="J498" s="306"/>
      <c r="K498" s="306"/>
      <c r="L498" s="313"/>
      <c r="M498" s="219"/>
      <c r="N498" s="218"/>
      <c r="S498" s="224"/>
      <c r="T498" s="228"/>
      <c r="U498" s="226"/>
      <c r="V498" s="226"/>
      <c r="W498" s="303"/>
      <c r="X498" s="220"/>
      <c r="Z498" s="227"/>
      <c r="AA498" s="220"/>
      <c r="AB498" s="221"/>
      <c r="AC498" s="229"/>
      <c r="AD498" s="230"/>
      <c r="AE498" s="230"/>
      <c r="AF498" s="230"/>
      <c r="AG498" s="227"/>
    </row>
    <row r="499" spans="1:33" x14ac:dyDescent="0.25">
      <c r="A499" s="32"/>
      <c r="B499" s="306"/>
      <c r="C499" s="307"/>
      <c r="D499" s="312"/>
      <c r="E499" s="301"/>
      <c r="F499" s="232"/>
      <c r="J499" s="306"/>
      <c r="K499" s="306"/>
      <c r="L499" s="313"/>
      <c r="M499" s="219"/>
      <c r="N499" s="218"/>
      <c r="S499" s="224"/>
      <c r="T499" s="228"/>
      <c r="U499" s="226"/>
      <c r="V499" s="226"/>
      <c r="W499" s="303"/>
      <c r="X499" s="220"/>
      <c r="Z499" s="227"/>
      <c r="AA499" s="220"/>
      <c r="AB499" s="221"/>
      <c r="AC499" s="229"/>
      <c r="AD499" s="230"/>
      <c r="AE499" s="230"/>
      <c r="AF499" s="230"/>
      <c r="AG499" s="227"/>
    </row>
    <row r="500" spans="1:33" x14ac:dyDescent="0.25">
      <c r="A500" s="32"/>
      <c r="B500" s="306"/>
      <c r="C500" s="307"/>
      <c r="D500" s="312"/>
      <c r="E500" s="301"/>
      <c r="F500" s="232"/>
      <c r="J500" s="306"/>
      <c r="K500" s="306"/>
      <c r="L500" s="313"/>
      <c r="M500" s="219"/>
      <c r="N500" s="218"/>
      <c r="S500" s="224"/>
      <c r="T500" s="228"/>
      <c r="U500" s="226"/>
      <c r="V500" s="226"/>
      <c r="W500" s="303"/>
      <c r="X500" s="220"/>
      <c r="Z500" s="227"/>
      <c r="AA500" s="220"/>
      <c r="AB500" s="221"/>
      <c r="AC500" s="229"/>
      <c r="AD500" s="230"/>
      <c r="AE500" s="230"/>
      <c r="AF500" s="230"/>
      <c r="AG500" s="227"/>
    </row>
    <row r="501" spans="1:33" x14ac:dyDescent="0.25">
      <c r="A501" s="32"/>
      <c r="B501" s="306"/>
      <c r="C501" s="307"/>
      <c r="D501" s="312"/>
      <c r="E501" s="301"/>
      <c r="F501" s="232"/>
      <c r="J501" s="306"/>
      <c r="K501" s="306"/>
      <c r="L501" s="313"/>
      <c r="M501" s="219"/>
      <c r="N501" s="218"/>
      <c r="S501" s="224"/>
      <c r="T501" s="228"/>
      <c r="U501" s="226"/>
      <c r="V501" s="226"/>
      <c r="W501" s="303"/>
      <c r="X501" s="220"/>
      <c r="Z501" s="227"/>
      <c r="AA501" s="220"/>
      <c r="AB501" s="221"/>
      <c r="AC501" s="229"/>
      <c r="AD501" s="230"/>
      <c r="AE501" s="230"/>
      <c r="AF501" s="230"/>
      <c r="AG501" s="227"/>
    </row>
    <row r="502" spans="1:33" x14ac:dyDescent="0.25">
      <c r="A502" s="32"/>
      <c r="B502" s="306"/>
      <c r="C502" s="307"/>
      <c r="D502" s="312"/>
      <c r="E502" s="301"/>
      <c r="F502" s="232"/>
      <c r="J502" s="306"/>
      <c r="K502" s="306"/>
      <c r="L502" s="313"/>
      <c r="M502" s="219"/>
      <c r="N502" s="218"/>
      <c r="S502" s="224"/>
      <c r="T502" s="228"/>
      <c r="U502" s="226"/>
      <c r="V502" s="226"/>
      <c r="W502" s="303"/>
      <c r="X502" s="220"/>
      <c r="Z502" s="227"/>
      <c r="AA502" s="220"/>
      <c r="AB502" s="221"/>
      <c r="AC502" s="229"/>
      <c r="AD502" s="230"/>
      <c r="AE502" s="230"/>
      <c r="AF502" s="230"/>
      <c r="AG502" s="227"/>
    </row>
    <row r="503" spans="1:33" x14ac:dyDescent="0.25">
      <c r="A503" s="32"/>
      <c r="B503" s="306"/>
      <c r="C503" s="307"/>
      <c r="D503" s="312"/>
      <c r="E503" s="301"/>
      <c r="F503" s="232"/>
      <c r="J503" s="306"/>
      <c r="K503" s="306"/>
      <c r="L503" s="313"/>
      <c r="M503" s="219"/>
      <c r="N503" s="218"/>
      <c r="S503" s="224"/>
      <c r="T503" s="228"/>
      <c r="U503" s="226"/>
      <c r="V503" s="226"/>
      <c r="W503" s="303"/>
      <c r="X503" s="220"/>
      <c r="Z503" s="227"/>
      <c r="AA503" s="220"/>
      <c r="AB503" s="221"/>
      <c r="AC503" s="229"/>
      <c r="AD503" s="230"/>
      <c r="AE503" s="230"/>
      <c r="AF503" s="230"/>
      <c r="AG503" s="227"/>
    </row>
    <row r="504" spans="1:33" x14ac:dyDescent="0.25">
      <c r="A504" s="32"/>
      <c r="B504" s="306"/>
      <c r="C504" s="307"/>
      <c r="D504" s="312"/>
      <c r="E504" s="301"/>
      <c r="F504" s="232"/>
      <c r="J504" s="306"/>
      <c r="K504" s="306"/>
      <c r="L504" s="313"/>
      <c r="M504" s="219"/>
      <c r="N504" s="218"/>
      <c r="S504" s="224"/>
      <c r="T504" s="228"/>
      <c r="U504" s="226"/>
      <c r="V504" s="226"/>
      <c r="W504" s="303"/>
      <c r="X504" s="220"/>
      <c r="Z504" s="227"/>
      <c r="AA504" s="220"/>
      <c r="AB504" s="221"/>
      <c r="AC504" s="229"/>
      <c r="AD504" s="230"/>
      <c r="AE504" s="230"/>
      <c r="AF504" s="230"/>
      <c r="AG504" s="227"/>
    </row>
    <row r="505" spans="1:33" x14ac:dyDescent="0.25">
      <c r="A505" s="32"/>
      <c r="B505" s="306"/>
      <c r="C505" s="307"/>
      <c r="D505" s="312"/>
      <c r="E505" s="301"/>
      <c r="F505" s="232"/>
      <c r="J505" s="306"/>
      <c r="K505" s="306"/>
      <c r="L505" s="313"/>
      <c r="M505" s="219"/>
      <c r="N505" s="218"/>
      <c r="S505" s="224"/>
      <c r="T505" s="228"/>
      <c r="U505" s="226"/>
      <c r="V505" s="226"/>
      <c r="W505" s="303"/>
      <c r="X505" s="220"/>
      <c r="Z505" s="227"/>
      <c r="AA505" s="220"/>
      <c r="AB505" s="221"/>
      <c r="AC505" s="229"/>
      <c r="AD505" s="230"/>
      <c r="AE505" s="230"/>
      <c r="AF505" s="230"/>
      <c r="AG505" s="227"/>
    </row>
    <row r="506" spans="1:33" x14ac:dyDescent="0.25">
      <c r="A506" s="32"/>
      <c r="B506" s="306"/>
      <c r="C506" s="307"/>
      <c r="D506" s="312"/>
      <c r="E506" s="301"/>
      <c r="F506" s="232"/>
      <c r="J506" s="306"/>
      <c r="K506" s="306"/>
      <c r="L506" s="313"/>
      <c r="M506" s="219"/>
      <c r="N506" s="218"/>
      <c r="S506" s="224"/>
      <c r="T506" s="228"/>
      <c r="U506" s="226"/>
      <c r="V506" s="226"/>
      <c r="W506" s="303"/>
      <c r="X506" s="220"/>
      <c r="Z506" s="227"/>
      <c r="AA506" s="220"/>
      <c r="AB506" s="221"/>
      <c r="AC506" s="229"/>
      <c r="AD506" s="230"/>
      <c r="AE506" s="230"/>
      <c r="AF506" s="230"/>
      <c r="AG506" s="227"/>
    </row>
    <row r="507" spans="1:33" x14ac:dyDescent="0.25">
      <c r="A507" s="32"/>
      <c r="B507" s="306"/>
      <c r="C507" s="307"/>
      <c r="D507" s="312"/>
      <c r="E507" s="301"/>
      <c r="F507" s="232"/>
      <c r="J507" s="306"/>
      <c r="K507" s="306"/>
      <c r="L507" s="313"/>
      <c r="M507" s="219"/>
      <c r="N507" s="218"/>
      <c r="S507" s="224"/>
      <c r="T507" s="228"/>
      <c r="U507" s="226"/>
      <c r="V507" s="226"/>
      <c r="W507" s="303"/>
      <c r="X507" s="220"/>
      <c r="Z507" s="227"/>
      <c r="AA507" s="220"/>
      <c r="AB507" s="221"/>
      <c r="AC507" s="229"/>
      <c r="AD507" s="230"/>
      <c r="AE507" s="230"/>
      <c r="AF507" s="230"/>
      <c r="AG507" s="227"/>
    </row>
    <row r="508" spans="1:33" x14ac:dyDescent="0.25">
      <c r="A508" s="32"/>
      <c r="B508" s="306"/>
      <c r="C508" s="307"/>
      <c r="D508" s="312"/>
      <c r="E508" s="301"/>
      <c r="F508" s="232"/>
      <c r="J508" s="306"/>
      <c r="K508" s="306"/>
      <c r="L508" s="313"/>
      <c r="M508" s="219"/>
      <c r="N508" s="218"/>
      <c r="S508" s="224"/>
      <c r="T508" s="228"/>
      <c r="U508" s="226"/>
      <c r="V508" s="226"/>
      <c r="W508" s="303"/>
      <c r="X508" s="220"/>
      <c r="Z508" s="227"/>
      <c r="AA508" s="220"/>
      <c r="AB508" s="221"/>
      <c r="AC508" s="229"/>
      <c r="AD508" s="230"/>
      <c r="AE508" s="230"/>
      <c r="AF508" s="230"/>
      <c r="AG508" s="227"/>
    </row>
    <row r="509" spans="1:33" x14ac:dyDescent="0.25">
      <c r="A509" s="32"/>
      <c r="B509" s="306"/>
      <c r="C509" s="307"/>
      <c r="D509" s="312"/>
      <c r="E509" s="301"/>
      <c r="F509" s="232"/>
      <c r="J509" s="306"/>
      <c r="K509" s="306"/>
      <c r="L509" s="313"/>
      <c r="M509" s="219"/>
      <c r="N509" s="218"/>
      <c r="S509" s="224"/>
      <c r="T509" s="228"/>
      <c r="U509" s="226"/>
      <c r="V509" s="226"/>
      <c r="W509" s="303"/>
      <c r="X509" s="220"/>
      <c r="Z509" s="227"/>
      <c r="AA509" s="220"/>
      <c r="AB509" s="221"/>
      <c r="AC509" s="229"/>
      <c r="AD509" s="230"/>
      <c r="AE509" s="230"/>
      <c r="AF509" s="230"/>
      <c r="AG509" s="227"/>
    </row>
    <row r="510" spans="1:33" x14ac:dyDescent="0.25">
      <c r="A510" s="32"/>
      <c r="B510" s="306"/>
      <c r="C510" s="307"/>
      <c r="D510" s="312"/>
      <c r="E510" s="301"/>
      <c r="F510" s="232"/>
      <c r="J510" s="306"/>
      <c r="K510" s="306"/>
      <c r="L510" s="313"/>
      <c r="M510" s="219"/>
      <c r="N510" s="218"/>
      <c r="S510" s="224"/>
      <c r="T510" s="228"/>
      <c r="U510" s="226"/>
      <c r="V510" s="226"/>
      <c r="W510" s="303"/>
      <c r="X510" s="220"/>
      <c r="Z510" s="227"/>
      <c r="AA510" s="220"/>
      <c r="AB510" s="221"/>
      <c r="AC510" s="229"/>
      <c r="AD510" s="230"/>
      <c r="AE510" s="230"/>
      <c r="AF510" s="230"/>
      <c r="AG510" s="227"/>
    </row>
    <row r="511" spans="1:33" x14ac:dyDescent="0.25">
      <c r="A511" s="32"/>
      <c r="B511" s="306"/>
      <c r="C511" s="307"/>
      <c r="D511" s="312"/>
      <c r="E511" s="301"/>
      <c r="F511" s="232"/>
      <c r="J511" s="306"/>
      <c r="K511" s="306"/>
      <c r="L511" s="313"/>
      <c r="M511" s="219"/>
      <c r="N511" s="218"/>
      <c r="S511" s="224"/>
      <c r="T511" s="228"/>
      <c r="U511" s="226"/>
      <c r="V511" s="226"/>
      <c r="W511" s="303"/>
      <c r="X511" s="220"/>
      <c r="Z511" s="227"/>
      <c r="AA511" s="220"/>
      <c r="AB511" s="221"/>
      <c r="AC511" s="229"/>
      <c r="AD511" s="230"/>
      <c r="AE511" s="230"/>
      <c r="AF511" s="230"/>
      <c r="AG511" s="227"/>
    </row>
    <row r="512" spans="1:33" x14ac:dyDescent="0.25">
      <c r="A512" s="32"/>
      <c r="B512" s="306"/>
      <c r="C512" s="307"/>
      <c r="D512" s="312"/>
      <c r="E512" s="301"/>
      <c r="F512" s="232"/>
      <c r="J512" s="306"/>
      <c r="K512" s="306"/>
      <c r="L512" s="313"/>
      <c r="M512" s="219"/>
      <c r="N512" s="218"/>
      <c r="S512" s="224"/>
      <c r="T512" s="228"/>
      <c r="U512" s="226"/>
      <c r="V512" s="226"/>
      <c r="W512" s="303"/>
      <c r="X512" s="220"/>
      <c r="Z512" s="227"/>
      <c r="AA512" s="220"/>
      <c r="AB512" s="221"/>
      <c r="AC512" s="229"/>
      <c r="AD512" s="230"/>
      <c r="AE512" s="230"/>
      <c r="AF512" s="230"/>
      <c r="AG512" s="227"/>
    </row>
    <row r="513" spans="1:33" x14ac:dyDescent="0.25">
      <c r="A513" s="32"/>
      <c r="B513" s="306"/>
      <c r="C513" s="307"/>
      <c r="D513" s="312"/>
      <c r="E513" s="301"/>
      <c r="F513" s="232"/>
      <c r="J513" s="306"/>
      <c r="K513" s="306"/>
      <c r="L513" s="313"/>
      <c r="M513" s="219"/>
      <c r="N513" s="218"/>
      <c r="S513" s="224"/>
      <c r="T513" s="228"/>
      <c r="U513" s="226"/>
      <c r="V513" s="226"/>
      <c r="W513" s="303"/>
      <c r="X513" s="220"/>
      <c r="Z513" s="227"/>
      <c r="AA513" s="220"/>
      <c r="AB513" s="221"/>
      <c r="AC513" s="229"/>
      <c r="AD513" s="230"/>
      <c r="AE513" s="230"/>
      <c r="AF513" s="230"/>
      <c r="AG513" s="227"/>
    </row>
    <row r="514" spans="1:33" x14ac:dyDescent="0.25">
      <c r="A514" s="32"/>
      <c r="B514" s="306"/>
      <c r="C514" s="307"/>
      <c r="D514" s="312"/>
      <c r="E514" s="301"/>
      <c r="F514" s="232"/>
      <c r="J514" s="306"/>
      <c r="K514" s="306"/>
      <c r="L514" s="313"/>
      <c r="M514" s="219"/>
      <c r="N514" s="218"/>
      <c r="S514" s="224"/>
      <c r="T514" s="228"/>
      <c r="U514" s="226"/>
      <c r="V514" s="226"/>
      <c r="W514" s="303"/>
      <c r="X514" s="220"/>
      <c r="Z514" s="227"/>
      <c r="AA514" s="220"/>
      <c r="AB514" s="221"/>
      <c r="AC514" s="229"/>
      <c r="AD514" s="230"/>
      <c r="AE514" s="230"/>
      <c r="AF514" s="230"/>
      <c r="AG514" s="227"/>
    </row>
    <row r="515" spans="1:33" x14ac:dyDescent="0.25">
      <c r="A515" s="32"/>
      <c r="B515" s="306"/>
      <c r="C515" s="307"/>
      <c r="D515" s="312"/>
      <c r="E515" s="301"/>
      <c r="F515" s="232"/>
      <c r="J515" s="306"/>
      <c r="K515" s="306"/>
      <c r="L515" s="313"/>
      <c r="M515" s="219"/>
      <c r="N515" s="218"/>
      <c r="S515" s="224"/>
      <c r="T515" s="228"/>
      <c r="U515" s="226"/>
      <c r="V515" s="226"/>
      <c r="W515" s="303"/>
      <c r="X515" s="220"/>
      <c r="Z515" s="227"/>
      <c r="AA515" s="220"/>
      <c r="AB515" s="221"/>
      <c r="AC515" s="229"/>
      <c r="AD515" s="230"/>
      <c r="AE515" s="230"/>
      <c r="AF515" s="230"/>
      <c r="AG515" s="227"/>
    </row>
    <row r="516" spans="1:33" x14ac:dyDescent="0.25">
      <c r="A516" s="32"/>
      <c r="B516" s="306"/>
      <c r="C516" s="307"/>
      <c r="D516" s="312"/>
      <c r="E516" s="301"/>
      <c r="F516" s="232"/>
      <c r="J516" s="306"/>
      <c r="K516" s="306"/>
      <c r="L516" s="313"/>
      <c r="M516" s="219"/>
      <c r="N516" s="218"/>
      <c r="S516" s="224"/>
      <c r="T516" s="228"/>
      <c r="U516" s="226"/>
      <c r="V516" s="226"/>
      <c r="W516" s="303"/>
      <c r="X516" s="220"/>
      <c r="Z516" s="227"/>
      <c r="AA516" s="220"/>
      <c r="AB516" s="221"/>
      <c r="AC516" s="229"/>
      <c r="AD516" s="230"/>
      <c r="AE516" s="230"/>
      <c r="AF516" s="230"/>
      <c r="AG516" s="227"/>
    </row>
    <row r="517" spans="1:33" x14ac:dyDescent="0.25">
      <c r="A517" s="32"/>
      <c r="B517" s="306"/>
      <c r="C517" s="307"/>
      <c r="D517" s="312"/>
      <c r="E517" s="301"/>
      <c r="F517" s="232"/>
      <c r="J517" s="306"/>
      <c r="K517" s="306"/>
      <c r="L517" s="313"/>
      <c r="M517" s="219"/>
      <c r="N517" s="218"/>
      <c r="S517" s="224"/>
      <c r="T517" s="228"/>
      <c r="U517" s="226"/>
      <c r="V517" s="226"/>
      <c r="W517" s="303"/>
      <c r="X517" s="220"/>
      <c r="Z517" s="227"/>
      <c r="AA517" s="220"/>
      <c r="AB517" s="221"/>
      <c r="AC517" s="229"/>
      <c r="AD517" s="230"/>
      <c r="AE517" s="230"/>
      <c r="AF517" s="230"/>
      <c r="AG517" s="227"/>
    </row>
    <row r="518" spans="1:33" x14ac:dyDescent="0.25">
      <c r="A518" s="32"/>
      <c r="B518" s="306"/>
      <c r="C518" s="307"/>
      <c r="D518" s="312"/>
      <c r="E518" s="301"/>
      <c r="F518" s="232"/>
      <c r="J518" s="306"/>
      <c r="K518" s="306"/>
      <c r="L518" s="313"/>
      <c r="M518" s="219"/>
      <c r="N518" s="218"/>
      <c r="S518" s="224"/>
      <c r="T518" s="228"/>
      <c r="U518" s="226"/>
      <c r="V518" s="226"/>
      <c r="W518" s="303"/>
      <c r="X518" s="220"/>
      <c r="Z518" s="227"/>
      <c r="AA518" s="220"/>
      <c r="AB518" s="221"/>
      <c r="AC518" s="229"/>
      <c r="AD518" s="230"/>
      <c r="AE518" s="230"/>
      <c r="AF518" s="230"/>
      <c r="AG518" s="227"/>
    </row>
    <row r="519" spans="1:33" x14ac:dyDescent="0.25">
      <c r="A519" s="32"/>
      <c r="B519" s="306"/>
      <c r="C519" s="307"/>
      <c r="D519" s="312"/>
      <c r="E519" s="301"/>
      <c r="F519" s="232"/>
      <c r="J519" s="306"/>
      <c r="K519" s="306"/>
      <c r="L519" s="313"/>
      <c r="M519" s="219"/>
      <c r="N519" s="218"/>
      <c r="S519" s="224"/>
      <c r="T519" s="228"/>
      <c r="U519" s="226"/>
      <c r="V519" s="226"/>
      <c r="W519" s="303"/>
      <c r="X519" s="220"/>
      <c r="Z519" s="227"/>
      <c r="AA519" s="220"/>
      <c r="AB519" s="221"/>
      <c r="AC519" s="229"/>
      <c r="AD519" s="230"/>
      <c r="AE519" s="230"/>
      <c r="AF519" s="230"/>
      <c r="AG519" s="227"/>
    </row>
    <row r="520" spans="1:33" x14ac:dyDescent="0.25">
      <c r="A520" s="32"/>
      <c r="B520" s="306"/>
      <c r="C520" s="307"/>
      <c r="D520" s="312"/>
      <c r="E520" s="301"/>
      <c r="F520" s="232"/>
      <c r="J520" s="306"/>
      <c r="K520" s="306"/>
      <c r="L520" s="313"/>
      <c r="M520" s="219"/>
      <c r="N520" s="218"/>
      <c r="S520" s="224"/>
      <c r="T520" s="228"/>
      <c r="U520" s="226"/>
      <c r="V520" s="226"/>
      <c r="W520" s="303"/>
      <c r="X520" s="220"/>
      <c r="Z520" s="227"/>
      <c r="AA520" s="220"/>
      <c r="AB520" s="221"/>
      <c r="AC520" s="229"/>
      <c r="AD520" s="230"/>
      <c r="AE520" s="230"/>
      <c r="AF520" s="230"/>
      <c r="AG520" s="227"/>
    </row>
    <row r="521" spans="1:33" x14ac:dyDescent="0.25">
      <c r="A521" s="32"/>
      <c r="B521" s="306"/>
      <c r="C521" s="307"/>
      <c r="D521" s="312"/>
      <c r="E521" s="301"/>
      <c r="F521" s="232"/>
      <c r="J521" s="306"/>
      <c r="K521" s="306"/>
      <c r="L521" s="313"/>
      <c r="M521" s="219"/>
      <c r="N521" s="218"/>
      <c r="S521" s="224"/>
      <c r="T521" s="228"/>
      <c r="U521" s="226"/>
      <c r="V521" s="226"/>
      <c r="W521" s="303"/>
      <c r="X521" s="220"/>
      <c r="Z521" s="227"/>
      <c r="AA521" s="220"/>
      <c r="AB521" s="221"/>
      <c r="AC521" s="229"/>
      <c r="AD521" s="230"/>
      <c r="AE521" s="230"/>
      <c r="AF521" s="230"/>
      <c r="AG521" s="227"/>
    </row>
    <row r="522" spans="1:33" x14ac:dyDescent="0.25">
      <c r="A522" s="32"/>
      <c r="B522" s="306"/>
      <c r="C522" s="307"/>
      <c r="D522" s="312"/>
      <c r="E522" s="301"/>
      <c r="F522" s="232"/>
      <c r="J522" s="306"/>
      <c r="K522" s="306"/>
      <c r="L522" s="313"/>
      <c r="M522" s="219"/>
      <c r="N522" s="218"/>
      <c r="S522" s="224"/>
      <c r="T522" s="228"/>
      <c r="U522" s="226"/>
      <c r="V522" s="226"/>
      <c r="W522" s="303"/>
      <c r="X522" s="220"/>
      <c r="Z522" s="227"/>
      <c r="AA522" s="220"/>
      <c r="AB522" s="221"/>
      <c r="AC522" s="229"/>
      <c r="AD522" s="230"/>
      <c r="AE522" s="230"/>
      <c r="AF522" s="230"/>
      <c r="AG522" s="227"/>
    </row>
    <row r="523" spans="1:33" x14ac:dyDescent="0.25">
      <c r="A523" s="32"/>
      <c r="B523" s="306"/>
      <c r="C523" s="307"/>
      <c r="D523" s="312"/>
      <c r="E523" s="301"/>
      <c r="F523" s="232"/>
      <c r="J523" s="306"/>
      <c r="K523" s="306"/>
      <c r="L523" s="313"/>
      <c r="M523" s="219"/>
      <c r="N523" s="218"/>
      <c r="S523" s="224"/>
      <c r="T523" s="228"/>
      <c r="U523" s="226"/>
      <c r="V523" s="226"/>
      <c r="W523" s="303"/>
      <c r="X523" s="220"/>
      <c r="Z523" s="227"/>
      <c r="AA523" s="220"/>
      <c r="AB523" s="221"/>
      <c r="AC523" s="229"/>
      <c r="AD523" s="230"/>
      <c r="AE523" s="230"/>
      <c r="AF523" s="230"/>
      <c r="AG523" s="227"/>
    </row>
    <row r="524" spans="1:33" x14ac:dyDescent="0.25">
      <c r="A524" s="32"/>
      <c r="B524" s="306"/>
      <c r="C524" s="307"/>
      <c r="D524" s="312"/>
      <c r="E524" s="301"/>
      <c r="F524" s="232"/>
      <c r="J524" s="306"/>
      <c r="K524" s="306"/>
      <c r="L524" s="313"/>
      <c r="M524" s="219"/>
      <c r="N524" s="218"/>
      <c r="S524" s="224"/>
      <c r="T524" s="228"/>
      <c r="U524" s="226"/>
      <c r="V524" s="226"/>
      <c r="W524" s="303"/>
      <c r="X524" s="220"/>
      <c r="Z524" s="227"/>
      <c r="AA524" s="220"/>
      <c r="AB524" s="221"/>
      <c r="AC524" s="229"/>
      <c r="AD524" s="230"/>
      <c r="AE524" s="230"/>
      <c r="AF524" s="230"/>
      <c r="AG524" s="227"/>
    </row>
    <row r="525" spans="1:33" x14ac:dyDescent="0.25">
      <c r="A525" s="32"/>
      <c r="B525" s="306"/>
      <c r="C525" s="307"/>
      <c r="D525" s="312"/>
      <c r="E525" s="301"/>
      <c r="F525" s="232"/>
      <c r="J525" s="306"/>
      <c r="K525" s="306"/>
      <c r="L525" s="313"/>
      <c r="M525" s="219"/>
      <c r="N525" s="218"/>
      <c r="S525" s="224"/>
      <c r="T525" s="228"/>
      <c r="U525" s="226"/>
      <c r="V525" s="226"/>
      <c r="W525" s="303"/>
      <c r="X525" s="220"/>
      <c r="Z525" s="227"/>
      <c r="AA525" s="220"/>
      <c r="AB525" s="221"/>
      <c r="AC525" s="229"/>
      <c r="AD525" s="230"/>
      <c r="AE525" s="230"/>
      <c r="AF525" s="230"/>
      <c r="AG525" s="227"/>
    </row>
    <row r="526" spans="1:33" x14ac:dyDescent="0.25">
      <c r="A526" s="32"/>
      <c r="B526" s="306"/>
      <c r="C526" s="307"/>
      <c r="D526" s="312"/>
      <c r="E526" s="301"/>
      <c r="F526" s="232"/>
      <c r="J526" s="306"/>
      <c r="K526" s="306"/>
      <c r="L526" s="313"/>
      <c r="M526" s="219"/>
      <c r="N526" s="218"/>
      <c r="S526" s="224"/>
      <c r="T526" s="228"/>
      <c r="U526" s="226"/>
      <c r="V526" s="226"/>
      <c r="W526" s="303"/>
      <c r="X526" s="220"/>
      <c r="Z526" s="227"/>
      <c r="AA526" s="220"/>
      <c r="AB526" s="221"/>
      <c r="AC526" s="229"/>
      <c r="AD526" s="230"/>
      <c r="AE526" s="230"/>
      <c r="AF526" s="230"/>
      <c r="AG526" s="227"/>
    </row>
    <row r="527" spans="1:33" x14ac:dyDescent="0.25">
      <c r="A527" s="32"/>
      <c r="B527" s="306"/>
      <c r="C527" s="307"/>
      <c r="D527" s="312"/>
      <c r="E527" s="301"/>
      <c r="F527" s="232"/>
      <c r="J527" s="306"/>
      <c r="K527" s="306"/>
      <c r="L527" s="313"/>
      <c r="M527" s="219"/>
      <c r="N527" s="218"/>
      <c r="S527" s="224"/>
      <c r="T527" s="228"/>
      <c r="U527" s="226"/>
      <c r="V527" s="226"/>
      <c r="W527" s="303"/>
      <c r="X527" s="220"/>
      <c r="Z527" s="227"/>
      <c r="AA527" s="220"/>
      <c r="AB527" s="221"/>
      <c r="AC527" s="229"/>
      <c r="AD527" s="230"/>
      <c r="AE527" s="230"/>
      <c r="AF527" s="230"/>
      <c r="AG527" s="227"/>
    </row>
    <row r="528" spans="1:33" x14ac:dyDescent="0.25">
      <c r="A528" s="32"/>
      <c r="B528" s="306"/>
      <c r="C528" s="307"/>
      <c r="D528" s="312"/>
      <c r="E528" s="301"/>
      <c r="F528" s="232"/>
      <c r="J528" s="306"/>
      <c r="K528" s="306"/>
      <c r="L528" s="313"/>
      <c r="M528" s="219"/>
      <c r="N528" s="218"/>
      <c r="S528" s="224"/>
      <c r="T528" s="228"/>
      <c r="U528" s="226"/>
      <c r="V528" s="226"/>
      <c r="W528" s="303"/>
      <c r="X528" s="220"/>
      <c r="Z528" s="227"/>
      <c r="AA528" s="220"/>
      <c r="AB528" s="221"/>
      <c r="AC528" s="229"/>
      <c r="AD528" s="230"/>
      <c r="AE528" s="230"/>
      <c r="AF528" s="230"/>
      <c r="AG528" s="227"/>
    </row>
    <row r="529" spans="1:33" x14ac:dyDescent="0.25">
      <c r="A529" s="32"/>
      <c r="B529" s="306"/>
      <c r="C529" s="307"/>
      <c r="D529" s="312"/>
      <c r="E529" s="301"/>
      <c r="F529" s="232"/>
      <c r="J529" s="306"/>
      <c r="K529" s="306"/>
      <c r="L529" s="313"/>
      <c r="M529" s="219"/>
      <c r="N529" s="218"/>
      <c r="S529" s="224"/>
      <c r="T529" s="228"/>
      <c r="U529" s="226"/>
      <c r="V529" s="226"/>
      <c r="W529" s="303"/>
      <c r="X529" s="220"/>
      <c r="Z529" s="227"/>
      <c r="AA529" s="220"/>
      <c r="AB529" s="221"/>
      <c r="AC529" s="229"/>
      <c r="AD529" s="230"/>
      <c r="AE529" s="230"/>
      <c r="AF529" s="230"/>
      <c r="AG529" s="227"/>
    </row>
    <row r="530" spans="1:33" x14ac:dyDescent="0.25">
      <c r="A530" s="32"/>
      <c r="B530" s="306"/>
      <c r="C530" s="307"/>
      <c r="D530" s="312"/>
      <c r="E530" s="301"/>
      <c r="F530" s="232"/>
      <c r="J530" s="306"/>
      <c r="K530" s="306"/>
      <c r="L530" s="313"/>
      <c r="M530" s="219"/>
      <c r="N530" s="218"/>
      <c r="S530" s="224"/>
      <c r="T530" s="228"/>
      <c r="U530" s="226"/>
      <c r="V530" s="226"/>
      <c r="W530" s="303"/>
      <c r="X530" s="220"/>
      <c r="Z530" s="227"/>
      <c r="AA530" s="220"/>
      <c r="AB530" s="221"/>
      <c r="AC530" s="229"/>
      <c r="AD530" s="230"/>
      <c r="AE530" s="230"/>
      <c r="AF530" s="230"/>
      <c r="AG530" s="227"/>
    </row>
    <row r="531" spans="1:33" x14ac:dyDescent="0.25">
      <c r="A531" s="32"/>
      <c r="B531" s="306"/>
      <c r="C531" s="307"/>
      <c r="D531" s="312"/>
      <c r="E531" s="301"/>
      <c r="F531" s="232"/>
      <c r="J531" s="306"/>
      <c r="K531" s="306"/>
      <c r="L531" s="313"/>
      <c r="M531" s="219"/>
      <c r="N531" s="218"/>
      <c r="S531" s="224"/>
      <c r="T531" s="228"/>
      <c r="U531" s="226"/>
      <c r="V531" s="226"/>
      <c r="W531" s="303"/>
      <c r="X531" s="220"/>
      <c r="Z531" s="227"/>
      <c r="AA531" s="220"/>
      <c r="AB531" s="221"/>
      <c r="AC531" s="229"/>
      <c r="AD531" s="230"/>
      <c r="AE531" s="230"/>
      <c r="AF531" s="230"/>
      <c r="AG531" s="227"/>
    </row>
    <row r="532" spans="1:33" x14ac:dyDescent="0.25">
      <c r="A532" s="32"/>
      <c r="B532" s="306"/>
      <c r="C532" s="307"/>
      <c r="D532" s="312"/>
      <c r="E532" s="301"/>
      <c r="F532" s="232"/>
      <c r="J532" s="306"/>
      <c r="K532" s="306"/>
      <c r="L532" s="313"/>
      <c r="M532" s="219"/>
      <c r="N532" s="218"/>
      <c r="S532" s="224"/>
      <c r="T532" s="228"/>
      <c r="U532" s="226"/>
      <c r="V532" s="226"/>
      <c r="W532" s="303"/>
      <c r="X532" s="220"/>
      <c r="Z532" s="227"/>
      <c r="AA532" s="220"/>
      <c r="AB532" s="221"/>
      <c r="AC532" s="229"/>
      <c r="AD532" s="230"/>
      <c r="AE532" s="230"/>
      <c r="AF532" s="230"/>
      <c r="AG532" s="227"/>
    </row>
    <row r="533" spans="1:33" x14ac:dyDescent="0.25">
      <c r="A533" s="32"/>
      <c r="B533" s="306"/>
      <c r="C533" s="307"/>
      <c r="D533" s="312"/>
      <c r="E533" s="301"/>
      <c r="F533" s="232"/>
      <c r="J533" s="306"/>
      <c r="K533" s="306"/>
      <c r="L533" s="313"/>
      <c r="M533" s="219"/>
      <c r="N533" s="218"/>
      <c r="S533" s="224"/>
      <c r="T533" s="228"/>
      <c r="U533" s="226"/>
      <c r="V533" s="226"/>
      <c r="W533" s="303"/>
      <c r="X533" s="220"/>
      <c r="Z533" s="227"/>
      <c r="AA533" s="220"/>
      <c r="AB533" s="221"/>
      <c r="AC533" s="229"/>
      <c r="AD533" s="230"/>
      <c r="AE533" s="230"/>
      <c r="AF533" s="230"/>
      <c r="AG533" s="227"/>
    </row>
    <row r="534" spans="1:33" x14ac:dyDescent="0.25">
      <c r="A534" s="32"/>
      <c r="B534" s="306"/>
      <c r="C534" s="307"/>
      <c r="D534" s="312"/>
      <c r="E534" s="301"/>
      <c r="F534" s="232"/>
      <c r="J534" s="306"/>
      <c r="K534" s="306"/>
      <c r="L534" s="313"/>
      <c r="M534" s="219"/>
      <c r="N534" s="218"/>
      <c r="S534" s="224"/>
      <c r="T534" s="228"/>
      <c r="U534" s="226"/>
      <c r="V534" s="226"/>
      <c r="W534" s="303"/>
      <c r="X534" s="220"/>
      <c r="Z534" s="227"/>
      <c r="AA534" s="220"/>
      <c r="AB534" s="221"/>
      <c r="AC534" s="229"/>
      <c r="AD534" s="230"/>
      <c r="AE534" s="230"/>
      <c r="AF534" s="230"/>
      <c r="AG534" s="227"/>
    </row>
    <row r="535" spans="1:33" x14ac:dyDescent="0.25">
      <c r="A535" s="32"/>
      <c r="B535" s="306"/>
      <c r="C535" s="307"/>
      <c r="D535" s="312"/>
      <c r="E535" s="301"/>
      <c r="F535" s="232"/>
      <c r="J535" s="306"/>
      <c r="K535" s="306"/>
      <c r="L535" s="313"/>
      <c r="M535" s="219"/>
      <c r="N535" s="218"/>
      <c r="S535" s="224"/>
      <c r="T535" s="228"/>
      <c r="U535" s="226"/>
      <c r="V535" s="226"/>
      <c r="W535" s="303"/>
      <c r="X535" s="220"/>
      <c r="Z535" s="227"/>
      <c r="AA535" s="220"/>
      <c r="AB535" s="221"/>
      <c r="AC535" s="229"/>
      <c r="AD535" s="230"/>
      <c r="AE535" s="230"/>
      <c r="AF535" s="230"/>
      <c r="AG535" s="227"/>
    </row>
    <row r="536" spans="1:33" x14ac:dyDescent="0.25">
      <c r="A536" s="32"/>
      <c r="B536" s="306"/>
      <c r="C536" s="307"/>
      <c r="D536" s="312"/>
      <c r="E536" s="301"/>
      <c r="F536" s="232"/>
      <c r="J536" s="306"/>
      <c r="K536" s="306"/>
      <c r="L536" s="313"/>
      <c r="M536" s="219"/>
      <c r="N536" s="218"/>
      <c r="S536" s="224"/>
      <c r="T536" s="228"/>
      <c r="U536" s="226"/>
      <c r="V536" s="226"/>
      <c r="W536" s="303"/>
      <c r="X536" s="220"/>
      <c r="Z536" s="227"/>
      <c r="AA536" s="220"/>
      <c r="AB536" s="221"/>
      <c r="AC536" s="229"/>
      <c r="AD536" s="230"/>
      <c r="AE536" s="230"/>
      <c r="AF536" s="230"/>
      <c r="AG536" s="227"/>
    </row>
    <row r="537" spans="1:33" x14ac:dyDescent="0.25">
      <c r="A537" s="32"/>
      <c r="B537" s="306"/>
      <c r="C537" s="307"/>
      <c r="D537" s="312"/>
      <c r="E537" s="301"/>
      <c r="F537" s="232"/>
      <c r="J537" s="306"/>
      <c r="K537" s="306"/>
      <c r="L537" s="313"/>
      <c r="M537" s="219"/>
      <c r="N537" s="218"/>
      <c r="S537" s="224"/>
      <c r="T537" s="228"/>
      <c r="U537" s="226"/>
      <c r="V537" s="226"/>
      <c r="W537" s="303"/>
      <c r="X537" s="220"/>
      <c r="Z537" s="227"/>
      <c r="AA537" s="220"/>
      <c r="AB537" s="221"/>
      <c r="AC537" s="229"/>
      <c r="AD537" s="230"/>
      <c r="AE537" s="230"/>
      <c r="AF537" s="230"/>
      <c r="AG537" s="227"/>
    </row>
    <row r="538" spans="1:33" x14ac:dyDescent="0.25">
      <c r="A538" s="32"/>
      <c r="B538" s="306"/>
      <c r="C538" s="307"/>
      <c r="D538" s="312"/>
      <c r="E538" s="301"/>
      <c r="F538" s="232"/>
      <c r="J538" s="306"/>
      <c r="K538" s="306"/>
      <c r="L538" s="313"/>
      <c r="M538" s="219"/>
      <c r="N538" s="218"/>
      <c r="S538" s="224"/>
      <c r="T538" s="228"/>
      <c r="U538" s="226"/>
      <c r="V538" s="226"/>
      <c r="W538" s="303"/>
      <c r="X538" s="220"/>
      <c r="Z538" s="227"/>
      <c r="AA538" s="220"/>
      <c r="AB538" s="221"/>
      <c r="AC538" s="229"/>
      <c r="AD538" s="230"/>
      <c r="AE538" s="230"/>
      <c r="AF538" s="230"/>
      <c r="AG538" s="227"/>
    </row>
    <row r="539" spans="1:33" x14ac:dyDescent="0.25">
      <c r="A539" s="32"/>
      <c r="B539" s="306"/>
      <c r="C539" s="307"/>
      <c r="D539" s="312"/>
      <c r="E539" s="301"/>
      <c r="F539" s="232"/>
      <c r="J539" s="306"/>
      <c r="K539" s="306"/>
      <c r="L539" s="313"/>
      <c r="M539" s="219"/>
      <c r="N539" s="218"/>
      <c r="S539" s="224"/>
      <c r="T539" s="228"/>
      <c r="U539" s="226"/>
      <c r="V539" s="226"/>
      <c r="W539" s="303"/>
      <c r="X539" s="220"/>
      <c r="Z539" s="227"/>
      <c r="AA539" s="220"/>
      <c r="AB539" s="221"/>
      <c r="AC539" s="229"/>
      <c r="AD539" s="230"/>
      <c r="AE539" s="230"/>
      <c r="AF539" s="230"/>
      <c r="AG539" s="227"/>
    </row>
    <row r="540" spans="1:33" x14ac:dyDescent="0.25">
      <c r="A540" s="32"/>
      <c r="B540" s="306"/>
      <c r="C540" s="307"/>
      <c r="D540" s="312"/>
      <c r="E540" s="301"/>
      <c r="F540" s="232"/>
      <c r="J540" s="306"/>
      <c r="K540" s="306"/>
      <c r="L540" s="313"/>
      <c r="M540" s="219"/>
      <c r="N540" s="218"/>
      <c r="S540" s="224"/>
      <c r="T540" s="228"/>
      <c r="U540" s="226"/>
      <c r="V540" s="226"/>
      <c r="W540" s="303"/>
      <c r="X540" s="220"/>
      <c r="Z540" s="227"/>
      <c r="AA540" s="220"/>
      <c r="AB540" s="221"/>
      <c r="AC540" s="229"/>
      <c r="AD540" s="230"/>
      <c r="AE540" s="230"/>
      <c r="AF540" s="230"/>
      <c r="AG540" s="227"/>
    </row>
    <row r="541" spans="1:33" x14ac:dyDescent="0.25">
      <c r="A541" s="32"/>
      <c r="B541" s="306"/>
      <c r="C541" s="307"/>
      <c r="D541" s="312"/>
      <c r="E541" s="301"/>
      <c r="F541" s="232"/>
      <c r="J541" s="306"/>
      <c r="K541" s="306"/>
      <c r="L541" s="313"/>
      <c r="M541" s="219"/>
      <c r="N541" s="218"/>
      <c r="S541" s="224"/>
      <c r="T541" s="228"/>
      <c r="U541" s="226"/>
      <c r="V541" s="226"/>
      <c r="W541" s="303"/>
      <c r="X541" s="220"/>
      <c r="Z541" s="227"/>
      <c r="AA541" s="220"/>
      <c r="AB541" s="221"/>
      <c r="AC541" s="229"/>
      <c r="AD541" s="230"/>
      <c r="AE541" s="230"/>
      <c r="AF541" s="230"/>
      <c r="AG541" s="227"/>
    </row>
    <row r="542" spans="1:33" x14ac:dyDescent="0.25">
      <c r="A542" s="32"/>
      <c r="B542" s="306"/>
      <c r="C542" s="307"/>
      <c r="D542" s="312"/>
      <c r="E542" s="301"/>
      <c r="F542" s="232"/>
      <c r="J542" s="306"/>
      <c r="K542" s="306"/>
      <c r="L542" s="313"/>
      <c r="M542" s="219"/>
      <c r="N542" s="218"/>
      <c r="S542" s="224"/>
      <c r="T542" s="228"/>
      <c r="U542" s="226"/>
      <c r="V542" s="226"/>
      <c r="W542" s="303"/>
      <c r="X542" s="220"/>
      <c r="Z542" s="227"/>
      <c r="AA542" s="220"/>
      <c r="AB542" s="221"/>
      <c r="AC542" s="229"/>
      <c r="AD542" s="230"/>
      <c r="AE542" s="230"/>
      <c r="AF542" s="230"/>
      <c r="AG542" s="227"/>
    </row>
    <row r="543" spans="1:33" x14ac:dyDescent="0.25">
      <c r="A543" s="32"/>
      <c r="B543" s="306"/>
      <c r="C543" s="307"/>
      <c r="D543" s="312"/>
      <c r="E543" s="301"/>
      <c r="F543" s="232"/>
      <c r="J543" s="306"/>
      <c r="K543" s="306"/>
      <c r="L543" s="313"/>
      <c r="M543" s="219"/>
      <c r="N543" s="218"/>
      <c r="S543" s="224"/>
      <c r="T543" s="228"/>
      <c r="U543" s="226"/>
      <c r="V543" s="226"/>
      <c r="W543" s="303"/>
      <c r="X543" s="220"/>
      <c r="Z543" s="227"/>
      <c r="AA543" s="220"/>
      <c r="AB543" s="221"/>
      <c r="AC543" s="229"/>
      <c r="AD543" s="230"/>
      <c r="AE543" s="230"/>
      <c r="AF543" s="230"/>
      <c r="AG543" s="227"/>
    </row>
    <row r="544" spans="1:33" x14ac:dyDescent="0.25">
      <c r="A544" s="32"/>
      <c r="B544" s="306"/>
      <c r="C544" s="307"/>
      <c r="D544" s="312"/>
      <c r="E544" s="301"/>
      <c r="F544" s="232"/>
      <c r="J544" s="306"/>
      <c r="K544" s="306"/>
      <c r="L544" s="313"/>
      <c r="M544" s="219"/>
      <c r="N544" s="218"/>
      <c r="S544" s="224"/>
      <c r="T544" s="228"/>
      <c r="U544" s="226"/>
      <c r="V544" s="226"/>
      <c r="W544" s="303"/>
      <c r="X544" s="220"/>
      <c r="Z544" s="227"/>
      <c r="AA544" s="220"/>
      <c r="AB544" s="221"/>
      <c r="AC544" s="229"/>
      <c r="AD544" s="230"/>
      <c r="AE544" s="230"/>
      <c r="AF544" s="230"/>
      <c r="AG544" s="227"/>
    </row>
    <row r="545" spans="1:33" x14ac:dyDescent="0.25">
      <c r="A545" s="32"/>
      <c r="B545" s="306"/>
      <c r="C545" s="307"/>
      <c r="D545" s="312"/>
      <c r="E545" s="301"/>
      <c r="F545" s="232"/>
      <c r="J545" s="306"/>
      <c r="K545" s="306"/>
      <c r="L545" s="313"/>
      <c r="M545" s="219"/>
      <c r="N545" s="218"/>
      <c r="S545" s="224"/>
      <c r="T545" s="228"/>
      <c r="U545" s="226"/>
      <c r="V545" s="226"/>
      <c r="W545" s="303"/>
      <c r="X545" s="220"/>
      <c r="Z545" s="227"/>
      <c r="AA545" s="220"/>
      <c r="AB545" s="221"/>
      <c r="AC545" s="229"/>
      <c r="AD545" s="230"/>
      <c r="AE545" s="230"/>
      <c r="AF545" s="230"/>
      <c r="AG545" s="227"/>
    </row>
    <row r="546" spans="1:33" x14ac:dyDescent="0.25">
      <c r="A546" s="32"/>
      <c r="B546" s="306"/>
      <c r="C546" s="307"/>
      <c r="D546" s="312"/>
      <c r="E546" s="301"/>
      <c r="F546" s="232"/>
      <c r="J546" s="306"/>
      <c r="K546" s="306"/>
      <c r="L546" s="313"/>
      <c r="M546" s="219"/>
      <c r="N546" s="218"/>
      <c r="S546" s="224"/>
      <c r="T546" s="228"/>
      <c r="U546" s="226"/>
      <c r="V546" s="226"/>
      <c r="W546" s="303"/>
      <c r="X546" s="220"/>
      <c r="Z546" s="227"/>
      <c r="AA546" s="220"/>
      <c r="AB546" s="221"/>
      <c r="AC546" s="229"/>
      <c r="AD546" s="230"/>
      <c r="AE546" s="230"/>
      <c r="AF546" s="230"/>
      <c r="AG546" s="227"/>
    </row>
    <row r="547" spans="1:33" x14ac:dyDescent="0.25">
      <c r="A547" s="32"/>
      <c r="B547" s="306"/>
      <c r="C547" s="307"/>
      <c r="D547" s="312"/>
      <c r="E547" s="301"/>
      <c r="F547" s="232"/>
      <c r="J547" s="306"/>
      <c r="K547" s="306"/>
      <c r="L547" s="313"/>
      <c r="M547" s="219"/>
      <c r="N547" s="218"/>
      <c r="S547" s="224"/>
      <c r="T547" s="228"/>
      <c r="U547" s="226"/>
      <c r="V547" s="226"/>
      <c r="W547" s="303"/>
      <c r="X547" s="220"/>
      <c r="Z547" s="227"/>
      <c r="AA547" s="220"/>
      <c r="AB547" s="221"/>
      <c r="AC547" s="229"/>
      <c r="AD547" s="230"/>
      <c r="AE547" s="230"/>
      <c r="AF547" s="230"/>
      <c r="AG547" s="227"/>
    </row>
    <row r="548" spans="1:33" x14ac:dyDescent="0.25">
      <c r="A548" s="32"/>
      <c r="B548" s="306"/>
      <c r="C548" s="307"/>
      <c r="D548" s="312"/>
      <c r="E548" s="301"/>
      <c r="F548" s="232"/>
      <c r="J548" s="306"/>
      <c r="K548" s="306"/>
      <c r="L548" s="313"/>
      <c r="M548" s="219"/>
      <c r="N548" s="218"/>
      <c r="S548" s="224"/>
      <c r="T548" s="228"/>
      <c r="U548" s="226"/>
      <c r="V548" s="226"/>
      <c r="W548" s="303"/>
      <c r="X548" s="220"/>
      <c r="Z548" s="227"/>
      <c r="AA548" s="220"/>
      <c r="AB548" s="221"/>
      <c r="AC548" s="229"/>
      <c r="AD548" s="230"/>
      <c r="AE548" s="230"/>
      <c r="AF548" s="230"/>
      <c r="AG548" s="227"/>
    </row>
    <row r="549" spans="1:33" x14ac:dyDescent="0.25">
      <c r="A549" s="32"/>
      <c r="B549" s="306"/>
      <c r="C549" s="307"/>
      <c r="D549" s="312"/>
      <c r="E549" s="301"/>
      <c r="F549" s="232"/>
      <c r="J549" s="306"/>
      <c r="K549" s="306"/>
      <c r="L549" s="313"/>
      <c r="M549" s="219"/>
      <c r="N549" s="218"/>
      <c r="S549" s="224"/>
      <c r="T549" s="228"/>
      <c r="U549" s="226"/>
      <c r="V549" s="226"/>
      <c r="W549" s="303"/>
      <c r="X549" s="220"/>
      <c r="Z549" s="227"/>
      <c r="AA549" s="220"/>
      <c r="AB549" s="221"/>
      <c r="AC549" s="229"/>
      <c r="AD549" s="230"/>
      <c r="AE549" s="230"/>
      <c r="AF549" s="230"/>
      <c r="AG549" s="227"/>
    </row>
    <row r="550" spans="1:33" x14ac:dyDescent="0.25">
      <c r="A550" s="32"/>
      <c r="B550" s="306"/>
      <c r="C550" s="307"/>
      <c r="D550" s="312"/>
      <c r="E550" s="301"/>
      <c r="F550" s="232"/>
      <c r="J550" s="306"/>
      <c r="K550" s="306"/>
      <c r="L550" s="313"/>
      <c r="M550" s="219"/>
      <c r="N550" s="218"/>
      <c r="S550" s="224"/>
      <c r="T550" s="228"/>
      <c r="U550" s="226"/>
      <c r="V550" s="226"/>
      <c r="W550" s="303"/>
      <c r="X550" s="220"/>
      <c r="Z550" s="227"/>
      <c r="AA550" s="220"/>
      <c r="AB550" s="221"/>
      <c r="AC550" s="229"/>
      <c r="AD550" s="230"/>
      <c r="AE550" s="230"/>
      <c r="AF550" s="230"/>
      <c r="AG550" s="227"/>
    </row>
    <row r="551" spans="1:33" x14ac:dyDescent="0.25">
      <c r="A551" s="32"/>
      <c r="B551" s="306"/>
      <c r="C551" s="307"/>
      <c r="D551" s="312"/>
      <c r="E551" s="301"/>
      <c r="F551" s="232"/>
      <c r="J551" s="306"/>
      <c r="K551" s="306"/>
      <c r="L551" s="313"/>
      <c r="M551" s="219"/>
      <c r="N551" s="218"/>
      <c r="S551" s="224"/>
      <c r="T551" s="228"/>
      <c r="U551" s="226"/>
      <c r="V551" s="226"/>
      <c r="W551" s="303"/>
      <c r="X551" s="220"/>
      <c r="Z551" s="227"/>
      <c r="AA551" s="220"/>
      <c r="AB551" s="221"/>
      <c r="AC551" s="229"/>
      <c r="AD551" s="230"/>
      <c r="AE551" s="230"/>
      <c r="AF551" s="230"/>
      <c r="AG551" s="227"/>
    </row>
    <row r="552" spans="1:33" x14ac:dyDescent="0.25">
      <c r="A552" s="32"/>
      <c r="B552" s="306"/>
      <c r="C552" s="307"/>
      <c r="D552" s="312"/>
      <c r="E552" s="301"/>
      <c r="F552" s="232"/>
      <c r="J552" s="306"/>
      <c r="K552" s="306"/>
      <c r="L552" s="313"/>
      <c r="M552" s="219"/>
      <c r="N552" s="218"/>
      <c r="S552" s="224"/>
      <c r="T552" s="228"/>
      <c r="U552" s="226"/>
      <c r="V552" s="226"/>
      <c r="W552" s="303"/>
      <c r="X552" s="220"/>
      <c r="Z552" s="227"/>
      <c r="AA552" s="220"/>
      <c r="AB552" s="221"/>
      <c r="AC552" s="229"/>
      <c r="AD552" s="230"/>
      <c r="AE552" s="230"/>
      <c r="AF552" s="230"/>
      <c r="AG552" s="227"/>
    </row>
    <row r="553" spans="1:33" x14ac:dyDescent="0.25">
      <c r="A553" s="32"/>
      <c r="B553" s="306"/>
      <c r="C553" s="307"/>
      <c r="D553" s="312"/>
      <c r="E553" s="301"/>
      <c r="F553" s="232"/>
      <c r="J553" s="306"/>
      <c r="K553" s="306"/>
      <c r="L553" s="313"/>
      <c r="M553" s="219"/>
      <c r="N553" s="218"/>
      <c r="S553" s="224"/>
      <c r="T553" s="228"/>
      <c r="U553" s="226"/>
      <c r="V553" s="226"/>
      <c r="W553" s="303"/>
      <c r="X553" s="220"/>
      <c r="Z553" s="227"/>
      <c r="AA553" s="220"/>
      <c r="AB553" s="221"/>
      <c r="AC553" s="229"/>
      <c r="AD553" s="230"/>
      <c r="AE553" s="230"/>
      <c r="AF553" s="230"/>
      <c r="AG553" s="227"/>
    </row>
    <row r="554" spans="1:33" x14ac:dyDescent="0.25">
      <c r="A554" s="32"/>
      <c r="B554" s="306"/>
      <c r="C554" s="307"/>
      <c r="D554" s="312"/>
      <c r="E554" s="301"/>
      <c r="F554" s="232"/>
      <c r="J554" s="306"/>
      <c r="K554" s="306"/>
      <c r="L554" s="313"/>
      <c r="M554" s="219"/>
      <c r="N554" s="218"/>
      <c r="S554" s="224"/>
      <c r="T554" s="228"/>
      <c r="U554" s="226"/>
      <c r="V554" s="226"/>
      <c r="W554" s="303"/>
      <c r="X554" s="220"/>
      <c r="Z554" s="227"/>
      <c r="AA554" s="220"/>
      <c r="AB554" s="221"/>
      <c r="AC554" s="229"/>
      <c r="AD554" s="230"/>
      <c r="AE554" s="230"/>
      <c r="AF554" s="230"/>
      <c r="AG554" s="227"/>
    </row>
    <row r="555" spans="1:33" x14ac:dyDescent="0.25">
      <c r="A555" s="32"/>
      <c r="B555" s="306"/>
      <c r="C555" s="307"/>
      <c r="D555" s="312"/>
      <c r="E555" s="301"/>
      <c r="F555" s="232"/>
      <c r="J555" s="306"/>
      <c r="K555" s="306"/>
      <c r="L555" s="313"/>
      <c r="M555" s="219"/>
      <c r="N555" s="218"/>
      <c r="S555" s="224"/>
      <c r="T555" s="228"/>
      <c r="U555" s="226"/>
      <c r="V555" s="226"/>
      <c r="W555" s="303"/>
      <c r="X555" s="220"/>
      <c r="Z555" s="227"/>
      <c r="AA555" s="220"/>
      <c r="AB555" s="221"/>
      <c r="AC555" s="229"/>
      <c r="AD555" s="230"/>
      <c r="AE555" s="230"/>
      <c r="AF555" s="230"/>
      <c r="AG555" s="227"/>
    </row>
    <row r="556" spans="1:33" x14ac:dyDescent="0.25">
      <c r="A556" s="32"/>
      <c r="B556" s="306"/>
      <c r="C556" s="307"/>
      <c r="D556" s="312"/>
      <c r="E556" s="301"/>
      <c r="F556" s="232"/>
      <c r="J556" s="306"/>
      <c r="K556" s="306"/>
      <c r="L556" s="313"/>
      <c r="M556" s="219"/>
      <c r="N556" s="218"/>
      <c r="S556" s="224"/>
      <c r="T556" s="228"/>
      <c r="U556" s="226"/>
      <c r="V556" s="226"/>
      <c r="W556" s="303"/>
      <c r="X556" s="220"/>
      <c r="Z556" s="227"/>
      <c r="AA556" s="220"/>
      <c r="AB556" s="221"/>
      <c r="AC556" s="229"/>
      <c r="AD556" s="230"/>
      <c r="AE556" s="230"/>
      <c r="AF556" s="230"/>
      <c r="AG556" s="227"/>
    </row>
    <row r="557" spans="1:33" x14ac:dyDescent="0.25">
      <c r="A557" s="32"/>
      <c r="B557" s="306"/>
      <c r="C557" s="307"/>
      <c r="D557" s="312"/>
      <c r="E557" s="301"/>
      <c r="F557" s="232"/>
      <c r="J557" s="306"/>
      <c r="K557" s="306"/>
      <c r="L557" s="313"/>
      <c r="M557" s="219"/>
      <c r="N557" s="218"/>
      <c r="S557" s="224"/>
      <c r="T557" s="228"/>
      <c r="U557" s="226"/>
      <c r="V557" s="226"/>
      <c r="W557" s="303"/>
      <c r="X557" s="220"/>
      <c r="Z557" s="227"/>
      <c r="AA557" s="220"/>
      <c r="AB557" s="221"/>
      <c r="AC557" s="229"/>
      <c r="AD557" s="230"/>
      <c r="AE557" s="230"/>
      <c r="AF557" s="230"/>
      <c r="AG557" s="227"/>
    </row>
    <row r="558" spans="1:33" x14ac:dyDescent="0.25">
      <c r="A558" s="32"/>
      <c r="B558" s="306"/>
      <c r="C558" s="307"/>
      <c r="D558" s="312"/>
      <c r="E558" s="301"/>
      <c r="F558" s="232"/>
      <c r="J558" s="306"/>
      <c r="K558" s="306"/>
      <c r="L558" s="313"/>
      <c r="M558" s="219"/>
      <c r="N558" s="218"/>
      <c r="S558" s="224"/>
      <c r="T558" s="228"/>
      <c r="U558" s="226"/>
      <c r="V558" s="226"/>
      <c r="W558" s="303"/>
      <c r="X558" s="220"/>
      <c r="Z558" s="227"/>
      <c r="AA558" s="220"/>
      <c r="AB558" s="221"/>
      <c r="AC558" s="229"/>
      <c r="AD558" s="230"/>
      <c r="AE558" s="230"/>
      <c r="AF558" s="230"/>
      <c r="AG558" s="227"/>
    </row>
    <row r="559" spans="1:33" x14ac:dyDescent="0.25">
      <c r="A559" s="32"/>
      <c r="B559" s="306"/>
      <c r="C559" s="307"/>
      <c r="D559" s="312"/>
      <c r="E559" s="301"/>
      <c r="F559" s="232"/>
      <c r="J559" s="306"/>
      <c r="K559" s="306"/>
      <c r="L559" s="313"/>
      <c r="M559" s="219"/>
      <c r="N559" s="218"/>
      <c r="S559" s="224"/>
      <c r="T559" s="228"/>
      <c r="U559" s="226"/>
      <c r="V559" s="226"/>
      <c r="W559" s="303"/>
      <c r="X559" s="220"/>
      <c r="Z559" s="227"/>
      <c r="AA559" s="220"/>
      <c r="AB559" s="221"/>
      <c r="AC559" s="229"/>
      <c r="AD559" s="230"/>
      <c r="AE559" s="230"/>
      <c r="AF559" s="230"/>
      <c r="AG559" s="227"/>
    </row>
    <row r="560" spans="1:33" x14ac:dyDescent="0.25">
      <c r="A560" s="32"/>
      <c r="B560" s="306"/>
      <c r="C560" s="307"/>
      <c r="D560" s="312"/>
      <c r="E560" s="301"/>
      <c r="F560" s="232"/>
      <c r="J560" s="306"/>
      <c r="K560" s="306"/>
      <c r="L560" s="313"/>
      <c r="M560" s="219"/>
      <c r="N560" s="218"/>
      <c r="S560" s="224"/>
      <c r="T560" s="228"/>
      <c r="U560" s="226"/>
      <c r="V560" s="226"/>
      <c r="W560" s="303"/>
      <c r="X560" s="220"/>
      <c r="Z560" s="227"/>
      <c r="AA560" s="220"/>
      <c r="AB560" s="221"/>
      <c r="AC560" s="229"/>
      <c r="AD560" s="230"/>
      <c r="AE560" s="230"/>
      <c r="AF560" s="230"/>
      <c r="AG560" s="227"/>
    </row>
    <row r="561" spans="1:33" x14ac:dyDescent="0.25">
      <c r="A561" s="32"/>
      <c r="B561" s="306"/>
      <c r="C561" s="307"/>
      <c r="D561" s="312"/>
      <c r="E561" s="301"/>
      <c r="F561" s="232"/>
      <c r="J561" s="306"/>
      <c r="K561" s="306"/>
      <c r="L561" s="313"/>
      <c r="M561" s="219"/>
      <c r="N561" s="218"/>
      <c r="S561" s="224"/>
      <c r="T561" s="228"/>
      <c r="U561" s="226"/>
      <c r="V561" s="226"/>
      <c r="W561" s="303"/>
      <c r="X561" s="220"/>
      <c r="Z561" s="227"/>
      <c r="AA561" s="220"/>
      <c r="AB561" s="221"/>
      <c r="AC561" s="229"/>
      <c r="AD561" s="230"/>
      <c r="AE561" s="230"/>
      <c r="AF561" s="230"/>
      <c r="AG561" s="227"/>
    </row>
    <row r="562" spans="1:33" x14ac:dyDescent="0.25">
      <c r="A562" s="32"/>
      <c r="B562" s="306"/>
      <c r="C562" s="307"/>
      <c r="D562" s="312"/>
      <c r="E562" s="301"/>
      <c r="F562" s="232"/>
      <c r="J562" s="306"/>
      <c r="K562" s="306"/>
      <c r="L562" s="313"/>
      <c r="M562" s="219"/>
      <c r="N562" s="218"/>
      <c r="S562" s="224"/>
      <c r="T562" s="228"/>
      <c r="U562" s="226"/>
      <c r="V562" s="226"/>
      <c r="W562" s="303"/>
      <c r="X562" s="220"/>
      <c r="Z562" s="227"/>
      <c r="AA562" s="220"/>
      <c r="AB562" s="221"/>
      <c r="AC562" s="229"/>
      <c r="AD562" s="230"/>
      <c r="AE562" s="230"/>
      <c r="AF562" s="230"/>
      <c r="AG562" s="227"/>
    </row>
    <row r="563" spans="1:33" x14ac:dyDescent="0.25">
      <c r="A563" s="32"/>
      <c r="B563" s="306"/>
      <c r="C563" s="307"/>
      <c r="D563" s="312"/>
      <c r="E563" s="301"/>
      <c r="F563" s="232"/>
      <c r="J563" s="306"/>
      <c r="K563" s="306"/>
      <c r="L563" s="313"/>
      <c r="M563" s="219"/>
      <c r="N563" s="218"/>
      <c r="S563" s="224"/>
      <c r="T563" s="228"/>
      <c r="U563" s="226"/>
      <c r="V563" s="226"/>
      <c r="W563" s="303"/>
      <c r="X563" s="220"/>
      <c r="Z563" s="227"/>
      <c r="AA563" s="220"/>
      <c r="AB563" s="221"/>
      <c r="AC563" s="229"/>
      <c r="AD563" s="230"/>
      <c r="AE563" s="230"/>
      <c r="AF563" s="230"/>
      <c r="AG563" s="227"/>
    </row>
    <row r="564" spans="1:33" x14ac:dyDescent="0.25">
      <c r="A564" s="32"/>
      <c r="B564" s="306"/>
      <c r="C564" s="307"/>
      <c r="D564" s="312"/>
      <c r="E564" s="301"/>
      <c r="F564" s="232"/>
      <c r="J564" s="306"/>
      <c r="K564" s="306"/>
      <c r="L564" s="313"/>
      <c r="M564" s="219"/>
      <c r="N564" s="218"/>
      <c r="S564" s="224"/>
      <c r="T564" s="228"/>
      <c r="U564" s="226"/>
      <c r="V564" s="226"/>
      <c r="W564" s="303"/>
      <c r="X564" s="220"/>
      <c r="Z564" s="227"/>
      <c r="AA564" s="220"/>
      <c r="AB564" s="221"/>
      <c r="AC564" s="229"/>
      <c r="AD564" s="230"/>
      <c r="AE564" s="230"/>
      <c r="AF564" s="230"/>
      <c r="AG564" s="227"/>
    </row>
    <row r="565" spans="1:33" x14ac:dyDescent="0.25">
      <c r="A565" s="32"/>
      <c r="B565" s="306"/>
      <c r="C565" s="307"/>
      <c r="D565" s="312"/>
      <c r="E565" s="301"/>
      <c r="F565" s="232"/>
      <c r="J565" s="306"/>
      <c r="K565" s="306"/>
      <c r="L565" s="313"/>
      <c r="M565" s="219"/>
      <c r="N565" s="218"/>
      <c r="S565" s="224"/>
      <c r="T565" s="228"/>
      <c r="U565" s="226"/>
      <c r="V565" s="226"/>
      <c r="W565" s="303"/>
      <c r="X565" s="220"/>
      <c r="Z565" s="227"/>
      <c r="AA565" s="220"/>
      <c r="AB565" s="221"/>
      <c r="AC565" s="229"/>
      <c r="AD565" s="230"/>
      <c r="AE565" s="230"/>
      <c r="AF565" s="230"/>
      <c r="AG565" s="227"/>
    </row>
    <row r="566" spans="1:33" x14ac:dyDescent="0.25">
      <c r="A566" s="32"/>
      <c r="B566" s="306"/>
      <c r="C566" s="307"/>
      <c r="D566" s="312"/>
      <c r="E566" s="301"/>
      <c r="F566" s="232"/>
      <c r="J566" s="306"/>
      <c r="K566" s="306"/>
      <c r="L566" s="313"/>
      <c r="M566" s="219"/>
      <c r="N566" s="218"/>
      <c r="S566" s="224"/>
      <c r="T566" s="228"/>
      <c r="U566" s="226"/>
      <c r="V566" s="226"/>
      <c r="W566" s="303"/>
      <c r="X566" s="220"/>
      <c r="Z566" s="227"/>
      <c r="AA566" s="220"/>
      <c r="AB566" s="221"/>
      <c r="AC566" s="229"/>
      <c r="AD566" s="230"/>
      <c r="AE566" s="230"/>
      <c r="AF566" s="230"/>
      <c r="AG566" s="227"/>
    </row>
    <row r="567" spans="1:33" x14ac:dyDescent="0.25">
      <c r="A567" s="32"/>
      <c r="B567" s="306"/>
      <c r="C567" s="307"/>
      <c r="D567" s="312"/>
      <c r="E567" s="301"/>
      <c r="F567" s="232"/>
      <c r="J567" s="306"/>
      <c r="K567" s="306"/>
      <c r="L567" s="313"/>
      <c r="M567" s="219"/>
      <c r="N567" s="218"/>
      <c r="S567" s="224"/>
      <c r="T567" s="228"/>
      <c r="U567" s="226"/>
      <c r="V567" s="226"/>
      <c r="W567" s="303"/>
      <c r="X567" s="220"/>
      <c r="Z567" s="227"/>
      <c r="AA567" s="220"/>
      <c r="AB567" s="221"/>
      <c r="AC567" s="229"/>
      <c r="AD567" s="230"/>
      <c r="AE567" s="230"/>
      <c r="AF567" s="230"/>
      <c r="AG567" s="227"/>
    </row>
    <row r="568" spans="1:33" x14ac:dyDescent="0.25">
      <c r="A568" s="32"/>
      <c r="B568" s="306"/>
      <c r="C568" s="307"/>
      <c r="D568" s="312"/>
      <c r="E568" s="301"/>
      <c r="F568" s="232"/>
      <c r="J568" s="306"/>
      <c r="K568" s="306"/>
      <c r="L568" s="313"/>
      <c r="M568" s="219"/>
      <c r="N568" s="218"/>
      <c r="S568" s="224"/>
      <c r="T568" s="228"/>
      <c r="U568" s="226"/>
      <c r="V568" s="226"/>
      <c r="W568" s="303"/>
      <c r="X568" s="220"/>
      <c r="Z568" s="227"/>
      <c r="AA568" s="220"/>
      <c r="AB568" s="221"/>
      <c r="AC568" s="229"/>
      <c r="AD568" s="230"/>
      <c r="AE568" s="230"/>
      <c r="AF568" s="230"/>
      <c r="AG568" s="227"/>
    </row>
    <row r="569" spans="1:33" x14ac:dyDescent="0.25">
      <c r="A569" s="32"/>
      <c r="B569" s="306"/>
      <c r="C569" s="307"/>
      <c r="D569" s="312"/>
      <c r="E569" s="301"/>
      <c r="F569" s="232"/>
      <c r="J569" s="306"/>
      <c r="K569" s="306"/>
      <c r="L569" s="313"/>
      <c r="M569" s="219"/>
      <c r="N569" s="218"/>
      <c r="S569" s="224"/>
      <c r="T569" s="228"/>
      <c r="U569" s="226"/>
      <c r="V569" s="226"/>
      <c r="W569" s="303"/>
      <c r="X569" s="220"/>
      <c r="Z569" s="227"/>
      <c r="AA569" s="220"/>
      <c r="AB569" s="221"/>
      <c r="AC569" s="229"/>
      <c r="AD569" s="230"/>
      <c r="AE569" s="230"/>
      <c r="AF569" s="230"/>
      <c r="AG569" s="227"/>
    </row>
    <row r="570" spans="1:33" x14ac:dyDescent="0.25">
      <c r="A570" s="32"/>
      <c r="B570" s="306"/>
      <c r="C570" s="307"/>
      <c r="D570" s="312"/>
      <c r="E570" s="301"/>
      <c r="F570" s="232"/>
      <c r="J570" s="306"/>
      <c r="K570" s="306"/>
      <c r="L570" s="313"/>
      <c r="M570" s="219"/>
      <c r="N570" s="218"/>
      <c r="S570" s="224"/>
      <c r="T570" s="228"/>
      <c r="U570" s="226"/>
      <c r="V570" s="226"/>
      <c r="W570" s="303"/>
      <c r="X570" s="220"/>
      <c r="Z570" s="227"/>
      <c r="AA570" s="220"/>
      <c r="AB570" s="221"/>
      <c r="AC570" s="229"/>
      <c r="AD570" s="230"/>
      <c r="AE570" s="230"/>
      <c r="AF570" s="230"/>
      <c r="AG570" s="227"/>
    </row>
    <row r="571" spans="1:33" x14ac:dyDescent="0.25">
      <c r="A571" s="32"/>
      <c r="B571" s="306"/>
      <c r="C571" s="307"/>
      <c r="D571" s="312"/>
      <c r="E571" s="301"/>
      <c r="F571" s="232"/>
      <c r="J571" s="306"/>
      <c r="K571" s="306"/>
      <c r="L571" s="313"/>
      <c r="M571" s="219"/>
      <c r="N571" s="218"/>
      <c r="S571" s="224"/>
      <c r="T571" s="228"/>
      <c r="U571" s="226"/>
      <c r="V571" s="226"/>
      <c r="W571" s="303"/>
      <c r="X571" s="220"/>
      <c r="Z571" s="227"/>
      <c r="AA571" s="220"/>
      <c r="AB571" s="221"/>
      <c r="AC571" s="229"/>
      <c r="AD571" s="230"/>
      <c r="AE571" s="230"/>
      <c r="AF571" s="230"/>
      <c r="AG571" s="227"/>
    </row>
    <row r="572" spans="1:33" x14ac:dyDescent="0.25">
      <c r="A572" s="32"/>
      <c r="B572" s="306"/>
      <c r="C572" s="307"/>
      <c r="D572" s="312"/>
      <c r="E572" s="301"/>
      <c r="F572" s="232"/>
      <c r="J572" s="306"/>
      <c r="K572" s="306"/>
      <c r="L572" s="313"/>
      <c r="M572" s="219"/>
      <c r="N572" s="218"/>
      <c r="S572" s="224"/>
      <c r="T572" s="228"/>
      <c r="U572" s="226"/>
      <c r="V572" s="226"/>
      <c r="W572" s="303"/>
      <c r="X572" s="220"/>
      <c r="Z572" s="227"/>
      <c r="AA572" s="220"/>
      <c r="AB572" s="221"/>
      <c r="AC572" s="229"/>
      <c r="AD572" s="230"/>
      <c r="AE572" s="230"/>
      <c r="AF572" s="230"/>
      <c r="AG572" s="227"/>
    </row>
    <row r="573" spans="1:33" x14ac:dyDescent="0.25">
      <c r="A573" s="32"/>
      <c r="B573" s="306"/>
      <c r="C573" s="307"/>
      <c r="D573" s="312"/>
      <c r="E573" s="301"/>
      <c r="F573" s="232"/>
      <c r="J573" s="306"/>
      <c r="K573" s="306"/>
      <c r="L573" s="313"/>
      <c r="M573" s="219"/>
      <c r="N573" s="218"/>
      <c r="S573" s="224"/>
      <c r="T573" s="228"/>
      <c r="U573" s="226"/>
      <c r="V573" s="226"/>
      <c r="W573" s="303"/>
      <c r="X573" s="220"/>
      <c r="Z573" s="227"/>
      <c r="AA573" s="220"/>
      <c r="AB573" s="221"/>
      <c r="AC573" s="229"/>
      <c r="AD573" s="230"/>
      <c r="AE573" s="230"/>
      <c r="AF573" s="230"/>
      <c r="AG573" s="227"/>
    </row>
    <row r="574" spans="1:33" x14ac:dyDescent="0.25">
      <c r="A574" s="32"/>
      <c r="B574" s="306"/>
      <c r="C574" s="307"/>
      <c r="D574" s="312"/>
      <c r="E574" s="301"/>
      <c r="F574" s="232"/>
      <c r="J574" s="306"/>
      <c r="K574" s="306"/>
      <c r="L574" s="313"/>
      <c r="M574" s="219"/>
      <c r="N574" s="218"/>
      <c r="S574" s="224"/>
      <c r="T574" s="228"/>
      <c r="U574" s="226"/>
      <c r="V574" s="226"/>
      <c r="W574" s="303"/>
      <c r="X574" s="220"/>
      <c r="Z574" s="227"/>
      <c r="AA574" s="220"/>
      <c r="AB574" s="221"/>
      <c r="AC574" s="229"/>
      <c r="AD574" s="230"/>
      <c r="AE574" s="230"/>
      <c r="AF574" s="230"/>
      <c r="AG574" s="227"/>
    </row>
    <row r="575" spans="1:33" x14ac:dyDescent="0.25">
      <c r="A575" s="32"/>
      <c r="B575" s="306"/>
      <c r="C575" s="307"/>
      <c r="D575" s="312"/>
      <c r="E575" s="301"/>
      <c r="F575" s="232"/>
      <c r="J575" s="306"/>
      <c r="K575" s="306"/>
      <c r="L575" s="313"/>
      <c r="M575" s="219"/>
      <c r="N575" s="218"/>
      <c r="S575" s="224"/>
      <c r="T575" s="228"/>
      <c r="U575" s="226"/>
      <c r="V575" s="226"/>
      <c r="W575" s="303"/>
      <c r="X575" s="220"/>
      <c r="Z575" s="227"/>
      <c r="AA575" s="220"/>
      <c r="AB575" s="221"/>
      <c r="AC575" s="229"/>
      <c r="AD575" s="230"/>
      <c r="AE575" s="230"/>
      <c r="AF575" s="230"/>
      <c r="AG575" s="227"/>
    </row>
    <row r="576" spans="1:33" x14ac:dyDescent="0.25">
      <c r="A576" s="32"/>
      <c r="B576" s="306"/>
      <c r="C576" s="307"/>
      <c r="D576" s="312"/>
      <c r="E576" s="301"/>
      <c r="F576" s="232"/>
      <c r="J576" s="306"/>
      <c r="K576" s="306"/>
      <c r="L576" s="313"/>
      <c r="M576" s="219"/>
      <c r="N576" s="218"/>
      <c r="S576" s="224"/>
      <c r="T576" s="228"/>
      <c r="U576" s="226"/>
      <c r="V576" s="226"/>
      <c r="W576" s="303"/>
      <c r="X576" s="220"/>
      <c r="Z576" s="227"/>
      <c r="AA576" s="220"/>
      <c r="AB576" s="221"/>
      <c r="AC576" s="229"/>
      <c r="AD576" s="230"/>
      <c r="AE576" s="230"/>
      <c r="AF576" s="230"/>
      <c r="AG576" s="227"/>
    </row>
    <row r="577" spans="1:33" x14ac:dyDescent="0.25">
      <c r="A577" s="32"/>
      <c r="B577" s="306"/>
      <c r="C577" s="307"/>
      <c r="D577" s="312"/>
      <c r="E577" s="301"/>
      <c r="F577" s="232"/>
      <c r="J577" s="306"/>
      <c r="K577" s="306"/>
      <c r="L577" s="313"/>
      <c r="M577" s="219"/>
      <c r="N577" s="218"/>
      <c r="S577" s="224"/>
      <c r="T577" s="228"/>
      <c r="U577" s="226"/>
      <c r="V577" s="226"/>
      <c r="W577" s="303"/>
      <c r="X577" s="220"/>
      <c r="Z577" s="227"/>
      <c r="AA577" s="220"/>
      <c r="AB577" s="221"/>
      <c r="AC577" s="229"/>
      <c r="AD577" s="230"/>
      <c r="AE577" s="230"/>
      <c r="AF577" s="230"/>
      <c r="AG577" s="227"/>
    </row>
    <row r="578" spans="1:33" x14ac:dyDescent="0.25">
      <c r="A578" s="32"/>
      <c r="B578" s="306"/>
      <c r="C578" s="307"/>
      <c r="D578" s="312"/>
      <c r="E578" s="301"/>
      <c r="F578" s="232"/>
      <c r="J578" s="306"/>
      <c r="K578" s="306"/>
      <c r="L578" s="313"/>
      <c r="M578" s="219"/>
      <c r="N578" s="218"/>
      <c r="S578" s="224"/>
      <c r="T578" s="228"/>
      <c r="U578" s="226"/>
      <c r="V578" s="226"/>
      <c r="W578" s="303"/>
      <c r="X578" s="220"/>
      <c r="Z578" s="227"/>
      <c r="AA578" s="220"/>
      <c r="AB578" s="221"/>
      <c r="AC578" s="229"/>
      <c r="AD578" s="230"/>
      <c r="AE578" s="230"/>
      <c r="AF578" s="230"/>
      <c r="AG578" s="227"/>
    </row>
    <row r="579" spans="1:33" x14ac:dyDescent="0.25">
      <c r="A579" s="32"/>
      <c r="B579" s="306"/>
      <c r="C579" s="307"/>
      <c r="D579" s="312"/>
      <c r="E579" s="301"/>
      <c r="F579" s="232"/>
      <c r="J579" s="306"/>
      <c r="K579" s="306"/>
      <c r="L579" s="313"/>
      <c r="M579" s="219"/>
      <c r="N579" s="218"/>
      <c r="S579" s="224"/>
      <c r="T579" s="228"/>
      <c r="U579" s="226"/>
      <c r="V579" s="226"/>
      <c r="W579" s="303"/>
      <c r="X579" s="220"/>
      <c r="Z579" s="227"/>
      <c r="AA579" s="220"/>
      <c r="AB579" s="221"/>
      <c r="AC579" s="229"/>
      <c r="AD579" s="230"/>
      <c r="AE579" s="230"/>
      <c r="AF579" s="230"/>
      <c r="AG579" s="227"/>
    </row>
    <row r="580" spans="1:33" x14ac:dyDescent="0.25">
      <c r="A580" s="32"/>
      <c r="B580" s="306"/>
      <c r="C580" s="307"/>
      <c r="D580" s="312"/>
      <c r="E580" s="301"/>
      <c r="F580" s="232"/>
      <c r="J580" s="306"/>
      <c r="K580" s="306"/>
      <c r="L580" s="313"/>
      <c r="M580" s="219"/>
      <c r="N580" s="218"/>
      <c r="S580" s="224"/>
      <c r="T580" s="228"/>
      <c r="U580" s="226"/>
      <c r="V580" s="226"/>
      <c r="W580" s="303"/>
      <c r="X580" s="220"/>
      <c r="Z580" s="227"/>
      <c r="AA580" s="220"/>
      <c r="AB580" s="221"/>
      <c r="AC580" s="229"/>
      <c r="AD580" s="230"/>
      <c r="AE580" s="230"/>
      <c r="AF580" s="230"/>
      <c r="AG580" s="227"/>
    </row>
    <row r="581" spans="1:33" x14ac:dyDescent="0.25">
      <c r="A581" s="32"/>
      <c r="B581" s="306"/>
      <c r="C581" s="307"/>
      <c r="D581" s="312"/>
      <c r="E581" s="301"/>
      <c r="F581" s="232"/>
      <c r="J581" s="306"/>
      <c r="K581" s="306"/>
      <c r="L581" s="313"/>
      <c r="M581" s="219"/>
      <c r="N581" s="218"/>
      <c r="S581" s="224"/>
      <c r="T581" s="228"/>
      <c r="U581" s="226"/>
      <c r="V581" s="226"/>
      <c r="W581" s="303"/>
      <c r="X581" s="220"/>
      <c r="Z581" s="227"/>
      <c r="AA581" s="220"/>
      <c r="AB581" s="221"/>
      <c r="AC581" s="229"/>
      <c r="AD581" s="230"/>
      <c r="AE581" s="230"/>
      <c r="AF581" s="230"/>
      <c r="AG581" s="227"/>
    </row>
    <row r="582" spans="1:33" x14ac:dyDescent="0.25">
      <c r="A582" s="32"/>
      <c r="B582" s="306"/>
      <c r="C582" s="307"/>
      <c r="D582" s="312"/>
      <c r="E582" s="301"/>
      <c r="F582" s="232"/>
      <c r="J582" s="306"/>
      <c r="K582" s="306"/>
      <c r="L582" s="313"/>
      <c r="M582" s="219"/>
      <c r="N582" s="218"/>
      <c r="S582" s="224"/>
      <c r="T582" s="228"/>
      <c r="U582" s="226"/>
      <c r="V582" s="226"/>
      <c r="W582" s="303"/>
      <c r="X582" s="220"/>
      <c r="Z582" s="227"/>
      <c r="AA582" s="220"/>
      <c r="AB582" s="221"/>
      <c r="AC582" s="229"/>
      <c r="AD582" s="230"/>
      <c r="AE582" s="230"/>
      <c r="AF582" s="230"/>
      <c r="AG582" s="227"/>
    </row>
    <row r="583" spans="1:33" x14ac:dyDescent="0.25">
      <c r="A583" s="32"/>
      <c r="B583" s="306"/>
      <c r="C583" s="307"/>
      <c r="D583" s="312"/>
      <c r="E583" s="301"/>
      <c r="F583" s="232"/>
      <c r="J583" s="306"/>
      <c r="K583" s="306"/>
      <c r="L583" s="313"/>
      <c r="M583" s="219"/>
      <c r="N583" s="218"/>
      <c r="S583" s="224"/>
      <c r="T583" s="228"/>
      <c r="U583" s="226"/>
      <c r="V583" s="226"/>
      <c r="W583" s="303"/>
      <c r="X583" s="220"/>
      <c r="Z583" s="227"/>
      <c r="AA583" s="220"/>
      <c r="AB583" s="221"/>
      <c r="AC583" s="229"/>
      <c r="AD583" s="230"/>
      <c r="AE583" s="230"/>
      <c r="AF583" s="230"/>
      <c r="AG583" s="227"/>
    </row>
    <row r="584" spans="1:33" x14ac:dyDescent="0.25">
      <c r="A584" s="32"/>
      <c r="B584" s="306"/>
      <c r="C584" s="307"/>
      <c r="D584" s="312"/>
      <c r="E584" s="301"/>
      <c r="F584" s="232"/>
      <c r="J584" s="306"/>
      <c r="K584" s="306"/>
      <c r="L584" s="313"/>
      <c r="M584" s="219"/>
      <c r="N584" s="218"/>
      <c r="S584" s="224"/>
      <c r="T584" s="228"/>
      <c r="U584" s="226"/>
      <c r="V584" s="226"/>
      <c r="W584" s="303"/>
      <c r="X584" s="220"/>
      <c r="Z584" s="227"/>
      <c r="AA584" s="220"/>
      <c r="AB584" s="221"/>
      <c r="AC584" s="229"/>
      <c r="AD584" s="230"/>
      <c r="AE584" s="230"/>
      <c r="AF584" s="230"/>
      <c r="AG584" s="227"/>
    </row>
    <row r="585" spans="1:33" x14ac:dyDescent="0.25">
      <c r="A585" s="32"/>
      <c r="B585" s="306"/>
      <c r="C585" s="307"/>
      <c r="D585" s="312"/>
      <c r="E585" s="301"/>
      <c r="F585" s="232"/>
      <c r="J585" s="306"/>
      <c r="K585" s="306"/>
      <c r="L585" s="313"/>
      <c r="M585" s="219"/>
      <c r="N585" s="218"/>
      <c r="S585" s="224"/>
      <c r="T585" s="228"/>
      <c r="U585" s="226"/>
      <c r="V585" s="226"/>
      <c r="W585" s="303"/>
      <c r="X585" s="220"/>
      <c r="Z585" s="227"/>
      <c r="AA585" s="220"/>
      <c r="AB585" s="221"/>
      <c r="AC585" s="229"/>
      <c r="AD585" s="230"/>
      <c r="AE585" s="230"/>
      <c r="AF585" s="230"/>
      <c r="AG585" s="227"/>
    </row>
    <row r="586" spans="1:33" x14ac:dyDescent="0.25">
      <c r="A586" s="32"/>
      <c r="B586" s="306"/>
      <c r="C586" s="307"/>
      <c r="D586" s="312"/>
      <c r="E586" s="301"/>
      <c r="F586" s="232"/>
      <c r="J586" s="306"/>
      <c r="K586" s="306"/>
      <c r="L586" s="313"/>
      <c r="M586" s="219"/>
      <c r="N586" s="218"/>
      <c r="S586" s="224"/>
      <c r="T586" s="228"/>
      <c r="U586" s="226"/>
      <c r="V586" s="226"/>
      <c r="W586" s="303"/>
      <c r="X586" s="220"/>
      <c r="Z586" s="227"/>
      <c r="AA586" s="220"/>
      <c r="AB586" s="221"/>
      <c r="AC586" s="229"/>
      <c r="AD586" s="230"/>
      <c r="AE586" s="230"/>
      <c r="AF586" s="230"/>
      <c r="AG586" s="227"/>
    </row>
    <row r="587" spans="1:33" x14ac:dyDescent="0.25">
      <c r="A587" s="32"/>
      <c r="B587" s="306"/>
      <c r="C587" s="307"/>
      <c r="D587" s="312"/>
      <c r="E587" s="301"/>
      <c r="F587" s="232"/>
      <c r="J587" s="306"/>
      <c r="K587" s="306"/>
      <c r="L587" s="313"/>
      <c r="M587" s="219"/>
      <c r="N587" s="218"/>
      <c r="S587" s="224"/>
      <c r="T587" s="228"/>
      <c r="U587" s="226"/>
      <c r="V587" s="226"/>
      <c r="W587" s="303"/>
      <c r="X587" s="220"/>
      <c r="Z587" s="227"/>
      <c r="AA587" s="220"/>
      <c r="AB587" s="221"/>
      <c r="AC587" s="229"/>
      <c r="AD587" s="230"/>
      <c r="AE587" s="230"/>
      <c r="AF587" s="230"/>
      <c r="AG587" s="227"/>
    </row>
    <row r="588" spans="1:33" x14ac:dyDescent="0.25">
      <c r="A588" s="32"/>
      <c r="B588" s="306"/>
      <c r="C588" s="307"/>
      <c r="D588" s="312"/>
      <c r="E588" s="301"/>
      <c r="F588" s="232"/>
      <c r="J588" s="306"/>
      <c r="K588" s="306"/>
      <c r="L588" s="313"/>
      <c r="M588" s="219"/>
      <c r="N588" s="218"/>
      <c r="S588" s="224"/>
      <c r="T588" s="228"/>
      <c r="U588" s="226"/>
      <c r="V588" s="226"/>
      <c r="W588" s="303"/>
      <c r="X588" s="220"/>
      <c r="Z588" s="227"/>
      <c r="AA588" s="220"/>
      <c r="AB588" s="221"/>
      <c r="AC588" s="229"/>
      <c r="AD588" s="230"/>
      <c r="AE588" s="230"/>
      <c r="AF588" s="230"/>
      <c r="AG588" s="227"/>
    </row>
    <row r="589" spans="1:33" x14ac:dyDescent="0.25">
      <c r="A589" s="32"/>
      <c r="B589" s="306"/>
      <c r="C589" s="307"/>
      <c r="D589" s="312"/>
      <c r="E589" s="301"/>
      <c r="F589" s="232"/>
      <c r="J589" s="306"/>
      <c r="K589" s="306"/>
      <c r="L589" s="313"/>
      <c r="M589" s="219"/>
      <c r="N589" s="218"/>
      <c r="S589" s="224"/>
      <c r="T589" s="228"/>
      <c r="U589" s="226"/>
      <c r="V589" s="226"/>
      <c r="W589" s="303"/>
      <c r="X589" s="220"/>
      <c r="Z589" s="227"/>
      <c r="AA589" s="220"/>
      <c r="AB589" s="221"/>
      <c r="AC589" s="229"/>
      <c r="AD589" s="230"/>
      <c r="AE589" s="230"/>
      <c r="AF589" s="230"/>
      <c r="AG589" s="227"/>
    </row>
    <row r="590" spans="1:33" x14ac:dyDescent="0.25">
      <c r="A590" s="32"/>
      <c r="B590" s="306"/>
      <c r="C590" s="307"/>
      <c r="D590" s="312"/>
      <c r="E590" s="301"/>
      <c r="F590" s="232"/>
      <c r="J590" s="306"/>
      <c r="K590" s="306"/>
      <c r="L590" s="313"/>
      <c r="M590" s="219"/>
      <c r="N590" s="218"/>
      <c r="S590" s="224"/>
      <c r="T590" s="228"/>
      <c r="U590" s="226"/>
      <c r="V590" s="226"/>
      <c r="W590" s="303"/>
      <c r="X590" s="220"/>
      <c r="Z590" s="227"/>
      <c r="AA590" s="220"/>
      <c r="AB590" s="221"/>
      <c r="AC590" s="229"/>
      <c r="AD590" s="230"/>
      <c r="AE590" s="230"/>
      <c r="AF590" s="230"/>
      <c r="AG590" s="227"/>
    </row>
    <row r="591" spans="1:33" x14ac:dyDescent="0.25">
      <c r="A591" s="32"/>
      <c r="B591" s="306"/>
      <c r="C591" s="307"/>
      <c r="D591" s="312"/>
      <c r="E591" s="301"/>
      <c r="F591" s="232"/>
      <c r="J591" s="306"/>
      <c r="K591" s="306"/>
      <c r="L591" s="313"/>
      <c r="M591" s="219"/>
      <c r="N591" s="218"/>
      <c r="S591" s="224"/>
      <c r="T591" s="228"/>
      <c r="U591" s="226"/>
      <c r="V591" s="226"/>
      <c r="W591" s="303"/>
      <c r="X591" s="220"/>
      <c r="Z591" s="227"/>
      <c r="AA591" s="220"/>
      <c r="AB591" s="221"/>
      <c r="AC591" s="229"/>
      <c r="AD591" s="230"/>
      <c r="AE591" s="230"/>
      <c r="AF591" s="230"/>
      <c r="AG591" s="227"/>
    </row>
    <row r="592" spans="1:33" x14ac:dyDescent="0.25">
      <c r="A592" s="32"/>
      <c r="B592" s="306"/>
      <c r="C592" s="307"/>
      <c r="D592" s="312"/>
      <c r="E592" s="301"/>
      <c r="F592" s="232"/>
      <c r="J592" s="306"/>
      <c r="K592" s="306"/>
      <c r="L592" s="313"/>
      <c r="M592" s="219"/>
      <c r="N592" s="218"/>
      <c r="S592" s="224"/>
      <c r="T592" s="228"/>
      <c r="U592" s="226"/>
      <c r="V592" s="226"/>
      <c r="W592" s="303"/>
      <c r="X592" s="220"/>
      <c r="Z592" s="227"/>
      <c r="AA592" s="220"/>
      <c r="AB592" s="221"/>
      <c r="AC592" s="229"/>
      <c r="AD592" s="230"/>
      <c r="AE592" s="230"/>
      <c r="AF592" s="230"/>
      <c r="AG592" s="227"/>
    </row>
    <row r="593" spans="1:33" x14ac:dyDescent="0.25">
      <c r="A593" s="32"/>
      <c r="B593" s="306"/>
      <c r="C593" s="307"/>
      <c r="D593" s="312"/>
      <c r="E593" s="301"/>
      <c r="F593" s="232"/>
      <c r="J593" s="306"/>
      <c r="K593" s="306"/>
      <c r="L593" s="313"/>
      <c r="M593" s="219"/>
      <c r="N593" s="218"/>
      <c r="S593" s="224"/>
      <c r="T593" s="228"/>
      <c r="U593" s="226"/>
      <c r="V593" s="226"/>
      <c r="W593" s="303"/>
      <c r="X593" s="220"/>
      <c r="Z593" s="227"/>
      <c r="AA593" s="220"/>
      <c r="AB593" s="221"/>
      <c r="AC593" s="229"/>
      <c r="AD593" s="230"/>
      <c r="AE593" s="230"/>
      <c r="AF593" s="230"/>
      <c r="AG593" s="227"/>
    </row>
    <row r="594" spans="1:33" x14ac:dyDescent="0.25">
      <c r="A594" s="32"/>
      <c r="B594" s="306"/>
      <c r="C594" s="307"/>
      <c r="D594" s="312"/>
      <c r="E594" s="301"/>
      <c r="F594" s="232"/>
      <c r="J594" s="306"/>
      <c r="K594" s="306"/>
      <c r="L594" s="313"/>
      <c r="M594" s="219"/>
      <c r="N594" s="218"/>
      <c r="S594" s="224"/>
      <c r="T594" s="228"/>
      <c r="U594" s="226"/>
      <c r="V594" s="226"/>
      <c r="W594" s="303"/>
      <c r="X594" s="220"/>
      <c r="Z594" s="227"/>
      <c r="AA594" s="220"/>
      <c r="AB594" s="221"/>
      <c r="AC594" s="229"/>
      <c r="AD594" s="230"/>
      <c r="AE594" s="230"/>
      <c r="AF594" s="230"/>
      <c r="AG594" s="227"/>
    </row>
    <row r="595" spans="1:33" x14ac:dyDescent="0.25">
      <c r="A595" s="32"/>
      <c r="B595" s="306"/>
      <c r="C595" s="307"/>
      <c r="D595" s="312"/>
      <c r="E595" s="301"/>
      <c r="F595" s="232"/>
      <c r="J595" s="306"/>
      <c r="K595" s="306"/>
      <c r="L595" s="313"/>
      <c r="M595" s="219"/>
      <c r="N595" s="218"/>
      <c r="S595" s="224"/>
      <c r="T595" s="228"/>
      <c r="U595" s="226"/>
      <c r="V595" s="226"/>
      <c r="W595" s="303"/>
      <c r="X595" s="220"/>
      <c r="Z595" s="227"/>
      <c r="AA595" s="220"/>
      <c r="AB595" s="221"/>
      <c r="AC595" s="229"/>
      <c r="AD595" s="230"/>
      <c r="AE595" s="230"/>
      <c r="AF595" s="230"/>
      <c r="AG595" s="227"/>
    </row>
    <row r="596" spans="1:33" x14ac:dyDescent="0.25">
      <c r="A596" s="32"/>
      <c r="B596" s="306"/>
      <c r="C596" s="307"/>
      <c r="D596" s="312"/>
      <c r="E596" s="301"/>
      <c r="F596" s="232"/>
      <c r="J596" s="306"/>
      <c r="K596" s="306"/>
      <c r="L596" s="313"/>
      <c r="M596" s="219"/>
      <c r="N596" s="218"/>
      <c r="S596" s="224"/>
      <c r="T596" s="228"/>
      <c r="U596" s="226"/>
      <c r="V596" s="226"/>
      <c r="W596" s="303"/>
      <c r="X596" s="220"/>
      <c r="Z596" s="227"/>
      <c r="AA596" s="220"/>
      <c r="AB596" s="221"/>
      <c r="AC596" s="229"/>
      <c r="AD596" s="230"/>
      <c r="AE596" s="230"/>
      <c r="AF596" s="230"/>
      <c r="AG596" s="227"/>
    </row>
    <row r="597" spans="1:33" x14ac:dyDescent="0.25">
      <c r="A597" s="32"/>
      <c r="B597" s="306"/>
      <c r="C597" s="307"/>
      <c r="D597" s="312"/>
      <c r="E597" s="301"/>
      <c r="F597" s="232"/>
      <c r="J597" s="306"/>
      <c r="K597" s="306"/>
      <c r="L597" s="313"/>
      <c r="M597" s="219"/>
      <c r="N597" s="218"/>
      <c r="S597" s="224"/>
      <c r="T597" s="228"/>
      <c r="U597" s="226"/>
      <c r="V597" s="226"/>
      <c r="W597" s="303"/>
      <c r="X597" s="220"/>
      <c r="Z597" s="227"/>
      <c r="AA597" s="220"/>
      <c r="AB597" s="221"/>
      <c r="AC597" s="229"/>
      <c r="AD597" s="230"/>
      <c r="AE597" s="230"/>
      <c r="AF597" s="230"/>
      <c r="AG597" s="227"/>
    </row>
    <row r="598" spans="1:33" x14ac:dyDescent="0.25">
      <c r="A598" s="32"/>
      <c r="B598" s="306"/>
      <c r="C598" s="307"/>
      <c r="D598" s="312"/>
      <c r="E598" s="301"/>
      <c r="F598" s="232"/>
      <c r="J598" s="306"/>
      <c r="K598" s="306"/>
      <c r="L598" s="313"/>
      <c r="M598" s="219"/>
      <c r="N598" s="218"/>
      <c r="S598" s="224"/>
      <c r="T598" s="228"/>
      <c r="U598" s="226"/>
      <c r="V598" s="226"/>
      <c r="W598" s="303"/>
      <c r="X598" s="220"/>
      <c r="Z598" s="227"/>
      <c r="AA598" s="220"/>
      <c r="AB598" s="221"/>
      <c r="AC598" s="229"/>
      <c r="AD598" s="230"/>
      <c r="AE598" s="230"/>
      <c r="AF598" s="230"/>
      <c r="AG598" s="227"/>
    </row>
    <row r="599" spans="1:33" x14ac:dyDescent="0.25">
      <c r="A599" s="32"/>
      <c r="B599" s="306"/>
      <c r="C599" s="307"/>
      <c r="D599" s="312"/>
      <c r="E599" s="301"/>
      <c r="F599" s="232"/>
      <c r="J599" s="306"/>
      <c r="K599" s="306"/>
      <c r="L599" s="313"/>
      <c r="M599" s="219"/>
      <c r="N599" s="218"/>
      <c r="S599" s="224"/>
      <c r="T599" s="228"/>
      <c r="U599" s="226"/>
      <c r="V599" s="226"/>
      <c r="W599" s="303"/>
      <c r="X599" s="220"/>
      <c r="Z599" s="227"/>
      <c r="AA599" s="220"/>
      <c r="AB599" s="221"/>
      <c r="AC599" s="229"/>
      <c r="AD599" s="230"/>
      <c r="AE599" s="230"/>
      <c r="AF599" s="230"/>
      <c r="AG599" s="227"/>
    </row>
    <row r="600" spans="1:33" x14ac:dyDescent="0.25">
      <c r="A600" s="32"/>
      <c r="B600" s="306"/>
      <c r="C600" s="307"/>
      <c r="D600" s="312"/>
      <c r="E600" s="301"/>
      <c r="F600" s="232"/>
      <c r="J600" s="306"/>
      <c r="K600" s="306"/>
      <c r="L600" s="313"/>
      <c r="M600" s="219"/>
      <c r="N600" s="218"/>
      <c r="S600" s="224"/>
      <c r="T600" s="228"/>
      <c r="U600" s="226"/>
      <c r="V600" s="226"/>
      <c r="W600" s="303"/>
      <c r="X600" s="220"/>
      <c r="Z600" s="227"/>
      <c r="AA600" s="220"/>
      <c r="AB600" s="221"/>
      <c r="AC600" s="229"/>
      <c r="AD600" s="230"/>
      <c r="AE600" s="230"/>
      <c r="AF600" s="230"/>
      <c r="AG600" s="227"/>
    </row>
    <row r="601" spans="1:33" x14ac:dyDescent="0.25">
      <c r="A601" s="32"/>
      <c r="B601" s="306"/>
      <c r="C601" s="307"/>
      <c r="D601" s="312"/>
      <c r="E601" s="301"/>
      <c r="F601" s="232"/>
      <c r="J601" s="306"/>
      <c r="K601" s="306"/>
      <c r="L601" s="313"/>
      <c r="M601" s="219"/>
      <c r="N601" s="218"/>
      <c r="S601" s="224"/>
      <c r="T601" s="228"/>
      <c r="U601" s="226"/>
      <c r="V601" s="226"/>
      <c r="W601" s="303"/>
      <c r="X601" s="220"/>
      <c r="Z601" s="227"/>
      <c r="AA601" s="220"/>
      <c r="AB601" s="221"/>
      <c r="AC601" s="229"/>
      <c r="AD601" s="230"/>
      <c r="AE601" s="230"/>
      <c r="AF601" s="230"/>
      <c r="AG601" s="227"/>
    </row>
    <row r="602" spans="1:33" x14ac:dyDescent="0.25">
      <c r="A602" s="32"/>
      <c r="B602" s="306"/>
      <c r="C602" s="307"/>
      <c r="D602" s="312"/>
      <c r="E602" s="301"/>
      <c r="F602" s="232"/>
      <c r="J602" s="306"/>
      <c r="K602" s="306"/>
      <c r="L602" s="313"/>
      <c r="M602" s="219"/>
      <c r="N602" s="218"/>
      <c r="S602" s="224"/>
      <c r="T602" s="228"/>
      <c r="U602" s="226"/>
      <c r="V602" s="226"/>
      <c r="W602" s="303"/>
      <c r="X602" s="220"/>
      <c r="Z602" s="227"/>
      <c r="AA602" s="220"/>
      <c r="AB602" s="221"/>
      <c r="AC602" s="229"/>
      <c r="AD602" s="230"/>
      <c r="AE602" s="230"/>
      <c r="AF602" s="230"/>
      <c r="AG602" s="227"/>
    </row>
    <row r="603" spans="1:33" x14ac:dyDescent="0.25">
      <c r="A603" s="32"/>
      <c r="B603" s="306"/>
      <c r="C603" s="307"/>
      <c r="D603" s="312"/>
      <c r="E603" s="301"/>
      <c r="F603" s="232"/>
      <c r="J603" s="306"/>
      <c r="K603" s="306"/>
      <c r="L603" s="313"/>
      <c r="M603" s="219"/>
      <c r="N603" s="218"/>
      <c r="S603" s="224"/>
      <c r="T603" s="228"/>
      <c r="U603" s="226"/>
      <c r="V603" s="226"/>
      <c r="W603" s="303"/>
      <c r="X603" s="220"/>
      <c r="Z603" s="227"/>
      <c r="AA603" s="220"/>
      <c r="AB603" s="221"/>
      <c r="AC603" s="229"/>
      <c r="AD603" s="230"/>
      <c r="AE603" s="230"/>
      <c r="AF603" s="230"/>
      <c r="AG603" s="227"/>
    </row>
    <row r="604" spans="1:33" x14ac:dyDescent="0.25">
      <c r="A604" s="32"/>
      <c r="B604" s="306"/>
      <c r="C604" s="307"/>
      <c r="D604" s="312"/>
      <c r="E604" s="301"/>
      <c r="F604" s="232"/>
      <c r="J604" s="306"/>
      <c r="K604" s="306"/>
      <c r="L604" s="313"/>
      <c r="M604" s="219"/>
      <c r="N604" s="218"/>
      <c r="S604" s="224"/>
      <c r="T604" s="228"/>
      <c r="U604" s="226"/>
      <c r="V604" s="226"/>
      <c r="W604" s="303"/>
      <c r="X604" s="220"/>
      <c r="Z604" s="227"/>
      <c r="AA604" s="220"/>
      <c r="AB604" s="221"/>
      <c r="AC604" s="229"/>
      <c r="AD604" s="230"/>
      <c r="AE604" s="230"/>
      <c r="AF604" s="230"/>
      <c r="AG604" s="227"/>
    </row>
    <row r="605" spans="1:33" x14ac:dyDescent="0.25">
      <c r="A605" s="32"/>
      <c r="B605" s="306"/>
      <c r="C605" s="307"/>
      <c r="D605" s="312"/>
      <c r="E605" s="301"/>
      <c r="F605" s="232"/>
      <c r="J605" s="306"/>
      <c r="K605" s="306"/>
      <c r="L605" s="313"/>
      <c r="M605" s="219"/>
      <c r="N605" s="218"/>
      <c r="S605" s="224"/>
      <c r="T605" s="228"/>
      <c r="U605" s="226"/>
      <c r="V605" s="226"/>
      <c r="W605" s="303"/>
      <c r="X605" s="220"/>
      <c r="Z605" s="227"/>
      <c r="AA605" s="220"/>
      <c r="AB605" s="221"/>
      <c r="AC605" s="229"/>
      <c r="AD605" s="230"/>
      <c r="AE605" s="230"/>
      <c r="AF605" s="230"/>
      <c r="AG605" s="227"/>
    </row>
    <row r="606" spans="1:33" x14ac:dyDescent="0.25">
      <c r="A606" s="32"/>
      <c r="B606" s="306"/>
      <c r="C606" s="307"/>
      <c r="D606" s="312"/>
      <c r="E606" s="301"/>
      <c r="F606" s="232"/>
      <c r="J606" s="306"/>
      <c r="K606" s="306"/>
      <c r="L606" s="313"/>
      <c r="M606" s="219"/>
      <c r="N606" s="218"/>
      <c r="S606" s="224"/>
      <c r="T606" s="228"/>
      <c r="U606" s="226"/>
      <c r="V606" s="226"/>
      <c r="W606" s="303"/>
      <c r="X606" s="220"/>
      <c r="Z606" s="227"/>
      <c r="AA606" s="220"/>
      <c r="AB606" s="221"/>
      <c r="AC606" s="229"/>
      <c r="AD606" s="230"/>
      <c r="AE606" s="230"/>
      <c r="AF606" s="230"/>
      <c r="AG606" s="227"/>
    </row>
    <row r="607" spans="1:33" x14ac:dyDescent="0.25">
      <c r="A607" s="32"/>
      <c r="B607" s="306"/>
      <c r="C607" s="307"/>
      <c r="D607" s="312"/>
      <c r="E607" s="301"/>
      <c r="F607" s="232"/>
      <c r="J607" s="306"/>
      <c r="K607" s="306"/>
      <c r="L607" s="313"/>
      <c r="M607" s="219"/>
      <c r="N607" s="218"/>
      <c r="S607" s="224"/>
      <c r="T607" s="228"/>
      <c r="U607" s="226"/>
      <c r="V607" s="226"/>
      <c r="W607" s="303"/>
      <c r="X607" s="220"/>
      <c r="Z607" s="227"/>
      <c r="AA607" s="220"/>
      <c r="AB607" s="221"/>
      <c r="AC607" s="229"/>
      <c r="AD607" s="230"/>
      <c r="AE607" s="230"/>
      <c r="AF607" s="230"/>
      <c r="AG607" s="227"/>
    </row>
    <row r="608" spans="1:33" x14ac:dyDescent="0.25">
      <c r="A608" s="32"/>
      <c r="B608" s="306"/>
      <c r="C608" s="307"/>
      <c r="D608" s="312"/>
      <c r="E608" s="301"/>
      <c r="F608" s="232"/>
      <c r="J608" s="306"/>
      <c r="K608" s="306"/>
      <c r="L608" s="313"/>
      <c r="M608" s="219"/>
      <c r="N608" s="218"/>
      <c r="S608" s="224"/>
      <c r="T608" s="228"/>
      <c r="U608" s="226"/>
      <c r="V608" s="226"/>
      <c r="W608" s="303"/>
      <c r="X608" s="220"/>
      <c r="Z608" s="227"/>
      <c r="AA608" s="220"/>
      <c r="AB608" s="221"/>
      <c r="AC608" s="229"/>
      <c r="AD608" s="230"/>
      <c r="AE608" s="230"/>
      <c r="AF608" s="230"/>
      <c r="AG608" s="227"/>
    </row>
    <row r="609" spans="1:33" x14ac:dyDescent="0.25">
      <c r="A609" s="32"/>
      <c r="B609" s="306"/>
      <c r="C609" s="307"/>
      <c r="D609" s="312"/>
      <c r="E609" s="301"/>
      <c r="F609" s="232"/>
      <c r="J609" s="306"/>
      <c r="K609" s="306"/>
      <c r="L609" s="313"/>
      <c r="M609" s="219"/>
      <c r="N609" s="218"/>
      <c r="S609" s="224"/>
      <c r="T609" s="228"/>
      <c r="U609" s="226"/>
      <c r="V609" s="226"/>
      <c r="W609" s="303"/>
      <c r="X609" s="220"/>
      <c r="Z609" s="227"/>
      <c r="AA609" s="220"/>
      <c r="AB609" s="221"/>
      <c r="AC609" s="229"/>
      <c r="AD609" s="230"/>
      <c r="AE609" s="230"/>
      <c r="AF609" s="230"/>
      <c r="AG609" s="227"/>
    </row>
    <row r="610" spans="1:33" x14ac:dyDescent="0.25">
      <c r="A610" s="32"/>
      <c r="B610" s="306"/>
      <c r="C610" s="307"/>
      <c r="D610" s="312"/>
      <c r="E610" s="301"/>
      <c r="F610" s="232"/>
      <c r="J610" s="306"/>
      <c r="K610" s="306"/>
      <c r="L610" s="313"/>
      <c r="M610" s="219"/>
      <c r="N610" s="218"/>
      <c r="S610" s="224"/>
      <c r="T610" s="228"/>
      <c r="U610" s="226"/>
      <c r="V610" s="226"/>
      <c r="W610" s="303"/>
      <c r="X610" s="220"/>
      <c r="Z610" s="227"/>
      <c r="AA610" s="220"/>
      <c r="AB610" s="221"/>
      <c r="AC610" s="229"/>
      <c r="AD610" s="230"/>
      <c r="AE610" s="230"/>
      <c r="AF610" s="230"/>
      <c r="AG610" s="227"/>
    </row>
    <row r="611" spans="1:33" x14ac:dyDescent="0.25">
      <c r="A611" s="32"/>
      <c r="B611" s="306"/>
      <c r="C611" s="307"/>
      <c r="D611" s="312"/>
      <c r="E611" s="301"/>
      <c r="F611" s="232"/>
      <c r="J611" s="306"/>
      <c r="K611" s="306"/>
      <c r="L611" s="313"/>
      <c r="M611" s="219"/>
      <c r="N611" s="218"/>
      <c r="S611" s="224"/>
      <c r="T611" s="228"/>
      <c r="U611" s="226"/>
      <c r="V611" s="226"/>
      <c r="W611" s="303"/>
      <c r="X611" s="220"/>
      <c r="Z611" s="227"/>
      <c r="AA611" s="220"/>
      <c r="AB611" s="221"/>
      <c r="AC611" s="229"/>
      <c r="AD611" s="230"/>
      <c r="AE611" s="230"/>
      <c r="AF611" s="230"/>
      <c r="AG611" s="227"/>
    </row>
    <row r="612" spans="1:33" x14ac:dyDescent="0.25">
      <c r="A612" s="32"/>
      <c r="B612" s="306"/>
      <c r="C612" s="307"/>
      <c r="D612" s="312"/>
      <c r="E612" s="301"/>
      <c r="F612" s="232"/>
      <c r="J612" s="306"/>
      <c r="K612" s="306"/>
      <c r="L612" s="313"/>
      <c r="M612" s="219"/>
      <c r="N612" s="218"/>
      <c r="S612" s="224"/>
      <c r="T612" s="228"/>
      <c r="U612" s="226"/>
      <c r="V612" s="226"/>
      <c r="W612" s="303"/>
      <c r="X612" s="220"/>
      <c r="Z612" s="227"/>
      <c r="AA612" s="220"/>
      <c r="AB612" s="221"/>
      <c r="AC612" s="229"/>
      <c r="AD612" s="230"/>
      <c r="AE612" s="230"/>
      <c r="AF612" s="230"/>
      <c r="AG612" s="227"/>
    </row>
    <row r="613" spans="1:33" x14ac:dyDescent="0.25">
      <c r="A613" s="32"/>
      <c r="B613" s="306"/>
      <c r="C613" s="307"/>
      <c r="D613" s="312"/>
      <c r="E613" s="301"/>
      <c r="F613" s="232"/>
      <c r="J613" s="306"/>
      <c r="K613" s="306"/>
      <c r="L613" s="313"/>
      <c r="M613" s="219"/>
      <c r="N613" s="218"/>
      <c r="S613" s="224"/>
      <c r="T613" s="228"/>
      <c r="U613" s="226"/>
      <c r="V613" s="226"/>
      <c r="W613" s="303"/>
      <c r="X613" s="220"/>
      <c r="Z613" s="227"/>
      <c r="AA613" s="220"/>
      <c r="AB613" s="221"/>
      <c r="AC613" s="229"/>
      <c r="AD613" s="230"/>
      <c r="AE613" s="230"/>
      <c r="AF613" s="230"/>
      <c r="AG613" s="227"/>
    </row>
    <row r="614" spans="1:33" x14ac:dyDescent="0.25">
      <c r="A614" s="32"/>
      <c r="B614" s="306"/>
      <c r="C614" s="307"/>
      <c r="D614" s="312"/>
      <c r="E614" s="301"/>
      <c r="F614" s="232"/>
      <c r="J614" s="306"/>
      <c r="K614" s="306"/>
      <c r="L614" s="313"/>
      <c r="M614" s="219"/>
      <c r="N614" s="218"/>
      <c r="S614" s="224"/>
      <c r="T614" s="228"/>
      <c r="U614" s="226"/>
      <c r="V614" s="226"/>
      <c r="W614" s="303"/>
      <c r="X614" s="220"/>
      <c r="Z614" s="227"/>
      <c r="AA614" s="220"/>
      <c r="AB614" s="221"/>
      <c r="AC614" s="229"/>
      <c r="AD614" s="230"/>
      <c r="AE614" s="230"/>
      <c r="AF614" s="230"/>
      <c r="AG614" s="227"/>
    </row>
    <row r="615" spans="1:33" x14ac:dyDescent="0.25">
      <c r="A615" s="32"/>
      <c r="B615" s="306"/>
      <c r="C615" s="307"/>
      <c r="D615" s="312"/>
      <c r="E615" s="301"/>
      <c r="F615" s="232"/>
      <c r="J615" s="306"/>
      <c r="K615" s="306"/>
      <c r="L615" s="313"/>
      <c r="M615" s="219"/>
      <c r="N615" s="218"/>
      <c r="S615" s="224"/>
      <c r="T615" s="228"/>
      <c r="U615" s="226"/>
      <c r="V615" s="226"/>
      <c r="W615" s="303"/>
      <c r="X615" s="220"/>
      <c r="Z615" s="227"/>
      <c r="AA615" s="220"/>
      <c r="AB615" s="221"/>
      <c r="AC615" s="229"/>
      <c r="AD615" s="230"/>
      <c r="AE615" s="230"/>
      <c r="AF615" s="230"/>
      <c r="AG615" s="227"/>
    </row>
    <row r="616" spans="1:33" x14ac:dyDescent="0.25">
      <c r="A616" s="32"/>
      <c r="B616" s="306"/>
      <c r="C616" s="307"/>
      <c r="D616" s="312"/>
      <c r="E616" s="301"/>
      <c r="F616" s="232"/>
      <c r="J616" s="306"/>
      <c r="K616" s="306"/>
      <c r="L616" s="313"/>
      <c r="M616" s="219"/>
      <c r="N616" s="218"/>
      <c r="S616" s="224"/>
      <c r="T616" s="228"/>
      <c r="U616" s="226"/>
      <c r="V616" s="226"/>
      <c r="W616" s="303"/>
      <c r="X616" s="220"/>
      <c r="Z616" s="227"/>
      <c r="AA616" s="220"/>
      <c r="AB616" s="221"/>
      <c r="AC616" s="229"/>
      <c r="AD616" s="230"/>
      <c r="AE616" s="230"/>
      <c r="AF616" s="230"/>
      <c r="AG616" s="227"/>
    </row>
    <row r="617" spans="1:33" x14ac:dyDescent="0.25">
      <c r="A617" s="32"/>
      <c r="B617" s="306"/>
      <c r="C617" s="307"/>
      <c r="D617" s="312"/>
      <c r="E617" s="301"/>
      <c r="F617" s="232"/>
      <c r="J617" s="306"/>
      <c r="K617" s="306"/>
      <c r="L617" s="313"/>
      <c r="M617" s="219"/>
      <c r="N617" s="218"/>
      <c r="S617" s="224"/>
      <c r="T617" s="228"/>
      <c r="U617" s="226"/>
      <c r="V617" s="226"/>
      <c r="W617" s="303"/>
      <c r="X617" s="220"/>
      <c r="Z617" s="227"/>
      <c r="AA617" s="220"/>
      <c r="AB617" s="221"/>
      <c r="AC617" s="229"/>
      <c r="AD617" s="230"/>
      <c r="AE617" s="230"/>
      <c r="AF617" s="230"/>
      <c r="AG617" s="227"/>
    </row>
    <row r="618" spans="1:33" x14ac:dyDescent="0.25">
      <c r="A618" s="32"/>
      <c r="B618" s="306"/>
      <c r="C618" s="307"/>
      <c r="D618" s="312"/>
      <c r="E618" s="301"/>
      <c r="F618" s="232"/>
      <c r="J618" s="306"/>
      <c r="K618" s="306"/>
      <c r="L618" s="313"/>
      <c r="M618" s="219"/>
      <c r="N618" s="218"/>
      <c r="S618" s="224"/>
      <c r="T618" s="228"/>
      <c r="U618" s="226"/>
      <c r="V618" s="226"/>
      <c r="W618" s="303"/>
      <c r="X618" s="220"/>
      <c r="Z618" s="227"/>
      <c r="AA618" s="220"/>
      <c r="AB618" s="221"/>
      <c r="AC618" s="229"/>
      <c r="AD618" s="230"/>
      <c r="AE618" s="230"/>
      <c r="AF618" s="230"/>
      <c r="AG618" s="227"/>
    </row>
    <row r="619" spans="1:33" x14ac:dyDescent="0.25">
      <c r="A619" s="32"/>
      <c r="B619" s="306"/>
      <c r="C619" s="307"/>
      <c r="D619" s="312"/>
      <c r="E619" s="301"/>
      <c r="F619" s="232"/>
      <c r="J619" s="306"/>
      <c r="K619" s="306"/>
      <c r="L619" s="313"/>
      <c r="M619" s="219"/>
      <c r="N619" s="218"/>
      <c r="S619" s="224"/>
      <c r="T619" s="228"/>
      <c r="U619" s="226"/>
      <c r="V619" s="226"/>
      <c r="W619" s="303"/>
      <c r="X619" s="220"/>
      <c r="Z619" s="227"/>
      <c r="AA619" s="220"/>
      <c r="AB619" s="221"/>
      <c r="AC619" s="229"/>
      <c r="AD619" s="230"/>
      <c r="AE619" s="230"/>
      <c r="AF619" s="230"/>
      <c r="AG619" s="227"/>
    </row>
    <row r="620" spans="1:33" x14ac:dyDescent="0.25">
      <c r="A620" s="32"/>
      <c r="B620" s="306"/>
      <c r="C620" s="307"/>
      <c r="D620" s="312"/>
      <c r="E620" s="301"/>
      <c r="F620" s="232"/>
      <c r="J620" s="306"/>
      <c r="K620" s="306"/>
      <c r="L620" s="313"/>
      <c r="M620" s="219"/>
      <c r="N620" s="218"/>
      <c r="S620" s="224"/>
      <c r="T620" s="228"/>
      <c r="U620" s="226"/>
      <c r="V620" s="226"/>
      <c r="W620" s="303"/>
      <c r="X620" s="220"/>
      <c r="Z620" s="227"/>
      <c r="AA620" s="220"/>
      <c r="AB620" s="221"/>
      <c r="AC620" s="229"/>
      <c r="AD620" s="230"/>
      <c r="AE620" s="230"/>
      <c r="AF620" s="230"/>
      <c r="AG620" s="227"/>
    </row>
    <row r="621" spans="1:33" x14ac:dyDescent="0.25">
      <c r="A621" s="32"/>
      <c r="B621" s="306"/>
      <c r="C621" s="307"/>
      <c r="D621" s="312"/>
      <c r="E621" s="301"/>
      <c r="F621" s="232"/>
      <c r="J621" s="306"/>
      <c r="K621" s="306"/>
      <c r="L621" s="313"/>
      <c r="M621" s="219"/>
      <c r="N621" s="218"/>
      <c r="S621" s="224"/>
      <c r="T621" s="228"/>
      <c r="U621" s="226"/>
      <c r="V621" s="226"/>
      <c r="W621" s="303"/>
      <c r="X621" s="220"/>
      <c r="Z621" s="227"/>
      <c r="AA621" s="220"/>
      <c r="AB621" s="221"/>
      <c r="AC621" s="229"/>
      <c r="AD621" s="230"/>
      <c r="AE621" s="230"/>
      <c r="AF621" s="230"/>
      <c r="AG621" s="227"/>
    </row>
    <row r="622" spans="1:33" x14ac:dyDescent="0.25">
      <c r="A622" s="32"/>
      <c r="B622" s="306"/>
      <c r="C622" s="307"/>
      <c r="D622" s="312"/>
      <c r="E622" s="301"/>
      <c r="F622" s="232"/>
      <c r="J622" s="306"/>
      <c r="K622" s="306"/>
      <c r="L622" s="313"/>
      <c r="M622" s="219"/>
      <c r="N622" s="218"/>
      <c r="S622" s="224"/>
      <c r="T622" s="228"/>
      <c r="U622" s="226"/>
      <c r="V622" s="226"/>
      <c r="W622" s="303"/>
      <c r="X622" s="220"/>
      <c r="Z622" s="227"/>
      <c r="AA622" s="220"/>
      <c r="AB622" s="221"/>
      <c r="AC622" s="229"/>
      <c r="AD622" s="230"/>
      <c r="AE622" s="230"/>
      <c r="AF622" s="230"/>
      <c r="AG622" s="227"/>
    </row>
    <row r="623" spans="1:33" x14ac:dyDescent="0.25">
      <c r="A623" s="32"/>
      <c r="B623" s="306"/>
      <c r="C623" s="307"/>
      <c r="D623" s="312"/>
      <c r="E623" s="301"/>
      <c r="F623" s="232"/>
      <c r="J623" s="306"/>
      <c r="K623" s="306"/>
      <c r="L623" s="313"/>
      <c r="M623" s="219"/>
      <c r="N623" s="218"/>
      <c r="S623" s="224"/>
      <c r="T623" s="228"/>
      <c r="U623" s="226"/>
      <c r="V623" s="226"/>
      <c r="W623" s="303"/>
      <c r="X623" s="220"/>
      <c r="Z623" s="227"/>
      <c r="AA623" s="220"/>
      <c r="AB623" s="221"/>
      <c r="AC623" s="229"/>
      <c r="AD623" s="230"/>
      <c r="AE623" s="230"/>
      <c r="AF623" s="230"/>
      <c r="AG623" s="227"/>
    </row>
    <row r="624" spans="1:33" x14ac:dyDescent="0.25">
      <c r="A624" s="32"/>
      <c r="B624" s="306"/>
      <c r="C624" s="307"/>
      <c r="D624" s="312"/>
      <c r="E624" s="301"/>
      <c r="F624" s="232"/>
      <c r="J624" s="306"/>
      <c r="K624" s="306"/>
      <c r="L624" s="313"/>
      <c r="M624" s="219"/>
      <c r="N624" s="218"/>
      <c r="S624" s="224"/>
      <c r="T624" s="228"/>
      <c r="U624" s="226"/>
      <c r="V624" s="226"/>
      <c r="W624" s="303"/>
      <c r="X624" s="220"/>
      <c r="Z624" s="227"/>
      <c r="AA624" s="220"/>
      <c r="AB624" s="221"/>
      <c r="AC624" s="229"/>
      <c r="AD624" s="230"/>
      <c r="AE624" s="230"/>
      <c r="AF624" s="230"/>
      <c r="AG624" s="227"/>
    </row>
    <row r="625" spans="1:33" x14ac:dyDescent="0.25">
      <c r="A625" s="32"/>
      <c r="B625" s="306"/>
      <c r="C625" s="307"/>
      <c r="D625" s="312"/>
      <c r="E625" s="301"/>
      <c r="F625" s="232"/>
      <c r="J625" s="306"/>
      <c r="K625" s="306"/>
      <c r="L625" s="313"/>
      <c r="M625" s="219"/>
      <c r="N625" s="218"/>
      <c r="S625" s="224"/>
      <c r="T625" s="228"/>
      <c r="U625" s="226"/>
      <c r="V625" s="226"/>
      <c r="W625" s="303"/>
      <c r="X625" s="220"/>
      <c r="Z625" s="227"/>
      <c r="AA625" s="220"/>
      <c r="AB625" s="221"/>
      <c r="AC625" s="229"/>
      <c r="AD625" s="230"/>
      <c r="AE625" s="230"/>
      <c r="AF625" s="230"/>
      <c r="AG625" s="227"/>
    </row>
    <row r="626" spans="1:33" x14ac:dyDescent="0.25">
      <c r="A626" s="32"/>
      <c r="B626" s="306"/>
      <c r="C626" s="307"/>
      <c r="D626" s="312"/>
      <c r="E626" s="301"/>
      <c r="F626" s="232"/>
      <c r="J626" s="306"/>
      <c r="K626" s="306"/>
      <c r="L626" s="313"/>
      <c r="M626" s="219"/>
      <c r="N626" s="218"/>
      <c r="S626" s="224"/>
      <c r="T626" s="228"/>
      <c r="U626" s="226"/>
      <c r="V626" s="226"/>
      <c r="W626" s="303"/>
      <c r="X626" s="220"/>
      <c r="Z626" s="227"/>
      <c r="AA626" s="220"/>
      <c r="AB626" s="221"/>
      <c r="AC626" s="229"/>
      <c r="AD626" s="230"/>
      <c r="AE626" s="230"/>
      <c r="AF626" s="230"/>
      <c r="AG626" s="227"/>
    </row>
    <row r="627" spans="1:33" x14ac:dyDescent="0.25">
      <c r="A627" s="32"/>
      <c r="B627" s="306"/>
      <c r="C627" s="307"/>
      <c r="D627" s="312"/>
      <c r="E627" s="301"/>
      <c r="F627" s="232"/>
      <c r="J627" s="306"/>
      <c r="K627" s="306"/>
      <c r="L627" s="313"/>
      <c r="M627" s="219"/>
      <c r="N627" s="218"/>
      <c r="S627" s="224"/>
      <c r="T627" s="228"/>
      <c r="U627" s="226"/>
      <c r="V627" s="226"/>
      <c r="W627" s="303"/>
      <c r="X627" s="220"/>
      <c r="Z627" s="227"/>
      <c r="AA627" s="220"/>
      <c r="AB627" s="221"/>
      <c r="AC627" s="229"/>
      <c r="AD627" s="230"/>
      <c r="AE627" s="230"/>
      <c r="AF627" s="230"/>
      <c r="AG627" s="227"/>
    </row>
    <row r="628" spans="1:33" x14ac:dyDescent="0.25">
      <c r="A628" s="32"/>
      <c r="B628" s="306"/>
      <c r="C628" s="307"/>
      <c r="D628" s="312"/>
      <c r="E628" s="301"/>
      <c r="F628" s="232"/>
      <c r="J628" s="306"/>
      <c r="K628" s="306"/>
      <c r="L628" s="313"/>
      <c r="M628" s="219"/>
      <c r="N628" s="218"/>
      <c r="S628" s="224"/>
      <c r="T628" s="228"/>
      <c r="U628" s="226"/>
      <c r="V628" s="226"/>
      <c r="W628" s="303"/>
      <c r="X628" s="220"/>
      <c r="Z628" s="227"/>
      <c r="AA628" s="220"/>
      <c r="AB628" s="221"/>
      <c r="AC628" s="229"/>
      <c r="AD628" s="230"/>
      <c r="AE628" s="230"/>
      <c r="AF628" s="230"/>
      <c r="AG628" s="227"/>
    </row>
    <row r="629" spans="1:33" x14ac:dyDescent="0.25">
      <c r="A629" s="32"/>
      <c r="B629" s="306"/>
      <c r="C629" s="307"/>
      <c r="D629" s="312"/>
      <c r="E629" s="301"/>
      <c r="F629" s="232"/>
      <c r="J629" s="306"/>
      <c r="K629" s="306"/>
      <c r="L629" s="313"/>
      <c r="M629" s="219"/>
      <c r="N629" s="218"/>
      <c r="S629" s="224"/>
      <c r="T629" s="228"/>
      <c r="U629" s="226"/>
      <c r="V629" s="226"/>
      <c r="W629" s="303"/>
      <c r="X629" s="220"/>
      <c r="Z629" s="227"/>
      <c r="AA629" s="220"/>
      <c r="AB629" s="221"/>
      <c r="AC629" s="229"/>
      <c r="AD629" s="230"/>
      <c r="AE629" s="230"/>
      <c r="AF629" s="230"/>
      <c r="AG629" s="227"/>
    </row>
    <row r="630" spans="1:33" x14ac:dyDescent="0.25">
      <c r="A630" s="32"/>
      <c r="B630" s="306"/>
      <c r="C630" s="307"/>
      <c r="D630" s="312"/>
      <c r="E630" s="301"/>
      <c r="F630" s="232"/>
      <c r="J630" s="306"/>
      <c r="K630" s="306"/>
      <c r="L630" s="313"/>
      <c r="M630" s="219"/>
      <c r="N630" s="218"/>
      <c r="S630" s="224"/>
      <c r="T630" s="228"/>
      <c r="U630" s="226"/>
      <c r="V630" s="226"/>
      <c r="W630" s="303"/>
      <c r="X630" s="220"/>
      <c r="Z630" s="227"/>
      <c r="AA630" s="220"/>
      <c r="AB630" s="221"/>
      <c r="AC630" s="229"/>
      <c r="AD630" s="230"/>
      <c r="AE630" s="230"/>
      <c r="AF630" s="230"/>
      <c r="AG630" s="227"/>
    </row>
    <row r="631" spans="1:33" x14ac:dyDescent="0.25">
      <c r="A631" s="32"/>
      <c r="B631" s="306"/>
      <c r="C631" s="307"/>
      <c r="D631" s="312"/>
      <c r="E631" s="301"/>
      <c r="F631" s="232"/>
      <c r="J631" s="306"/>
      <c r="K631" s="306"/>
      <c r="L631" s="313"/>
      <c r="M631" s="219"/>
      <c r="N631" s="218"/>
      <c r="S631" s="224"/>
      <c r="T631" s="228"/>
      <c r="U631" s="226"/>
      <c r="V631" s="226"/>
      <c r="W631" s="303"/>
      <c r="X631" s="220"/>
      <c r="Z631" s="227"/>
      <c r="AA631" s="220"/>
      <c r="AB631" s="221"/>
      <c r="AC631" s="229"/>
      <c r="AD631" s="230"/>
      <c r="AE631" s="230"/>
      <c r="AF631" s="230"/>
      <c r="AG631" s="227"/>
    </row>
    <row r="632" spans="1:33" x14ac:dyDescent="0.25">
      <c r="A632" s="32"/>
      <c r="B632" s="306"/>
      <c r="C632" s="307"/>
      <c r="D632" s="312"/>
      <c r="E632" s="301"/>
      <c r="F632" s="232"/>
      <c r="J632" s="306"/>
      <c r="K632" s="306"/>
      <c r="L632" s="313"/>
      <c r="M632" s="219"/>
      <c r="N632" s="218"/>
      <c r="S632" s="224"/>
      <c r="T632" s="228"/>
      <c r="U632" s="226"/>
      <c r="V632" s="226"/>
      <c r="W632" s="303"/>
      <c r="X632" s="220"/>
      <c r="Z632" s="227"/>
      <c r="AA632" s="220"/>
      <c r="AB632" s="221"/>
      <c r="AC632" s="229"/>
      <c r="AD632" s="230"/>
      <c r="AE632" s="230"/>
      <c r="AF632" s="230"/>
      <c r="AG632" s="227"/>
    </row>
    <row r="633" spans="1:33" x14ac:dyDescent="0.25">
      <c r="A633" s="32"/>
      <c r="B633" s="306"/>
      <c r="C633" s="307"/>
      <c r="D633" s="312"/>
      <c r="E633" s="301"/>
      <c r="F633" s="232"/>
      <c r="J633" s="306"/>
      <c r="K633" s="306"/>
      <c r="L633" s="313"/>
      <c r="M633" s="219"/>
      <c r="N633" s="218"/>
      <c r="S633" s="224"/>
      <c r="T633" s="228"/>
      <c r="U633" s="226"/>
      <c r="V633" s="226"/>
      <c r="W633" s="303"/>
      <c r="X633" s="220"/>
      <c r="Z633" s="227"/>
      <c r="AA633" s="220"/>
      <c r="AB633" s="221"/>
      <c r="AC633" s="229"/>
      <c r="AD633" s="230"/>
      <c r="AE633" s="230"/>
      <c r="AF633" s="230"/>
      <c r="AG633" s="227"/>
    </row>
    <row r="634" spans="1:33" x14ac:dyDescent="0.25">
      <c r="A634" s="32"/>
      <c r="B634" s="306"/>
      <c r="C634" s="307"/>
      <c r="D634" s="312"/>
      <c r="E634" s="301"/>
      <c r="F634" s="232"/>
      <c r="J634" s="306"/>
      <c r="K634" s="306"/>
      <c r="L634" s="313"/>
      <c r="M634" s="219"/>
      <c r="N634" s="218"/>
      <c r="S634" s="224"/>
      <c r="T634" s="228"/>
      <c r="U634" s="226"/>
      <c r="V634" s="226"/>
      <c r="W634" s="303"/>
      <c r="X634" s="220"/>
      <c r="Z634" s="227"/>
      <c r="AA634" s="220"/>
      <c r="AB634" s="221"/>
      <c r="AC634" s="229"/>
      <c r="AD634" s="230"/>
      <c r="AE634" s="230"/>
      <c r="AF634" s="230"/>
      <c r="AG634" s="227"/>
    </row>
    <row r="635" spans="1:33" x14ac:dyDescent="0.25">
      <c r="A635" s="32"/>
      <c r="B635" s="306"/>
      <c r="C635" s="307"/>
      <c r="D635" s="312"/>
      <c r="E635" s="301"/>
      <c r="F635" s="232"/>
      <c r="J635" s="306"/>
      <c r="K635" s="306"/>
      <c r="L635" s="313"/>
      <c r="M635" s="219"/>
      <c r="N635" s="218"/>
      <c r="S635" s="224"/>
      <c r="T635" s="228"/>
      <c r="U635" s="226"/>
      <c r="V635" s="226"/>
      <c r="W635" s="303"/>
      <c r="X635" s="220"/>
      <c r="Z635" s="227"/>
      <c r="AA635" s="220"/>
      <c r="AB635" s="221"/>
      <c r="AC635" s="229"/>
      <c r="AD635" s="230"/>
      <c r="AE635" s="230"/>
      <c r="AF635" s="230"/>
      <c r="AG635" s="227"/>
    </row>
    <row r="636" spans="1:33" x14ac:dyDescent="0.25">
      <c r="A636" s="32"/>
      <c r="B636" s="306"/>
      <c r="C636" s="307"/>
      <c r="D636" s="312"/>
      <c r="E636" s="301"/>
      <c r="F636" s="232"/>
      <c r="J636" s="306"/>
      <c r="K636" s="306"/>
      <c r="L636" s="313"/>
      <c r="M636" s="219"/>
      <c r="N636" s="218"/>
      <c r="S636" s="224"/>
      <c r="T636" s="228"/>
      <c r="U636" s="226"/>
      <c r="V636" s="226"/>
      <c r="W636" s="303"/>
      <c r="X636" s="220"/>
      <c r="Z636" s="227"/>
      <c r="AA636" s="220"/>
      <c r="AB636" s="221"/>
      <c r="AC636" s="229"/>
      <c r="AD636" s="230"/>
      <c r="AE636" s="230"/>
      <c r="AF636" s="230"/>
      <c r="AG636" s="227"/>
    </row>
    <row r="637" spans="1:33" x14ac:dyDescent="0.25">
      <c r="A637" s="32"/>
      <c r="B637" s="306"/>
      <c r="C637" s="307"/>
      <c r="D637" s="312"/>
      <c r="E637" s="301"/>
      <c r="F637" s="232"/>
      <c r="J637" s="306"/>
      <c r="K637" s="306"/>
      <c r="L637" s="313"/>
      <c r="M637" s="219"/>
      <c r="N637" s="218"/>
      <c r="S637" s="224"/>
      <c r="T637" s="228"/>
      <c r="U637" s="226"/>
      <c r="V637" s="226"/>
      <c r="W637" s="303"/>
      <c r="X637" s="220"/>
      <c r="Z637" s="227"/>
      <c r="AA637" s="220"/>
      <c r="AB637" s="221"/>
      <c r="AC637" s="229"/>
      <c r="AD637" s="230"/>
      <c r="AE637" s="230"/>
      <c r="AF637" s="230"/>
      <c r="AG637" s="227"/>
    </row>
    <row r="638" spans="1:33" x14ac:dyDescent="0.25">
      <c r="A638" s="32"/>
      <c r="B638" s="306"/>
      <c r="C638" s="307"/>
      <c r="D638" s="312"/>
      <c r="E638" s="301"/>
      <c r="F638" s="232"/>
      <c r="J638" s="306"/>
      <c r="K638" s="306"/>
      <c r="L638" s="313"/>
      <c r="M638" s="219"/>
      <c r="N638" s="218"/>
      <c r="S638" s="224"/>
      <c r="T638" s="228"/>
      <c r="U638" s="226"/>
      <c r="V638" s="226"/>
      <c r="W638" s="303"/>
      <c r="X638" s="220"/>
      <c r="Z638" s="227"/>
      <c r="AA638" s="220"/>
      <c r="AB638" s="221"/>
      <c r="AC638" s="229"/>
      <c r="AD638" s="230"/>
      <c r="AE638" s="230"/>
      <c r="AF638" s="230"/>
      <c r="AG638" s="227"/>
    </row>
    <row r="639" spans="1:33" x14ac:dyDescent="0.25">
      <c r="A639" s="32"/>
      <c r="B639" s="306"/>
      <c r="C639" s="307"/>
      <c r="D639" s="312"/>
      <c r="E639" s="301"/>
      <c r="F639" s="232"/>
      <c r="J639" s="306"/>
      <c r="K639" s="306"/>
      <c r="L639" s="313"/>
      <c r="M639" s="219"/>
      <c r="N639" s="218"/>
      <c r="S639" s="224"/>
      <c r="T639" s="228"/>
      <c r="U639" s="226"/>
      <c r="V639" s="226"/>
      <c r="W639" s="303"/>
      <c r="X639" s="220"/>
      <c r="Z639" s="227"/>
      <c r="AA639" s="220"/>
      <c r="AB639" s="221"/>
      <c r="AC639" s="229"/>
      <c r="AD639" s="230"/>
      <c r="AE639" s="230"/>
      <c r="AF639" s="230"/>
      <c r="AG639" s="227"/>
    </row>
    <row r="640" spans="1:33" x14ac:dyDescent="0.25">
      <c r="A640" s="32"/>
      <c r="B640" s="306"/>
      <c r="C640" s="307"/>
      <c r="D640" s="312"/>
      <c r="E640" s="301"/>
      <c r="F640" s="232"/>
      <c r="J640" s="306"/>
      <c r="K640" s="306"/>
      <c r="L640" s="313"/>
      <c r="M640" s="219"/>
      <c r="N640" s="218"/>
      <c r="S640" s="224"/>
      <c r="T640" s="228"/>
      <c r="U640" s="226"/>
      <c r="V640" s="226"/>
      <c r="W640" s="303"/>
      <c r="X640" s="220"/>
      <c r="Z640" s="227"/>
      <c r="AA640" s="220"/>
      <c r="AB640" s="221"/>
      <c r="AC640" s="229"/>
      <c r="AD640" s="230"/>
      <c r="AE640" s="230"/>
      <c r="AF640" s="230"/>
      <c r="AG640" s="227"/>
    </row>
    <row r="641" spans="1:33" x14ac:dyDescent="0.25">
      <c r="A641" s="32"/>
      <c r="B641" s="306"/>
      <c r="C641" s="307"/>
      <c r="D641" s="312"/>
      <c r="E641" s="301"/>
      <c r="F641" s="232"/>
      <c r="J641" s="306"/>
      <c r="K641" s="306"/>
      <c r="L641" s="313"/>
      <c r="M641" s="219"/>
      <c r="N641" s="218"/>
      <c r="S641" s="224"/>
      <c r="T641" s="228"/>
      <c r="U641" s="226"/>
      <c r="V641" s="226"/>
      <c r="W641" s="303"/>
      <c r="X641" s="220"/>
      <c r="Z641" s="227"/>
      <c r="AA641" s="220"/>
      <c r="AB641" s="221"/>
      <c r="AC641" s="229"/>
      <c r="AD641" s="230"/>
      <c r="AE641" s="230"/>
      <c r="AF641" s="230"/>
      <c r="AG641" s="227"/>
    </row>
    <row r="642" spans="1:33" x14ac:dyDescent="0.25">
      <c r="A642" s="32"/>
      <c r="B642" s="306"/>
      <c r="C642" s="307"/>
      <c r="D642" s="312"/>
      <c r="E642" s="301"/>
      <c r="F642" s="232"/>
      <c r="J642" s="306"/>
      <c r="K642" s="306"/>
      <c r="L642" s="313"/>
      <c r="M642" s="219"/>
      <c r="N642" s="218"/>
      <c r="S642" s="224"/>
      <c r="T642" s="228"/>
      <c r="U642" s="226"/>
      <c r="V642" s="226"/>
      <c r="W642" s="303"/>
      <c r="X642" s="220"/>
      <c r="Z642" s="227"/>
      <c r="AA642" s="220"/>
      <c r="AB642" s="221"/>
      <c r="AC642" s="229"/>
      <c r="AD642" s="230"/>
      <c r="AE642" s="230"/>
      <c r="AF642" s="230"/>
      <c r="AG642" s="227"/>
    </row>
    <row r="643" spans="1:33" x14ac:dyDescent="0.25">
      <c r="A643" s="32"/>
      <c r="B643" s="306"/>
      <c r="C643" s="307"/>
      <c r="D643" s="312"/>
      <c r="E643" s="301"/>
      <c r="F643" s="232"/>
      <c r="J643" s="306"/>
      <c r="K643" s="306"/>
      <c r="L643" s="313"/>
      <c r="M643" s="219"/>
      <c r="N643" s="218"/>
      <c r="S643" s="224"/>
      <c r="T643" s="228"/>
      <c r="U643" s="226"/>
      <c r="V643" s="226"/>
      <c r="W643" s="303"/>
      <c r="X643" s="220"/>
      <c r="Z643" s="227"/>
      <c r="AA643" s="220"/>
      <c r="AB643" s="221"/>
      <c r="AC643" s="229"/>
      <c r="AD643" s="230"/>
      <c r="AE643" s="230"/>
      <c r="AF643" s="230"/>
      <c r="AG643" s="227"/>
    </row>
    <row r="644" spans="1:33" x14ac:dyDescent="0.25">
      <c r="A644" s="32"/>
      <c r="B644" s="306"/>
      <c r="C644" s="307"/>
      <c r="D644" s="312"/>
      <c r="E644" s="301"/>
      <c r="F644" s="232"/>
      <c r="J644" s="306"/>
      <c r="K644" s="306"/>
      <c r="L644" s="313"/>
      <c r="M644" s="219"/>
      <c r="N644" s="218"/>
      <c r="S644" s="224"/>
      <c r="T644" s="228"/>
      <c r="U644" s="226"/>
      <c r="V644" s="226"/>
      <c r="W644" s="303"/>
      <c r="X644" s="220"/>
      <c r="Z644" s="227"/>
      <c r="AA644" s="220"/>
      <c r="AB644" s="221"/>
      <c r="AC644" s="229"/>
      <c r="AD644" s="230"/>
      <c r="AE644" s="230"/>
      <c r="AF644" s="230"/>
      <c r="AG644" s="227"/>
    </row>
    <row r="645" spans="1:33" x14ac:dyDescent="0.25">
      <c r="A645" s="32"/>
      <c r="B645" s="306"/>
      <c r="C645" s="307"/>
      <c r="D645" s="312"/>
      <c r="E645" s="301"/>
      <c r="F645" s="232"/>
      <c r="J645" s="306"/>
      <c r="K645" s="306"/>
      <c r="L645" s="313"/>
      <c r="M645" s="219"/>
      <c r="N645" s="218"/>
      <c r="S645" s="224"/>
      <c r="T645" s="228"/>
      <c r="U645" s="226"/>
      <c r="V645" s="226"/>
      <c r="W645" s="303"/>
      <c r="X645" s="220"/>
      <c r="Z645" s="227"/>
      <c r="AA645" s="220"/>
      <c r="AB645" s="221"/>
      <c r="AC645" s="229"/>
      <c r="AD645" s="230"/>
      <c r="AE645" s="230"/>
      <c r="AF645" s="230"/>
      <c r="AG645" s="227"/>
    </row>
    <row r="646" spans="1:33" x14ac:dyDescent="0.25">
      <c r="A646" s="32"/>
      <c r="B646" s="306"/>
      <c r="C646" s="307"/>
      <c r="D646" s="312"/>
      <c r="E646" s="301"/>
      <c r="F646" s="232"/>
      <c r="J646" s="306"/>
      <c r="K646" s="306"/>
      <c r="L646" s="313"/>
      <c r="M646" s="219"/>
      <c r="N646" s="218"/>
      <c r="S646" s="224"/>
      <c r="T646" s="228"/>
      <c r="U646" s="226"/>
      <c r="V646" s="226"/>
      <c r="W646" s="303"/>
      <c r="X646" s="220"/>
      <c r="Z646" s="227"/>
      <c r="AA646" s="220"/>
      <c r="AB646" s="221"/>
      <c r="AC646" s="229"/>
      <c r="AD646" s="230"/>
      <c r="AE646" s="230"/>
      <c r="AF646" s="230"/>
      <c r="AG646" s="227"/>
    </row>
    <row r="647" spans="1:33" x14ac:dyDescent="0.25">
      <c r="A647" s="32"/>
      <c r="B647" s="306"/>
      <c r="C647" s="307"/>
      <c r="D647" s="312"/>
      <c r="E647" s="301"/>
      <c r="F647" s="232"/>
      <c r="J647" s="306"/>
      <c r="K647" s="306"/>
      <c r="L647" s="313"/>
      <c r="M647" s="219"/>
      <c r="N647" s="218"/>
      <c r="S647" s="224"/>
      <c r="T647" s="228"/>
      <c r="U647" s="226"/>
      <c r="V647" s="226"/>
      <c r="W647" s="303"/>
      <c r="X647" s="220"/>
      <c r="Z647" s="227"/>
      <c r="AA647" s="220"/>
      <c r="AB647" s="221"/>
      <c r="AC647" s="229"/>
      <c r="AD647" s="230"/>
      <c r="AE647" s="230"/>
      <c r="AF647" s="230"/>
      <c r="AG647" s="227"/>
    </row>
    <row r="648" spans="1:33" x14ac:dyDescent="0.25">
      <c r="A648" s="32"/>
      <c r="B648" s="306"/>
      <c r="C648" s="307"/>
      <c r="D648" s="312"/>
      <c r="E648" s="301"/>
      <c r="F648" s="232"/>
      <c r="J648" s="306"/>
      <c r="K648" s="306"/>
      <c r="L648" s="313"/>
      <c r="M648" s="219"/>
      <c r="N648" s="218"/>
      <c r="S648" s="224"/>
      <c r="T648" s="228"/>
      <c r="U648" s="226"/>
      <c r="V648" s="226"/>
      <c r="W648" s="303"/>
      <c r="X648" s="220"/>
      <c r="Z648" s="227"/>
      <c r="AA648" s="220"/>
      <c r="AB648" s="221"/>
      <c r="AC648" s="229"/>
      <c r="AD648" s="230"/>
      <c r="AE648" s="230"/>
      <c r="AF648" s="230"/>
      <c r="AG648" s="227"/>
    </row>
    <row r="649" spans="1:33" x14ac:dyDescent="0.25">
      <c r="A649" s="32"/>
      <c r="B649" s="306"/>
      <c r="C649" s="307"/>
      <c r="D649" s="312"/>
      <c r="E649" s="301"/>
      <c r="F649" s="232"/>
      <c r="J649" s="306"/>
      <c r="K649" s="306"/>
      <c r="L649" s="313"/>
      <c r="M649" s="219"/>
      <c r="N649" s="218"/>
      <c r="S649" s="224"/>
      <c r="T649" s="228"/>
      <c r="U649" s="226"/>
      <c r="V649" s="226"/>
      <c r="W649" s="303"/>
      <c r="X649" s="220"/>
      <c r="Z649" s="227"/>
      <c r="AA649" s="220"/>
      <c r="AB649" s="221"/>
      <c r="AC649" s="229"/>
      <c r="AD649" s="230"/>
      <c r="AE649" s="230"/>
      <c r="AF649" s="230"/>
      <c r="AG649" s="227"/>
    </row>
    <row r="650" spans="1:33" x14ac:dyDescent="0.25">
      <c r="A650" s="32"/>
      <c r="B650" s="306"/>
      <c r="C650" s="307"/>
      <c r="D650" s="312"/>
      <c r="E650" s="301"/>
      <c r="F650" s="232"/>
      <c r="J650" s="306"/>
      <c r="K650" s="306"/>
      <c r="L650" s="313"/>
      <c r="M650" s="219"/>
      <c r="N650" s="218"/>
      <c r="S650" s="224"/>
      <c r="T650" s="228"/>
      <c r="U650" s="226"/>
      <c r="V650" s="226"/>
      <c r="W650" s="303"/>
      <c r="X650" s="220"/>
      <c r="Z650" s="227"/>
      <c r="AA650" s="220"/>
      <c r="AB650" s="221"/>
      <c r="AC650" s="229"/>
      <c r="AD650" s="230"/>
      <c r="AE650" s="230"/>
      <c r="AF650" s="230"/>
      <c r="AG650" s="227"/>
    </row>
    <row r="651" spans="1:33" x14ac:dyDescent="0.25">
      <c r="A651" s="32"/>
      <c r="B651" s="306"/>
      <c r="C651" s="307"/>
      <c r="D651" s="312"/>
      <c r="E651" s="301"/>
      <c r="F651" s="232"/>
      <c r="J651" s="306"/>
      <c r="K651" s="306"/>
      <c r="L651" s="313"/>
      <c r="M651" s="219"/>
      <c r="N651" s="218"/>
      <c r="S651" s="224"/>
      <c r="T651" s="228"/>
      <c r="U651" s="226"/>
      <c r="V651" s="226"/>
      <c r="W651" s="303"/>
      <c r="X651" s="220"/>
      <c r="Z651" s="227"/>
      <c r="AA651" s="220"/>
      <c r="AB651" s="221"/>
      <c r="AC651" s="229"/>
      <c r="AD651" s="230"/>
      <c r="AE651" s="230"/>
      <c r="AF651" s="230"/>
      <c r="AG651" s="227"/>
    </row>
    <row r="652" spans="1:33" x14ac:dyDescent="0.25">
      <c r="A652" s="32"/>
      <c r="B652" s="306"/>
      <c r="C652" s="307"/>
      <c r="D652" s="312"/>
      <c r="E652" s="301"/>
      <c r="F652" s="232"/>
      <c r="J652" s="306"/>
      <c r="K652" s="306"/>
      <c r="L652" s="313"/>
      <c r="M652" s="219"/>
      <c r="N652" s="218"/>
      <c r="S652" s="224"/>
      <c r="T652" s="228"/>
      <c r="U652" s="226"/>
      <c r="V652" s="226"/>
      <c r="W652" s="303"/>
      <c r="X652" s="220"/>
      <c r="Z652" s="227"/>
      <c r="AA652" s="220"/>
      <c r="AB652" s="221"/>
      <c r="AC652" s="229"/>
      <c r="AD652" s="230"/>
      <c r="AE652" s="230"/>
      <c r="AF652" s="230"/>
      <c r="AG652" s="227"/>
    </row>
    <row r="653" spans="1:33" x14ac:dyDescent="0.25">
      <c r="A653" s="32"/>
      <c r="B653" s="306"/>
      <c r="C653" s="307"/>
      <c r="D653" s="312"/>
      <c r="E653" s="301"/>
      <c r="F653" s="232"/>
      <c r="J653" s="306"/>
      <c r="K653" s="306"/>
      <c r="L653" s="313"/>
      <c r="M653" s="219"/>
      <c r="N653" s="218"/>
      <c r="S653" s="224"/>
      <c r="T653" s="228"/>
      <c r="U653" s="226"/>
      <c r="V653" s="226"/>
      <c r="W653" s="303"/>
      <c r="X653" s="220"/>
      <c r="Z653" s="227"/>
      <c r="AA653" s="220"/>
      <c r="AB653" s="221"/>
      <c r="AC653" s="229"/>
      <c r="AD653" s="230"/>
      <c r="AE653" s="230"/>
      <c r="AF653" s="230"/>
      <c r="AG653" s="227"/>
    </row>
    <row r="654" spans="1:33" x14ac:dyDescent="0.25">
      <c r="A654" s="32"/>
      <c r="B654" s="306"/>
      <c r="C654" s="307"/>
      <c r="D654" s="312"/>
      <c r="E654" s="301"/>
      <c r="F654" s="232"/>
      <c r="J654" s="306"/>
      <c r="K654" s="306"/>
      <c r="L654" s="313"/>
      <c r="M654" s="219"/>
      <c r="N654" s="218"/>
      <c r="S654" s="224"/>
      <c r="T654" s="228"/>
      <c r="U654" s="226"/>
      <c r="V654" s="226"/>
      <c r="W654" s="303"/>
      <c r="X654" s="220"/>
      <c r="Z654" s="227"/>
      <c r="AA654" s="220"/>
      <c r="AB654" s="221"/>
      <c r="AC654" s="229"/>
      <c r="AD654" s="230"/>
      <c r="AE654" s="230"/>
      <c r="AF654" s="230"/>
      <c r="AG654" s="227"/>
    </row>
    <row r="655" spans="1:33" x14ac:dyDescent="0.25">
      <c r="A655" s="32"/>
      <c r="B655" s="306"/>
      <c r="C655" s="307"/>
      <c r="D655" s="312"/>
      <c r="E655" s="301"/>
      <c r="F655" s="232"/>
      <c r="J655" s="306"/>
      <c r="K655" s="306"/>
      <c r="L655" s="313"/>
      <c r="M655" s="219"/>
      <c r="N655" s="218"/>
      <c r="S655" s="224"/>
      <c r="T655" s="228"/>
      <c r="U655" s="226"/>
      <c r="V655" s="226"/>
      <c r="W655" s="303"/>
      <c r="X655" s="220"/>
      <c r="Z655" s="227"/>
      <c r="AA655" s="220"/>
      <c r="AB655" s="221"/>
      <c r="AC655" s="229"/>
      <c r="AD655" s="230"/>
      <c r="AE655" s="230"/>
      <c r="AF655" s="230"/>
      <c r="AG655" s="227"/>
    </row>
    <row r="656" spans="1:33" x14ac:dyDescent="0.25">
      <c r="A656" s="32"/>
      <c r="B656" s="306"/>
      <c r="C656" s="307"/>
      <c r="D656" s="312"/>
      <c r="E656" s="301"/>
      <c r="F656" s="232"/>
      <c r="J656" s="306"/>
      <c r="K656" s="306"/>
      <c r="L656" s="313"/>
      <c r="M656" s="219"/>
      <c r="N656" s="218"/>
      <c r="S656" s="224"/>
      <c r="T656" s="228"/>
      <c r="U656" s="226"/>
      <c r="V656" s="226"/>
      <c r="W656" s="303"/>
      <c r="X656" s="220"/>
      <c r="Z656" s="227"/>
      <c r="AA656" s="220"/>
      <c r="AB656" s="221"/>
      <c r="AC656" s="229"/>
      <c r="AD656" s="230"/>
      <c r="AE656" s="230"/>
      <c r="AF656" s="230"/>
      <c r="AG656" s="227"/>
    </row>
    <row r="657" spans="1:33" x14ac:dyDescent="0.25">
      <c r="A657" s="32"/>
      <c r="B657" s="306"/>
      <c r="C657" s="307"/>
      <c r="D657" s="312"/>
      <c r="E657" s="301"/>
      <c r="F657" s="232"/>
      <c r="J657" s="306"/>
      <c r="K657" s="306"/>
      <c r="L657" s="313"/>
      <c r="M657" s="219"/>
      <c r="N657" s="218"/>
      <c r="S657" s="224"/>
      <c r="T657" s="228"/>
      <c r="U657" s="226"/>
      <c r="V657" s="226"/>
      <c r="W657" s="303"/>
      <c r="X657" s="220"/>
      <c r="Z657" s="227"/>
      <c r="AA657" s="220"/>
      <c r="AB657" s="221"/>
      <c r="AC657" s="229"/>
      <c r="AD657" s="230"/>
      <c r="AE657" s="230"/>
      <c r="AF657" s="230"/>
      <c r="AG657" s="227"/>
    </row>
    <row r="658" spans="1:33" x14ac:dyDescent="0.25">
      <c r="A658" s="32"/>
      <c r="B658" s="306"/>
      <c r="C658" s="307"/>
      <c r="D658" s="312"/>
      <c r="E658" s="301"/>
      <c r="F658" s="232"/>
      <c r="J658" s="306"/>
      <c r="K658" s="306"/>
      <c r="L658" s="313"/>
      <c r="M658" s="219"/>
      <c r="N658" s="218"/>
      <c r="S658" s="224"/>
      <c r="T658" s="228"/>
      <c r="U658" s="226"/>
      <c r="V658" s="226"/>
      <c r="W658" s="303"/>
      <c r="X658" s="220"/>
      <c r="Z658" s="227"/>
      <c r="AA658" s="220"/>
      <c r="AB658" s="221"/>
      <c r="AC658" s="229"/>
      <c r="AD658" s="230"/>
      <c r="AE658" s="230"/>
      <c r="AF658" s="230"/>
      <c r="AG658" s="227"/>
    </row>
    <row r="659" spans="1:33" x14ac:dyDescent="0.25">
      <c r="A659" s="32"/>
      <c r="B659" s="306"/>
      <c r="C659" s="307"/>
      <c r="D659" s="312"/>
      <c r="E659" s="301"/>
      <c r="F659" s="232"/>
      <c r="J659" s="306"/>
      <c r="K659" s="306"/>
      <c r="L659" s="313"/>
      <c r="M659" s="219"/>
      <c r="N659" s="218"/>
      <c r="S659" s="224"/>
      <c r="T659" s="228"/>
      <c r="U659" s="226"/>
      <c r="V659" s="226"/>
      <c r="W659" s="303"/>
      <c r="X659" s="220"/>
      <c r="Z659" s="227"/>
      <c r="AA659" s="220"/>
      <c r="AB659" s="221"/>
      <c r="AC659" s="229"/>
      <c r="AD659" s="230"/>
      <c r="AE659" s="230"/>
      <c r="AF659" s="230"/>
      <c r="AG659" s="227"/>
    </row>
    <row r="660" spans="1:33" x14ac:dyDescent="0.25">
      <c r="A660" s="32"/>
      <c r="B660" s="306"/>
      <c r="C660" s="307"/>
      <c r="D660" s="312"/>
      <c r="E660" s="301"/>
      <c r="F660" s="232"/>
      <c r="J660" s="306"/>
      <c r="K660" s="306"/>
      <c r="L660" s="313"/>
      <c r="M660" s="219"/>
      <c r="N660" s="218"/>
      <c r="S660" s="224"/>
      <c r="T660" s="228"/>
      <c r="U660" s="226"/>
      <c r="V660" s="226"/>
      <c r="W660" s="303"/>
      <c r="X660" s="220"/>
      <c r="Z660" s="227"/>
      <c r="AA660" s="220"/>
      <c r="AB660" s="221"/>
      <c r="AC660" s="229"/>
      <c r="AD660" s="230"/>
      <c r="AE660" s="230"/>
      <c r="AF660" s="230"/>
      <c r="AG660" s="227"/>
    </row>
    <row r="661" spans="1:33" x14ac:dyDescent="0.25">
      <c r="A661" s="32"/>
      <c r="B661" s="306"/>
      <c r="C661" s="307"/>
      <c r="D661" s="312"/>
      <c r="E661" s="301"/>
      <c r="F661" s="232"/>
      <c r="J661" s="306"/>
      <c r="K661" s="306"/>
      <c r="L661" s="313"/>
      <c r="M661" s="219"/>
      <c r="N661" s="218"/>
      <c r="S661" s="224"/>
      <c r="T661" s="228"/>
      <c r="U661" s="226"/>
      <c r="V661" s="226"/>
      <c r="W661" s="303"/>
      <c r="X661" s="220"/>
      <c r="Z661" s="227"/>
      <c r="AA661" s="220"/>
      <c r="AB661" s="221"/>
      <c r="AC661" s="229"/>
      <c r="AD661" s="230"/>
      <c r="AE661" s="230"/>
      <c r="AF661" s="230"/>
      <c r="AG661" s="227"/>
    </row>
    <row r="662" spans="1:33" x14ac:dyDescent="0.25">
      <c r="A662" s="32"/>
      <c r="B662" s="306"/>
      <c r="C662" s="307"/>
      <c r="D662" s="312"/>
      <c r="E662" s="301"/>
      <c r="F662" s="232"/>
      <c r="J662" s="306"/>
      <c r="K662" s="306"/>
      <c r="L662" s="313"/>
      <c r="M662" s="219"/>
      <c r="N662" s="218"/>
      <c r="S662" s="224"/>
      <c r="T662" s="228"/>
      <c r="U662" s="226"/>
      <c r="V662" s="226"/>
      <c r="W662" s="303"/>
      <c r="X662" s="220"/>
      <c r="Z662" s="227"/>
      <c r="AA662" s="220"/>
      <c r="AB662" s="221"/>
      <c r="AC662" s="229"/>
      <c r="AD662" s="230"/>
      <c r="AE662" s="230"/>
      <c r="AF662" s="230"/>
      <c r="AG662" s="227"/>
    </row>
    <row r="663" spans="1:33" x14ac:dyDescent="0.25">
      <c r="A663" s="32"/>
      <c r="B663" s="306"/>
      <c r="C663" s="307"/>
      <c r="D663" s="312"/>
      <c r="E663" s="301"/>
      <c r="F663" s="232"/>
      <c r="J663" s="306"/>
      <c r="K663" s="306"/>
      <c r="L663" s="313"/>
      <c r="M663" s="219"/>
      <c r="N663" s="218"/>
      <c r="S663" s="224"/>
      <c r="T663" s="228"/>
      <c r="U663" s="226"/>
      <c r="V663" s="226"/>
      <c r="W663" s="303"/>
      <c r="X663" s="220"/>
      <c r="Z663" s="227"/>
      <c r="AA663" s="220"/>
      <c r="AB663" s="221"/>
      <c r="AC663" s="229"/>
      <c r="AD663" s="230"/>
      <c r="AE663" s="230"/>
      <c r="AF663" s="230"/>
      <c r="AG663" s="227"/>
    </row>
    <row r="664" spans="1:33" x14ac:dyDescent="0.25">
      <c r="A664" s="32"/>
      <c r="B664" s="306"/>
      <c r="C664" s="307"/>
      <c r="D664" s="312"/>
      <c r="E664" s="301"/>
      <c r="F664" s="232"/>
      <c r="J664" s="306"/>
      <c r="K664" s="306"/>
      <c r="L664" s="313"/>
      <c r="M664" s="219"/>
      <c r="N664" s="218"/>
      <c r="S664" s="224"/>
      <c r="T664" s="228"/>
      <c r="U664" s="226"/>
      <c r="V664" s="226"/>
      <c r="W664" s="303"/>
      <c r="X664" s="220"/>
      <c r="Z664" s="227"/>
      <c r="AA664" s="220"/>
      <c r="AB664" s="221"/>
      <c r="AC664" s="229"/>
      <c r="AD664" s="230"/>
      <c r="AE664" s="230"/>
      <c r="AF664" s="230"/>
      <c r="AG664" s="227"/>
    </row>
    <row r="665" spans="1:33" x14ac:dyDescent="0.25">
      <c r="A665" s="32"/>
      <c r="B665" s="306"/>
      <c r="C665" s="307"/>
      <c r="D665" s="312"/>
      <c r="E665" s="301"/>
      <c r="F665" s="232"/>
      <c r="J665" s="306"/>
      <c r="K665" s="306"/>
      <c r="L665" s="313"/>
      <c r="M665" s="219"/>
      <c r="N665" s="218"/>
      <c r="S665" s="224"/>
      <c r="T665" s="228"/>
      <c r="U665" s="226"/>
      <c r="V665" s="226"/>
      <c r="W665" s="303"/>
      <c r="X665" s="220"/>
      <c r="Z665" s="227"/>
      <c r="AA665" s="220"/>
      <c r="AB665" s="221"/>
      <c r="AC665" s="229"/>
      <c r="AD665" s="230"/>
      <c r="AE665" s="230"/>
      <c r="AF665" s="230"/>
      <c r="AG665" s="227"/>
    </row>
    <row r="666" spans="1:33" x14ac:dyDescent="0.25">
      <c r="A666" s="32"/>
      <c r="B666" s="306"/>
      <c r="C666" s="307"/>
      <c r="D666" s="312"/>
      <c r="E666" s="301"/>
      <c r="F666" s="232"/>
      <c r="J666" s="306"/>
      <c r="K666" s="306"/>
      <c r="L666" s="313"/>
      <c r="M666" s="219"/>
      <c r="N666" s="218"/>
      <c r="S666" s="224"/>
      <c r="T666" s="228"/>
      <c r="U666" s="226"/>
      <c r="V666" s="226"/>
      <c r="W666" s="303"/>
      <c r="X666" s="220"/>
      <c r="Z666" s="227"/>
      <c r="AA666" s="220"/>
      <c r="AB666" s="221"/>
      <c r="AC666" s="229"/>
      <c r="AD666" s="230"/>
      <c r="AE666" s="230"/>
      <c r="AF666" s="230"/>
      <c r="AG666" s="227"/>
    </row>
    <row r="667" spans="1:33" x14ac:dyDescent="0.25">
      <c r="A667" s="32"/>
      <c r="B667" s="306"/>
      <c r="C667" s="307"/>
      <c r="D667" s="312"/>
      <c r="E667" s="301"/>
      <c r="F667" s="232"/>
      <c r="J667" s="306"/>
      <c r="K667" s="306"/>
      <c r="L667" s="313"/>
      <c r="M667" s="219"/>
      <c r="N667" s="218"/>
      <c r="S667" s="224"/>
      <c r="T667" s="228"/>
      <c r="U667" s="226"/>
      <c r="V667" s="226"/>
      <c r="W667" s="303"/>
      <c r="X667" s="220"/>
      <c r="Z667" s="227"/>
      <c r="AA667" s="220"/>
      <c r="AB667" s="221"/>
      <c r="AC667" s="229"/>
      <c r="AD667" s="230"/>
      <c r="AE667" s="230"/>
      <c r="AF667" s="230"/>
      <c r="AG667" s="227"/>
    </row>
    <row r="668" spans="1:33" x14ac:dyDescent="0.25">
      <c r="A668" s="32"/>
      <c r="B668" s="306"/>
      <c r="C668" s="307"/>
      <c r="D668" s="312"/>
      <c r="E668" s="301"/>
      <c r="F668" s="232"/>
      <c r="J668" s="306"/>
      <c r="K668" s="306"/>
      <c r="L668" s="313"/>
      <c r="M668" s="219"/>
      <c r="N668" s="218"/>
      <c r="S668" s="224"/>
      <c r="T668" s="228"/>
      <c r="U668" s="226"/>
      <c r="V668" s="226"/>
      <c r="W668" s="303"/>
      <c r="X668" s="220"/>
      <c r="Z668" s="227"/>
      <c r="AA668" s="220"/>
      <c r="AB668" s="221"/>
      <c r="AC668" s="229"/>
      <c r="AD668" s="230"/>
      <c r="AE668" s="230"/>
      <c r="AF668" s="230"/>
      <c r="AG668" s="227"/>
    </row>
    <row r="669" spans="1:33" x14ac:dyDescent="0.25">
      <c r="A669" s="32"/>
      <c r="B669" s="306"/>
      <c r="C669" s="307"/>
      <c r="D669" s="312"/>
      <c r="E669" s="301"/>
      <c r="F669" s="232"/>
      <c r="J669" s="306"/>
      <c r="K669" s="306"/>
      <c r="L669" s="313"/>
      <c r="M669" s="219"/>
      <c r="N669" s="218"/>
      <c r="S669" s="224"/>
      <c r="T669" s="228"/>
      <c r="U669" s="226"/>
      <c r="V669" s="226"/>
      <c r="W669" s="303"/>
      <c r="X669" s="220"/>
      <c r="Z669" s="227"/>
      <c r="AA669" s="220"/>
      <c r="AB669" s="221"/>
      <c r="AC669" s="229"/>
      <c r="AD669" s="230"/>
      <c r="AE669" s="230"/>
      <c r="AF669" s="230"/>
      <c r="AG669" s="227"/>
    </row>
    <row r="670" spans="1:33" x14ac:dyDescent="0.25">
      <c r="A670" s="32"/>
      <c r="B670" s="306"/>
      <c r="C670" s="307"/>
      <c r="D670" s="312"/>
      <c r="E670" s="301"/>
      <c r="F670" s="232"/>
      <c r="J670" s="306"/>
      <c r="K670" s="306"/>
      <c r="L670" s="313"/>
      <c r="M670" s="219"/>
      <c r="N670" s="218"/>
      <c r="S670" s="224"/>
      <c r="T670" s="228"/>
      <c r="U670" s="226"/>
      <c r="V670" s="226"/>
      <c r="W670" s="303"/>
      <c r="X670" s="220"/>
      <c r="Z670" s="227"/>
      <c r="AA670" s="220"/>
      <c r="AB670" s="221"/>
      <c r="AC670" s="229"/>
      <c r="AD670" s="230"/>
      <c r="AE670" s="230"/>
      <c r="AF670" s="230"/>
      <c r="AG670" s="227"/>
    </row>
    <row r="671" spans="1:33" x14ac:dyDescent="0.25">
      <c r="A671" s="32"/>
      <c r="B671" s="306"/>
      <c r="C671" s="307"/>
      <c r="D671" s="312"/>
      <c r="E671" s="301"/>
      <c r="F671" s="232"/>
      <c r="J671" s="306"/>
      <c r="K671" s="306"/>
      <c r="L671" s="313"/>
      <c r="M671" s="219"/>
      <c r="N671" s="218"/>
      <c r="S671" s="224"/>
      <c r="T671" s="228"/>
      <c r="U671" s="226"/>
      <c r="V671" s="226"/>
      <c r="W671" s="303"/>
      <c r="X671" s="220"/>
      <c r="Z671" s="227"/>
      <c r="AA671" s="220"/>
      <c r="AB671" s="221"/>
      <c r="AC671" s="229"/>
      <c r="AD671" s="230"/>
      <c r="AE671" s="230"/>
      <c r="AF671" s="230"/>
      <c r="AG671" s="227"/>
    </row>
    <row r="672" spans="1:33" x14ac:dyDescent="0.25">
      <c r="A672" s="32"/>
      <c r="B672" s="306"/>
      <c r="C672" s="307"/>
      <c r="D672" s="312"/>
      <c r="E672" s="301"/>
      <c r="F672" s="232"/>
      <c r="J672" s="306"/>
      <c r="K672" s="306"/>
      <c r="L672" s="313"/>
      <c r="M672" s="219"/>
      <c r="N672" s="218"/>
      <c r="S672" s="224"/>
      <c r="T672" s="228"/>
      <c r="U672" s="226"/>
      <c r="V672" s="226"/>
      <c r="W672" s="303"/>
      <c r="X672" s="220"/>
      <c r="Z672" s="227"/>
      <c r="AA672" s="220"/>
      <c r="AB672" s="221"/>
      <c r="AC672" s="229"/>
      <c r="AD672" s="230"/>
      <c r="AE672" s="230"/>
      <c r="AF672" s="230"/>
      <c r="AG672" s="227"/>
    </row>
    <row r="673" spans="1:33" x14ac:dyDescent="0.25">
      <c r="A673" s="32"/>
      <c r="B673" s="306"/>
      <c r="C673" s="307"/>
      <c r="D673" s="312"/>
      <c r="E673" s="301"/>
      <c r="F673" s="232"/>
      <c r="J673" s="306"/>
      <c r="K673" s="306"/>
      <c r="L673" s="313"/>
      <c r="M673" s="219"/>
      <c r="N673" s="218"/>
      <c r="S673" s="224"/>
      <c r="T673" s="228"/>
      <c r="U673" s="226"/>
      <c r="V673" s="226"/>
      <c r="W673" s="303"/>
      <c r="X673" s="220"/>
      <c r="Z673" s="227"/>
      <c r="AA673" s="220"/>
      <c r="AB673" s="221"/>
      <c r="AC673" s="229"/>
      <c r="AD673" s="230"/>
      <c r="AE673" s="230"/>
      <c r="AF673" s="230"/>
      <c r="AG673" s="227"/>
    </row>
    <row r="674" spans="1:33" x14ac:dyDescent="0.25">
      <c r="A674" s="32"/>
      <c r="B674" s="306"/>
      <c r="C674" s="307"/>
      <c r="D674" s="312"/>
      <c r="E674" s="301"/>
      <c r="F674" s="232"/>
      <c r="J674" s="306"/>
      <c r="K674" s="306"/>
      <c r="L674" s="313"/>
      <c r="M674" s="219"/>
      <c r="N674" s="218"/>
      <c r="S674" s="224"/>
      <c r="T674" s="228"/>
      <c r="U674" s="226"/>
      <c r="V674" s="226"/>
      <c r="W674" s="303"/>
      <c r="X674" s="220"/>
      <c r="Z674" s="227"/>
      <c r="AA674" s="220"/>
      <c r="AB674" s="221"/>
      <c r="AC674" s="229"/>
      <c r="AD674" s="230"/>
      <c r="AE674" s="230"/>
      <c r="AF674" s="230"/>
      <c r="AG674" s="227"/>
    </row>
    <row r="675" spans="1:33" x14ac:dyDescent="0.25">
      <c r="A675" s="32"/>
      <c r="B675" s="306"/>
      <c r="C675" s="307"/>
      <c r="D675" s="312"/>
      <c r="E675" s="301"/>
      <c r="F675" s="232"/>
      <c r="J675" s="306"/>
      <c r="K675" s="306"/>
      <c r="L675" s="313"/>
      <c r="M675" s="219"/>
      <c r="N675" s="218"/>
      <c r="S675" s="224"/>
      <c r="T675" s="228"/>
      <c r="U675" s="226"/>
      <c r="V675" s="226"/>
      <c r="W675" s="303"/>
      <c r="X675" s="220"/>
      <c r="Z675" s="227"/>
      <c r="AA675" s="220"/>
      <c r="AB675" s="221"/>
      <c r="AC675" s="229"/>
      <c r="AD675" s="230"/>
      <c r="AE675" s="230"/>
      <c r="AF675" s="230"/>
      <c r="AG675" s="227"/>
    </row>
    <row r="676" spans="1:33" x14ac:dyDescent="0.25">
      <c r="A676" s="32"/>
      <c r="B676" s="306"/>
      <c r="C676" s="307"/>
      <c r="D676" s="312"/>
      <c r="E676" s="301"/>
      <c r="F676" s="232"/>
      <c r="J676" s="306"/>
      <c r="K676" s="306"/>
      <c r="L676" s="313"/>
      <c r="M676" s="219"/>
      <c r="N676" s="218"/>
      <c r="S676" s="224"/>
      <c r="T676" s="228"/>
      <c r="U676" s="226"/>
      <c r="V676" s="226"/>
      <c r="W676" s="303"/>
      <c r="X676" s="220"/>
      <c r="Z676" s="227"/>
      <c r="AA676" s="220"/>
      <c r="AB676" s="221"/>
      <c r="AC676" s="229"/>
      <c r="AD676" s="230"/>
      <c r="AE676" s="230"/>
      <c r="AF676" s="230"/>
      <c r="AG676" s="227"/>
    </row>
    <row r="677" spans="1:33" x14ac:dyDescent="0.25">
      <c r="A677" s="32"/>
      <c r="B677" s="306"/>
      <c r="C677" s="307"/>
      <c r="D677" s="312"/>
      <c r="E677" s="301"/>
      <c r="F677" s="232"/>
      <c r="J677" s="306"/>
      <c r="K677" s="306"/>
      <c r="L677" s="313"/>
      <c r="M677" s="219"/>
      <c r="N677" s="218"/>
      <c r="S677" s="224"/>
      <c r="T677" s="228"/>
      <c r="U677" s="226"/>
      <c r="V677" s="226"/>
      <c r="W677" s="303"/>
      <c r="X677" s="220"/>
      <c r="Z677" s="227"/>
      <c r="AA677" s="220"/>
      <c r="AB677" s="221"/>
      <c r="AC677" s="229"/>
      <c r="AD677" s="230"/>
      <c r="AE677" s="230"/>
      <c r="AF677" s="230"/>
      <c r="AG677" s="227"/>
    </row>
    <row r="678" spans="1:33" x14ac:dyDescent="0.25">
      <c r="A678" s="32"/>
      <c r="B678" s="306"/>
      <c r="C678" s="307"/>
      <c r="D678" s="312"/>
      <c r="E678" s="301"/>
      <c r="F678" s="232"/>
      <c r="J678" s="306"/>
      <c r="K678" s="306"/>
      <c r="L678" s="313"/>
      <c r="M678" s="219"/>
      <c r="N678" s="218"/>
      <c r="S678" s="224"/>
      <c r="T678" s="228"/>
      <c r="U678" s="226"/>
      <c r="V678" s="226"/>
      <c r="W678" s="303"/>
      <c r="X678" s="220"/>
      <c r="Z678" s="227"/>
      <c r="AA678" s="220"/>
      <c r="AB678" s="221"/>
      <c r="AC678" s="229"/>
      <c r="AD678" s="230"/>
      <c r="AE678" s="230"/>
      <c r="AF678" s="230"/>
      <c r="AG678" s="227"/>
    </row>
    <row r="679" spans="1:33" x14ac:dyDescent="0.25">
      <c r="A679" s="32"/>
      <c r="B679" s="306"/>
      <c r="C679" s="307"/>
      <c r="D679" s="312"/>
      <c r="E679" s="301"/>
      <c r="F679" s="232"/>
      <c r="J679" s="306"/>
      <c r="K679" s="306"/>
      <c r="L679" s="313"/>
      <c r="M679" s="219"/>
      <c r="N679" s="218"/>
      <c r="S679" s="224"/>
      <c r="T679" s="228"/>
      <c r="U679" s="226"/>
      <c r="V679" s="226"/>
      <c r="W679" s="303"/>
      <c r="X679" s="220"/>
      <c r="Z679" s="227"/>
      <c r="AA679" s="220"/>
      <c r="AB679" s="221"/>
      <c r="AC679" s="229"/>
      <c r="AD679" s="230"/>
      <c r="AE679" s="230"/>
      <c r="AF679" s="230"/>
      <c r="AG679" s="227"/>
    </row>
    <row r="680" spans="1:33" x14ac:dyDescent="0.25">
      <c r="A680" s="32"/>
      <c r="B680" s="306"/>
      <c r="C680" s="307"/>
      <c r="D680" s="312"/>
      <c r="E680" s="301"/>
      <c r="F680" s="232"/>
      <c r="J680" s="306"/>
      <c r="K680" s="306"/>
      <c r="L680" s="313"/>
      <c r="M680" s="219"/>
      <c r="N680" s="218"/>
      <c r="S680" s="224"/>
      <c r="T680" s="228"/>
      <c r="U680" s="226"/>
      <c r="V680" s="226"/>
      <c r="W680" s="303"/>
      <c r="X680" s="220"/>
      <c r="Z680" s="227"/>
      <c r="AA680" s="220"/>
      <c r="AB680" s="221"/>
      <c r="AC680" s="229"/>
      <c r="AD680" s="230"/>
      <c r="AE680" s="230"/>
      <c r="AF680" s="230"/>
      <c r="AG680" s="227"/>
    </row>
    <row r="681" spans="1:33" x14ac:dyDescent="0.25">
      <c r="A681" s="32"/>
      <c r="B681" s="306"/>
      <c r="C681" s="307"/>
      <c r="D681" s="312"/>
      <c r="E681" s="301"/>
      <c r="F681" s="232"/>
      <c r="J681" s="306"/>
      <c r="K681" s="306"/>
      <c r="L681" s="313"/>
      <c r="M681" s="219"/>
      <c r="N681" s="218"/>
      <c r="S681" s="224"/>
      <c r="T681" s="228"/>
      <c r="U681" s="226"/>
      <c r="V681" s="226"/>
      <c r="W681" s="303"/>
      <c r="X681" s="220"/>
      <c r="Z681" s="227"/>
      <c r="AA681" s="220"/>
      <c r="AB681" s="221"/>
      <c r="AC681" s="229"/>
      <c r="AD681" s="230"/>
      <c r="AE681" s="230"/>
      <c r="AF681" s="230"/>
      <c r="AG681" s="227"/>
    </row>
    <row r="682" spans="1:33" x14ac:dyDescent="0.25">
      <c r="A682" s="32"/>
      <c r="B682" s="306"/>
      <c r="C682" s="307"/>
      <c r="D682" s="312"/>
      <c r="E682" s="301"/>
      <c r="F682" s="232"/>
      <c r="J682" s="306"/>
      <c r="K682" s="306"/>
      <c r="L682" s="313"/>
      <c r="M682" s="219"/>
      <c r="N682" s="218"/>
      <c r="S682" s="224"/>
      <c r="T682" s="228"/>
      <c r="U682" s="226"/>
      <c r="V682" s="226"/>
      <c r="W682" s="303"/>
      <c r="X682" s="220"/>
      <c r="Z682" s="227"/>
      <c r="AA682" s="220"/>
      <c r="AB682" s="221"/>
      <c r="AC682" s="229"/>
      <c r="AD682" s="230"/>
      <c r="AE682" s="230"/>
      <c r="AF682" s="230"/>
      <c r="AG682" s="227"/>
    </row>
    <row r="683" spans="1:33" x14ac:dyDescent="0.25">
      <c r="A683" s="32"/>
      <c r="B683" s="306"/>
      <c r="C683" s="307"/>
      <c r="D683" s="312"/>
      <c r="E683" s="301"/>
      <c r="F683" s="232"/>
      <c r="J683" s="306"/>
      <c r="K683" s="306"/>
      <c r="L683" s="313"/>
      <c r="M683" s="219"/>
      <c r="N683" s="218"/>
      <c r="S683" s="224"/>
      <c r="T683" s="228"/>
      <c r="U683" s="226"/>
      <c r="V683" s="226"/>
      <c r="W683" s="303"/>
      <c r="X683" s="220"/>
      <c r="Z683" s="227"/>
      <c r="AA683" s="220"/>
      <c r="AB683" s="221"/>
      <c r="AC683" s="229"/>
      <c r="AD683" s="230"/>
      <c r="AE683" s="230"/>
      <c r="AF683" s="230"/>
      <c r="AG683" s="227"/>
    </row>
    <row r="684" spans="1:33" x14ac:dyDescent="0.25">
      <c r="A684" s="32"/>
      <c r="B684" s="306"/>
      <c r="C684" s="307"/>
      <c r="D684" s="312"/>
      <c r="E684" s="301"/>
      <c r="F684" s="232"/>
      <c r="J684" s="306"/>
      <c r="K684" s="306"/>
      <c r="L684" s="313"/>
      <c r="M684" s="219"/>
      <c r="N684" s="218"/>
      <c r="S684" s="224"/>
      <c r="T684" s="228"/>
      <c r="U684" s="226"/>
      <c r="V684" s="226"/>
      <c r="W684" s="303"/>
      <c r="X684" s="220"/>
      <c r="Z684" s="227"/>
      <c r="AA684" s="220"/>
      <c r="AB684" s="221"/>
      <c r="AC684" s="229"/>
      <c r="AD684" s="230"/>
      <c r="AE684" s="230"/>
      <c r="AF684" s="230"/>
      <c r="AG684" s="227"/>
    </row>
    <row r="685" spans="1:33" x14ac:dyDescent="0.25">
      <c r="A685" s="32"/>
      <c r="B685" s="306"/>
      <c r="C685" s="307"/>
      <c r="D685" s="312"/>
      <c r="E685" s="301"/>
      <c r="F685" s="232"/>
      <c r="J685" s="306"/>
      <c r="K685" s="306"/>
      <c r="L685" s="313"/>
      <c r="M685" s="219"/>
      <c r="N685" s="218"/>
      <c r="S685" s="224"/>
      <c r="T685" s="228"/>
      <c r="U685" s="226"/>
      <c r="V685" s="226"/>
      <c r="W685" s="303"/>
      <c r="X685" s="220"/>
      <c r="Z685" s="227"/>
      <c r="AA685" s="220"/>
      <c r="AB685" s="221"/>
      <c r="AC685" s="229"/>
      <c r="AD685" s="230"/>
      <c r="AE685" s="230"/>
      <c r="AF685" s="230"/>
      <c r="AG685" s="227"/>
    </row>
    <row r="686" spans="1:33" x14ac:dyDescent="0.25">
      <c r="A686" s="32"/>
      <c r="B686" s="306"/>
      <c r="C686" s="307"/>
      <c r="D686" s="312"/>
      <c r="E686" s="301"/>
      <c r="F686" s="232"/>
      <c r="J686" s="306"/>
      <c r="K686" s="306"/>
      <c r="L686" s="313"/>
      <c r="M686" s="219"/>
      <c r="N686" s="218"/>
      <c r="S686" s="224"/>
      <c r="T686" s="228"/>
      <c r="U686" s="226"/>
      <c r="V686" s="226"/>
      <c r="W686" s="303"/>
      <c r="X686" s="220"/>
      <c r="Z686" s="227"/>
      <c r="AA686" s="220"/>
      <c r="AB686" s="221"/>
      <c r="AC686" s="229"/>
      <c r="AD686" s="230"/>
      <c r="AE686" s="230"/>
      <c r="AF686" s="230"/>
      <c r="AG686" s="227"/>
    </row>
    <row r="687" spans="1:33" x14ac:dyDescent="0.25">
      <c r="A687" s="32"/>
      <c r="B687" s="306"/>
      <c r="C687" s="307"/>
      <c r="D687" s="312"/>
      <c r="E687" s="301"/>
      <c r="F687" s="232"/>
      <c r="J687" s="306"/>
      <c r="K687" s="306"/>
      <c r="L687" s="313"/>
      <c r="M687" s="219"/>
      <c r="N687" s="218"/>
      <c r="S687" s="224"/>
      <c r="T687" s="228"/>
      <c r="U687" s="226"/>
      <c r="V687" s="226"/>
      <c r="W687" s="303"/>
      <c r="X687" s="220"/>
      <c r="Z687" s="227"/>
      <c r="AA687" s="220"/>
      <c r="AB687" s="221"/>
      <c r="AC687" s="229"/>
      <c r="AD687" s="230"/>
      <c r="AE687" s="230"/>
      <c r="AF687" s="230"/>
      <c r="AG687" s="227"/>
    </row>
    <row r="688" spans="1:33" x14ac:dyDescent="0.25">
      <c r="A688" s="32"/>
      <c r="B688" s="306"/>
      <c r="C688" s="307"/>
      <c r="D688" s="312"/>
      <c r="E688" s="301"/>
      <c r="F688" s="232"/>
      <c r="J688" s="306"/>
      <c r="K688" s="306"/>
      <c r="L688" s="313"/>
      <c r="M688" s="219"/>
      <c r="N688" s="218"/>
      <c r="S688" s="224"/>
      <c r="T688" s="228"/>
      <c r="U688" s="226"/>
      <c r="V688" s="226"/>
      <c r="W688" s="303"/>
      <c r="X688" s="220"/>
      <c r="Z688" s="227"/>
      <c r="AA688" s="220"/>
      <c r="AB688" s="221"/>
      <c r="AC688" s="229"/>
      <c r="AD688" s="230"/>
      <c r="AE688" s="230"/>
      <c r="AF688" s="230"/>
      <c r="AG688" s="227"/>
    </row>
    <row r="689" spans="1:33" x14ac:dyDescent="0.25">
      <c r="A689" s="32"/>
      <c r="B689" s="306"/>
      <c r="C689" s="307"/>
      <c r="D689" s="312"/>
      <c r="E689" s="301"/>
      <c r="F689" s="232"/>
      <c r="J689" s="306"/>
      <c r="K689" s="306"/>
      <c r="L689" s="313"/>
      <c r="M689" s="219"/>
      <c r="N689" s="218"/>
      <c r="S689" s="224"/>
      <c r="T689" s="228"/>
      <c r="U689" s="226"/>
      <c r="V689" s="226"/>
      <c r="W689" s="303"/>
      <c r="X689" s="220"/>
      <c r="Z689" s="227"/>
      <c r="AA689" s="220"/>
      <c r="AB689" s="221"/>
      <c r="AC689" s="229"/>
      <c r="AD689" s="230"/>
      <c r="AE689" s="230"/>
      <c r="AF689" s="230"/>
      <c r="AG689" s="227"/>
    </row>
    <row r="690" spans="1:33" x14ac:dyDescent="0.25">
      <c r="A690" s="32"/>
      <c r="B690" s="306"/>
      <c r="C690" s="307"/>
      <c r="D690" s="312"/>
      <c r="E690" s="301"/>
      <c r="F690" s="232"/>
      <c r="J690" s="306"/>
      <c r="K690" s="306"/>
      <c r="L690" s="313"/>
      <c r="M690" s="219"/>
      <c r="N690" s="218"/>
      <c r="S690" s="224"/>
      <c r="T690" s="228"/>
      <c r="U690" s="226"/>
      <c r="V690" s="226"/>
      <c r="W690" s="303"/>
      <c r="X690" s="220"/>
      <c r="Z690" s="227"/>
      <c r="AA690" s="220"/>
      <c r="AB690" s="221"/>
      <c r="AC690" s="229"/>
      <c r="AD690" s="230"/>
      <c r="AE690" s="230"/>
      <c r="AF690" s="230"/>
      <c r="AG690" s="227"/>
    </row>
    <row r="691" spans="1:33" x14ac:dyDescent="0.25">
      <c r="A691" s="32"/>
      <c r="B691" s="306"/>
      <c r="C691" s="307"/>
      <c r="D691" s="312"/>
      <c r="E691" s="301"/>
      <c r="F691" s="232"/>
      <c r="J691" s="306"/>
      <c r="K691" s="306"/>
      <c r="L691" s="313"/>
      <c r="M691" s="219"/>
      <c r="N691" s="218"/>
      <c r="S691" s="224"/>
      <c r="T691" s="228"/>
      <c r="U691" s="226"/>
      <c r="V691" s="226"/>
      <c r="W691" s="303"/>
      <c r="X691" s="220"/>
      <c r="Z691" s="227"/>
      <c r="AA691" s="220"/>
      <c r="AB691" s="221"/>
      <c r="AC691" s="229"/>
      <c r="AD691" s="230"/>
      <c r="AE691" s="230"/>
      <c r="AF691" s="230"/>
      <c r="AG691" s="227"/>
    </row>
    <row r="692" spans="1:33" x14ac:dyDescent="0.25">
      <c r="A692" s="32"/>
      <c r="B692" s="306"/>
      <c r="C692" s="307"/>
      <c r="D692" s="312"/>
      <c r="E692" s="301"/>
      <c r="F692" s="232"/>
      <c r="J692" s="306"/>
      <c r="K692" s="306"/>
      <c r="L692" s="313"/>
      <c r="M692" s="219"/>
      <c r="N692" s="218"/>
      <c r="S692" s="224"/>
      <c r="T692" s="228"/>
      <c r="U692" s="226"/>
      <c r="V692" s="226"/>
      <c r="W692" s="303"/>
      <c r="X692" s="220"/>
      <c r="Z692" s="227"/>
      <c r="AA692" s="220"/>
      <c r="AB692" s="221"/>
      <c r="AC692" s="229"/>
      <c r="AD692" s="230"/>
      <c r="AE692" s="230"/>
      <c r="AF692" s="230"/>
      <c r="AG692" s="227"/>
    </row>
    <row r="693" spans="1:33" x14ac:dyDescent="0.25">
      <c r="A693" s="32"/>
      <c r="B693" s="306"/>
      <c r="C693" s="307"/>
      <c r="D693" s="312"/>
      <c r="E693" s="301"/>
      <c r="F693" s="232"/>
      <c r="J693" s="306"/>
      <c r="K693" s="306"/>
      <c r="L693" s="313"/>
      <c r="M693" s="219"/>
      <c r="N693" s="218"/>
      <c r="S693" s="224"/>
      <c r="T693" s="228"/>
      <c r="U693" s="226"/>
      <c r="V693" s="226"/>
      <c r="W693" s="303"/>
      <c r="X693" s="220"/>
      <c r="Z693" s="227"/>
      <c r="AA693" s="220"/>
      <c r="AB693" s="221"/>
      <c r="AC693" s="229"/>
      <c r="AD693" s="230"/>
      <c r="AE693" s="230"/>
      <c r="AF693" s="230"/>
      <c r="AG693" s="227"/>
    </row>
    <row r="694" spans="1:33" x14ac:dyDescent="0.25">
      <c r="A694" s="32"/>
      <c r="B694" s="306"/>
      <c r="C694" s="307"/>
      <c r="D694" s="312"/>
      <c r="E694" s="301"/>
      <c r="F694" s="232"/>
      <c r="J694" s="306"/>
      <c r="K694" s="306"/>
      <c r="L694" s="313"/>
      <c r="M694" s="219"/>
      <c r="N694" s="218"/>
      <c r="S694" s="224"/>
      <c r="T694" s="228"/>
      <c r="U694" s="226"/>
      <c r="V694" s="226"/>
      <c r="W694" s="303"/>
      <c r="X694" s="220"/>
      <c r="Z694" s="227"/>
      <c r="AA694" s="220"/>
      <c r="AB694" s="221"/>
      <c r="AC694" s="229"/>
      <c r="AD694" s="230"/>
      <c r="AE694" s="230"/>
      <c r="AF694" s="230"/>
      <c r="AG694" s="227"/>
    </row>
    <row r="695" spans="1:33" x14ac:dyDescent="0.25">
      <c r="A695" s="32"/>
      <c r="B695" s="306"/>
      <c r="C695" s="307"/>
      <c r="D695" s="312"/>
      <c r="E695" s="301"/>
      <c r="F695" s="232"/>
      <c r="J695" s="306"/>
      <c r="K695" s="306"/>
      <c r="L695" s="313"/>
      <c r="M695" s="219"/>
      <c r="N695" s="218"/>
      <c r="S695" s="224"/>
      <c r="T695" s="228"/>
      <c r="U695" s="226"/>
      <c r="V695" s="226"/>
      <c r="W695" s="303"/>
      <c r="X695" s="220"/>
      <c r="Z695" s="227"/>
      <c r="AA695" s="220"/>
      <c r="AB695" s="221"/>
      <c r="AC695" s="229"/>
      <c r="AD695" s="230"/>
      <c r="AE695" s="230"/>
      <c r="AF695" s="230"/>
      <c r="AG695" s="227"/>
    </row>
    <row r="696" spans="1:33" x14ac:dyDescent="0.25">
      <c r="A696" s="32"/>
      <c r="B696" s="306"/>
      <c r="C696" s="307"/>
      <c r="D696" s="312"/>
      <c r="E696" s="301"/>
      <c r="F696" s="232"/>
      <c r="J696" s="306"/>
      <c r="K696" s="306"/>
      <c r="L696" s="313"/>
      <c r="M696" s="219"/>
      <c r="N696" s="218"/>
      <c r="S696" s="224"/>
      <c r="T696" s="228"/>
      <c r="U696" s="226"/>
      <c r="V696" s="226"/>
      <c r="W696" s="303"/>
      <c r="X696" s="220"/>
      <c r="Z696" s="227"/>
      <c r="AA696" s="220"/>
      <c r="AB696" s="221"/>
      <c r="AC696" s="229"/>
      <c r="AD696" s="230"/>
      <c r="AE696" s="230"/>
      <c r="AF696" s="230"/>
      <c r="AG696" s="227"/>
    </row>
    <row r="697" spans="1:33" x14ac:dyDescent="0.25">
      <c r="A697" s="32"/>
      <c r="B697" s="306"/>
      <c r="C697" s="307"/>
      <c r="D697" s="312"/>
      <c r="E697" s="301"/>
      <c r="F697" s="232"/>
      <c r="J697" s="306"/>
      <c r="K697" s="306"/>
      <c r="L697" s="313"/>
      <c r="M697" s="219"/>
      <c r="N697" s="218"/>
      <c r="S697" s="224"/>
      <c r="T697" s="228"/>
      <c r="U697" s="226"/>
      <c r="V697" s="226"/>
      <c r="W697" s="303"/>
      <c r="X697" s="220"/>
      <c r="Z697" s="227"/>
      <c r="AA697" s="220"/>
      <c r="AB697" s="221"/>
      <c r="AC697" s="229"/>
      <c r="AD697" s="230"/>
      <c r="AE697" s="230"/>
      <c r="AF697" s="230"/>
      <c r="AG697" s="227"/>
    </row>
    <row r="698" spans="1:33" x14ac:dyDescent="0.25">
      <c r="A698" s="32"/>
      <c r="B698" s="306"/>
      <c r="C698" s="307"/>
      <c r="D698" s="312"/>
      <c r="E698" s="301"/>
      <c r="F698" s="232"/>
      <c r="J698" s="306"/>
      <c r="K698" s="306"/>
      <c r="L698" s="313"/>
      <c r="M698" s="219"/>
      <c r="N698" s="218"/>
      <c r="S698" s="224"/>
      <c r="T698" s="228"/>
      <c r="U698" s="226"/>
      <c r="V698" s="226"/>
      <c r="W698" s="303"/>
      <c r="X698" s="220"/>
      <c r="Z698" s="227"/>
      <c r="AA698" s="220"/>
      <c r="AB698" s="221"/>
      <c r="AC698" s="229"/>
      <c r="AD698" s="230"/>
      <c r="AE698" s="230"/>
      <c r="AF698" s="230"/>
      <c r="AG698" s="227"/>
    </row>
    <row r="699" spans="1:33" x14ac:dyDescent="0.25">
      <c r="A699" s="32"/>
      <c r="B699" s="306"/>
      <c r="C699" s="307"/>
      <c r="D699" s="312"/>
      <c r="E699" s="301"/>
      <c r="F699" s="232"/>
      <c r="J699" s="306"/>
      <c r="K699" s="306"/>
      <c r="L699" s="313"/>
      <c r="M699" s="219"/>
      <c r="N699" s="218"/>
      <c r="S699" s="224"/>
      <c r="T699" s="228"/>
      <c r="U699" s="226"/>
      <c r="V699" s="226"/>
      <c r="W699" s="303"/>
      <c r="X699" s="220"/>
      <c r="Z699" s="227"/>
      <c r="AA699" s="220"/>
      <c r="AB699" s="221"/>
      <c r="AC699" s="229"/>
      <c r="AD699" s="230"/>
      <c r="AE699" s="230"/>
      <c r="AF699" s="230"/>
      <c r="AG699" s="227"/>
    </row>
    <row r="700" spans="1:33" x14ac:dyDescent="0.25">
      <c r="A700" s="32"/>
      <c r="B700" s="306"/>
      <c r="C700" s="307"/>
      <c r="D700" s="312"/>
      <c r="E700" s="301"/>
      <c r="F700" s="232"/>
      <c r="J700" s="306"/>
      <c r="K700" s="306"/>
      <c r="L700" s="313"/>
      <c r="M700" s="219"/>
      <c r="N700" s="218"/>
      <c r="S700" s="224"/>
      <c r="T700" s="228"/>
      <c r="U700" s="226"/>
      <c r="V700" s="226"/>
      <c r="W700" s="303"/>
      <c r="X700" s="220"/>
      <c r="Z700" s="227"/>
      <c r="AA700" s="220"/>
      <c r="AB700" s="221"/>
      <c r="AC700" s="229"/>
      <c r="AD700" s="230"/>
      <c r="AE700" s="230"/>
      <c r="AF700" s="230"/>
      <c r="AG700" s="227"/>
    </row>
    <row r="701" spans="1:33" x14ac:dyDescent="0.25">
      <c r="A701" s="32"/>
      <c r="B701" s="306"/>
      <c r="C701" s="307"/>
      <c r="D701" s="312"/>
      <c r="E701" s="301"/>
      <c r="F701" s="232"/>
      <c r="J701" s="306"/>
      <c r="K701" s="306"/>
      <c r="L701" s="313"/>
      <c r="M701" s="219"/>
      <c r="N701" s="218"/>
      <c r="S701" s="224"/>
      <c r="T701" s="228"/>
      <c r="U701" s="226"/>
      <c r="V701" s="226"/>
      <c r="W701" s="303"/>
      <c r="X701" s="220"/>
      <c r="Z701" s="227"/>
      <c r="AA701" s="220"/>
      <c r="AB701" s="221"/>
      <c r="AC701" s="229"/>
      <c r="AD701" s="230"/>
      <c r="AE701" s="230"/>
      <c r="AF701" s="230"/>
      <c r="AG701" s="227"/>
    </row>
    <row r="702" spans="1:33" x14ac:dyDescent="0.25">
      <c r="A702" s="32"/>
      <c r="B702" s="306"/>
      <c r="C702" s="307"/>
      <c r="D702" s="312"/>
      <c r="E702" s="301"/>
      <c r="F702" s="232"/>
      <c r="J702" s="306"/>
      <c r="K702" s="306"/>
      <c r="L702" s="313"/>
      <c r="M702" s="219"/>
      <c r="N702" s="218"/>
      <c r="S702" s="224"/>
      <c r="T702" s="228"/>
      <c r="U702" s="226"/>
      <c r="V702" s="226"/>
      <c r="W702" s="303"/>
      <c r="X702" s="220"/>
      <c r="Z702" s="227"/>
      <c r="AA702" s="220"/>
      <c r="AB702" s="221"/>
      <c r="AC702" s="229"/>
      <c r="AD702" s="230"/>
      <c r="AE702" s="230"/>
      <c r="AF702" s="230"/>
      <c r="AG702" s="227"/>
    </row>
    <row r="703" spans="1:33" x14ac:dyDescent="0.25">
      <c r="A703" s="32"/>
      <c r="B703" s="306"/>
      <c r="C703" s="307"/>
      <c r="D703" s="312"/>
      <c r="E703" s="301"/>
      <c r="F703" s="232"/>
      <c r="J703" s="306"/>
      <c r="K703" s="306"/>
      <c r="L703" s="313"/>
      <c r="M703" s="219"/>
      <c r="N703" s="218"/>
      <c r="S703" s="224"/>
      <c r="T703" s="228"/>
      <c r="U703" s="226"/>
      <c r="V703" s="226"/>
      <c r="W703" s="303"/>
      <c r="X703" s="220"/>
      <c r="Z703" s="227"/>
      <c r="AA703" s="220"/>
      <c r="AB703" s="221"/>
      <c r="AC703" s="229"/>
      <c r="AD703" s="230"/>
      <c r="AE703" s="230"/>
      <c r="AF703" s="230"/>
      <c r="AG703" s="227"/>
    </row>
    <row r="704" spans="1:33" x14ac:dyDescent="0.25">
      <c r="A704" s="32"/>
      <c r="B704" s="306"/>
      <c r="C704" s="307"/>
      <c r="D704" s="312"/>
      <c r="E704" s="301"/>
      <c r="F704" s="232"/>
      <c r="J704" s="306"/>
      <c r="K704" s="306"/>
      <c r="L704" s="313"/>
      <c r="M704" s="219"/>
      <c r="N704" s="218"/>
      <c r="S704" s="224"/>
      <c r="T704" s="228"/>
      <c r="U704" s="226"/>
      <c r="V704" s="226"/>
      <c r="W704" s="303"/>
      <c r="X704" s="220"/>
      <c r="Z704" s="227"/>
      <c r="AA704" s="220"/>
      <c r="AB704" s="221"/>
      <c r="AC704" s="229"/>
      <c r="AD704" s="230"/>
      <c r="AE704" s="230"/>
      <c r="AF704" s="230"/>
      <c r="AG704" s="227"/>
    </row>
    <row r="705" spans="1:33" x14ac:dyDescent="0.25">
      <c r="A705" s="32"/>
      <c r="B705" s="306"/>
      <c r="C705" s="307"/>
      <c r="D705" s="312"/>
      <c r="E705" s="301"/>
      <c r="F705" s="232"/>
      <c r="J705" s="306"/>
      <c r="K705" s="306"/>
      <c r="L705" s="313"/>
      <c r="M705" s="219"/>
      <c r="N705" s="218"/>
      <c r="S705" s="224"/>
      <c r="T705" s="228"/>
      <c r="U705" s="226"/>
      <c r="V705" s="226"/>
      <c r="W705" s="303"/>
      <c r="X705" s="220"/>
      <c r="Z705" s="227"/>
      <c r="AA705" s="220"/>
      <c r="AB705" s="221"/>
      <c r="AC705" s="229"/>
      <c r="AD705" s="230"/>
      <c r="AE705" s="230"/>
      <c r="AF705" s="230"/>
      <c r="AG705" s="227"/>
    </row>
    <row r="706" spans="1:33" x14ac:dyDescent="0.25">
      <c r="A706" s="32"/>
      <c r="B706" s="306"/>
      <c r="C706" s="307"/>
      <c r="D706" s="312"/>
      <c r="E706" s="301"/>
      <c r="F706" s="232"/>
      <c r="J706" s="306"/>
      <c r="K706" s="306"/>
      <c r="L706" s="313"/>
      <c r="M706" s="219"/>
      <c r="N706" s="218"/>
      <c r="S706" s="224"/>
      <c r="T706" s="228"/>
      <c r="U706" s="226"/>
      <c r="V706" s="226"/>
      <c r="W706" s="303"/>
      <c r="X706" s="220"/>
      <c r="Z706" s="227"/>
      <c r="AA706" s="220"/>
      <c r="AB706" s="221"/>
      <c r="AC706" s="229"/>
      <c r="AD706" s="230"/>
      <c r="AE706" s="230"/>
      <c r="AF706" s="230"/>
      <c r="AG706" s="227"/>
    </row>
    <row r="707" spans="1:33" x14ac:dyDescent="0.25">
      <c r="A707" s="32"/>
      <c r="B707" s="306"/>
      <c r="C707" s="307"/>
      <c r="D707" s="312"/>
      <c r="E707" s="301"/>
      <c r="F707" s="232"/>
      <c r="J707" s="306"/>
      <c r="K707" s="306"/>
      <c r="L707" s="313"/>
      <c r="M707" s="219"/>
      <c r="N707" s="218"/>
      <c r="S707" s="224"/>
      <c r="T707" s="228"/>
      <c r="U707" s="226"/>
      <c r="V707" s="226"/>
      <c r="W707" s="303"/>
      <c r="X707" s="220"/>
      <c r="Z707" s="227"/>
      <c r="AA707" s="220"/>
      <c r="AB707" s="221"/>
      <c r="AC707" s="229"/>
      <c r="AD707" s="230"/>
      <c r="AE707" s="230"/>
      <c r="AF707" s="230"/>
      <c r="AG707" s="227"/>
    </row>
    <row r="708" spans="1:33" x14ac:dyDescent="0.25">
      <c r="A708" s="32"/>
      <c r="B708" s="306"/>
      <c r="C708" s="307"/>
      <c r="D708" s="312"/>
      <c r="E708" s="301"/>
      <c r="F708" s="232"/>
      <c r="J708" s="306"/>
      <c r="K708" s="306"/>
      <c r="L708" s="313"/>
      <c r="M708" s="219"/>
      <c r="N708" s="218"/>
      <c r="S708" s="224"/>
      <c r="T708" s="228"/>
      <c r="U708" s="226"/>
      <c r="V708" s="226"/>
      <c r="W708" s="303"/>
      <c r="X708" s="220"/>
      <c r="Z708" s="227"/>
      <c r="AA708" s="220"/>
      <c r="AB708" s="221"/>
      <c r="AC708" s="229"/>
      <c r="AD708" s="230"/>
      <c r="AE708" s="230"/>
      <c r="AF708" s="230"/>
      <c r="AG708" s="227"/>
    </row>
    <row r="709" spans="1:33" x14ac:dyDescent="0.25">
      <c r="A709" s="32"/>
      <c r="B709" s="306"/>
      <c r="C709" s="307"/>
      <c r="D709" s="312"/>
      <c r="E709" s="301"/>
      <c r="F709" s="232"/>
      <c r="J709" s="306"/>
      <c r="K709" s="306"/>
      <c r="L709" s="313"/>
      <c r="M709" s="219"/>
      <c r="N709" s="218"/>
      <c r="S709" s="224"/>
      <c r="T709" s="228"/>
      <c r="U709" s="226"/>
      <c r="V709" s="226"/>
      <c r="W709" s="303"/>
      <c r="X709" s="220"/>
      <c r="Z709" s="227"/>
      <c r="AA709" s="220"/>
      <c r="AB709" s="221"/>
      <c r="AC709" s="229"/>
      <c r="AD709" s="230"/>
      <c r="AE709" s="230"/>
      <c r="AF709" s="230"/>
      <c r="AG709" s="227"/>
    </row>
    <row r="710" spans="1:33" x14ac:dyDescent="0.25">
      <c r="A710" s="32"/>
      <c r="B710" s="306"/>
      <c r="C710" s="307"/>
      <c r="D710" s="312"/>
      <c r="E710" s="301"/>
      <c r="F710" s="232"/>
      <c r="J710" s="306"/>
      <c r="K710" s="306"/>
      <c r="L710" s="313"/>
      <c r="M710" s="219"/>
      <c r="N710" s="218"/>
      <c r="S710" s="224"/>
      <c r="T710" s="228"/>
      <c r="U710" s="226"/>
      <c r="V710" s="226"/>
      <c r="W710" s="303"/>
      <c r="X710" s="220"/>
      <c r="Z710" s="227"/>
      <c r="AA710" s="220"/>
      <c r="AB710" s="221"/>
      <c r="AC710" s="229"/>
      <c r="AD710" s="230"/>
      <c r="AE710" s="230"/>
      <c r="AF710" s="230"/>
      <c r="AG710" s="227"/>
    </row>
    <row r="711" spans="1:33" x14ac:dyDescent="0.25">
      <c r="A711" s="32"/>
      <c r="B711" s="306"/>
      <c r="C711" s="307"/>
      <c r="D711" s="312"/>
      <c r="E711" s="301"/>
      <c r="F711" s="232"/>
      <c r="J711" s="306"/>
      <c r="K711" s="306"/>
      <c r="L711" s="313"/>
      <c r="M711" s="219"/>
      <c r="N711" s="218"/>
      <c r="S711" s="224"/>
      <c r="T711" s="228"/>
      <c r="U711" s="226"/>
      <c r="V711" s="226"/>
      <c r="W711" s="303"/>
      <c r="X711" s="220"/>
      <c r="Z711" s="227"/>
      <c r="AA711" s="220"/>
      <c r="AB711" s="221"/>
      <c r="AC711" s="229"/>
      <c r="AD711" s="230"/>
      <c r="AE711" s="230"/>
      <c r="AF711" s="230"/>
      <c r="AG711" s="227"/>
    </row>
    <row r="712" spans="1:33" x14ac:dyDescent="0.25">
      <c r="A712" s="32"/>
      <c r="B712" s="306"/>
      <c r="C712" s="307"/>
      <c r="D712" s="312"/>
      <c r="E712" s="301"/>
      <c r="F712" s="232"/>
      <c r="J712" s="306"/>
      <c r="K712" s="306"/>
      <c r="L712" s="313"/>
      <c r="M712" s="219"/>
      <c r="N712" s="218"/>
      <c r="S712" s="224"/>
      <c r="T712" s="228"/>
      <c r="U712" s="226"/>
      <c r="V712" s="226"/>
      <c r="W712" s="303"/>
      <c r="X712" s="220"/>
      <c r="Z712" s="227"/>
      <c r="AA712" s="220"/>
      <c r="AB712" s="221"/>
      <c r="AC712" s="229"/>
      <c r="AD712" s="230"/>
      <c r="AE712" s="230"/>
      <c r="AF712" s="230"/>
      <c r="AG712" s="227"/>
    </row>
    <row r="713" spans="1:33" x14ac:dyDescent="0.25">
      <c r="A713" s="32"/>
      <c r="B713" s="306"/>
      <c r="C713" s="307"/>
      <c r="D713" s="312"/>
      <c r="E713" s="301"/>
      <c r="F713" s="232"/>
      <c r="J713" s="306"/>
      <c r="K713" s="306"/>
      <c r="L713" s="313"/>
      <c r="M713" s="219"/>
      <c r="N713" s="218"/>
      <c r="S713" s="224"/>
      <c r="T713" s="228"/>
      <c r="U713" s="226"/>
      <c r="V713" s="226"/>
      <c r="W713" s="303"/>
      <c r="X713" s="220"/>
      <c r="Z713" s="227"/>
      <c r="AA713" s="220"/>
      <c r="AB713" s="221"/>
      <c r="AC713" s="229"/>
      <c r="AD713" s="230"/>
      <c r="AE713" s="230"/>
      <c r="AF713" s="230"/>
      <c r="AG713" s="227"/>
    </row>
    <row r="714" spans="1:33" x14ac:dyDescent="0.25">
      <c r="A714" s="32"/>
      <c r="B714" s="306"/>
      <c r="C714" s="307"/>
      <c r="D714" s="312"/>
      <c r="E714" s="301"/>
      <c r="F714" s="232"/>
      <c r="J714" s="306"/>
      <c r="K714" s="306"/>
      <c r="L714" s="313"/>
      <c r="M714" s="219"/>
      <c r="N714" s="218"/>
      <c r="S714" s="224"/>
      <c r="T714" s="228"/>
      <c r="U714" s="226"/>
      <c r="V714" s="226"/>
      <c r="W714" s="303"/>
      <c r="X714" s="220"/>
      <c r="Z714" s="227"/>
      <c r="AA714" s="220"/>
      <c r="AB714" s="221"/>
      <c r="AC714" s="229"/>
      <c r="AD714" s="230"/>
      <c r="AE714" s="230"/>
      <c r="AF714" s="230"/>
      <c r="AG714" s="227"/>
    </row>
    <row r="715" spans="1:33" x14ac:dyDescent="0.25">
      <c r="A715" s="32"/>
      <c r="B715" s="306"/>
      <c r="C715" s="307"/>
      <c r="D715" s="312"/>
      <c r="E715" s="301"/>
      <c r="F715" s="232"/>
      <c r="J715" s="306"/>
      <c r="K715" s="306"/>
      <c r="L715" s="313"/>
      <c r="M715" s="219"/>
      <c r="N715" s="218"/>
      <c r="S715" s="224"/>
      <c r="T715" s="228"/>
      <c r="U715" s="226"/>
      <c r="V715" s="226"/>
      <c r="W715" s="303"/>
      <c r="X715" s="220"/>
      <c r="Z715" s="227"/>
      <c r="AA715" s="220"/>
      <c r="AB715" s="221"/>
      <c r="AC715" s="229"/>
      <c r="AD715" s="230"/>
      <c r="AE715" s="230"/>
      <c r="AF715" s="230"/>
      <c r="AG715" s="227"/>
    </row>
    <row r="716" spans="1:33" x14ac:dyDescent="0.25">
      <c r="A716" s="32"/>
      <c r="B716" s="306"/>
      <c r="C716" s="307"/>
      <c r="D716" s="312"/>
      <c r="E716" s="301"/>
      <c r="F716" s="232"/>
      <c r="J716" s="306"/>
      <c r="K716" s="306"/>
      <c r="L716" s="313"/>
      <c r="M716" s="219"/>
      <c r="N716" s="218"/>
      <c r="S716" s="224"/>
      <c r="T716" s="228"/>
      <c r="U716" s="226"/>
      <c r="V716" s="226"/>
      <c r="W716" s="303"/>
      <c r="X716" s="220"/>
      <c r="Z716" s="227"/>
      <c r="AA716" s="220"/>
      <c r="AB716" s="221"/>
      <c r="AC716" s="229"/>
      <c r="AD716" s="230"/>
      <c r="AE716" s="230"/>
      <c r="AF716" s="230"/>
      <c r="AG716" s="227"/>
    </row>
    <row r="717" spans="1:33" x14ac:dyDescent="0.25">
      <c r="A717" s="32"/>
      <c r="B717" s="306"/>
      <c r="C717" s="307"/>
      <c r="D717" s="312"/>
      <c r="E717" s="301"/>
      <c r="F717" s="232"/>
      <c r="J717" s="306"/>
      <c r="K717" s="306"/>
      <c r="L717" s="313"/>
      <c r="M717" s="219"/>
      <c r="N717" s="218"/>
      <c r="S717" s="224"/>
      <c r="T717" s="228"/>
      <c r="U717" s="226"/>
      <c r="V717" s="226"/>
      <c r="W717" s="303"/>
      <c r="X717" s="220"/>
      <c r="Z717" s="227"/>
      <c r="AA717" s="220"/>
      <c r="AB717" s="221"/>
      <c r="AC717" s="229"/>
      <c r="AD717" s="230"/>
      <c r="AE717" s="230"/>
      <c r="AF717" s="230"/>
      <c r="AG717" s="227"/>
    </row>
    <row r="718" spans="1:33" x14ac:dyDescent="0.25">
      <c r="A718" s="32"/>
      <c r="B718" s="306"/>
      <c r="C718" s="307"/>
      <c r="D718" s="312"/>
      <c r="E718" s="301"/>
      <c r="F718" s="232"/>
      <c r="J718" s="306"/>
      <c r="K718" s="306"/>
      <c r="L718" s="313"/>
      <c r="M718" s="219"/>
      <c r="N718" s="218"/>
      <c r="S718" s="224"/>
      <c r="T718" s="228"/>
      <c r="U718" s="226"/>
      <c r="V718" s="226"/>
      <c r="W718" s="303"/>
      <c r="X718" s="220"/>
      <c r="Z718" s="227"/>
      <c r="AA718" s="220"/>
      <c r="AB718" s="221"/>
      <c r="AC718" s="229"/>
      <c r="AD718" s="230"/>
      <c r="AE718" s="230"/>
      <c r="AF718" s="230"/>
      <c r="AG718" s="227"/>
    </row>
    <row r="719" spans="1:33" x14ac:dyDescent="0.25">
      <c r="A719" s="32"/>
      <c r="B719" s="306"/>
      <c r="C719" s="307"/>
      <c r="D719" s="312"/>
      <c r="E719" s="301"/>
      <c r="F719" s="232"/>
      <c r="J719" s="306"/>
      <c r="K719" s="306"/>
      <c r="L719" s="313"/>
      <c r="M719" s="219"/>
      <c r="N719" s="218"/>
      <c r="S719" s="224"/>
      <c r="T719" s="228"/>
      <c r="U719" s="226"/>
      <c r="V719" s="226"/>
      <c r="W719" s="303"/>
      <c r="X719" s="220"/>
      <c r="Z719" s="227"/>
      <c r="AA719" s="220"/>
      <c r="AB719" s="221"/>
      <c r="AC719" s="229"/>
      <c r="AD719" s="230"/>
      <c r="AE719" s="230"/>
      <c r="AF719" s="230"/>
      <c r="AG719" s="227"/>
    </row>
    <row r="720" spans="1:33" x14ac:dyDescent="0.25">
      <c r="A720" s="32"/>
      <c r="B720" s="306"/>
      <c r="C720" s="307"/>
      <c r="D720" s="312"/>
      <c r="E720" s="301"/>
      <c r="F720" s="232"/>
      <c r="J720" s="306"/>
      <c r="K720" s="306"/>
      <c r="L720" s="313"/>
      <c r="M720" s="219"/>
      <c r="N720" s="218"/>
      <c r="S720" s="224"/>
      <c r="T720" s="228"/>
      <c r="U720" s="226"/>
      <c r="V720" s="226"/>
      <c r="W720" s="303"/>
      <c r="X720" s="220"/>
      <c r="Z720" s="227"/>
      <c r="AA720" s="220"/>
      <c r="AB720" s="221"/>
      <c r="AC720" s="229"/>
      <c r="AD720" s="230"/>
      <c r="AE720" s="230"/>
      <c r="AF720" s="230"/>
      <c r="AG720" s="227"/>
    </row>
    <row r="721" spans="1:33" x14ac:dyDescent="0.25">
      <c r="A721" s="32"/>
      <c r="B721" s="306"/>
      <c r="C721" s="307"/>
      <c r="D721" s="312"/>
      <c r="E721" s="301"/>
      <c r="F721" s="232"/>
      <c r="J721" s="306"/>
      <c r="K721" s="306"/>
      <c r="L721" s="313"/>
      <c r="M721" s="219"/>
      <c r="N721" s="218"/>
      <c r="S721" s="224"/>
      <c r="T721" s="228"/>
      <c r="U721" s="226"/>
      <c r="V721" s="226"/>
      <c r="W721" s="303"/>
      <c r="X721" s="220"/>
      <c r="Z721" s="227"/>
      <c r="AA721" s="220"/>
      <c r="AB721" s="221"/>
      <c r="AC721" s="229"/>
      <c r="AD721" s="230"/>
      <c r="AE721" s="230"/>
      <c r="AF721" s="230"/>
      <c r="AG721" s="227"/>
    </row>
    <row r="722" spans="1:33" x14ac:dyDescent="0.25">
      <c r="A722" s="32"/>
      <c r="B722" s="306"/>
      <c r="C722" s="307"/>
      <c r="D722" s="312"/>
      <c r="E722" s="301"/>
      <c r="F722" s="232"/>
      <c r="J722" s="306"/>
      <c r="K722" s="306"/>
      <c r="L722" s="313"/>
      <c r="M722" s="219"/>
      <c r="N722" s="218"/>
      <c r="S722" s="224"/>
      <c r="T722" s="228"/>
      <c r="U722" s="226"/>
      <c r="V722" s="226"/>
      <c r="W722" s="303"/>
      <c r="X722" s="220"/>
      <c r="Z722" s="227"/>
      <c r="AA722" s="220"/>
      <c r="AB722" s="221"/>
      <c r="AC722" s="229"/>
      <c r="AD722" s="230"/>
      <c r="AE722" s="230"/>
      <c r="AF722" s="230"/>
      <c r="AG722" s="227"/>
    </row>
    <row r="723" spans="1:33" x14ac:dyDescent="0.25">
      <c r="A723" s="32"/>
      <c r="B723" s="306"/>
      <c r="C723" s="307"/>
      <c r="D723" s="312"/>
      <c r="E723" s="301"/>
      <c r="F723" s="232"/>
      <c r="J723" s="306"/>
      <c r="K723" s="306"/>
      <c r="L723" s="313"/>
      <c r="M723" s="219"/>
      <c r="N723" s="218"/>
      <c r="S723" s="224"/>
      <c r="T723" s="228"/>
      <c r="U723" s="226"/>
      <c r="V723" s="226"/>
      <c r="W723" s="303"/>
      <c r="X723" s="220"/>
      <c r="Z723" s="227"/>
      <c r="AA723" s="220"/>
      <c r="AB723" s="221"/>
      <c r="AC723" s="229"/>
      <c r="AD723" s="230"/>
      <c r="AE723" s="230"/>
      <c r="AF723" s="230"/>
      <c r="AG723" s="227"/>
    </row>
    <row r="724" spans="1:33" x14ac:dyDescent="0.25">
      <c r="A724" s="32"/>
      <c r="B724" s="306"/>
      <c r="C724" s="307"/>
      <c r="D724" s="312"/>
      <c r="E724" s="301"/>
      <c r="F724" s="232"/>
      <c r="J724" s="306"/>
      <c r="K724" s="306"/>
      <c r="L724" s="313"/>
      <c r="M724" s="219"/>
      <c r="N724" s="218"/>
      <c r="S724" s="224"/>
      <c r="T724" s="228"/>
      <c r="U724" s="226"/>
      <c r="V724" s="226"/>
      <c r="W724" s="303"/>
      <c r="X724" s="220"/>
      <c r="Z724" s="227"/>
      <c r="AA724" s="220"/>
      <c r="AB724" s="221"/>
      <c r="AC724" s="229"/>
      <c r="AD724" s="230"/>
      <c r="AE724" s="230"/>
      <c r="AF724" s="230"/>
      <c r="AG724" s="227"/>
    </row>
    <row r="725" spans="1:33" x14ac:dyDescent="0.25">
      <c r="A725" s="32"/>
      <c r="B725" s="306"/>
      <c r="C725" s="307"/>
      <c r="D725" s="312"/>
      <c r="E725" s="301"/>
      <c r="F725" s="232"/>
      <c r="J725" s="306"/>
      <c r="K725" s="306"/>
      <c r="L725" s="313"/>
      <c r="M725" s="219"/>
      <c r="N725" s="218"/>
      <c r="S725" s="224"/>
      <c r="T725" s="228"/>
      <c r="U725" s="226"/>
      <c r="V725" s="226"/>
      <c r="W725" s="303"/>
      <c r="X725" s="220"/>
      <c r="Z725" s="227"/>
      <c r="AA725" s="220"/>
      <c r="AB725" s="221"/>
      <c r="AC725" s="229"/>
      <c r="AD725" s="230"/>
      <c r="AE725" s="230"/>
      <c r="AF725" s="230"/>
      <c r="AG725" s="227"/>
    </row>
    <row r="726" spans="1:33" x14ac:dyDescent="0.25">
      <c r="A726" s="32"/>
      <c r="B726" s="306"/>
      <c r="C726" s="307"/>
      <c r="D726" s="312"/>
      <c r="E726" s="301"/>
      <c r="F726" s="232"/>
      <c r="J726" s="306"/>
      <c r="K726" s="306"/>
      <c r="L726" s="313"/>
      <c r="M726" s="219"/>
      <c r="N726" s="218"/>
      <c r="S726" s="224"/>
      <c r="T726" s="228"/>
      <c r="U726" s="226"/>
      <c r="V726" s="226"/>
      <c r="W726" s="303"/>
      <c r="X726" s="220"/>
      <c r="Z726" s="227"/>
      <c r="AA726" s="220"/>
      <c r="AB726" s="221"/>
      <c r="AC726" s="229"/>
      <c r="AD726" s="230"/>
      <c r="AE726" s="230"/>
      <c r="AF726" s="230"/>
      <c r="AG726" s="227"/>
    </row>
    <row r="727" spans="1:33" x14ac:dyDescent="0.25">
      <c r="A727" s="32"/>
      <c r="B727" s="306"/>
      <c r="C727" s="307"/>
      <c r="D727" s="312"/>
      <c r="E727" s="301"/>
      <c r="F727" s="232"/>
      <c r="J727" s="306"/>
      <c r="K727" s="306"/>
      <c r="L727" s="313"/>
      <c r="M727" s="219"/>
      <c r="N727" s="218"/>
      <c r="S727" s="224"/>
      <c r="T727" s="228"/>
      <c r="U727" s="226"/>
      <c r="V727" s="226"/>
      <c r="W727" s="303"/>
      <c r="X727" s="220"/>
      <c r="Z727" s="227"/>
      <c r="AA727" s="220"/>
      <c r="AB727" s="221"/>
      <c r="AC727" s="229"/>
      <c r="AD727" s="230"/>
      <c r="AE727" s="230"/>
      <c r="AF727" s="230"/>
      <c r="AG727" s="227"/>
    </row>
    <row r="728" spans="1:33" x14ac:dyDescent="0.25">
      <c r="A728" s="32"/>
      <c r="B728" s="306"/>
      <c r="C728" s="307"/>
      <c r="D728" s="312"/>
      <c r="E728" s="301"/>
      <c r="F728" s="232"/>
      <c r="J728" s="306"/>
      <c r="K728" s="306"/>
      <c r="L728" s="313"/>
      <c r="M728" s="219"/>
      <c r="N728" s="218"/>
      <c r="S728" s="224"/>
      <c r="T728" s="228"/>
      <c r="U728" s="226"/>
      <c r="V728" s="226"/>
      <c r="W728" s="303"/>
      <c r="X728" s="220"/>
      <c r="Z728" s="227"/>
      <c r="AA728" s="220"/>
      <c r="AB728" s="221"/>
      <c r="AC728" s="229"/>
      <c r="AD728" s="230"/>
      <c r="AE728" s="230"/>
      <c r="AF728" s="230"/>
      <c r="AG728" s="227"/>
    </row>
    <row r="729" spans="1:33" x14ac:dyDescent="0.25">
      <c r="A729" s="32"/>
      <c r="B729" s="306"/>
      <c r="C729" s="307"/>
      <c r="D729" s="312"/>
      <c r="E729" s="301"/>
      <c r="F729" s="232"/>
      <c r="J729" s="306"/>
      <c r="K729" s="306"/>
      <c r="L729" s="313"/>
      <c r="M729" s="219"/>
      <c r="N729" s="218"/>
      <c r="S729" s="224"/>
      <c r="T729" s="228"/>
      <c r="U729" s="226"/>
      <c r="V729" s="226"/>
      <c r="W729" s="303"/>
      <c r="X729" s="220"/>
      <c r="Z729" s="227"/>
      <c r="AA729" s="220"/>
      <c r="AB729" s="221"/>
      <c r="AC729" s="229"/>
      <c r="AD729" s="230"/>
      <c r="AE729" s="230"/>
      <c r="AF729" s="230"/>
      <c r="AG729" s="227"/>
    </row>
    <row r="730" spans="1:33" x14ac:dyDescent="0.25">
      <c r="A730" s="32"/>
      <c r="B730" s="306"/>
      <c r="C730" s="307"/>
      <c r="D730" s="312"/>
      <c r="E730" s="301"/>
      <c r="F730" s="232"/>
      <c r="J730" s="306"/>
      <c r="K730" s="306"/>
      <c r="L730" s="313"/>
      <c r="M730" s="219"/>
      <c r="N730" s="218"/>
      <c r="S730" s="224"/>
      <c r="T730" s="228"/>
      <c r="U730" s="226"/>
      <c r="V730" s="226"/>
      <c r="W730" s="303"/>
      <c r="X730" s="220"/>
      <c r="Z730" s="227"/>
      <c r="AA730" s="220"/>
      <c r="AB730" s="221"/>
      <c r="AC730" s="229"/>
      <c r="AD730" s="230"/>
      <c r="AE730" s="230"/>
      <c r="AF730" s="230"/>
      <c r="AG730" s="227"/>
    </row>
    <row r="731" spans="1:33" x14ac:dyDescent="0.25">
      <c r="A731" s="32"/>
      <c r="B731" s="306"/>
      <c r="C731" s="307"/>
      <c r="D731" s="312"/>
      <c r="E731" s="301"/>
      <c r="F731" s="232"/>
      <c r="J731" s="306"/>
      <c r="K731" s="306"/>
      <c r="L731" s="313"/>
      <c r="M731" s="219"/>
      <c r="N731" s="218"/>
      <c r="S731" s="224"/>
      <c r="T731" s="228"/>
      <c r="U731" s="226"/>
      <c r="V731" s="226"/>
      <c r="W731" s="303"/>
      <c r="X731" s="220"/>
      <c r="Z731" s="227"/>
      <c r="AA731" s="220"/>
      <c r="AB731" s="221"/>
      <c r="AC731" s="229"/>
      <c r="AD731" s="230"/>
      <c r="AE731" s="230"/>
      <c r="AF731" s="230"/>
      <c r="AG731" s="227"/>
    </row>
    <row r="732" spans="1:33" x14ac:dyDescent="0.25">
      <c r="A732" s="32"/>
      <c r="B732" s="306"/>
      <c r="C732" s="307"/>
      <c r="D732" s="312"/>
      <c r="E732" s="301"/>
      <c r="F732" s="232"/>
      <c r="J732" s="306"/>
      <c r="K732" s="306"/>
      <c r="L732" s="313"/>
      <c r="M732" s="219"/>
      <c r="N732" s="218"/>
      <c r="S732" s="224"/>
      <c r="T732" s="228"/>
      <c r="U732" s="226"/>
      <c r="V732" s="226"/>
      <c r="W732" s="303"/>
      <c r="X732" s="220"/>
      <c r="Z732" s="227"/>
      <c r="AA732" s="220"/>
      <c r="AB732" s="221"/>
      <c r="AC732" s="229"/>
      <c r="AD732" s="230"/>
      <c r="AE732" s="230"/>
      <c r="AF732" s="230"/>
      <c r="AG732" s="227"/>
    </row>
    <row r="733" spans="1:33" x14ac:dyDescent="0.25">
      <c r="A733" s="32"/>
      <c r="B733" s="306"/>
      <c r="C733" s="307"/>
      <c r="D733" s="312"/>
      <c r="E733" s="301"/>
      <c r="F733" s="232"/>
      <c r="J733" s="306"/>
      <c r="K733" s="306"/>
      <c r="L733" s="313"/>
      <c r="M733" s="219"/>
      <c r="N733" s="218"/>
      <c r="S733" s="224"/>
      <c r="T733" s="228"/>
      <c r="U733" s="226"/>
      <c r="V733" s="226"/>
      <c r="W733" s="303"/>
      <c r="X733" s="220"/>
      <c r="Z733" s="227"/>
      <c r="AA733" s="220"/>
      <c r="AB733" s="221"/>
      <c r="AC733" s="229"/>
      <c r="AD733" s="230"/>
      <c r="AE733" s="230"/>
      <c r="AF733" s="230"/>
      <c r="AG733" s="227"/>
    </row>
    <row r="734" spans="1:33" x14ac:dyDescent="0.25">
      <c r="A734" s="32"/>
      <c r="B734" s="306"/>
      <c r="C734" s="307"/>
      <c r="D734" s="312"/>
      <c r="E734" s="301"/>
      <c r="F734" s="232"/>
      <c r="J734" s="306"/>
      <c r="K734" s="306"/>
      <c r="L734" s="313"/>
      <c r="M734" s="219"/>
      <c r="N734" s="218"/>
      <c r="S734" s="224"/>
      <c r="T734" s="228"/>
      <c r="U734" s="226"/>
      <c r="V734" s="226"/>
      <c r="W734" s="303"/>
      <c r="X734" s="220"/>
      <c r="Z734" s="227"/>
      <c r="AA734" s="220"/>
      <c r="AB734" s="221"/>
      <c r="AC734" s="229"/>
      <c r="AD734" s="230"/>
      <c r="AE734" s="230"/>
      <c r="AF734" s="230"/>
      <c r="AG734" s="227"/>
    </row>
    <row r="735" spans="1:33" x14ac:dyDescent="0.25">
      <c r="A735" s="32"/>
      <c r="B735" s="306"/>
      <c r="C735" s="307"/>
      <c r="D735" s="312"/>
      <c r="E735" s="301"/>
      <c r="F735" s="232"/>
      <c r="J735" s="306"/>
      <c r="K735" s="306"/>
      <c r="L735" s="313"/>
      <c r="M735" s="219"/>
      <c r="N735" s="218"/>
      <c r="S735" s="224"/>
      <c r="T735" s="228"/>
      <c r="U735" s="226"/>
      <c r="V735" s="226"/>
      <c r="W735" s="303"/>
      <c r="X735" s="220"/>
      <c r="Z735" s="227"/>
      <c r="AA735" s="220"/>
      <c r="AB735" s="221"/>
      <c r="AC735" s="229"/>
      <c r="AD735" s="230"/>
      <c r="AE735" s="230"/>
      <c r="AF735" s="230"/>
      <c r="AG735" s="227"/>
    </row>
    <row r="736" spans="1:33" x14ac:dyDescent="0.25">
      <c r="A736" s="32"/>
      <c r="B736" s="306"/>
      <c r="C736" s="307"/>
      <c r="D736" s="312"/>
      <c r="E736" s="301"/>
      <c r="F736" s="232"/>
      <c r="J736" s="306"/>
      <c r="K736" s="306"/>
      <c r="L736" s="313"/>
      <c r="M736" s="219"/>
      <c r="N736" s="218"/>
      <c r="S736" s="224"/>
      <c r="T736" s="228"/>
      <c r="U736" s="226"/>
      <c r="V736" s="226"/>
      <c r="W736" s="303"/>
      <c r="X736" s="220"/>
      <c r="Z736" s="227"/>
      <c r="AA736" s="220"/>
      <c r="AB736" s="221"/>
      <c r="AC736" s="229"/>
      <c r="AD736" s="230"/>
      <c r="AE736" s="230"/>
      <c r="AF736" s="230"/>
      <c r="AG736" s="227"/>
    </row>
    <row r="737" spans="1:33" x14ac:dyDescent="0.25">
      <c r="A737" s="32"/>
      <c r="B737" s="306"/>
      <c r="C737" s="307"/>
      <c r="D737" s="312"/>
      <c r="E737" s="301"/>
      <c r="F737" s="232"/>
      <c r="J737" s="306"/>
      <c r="K737" s="306"/>
      <c r="L737" s="313"/>
      <c r="M737" s="219"/>
      <c r="N737" s="218"/>
      <c r="S737" s="224"/>
      <c r="T737" s="228"/>
      <c r="U737" s="226"/>
      <c r="V737" s="226"/>
      <c r="W737" s="303"/>
      <c r="X737" s="220"/>
      <c r="Z737" s="227"/>
      <c r="AA737" s="220"/>
      <c r="AB737" s="221"/>
      <c r="AC737" s="229"/>
      <c r="AD737" s="230"/>
      <c r="AE737" s="230"/>
      <c r="AF737" s="230"/>
      <c r="AG737" s="227"/>
    </row>
    <row r="738" spans="1:33" x14ac:dyDescent="0.25">
      <c r="A738" s="32"/>
      <c r="B738" s="306"/>
      <c r="C738" s="307"/>
      <c r="D738" s="312"/>
      <c r="E738" s="301"/>
      <c r="F738" s="232"/>
      <c r="J738" s="306"/>
      <c r="K738" s="306"/>
      <c r="L738" s="313"/>
      <c r="M738" s="219"/>
      <c r="N738" s="218"/>
      <c r="S738" s="224"/>
      <c r="T738" s="228"/>
      <c r="U738" s="226"/>
      <c r="V738" s="226"/>
      <c r="W738" s="303"/>
      <c r="X738" s="220"/>
      <c r="Z738" s="227"/>
      <c r="AA738" s="220"/>
      <c r="AB738" s="221"/>
      <c r="AC738" s="229"/>
      <c r="AD738" s="230"/>
      <c r="AE738" s="230"/>
      <c r="AF738" s="230"/>
      <c r="AG738" s="227"/>
    </row>
    <row r="739" spans="1:33" x14ac:dyDescent="0.25">
      <c r="A739" s="32"/>
      <c r="B739" s="306"/>
      <c r="C739" s="307"/>
      <c r="D739" s="312"/>
      <c r="E739" s="301"/>
      <c r="F739" s="232"/>
      <c r="J739" s="306"/>
      <c r="K739" s="306"/>
      <c r="L739" s="313"/>
      <c r="M739" s="219"/>
      <c r="N739" s="218"/>
      <c r="S739" s="224"/>
      <c r="T739" s="228"/>
      <c r="U739" s="226"/>
      <c r="V739" s="226"/>
      <c r="W739" s="303"/>
      <c r="X739" s="220"/>
      <c r="Z739" s="227"/>
      <c r="AA739" s="220"/>
      <c r="AB739" s="221"/>
      <c r="AC739" s="229"/>
      <c r="AD739" s="230"/>
      <c r="AE739" s="230"/>
      <c r="AF739" s="230"/>
      <c r="AG739" s="227"/>
    </row>
    <row r="740" spans="1:33" x14ac:dyDescent="0.25">
      <c r="A740" s="32"/>
      <c r="B740" s="306"/>
      <c r="C740" s="307"/>
      <c r="D740" s="312"/>
      <c r="E740" s="301"/>
      <c r="F740" s="232"/>
      <c r="J740" s="306"/>
      <c r="K740" s="306"/>
      <c r="L740" s="313"/>
      <c r="M740" s="219"/>
      <c r="N740" s="218"/>
      <c r="S740" s="224"/>
      <c r="T740" s="228"/>
      <c r="U740" s="226"/>
      <c r="V740" s="226"/>
      <c r="W740" s="303"/>
      <c r="X740" s="220"/>
      <c r="Z740" s="227"/>
      <c r="AA740" s="220"/>
      <c r="AB740" s="221"/>
      <c r="AC740" s="229"/>
      <c r="AD740" s="230"/>
      <c r="AE740" s="230"/>
      <c r="AF740" s="230"/>
      <c r="AG740" s="227"/>
    </row>
    <row r="741" spans="1:33" x14ac:dyDescent="0.25">
      <c r="A741" s="32"/>
      <c r="B741" s="306"/>
      <c r="C741" s="307"/>
      <c r="D741" s="312"/>
      <c r="E741" s="301"/>
      <c r="F741" s="232"/>
      <c r="J741" s="306"/>
      <c r="K741" s="306"/>
      <c r="L741" s="313"/>
      <c r="M741" s="219"/>
      <c r="N741" s="218"/>
      <c r="S741" s="224"/>
      <c r="T741" s="228"/>
      <c r="U741" s="226"/>
      <c r="V741" s="226"/>
      <c r="W741" s="303"/>
      <c r="X741" s="220"/>
      <c r="Z741" s="227"/>
      <c r="AA741" s="220"/>
      <c r="AB741" s="221"/>
      <c r="AC741" s="229"/>
      <c r="AD741" s="230"/>
      <c r="AE741" s="230"/>
      <c r="AF741" s="230"/>
      <c r="AG741" s="227"/>
    </row>
    <row r="742" spans="1:33" x14ac:dyDescent="0.25">
      <c r="A742" s="32"/>
      <c r="B742" s="306"/>
      <c r="C742" s="307"/>
      <c r="D742" s="312"/>
      <c r="E742" s="301"/>
      <c r="F742" s="232"/>
      <c r="J742" s="306"/>
      <c r="K742" s="306"/>
      <c r="L742" s="313"/>
      <c r="M742" s="219"/>
      <c r="N742" s="218"/>
      <c r="S742" s="224"/>
      <c r="T742" s="228"/>
      <c r="U742" s="226"/>
      <c r="V742" s="226"/>
      <c r="W742" s="303"/>
      <c r="X742" s="220"/>
      <c r="Z742" s="227"/>
      <c r="AA742" s="220"/>
      <c r="AB742" s="221"/>
      <c r="AC742" s="229"/>
      <c r="AD742" s="230"/>
      <c r="AE742" s="230"/>
      <c r="AF742" s="230"/>
      <c r="AG742" s="227"/>
    </row>
    <row r="743" spans="1:33" x14ac:dyDescent="0.25">
      <c r="A743" s="32"/>
      <c r="B743" s="306"/>
      <c r="C743" s="307"/>
      <c r="D743" s="312"/>
      <c r="E743" s="301"/>
      <c r="F743" s="232"/>
      <c r="J743" s="306"/>
      <c r="K743" s="306"/>
      <c r="L743" s="313"/>
      <c r="M743" s="219"/>
      <c r="N743" s="218"/>
      <c r="S743" s="224"/>
      <c r="T743" s="228"/>
      <c r="U743" s="226"/>
      <c r="V743" s="226"/>
      <c r="W743" s="303"/>
      <c r="X743" s="220"/>
      <c r="Z743" s="227"/>
      <c r="AA743" s="220"/>
      <c r="AB743" s="221"/>
      <c r="AC743" s="229"/>
      <c r="AD743" s="230"/>
      <c r="AE743" s="230"/>
      <c r="AF743" s="230"/>
      <c r="AG743" s="227"/>
    </row>
    <row r="744" spans="1:33" x14ac:dyDescent="0.25">
      <c r="A744" s="32"/>
      <c r="B744" s="306"/>
      <c r="C744" s="307"/>
      <c r="D744" s="312"/>
      <c r="E744" s="301"/>
      <c r="F744" s="232"/>
      <c r="J744" s="306"/>
      <c r="K744" s="306"/>
      <c r="L744" s="313"/>
      <c r="M744" s="219"/>
      <c r="N744" s="218"/>
      <c r="S744" s="224"/>
      <c r="T744" s="228"/>
      <c r="U744" s="226"/>
      <c r="V744" s="226"/>
      <c r="W744" s="303"/>
      <c r="X744" s="220"/>
      <c r="Z744" s="227"/>
      <c r="AA744" s="220"/>
      <c r="AB744" s="221"/>
      <c r="AC744" s="229"/>
      <c r="AD744" s="230"/>
      <c r="AE744" s="230"/>
      <c r="AF744" s="230"/>
      <c r="AG744" s="227"/>
    </row>
    <row r="745" spans="1:33" x14ac:dyDescent="0.25">
      <c r="A745" s="32"/>
      <c r="B745" s="306"/>
      <c r="C745" s="307"/>
      <c r="D745" s="312"/>
      <c r="E745" s="301"/>
      <c r="F745" s="232"/>
      <c r="J745" s="306"/>
      <c r="K745" s="306"/>
      <c r="L745" s="313"/>
      <c r="M745" s="219"/>
      <c r="N745" s="218"/>
      <c r="S745" s="224"/>
      <c r="T745" s="228"/>
      <c r="U745" s="226"/>
      <c r="V745" s="226"/>
      <c r="W745" s="303"/>
      <c r="X745" s="220"/>
      <c r="Z745" s="227"/>
      <c r="AA745" s="220"/>
      <c r="AB745" s="221"/>
      <c r="AC745" s="229"/>
      <c r="AD745" s="230"/>
      <c r="AE745" s="230"/>
      <c r="AF745" s="230"/>
      <c r="AG745" s="227"/>
    </row>
    <row r="746" spans="1:33" x14ac:dyDescent="0.25">
      <c r="A746" s="32"/>
      <c r="B746" s="306"/>
      <c r="C746" s="307"/>
      <c r="D746" s="312"/>
      <c r="E746" s="301"/>
      <c r="F746" s="232"/>
      <c r="J746" s="306"/>
      <c r="K746" s="306"/>
      <c r="L746" s="313"/>
      <c r="M746" s="219"/>
      <c r="N746" s="218"/>
      <c r="S746" s="224"/>
      <c r="T746" s="228"/>
      <c r="U746" s="226"/>
      <c r="V746" s="226"/>
      <c r="W746" s="303"/>
      <c r="X746" s="220"/>
      <c r="Z746" s="227"/>
      <c r="AA746" s="220"/>
      <c r="AB746" s="221"/>
      <c r="AC746" s="229"/>
      <c r="AD746" s="230"/>
      <c r="AE746" s="230"/>
      <c r="AF746" s="230"/>
      <c r="AG746" s="227"/>
    </row>
    <row r="747" spans="1:33" x14ac:dyDescent="0.25">
      <c r="A747" s="32"/>
      <c r="B747" s="306"/>
      <c r="C747" s="307"/>
      <c r="D747" s="312"/>
      <c r="E747" s="301"/>
      <c r="F747" s="232"/>
      <c r="J747" s="306"/>
      <c r="K747" s="306"/>
      <c r="L747" s="313"/>
      <c r="M747" s="219"/>
      <c r="N747" s="218"/>
      <c r="S747" s="224"/>
      <c r="T747" s="228"/>
      <c r="U747" s="226"/>
      <c r="V747" s="226"/>
      <c r="W747" s="303"/>
      <c r="X747" s="220"/>
      <c r="Z747" s="227"/>
      <c r="AA747" s="220"/>
      <c r="AB747" s="221"/>
      <c r="AC747" s="229"/>
      <c r="AD747" s="230"/>
      <c r="AE747" s="230"/>
      <c r="AF747" s="230"/>
      <c r="AG747" s="227"/>
    </row>
    <row r="748" spans="1:33" x14ac:dyDescent="0.25">
      <c r="A748" s="32"/>
      <c r="B748" s="306"/>
      <c r="C748" s="307"/>
      <c r="D748" s="312"/>
      <c r="E748" s="301"/>
      <c r="F748" s="232"/>
      <c r="J748" s="306"/>
      <c r="K748" s="306"/>
      <c r="L748" s="313"/>
      <c r="M748" s="219"/>
      <c r="N748" s="218"/>
      <c r="S748" s="224"/>
      <c r="T748" s="228"/>
      <c r="U748" s="226"/>
      <c r="V748" s="226"/>
      <c r="W748" s="303"/>
      <c r="X748" s="220"/>
      <c r="Z748" s="227"/>
      <c r="AA748" s="220"/>
      <c r="AB748" s="221"/>
      <c r="AC748" s="229"/>
      <c r="AD748" s="230"/>
      <c r="AE748" s="230"/>
      <c r="AF748" s="230"/>
      <c r="AG748" s="227"/>
    </row>
    <row r="749" spans="1:33" x14ac:dyDescent="0.25">
      <c r="A749" s="32"/>
      <c r="B749" s="306"/>
      <c r="C749" s="307"/>
      <c r="D749" s="312"/>
      <c r="E749" s="301"/>
      <c r="F749" s="232"/>
      <c r="J749" s="306"/>
      <c r="K749" s="306"/>
      <c r="L749" s="313"/>
      <c r="M749" s="219"/>
      <c r="N749" s="218"/>
      <c r="S749" s="224"/>
      <c r="T749" s="228"/>
      <c r="U749" s="226"/>
      <c r="V749" s="226"/>
      <c r="W749" s="303"/>
      <c r="X749" s="220"/>
      <c r="Z749" s="227"/>
      <c r="AA749" s="220"/>
      <c r="AB749" s="221"/>
      <c r="AC749" s="229"/>
      <c r="AD749" s="230"/>
      <c r="AE749" s="230"/>
      <c r="AF749" s="230"/>
      <c r="AG749" s="227"/>
    </row>
    <row r="750" spans="1:33" x14ac:dyDescent="0.25">
      <c r="A750" s="32"/>
      <c r="B750" s="306"/>
      <c r="C750" s="307"/>
      <c r="D750" s="312"/>
      <c r="E750" s="301"/>
      <c r="F750" s="232"/>
      <c r="J750" s="306"/>
      <c r="K750" s="306"/>
      <c r="L750" s="313"/>
      <c r="M750" s="219"/>
      <c r="N750" s="218"/>
      <c r="S750" s="224"/>
      <c r="T750" s="228"/>
      <c r="U750" s="226"/>
      <c r="V750" s="226"/>
      <c r="W750" s="303"/>
      <c r="X750" s="220"/>
      <c r="Z750" s="227"/>
      <c r="AA750" s="220"/>
      <c r="AB750" s="221"/>
      <c r="AC750" s="229"/>
      <c r="AD750" s="230"/>
      <c r="AE750" s="230"/>
      <c r="AF750" s="230"/>
      <c r="AG750" s="227"/>
    </row>
    <row r="751" spans="1:33" x14ac:dyDescent="0.25">
      <c r="A751" s="32"/>
      <c r="B751" s="306"/>
      <c r="C751" s="307"/>
      <c r="D751" s="312"/>
      <c r="E751" s="301"/>
      <c r="F751" s="232"/>
      <c r="J751" s="306"/>
      <c r="K751" s="306"/>
      <c r="L751" s="313"/>
      <c r="M751" s="219"/>
      <c r="N751" s="218"/>
      <c r="S751" s="224"/>
      <c r="T751" s="228"/>
      <c r="U751" s="226"/>
      <c r="V751" s="226"/>
      <c r="W751" s="303"/>
      <c r="X751" s="220"/>
      <c r="Z751" s="227"/>
      <c r="AA751" s="220"/>
      <c r="AB751" s="221"/>
      <c r="AC751" s="229"/>
      <c r="AD751" s="230"/>
      <c r="AE751" s="230"/>
      <c r="AF751" s="230"/>
      <c r="AG751" s="227"/>
    </row>
    <row r="752" spans="1:33" x14ac:dyDescent="0.25">
      <c r="A752" s="32"/>
      <c r="B752" s="306"/>
      <c r="C752" s="307"/>
      <c r="D752" s="312"/>
      <c r="E752" s="301"/>
      <c r="F752" s="232"/>
      <c r="J752" s="306"/>
      <c r="K752" s="306"/>
      <c r="L752" s="313"/>
      <c r="M752" s="219"/>
      <c r="N752" s="218"/>
      <c r="S752" s="224"/>
      <c r="T752" s="228"/>
      <c r="U752" s="226"/>
      <c r="V752" s="226"/>
      <c r="W752" s="303"/>
      <c r="X752" s="220"/>
      <c r="Z752" s="227"/>
      <c r="AA752" s="220"/>
      <c r="AB752" s="221"/>
      <c r="AC752" s="229"/>
      <c r="AD752" s="230"/>
      <c r="AE752" s="230"/>
      <c r="AF752" s="230"/>
      <c r="AG752" s="227"/>
    </row>
    <row r="753" spans="1:33" x14ac:dyDescent="0.25">
      <c r="A753" s="32"/>
      <c r="B753" s="306"/>
      <c r="C753" s="307"/>
      <c r="D753" s="312"/>
      <c r="E753" s="301"/>
      <c r="F753" s="232"/>
      <c r="J753" s="306"/>
      <c r="K753" s="306"/>
      <c r="L753" s="313"/>
      <c r="M753" s="219"/>
      <c r="N753" s="218"/>
      <c r="S753" s="224"/>
      <c r="T753" s="228"/>
      <c r="U753" s="226"/>
      <c r="V753" s="226"/>
      <c r="W753" s="303"/>
      <c r="X753" s="220"/>
      <c r="Z753" s="227"/>
      <c r="AA753" s="220"/>
      <c r="AB753" s="221"/>
      <c r="AC753" s="229"/>
      <c r="AD753" s="230"/>
      <c r="AE753" s="230"/>
      <c r="AF753" s="230"/>
      <c r="AG753" s="227"/>
    </row>
    <row r="754" spans="1:33" x14ac:dyDescent="0.25">
      <c r="A754" s="32"/>
      <c r="B754" s="306"/>
      <c r="C754" s="307"/>
      <c r="D754" s="312"/>
      <c r="E754" s="301"/>
      <c r="F754" s="232"/>
      <c r="J754" s="306"/>
      <c r="K754" s="306"/>
      <c r="L754" s="313"/>
      <c r="M754" s="219"/>
      <c r="N754" s="218"/>
      <c r="S754" s="224"/>
      <c r="T754" s="228"/>
      <c r="U754" s="226"/>
      <c r="V754" s="226"/>
      <c r="W754" s="303"/>
      <c r="X754" s="220"/>
      <c r="Z754" s="227"/>
      <c r="AA754" s="220"/>
      <c r="AB754" s="221"/>
      <c r="AC754" s="229"/>
      <c r="AD754" s="230"/>
      <c r="AE754" s="230"/>
      <c r="AF754" s="230"/>
      <c r="AG754" s="227"/>
    </row>
    <row r="755" spans="1:33" x14ac:dyDescent="0.25">
      <c r="A755" s="32"/>
      <c r="B755" s="306"/>
      <c r="C755" s="307"/>
      <c r="D755" s="312"/>
      <c r="E755" s="301"/>
      <c r="F755" s="232"/>
      <c r="J755" s="306"/>
      <c r="K755" s="306"/>
      <c r="L755" s="313"/>
      <c r="M755" s="219"/>
      <c r="N755" s="218"/>
      <c r="S755" s="224"/>
      <c r="T755" s="228"/>
      <c r="U755" s="226"/>
      <c r="V755" s="226"/>
      <c r="W755" s="303"/>
      <c r="X755" s="220"/>
      <c r="Z755" s="227"/>
      <c r="AA755" s="220"/>
      <c r="AB755" s="221"/>
      <c r="AC755" s="229"/>
      <c r="AD755" s="230"/>
      <c r="AE755" s="230"/>
      <c r="AF755" s="230"/>
      <c r="AG755" s="227"/>
    </row>
    <row r="756" spans="1:33" x14ac:dyDescent="0.25">
      <c r="A756" s="32"/>
      <c r="B756" s="306"/>
      <c r="C756" s="307"/>
      <c r="D756" s="312"/>
      <c r="E756" s="301"/>
      <c r="F756" s="232"/>
      <c r="J756" s="306"/>
      <c r="K756" s="306"/>
      <c r="L756" s="313"/>
      <c r="M756" s="219"/>
      <c r="N756" s="218"/>
      <c r="S756" s="224"/>
      <c r="T756" s="228"/>
      <c r="U756" s="226"/>
      <c r="V756" s="226"/>
      <c r="W756" s="303"/>
      <c r="X756" s="220"/>
      <c r="Z756" s="227"/>
      <c r="AA756" s="220"/>
      <c r="AB756" s="221"/>
      <c r="AC756" s="229"/>
      <c r="AD756" s="230"/>
      <c r="AE756" s="230"/>
      <c r="AF756" s="230"/>
      <c r="AG756" s="227"/>
    </row>
    <row r="757" spans="1:33" x14ac:dyDescent="0.25">
      <c r="A757" s="32"/>
      <c r="B757" s="306"/>
      <c r="C757" s="307"/>
      <c r="D757" s="312"/>
      <c r="E757" s="301"/>
      <c r="F757" s="232"/>
      <c r="J757" s="306"/>
      <c r="K757" s="306"/>
      <c r="L757" s="313"/>
      <c r="M757" s="219"/>
      <c r="N757" s="218"/>
      <c r="S757" s="224"/>
      <c r="T757" s="228"/>
      <c r="U757" s="226"/>
      <c r="V757" s="226"/>
      <c r="W757" s="303"/>
      <c r="X757" s="220"/>
      <c r="Z757" s="227"/>
      <c r="AA757" s="220"/>
      <c r="AB757" s="221"/>
      <c r="AC757" s="229"/>
      <c r="AD757" s="230"/>
      <c r="AE757" s="230"/>
      <c r="AF757" s="230"/>
      <c r="AG757" s="227"/>
    </row>
    <row r="758" spans="1:33" x14ac:dyDescent="0.25">
      <c r="A758" s="32"/>
      <c r="B758" s="306"/>
      <c r="C758" s="307"/>
      <c r="D758" s="312"/>
      <c r="E758" s="301"/>
      <c r="F758" s="232"/>
      <c r="J758" s="306"/>
      <c r="K758" s="306"/>
      <c r="L758" s="313"/>
      <c r="M758" s="219"/>
      <c r="N758" s="218"/>
      <c r="S758" s="224"/>
      <c r="T758" s="228"/>
      <c r="U758" s="226"/>
      <c r="V758" s="226"/>
      <c r="W758" s="303"/>
      <c r="X758" s="220"/>
      <c r="Z758" s="227"/>
      <c r="AA758" s="220"/>
      <c r="AB758" s="221"/>
      <c r="AC758" s="229"/>
      <c r="AD758" s="230"/>
      <c r="AE758" s="230"/>
      <c r="AF758" s="230"/>
      <c r="AG758" s="227"/>
    </row>
    <row r="759" spans="1:33" x14ac:dyDescent="0.25">
      <c r="A759" s="32"/>
      <c r="B759" s="306"/>
      <c r="C759" s="307"/>
      <c r="D759" s="312"/>
      <c r="E759" s="301"/>
      <c r="F759" s="232"/>
      <c r="J759" s="306"/>
      <c r="K759" s="306"/>
      <c r="L759" s="313"/>
      <c r="M759" s="219"/>
      <c r="N759" s="218"/>
      <c r="S759" s="224"/>
      <c r="T759" s="228"/>
      <c r="U759" s="226"/>
      <c r="V759" s="226"/>
      <c r="W759" s="303"/>
      <c r="X759" s="220"/>
      <c r="Z759" s="227"/>
      <c r="AA759" s="220"/>
      <c r="AB759" s="221"/>
      <c r="AC759" s="229"/>
      <c r="AD759" s="230"/>
      <c r="AE759" s="230"/>
      <c r="AF759" s="230"/>
      <c r="AG759" s="227"/>
    </row>
    <row r="760" spans="1:33" x14ac:dyDescent="0.25">
      <c r="A760" s="32"/>
      <c r="B760" s="306"/>
      <c r="C760" s="307"/>
      <c r="D760" s="312"/>
      <c r="E760" s="301"/>
      <c r="F760" s="232"/>
      <c r="J760" s="306"/>
      <c r="K760" s="306"/>
      <c r="L760" s="313"/>
      <c r="M760" s="219"/>
      <c r="N760" s="218"/>
      <c r="S760" s="224"/>
      <c r="T760" s="228"/>
      <c r="U760" s="226"/>
      <c r="V760" s="226"/>
      <c r="W760" s="303"/>
      <c r="X760" s="220"/>
      <c r="Z760" s="227"/>
      <c r="AA760" s="220"/>
      <c r="AB760" s="221"/>
      <c r="AC760" s="229"/>
      <c r="AD760" s="230"/>
      <c r="AE760" s="230"/>
      <c r="AF760" s="230"/>
      <c r="AG760" s="227"/>
    </row>
    <row r="761" spans="1:33" x14ac:dyDescent="0.25">
      <c r="A761" s="32"/>
      <c r="B761" s="306"/>
      <c r="C761" s="307"/>
      <c r="D761" s="312"/>
      <c r="E761" s="301"/>
      <c r="F761" s="232"/>
      <c r="J761" s="306"/>
      <c r="K761" s="306"/>
      <c r="L761" s="313"/>
      <c r="M761" s="219"/>
      <c r="N761" s="218"/>
      <c r="S761" s="224"/>
      <c r="T761" s="228"/>
      <c r="U761" s="226"/>
      <c r="V761" s="226"/>
      <c r="W761" s="303"/>
      <c r="X761" s="220"/>
      <c r="Z761" s="227"/>
      <c r="AA761" s="220"/>
      <c r="AB761" s="221"/>
      <c r="AC761" s="229"/>
      <c r="AD761" s="230"/>
      <c r="AE761" s="230"/>
      <c r="AF761" s="230"/>
      <c r="AG761" s="227"/>
    </row>
    <row r="762" spans="1:33" x14ac:dyDescent="0.25">
      <c r="A762" s="32"/>
      <c r="B762" s="306"/>
      <c r="C762" s="307"/>
      <c r="D762" s="312"/>
      <c r="E762" s="301"/>
      <c r="F762" s="232"/>
      <c r="J762" s="306"/>
      <c r="K762" s="306"/>
      <c r="L762" s="313"/>
      <c r="M762" s="219"/>
      <c r="N762" s="218"/>
      <c r="S762" s="224"/>
      <c r="T762" s="228"/>
      <c r="U762" s="226"/>
      <c r="V762" s="226"/>
      <c r="W762" s="303"/>
      <c r="X762" s="220"/>
      <c r="Z762" s="227"/>
      <c r="AA762" s="220"/>
      <c r="AB762" s="221"/>
      <c r="AC762" s="229"/>
      <c r="AD762" s="230"/>
      <c r="AE762" s="230"/>
      <c r="AF762" s="230"/>
      <c r="AG762" s="227"/>
    </row>
    <row r="763" spans="1:33" x14ac:dyDescent="0.25">
      <c r="A763" s="32"/>
      <c r="B763" s="306"/>
      <c r="C763" s="307"/>
      <c r="D763" s="312"/>
      <c r="E763" s="301"/>
      <c r="F763" s="232"/>
      <c r="J763" s="306"/>
      <c r="K763" s="306"/>
      <c r="L763" s="313"/>
      <c r="M763" s="219"/>
      <c r="N763" s="218"/>
      <c r="S763" s="224"/>
      <c r="T763" s="228"/>
      <c r="U763" s="226"/>
      <c r="V763" s="226"/>
      <c r="W763" s="303"/>
      <c r="X763" s="220"/>
      <c r="Z763" s="227"/>
      <c r="AA763" s="220"/>
      <c r="AB763" s="221"/>
      <c r="AC763" s="229"/>
      <c r="AD763" s="230"/>
      <c r="AE763" s="230"/>
      <c r="AF763" s="230"/>
      <c r="AG763" s="227"/>
    </row>
    <row r="764" spans="1:33" x14ac:dyDescent="0.25">
      <c r="A764" s="32"/>
      <c r="B764" s="306"/>
      <c r="C764" s="307"/>
      <c r="D764" s="312"/>
      <c r="E764" s="301"/>
      <c r="F764" s="232"/>
      <c r="J764" s="306"/>
      <c r="K764" s="306"/>
      <c r="L764" s="313"/>
      <c r="M764" s="219"/>
      <c r="N764" s="218"/>
      <c r="S764" s="224"/>
      <c r="T764" s="228"/>
      <c r="U764" s="226"/>
      <c r="V764" s="226"/>
      <c r="W764" s="303"/>
      <c r="X764" s="220"/>
      <c r="Z764" s="227"/>
      <c r="AA764" s="220"/>
      <c r="AB764" s="221"/>
      <c r="AC764" s="229"/>
      <c r="AD764" s="230"/>
      <c r="AE764" s="230"/>
      <c r="AF764" s="230"/>
      <c r="AG764" s="227"/>
    </row>
    <row r="765" spans="1:33" x14ac:dyDescent="0.25">
      <c r="A765" s="32"/>
      <c r="B765" s="306"/>
      <c r="C765" s="307"/>
      <c r="D765" s="312"/>
      <c r="E765" s="301"/>
      <c r="F765" s="232"/>
      <c r="J765" s="306"/>
      <c r="K765" s="306"/>
      <c r="L765" s="313"/>
      <c r="M765" s="219"/>
      <c r="N765" s="218"/>
      <c r="S765" s="224"/>
      <c r="T765" s="228"/>
      <c r="U765" s="226"/>
      <c r="V765" s="226"/>
      <c r="W765" s="303"/>
      <c r="X765" s="220"/>
      <c r="Z765" s="227"/>
      <c r="AA765" s="220"/>
      <c r="AB765" s="221"/>
      <c r="AC765" s="229"/>
      <c r="AD765" s="230"/>
      <c r="AE765" s="230"/>
      <c r="AF765" s="230"/>
      <c r="AG765" s="227"/>
    </row>
    <row r="766" spans="1:33" x14ac:dyDescent="0.25">
      <c r="A766" s="32"/>
      <c r="B766" s="306"/>
      <c r="C766" s="307"/>
      <c r="D766" s="312"/>
      <c r="E766" s="301"/>
      <c r="F766" s="232"/>
      <c r="J766" s="306"/>
      <c r="K766" s="306"/>
      <c r="L766" s="313"/>
      <c r="M766" s="219"/>
      <c r="N766" s="218"/>
      <c r="S766" s="224"/>
      <c r="T766" s="228"/>
      <c r="U766" s="226"/>
      <c r="V766" s="226"/>
      <c r="W766" s="303"/>
      <c r="X766" s="220"/>
      <c r="Z766" s="227"/>
      <c r="AA766" s="220"/>
      <c r="AB766" s="221"/>
      <c r="AC766" s="229"/>
      <c r="AD766" s="230"/>
      <c r="AE766" s="230"/>
      <c r="AF766" s="230"/>
      <c r="AG766" s="227"/>
    </row>
    <row r="767" spans="1:33" x14ac:dyDescent="0.25">
      <c r="A767" s="32"/>
      <c r="B767" s="306"/>
      <c r="C767" s="307"/>
      <c r="D767" s="312"/>
      <c r="E767" s="301"/>
      <c r="F767" s="232"/>
      <c r="J767" s="306"/>
      <c r="K767" s="306"/>
      <c r="L767" s="313"/>
      <c r="M767" s="219"/>
      <c r="N767" s="218"/>
      <c r="S767" s="224"/>
      <c r="T767" s="228"/>
      <c r="U767" s="226"/>
      <c r="V767" s="226"/>
      <c r="W767" s="303"/>
      <c r="X767" s="220"/>
      <c r="Z767" s="227"/>
      <c r="AA767" s="220"/>
      <c r="AB767" s="221"/>
      <c r="AC767" s="229"/>
      <c r="AD767" s="230"/>
      <c r="AE767" s="230"/>
      <c r="AF767" s="230"/>
      <c r="AG767" s="227"/>
    </row>
    <row r="768" spans="1:33" x14ac:dyDescent="0.25">
      <c r="A768" s="32"/>
      <c r="B768" s="306"/>
      <c r="C768" s="307"/>
      <c r="D768" s="312"/>
      <c r="E768" s="301"/>
      <c r="F768" s="232"/>
      <c r="J768" s="306"/>
      <c r="K768" s="306"/>
      <c r="L768" s="313"/>
      <c r="M768" s="219"/>
      <c r="N768" s="218"/>
      <c r="S768" s="224"/>
      <c r="T768" s="228"/>
      <c r="U768" s="226"/>
      <c r="V768" s="226"/>
      <c r="W768" s="303"/>
      <c r="X768" s="220"/>
      <c r="Z768" s="227"/>
      <c r="AA768" s="220"/>
      <c r="AB768" s="221"/>
      <c r="AC768" s="229"/>
      <c r="AD768" s="230"/>
      <c r="AE768" s="230"/>
      <c r="AF768" s="230"/>
      <c r="AG768" s="227"/>
    </row>
    <row r="769" spans="1:33" x14ac:dyDescent="0.25">
      <c r="A769" s="32"/>
      <c r="B769" s="306"/>
      <c r="C769" s="307"/>
      <c r="D769" s="312"/>
      <c r="E769" s="301"/>
      <c r="F769" s="232"/>
      <c r="J769" s="306"/>
      <c r="K769" s="306"/>
      <c r="L769" s="313"/>
      <c r="M769" s="219"/>
      <c r="N769" s="218"/>
      <c r="S769" s="224"/>
      <c r="T769" s="228"/>
      <c r="U769" s="226"/>
      <c r="V769" s="226"/>
      <c r="W769" s="303"/>
      <c r="X769" s="220"/>
      <c r="Z769" s="227"/>
      <c r="AA769" s="220"/>
      <c r="AB769" s="221"/>
      <c r="AC769" s="229"/>
      <c r="AD769" s="230"/>
      <c r="AE769" s="230"/>
      <c r="AF769" s="230"/>
      <c r="AG769" s="227"/>
    </row>
    <row r="770" spans="1:33" x14ac:dyDescent="0.25">
      <c r="A770" s="32"/>
      <c r="B770" s="306"/>
      <c r="C770" s="307"/>
      <c r="D770" s="312"/>
      <c r="E770" s="301"/>
      <c r="F770" s="232"/>
      <c r="J770" s="306"/>
      <c r="K770" s="306"/>
      <c r="L770" s="313"/>
      <c r="M770" s="219"/>
      <c r="N770" s="218"/>
      <c r="S770" s="224"/>
      <c r="T770" s="228"/>
      <c r="U770" s="226"/>
      <c r="V770" s="226"/>
      <c r="W770" s="303"/>
      <c r="X770" s="220"/>
      <c r="Z770" s="227"/>
      <c r="AA770" s="220"/>
      <c r="AB770" s="221"/>
      <c r="AC770" s="229"/>
      <c r="AD770" s="230"/>
      <c r="AE770" s="230"/>
      <c r="AF770" s="230"/>
      <c r="AG770" s="227"/>
    </row>
    <row r="771" spans="1:33" x14ac:dyDescent="0.25">
      <c r="A771" s="32"/>
      <c r="B771" s="306"/>
      <c r="C771" s="307"/>
      <c r="D771" s="312"/>
      <c r="E771" s="301"/>
      <c r="F771" s="232"/>
      <c r="J771" s="306"/>
      <c r="K771" s="306"/>
      <c r="L771" s="313"/>
      <c r="M771" s="219"/>
      <c r="N771" s="218"/>
      <c r="S771" s="224"/>
      <c r="T771" s="228"/>
      <c r="U771" s="226"/>
      <c r="V771" s="226"/>
      <c r="W771" s="303"/>
      <c r="X771" s="220"/>
      <c r="Z771" s="227"/>
      <c r="AA771" s="220"/>
      <c r="AB771" s="221"/>
      <c r="AC771" s="229"/>
      <c r="AD771" s="230"/>
      <c r="AE771" s="230"/>
      <c r="AF771" s="230"/>
      <c r="AG771" s="227"/>
    </row>
    <row r="772" spans="1:33" x14ac:dyDescent="0.25">
      <c r="A772" s="32"/>
      <c r="B772" s="306"/>
      <c r="C772" s="307"/>
      <c r="D772" s="312"/>
      <c r="E772" s="301"/>
      <c r="F772" s="232"/>
      <c r="J772" s="306"/>
      <c r="K772" s="306"/>
      <c r="L772" s="313"/>
      <c r="M772" s="219"/>
      <c r="N772" s="218"/>
      <c r="S772" s="224"/>
      <c r="T772" s="228"/>
      <c r="U772" s="226"/>
      <c r="V772" s="226"/>
      <c r="W772" s="303"/>
      <c r="X772" s="220"/>
      <c r="Z772" s="227"/>
      <c r="AA772" s="220"/>
      <c r="AB772" s="221"/>
      <c r="AC772" s="229"/>
      <c r="AD772" s="230"/>
      <c r="AE772" s="230"/>
      <c r="AF772" s="230"/>
      <c r="AG772" s="227"/>
    </row>
    <row r="773" spans="1:33" x14ac:dyDescent="0.25">
      <c r="A773" s="32"/>
      <c r="B773" s="306"/>
      <c r="C773" s="307"/>
      <c r="D773" s="312"/>
      <c r="E773" s="301"/>
      <c r="F773" s="232"/>
      <c r="J773" s="306"/>
      <c r="K773" s="306"/>
      <c r="L773" s="313"/>
      <c r="M773" s="219"/>
      <c r="N773" s="218"/>
      <c r="S773" s="224"/>
      <c r="T773" s="228"/>
      <c r="U773" s="226"/>
      <c r="V773" s="226"/>
      <c r="W773" s="303"/>
      <c r="X773" s="220"/>
      <c r="Z773" s="227"/>
      <c r="AA773" s="220"/>
      <c r="AB773" s="221"/>
      <c r="AC773" s="229"/>
      <c r="AD773" s="230"/>
      <c r="AE773" s="230"/>
      <c r="AF773" s="230"/>
      <c r="AG773" s="227"/>
    </row>
    <row r="774" spans="1:33" x14ac:dyDescent="0.25">
      <c r="A774" s="32"/>
      <c r="B774" s="306"/>
      <c r="C774" s="307"/>
      <c r="D774" s="312"/>
      <c r="E774" s="301"/>
      <c r="F774" s="232"/>
      <c r="J774" s="306"/>
      <c r="K774" s="306"/>
      <c r="L774" s="313"/>
      <c r="M774" s="219"/>
      <c r="N774" s="218"/>
      <c r="S774" s="224"/>
      <c r="T774" s="228"/>
      <c r="U774" s="226"/>
      <c r="V774" s="226"/>
      <c r="W774" s="303"/>
      <c r="X774" s="220"/>
      <c r="Z774" s="227"/>
      <c r="AA774" s="220"/>
      <c r="AB774" s="221"/>
      <c r="AC774" s="229"/>
      <c r="AD774" s="230"/>
      <c r="AE774" s="230"/>
      <c r="AF774" s="230"/>
      <c r="AG774" s="227"/>
    </row>
    <row r="775" spans="1:33" x14ac:dyDescent="0.25">
      <c r="A775" s="32"/>
      <c r="B775" s="306"/>
      <c r="C775" s="307"/>
      <c r="D775" s="312"/>
      <c r="E775" s="301"/>
      <c r="F775" s="232"/>
      <c r="J775" s="306"/>
      <c r="K775" s="306"/>
      <c r="L775" s="313"/>
      <c r="M775" s="219"/>
      <c r="N775" s="218"/>
      <c r="S775" s="224"/>
      <c r="T775" s="228"/>
      <c r="U775" s="226"/>
      <c r="V775" s="226"/>
      <c r="W775" s="303"/>
      <c r="X775" s="220"/>
      <c r="Z775" s="227"/>
      <c r="AA775" s="220"/>
      <c r="AB775" s="221"/>
      <c r="AC775" s="229"/>
      <c r="AD775" s="230"/>
      <c r="AE775" s="230"/>
      <c r="AF775" s="230"/>
      <c r="AG775" s="227"/>
    </row>
    <row r="776" spans="1:33" x14ac:dyDescent="0.25">
      <c r="A776" s="32"/>
      <c r="B776" s="306"/>
      <c r="C776" s="307"/>
      <c r="D776" s="312"/>
      <c r="E776" s="301"/>
      <c r="F776" s="232"/>
      <c r="J776" s="306"/>
      <c r="K776" s="306"/>
      <c r="L776" s="313"/>
      <c r="M776" s="219"/>
      <c r="N776" s="218"/>
      <c r="S776" s="224"/>
      <c r="T776" s="228"/>
      <c r="U776" s="226"/>
      <c r="V776" s="226"/>
      <c r="W776" s="303"/>
      <c r="X776" s="220"/>
      <c r="Z776" s="227"/>
      <c r="AA776" s="220"/>
      <c r="AB776" s="221"/>
      <c r="AC776" s="229"/>
      <c r="AD776" s="230"/>
      <c r="AE776" s="230"/>
      <c r="AF776" s="230"/>
      <c r="AG776" s="227"/>
    </row>
    <row r="777" spans="1:33" x14ac:dyDescent="0.25">
      <c r="A777" s="32"/>
      <c r="B777" s="306"/>
      <c r="C777" s="307"/>
      <c r="D777" s="312"/>
      <c r="E777" s="301"/>
      <c r="F777" s="232"/>
      <c r="J777" s="306"/>
      <c r="K777" s="306"/>
      <c r="L777" s="313"/>
      <c r="M777" s="219"/>
      <c r="N777" s="218"/>
      <c r="S777" s="224"/>
      <c r="T777" s="228"/>
      <c r="U777" s="226"/>
      <c r="V777" s="226"/>
      <c r="W777" s="303"/>
      <c r="X777" s="220"/>
      <c r="Z777" s="227"/>
      <c r="AA777" s="220"/>
      <c r="AB777" s="221"/>
      <c r="AC777" s="229"/>
      <c r="AD777" s="230"/>
      <c r="AE777" s="230"/>
      <c r="AF777" s="230"/>
      <c r="AG777" s="227"/>
    </row>
    <row r="778" spans="1:33" x14ac:dyDescent="0.25">
      <c r="A778" s="32"/>
      <c r="B778" s="306"/>
      <c r="C778" s="307"/>
      <c r="D778" s="312"/>
      <c r="E778" s="301"/>
      <c r="F778" s="232"/>
      <c r="J778" s="306"/>
      <c r="K778" s="306"/>
      <c r="L778" s="313"/>
      <c r="M778" s="219"/>
      <c r="N778" s="218"/>
      <c r="S778" s="224"/>
      <c r="T778" s="228"/>
      <c r="U778" s="226"/>
      <c r="V778" s="226"/>
      <c r="W778" s="303"/>
      <c r="X778" s="220"/>
      <c r="Z778" s="227"/>
      <c r="AA778" s="220"/>
      <c r="AB778" s="221"/>
      <c r="AC778" s="229"/>
      <c r="AD778" s="230"/>
      <c r="AE778" s="230"/>
      <c r="AF778" s="230"/>
      <c r="AG778" s="227"/>
    </row>
    <row r="779" spans="1:33" x14ac:dyDescent="0.25">
      <c r="A779" s="32"/>
      <c r="B779" s="306"/>
      <c r="C779" s="307"/>
      <c r="D779" s="312"/>
      <c r="E779" s="301"/>
      <c r="F779" s="232"/>
      <c r="J779" s="306"/>
      <c r="K779" s="306"/>
      <c r="L779" s="313"/>
      <c r="M779" s="219"/>
      <c r="N779" s="218"/>
      <c r="S779" s="224"/>
      <c r="T779" s="228"/>
      <c r="U779" s="226"/>
      <c r="V779" s="226"/>
      <c r="W779" s="303"/>
      <c r="X779" s="220"/>
      <c r="Z779" s="227"/>
      <c r="AA779" s="220"/>
      <c r="AB779" s="221"/>
      <c r="AC779" s="229"/>
      <c r="AD779" s="230"/>
      <c r="AE779" s="230"/>
      <c r="AF779" s="230"/>
      <c r="AG779" s="227"/>
    </row>
    <row r="780" spans="1:33" x14ac:dyDescent="0.25">
      <c r="A780" s="32"/>
      <c r="B780" s="306"/>
      <c r="C780" s="307"/>
      <c r="D780" s="312"/>
      <c r="E780" s="301"/>
      <c r="F780" s="232"/>
      <c r="J780" s="306"/>
      <c r="K780" s="306"/>
      <c r="L780" s="313"/>
      <c r="M780" s="219"/>
      <c r="N780" s="218"/>
      <c r="S780" s="224"/>
      <c r="T780" s="228"/>
      <c r="U780" s="226"/>
      <c r="V780" s="226"/>
      <c r="W780" s="303"/>
      <c r="X780" s="220"/>
      <c r="Z780" s="227"/>
      <c r="AA780" s="220"/>
      <c r="AB780" s="221"/>
      <c r="AC780" s="229"/>
      <c r="AD780" s="230"/>
      <c r="AE780" s="230"/>
      <c r="AF780" s="230"/>
      <c r="AG780" s="227"/>
    </row>
    <row r="781" spans="1:33" x14ac:dyDescent="0.25">
      <c r="A781" s="32"/>
      <c r="B781" s="306"/>
      <c r="C781" s="307"/>
      <c r="D781" s="312"/>
      <c r="E781" s="301"/>
      <c r="F781" s="232"/>
      <c r="J781" s="306"/>
      <c r="K781" s="306"/>
      <c r="L781" s="313"/>
      <c r="M781" s="219"/>
      <c r="N781" s="218"/>
      <c r="S781" s="224"/>
      <c r="T781" s="228"/>
      <c r="U781" s="226"/>
      <c r="V781" s="226"/>
      <c r="W781" s="303"/>
      <c r="X781" s="220"/>
      <c r="Z781" s="227"/>
      <c r="AA781" s="220"/>
      <c r="AB781" s="221"/>
      <c r="AC781" s="229"/>
      <c r="AD781" s="230"/>
      <c r="AE781" s="230"/>
      <c r="AF781" s="230"/>
      <c r="AG781" s="227"/>
    </row>
    <row r="782" spans="1:33" x14ac:dyDescent="0.25">
      <c r="A782" s="32"/>
      <c r="B782" s="306"/>
      <c r="C782" s="307"/>
      <c r="D782" s="312"/>
      <c r="E782" s="301"/>
      <c r="F782" s="232"/>
      <c r="J782" s="306"/>
      <c r="K782" s="306"/>
      <c r="L782" s="313"/>
      <c r="M782" s="219"/>
      <c r="N782" s="218"/>
      <c r="S782" s="224"/>
      <c r="T782" s="228"/>
      <c r="U782" s="226"/>
      <c r="V782" s="226"/>
      <c r="W782" s="303"/>
      <c r="X782" s="220"/>
      <c r="Z782" s="227"/>
      <c r="AA782" s="220"/>
      <c r="AB782" s="221"/>
      <c r="AC782" s="229"/>
      <c r="AD782" s="230"/>
      <c r="AE782" s="230"/>
      <c r="AF782" s="230"/>
      <c r="AG782" s="227"/>
    </row>
    <row r="783" spans="1:33" x14ac:dyDescent="0.25">
      <c r="A783" s="32"/>
      <c r="B783" s="306"/>
      <c r="C783" s="307"/>
      <c r="D783" s="312"/>
      <c r="E783" s="301"/>
      <c r="F783" s="232"/>
      <c r="J783" s="306"/>
      <c r="K783" s="306"/>
      <c r="L783" s="313"/>
      <c r="M783" s="219"/>
      <c r="N783" s="218"/>
      <c r="S783" s="224"/>
      <c r="T783" s="228"/>
      <c r="U783" s="226"/>
      <c r="V783" s="226"/>
      <c r="W783" s="303"/>
      <c r="X783" s="220"/>
      <c r="Z783" s="227"/>
      <c r="AA783" s="220"/>
      <c r="AB783" s="221"/>
      <c r="AC783" s="229"/>
      <c r="AD783" s="230"/>
      <c r="AE783" s="230"/>
      <c r="AF783" s="230"/>
      <c r="AG783" s="227"/>
    </row>
    <row r="784" spans="1:33" x14ac:dyDescent="0.25">
      <c r="A784" s="32"/>
      <c r="B784" s="306"/>
      <c r="C784" s="307"/>
      <c r="D784" s="312"/>
      <c r="E784" s="301"/>
      <c r="F784" s="232"/>
      <c r="J784" s="306"/>
      <c r="K784" s="306"/>
      <c r="L784" s="313"/>
      <c r="M784" s="219"/>
      <c r="N784" s="218"/>
      <c r="S784" s="224"/>
      <c r="T784" s="228"/>
      <c r="U784" s="226"/>
      <c r="V784" s="226"/>
      <c r="W784" s="303"/>
      <c r="X784" s="220"/>
      <c r="Z784" s="227"/>
      <c r="AA784" s="220"/>
      <c r="AB784" s="221"/>
      <c r="AC784" s="229"/>
      <c r="AD784" s="230"/>
      <c r="AE784" s="230"/>
      <c r="AF784" s="230"/>
      <c r="AG784" s="227"/>
    </row>
    <row r="785" spans="1:33" x14ac:dyDescent="0.25">
      <c r="A785" s="32"/>
      <c r="B785" s="306"/>
      <c r="C785" s="307"/>
      <c r="D785" s="312"/>
      <c r="E785" s="301"/>
      <c r="F785" s="232"/>
      <c r="J785" s="306"/>
      <c r="K785" s="306"/>
      <c r="L785" s="313"/>
      <c r="M785" s="219"/>
      <c r="N785" s="218"/>
      <c r="S785" s="224"/>
      <c r="T785" s="228"/>
      <c r="U785" s="226"/>
      <c r="V785" s="226"/>
      <c r="W785" s="303"/>
      <c r="X785" s="220"/>
      <c r="Z785" s="227"/>
      <c r="AA785" s="220"/>
      <c r="AB785" s="221"/>
      <c r="AC785" s="229"/>
      <c r="AD785" s="230"/>
      <c r="AE785" s="230"/>
      <c r="AF785" s="230"/>
      <c r="AG785" s="227"/>
    </row>
    <row r="786" spans="1:33" x14ac:dyDescent="0.25">
      <c r="A786" s="32"/>
      <c r="B786" s="306"/>
      <c r="C786" s="307"/>
      <c r="D786" s="312"/>
      <c r="E786" s="301"/>
      <c r="F786" s="232"/>
      <c r="J786" s="306"/>
      <c r="K786" s="306"/>
      <c r="L786" s="313"/>
      <c r="M786" s="219"/>
      <c r="N786" s="218"/>
      <c r="S786" s="224"/>
      <c r="T786" s="228"/>
      <c r="U786" s="226"/>
      <c r="V786" s="226"/>
      <c r="W786" s="303"/>
      <c r="X786" s="220"/>
      <c r="Z786" s="227"/>
      <c r="AA786" s="220"/>
      <c r="AB786" s="221"/>
      <c r="AC786" s="229"/>
      <c r="AD786" s="230"/>
      <c r="AE786" s="230"/>
      <c r="AF786" s="230"/>
      <c r="AG786" s="227"/>
    </row>
    <row r="787" spans="1:33" x14ac:dyDescent="0.25">
      <c r="A787" s="32"/>
      <c r="B787" s="306"/>
      <c r="C787" s="307"/>
      <c r="D787" s="312"/>
      <c r="E787" s="301"/>
      <c r="F787" s="232"/>
      <c r="J787" s="306"/>
      <c r="K787" s="306"/>
      <c r="L787" s="313"/>
      <c r="M787" s="219"/>
      <c r="N787" s="218"/>
      <c r="S787" s="224"/>
      <c r="T787" s="228"/>
      <c r="U787" s="226"/>
      <c r="V787" s="226"/>
      <c r="W787" s="303"/>
      <c r="X787" s="220"/>
      <c r="Z787" s="227"/>
      <c r="AA787" s="220"/>
      <c r="AB787" s="221"/>
      <c r="AC787" s="229"/>
      <c r="AD787" s="230"/>
      <c r="AE787" s="230"/>
      <c r="AF787" s="230"/>
      <c r="AG787" s="227"/>
    </row>
    <row r="788" spans="1:33" x14ac:dyDescent="0.25">
      <c r="A788" s="32"/>
      <c r="B788" s="306"/>
      <c r="C788" s="307"/>
      <c r="D788" s="312"/>
      <c r="E788" s="301"/>
      <c r="F788" s="232"/>
      <c r="J788" s="306"/>
      <c r="K788" s="306"/>
      <c r="L788" s="313"/>
      <c r="M788" s="219"/>
      <c r="N788" s="218"/>
      <c r="S788" s="224"/>
      <c r="T788" s="228"/>
      <c r="U788" s="226"/>
      <c r="V788" s="226"/>
      <c r="W788" s="303"/>
      <c r="X788" s="220"/>
      <c r="Z788" s="227"/>
      <c r="AA788" s="220"/>
      <c r="AB788" s="221"/>
      <c r="AC788" s="229"/>
      <c r="AD788" s="230"/>
      <c r="AE788" s="230"/>
      <c r="AF788" s="230"/>
      <c r="AG788" s="227"/>
    </row>
    <row r="789" spans="1:33" x14ac:dyDescent="0.25">
      <c r="A789" s="32"/>
      <c r="B789" s="306"/>
      <c r="C789" s="307"/>
      <c r="D789" s="312"/>
      <c r="E789" s="301"/>
      <c r="F789" s="232"/>
      <c r="J789" s="306"/>
      <c r="K789" s="306"/>
      <c r="L789" s="313"/>
      <c r="M789" s="219"/>
      <c r="N789" s="218"/>
      <c r="S789" s="224"/>
      <c r="T789" s="228"/>
      <c r="U789" s="226"/>
      <c r="V789" s="226"/>
      <c r="W789" s="303"/>
      <c r="X789" s="220"/>
      <c r="Z789" s="227"/>
      <c r="AA789" s="220"/>
      <c r="AB789" s="221"/>
      <c r="AC789" s="229"/>
      <c r="AD789" s="230"/>
      <c r="AE789" s="230"/>
      <c r="AF789" s="230"/>
      <c r="AG789" s="227"/>
    </row>
    <row r="790" spans="1:33" x14ac:dyDescent="0.25">
      <c r="A790" s="32"/>
      <c r="B790" s="306"/>
      <c r="C790" s="307"/>
      <c r="D790" s="312"/>
      <c r="E790" s="301"/>
      <c r="F790" s="232"/>
      <c r="J790" s="306"/>
      <c r="K790" s="306"/>
      <c r="L790" s="313"/>
      <c r="M790" s="219"/>
      <c r="N790" s="218"/>
      <c r="S790" s="224"/>
      <c r="T790" s="228"/>
      <c r="U790" s="226"/>
      <c r="V790" s="226"/>
      <c r="W790" s="303"/>
      <c r="X790" s="220"/>
      <c r="Z790" s="227"/>
      <c r="AA790" s="220"/>
      <c r="AB790" s="221"/>
      <c r="AC790" s="229"/>
      <c r="AD790" s="230"/>
      <c r="AE790" s="230"/>
      <c r="AF790" s="230"/>
      <c r="AG790" s="227"/>
    </row>
    <row r="791" spans="1:33" x14ac:dyDescent="0.25">
      <c r="A791" s="32"/>
      <c r="B791" s="306"/>
      <c r="C791" s="307"/>
      <c r="D791" s="312"/>
      <c r="E791" s="301"/>
      <c r="F791" s="232"/>
      <c r="J791" s="306"/>
      <c r="K791" s="306"/>
      <c r="L791" s="313"/>
      <c r="M791" s="219"/>
      <c r="N791" s="218"/>
      <c r="S791" s="224"/>
      <c r="T791" s="228"/>
      <c r="U791" s="226"/>
      <c r="V791" s="226"/>
      <c r="W791" s="303"/>
      <c r="X791" s="220"/>
      <c r="Z791" s="227"/>
      <c r="AA791" s="220"/>
      <c r="AB791" s="221"/>
      <c r="AC791" s="229"/>
      <c r="AD791" s="230"/>
      <c r="AE791" s="230"/>
      <c r="AF791" s="230"/>
      <c r="AG791" s="227"/>
    </row>
    <row r="792" spans="1:33" x14ac:dyDescent="0.25">
      <c r="A792" s="32"/>
      <c r="B792" s="306"/>
      <c r="C792" s="307"/>
      <c r="D792" s="312"/>
      <c r="E792" s="301"/>
      <c r="F792" s="232"/>
      <c r="J792" s="306"/>
      <c r="K792" s="306"/>
      <c r="L792" s="313"/>
      <c r="M792" s="219"/>
      <c r="N792" s="218"/>
      <c r="S792" s="224"/>
      <c r="T792" s="228"/>
      <c r="U792" s="226"/>
      <c r="V792" s="226"/>
      <c r="W792" s="303"/>
      <c r="X792" s="220"/>
      <c r="Z792" s="227"/>
      <c r="AA792" s="220"/>
      <c r="AB792" s="221"/>
      <c r="AC792" s="229"/>
      <c r="AD792" s="230"/>
      <c r="AE792" s="230"/>
      <c r="AF792" s="230"/>
      <c r="AG792" s="227"/>
    </row>
    <row r="793" spans="1:33" x14ac:dyDescent="0.25">
      <c r="A793" s="32"/>
      <c r="B793" s="306"/>
      <c r="C793" s="307"/>
      <c r="D793" s="312"/>
      <c r="E793" s="301"/>
      <c r="F793" s="232"/>
      <c r="J793" s="306"/>
      <c r="K793" s="306"/>
      <c r="L793" s="313"/>
      <c r="M793" s="219"/>
      <c r="N793" s="218"/>
      <c r="S793" s="224"/>
      <c r="T793" s="228"/>
      <c r="U793" s="226"/>
      <c r="V793" s="226"/>
      <c r="W793" s="303"/>
      <c r="X793" s="220"/>
      <c r="Z793" s="227"/>
      <c r="AA793" s="220"/>
      <c r="AB793" s="221"/>
      <c r="AC793" s="229"/>
      <c r="AD793" s="230"/>
      <c r="AE793" s="230"/>
      <c r="AF793" s="230"/>
      <c r="AG793" s="227"/>
    </row>
    <row r="794" spans="1:33" x14ac:dyDescent="0.25">
      <c r="A794" s="32"/>
      <c r="B794" s="306"/>
      <c r="C794" s="307"/>
      <c r="D794" s="312"/>
      <c r="E794" s="301"/>
      <c r="F794" s="232"/>
      <c r="J794" s="306"/>
      <c r="K794" s="306"/>
      <c r="L794" s="313"/>
      <c r="M794" s="219"/>
      <c r="N794" s="218"/>
      <c r="S794" s="224"/>
      <c r="T794" s="228"/>
      <c r="U794" s="226"/>
      <c r="V794" s="226"/>
      <c r="W794" s="303"/>
      <c r="X794" s="220"/>
      <c r="Z794" s="227"/>
      <c r="AA794" s="220"/>
      <c r="AB794" s="221"/>
      <c r="AC794" s="229"/>
      <c r="AD794" s="230"/>
      <c r="AE794" s="230"/>
      <c r="AF794" s="230"/>
      <c r="AG794" s="227"/>
    </row>
    <row r="795" spans="1:33" x14ac:dyDescent="0.25">
      <c r="A795" s="32"/>
      <c r="B795" s="306"/>
      <c r="C795" s="307"/>
      <c r="D795" s="312"/>
      <c r="E795" s="301"/>
      <c r="F795" s="232"/>
      <c r="J795" s="306"/>
      <c r="K795" s="306"/>
      <c r="L795" s="313"/>
      <c r="M795" s="219"/>
      <c r="N795" s="218"/>
      <c r="S795" s="224"/>
      <c r="T795" s="228"/>
      <c r="U795" s="226"/>
      <c r="V795" s="226"/>
      <c r="W795" s="303"/>
      <c r="X795" s="220"/>
      <c r="Z795" s="227"/>
      <c r="AA795" s="220"/>
      <c r="AB795" s="221"/>
      <c r="AC795" s="229"/>
      <c r="AD795" s="230"/>
      <c r="AE795" s="230"/>
      <c r="AF795" s="230"/>
      <c r="AG795" s="227"/>
    </row>
    <row r="796" spans="1:33" x14ac:dyDescent="0.25">
      <c r="A796" s="32"/>
      <c r="B796" s="306"/>
      <c r="C796" s="307"/>
      <c r="D796" s="312"/>
      <c r="E796" s="301"/>
      <c r="F796" s="232"/>
      <c r="J796" s="306"/>
      <c r="K796" s="306"/>
      <c r="L796" s="313"/>
      <c r="M796" s="219"/>
      <c r="N796" s="218"/>
      <c r="S796" s="224"/>
      <c r="T796" s="228"/>
      <c r="U796" s="226"/>
      <c r="V796" s="226"/>
      <c r="W796" s="303"/>
      <c r="X796" s="220"/>
      <c r="Z796" s="227"/>
      <c r="AA796" s="220"/>
      <c r="AB796" s="221"/>
      <c r="AC796" s="229"/>
      <c r="AD796" s="230"/>
      <c r="AE796" s="230"/>
      <c r="AF796" s="230"/>
      <c r="AG796" s="227"/>
    </row>
    <row r="797" spans="1:33" x14ac:dyDescent="0.25">
      <c r="A797" s="32"/>
      <c r="B797" s="306"/>
      <c r="C797" s="307"/>
      <c r="D797" s="312"/>
      <c r="E797" s="301"/>
      <c r="F797" s="232"/>
      <c r="J797" s="306"/>
      <c r="K797" s="306"/>
      <c r="L797" s="313"/>
      <c r="M797" s="219"/>
      <c r="N797" s="218"/>
      <c r="S797" s="224"/>
      <c r="T797" s="228"/>
      <c r="U797" s="226"/>
      <c r="V797" s="226"/>
      <c r="W797" s="303"/>
      <c r="X797" s="220"/>
      <c r="Z797" s="227"/>
      <c r="AA797" s="220"/>
      <c r="AB797" s="221"/>
      <c r="AC797" s="229"/>
      <c r="AD797" s="230"/>
      <c r="AE797" s="230"/>
      <c r="AF797" s="230"/>
      <c r="AG797" s="227"/>
    </row>
    <row r="798" spans="1:33" x14ac:dyDescent="0.25">
      <c r="A798" s="32"/>
      <c r="B798" s="306"/>
      <c r="C798" s="307"/>
      <c r="D798" s="312"/>
      <c r="E798" s="301"/>
      <c r="F798" s="232"/>
      <c r="J798" s="306"/>
      <c r="K798" s="306"/>
      <c r="L798" s="313"/>
      <c r="M798" s="219"/>
      <c r="N798" s="218"/>
      <c r="S798" s="224"/>
      <c r="T798" s="228"/>
      <c r="U798" s="226"/>
      <c r="V798" s="226"/>
      <c r="W798" s="303"/>
      <c r="X798" s="220"/>
      <c r="Z798" s="227"/>
      <c r="AA798" s="220"/>
      <c r="AB798" s="221"/>
      <c r="AC798" s="229"/>
      <c r="AD798" s="230"/>
      <c r="AE798" s="230"/>
      <c r="AF798" s="230"/>
      <c r="AG798" s="227"/>
    </row>
    <row r="799" spans="1:33" x14ac:dyDescent="0.25">
      <c r="A799" s="32"/>
      <c r="B799" s="306"/>
      <c r="C799" s="307"/>
      <c r="D799" s="312"/>
      <c r="E799" s="301"/>
      <c r="F799" s="232"/>
      <c r="J799" s="306"/>
      <c r="K799" s="306"/>
      <c r="L799" s="313"/>
      <c r="M799" s="219"/>
      <c r="N799" s="218"/>
      <c r="S799" s="224"/>
      <c r="T799" s="228"/>
      <c r="U799" s="226"/>
      <c r="V799" s="226"/>
      <c r="W799" s="303"/>
      <c r="X799" s="220"/>
      <c r="Z799" s="227"/>
      <c r="AA799" s="220"/>
      <c r="AB799" s="221"/>
      <c r="AC799" s="229"/>
      <c r="AD799" s="230"/>
      <c r="AE799" s="230"/>
      <c r="AF799" s="230"/>
      <c r="AG799" s="227"/>
    </row>
    <row r="800" spans="1:33" x14ac:dyDescent="0.25">
      <c r="A800" s="32"/>
      <c r="B800" s="306"/>
      <c r="C800" s="307"/>
      <c r="D800" s="312"/>
      <c r="E800" s="301"/>
      <c r="F800" s="232"/>
      <c r="J800" s="306"/>
      <c r="K800" s="306"/>
      <c r="L800" s="313"/>
      <c r="M800" s="219"/>
      <c r="N800" s="218"/>
      <c r="S800" s="224"/>
      <c r="T800" s="228"/>
      <c r="U800" s="226"/>
      <c r="V800" s="226"/>
      <c r="W800" s="303"/>
      <c r="X800" s="220"/>
      <c r="Z800" s="227"/>
      <c r="AA800" s="220"/>
      <c r="AB800" s="221"/>
      <c r="AC800" s="229"/>
      <c r="AD800" s="230"/>
      <c r="AE800" s="230"/>
      <c r="AF800" s="230"/>
      <c r="AG800" s="227"/>
    </row>
    <row r="801" spans="1:33" x14ac:dyDescent="0.25">
      <c r="A801" s="32"/>
      <c r="B801" s="306"/>
      <c r="C801" s="307"/>
      <c r="D801" s="312"/>
      <c r="E801" s="301"/>
      <c r="F801" s="232"/>
      <c r="J801" s="306"/>
      <c r="K801" s="306"/>
      <c r="L801" s="313"/>
      <c r="M801" s="219"/>
      <c r="N801" s="218"/>
      <c r="S801" s="224"/>
      <c r="T801" s="228"/>
      <c r="U801" s="226"/>
      <c r="V801" s="226"/>
      <c r="W801" s="303"/>
      <c r="X801" s="220"/>
      <c r="Z801" s="227"/>
      <c r="AA801" s="220"/>
      <c r="AB801" s="221"/>
      <c r="AC801" s="229"/>
      <c r="AD801" s="230"/>
      <c r="AE801" s="230"/>
      <c r="AF801" s="230"/>
      <c r="AG801" s="227"/>
    </row>
    <row r="802" spans="1:33" x14ac:dyDescent="0.25">
      <c r="A802" s="32"/>
      <c r="B802" s="306"/>
      <c r="C802" s="307"/>
      <c r="D802" s="312"/>
      <c r="E802" s="301"/>
      <c r="F802" s="232"/>
      <c r="J802" s="306"/>
      <c r="K802" s="306"/>
      <c r="L802" s="313"/>
      <c r="M802" s="219"/>
      <c r="N802" s="218"/>
      <c r="S802" s="224"/>
      <c r="T802" s="228"/>
      <c r="U802" s="226"/>
      <c r="V802" s="226"/>
      <c r="W802" s="303"/>
      <c r="X802" s="220"/>
      <c r="Z802" s="227"/>
      <c r="AA802" s="220"/>
      <c r="AB802" s="221"/>
      <c r="AC802" s="229"/>
      <c r="AD802" s="230"/>
      <c r="AE802" s="230"/>
      <c r="AF802" s="230"/>
      <c r="AG802" s="227"/>
    </row>
    <row r="803" spans="1:33" x14ac:dyDescent="0.25">
      <c r="A803" s="32"/>
      <c r="B803" s="306"/>
      <c r="C803" s="307"/>
      <c r="D803" s="312"/>
      <c r="E803" s="301"/>
      <c r="F803" s="232"/>
      <c r="J803" s="306"/>
      <c r="K803" s="306"/>
      <c r="L803" s="313"/>
      <c r="M803" s="219"/>
      <c r="N803" s="218"/>
      <c r="S803" s="224"/>
      <c r="T803" s="228"/>
      <c r="U803" s="226"/>
      <c r="V803" s="226"/>
      <c r="W803" s="303"/>
      <c r="X803" s="220"/>
      <c r="Z803" s="227"/>
      <c r="AA803" s="220"/>
      <c r="AB803" s="221"/>
      <c r="AC803" s="229"/>
      <c r="AD803" s="230"/>
      <c r="AE803" s="230"/>
      <c r="AF803" s="230"/>
      <c r="AG803" s="227"/>
    </row>
    <row r="804" spans="1:33" x14ac:dyDescent="0.25">
      <c r="A804" s="32"/>
      <c r="B804" s="306"/>
      <c r="C804" s="307"/>
      <c r="D804" s="312"/>
      <c r="E804" s="301"/>
      <c r="F804" s="232"/>
      <c r="J804" s="306"/>
      <c r="K804" s="306"/>
      <c r="L804" s="313"/>
      <c r="M804" s="219"/>
      <c r="N804" s="218"/>
      <c r="S804" s="224"/>
      <c r="T804" s="228"/>
      <c r="U804" s="226"/>
      <c r="V804" s="226"/>
      <c r="W804" s="303"/>
      <c r="X804" s="220"/>
      <c r="Z804" s="227"/>
      <c r="AA804" s="220"/>
      <c r="AB804" s="221"/>
      <c r="AC804" s="229"/>
      <c r="AD804" s="230"/>
      <c r="AE804" s="230"/>
      <c r="AF804" s="230"/>
      <c r="AG804" s="227"/>
    </row>
    <row r="805" spans="1:33" x14ac:dyDescent="0.25">
      <c r="A805" s="32"/>
      <c r="B805" s="306"/>
      <c r="C805" s="307"/>
      <c r="D805" s="312"/>
      <c r="E805" s="301"/>
      <c r="F805" s="232"/>
      <c r="J805" s="306"/>
      <c r="K805" s="306"/>
      <c r="L805" s="313"/>
      <c r="M805" s="219"/>
      <c r="N805" s="218"/>
      <c r="S805" s="224"/>
      <c r="T805" s="228"/>
      <c r="U805" s="226"/>
      <c r="V805" s="226"/>
      <c r="W805" s="303"/>
      <c r="X805" s="220"/>
      <c r="Z805" s="227"/>
      <c r="AA805" s="220"/>
      <c r="AB805" s="221"/>
      <c r="AC805" s="229"/>
      <c r="AD805" s="230"/>
      <c r="AE805" s="230"/>
      <c r="AF805" s="230"/>
      <c r="AG805" s="227"/>
    </row>
    <row r="806" spans="1:33" x14ac:dyDescent="0.25">
      <c r="A806" s="32"/>
      <c r="B806" s="306"/>
      <c r="C806" s="307"/>
      <c r="D806" s="312"/>
      <c r="E806" s="301"/>
      <c r="F806" s="232"/>
      <c r="J806" s="306"/>
      <c r="K806" s="306"/>
      <c r="L806" s="313"/>
      <c r="M806" s="219"/>
      <c r="N806" s="218"/>
      <c r="S806" s="224"/>
      <c r="T806" s="228"/>
      <c r="U806" s="226"/>
      <c r="V806" s="226"/>
      <c r="W806" s="303"/>
      <c r="X806" s="220"/>
      <c r="Z806" s="227"/>
      <c r="AA806" s="220"/>
      <c r="AB806" s="221"/>
      <c r="AC806" s="229"/>
      <c r="AD806" s="230"/>
      <c r="AE806" s="230"/>
      <c r="AF806" s="230"/>
      <c r="AG806" s="227"/>
    </row>
    <row r="807" spans="1:33" x14ac:dyDescent="0.25">
      <c r="A807" s="32"/>
      <c r="B807" s="306"/>
      <c r="C807" s="307"/>
      <c r="D807" s="312"/>
      <c r="E807" s="301"/>
      <c r="F807" s="232"/>
      <c r="J807" s="306"/>
      <c r="K807" s="306"/>
      <c r="L807" s="313"/>
      <c r="M807" s="219"/>
      <c r="N807" s="218"/>
      <c r="S807" s="224"/>
      <c r="T807" s="228"/>
      <c r="U807" s="226"/>
      <c r="V807" s="226"/>
      <c r="W807" s="303"/>
      <c r="X807" s="220"/>
      <c r="Z807" s="227"/>
      <c r="AA807" s="220"/>
      <c r="AB807" s="221"/>
      <c r="AC807" s="229"/>
      <c r="AD807" s="230"/>
      <c r="AE807" s="230"/>
      <c r="AF807" s="230"/>
      <c r="AG807" s="227"/>
    </row>
    <row r="808" spans="1:33" x14ac:dyDescent="0.25">
      <c r="A808" s="32"/>
      <c r="B808" s="306"/>
      <c r="C808" s="307"/>
      <c r="D808" s="312"/>
      <c r="E808" s="301"/>
      <c r="F808" s="232"/>
      <c r="J808" s="306"/>
      <c r="K808" s="306"/>
      <c r="L808" s="313"/>
      <c r="M808" s="219"/>
      <c r="N808" s="218"/>
      <c r="S808" s="224"/>
      <c r="T808" s="228"/>
      <c r="U808" s="226"/>
      <c r="V808" s="226"/>
      <c r="W808" s="303"/>
      <c r="X808" s="220"/>
      <c r="Z808" s="227"/>
      <c r="AA808" s="220"/>
      <c r="AB808" s="221"/>
      <c r="AC808" s="229"/>
      <c r="AD808" s="230"/>
      <c r="AE808" s="230"/>
      <c r="AF808" s="230"/>
      <c r="AG808" s="227"/>
    </row>
    <row r="809" spans="1:33" x14ac:dyDescent="0.25">
      <c r="A809" s="32"/>
      <c r="B809" s="306"/>
      <c r="C809" s="307"/>
      <c r="D809" s="312"/>
      <c r="E809" s="301"/>
      <c r="F809" s="232"/>
      <c r="J809" s="306"/>
      <c r="K809" s="306"/>
      <c r="L809" s="313"/>
      <c r="M809" s="219"/>
      <c r="N809" s="218"/>
      <c r="S809" s="224"/>
      <c r="T809" s="228"/>
      <c r="U809" s="226"/>
      <c r="V809" s="226"/>
      <c r="W809" s="303"/>
      <c r="X809" s="220"/>
      <c r="Z809" s="227"/>
      <c r="AA809" s="220"/>
      <c r="AB809" s="221"/>
      <c r="AC809" s="229"/>
      <c r="AD809" s="230"/>
      <c r="AE809" s="230"/>
      <c r="AF809" s="230"/>
      <c r="AG809" s="227"/>
    </row>
    <row r="810" spans="1:33" x14ac:dyDescent="0.25">
      <c r="A810" s="32"/>
      <c r="B810" s="306"/>
      <c r="C810" s="307"/>
      <c r="D810" s="312"/>
      <c r="E810" s="301"/>
      <c r="F810" s="232"/>
      <c r="J810" s="306"/>
      <c r="K810" s="306"/>
      <c r="L810" s="313"/>
      <c r="M810" s="219"/>
      <c r="N810" s="218"/>
      <c r="S810" s="224"/>
      <c r="T810" s="228"/>
      <c r="U810" s="226"/>
      <c r="V810" s="226"/>
      <c r="W810" s="303"/>
      <c r="X810" s="220"/>
      <c r="Z810" s="227"/>
      <c r="AA810" s="220"/>
      <c r="AB810" s="221"/>
      <c r="AC810" s="229"/>
      <c r="AD810" s="230"/>
      <c r="AE810" s="230"/>
      <c r="AF810" s="230"/>
      <c r="AG810" s="227"/>
    </row>
    <row r="811" spans="1:33" x14ac:dyDescent="0.25">
      <c r="A811" s="32"/>
      <c r="B811" s="306"/>
      <c r="C811" s="307"/>
      <c r="D811" s="312"/>
      <c r="E811" s="301"/>
      <c r="F811" s="232"/>
      <c r="J811" s="306"/>
      <c r="K811" s="306"/>
      <c r="L811" s="313"/>
      <c r="M811" s="219"/>
      <c r="N811" s="218"/>
      <c r="S811" s="224"/>
      <c r="T811" s="228"/>
      <c r="U811" s="226"/>
      <c r="V811" s="226"/>
      <c r="W811" s="303"/>
      <c r="X811" s="220"/>
      <c r="Z811" s="227"/>
      <c r="AA811" s="220"/>
      <c r="AB811" s="221"/>
      <c r="AC811" s="229"/>
      <c r="AD811" s="230"/>
      <c r="AE811" s="230"/>
      <c r="AF811" s="230"/>
      <c r="AG811" s="227"/>
    </row>
    <row r="812" spans="1:33" x14ac:dyDescent="0.25">
      <c r="A812" s="32"/>
      <c r="B812" s="306"/>
      <c r="C812" s="307"/>
      <c r="D812" s="312"/>
      <c r="E812" s="301"/>
      <c r="F812" s="232"/>
      <c r="J812" s="306"/>
      <c r="K812" s="306"/>
      <c r="L812" s="313"/>
      <c r="M812" s="219"/>
      <c r="N812" s="218"/>
      <c r="S812" s="224"/>
      <c r="T812" s="228"/>
      <c r="U812" s="226"/>
      <c r="V812" s="226"/>
      <c r="W812" s="303"/>
      <c r="X812" s="220"/>
      <c r="Z812" s="227"/>
      <c r="AA812" s="220"/>
      <c r="AB812" s="221"/>
      <c r="AC812" s="229"/>
      <c r="AD812" s="230"/>
      <c r="AE812" s="230"/>
      <c r="AF812" s="230"/>
      <c r="AG812" s="227"/>
    </row>
    <row r="813" spans="1:33" x14ac:dyDescent="0.25">
      <c r="A813" s="32"/>
      <c r="B813" s="306"/>
      <c r="C813" s="307"/>
      <c r="D813" s="312"/>
      <c r="E813" s="301"/>
      <c r="F813" s="232"/>
      <c r="J813" s="306"/>
      <c r="K813" s="306"/>
      <c r="L813" s="313"/>
      <c r="M813" s="219"/>
      <c r="N813" s="218"/>
      <c r="S813" s="224"/>
      <c r="T813" s="228"/>
      <c r="U813" s="226"/>
      <c r="V813" s="226"/>
      <c r="W813" s="303"/>
      <c r="X813" s="220"/>
      <c r="Z813" s="227"/>
      <c r="AA813" s="220"/>
      <c r="AB813" s="221"/>
      <c r="AC813" s="229"/>
      <c r="AD813" s="230"/>
      <c r="AE813" s="230"/>
      <c r="AF813" s="230"/>
      <c r="AG813" s="227"/>
    </row>
    <row r="814" spans="1:33" x14ac:dyDescent="0.25">
      <c r="A814" s="32"/>
      <c r="B814" s="306"/>
      <c r="C814" s="307"/>
      <c r="D814" s="312"/>
      <c r="E814" s="301"/>
      <c r="F814" s="232"/>
      <c r="J814" s="306"/>
      <c r="K814" s="306"/>
      <c r="L814" s="313"/>
      <c r="M814" s="219"/>
      <c r="N814" s="218"/>
      <c r="S814" s="224"/>
      <c r="T814" s="228"/>
      <c r="U814" s="226"/>
      <c r="V814" s="226"/>
      <c r="W814" s="303"/>
      <c r="X814" s="220"/>
      <c r="Z814" s="227"/>
      <c r="AA814" s="220"/>
      <c r="AB814" s="221"/>
      <c r="AC814" s="229"/>
      <c r="AD814" s="230"/>
      <c r="AE814" s="230"/>
      <c r="AF814" s="230"/>
      <c r="AG814" s="227"/>
    </row>
    <row r="815" spans="1:33" x14ac:dyDescent="0.25">
      <c r="A815" s="32"/>
      <c r="B815" s="306"/>
      <c r="C815" s="307"/>
      <c r="D815" s="312"/>
      <c r="E815" s="301"/>
      <c r="F815" s="232"/>
      <c r="J815" s="306"/>
      <c r="K815" s="306"/>
      <c r="L815" s="313"/>
      <c r="M815" s="219"/>
      <c r="N815" s="218"/>
      <c r="S815" s="224"/>
      <c r="T815" s="228"/>
      <c r="U815" s="226"/>
      <c r="V815" s="226"/>
      <c r="W815" s="303"/>
      <c r="X815" s="220"/>
      <c r="Z815" s="227"/>
      <c r="AA815" s="220"/>
      <c r="AB815" s="221"/>
      <c r="AC815" s="229"/>
      <c r="AD815" s="230"/>
      <c r="AE815" s="230"/>
      <c r="AF815" s="230"/>
      <c r="AG815" s="227"/>
    </row>
    <row r="816" spans="1:33" x14ac:dyDescent="0.25">
      <c r="A816" s="32"/>
      <c r="B816" s="306"/>
      <c r="C816" s="307"/>
      <c r="D816" s="312"/>
      <c r="E816" s="301"/>
      <c r="F816" s="232"/>
      <c r="J816" s="306"/>
      <c r="K816" s="306"/>
      <c r="L816" s="313"/>
      <c r="M816" s="219"/>
      <c r="N816" s="218"/>
      <c r="S816" s="224"/>
      <c r="T816" s="228"/>
      <c r="U816" s="226"/>
      <c r="V816" s="226"/>
      <c r="W816" s="303"/>
      <c r="X816" s="220"/>
      <c r="Z816" s="227"/>
      <c r="AA816" s="220"/>
      <c r="AB816" s="221"/>
      <c r="AC816" s="229"/>
      <c r="AD816" s="230"/>
      <c r="AE816" s="230"/>
      <c r="AF816" s="230"/>
      <c r="AG816" s="227"/>
    </row>
    <row r="817" spans="1:33" x14ac:dyDescent="0.25">
      <c r="A817" s="32"/>
      <c r="B817" s="306"/>
      <c r="C817" s="307"/>
      <c r="D817" s="312"/>
      <c r="E817" s="301"/>
      <c r="F817" s="232"/>
      <c r="J817" s="306"/>
      <c r="K817" s="306"/>
      <c r="L817" s="313"/>
      <c r="M817" s="219"/>
      <c r="N817" s="218"/>
      <c r="S817" s="224"/>
      <c r="T817" s="228"/>
      <c r="U817" s="226"/>
      <c r="V817" s="226"/>
      <c r="W817" s="303"/>
      <c r="X817" s="220"/>
      <c r="Z817" s="227"/>
      <c r="AA817" s="220"/>
      <c r="AB817" s="221"/>
      <c r="AC817" s="229"/>
      <c r="AD817" s="230"/>
      <c r="AE817" s="230"/>
      <c r="AF817" s="230"/>
      <c r="AG817" s="227"/>
    </row>
    <row r="818" spans="1:33" x14ac:dyDescent="0.25">
      <c r="A818" s="32"/>
      <c r="B818" s="306"/>
      <c r="C818" s="307"/>
      <c r="D818" s="312"/>
      <c r="E818" s="301"/>
      <c r="F818" s="232"/>
      <c r="J818" s="306"/>
      <c r="K818" s="306"/>
      <c r="L818" s="313"/>
      <c r="M818" s="219"/>
      <c r="N818" s="218"/>
      <c r="S818" s="224"/>
      <c r="T818" s="228"/>
      <c r="U818" s="226"/>
      <c r="V818" s="226"/>
      <c r="W818" s="303"/>
      <c r="X818" s="220"/>
      <c r="Z818" s="227"/>
      <c r="AA818" s="220"/>
      <c r="AB818" s="221"/>
      <c r="AC818" s="229"/>
      <c r="AD818" s="230"/>
      <c r="AE818" s="230"/>
      <c r="AF818" s="230"/>
      <c r="AG818" s="227"/>
    </row>
    <row r="819" spans="1:33" x14ac:dyDescent="0.25">
      <c r="A819" s="32"/>
      <c r="B819" s="306"/>
      <c r="C819" s="307"/>
      <c r="D819" s="312"/>
      <c r="E819" s="301"/>
      <c r="F819" s="232"/>
      <c r="J819" s="306"/>
      <c r="K819" s="306"/>
      <c r="L819" s="313"/>
      <c r="M819" s="219"/>
      <c r="N819" s="218"/>
      <c r="S819" s="224"/>
      <c r="T819" s="228"/>
      <c r="U819" s="226"/>
      <c r="V819" s="226"/>
      <c r="W819" s="303"/>
      <c r="X819" s="220"/>
      <c r="Z819" s="227"/>
      <c r="AA819" s="220"/>
      <c r="AB819" s="221"/>
      <c r="AC819" s="229"/>
      <c r="AD819" s="230"/>
      <c r="AE819" s="230"/>
      <c r="AF819" s="230"/>
      <c r="AG819" s="227"/>
    </row>
    <row r="820" spans="1:33" x14ac:dyDescent="0.25">
      <c r="A820" s="32"/>
      <c r="B820" s="306"/>
      <c r="C820" s="307"/>
      <c r="D820" s="312"/>
      <c r="E820" s="301"/>
      <c r="F820" s="232"/>
      <c r="J820" s="306"/>
      <c r="K820" s="306"/>
      <c r="L820" s="313"/>
      <c r="M820" s="219"/>
      <c r="N820" s="218"/>
      <c r="S820" s="224"/>
      <c r="T820" s="228"/>
      <c r="U820" s="226"/>
      <c r="V820" s="226"/>
      <c r="W820" s="303"/>
      <c r="X820" s="220"/>
      <c r="Z820" s="227"/>
      <c r="AA820" s="220"/>
      <c r="AB820" s="221"/>
      <c r="AC820" s="229"/>
      <c r="AD820" s="230"/>
      <c r="AE820" s="230"/>
      <c r="AF820" s="230"/>
      <c r="AG820" s="227"/>
    </row>
    <row r="821" spans="1:33" x14ac:dyDescent="0.25">
      <c r="A821" s="32"/>
      <c r="B821" s="306"/>
      <c r="C821" s="307"/>
      <c r="D821" s="312"/>
      <c r="E821" s="301"/>
      <c r="F821" s="232"/>
      <c r="J821" s="306"/>
      <c r="K821" s="306"/>
      <c r="L821" s="313"/>
      <c r="M821" s="219"/>
      <c r="N821" s="218"/>
      <c r="S821" s="224"/>
      <c r="T821" s="228"/>
      <c r="U821" s="226"/>
      <c r="V821" s="226"/>
      <c r="W821" s="303"/>
      <c r="X821" s="220"/>
      <c r="Z821" s="227"/>
      <c r="AA821" s="220"/>
      <c r="AB821" s="221"/>
      <c r="AC821" s="229"/>
      <c r="AD821" s="230"/>
      <c r="AE821" s="230"/>
      <c r="AF821" s="230"/>
      <c r="AG821" s="227"/>
    </row>
    <row r="822" spans="1:33" x14ac:dyDescent="0.25">
      <c r="A822" s="32"/>
      <c r="B822" s="306"/>
      <c r="C822" s="307"/>
      <c r="D822" s="312"/>
      <c r="E822" s="301"/>
      <c r="F822" s="232"/>
      <c r="J822" s="306"/>
      <c r="K822" s="306"/>
      <c r="L822" s="313"/>
      <c r="M822" s="219"/>
      <c r="N822" s="218"/>
      <c r="S822" s="224"/>
      <c r="T822" s="228"/>
      <c r="U822" s="226"/>
      <c r="V822" s="226"/>
      <c r="W822" s="303"/>
      <c r="X822" s="220"/>
      <c r="Z822" s="227"/>
      <c r="AA822" s="220"/>
      <c r="AB822" s="221"/>
      <c r="AC822" s="229"/>
      <c r="AD822" s="230"/>
      <c r="AE822" s="230"/>
      <c r="AF822" s="230"/>
      <c r="AG822" s="227"/>
    </row>
    <row r="823" spans="1:33" x14ac:dyDescent="0.25">
      <c r="A823" s="32"/>
      <c r="B823" s="306"/>
      <c r="C823" s="307"/>
      <c r="D823" s="312"/>
      <c r="E823" s="301"/>
      <c r="F823" s="232"/>
      <c r="J823" s="306"/>
      <c r="K823" s="306"/>
      <c r="L823" s="313"/>
      <c r="M823" s="219"/>
      <c r="N823" s="218"/>
      <c r="S823" s="224"/>
      <c r="T823" s="228"/>
      <c r="U823" s="226"/>
      <c r="V823" s="226"/>
      <c r="W823" s="303"/>
      <c r="X823" s="220"/>
      <c r="Z823" s="227"/>
      <c r="AA823" s="220"/>
      <c r="AB823" s="221"/>
      <c r="AC823" s="229"/>
      <c r="AD823" s="230"/>
      <c r="AE823" s="230"/>
      <c r="AF823" s="230"/>
      <c r="AG823" s="227"/>
    </row>
    <row r="824" spans="1:33" x14ac:dyDescent="0.25">
      <c r="A824" s="32"/>
      <c r="B824" s="306"/>
      <c r="C824" s="307"/>
      <c r="D824" s="312"/>
      <c r="E824" s="301"/>
      <c r="F824" s="232"/>
      <c r="J824" s="306"/>
      <c r="K824" s="306"/>
      <c r="L824" s="313"/>
      <c r="M824" s="219"/>
      <c r="N824" s="218"/>
      <c r="S824" s="224"/>
      <c r="T824" s="228"/>
      <c r="U824" s="226"/>
      <c r="V824" s="226"/>
      <c r="W824" s="303"/>
      <c r="X824" s="220"/>
      <c r="Z824" s="227"/>
      <c r="AA824" s="220"/>
      <c r="AB824" s="221"/>
      <c r="AC824" s="229"/>
      <c r="AD824" s="230"/>
      <c r="AE824" s="230"/>
      <c r="AF824" s="230"/>
      <c r="AG824" s="227"/>
    </row>
    <row r="825" spans="1:33" x14ac:dyDescent="0.25">
      <c r="A825" s="32"/>
      <c r="B825" s="306"/>
      <c r="C825" s="307"/>
      <c r="D825" s="312"/>
      <c r="E825" s="301"/>
      <c r="F825" s="232"/>
      <c r="J825" s="306"/>
      <c r="K825" s="306"/>
      <c r="L825" s="313"/>
      <c r="M825" s="219"/>
      <c r="N825" s="218"/>
      <c r="S825" s="224"/>
      <c r="T825" s="228"/>
      <c r="U825" s="226"/>
      <c r="V825" s="226"/>
      <c r="W825" s="303"/>
      <c r="X825" s="220"/>
      <c r="Z825" s="227"/>
      <c r="AA825" s="220"/>
      <c r="AB825" s="221"/>
      <c r="AC825" s="229"/>
      <c r="AD825" s="230"/>
      <c r="AE825" s="230"/>
      <c r="AF825" s="230"/>
      <c r="AG825" s="227"/>
    </row>
    <row r="826" spans="1:33" x14ac:dyDescent="0.25">
      <c r="A826" s="32"/>
      <c r="B826" s="306"/>
      <c r="C826" s="307"/>
      <c r="D826" s="312"/>
      <c r="E826" s="301"/>
      <c r="F826" s="232"/>
      <c r="J826" s="306"/>
      <c r="K826" s="306"/>
      <c r="L826" s="313"/>
      <c r="M826" s="219"/>
      <c r="N826" s="218"/>
      <c r="S826" s="224"/>
      <c r="T826" s="228"/>
      <c r="U826" s="226"/>
      <c r="V826" s="226"/>
      <c r="W826" s="303"/>
      <c r="X826" s="220"/>
      <c r="Z826" s="227"/>
      <c r="AA826" s="220"/>
      <c r="AB826" s="221"/>
      <c r="AC826" s="229"/>
      <c r="AD826" s="230"/>
      <c r="AE826" s="230"/>
      <c r="AF826" s="230"/>
      <c r="AG826" s="227"/>
    </row>
    <row r="827" spans="1:33" x14ac:dyDescent="0.25">
      <c r="A827" s="32"/>
      <c r="B827" s="306"/>
      <c r="C827" s="307"/>
      <c r="D827" s="312"/>
      <c r="E827" s="301"/>
      <c r="F827" s="232"/>
      <c r="J827" s="306"/>
      <c r="K827" s="306"/>
      <c r="L827" s="313"/>
      <c r="M827" s="219"/>
      <c r="N827" s="218"/>
      <c r="S827" s="224"/>
      <c r="T827" s="228"/>
      <c r="U827" s="226"/>
      <c r="V827" s="226"/>
      <c r="W827" s="303"/>
      <c r="X827" s="220"/>
      <c r="Z827" s="227"/>
      <c r="AA827" s="220"/>
      <c r="AB827" s="221"/>
      <c r="AC827" s="229"/>
      <c r="AD827" s="230"/>
      <c r="AE827" s="230"/>
      <c r="AF827" s="230"/>
      <c r="AG827" s="227"/>
    </row>
    <row r="828" spans="1:33" x14ac:dyDescent="0.25">
      <c r="A828" s="32"/>
      <c r="B828" s="306"/>
      <c r="C828" s="307"/>
      <c r="D828" s="312"/>
      <c r="E828" s="301"/>
      <c r="F828" s="232"/>
      <c r="J828" s="306"/>
      <c r="K828" s="306"/>
      <c r="L828" s="313"/>
      <c r="M828" s="219"/>
      <c r="N828" s="218"/>
      <c r="S828" s="224"/>
      <c r="T828" s="228"/>
      <c r="U828" s="226"/>
      <c r="V828" s="226"/>
      <c r="W828" s="303"/>
      <c r="X828" s="220"/>
      <c r="Z828" s="227"/>
      <c r="AA828" s="220"/>
      <c r="AB828" s="221"/>
      <c r="AC828" s="229"/>
      <c r="AD828" s="230"/>
      <c r="AE828" s="230"/>
      <c r="AF828" s="230"/>
      <c r="AG828" s="227"/>
    </row>
    <row r="829" spans="1:33" x14ac:dyDescent="0.25">
      <c r="A829" s="32"/>
      <c r="B829" s="306"/>
      <c r="C829" s="307"/>
      <c r="D829" s="312"/>
      <c r="E829" s="301"/>
      <c r="F829" s="232"/>
      <c r="J829" s="306"/>
      <c r="K829" s="306"/>
      <c r="L829" s="313"/>
      <c r="M829" s="219"/>
      <c r="N829" s="218"/>
      <c r="S829" s="224"/>
      <c r="T829" s="228"/>
      <c r="U829" s="226"/>
      <c r="V829" s="226"/>
      <c r="W829" s="303"/>
      <c r="X829" s="220"/>
      <c r="Z829" s="227"/>
      <c r="AA829" s="220"/>
      <c r="AB829" s="221"/>
      <c r="AC829" s="229"/>
      <c r="AD829" s="230"/>
      <c r="AE829" s="230"/>
      <c r="AF829" s="230"/>
      <c r="AG829" s="227"/>
    </row>
    <row r="830" spans="1:33" x14ac:dyDescent="0.25">
      <c r="A830" s="32"/>
      <c r="B830" s="306"/>
      <c r="C830" s="307"/>
      <c r="D830" s="312"/>
      <c r="E830" s="301"/>
      <c r="F830" s="232"/>
      <c r="J830" s="306"/>
      <c r="K830" s="306"/>
      <c r="L830" s="313"/>
      <c r="M830" s="219"/>
      <c r="N830" s="218"/>
      <c r="S830" s="224"/>
      <c r="T830" s="228"/>
      <c r="U830" s="226"/>
      <c r="V830" s="226"/>
      <c r="W830" s="303"/>
      <c r="X830" s="220"/>
      <c r="Z830" s="227"/>
      <c r="AA830" s="220"/>
      <c r="AB830" s="221"/>
      <c r="AC830" s="229"/>
      <c r="AD830" s="230"/>
      <c r="AE830" s="230"/>
      <c r="AF830" s="230"/>
      <c r="AG830" s="227"/>
    </row>
    <row r="831" spans="1:33" x14ac:dyDescent="0.25">
      <c r="A831" s="32"/>
      <c r="B831" s="306"/>
      <c r="C831" s="307"/>
      <c r="D831" s="312"/>
      <c r="E831" s="301"/>
      <c r="F831" s="232"/>
      <c r="J831" s="306"/>
      <c r="K831" s="306"/>
      <c r="L831" s="313"/>
      <c r="M831" s="219"/>
      <c r="N831" s="218"/>
      <c r="S831" s="224"/>
      <c r="T831" s="228"/>
      <c r="U831" s="226"/>
      <c r="V831" s="226"/>
      <c r="W831" s="303"/>
      <c r="X831" s="220"/>
      <c r="Z831" s="227"/>
      <c r="AA831" s="220"/>
      <c r="AB831" s="221"/>
      <c r="AC831" s="229"/>
      <c r="AD831" s="230"/>
      <c r="AE831" s="230"/>
      <c r="AF831" s="230"/>
      <c r="AG831" s="227"/>
    </row>
    <row r="832" spans="1:33" x14ac:dyDescent="0.25">
      <c r="A832" s="32"/>
      <c r="B832" s="306"/>
      <c r="C832" s="307"/>
      <c r="D832" s="312"/>
      <c r="E832" s="301"/>
      <c r="F832" s="232"/>
      <c r="J832" s="306"/>
      <c r="K832" s="306"/>
      <c r="L832" s="313"/>
      <c r="M832" s="219"/>
      <c r="N832" s="218"/>
      <c r="S832" s="224"/>
      <c r="T832" s="228"/>
      <c r="U832" s="226"/>
      <c r="V832" s="226"/>
      <c r="W832" s="303"/>
      <c r="X832" s="220"/>
      <c r="Z832" s="227"/>
      <c r="AA832" s="220"/>
      <c r="AB832" s="221"/>
      <c r="AC832" s="229"/>
      <c r="AD832" s="230"/>
      <c r="AE832" s="230"/>
      <c r="AF832" s="230"/>
      <c r="AG832" s="227"/>
    </row>
    <row r="833" spans="1:33" x14ac:dyDescent="0.25">
      <c r="A833" s="32"/>
      <c r="B833" s="306"/>
      <c r="C833" s="307"/>
      <c r="D833" s="312"/>
      <c r="E833" s="301"/>
      <c r="F833" s="232"/>
      <c r="J833" s="306"/>
      <c r="K833" s="306"/>
      <c r="L833" s="313"/>
      <c r="M833" s="219"/>
      <c r="N833" s="218"/>
      <c r="S833" s="224"/>
      <c r="T833" s="228"/>
      <c r="U833" s="226"/>
      <c r="V833" s="226"/>
      <c r="W833" s="303"/>
      <c r="X833" s="220"/>
      <c r="Z833" s="227"/>
      <c r="AA833" s="220"/>
      <c r="AB833" s="221"/>
      <c r="AC833" s="229"/>
      <c r="AD833" s="230"/>
      <c r="AE833" s="230"/>
      <c r="AF833" s="230"/>
      <c r="AG833" s="227"/>
    </row>
    <row r="834" spans="1:33" x14ac:dyDescent="0.25">
      <c r="A834" s="32"/>
      <c r="B834" s="306"/>
      <c r="C834" s="307"/>
      <c r="D834" s="312"/>
      <c r="E834" s="301"/>
      <c r="F834" s="232"/>
      <c r="J834" s="306"/>
      <c r="K834" s="306"/>
      <c r="L834" s="313"/>
      <c r="M834" s="219"/>
      <c r="N834" s="218"/>
      <c r="S834" s="224"/>
      <c r="T834" s="228"/>
      <c r="U834" s="226"/>
      <c r="V834" s="226"/>
      <c r="W834" s="303"/>
      <c r="X834" s="220"/>
      <c r="Z834" s="227"/>
      <c r="AA834" s="220"/>
      <c r="AB834" s="221"/>
      <c r="AC834" s="229"/>
      <c r="AD834" s="230"/>
      <c r="AE834" s="230"/>
      <c r="AF834" s="230"/>
      <c r="AG834" s="227"/>
    </row>
    <row r="835" spans="1:33" x14ac:dyDescent="0.25">
      <c r="A835" s="32"/>
      <c r="B835" s="306"/>
      <c r="C835" s="307"/>
      <c r="D835" s="312"/>
      <c r="E835" s="301"/>
      <c r="F835" s="232"/>
      <c r="J835" s="306"/>
      <c r="K835" s="306"/>
      <c r="L835" s="313"/>
      <c r="M835" s="219"/>
      <c r="N835" s="218"/>
      <c r="S835" s="224"/>
      <c r="T835" s="228"/>
      <c r="U835" s="226"/>
      <c r="V835" s="226"/>
      <c r="W835" s="303"/>
      <c r="X835" s="220"/>
      <c r="Z835" s="227"/>
      <c r="AA835" s="220"/>
      <c r="AB835" s="221"/>
      <c r="AC835" s="229"/>
      <c r="AD835" s="230"/>
      <c r="AE835" s="230"/>
      <c r="AF835" s="230"/>
      <c r="AG835" s="227"/>
    </row>
    <row r="836" spans="1:33" x14ac:dyDescent="0.25">
      <c r="A836" s="32"/>
      <c r="B836" s="306"/>
      <c r="C836" s="307"/>
      <c r="D836" s="312"/>
      <c r="E836" s="301"/>
      <c r="F836" s="232"/>
      <c r="J836" s="306"/>
      <c r="K836" s="306"/>
      <c r="L836" s="313"/>
      <c r="M836" s="219"/>
      <c r="N836" s="218"/>
      <c r="S836" s="224"/>
      <c r="T836" s="228"/>
      <c r="U836" s="226"/>
      <c r="V836" s="226"/>
      <c r="W836" s="303"/>
      <c r="X836" s="220"/>
      <c r="Z836" s="227"/>
      <c r="AA836" s="220"/>
      <c r="AB836" s="221"/>
      <c r="AC836" s="229"/>
      <c r="AD836" s="230"/>
      <c r="AE836" s="230"/>
      <c r="AF836" s="230"/>
      <c r="AG836" s="227"/>
    </row>
    <row r="837" spans="1:33" x14ac:dyDescent="0.25">
      <c r="A837" s="32"/>
      <c r="B837" s="306"/>
      <c r="C837" s="307"/>
      <c r="D837" s="312"/>
      <c r="E837" s="301"/>
      <c r="F837" s="232"/>
      <c r="J837" s="306"/>
      <c r="K837" s="306"/>
      <c r="L837" s="313"/>
      <c r="M837" s="219"/>
      <c r="N837" s="218"/>
      <c r="S837" s="224"/>
      <c r="T837" s="228"/>
      <c r="U837" s="226"/>
      <c r="V837" s="226"/>
      <c r="W837" s="303"/>
      <c r="X837" s="220"/>
      <c r="Z837" s="227"/>
      <c r="AA837" s="220"/>
      <c r="AB837" s="221"/>
      <c r="AC837" s="229"/>
      <c r="AD837" s="230"/>
      <c r="AE837" s="230"/>
      <c r="AF837" s="230"/>
      <c r="AG837" s="227"/>
    </row>
    <row r="838" spans="1:33" x14ac:dyDescent="0.25">
      <c r="A838" s="32"/>
      <c r="B838" s="306"/>
      <c r="C838" s="307"/>
      <c r="D838" s="312"/>
      <c r="E838" s="301"/>
      <c r="F838" s="232"/>
      <c r="J838" s="306"/>
      <c r="K838" s="306"/>
      <c r="L838" s="313"/>
      <c r="M838" s="219"/>
      <c r="N838" s="218"/>
      <c r="S838" s="224"/>
      <c r="T838" s="228"/>
      <c r="U838" s="226"/>
      <c r="V838" s="226"/>
      <c r="W838" s="303"/>
      <c r="X838" s="220"/>
      <c r="Z838" s="227"/>
      <c r="AA838" s="220"/>
      <c r="AB838" s="221"/>
      <c r="AC838" s="229"/>
      <c r="AD838" s="230"/>
      <c r="AE838" s="230"/>
      <c r="AF838" s="230"/>
      <c r="AG838" s="227"/>
    </row>
    <row r="839" spans="1:33" x14ac:dyDescent="0.25">
      <c r="A839" s="32"/>
      <c r="B839" s="306"/>
      <c r="C839" s="307"/>
      <c r="D839" s="312"/>
      <c r="E839" s="301"/>
      <c r="F839" s="232"/>
      <c r="J839" s="306"/>
      <c r="K839" s="306"/>
      <c r="L839" s="313"/>
      <c r="M839" s="219"/>
      <c r="N839" s="218"/>
      <c r="S839" s="224"/>
      <c r="T839" s="228"/>
      <c r="U839" s="226"/>
      <c r="V839" s="226"/>
      <c r="W839" s="303"/>
      <c r="X839" s="220"/>
      <c r="Z839" s="227"/>
      <c r="AA839" s="220"/>
      <c r="AB839" s="221"/>
      <c r="AC839" s="229"/>
      <c r="AD839" s="230"/>
      <c r="AE839" s="230"/>
      <c r="AF839" s="230"/>
      <c r="AG839" s="227"/>
    </row>
    <row r="840" spans="1:33" x14ac:dyDescent="0.25">
      <c r="A840" s="32"/>
      <c r="B840" s="306"/>
      <c r="C840" s="307"/>
      <c r="D840" s="312"/>
      <c r="E840" s="301"/>
      <c r="F840" s="232"/>
      <c r="J840" s="306"/>
      <c r="K840" s="306"/>
      <c r="L840" s="313"/>
      <c r="M840" s="219"/>
      <c r="N840" s="218"/>
      <c r="S840" s="224"/>
      <c r="T840" s="228"/>
      <c r="U840" s="226"/>
      <c r="V840" s="226"/>
      <c r="W840" s="303"/>
      <c r="X840" s="220"/>
      <c r="Z840" s="227"/>
      <c r="AA840" s="220"/>
      <c r="AB840" s="221"/>
      <c r="AC840" s="229"/>
      <c r="AD840" s="230"/>
      <c r="AE840" s="230"/>
      <c r="AF840" s="230"/>
      <c r="AG840" s="227"/>
    </row>
    <row r="841" spans="1:33" x14ac:dyDescent="0.25">
      <c r="A841" s="32"/>
      <c r="B841" s="306"/>
      <c r="C841" s="307"/>
      <c r="D841" s="312"/>
      <c r="E841" s="301"/>
      <c r="F841" s="232"/>
      <c r="J841" s="306"/>
      <c r="K841" s="306"/>
      <c r="L841" s="313"/>
      <c r="M841" s="219"/>
      <c r="N841" s="218"/>
      <c r="S841" s="224"/>
      <c r="T841" s="228"/>
      <c r="U841" s="226"/>
      <c r="V841" s="226"/>
      <c r="W841" s="303"/>
      <c r="X841" s="220"/>
      <c r="Z841" s="227"/>
      <c r="AA841" s="220"/>
      <c r="AB841" s="221"/>
      <c r="AC841" s="229"/>
      <c r="AD841" s="230"/>
      <c r="AE841" s="230"/>
      <c r="AF841" s="230"/>
      <c r="AG841" s="227"/>
    </row>
    <row r="842" spans="1:33" x14ac:dyDescent="0.25">
      <c r="A842" s="32"/>
      <c r="B842" s="306"/>
      <c r="C842" s="307"/>
      <c r="D842" s="312"/>
      <c r="E842" s="301"/>
      <c r="F842" s="232"/>
      <c r="J842" s="306"/>
      <c r="K842" s="306"/>
      <c r="L842" s="313"/>
      <c r="M842" s="219"/>
      <c r="N842" s="218"/>
      <c r="S842" s="224"/>
      <c r="T842" s="228"/>
      <c r="U842" s="226"/>
      <c r="V842" s="226"/>
      <c r="W842" s="303"/>
      <c r="X842" s="220"/>
      <c r="Z842" s="227"/>
      <c r="AA842" s="220"/>
      <c r="AB842" s="221"/>
      <c r="AC842" s="229"/>
      <c r="AD842" s="230"/>
      <c r="AE842" s="230"/>
      <c r="AF842" s="230"/>
      <c r="AG842" s="227"/>
    </row>
    <row r="843" spans="1:33" x14ac:dyDescent="0.25">
      <c r="A843" s="32"/>
      <c r="B843" s="306"/>
      <c r="C843" s="307"/>
      <c r="D843" s="312"/>
      <c r="E843" s="301"/>
      <c r="F843" s="232"/>
      <c r="J843" s="306"/>
      <c r="K843" s="306"/>
      <c r="L843" s="313"/>
      <c r="M843" s="219"/>
      <c r="N843" s="218"/>
      <c r="S843" s="224"/>
      <c r="T843" s="228"/>
      <c r="U843" s="226"/>
      <c r="V843" s="226"/>
      <c r="W843" s="303"/>
      <c r="X843" s="220"/>
      <c r="Z843" s="227"/>
      <c r="AA843" s="220"/>
      <c r="AB843" s="221"/>
      <c r="AC843" s="229"/>
      <c r="AD843" s="230"/>
      <c r="AE843" s="230"/>
      <c r="AF843" s="230"/>
      <c r="AG843" s="227"/>
    </row>
    <row r="844" spans="1:33" x14ac:dyDescent="0.25">
      <c r="A844" s="32"/>
      <c r="B844" s="306"/>
      <c r="C844" s="307"/>
      <c r="D844" s="312"/>
      <c r="E844" s="301"/>
      <c r="F844" s="232"/>
      <c r="J844" s="306"/>
      <c r="K844" s="306"/>
      <c r="L844" s="313"/>
      <c r="M844" s="219"/>
      <c r="N844" s="218"/>
      <c r="S844" s="224"/>
      <c r="T844" s="228"/>
      <c r="U844" s="226"/>
      <c r="V844" s="226"/>
      <c r="W844" s="303"/>
      <c r="X844" s="220"/>
      <c r="Z844" s="227"/>
      <c r="AA844" s="220"/>
      <c r="AB844" s="221"/>
      <c r="AC844" s="229"/>
      <c r="AD844" s="230"/>
      <c r="AE844" s="230"/>
      <c r="AF844" s="230"/>
      <c r="AG844" s="227"/>
    </row>
    <row r="845" spans="1:33" x14ac:dyDescent="0.25">
      <c r="A845" s="32"/>
      <c r="B845" s="306"/>
      <c r="C845" s="307"/>
      <c r="D845" s="312"/>
      <c r="E845" s="301"/>
      <c r="F845" s="232"/>
      <c r="J845" s="306"/>
      <c r="K845" s="306"/>
      <c r="L845" s="313"/>
      <c r="M845" s="219"/>
      <c r="N845" s="218"/>
      <c r="S845" s="224"/>
      <c r="T845" s="228"/>
      <c r="U845" s="226"/>
      <c r="V845" s="226"/>
      <c r="W845" s="303"/>
      <c r="X845" s="220"/>
      <c r="Z845" s="227"/>
      <c r="AA845" s="220"/>
      <c r="AB845" s="221"/>
      <c r="AC845" s="229"/>
      <c r="AD845" s="230"/>
      <c r="AE845" s="230"/>
      <c r="AF845" s="230"/>
      <c r="AG845" s="227"/>
    </row>
    <row r="846" spans="1:33" x14ac:dyDescent="0.25">
      <c r="A846" s="32"/>
      <c r="B846" s="306"/>
      <c r="C846" s="307"/>
      <c r="D846" s="312"/>
      <c r="E846" s="301"/>
      <c r="F846" s="232"/>
      <c r="J846" s="306"/>
      <c r="K846" s="306"/>
      <c r="L846" s="313"/>
      <c r="M846" s="219"/>
      <c r="N846" s="218"/>
      <c r="S846" s="224"/>
      <c r="T846" s="228"/>
      <c r="U846" s="226"/>
      <c r="V846" s="226"/>
      <c r="W846" s="303"/>
      <c r="X846" s="220"/>
      <c r="Z846" s="227"/>
      <c r="AA846" s="220"/>
      <c r="AB846" s="221"/>
      <c r="AC846" s="229"/>
      <c r="AD846" s="230"/>
      <c r="AE846" s="230"/>
      <c r="AF846" s="230"/>
      <c r="AG846" s="227"/>
    </row>
    <row r="847" spans="1:33" x14ac:dyDescent="0.25">
      <c r="A847" s="32"/>
      <c r="B847" s="306"/>
      <c r="C847" s="307"/>
      <c r="D847" s="312"/>
      <c r="E847" s="301"/>
      <c r="F847" s="232"/>
      <c r="J847" s="306"/>
      <c r="K847" s="306"/>
      <c r="L847" s="313"/>
      <c r="M847" s="219"/>
      <c r="N847" s="218"/>
      <c r="S847" s="224"/>
      <c r="T847" s="228"/>
      <c r="U847" s="226"/>
      <c r="V847" s="226"/>
      <c r="W847" s="303"/>
      <c r="X847" s="220"/>
      <c r="Z847" s="227"/>
      <c r="AA847" s="220"/>
      <c r="AB847" s="221"/>
      <c r="AC847" s="229"/>
      <c r="AD847" s="230"/>
      <c r="AE847" s="230"/>
      <c r="AF847" s="230"/>
      <c r="AG847" s="227"/>
    </row>
    <row r="848" spans="1:33" x14ac:dyDescent="0.25">
      <c r="A848" s="32"/>
      <c r="B848" s="306"/>
      <c r="C848" s="307"/>
      <c r="D848" s="312"/>
      <c r="E848" s="301"/>
      <c r="F848" s="232"/>
      <c r="J848" s="306"/>
      <c r="K848" s="306"/>
      <c r="L848" s="313"/>
      <c r="M848" s="219"/>
      <c r="N848" s="218"/>
      <c r="S848" s="224"/>
      <c r="T848" s="228"/>
      <c r="U848" s="226"/>
      <c r="V848" s="226"/>
      <c r="W848" s="303"/>
      <c r="X848" s="220"/>
      <c r="Z848" s="227"/>
      <c r="AA848" s="220"/>
      <c r="AB848" s="221"/>
      <c r="AC848" s="229"/>
      <c r="AD848" s="230"/>
      <c r="AE848" s="230"/>
      <c r="AF848" s="230"/>
      <c r="AG848" s="227"/>
    </row>
    <row r="849" spans="1:33" x14ac:dyDescent="0.25">
      <c r="A849" s="32"/>
      <c r="B849" s="306"/>
      <c r="C849" s="307"/>
      <c r="D849" s="312"/>
      <c r="E849" s="301"/>
      <c r="F849" s="232"/>
      <c r="J849" s="306"/>
      <c r="K849" s="306"/>
      <c r="L849" s="313"/>
      <c r="M849" s="219"/>
      <c r="N849" s="218"/>
      <c r="S849" s="224"/>
      <c r="T849" s="228"/>
      <c r="U849" s="226"/>
      <c r="V849" s="226"/>
      <c r="W849" s="303"/>
      <c r="X849" s="220"/>
      <c r="Z849" s="227"/>
      <c r="AA849" s="220"/>
      <c r="AB849" s="221"/>
      <c r="AC849" s="229"/>
      <c r="AD849" s="230"/>
      <c r="AE849" s="230"/>
      <c r="AF849" s="230"/>
      <c r="AG849" s="227"/>
    </row>
    <row r="850" spans="1:33" x14ac:dyDescent="0.25">
      <c r="A850" s="32"/>
      <c r="B850" s="306"/>
      <c r="C850" s="307"/>
      <c r="D850" s="312"/>
      <c r="E850" s="301"/>
      <c r="F850" s="232"/>
      <c r="J850" s="306"/>
      <c r="K850" s="306"/>
      <c r="L850" s="313"/>
      <c r="M850" s="219"/>
      <c r="N850" s="218"/>
      <c r="S850" s="224"/>
      <c r="T850" s="228"/>
      <c r="U850" s="226"/>
      <c r="V850" s="226"/>
      <c r="W850" s="303"/>
      <c r="X850" s="220"/>
      <c r="Z850" s="227"/>
      <c r="AA850" s="220"/>
      <c r="AB850" s="221"/>
      <c r="AC850" s="229"/>
      <c r="AD850" s="230"/>
      <c r="AE850" s="230"/>
      <c r="AF850" s="230"/>
      <c r="AG850" s="227"/>
    </row>
    <row r="851" spans="1:33" x14ac:dyDescent="0.25">
      <c r="A851" s="32"/>
      <c r="B851" s="306"/>
      <c r="C851" s="307"/>
      <c r="D851" s="312"/>
      <c r="E851" s="301"/>
      <c r="F851" s="232"/>
      <c r="J851" s="306"/>
      <c r="K851" s="306"/>
      <c r="L851" s="313"/>
      <c r="M851" s="219"/>
      <c r="N851" s="218"/>
      <c r="S851" s="224"/>
      <c r="T851" s="228"/>
      <c r="U851" s="226"/>
      <c r="V851" s="226"/>
      <c r="W851" s="303"/>
      <c r="X851" s="220"/>
      <c r="Z851" s="227"/>
      <c r="AA851" s="220"/>
      <c r="AB851" s="221"/>
      <c r="AC851" s="229"/>
      <c r="AD851" s="230"/>
      <c r="AE851" s="230"/>
      <c r="AF851" s="230"/>
      <c r="AG851" s="227"/>
    </row>
    <row r="852" spans="1:33" x14ac:dyDescent="0.25">
      <c r="A852" s="32"/>
      <c r="B852" s="306"/>
      <c r="C852" s="307"/>
      <c r="D852" s="312"/>
      <c r="E852" s="301"/>
      <c r="F852" s="232"/>
      <c r="J852" s="306"/>
      <c r="K852" s="306"/>
      <c r="L852" s="313"/>
      <c r="M852" s="219"/>
      <c r="N852" s="218"/>
      <c r="S852" s="224"/>
      <c r="T852" s="228"/>
      <c r="U852" s="226"/>
      <c r="V852" s="226"/>
      <c r="W852" s="303"/>
      <c r="X852" s="220"/>
      <c r="Z852" s="227"/>
      <c r="AA852" s="220"/>
      <c r="AB852" s="221"/>
      <c r="AC852" s="229"/>
      <c r="AD852" s="230"/>
      <c r="AE852" s="230"/>
      <c r="AF852" s="230"/>
      <c r="AG852" s="227"/>
    </row>
    <row r="853" spans="1:33" x14ac:dyDescent="0.25">
      <c r="A853" s="32"/>
      <c r="B853" s="306"/>
      <c r="C853" s="307"/>
      <c r="D853" s="312"/>
      <c r="E853" s="301"/>
      <c r="F853" s="232"/>
      <c r="J853" s="306"/>
      <c r="K853" s="306"/>
      <c r="L853" s="313"/>
      <c r="M853" s="219"/>
      <c r="N853" s="218"/>
      <c r="S853" s="224"/>
      <c r="T853" s="228"/>
      <c r="U853" s="226"/>
      <c r="V853" s="226"/>
      <c r="W853" s="303"/>
      <c r="X853" s="220"/>
      <c r="Z853" s="227"/>
      <c r="AA853" s="220"/>
      <c r="AB853" s="221"/>
      <c r="AC853" s="229"/>
      <c r="AD853" s="230"/>
      <c r="AE853" s="230"/>
      <c r="AF853" s="230"/>
      <c r="AG853" s="227"/>
    </row>
    <row r="854" spans="1:33" x14ac:dyDescent="0.25">
      <c r="A854" s="32"/>
      <c r="B854" s="306"/>
      <c r="C854" s="307"/>
      <c r="D854" s="312"/>
      <c r="E854" s="301"/>
      <c r="F854" s="232"/>
      <c r="J854" s="306"/>
      <c r="K854" s="306"/>
      <c r="L854" s="313"/>
      <c r="M854" s="219"/>
      <c r="N854" s="218"/>
      <c r="S854" s="224"/>
      <c r="T854" s="228"/>
      <c r="U854" s="226"/>
      <c r="V854" s="226"/>
      <c r="W854" s="303"/>
      <c r="X854" s="220"/>
      <c r="Z854" s="227"/>
      <c r="AA854" s="220"/>
      <c r="AB854" s="221"/>
      <c r="AC854" s="229"/>
      <c r="AD854" s="230"/>
      <c r="AE854" s="230"/>
      <c r="AF854" s="230"/>
      <c r="AG854" s="227"/>
    </row>
    <row r="855" spans="1:33" x14ac:dyDescent="0.25">
      <c r="A855" s="32"/>
      <c r="B855" s="306"/>
      <c r="C855" s="307"/>
      <c r="D855" s="312"/>
      <c r="E855" s="301"/>
      <c r="F855" s="232"/>
      <c r="J855" s="306"/>
      <c r="K855" s="306"/>
      <c r="L855" s="313"/>
      <c r="M855" s="219"/>
      <c r="N855" s="218"/>
      <c r="S855" s="224"/>
      <c r="T855" s="228"/>
      <c r="U855" s="226"/>
      <c r="V855" s="226"/>
      <c r="W855" s="303"/>
      <c r="X855" s="220"/>
      <c r="Z855" s="227"/>
      <c r="AA855" s="220"/>
      <c r="AB855" s="221"/>
      <c r="AC855" s="229"/>
      <c r="AD855" s="230"/>
      <c r="AE855" s="230"/>
      <c r="AF855" s="230"/>
      <c r="AG855" s="227"/>
    </row>
    <row r="856" spans="1:33" x14ac:dyDescent="0.25">
      <c r="A856" s="32"/>
      <c r="B856" s="306"/>
      <c r="C856" s="307"/>
      <c r="D856" s="312"/>
      <c r="E856" s="301"/>
      <c r="F856" s="232"/>
      <c r="J856" s="306"/>
      <c r="K856" s="306"/>
      <c r="L856" s="313"/>
      <c r="M856" s="219"/>
      <c r="N856" s="218"/>
      <c r="S856" s="224"/>
      <c r="T856" s="228"/>
      <c r="U856" s="226"/>
      <c r="V856" s="226"/>
      <c r="W856" s="303"/>
      <c r="X856" s="220"/>
      <c r="Z856" s="227"/>
      <c r="AA856" s="220"/>
      <c r="AB856" s="221"/>
      <c r="AC856" s="229"/>
      <c r="AD856" s="230"/>
      <c r="AE856" s="230"/>
      <c r="AF856" s="230"/>
      <c r="AG856" s="227"/>
    </row>
    <row r="857" spans="1:33" x14ac:dyDescent="0.25">
      <c r="A857" s="32"/>
      <c r="B857" s="306"/>
      <c r="C857" s="307"/>
      <c r="D857" s="312"/>
      <c r="E857" s="301"/>
      <c r="F857" s="232"/>
      <c r="J857" s="306"/>
      <c r="K857" s="306"/>
      <c r="L857" s="313"/>
      <c r="M857" s="219"/>
      <c r="N857" s="218"/>
      <c r="S857" s="224"/>
      <c r="T857" s="228"/>
      <c r="U857" s="226"/>
      <c r="V857" s="226"/>
      <c r="W857" s="303"/>
      <c r="X857" s="220"/>
      <c r="Z857" s="227"/>
      <c r="AA857" s="220"/>
      <c r="AB857" s="221"/>
      <c r="AC857" s="229"/>
      <c r="AD857" s="230"/>
      <c r="AE857" s="230"/>
      <c r="AF857" s="230"/>
      <c r="AG857" s="227"/>
    </row>
    <row r="858" spans="1:33" x14ac:dyDescent="0.25">
      <c r="A858" s="32"/>
      <c r="B858" s="306"/>
      <c r="C858" s="307"/>
      <c r="D858" s="312"/>
      <c r="E858" s="301"/>
      <c r="F858" s="232"/>
      <c r="J858" s="306"/>
      <c r="K858" s="306"/>
      <c r="L858" s="313"/>
      <c r="M858" s="219"/>
      <c r="N858" s="218"/>
      <c r="S858" s="224"/>
      <c r="T858" s="228"/>
      <c r="U858" s="226"/>
      <c r="V858" s="226"/>
      <c r="W858" s="303"/>
      <c r="X858" s="220"/>
      <c r="Z858" s="227"/>
      <c r="AA858" s="220"/>
      <c r="AB858" s="221"/>
      <c r="AC858" s="229"/>
      <c r="AD858" s="230"/>
      <c r="AE858" s="230"/>
      <c r="AF858" s="230"/>
      <c r="AG858" s="227"/>
    </row>
    <row r="859" spans="1:33" x14ac:dyDescent="0.25">
      <c r="A859" s="32"/>
      <c r="B859" s="306"/>
      <c r="C859" s="307"/>
      <c r="D859" s="312"/>
      <c r="E859" s="301"/>
      <c r="F859" s="232"/>
      <c r="J859" s="306"/>
      <c r="K859" s="306"/>
      <c r="L859" s="313"/>
      <c r="M859" s="219"/>
      <c r="N859" s="218"/>
      <c r="S859" s="224"/>
      <c r="T859" s="228"/>
      <c r="U859" s="226"/>
      <c r="V859" s="226"/>
      <c r="W859" s="303"/>
      <c r="X859" s="220"/>
      <c r="Z859" s="227"/>
      <c r="AA859" s="220"/>
      <c r="AB859" s="221"/>
      <c r="AC859" s="229"/>
      <c r="AD859" s="230"/>
      <c r="AE859" s="230"/>
      <c r="AF859" s="230"/>
      <c r="AG859" s="227"/>
    </row>
    <row r="860" spans="1:33" x14ac:dyDescent="0.25">
      <c r="A860" s="32"/>
      <c r="B860" s="306"/>
      <c r="C860" s="307"/>
      <c r="D860" s="312"/>
      <c r="E860" s="301"/>
      <c r="F860" s="232"/>
      <c r="J860" s="306"/>
      <c r="K860" s="306"/>
      <c r="L860" s="313"/>
      <c r="M860" s="219"/>
      <c r="N860" s="218"/>
      <c r="S860" s="224"/>
      <c r="T860" s="228"/>
      <c r="U860" s="226"/>
      <c r="V860" s="226"/>
      <c r="W860" s="303"/>
      <c r="X860" s="220"/>
      <c r="Z860" s="227"/>
      <c r="AA860" s="220"/>
      <c r="AB860" s="221"/>
      <c r="AC860" s="229"/>
      <c r="AD860" s="230"/>
      <c r="AE860" s="230"/>
      <c r="AF860" s="230"/>
      <c r="AG860" s="227"/>
    </row>
    <row r="861" spans="1:33" x14ac:dyDescent="0.25">
      <c r="A861" s="32"/>
      <c r="B861" s="306"/>
      <c r="C861" s="307"/>
      <c r="D861" s="312"/>
      <c r="E861" s="301"/>
      <c r="F861" s="232"/>
      <c r="J861" s="306"/>
      <c r="K861" s="306"/>
      <c r="L861" s="313"/>
      <c r="M861" s="219"/>
      <c r="N861" s="218"/>
      <c r="S861" s="224"/>
      <c r="T861" s="228"/>
      <c r="U861" s="226"/>
      <c r="V861" s="226"/>
      <c r="W861" s="303"/>
      <c r="X861" s="220"/>
      <c r="Z861" s="227"/>
      <c r="AA861" s="220"/>
      <c r="AB861" s="221"/>
      <c r="AC861" s="229"/>
      <c r="AD861" s="230"/>
      <c r="AE861" s="230"/>
      <c r="AF861" s="230"/>
      <c r="AG861" s="227"/>
    </row>
    <row r="862" spans="1:33" x14ac:dyDescent="0.25">
      <c r="A862" s="32"/>
      <c r="B862" s="306"/>
      <c r="C862" s="307"/>
      <c r="D862" s="312"/>
      <c r="E862" s="301"/>
      <c r="F862" s="232"/>
      <c r="J862" s="306"/>
      <c r="K862" s="306"/>
      <c r="L862" s="313"/>
      <c r="M862" s="219"/>
      <c r="N862" s="218"/>
      <c r="S862" s="224"/>
      <c r="T862" s="228"/>
      <c r="U862" s="226"/>
      <c r="V862" s="226"/>
      <c r="W862" s="303"/>
      <c r="X862" s="220"/>
      <c r="Z862" s="227"/>
      <c r="AA862" s="220"/>
      <c r="AB862" s="221"/>
      <c r="AC862" s="229"/>
      <c r="AD862" s="230"/>
      <c r="AE862" s="230"/>
      <c r="AF862" s="230"/>
      <c r="AG862" s="227"/>
    </row>
    <row r="863" spans="1:33" x14ac:dyDescent="0.25">
      <c r="A863" s="32"/>
      <c r="B863" s="306"/>
      <c r="C863" s="307"/>
      <c r="D863" s="312"/>
      <c r="E863" s="301"/>
      <c r="F863" s="232"/>
      <c r="J863" s="306"/>
      <c r="K863" s="306"/>
      <c r="L863" s="313"/>
      <c r="M863" s="219"/>
      <c r="N863" s="218"/>
      <c r="S863" s="224"/>
      <c r="T863" s="228"/>
      <c r="U863" s="226"/>
      <c r="V863" s="226"/>
      <c r="W863" s="303"/>
      <c r="X863" s="220"/>
      <c r="Z863" s="227"/>
      <c r="AA863" s="220"/>
      <c r="AB863" s="221"/>
      <c r="AC863" s="229"/>
      <c r="AD863" s="230"/>
      <c r="AE863" s="230"/>
      <c r="AF863" s="230"/>
      <c r="AG863" s="227"/>
    </row>
    <row r="864" spans="1:33" x14ac:dyDescent="0.25">
      <c r="A864" s="32"/>
      <c r="B864" s="306"/>
      <c r="C864" s="307"/>
      <c r="D864" s="312"/>
      <c r="E864" s="301"/>
      <c r="F864" s="232"/>
      <c r="J864" s="306"/>
      <c r="K864" s="306"/>
      <c r="L864" s="313"/>
      <c r="M864" s="219"/>
      <c r="N864" s="218"/>
      <c r="S864" s="224"/>
      <c r="T864" s="228"/>
      <c r="U864" s="226"/>
      <c r="V864" s="226"/>
      <c r="W864" s="303"/>
      <c r="X864" s="220"/>
      <c r="Z864" s="227"/>
      <c r="AA864" s="220"/>
      <c r="AB864" s="221"/>
      <c r="AC864" s="229"/>
      <c r="AD864" s="230"/>
      <c r="AE864" s="230"/>
      <c r="AF864" s="230"/>
      <c r="AG864" s="227"/>
    </row>
    <row r="865" spans="1:33" x14ac:dyDescent="0.25">
      <c r="A865" s="32"/>
      <c r="B865" s="306"/>
      <c r="C865" s="307"/>
      <c r="D865" s="312"/>
      <c r="E865" s="301"/>
      <c r="F865" s="232"/>
      <c r="J865" s="306"/>
      <c r="K865" s="306"/>
      <c r="L865" s="313"/>
      <c r="M865" s="219"/>
      <c r="N865" s="218"/>
      <c r="S865" s="224"/>
      <c r="T865" s="228"/>
      <c r="U865" s="226"/>
      <c r="V865" s="226"/>
      <c r="W865" s="303"/>
      <c r="X865" s="220"/>
      <c r="Z865" s="227"/>
      <c r="AA865" s="220"/>
      <c r="AB865" s="221"/>
      <c r="AC865" s="229"/>
      <c r="AD865" s="230"/>
      <c r="AE865" s="230"/>
      <c r="AF865" s="230"/>
      <c r="AG865" s="227"/>
    </row>
    <row r="866" spans="1:33" x14ac:dyDescent="0.25">
      <c r="A866" s="32"/>
      <c r="B866" s="306"/>
      <c r="C866" s="307"/>
      <c r="D866" s="312"/>
      <c r="E866" s="301"/>
      <c r="F866" s="232"/>
      <c r="J866" s="306"/>
      <c r="K866" s="306"/>
      <c r="L866" s="313"/>
      <c r="M866" s="219"/>
      <c r="N866" s="218"/>
      <c r="S866" s="224"/>
      <c r="T866" s="228"/>
      <c r="U866" s="226"/>
      <c r="V866" s="226"/>
      <c r="W866" s="303"/>
      <c r="X866" s="220"/>
      <c r="Z866" s="227"/>
      <c r="AA866" s="220"/>
      <c r="AB866" s="221"/>
      <c r="AC866" s="229"/>
      <c r="AD866" s="230"/>
      <c r="AE866" s="230"/>
      <c r="AF866" s="230"/>
      <c r="AG866" s="227"/>
    </row>
    <row r="867" spans="1:33" x14ac:dyDescent="0.25">
      <c r="A867" s="32"/>
      <c r="B867" s="306"/>
      <c r="C867" s="307"/>
      <c r="D867" s="312"/>
      <c r="E867" s="301"/>
      <c r="F867" s="232"/>
      <c r="J867" s="306"/>
      <c r="K867" s="306"/>
      <c r="L867" s="313"/>
      <c r="M867" s="219"/>
      <c r="N867" s="218"/>
      <c r="S867" s="224"/>
      <c r="T867" s="228"/>
      <c r="U867" s="226"/>
      <c r="V867" s="226"/>
      <c r="W867" s="303"/>
      <c r="X867" s="220"/>
      <c r="Z867" s="227"/>
      <c r="AA867" s="220"/>
      <c r="AB867" s="221"/>
      <c r="AC867" s="229"/>
      <c r="AD867" s="230"/>
      <c r="AE867" s="230"/>
      <c r="AF867" s="230"/>
      <c r="AG867" s="227"/>
    </row>
    <row r="868" spans="1:33" x14ac:dyDescent="0.25">
      <c r="A868" s="32"/>
      <c r="B868" s="306"/>
      <c r="C868" s="307"/>
      <c r="D868" s="312"/>
      <c r="E868" s="301"/>
      <c r="F868" s="232"/>
      <c r="J868" s="306"/>
      <c r="K868" s="306"/>
      <c r="L868" s="313"/>
      <c r="M868" s="219"/>
      <c r="N868" s="218"/>
      <c r="S868" s="224"/>
      <c r="T868" s="228"/>
      <c r="U868" s="226"/>
      <c r="V868" s="226"/>
      <c r="W868" s="303"/>
      <c r="X868" s="220"/>
      <c r="Z868" s="227"/>
      <c r="AA868" s="220"/>
      <c r="AB868" s="221"/>
      <c r="AC868" s="229"/>
      <c r="AD868" s="230"/>
      <c r="AE868" s="230"/>
      <c r="AF868" s="230"/>
      <c r="AG868" s="227"/>
    </row>
    <row r="869" spans="1:33" x14ac:dyDescent="0.25">
      <c r="A869" s="32"/>
      <c r="B869" s="306"/>
      <c r="C869" s="307"/>
      <c r="D869" s="312"/>
      <c r="E869" s="301"/>
      <c r="F869" s="232"/>
      <c r="J869" s="306"/>
      <c r="K869" s="306"/>
      <c r="L869" s="313"/>
      <c r="M869" s="219"/>
      <c r="N869" s="218"/>
      <c r="S869" s="224"/>
      <c r="T869" s="228"/>
      <c r="U869" s="226"/>
      <c r="V869" s="226"/>
      <c r="W869" s="303"/>
      <c r="X869" s="220"/>
      <c r="Z869" s="227"/>
      <c r="AA869" s="220"/>
      <c r="AB869" s="221"/>
      <c r="AC869" s="229"/>
      <c r="AD869" s="230"/>
      <c r="AE869" s="230"/>
      <c r="AF869" s="230"/>
      <c r="AG869" s="227"/>
    </row>
    <row r="870" spans="1:33" x14ac:dyDescent="0.25">
      <c r="A870" s="32"/>
      <c r="B870" s="306"/>
      <c r="C870" s="307"/>
      <c r="D870" s="312"/>
      <c r="E870" s="301"/>
      <c r="F870" s="232"/>
      <c r="J870" s="306"/>
      <c r="K870" s="306"/>
      <c r="L870" s="313"/>
      <c r="M870" s="219"/>
      <c r="N870" s="218"/>
      <c r="S870" s="224"/>
      <c r="T870" s="228"/>
      <c r="U870" s="226"/>
      <c r="V870" s="226"/>
      <c r="W870" s="303"/>
      <c r="X870" s="220"/>
      <c r="Z870" s="227"/>
      <c r="AA870" s="220"/>
      <c r="AB870" s="221"/>
      <c r="AC870" s="229"/>
      <c r="AD870" s="230"/>
      <c r="AE870" s="230"/>
      <c r="AF870" s="230"/>
      <c r="AG870" s="227"/>
    </row>
    <row r="871" spans="1:33" x14ac:dyDescent="0.25">
      <c r="A871" s="32"/>
      <c r="B871" s="306"/>
      <c r="C871" s="307"/>
      <c r="D871" s="312"/>
      <c r="E871" s="301"/>
      <c r="F871" s="232"/>
      <c r="J871" s="306"/>
      <c r="K871" s="306"/>
      <c r="L871" s="313"/>
      <c r="M871" s="219"/>
      <c r="N871" s="218"/>
      <c r="S871" s="224"/>
      <c r="T871" s="228"/>
      <c r="U871" s="226"/>
      <c r="V871" s="226"/>
      <c r="W871" s="303"/>
      <c r="X871" s="220"/>
      <c r="Z871" s="227"/>
      <c r="AA871" s="220"/>
      <c r="AB871" s="221"/>
      <c r="AC871" s="229"/>
      <c r="AD871" s="230"/>
      <c r="AE871" s="230"/>
      <c r="AF871" s="230"/>
      <c r="AG871" s="227"/>
    </row>
    <row r="872" spans="1:33" x14ac:dyDescent="0.25">
      <c r="A872" s="32"/>
      <c r="B872" s="306"/>
      <c r="C872" s="307"/>
      <c r="D872" s="312"/>
      <c r="E872" s="301"/>
      <c r="F872" s="232"/>
      <c r="J872" s="306"/>
      <c r="K872" s="306"/>
      <c r="L872" s="313"/>
      <c r="M872" s="219"/>
      <c r="N872" s="218"/>
      <c r="S872" s="224"/>
      <c r="T872" s="228"/>
      <c r="U872" s="226"/>
      <c r="V872" s="226"/>
      <c r="W872" s="303"/>
      <c r="X872" s="220"/>
      <c r="Z872" s="227"/>
      <c r="AA872" s="220"/>
      <c r="AB872" s="221"/>
      <c r="AC872" s="229"/>
      <c r="AD872" s="230"/>
      <c r="AE872" s="230"/>
      <c r="AF872" s="230"/>
      <c r="AG872" s="227"/>
    </row>
    <row r="873" spans="1:33" x14ac:dyDescent="0.25">
      <c r="A873" s="32"/>
      <c r="B873" s="306"/>
      <c r="C873" s="307"/>
      <c r="D873" s="312"/>
      <c r="E873" s="301"/>
      <c r="F873" s="232"/>
      <c r="J873" s="306"/>
      <c r="K873" s="306"/>
      <c r="L873" s="313"/>
      <c r="M873" s="219"/>
      <c r="N873" s="218"/>
      <c r="S873" s="224"/>
      <c r="T873" s="228"/>
      <c r="U873" s="226"/>
      <c r="V873" s="226"/>
      <c r="W873" s="303"/>
      <c r="X873" s="220"/>
      <c r="Z873" s="227"/>
      <c r="AA873" s="220"/>
      <c r="AB873" s="221"/>
      <c r="AC873" s="229"/>
      <c r="AD873" s="230"/>
      <c r="AE873" s="230"/>
      <c r="AF873" s="230"/>
      <c r="AG873" s="227"/>
    </row>
    <row r="874" spans="1:33" x14ac:dyDescent="0.25">
      <c r="A874" s="32"/>
      <c r="B874" s="306"/>
      <c r="C874" s="307"/>
      <c r="D874" s="312"/>
      <c r="E874" s="301"/>
      <c r="F874" s="232"/>
      <c r="J874" s="306"/>
      <c r="K874" s="306"/>
      <c r="L874" s="313"/>
      <c r="M874" s="219"/>
      <c r="N874" s="218"/>
      <c r="S874" s="224"/>
      <c r="T874" s="228"/>
      <c r="U874" s="226"/>
      <c r="V874" s="226"/>
      <c r="W874" s="303"/>
      <c r="X874" s="220"/>
      <c r="Z874" s="227"/>
      <c r="AA874" s="220"/>
      <c r="AB874" s="221"/>
      <c r="AC874" s="229"/>
      <c r="AD874" s="230"/>
      <c r="AE874" s="230"/>
      <c r="AF874" s="230"/>
      <c r="AG874" s="227"/>
    </row>
    <row r="875" spans="1:33" x14ac:dyDescent="0.25">
      <c r="A875" s="32"/>
      <c r="B875" s="306"/>
      <c r="C875" s="307"/>
      <c r="D875" s="312"/>
      <c r="E875" s="301"/>
      <c r="F875" s="232"/>
      <c r="J875" s="306"/>
      <c r="K875" s="306"/>
      <c r="L875" s="313"/>
      <c r="M875" s="219"/>
      <c r="N875" s="218"/>
      <c r="S875" s="224"/>
      <c r="T875" s="228"/>
      <c r="U875" s="226"/>
      <c r="V875" s="226"/>
      <c r="W875" s="303"/>
      <c r="X875" s="220"/>
      <c r="Z875" s="227"/>
      <c r="AA875" s="220"/>
      <c r="AB875" s="221"/>
      <c r="AC875" s="229"/>
      <c r="AD875" s="230"/>
      <c r="AE875" s="230"/>
      <c r="AF875" s="230"/>
      <c r="AG875" s="227"/>
    </row>
    <row r="876" spans="1:33" x14ac:dyDescent="0.25">
      <c r="A876" s="32"/>
      <c r="B876" s="306"/>
      <c r="C876" s="307"/>
      <c r="D876" s="312"/>
      <c r="E876" s="301"/>
      <c r="F876" s="232"/>
      <c r="J876" s="306"/>
      <c r="K876" s="306"/>
      <c r="L876" s="313"/>
      <c r="M876" s="219"/>
      <c r="N876" s="218"/>
      <c r="S876" s="224"/>
      <c r="T876" s="228"/>
      <c r="U876" s="226"/>
      <c r="V876" s="226"/>
      <c r="W876" s="303"/>
      <c r="X876" s="220"/>
      <c r="Z876" s="227"/>
      <c r="AA876" s="220"/>
      <c r="AB876" s="221"/>
      <c r="AC876" s="229"/>
      <c r="AD876" s="230"/>
      <c r="AE876" s="230"/>
      <c r="AF876" s="230"/>
      <c r="AG876" s="227"/>
    </row>
    <row r="877" spans="1:33" x14ac:dyDescent="0.25">
      <c r="A877" s="32"/>
      <c r="B877" s="306"/>
      <c r="C877" s="307"/>
      <c r="D877" s="312"/>
      <c r="E877" s="301"/>
      <c r="F877" s="232"/>
      <c r="J877" s="306"/>
      <c r="K877" s="306"/>
      <c r="L877" s="313"/>
      <c r="M877" s="219"/>
      <c r="N877" s="218"/>
      <c r="S877" s="224"/>
      <c r="T877" s="228"/>
      <c r="U877" s="226"/>
      <c r="V877" s="226"/>
      <c r="W877" s="303"/>
      <c r="X877" s="220"/>
      <c r="Z877" s="227"/>
      <c r="AA877" s="220"/>
      <c r="AB877" s="221"/>
      <c r="AC877" s="229"/>
      <c r="AD877" s="230"/>
      <c r="AE877" s="230"/>
      <c r="AF877" s="230"/>
      <c r="AG877" s="227"/>
    </row>
    <row r="878" spans="1:33" x14ac:dyDescent="0.25">
      <c r="A878" s="32"/>
      <c r="B878" s="306"/>
      <c r="C878" s="307"/>
      <c r="D878" s="312"/>
      <c r="E878" s="301"/>
      <c r="F878" s="232"/>
      <c r="J878" s="306"/>
      <c r="K878" s="306"/>
      <c r="L878" s="313"/>
      <c r="M878" s="219"/>
      <c r="N878" s="218"/>
      <c r="S878" s="224"/>
      <c r="T878" s="228"/>
      <c r="U878" s="226"/>
      <c r="V878" s="226"/>
      <c r="W878" s="303"/>
      <c r="X878" s="220"/>
      <c r="Z878" s="227"/>
      <c r="AA878" s="220"/>
      <c r="AB878" s="221"/>
      <c r="AC878" s="229"/>
      <c r="AD878" s="230"/>
      <c r="AE878" s="230"/>
      <c r="AF878" s="230"/>
      <c r="AG878" s="227"/>
    </row>
    <row r="879" spans="1:33" x14ac:dyDescent="0.25">
      <c r="A879" s="32"/>
      <c r="B879" s="306"/>
      <c r="C879" s="307"/>
      <c r="D879" s="312"/>
      <c r="E879" s="301"/>
      <c r="F879" s="232"/>
      <c r="J879" s="306"/>
      <c r="K879" s="306"/>
      <c r="L879" s="313"/>
      <c r="M879" s="219"/>
      <c r="N879" s="218"/>
      <c r="S879" s="224"/>
      <c r="T879" s="228"/>
      <c r="U879" s="226"/>
      <c r="V879" s="226"/>
      <c r="W879" s="303"/>
      <c r="X879" s="220"/>
      <c r="Z879" s="227"/>
      <c r="AA879" s="220"/>
      <c r="AB879" s="221"/>
      <c r="AC879" s="229"/>
      <c r="AD879" s="230"/>
      <c r="AE879" s="230"/>
      <c r="AF879" s="230"/>
      <c r="AG879" s="227"/>
    </row>
    <row r="880" spans="1:33" x14ac:dyDescent="0.25">
      <c r="A880" s="32"/>
      <c r="B880" s="306"/>
      <c r="C880" s="307"/>
      <c r="D880" s="312"/>
      <c r="E880" s="301"/>
      <c r="F880" s="232"/>
      <c r="J880" s="306"/>
      <c r="K880" s="306"/>
      <c r="L880" s="313"/>
      <c r="M880" s="219"/>
      <c r="N880" s="218"/>
      <c r="S880" s="224"/>
      <c r="T880" s="228"/>
      <c r="U880" s="226"/>
      <c r="V880" s="226"/>
      <c r="W880" s="303"/>
      <c r="X880" s="220"/>
      <c r="Z880" s="227"/>
      <c r="AA880" s="220"/>
      <c r="AB880" s="221"/>
      <c r="AC880" s="229"/>
      <c r="AD880" s="230"/>
      <c r="AE880" s="230"/>
      <c r="AF880" s="230"/>
      <c r="AG880" s="227"/>
    </row>
    <row r="881" spans="1:33" x14ac:dyDescent="0.25">
      <c r="A881" s="32"/>
      <c r="B881" s="306"/>
      <c r="C881" s="307"/>
      <c r="D881" s="312"/>
      <c r="E881" s="301"/>
      <c r="F881" s="232"/>
      <c r="J881" s="306"/>
      <c r="K881" s="306"/>
      <c r="L881" s="313"/>
      <c r="M881" s="219"/>
      <c r="N881" s="218"/>
      <c r="S881" s="224"/>
      <c r="T881" s="228"/>
      <c r="U881" s="226"/>
      <c r="V881" s="226"/>
      <c r="W881" s="303"/>
      <c r="X881" s="220"/>
      <c r="Z881" s="227"/>
      <c r="AA881" s="220"/>
      <c r="AB881" s="221"/>
      <c r="AC881" s="229"/>
      <c r="AD881" s="230"/>
      <c r="AE881" s="230"/>
      <c r="AF881" s="230"/>
      <c r="AG881" s="227"/>
    </row>
    <row r="882" spans="1:33" x14ac:dyDescent="0.25">
      <c r="A882" s="32"/>
      <c r="B882" s="306"/>
      <c r="C882" s="307"/>
      <c r="D882" s="312"/>
      <c r="E882" s="301"/>
      <c r="F882" s="232"/>
      <c r="J882" s="306"/>
      <c r="K882" s="306"/>
      <c r="L882" s="313"/>
      <c r="M882" s="219"/>
      <c r="N882" s="218"/>
      <c r="S882" s="224"/>
      <c r="T882" s="228"/>
      <c r="U882" s="226"/>
      <c r="V882" s="226"/>
      <c r="W882" s="303"/>
      <c r="X882" s="220"/>
      <c r="Z882" s="227"/>
      <c r="AA882" s="220"/>
      <c r="AB882" s="221"/>
      <c r="AC882" s="229"/>
      <c r="AD882" s="230"/>
      <c r="AE882" s="230"/>
      <c r="AF882" s="230"/>
      <c r="AG882" s="227"/>
    </row>
    <row r="883" spans="1:33" x14ac:dyDescent="0.25">
      <c r="A883" s="32"/>
      <c r="B883" s="306"/>
      <c r="C883" s="307"/>
      <c r="D883" s="312"/>
      <c r="E883" s="301"/>
      <c r="F883" s="232"/>
      <c r="J883" s="306"/>
      <c r="K883" s="306"/>
      <c r="L883" s="313"/>
      <c r="M883" s="219"/>
      <c r="N883" s="218"/>
      <c r="S883" s="224"/>
      <c r="T883" s="228"/>
      <c r="U883" s="226"/>
      <c r="V883" s="226"/>
      <c r="W883" s="303"/>
      <c r="X883" s="220"/>
      <c r="Z883" s="227"/>
      <c r="AA883" s="220"/>
      <c r="AB883" s="221"/>
      <c r="AC883" s="229"/>
      <c r="AD883" s="230"/>
      <c r="AE883" s="230"/>
      <c r="AF883" s="230"/>
      <c r="AG883" s="227"/>
    </row>
    <row r="884" spans="1:33" x14ac:dyDescent="0.25">
      <c r="A884" s="32"/>
      <c r="B884" s="306"/>
      <c r="C884" s="307"/>
      <c r="D884" s="312"/>
      <c r="E884" s="301"/>
      <c r="F884" s="232"/>
      <c r="J884" s="306"/>
      <c r="K884" s="306"/>
      <c r="L884" s="313"/>
      <c r="M884" s="219"/>
      <c r="N884" s="218"/>
      <c r="S884" s="224"/>
      <c r="T884" s="228"/>
      <c r="U884" s="226"/>
      <c r="V884" s="226"/>
      <c r="W884" s="303"/>
      <c r="X884" s="220"/>
      <c r="Z884" s="227"/>
      <c r="AA884" s="220"/>
      <c r="AB884" s="221"/>
      <c r="AC884" s="229"/>
      <c r="AD884" s="230"/>
      <c r="AE884" s="230"/>
      <c r="AF884" s="230"/>
      <c r="AG884" s="227"/>
    </row>
    <row r="885" spans="1:33" x14ac:dyDescent="0.25">
      <c r="A885" s="32"/>
      <c r="B885" s="306"/>
      <c r="C885" s="307"/>
      <c r="D885" s="312"/>
      <c r="E885" s="301"/>
      <c r="F885" s="232"/>
      <c r="J885" s="306"/>
      <c r="K885" s="306"/>
      <c r="L885" s="313"/>
      <c r="M885" s="219"/>
      <c r="N885" s="218"/>
      <c r="S885" s="224"/>
      <c r="T885" s="228"/>
      <c r="U885" s="226"/>
      <c r="V885" s="226"/>
      <c r="W885" s="303"/>
      <c r="X885" s="220"/>
      <c r="Z885" s="227"/>
      <c r="AA885" s="220"/>
      <c r="AB885" s="221"/>
      <c r="AC885" s="229"/>
      <c r="AD885" s="230"/>
      <c r="AE885" s="230"/>
      <c r="AF885" s="230"/>
      <c r="AG885" s="227"/>
    </row>
    <row r="886" spans="1:33" x14ac:dyDescent="0.25">
      <c r="A886" s="32"/>
      <c r="B886" s="306"/>
      <c r="C886" s="307"/>
      <c r="D886" s="312"/>
      <c r="E886" s="301"/>
      <c r="F886" s="232"/>
      <c r="J886" s="306"/>
      <c r="K886" s="306"/>
      <c r="L886" s="313"/>
      <c r="M886" s="219"/>
      <c r="N886" s="218"/>
      <c r="S886" s="224"/>
      <c r="T886" s="228"/>
      <c r="U886" s="226"/>
      <c r="V886" s="226"/>
      <c r="W886" s="303"/>
      <c r="X886" s="220"/>
      <c r="Z886" s="227"/>
      <c r="AA886" s="220"/>
      <c r="AB886" s="221"/>
      <c r="AC886" s="229"/>
      <c r="AD886" s="230"/>
      <c r="AE886" s="230"/>
      <c r="AF886" s="230"/>
      <c r="AG886" s="227"/>
    </row>
    <row r="887" spans="1:33" x14ac:dyDescent="0.25">
      <c r="A887" s="32"/>
      <c r="B887" s="306"/>
      <c r="C887" s="307"/>
      <c r="D887" s="312"/>
      <c r="E887" s="301"/>
      <c r="F887" s="232"/>
      <c r="J887" s="306"/>
      <c r="K887" s="306"/>
      <c r="L887" s="313"/>
      <c r="M887" s="219"/>
      <c r="N887" s="218"/>
      <c r="S887" s="224"/>
      <c r="T887" s="228"/>
      <c r="U887" s="226"/>
      <c r="V887" s="226"/>
      <c r="W887" s="303"/>
      <c r="X887" s="220"/>
      <c r="Z887" s="227"/>
      <c r="AA887" s="220"/>
      <c r="AB887" s="221"/>
      <c r="AC887" s="229"/>
      <c r="AD887" s="230"/>
      <c r="AE887" s="230"/>
      <c r="AF887" s="230"/>
      <c r="AG887" s="227"/>
    </row>
    <row r="888" spans="1:33" x14ac:dyDescent="0.25">
      <c r="A888" s="32"/>
      <c r="B888" s="306"/>
      <c r="C888" s="307"/>
      <c r="D888" s="312"/>
      <c r="E888" s="301"/>
      <c r="F888" s="232"/>
      <c r="J888" s="306"/>
      <c r="K888" s="306"/>
      <c r="L888" s="313"/>
      <c r="M888" s="219"/>
      <c r="N888" s="218"/>
      <c r="S888" s="224"/>
      <c r="T888" s="228"/>
      <c r="U888" s="226"/>
      <c r="V888" s="226"/>
      <c r="W888" s="303"/>
      <c r="X888" s="220"/>
      <c r="Z888" s="227"/>
      <c r="AA888" s="220"/>
      <c r="AB888" s="221"/>
      <c r="AC888" s="229"/>
      <c r="AD888" s="230"/>
      <c r="AE888" s="230"/>
      <c r="AF888" s="230"/>
      <c r="AG888" s="227"/>
    </row>
    <row r="889" spans="1:33" x14ac:dyDescent="0.25">
      <c r="A889" s="32"/>
      <c r="B889" s="306"/>
      <c r="C889" s="307"/>
      <c r="D889" s="312"/>
      <c r="E889" s="301"/>
      <c r="F889" s="232"/>
      <c r="J889" s="306"/>
      <c r="K889" s="306"/>
      <c r="L889" s="313"/>
      <c r="M889" s="219"/>
      <c r="N889" s="218"/>
      <c r="S889" s="224"/>
      <c r="T889" s="228"/>
      <c r="U889" s="226"/>
      <c r="V889" s="226"/>
      <c r="W889" s="303"/>
      <c r="X889" s="220"/>
      <c r="Z889" s="227"/>
      <c r="AA889" s="220"/>
      <c r="AB889" s="221"/>
      <c r="AC889" s="229"/>
      <c r="AD889" s="230"/>
      <c r="AE889" s="230"/>
      <c r="AF889" s="230"/>
      <c r="AG889" s="227"/>
    </row>
    <row r="890" spans="1:33" x14ac:dyDescent="0.25">
      <c r="A890" s="32"/>
      <c r="B890" s="306"/>
      <c r="C890" s="307"/>
      <c r="D890" s="312"/>
      <c r="E890" s="301"/>
      <c r="F890" s="232"/>
      <c r="J890" s="306"/>
      <c r="K890" s="306"/>
      <c r="L890" s="313"/>
      <c r="M890" s="219"/>
      <c r="N890" s="218"/>
      <c r="S890" s="224"/>
      <c r="T890" s="228"/>
      <c r="U890" s="226"/>
      <c r="V890" s="226"/>
      <c r="W890" s="303"/>
      <c r="X890" s="220"/>
      <c r="Z890" s="227"/>
      <c r="AA890" s="220"/>
      <c r="AB890" s="221"/>
      <c r="AC890" s="229"/>
      <c r="AD890" s="230"/>
      <c r="AE890" s="230"/>
      <c r="AF890" s="230"/>
      <c r="AG890" s="227"/>
    </row>
    <row r="891" spans="1:33" x14ac:dyDescent="0.25">
      <c r="A891" s="32"/>
      <c r="B891" s="306"/>
      <c r="C891" s="307"/>
      <c r="D891" s="312"/>
      <c r="E891" s="301"/>
      <c r="F891" s="232"/>
      <c r="J891" s="306"/>
      <c r="K891" s="306"/>
      <c r="L891" s="313"/>
      <c r="M891" s="219"/>
      <c r="N891" s="218"/>
      <c r="S891" s="224"/>
      <c r="T891" s="228"/>
      <c r="U891" s="226"/>
      <c r="V891" s="226"/>
      <c r="W891" s="303"/>
      <c r="X891" s="220"/>
      <c r="Z891" s="227"/>
      <c r="AA891" s="220"/>
      <c r="AB891" s="221"/>
      <c r="AC891" s="229"/>
      <c r="AD891" s="230"/>
      <c r="AE891" s="230"/>
      <c r="AF891" s="230"/>
      <c r="AG891" s="227"/>
    </row>
    <row r="892" spans="1:33" x14ac:dyDescent="0.25">
      <c r="A892" s="32"/>
      <c r="B892" s="306"/>
      <c r="C892" s="307"/>
      <c r="D892" s="312"/>
      <c r="E892" s="301"/>
      <c r="F892" s="232"/>
      <c r="J892" s="306"/>
      <c r="K892" s="306"/>
      <c r="L892" s="313"/>
      <c r="M892" s="219"/>
      <c r="N892" s="218"/>
      <c r="S892" s="224"/>
      <c r="T892" s="228"/>
      <c r="U892" s="226"/>
      <c r="V892" s="226"/>
      <c r="W892" s="303"/>
      <c r="X892" s="220"/>
      <c r="Z892" s="227"/>
      <c r="AA892" s="220"/>
      <c r="AB892" s="221"/>
      <c r="AC892" s="229"/>
      <c r="AD892" s="230"/>
      <c r="AE892" s="230"/>
      <c r="AF892" s="230"/>
      <c r="AG892" s="227"/>
    </row>
    <row r="893" spans="1:33" x14ac:dyDescent="0.25">
      <c r="A893" s="32"/>
      <c r="B893" s="306"/>
      <c r="C893" s="307"/>
      <c r="D893" s="312"/>
      <c r="E893" s="301"/>
      <c r="F893" s="232"/>
      <c r="J893" s="306"/>
      <c r="K893" s="306"/>
      <c r="L893" s="313"/>
      <c r="M893" s="219"/>
      <c r="N893" s="218"/>
      <c r="S893" s="224"/>
      <c r="T893" s="228"/>
      <c r="U893" s="226"/>
      <c r="V893" s="226"/>
      <c r="W893" s="303"/>
      <c r="X893" s="220"/>
      <c r="Z893" s="227"/>
      <c r="AA893" s="220"/>
      <c r="AB893" s="221"/>
      <c r="AC893" s="229"/>
      <c r="AD893" s="230"/>
      <c r="AE893" s="230"/>
      <c r="AF893" s="230"/>
      <c r="AG893" s="227"/>
    </row>
    <row r="894" spans="1:33" x14ac:dyDescent="0.25">
      <c r="A894" s="32"/>
      <c r="B894" s="306"/>
      <c r="C894" s="307"/>
      <c r="D894" s="312"/>
      <c r="E894" s="301"/>
      <c r="F894" s="232"/>
      <c r="J894" s="306"/>
      <c r="K894" s="306"/>
      <c r="L894" s="313"/>
      <c r="M894" s="219"/>
      <c r="N894" s="218"/>
      <c r="S894" s="224"/>
      <c r="T894" s="228"/>
      <c r="U894" s="226"/>
      <c r="V894" s="226"/>
      <c r="W894" s="303"/>
      <c r="X894" s="220"/>
      <c r="Z894" s="227"/>
      <c r="AA894" s="220"/>
      <c r="AB894" s="221"/>
      <c r="AC894" s="229"/>
      <c r="AD894" s="230"/>
      <c r="AE894" s="230"/>
      <c r="AF894" s="230"/>
      <c r="AG894" s="227"/>
    </row>
    <row r="895" spans="1:33" x14ac:dyDescent="0.25">
      <c r="A895" s="32"/>
      <c r="B895" s="306"/>
      <c r="C895" s="307"/>
      <c r="D895" s="312"/>
      <c r="E895" s="301"/>
      <c r="F895" s="232"/>
      <c r="J895" s="306"/>
      <c r="K895" s="306"/>
      <c r="L895" s="313"/>
      <c r="M895" s="219"/>
      <c r="N895" s="218"/>
      <c r="S895" s="224"/>
      <c r="T895" s="228"/>
      <c r="U895" s="226"/>
      <c r="V895" s="226"/>
      <c r="W895" s="303"/>
      <c r="X895" s="220"/>
      <c r="Z895" s="227"/>
      <c r="AA895" s="220"/>
      <c r="AB895" s="221"/>
      <c r="AC895" s="229"/>
      <c r="AD895" s="230"/>
      <c r="AE895" s="230"/>
      <c r="AF895" s="230"/>
      <c r="AG895" s="227"/>
    </row>
    <row r="896" spans="1:33" x14ac:dyDescent="0.25">
      <c r="A896" s="32"/>
      <c r="B896" s="306"/>
      <c r="C896" s="307"/>
      <c r="D896" s="312"/>
      <c r="E896" s="301"/>
      <c r="F896" s="232"/>
      <c r="J896" s="306"/>
      <c r="K896" s="306"/>
      <c r="L896" s="313"/>
      <c r="M896" s="219"/>
      <c r="N896" s="218"/>
      <c r="S896" s="224"/>
      <c r="T896" s="228"/>
      <c r="U896" s="226"/>
      <c r="V896" s="226"/>
      <c r="W896" s="303"/>
      <c r="X896" s="220"/>
      <c r="Z896" s="227"/>
      <c r="AA896" s="220"/>
      <c r="AB896" s="221"/>
      <c r="AC896" s="229"/>
      <c r="AD896" s="230"/>
      <c r="AE896" s="230"/>
      <c r="AF896" s="230"/>
      <c r="AG896" s="227"/>
    </row>
    <row r="897" spans="1:33" x14ac:dyDescent="0.25">
      <c r="A897" s="32"/>
      <c r="B897" s="306"/>
      <c r="C897" s="307"/>
      <c r="D897" s="312"/>
      <c r="E897" s="301"/>
      <c r="F897" s="232"/>
      <c r="J897" s="306"/>
      <c r="K897" s="306"/>
      <c r="L897" s="313"/>
      <c r="M897" s="219"/>
      <c r="N897" s="218"/>
      <c r="S897" s="224"/>
      <c r="T897" s="228"/>
      <c r="U897" s="226"/>
      <c r="V897" s="226"/>
      <c r="W897" s="303"/>
      <c r="X897" s="220"/>
      <c r="Z897" s="227"/>
      <c r="AA897" s="220"/>
      <c r="AB897" s="221"/>
      <c r="AC897" s="229"/>
      <c r="AD897" s="230"/>
      <c r="AE897" s="230"/>
      <c r="AF897" s="230"/>
      <c r="AG897" s="227"/>
    </row>
    <row r="898" spans="1:33" x14ac:dyDescent="0.25">
      <c r="A898" s="32"/>
      <c r="B898" s="306"/>
      <c r="C898" s="307"/>
      <c r="D898" s="312"/>
      <c r="E898" s="301"/>
      <c r="F898" s="232"/>
      <c r="J898" s="306"/>
      <c r="K898" s="306"/>
      <c r="L898" s="313"/>
      <c r="M898" s="219"/>
      <c r="N898" s="218"/>
      <c r="S898" s="224"/>
      <c r="T898" s="228"/>
      <c r="U898" s="226"/>
      <c r="V898" s="226"/>
      <c r="W898" s="303"/>
      <c r="X898" s="220"/>
      <c r="Z898" s="227"/>
      <c r="AA898" s="220"/>
      <c r="AB898" s="221"/>
      <c r="AC898" s="229"/>
      <c r="AD898" s="230"/>
      <c r="AE898" s="230"/>
      <c r="AF898" s="230"/>
      <c r="AG898" s="227"/>
    </row>
    <row r="899" spans="1:33" x14ac:dyDescent="0.25">
      <c r="A899" s="32"/>
      <c r="B899" s="306"/>
      <c r="C899" s="307"/>
      <c r="D899" s="312"/>
      <c r="E899" s="301"/>
      <c r="F899" s="232"/>
      <c r="J899" s="306"/>
      <c r="K899" s="306"/>
      <c r="L899" s="313"/>
      <c r="M899" s="219"/>
      <c r="N899" s="218"/>
      <c r="S899" s="224"/>
      <c r="T899" s="228"/>
      <c r="U899" s="226"/>
      <c r="V899" s="226"/>
      <c r="W899" s="303"/>
      <c r="X899" s="220"/>
      <c r="Z899" s="227"/>
      <c r="AA899" s="220"/>
      <c r="AB899" s="221"/>
      <c r="AC899" s="229"/>
      <c r="AD899" s="230"/>
      <c r="AE899" s="230"/>
      <c r="AF899" s="230"/>
      <c r="AG899" s="227"/>
    </row>
    <row r="900" spans="1:33" x14ac:dyDescent="0.25">
      <c r="A900" s="32"/>
      <c r="B900" s="306"/>
      <c r="C900" s="307"/>
      <c r="D900" s="312"/>
      <c r="E900" s="301"/>
      <c r="F900" s="232"/>
      <c r="J900" s="306"/>
      <c r="K900" s="306"/>
      <c r="L900" s="313"/>
      <c r="M900" s="219"/>
      <c r="N900" s="218"/>
      <c r="S900" s="224"/>
      <c r="T900" s="228"/>
      <c r="U900" s="226"/>
      <c r="V900" s="226"/>
      <c r="W900" s="303"/>
      <c r="X900" s="220"/>
      <c r="Z900" s="227"/>
      <c r="AA900" s="220"/>
      <c r="AB900" s="221"/>
      <c r="AC900" s="229"/>
      <c r="AD900" s="230"/>
      <c r="AE900" s="230"/>
      <c r="AF900" s="230"/>
      <c r="AG900" s="227"/>
    </row>
    <row r="901" spans="1:33" x14ac:dyDescent="0.25">
      <c r="A901" s="32"/>
      <c r="B901" s="306"/>
      <c r="C901" s="307"/>
      <c r="D901" s="312"/>
      <c r="E901" s="301"/>
      <c r="F901" s="232"/>
      <c r="J901" s="306"/>
      <c r="K901" s="306"/>
      <c r="L901" s="313"/>
      <c r="M901" s="219"/>
      <c r="N901" s="218"/>
      <c r="S901" s="224"/>
      <c r="T901" s="228"/>
      <c r="U901" s="226"/>
      <c r="V901" s="226"/>
      <c r="W901" s="303"/>
      <c r="X901" s="220"/>
      <c r="Z901" s="227"/>
      <c r="AA901" s="220"/>
      <c r="AB901" s="221"/>
      <c r="AC901" s="229"/>
      <c r="AD901" s="230"/>
      <c r="AE901" s="230"/>
      <c r="AF901" s="230"/>
      <c r="AG901" s="227"/>
    </row>
    <row r="902" spans="1:33" x14ac:dyDescent="0.25">
      <c r="A902" s="32"/>
      <c r="B902" s="306"/>
      <c r="C902" s="307"/>
      <c r="D902" s="312"/>
      <c r="E902" s="301"/>
      <c r="F902" s="232"/>
      <c r="J902" s="306"/>
      <c r="K902" s="306"/>
      <c r="L902" s="313"/>
      <c r="M902" s="219"/>
      <c r="N902" s="218"/>
      <c r="S902" s="224"/>
      <c r="T902" s="228"/>
      <c r="U902" s="226"/>
      <c r="V902" s="226"/>
      <c r="W902" s="303"/>
      <c r="X902" s="220"/>
      <c r="Z902" s="227"/>
      <c r="AA902" s="220"/>
      <c r="AB902" s="221"/>
      <c r="AC902" s="229"/>
      <c r="AD902" s="230"/>
      <c r="AE902" s="230"/>
      <c r="AF902" s="230"/>
      <c r="AG902" s="227"/>
    </row>
    <row r="903" spans="1:33" x14ac:dyDescent="0.25">
      <c r="A903" s="32"/>
      <c r="B903" s="306"/>
      <c r="C903" s="307"/>
      <c r="D903" s="312"/>
      <c r="E903" s="301"/>
      <c r="F903" s="232"/>
      <c r="J903" s="306"/>
      <c r="K903" s="306"/>
      <c r="L903" s="313"/>
      <c r="M903" s="219"/>
      <c r="N903" s="218"/>
      <c r="S903" s="224"/>
      <c r="T903" s="228"/>
      <c r="U903" s="226"/>
      <c r="V903" s="226"/>
      <c r="W903" s="303"/>
      <c r="X903" s="220"/>
      <c r="Z903" s="227"/>
      <c r="AA903" s="220"/>
      <c r="AB903" s="221"/>
      <c r="AC903" s="229"/>
      <c r="AD903" s="230"/>
      <c r="AE903" s="230"/>
      <c r="AF903" s="230"/>
      <c r="AG903" s="227"/>
    </row>
    <row r="904" spans="1:33" x14ac:dyDescent="0.25">
      <c r="A904" s="32"/>
      <c r="B904" s="306"/>
      <c r="C904" s="307"/>
      <c r="D904" s="312"/>
      <c r="E904" s="301"/>
      <c r="F904" s="232"/>
      <c r="J904" s="306"/>
      <c r="K904" s="306"/>
      <c r="L904" s="313"/>
      <c r="M904" s="219"/>
      <c r="N904" s="218"/>
      <c r="S904" s="224"/>
      <c r="T904" s="228"/>
      <c r="U904" s="226"/>
      <c r="V904" s="226"/>
      <c r="W904" s="303"/>
      <c r="X904" s="220"/>
      <c r="Z904" s="227"/>
      <c r="AA904" s="220"/>
      <c r="AB904" s="221"/>
      <c r="AC904" s="229"/>
      <c r="AD904" s="230"/>
      <c r="AE904" s="230"/>
      <c r="AF904" s="230"/>
      <c r="AG904" s="227"/>
    </row>
    <row r="905" spans="1:33" x14ac:dyDescent="0.25">
      <c r="A905" s="32"/>
      <c r="B905" s="306"/>
      <c r="C905" s="307"/>
      <c r="D905" s="312"/>
      <c r="E905" s="301"/>
      <c r="F905" s="232"/>
      <c r="J905" s="306"/>
      <c r="K905" s="306"/>
      <c r="L905" s="313"/>
      <c r="M905" s="219"/>
      <c r="N905" s="218"/>
      <c r="S905" s="224"/>
      <c r="T905" s="228"/>
      <c r="U905" s="226"/>
      <c r="V905" s="226"/>
      <c r="W905" s="303"/>
      <c r="X905" s="220"/>
      <c r="Z905" s="227"/>
      <c r="AA905" s="220"/>
      <c r="AB905" s="221"/>
      <c r="AC905" s="229"/>
      <c r="AD905" s="230"/>
      <c r="AE905" s="230"/>
      <c r="AF905" s="230"/>
      <c r="AG905" s="227"/>
    </row>
    <row r="906" spans="1:33" x14ac:dyDescent="0.25">
      <c r="A906" s="32"/>
      <c r="B906" s="306"/>
      <c r="C906" s="307"/>
      <c r="D906" s="312"/>
      <c r="E906" s="301"/>
      <c r="F906" s="232"/>
      <c r="J906" s="306"/>
      <c r="K906" s="306"/>
      <c r="L906" s="313"/>
      <c r="M906" s="219"/>
      <c r="N906" s="218"/>
      <c r="S906" s="224"/>
      <c r="T906" s="228"/>
      <c r="U906" s="226"/>
      <c r="V906" s="226"/>
      <c r="W906" s="303"/>
      <c r="X906" s="220"/>
      <c r="Z906" s="227"/>
      <c r="AA906" s="220"/>
      <c r="AB906" s="221"/>
      <c r="AC906" s="229"/>
      <c r="AD906" s="230"/>
      <c r="AE906" s="230"/>
      <c r="AF906" s="230"/>
      <c r="AG906" s="227"/>
    </row>
    <row r="907" spans="1:33" x14ac:dyDescent="0.25">
      <c r="A907" s="32"/>
      <c r="B907" s="306"/>
      <c r="C907" s="307"/>
      <c r="D907" s="312"/>
      <c r="E907" s="301"/>
      <c r="F907" s="232"/>
      <c r="J907" s="306"/>
      <c r="K907" s="306"/>
      <c r="L907" s="313"/>
      <c r="M907" s="219"/>
      <c r="N907" s="218"/>
      <c r="S907" s="224"/>
      <c r="T907" s="228"/>
      <c r="U907" s="226"/>
      <c r="V907" s="226"/>
      <c r="W907" s="303"/>
      <c r="X907" s="220"/>
      <c r="Z907" s="227"/>
      <c r="AA907" s="220"/>
      <c r="AB907" s="221"/>
      <c r="AC907" s="229"/>
      <c r="AD907" s="230"/>
      <c r="AE907" s="230"/>
      <c r="AF907" s="230"/>
      <c r="AG907" s="227"/>
    </row>
    <row r="908" spans="1:33" x14ac:dyDescent="0.25">
      <c r="A908" s="32"/>
      <c r="B908" s="306"/>
      <c r="C908" s="307"/>
      <c r="D908" s="312"/>
      <c r="E908" s="301"/>
      <c r="F908" s="232"/>
      <c r="J908" s="306"/>
      <c r="K908" s="306"/>
      <c r="L908" s="313"/>
      <c r="M908" s="219"/>
      <c r="N908" s="218"/>
      <c r="S908" s="224"/>
      <c r="T908" s="228"/>
      <c r="U908" s="226"/>
      <c r="V908" s="226"/>
      <c r="W908" s="303"/>
      <c r="X908" s="220"/>
      <c r="Z908" s="227"/>
      <c r="AA908" s="220"/>
      <c r="AB908" s="221"/>
      <c r="AC908" s="229"/>
      <c r="AD908" s="230"/>
      <c r="AE908" s="230"/>
      <c r="AF908" s="230"/>
      <c r="AG908" s="227"/>
    </row>
    <row r="909" spans="1:33" x14ac:dyDescent="0.25">
      <c r="A909" s="32"/>
      <c r="B909" s="306"/>
      <c r="C909" s="307"/>
      <c r="D909" s="312"/>
      <c r="E909" s="301"/>
      <c r="F909" s="232"/>
      <c r="J909" s="306"/>
      <c r="K909" s="306"/>
      <c r="L909" s="313"/>
      <c r="M909" s="219"/>
      <c r="N909" s="218"/>
      <c r="S909" s="224"/>
      <c r="T909" s="228"/>
      <c r="U909" s="226"/>
      <c r="V909" s="226"/>
      <c r="W909" s="303"/>
      <c r="X909" s="220"/>
      <c r="Z909" s="227"/>
      <c r="AA909" s="220"/>
      <c r="AB909" s="221"/>
      <c r="AC909" s="229"/>
      <c r="AD909" s="230"/>
      <c r="AE909" s="230"/>
      <c r="AF909" s="230"/>
      <c r="AG909" s="227"/>
    </row>
    <row r="910" spans="1:33" x14ac:dyDescent="0.25">
      <c r="A910" s="32"/>
      <c r="B910" s="306"/>
      <c r="C910" s="307"/>
      <c r="D910" s="312"/>
      <c r="E910" s="301"/>
      <c r="F910" s="232"/>
      <c r="J910" s="306"/>
      <c r="K910" s="306"/>
      <c r="L910" s="313"/>
      <c r="M910" s="219"/>
      <c r="N910" s="218"/>
      <c r="S910" s="224"/>
      <c r="T910" s="228"/>
      <c r="U910" s="226"/>
      <c r="V910" s="226"/>
      <c r="W910" s="303"/>
      <c r="X910" s="220"/>
      <c r="Z910" s="227"/>
      <c r="AA910" s="220"/>
      <c r="AB910" s="221"/>
      <c r="AC910" s="229"/>
      <c r="AD910" s="230"/>
      <c r="AE910" s="230"/>
      <c r="AF910" s="230"/>
      <c r="AG910" s="227"/>
    </row>
    <row r="911" spans="1:33" x14ac:dyDescent="0.25">
      <c r="A911" s="32"/>
      <c r="B911" s="306"/>
      <c r="C911" s="307"/>
      <c r="D911" s="312"/>
      <c r="E911" s="301"/>
      <c r="F911" s="232"/>
      <c r="J911" s="306"/>
      <c r="K911" s="306"/>
      <c r="L911" s="313"/>
      <c r="M911" s="219"/>
      <c r="N911" s="218"/>
      <c r="S911" s="224"/>
      <c r="T911" s="228"/>
      <c r="U911" s="226"/>
      <c r="V911" s="226"/>
      <c r="W911" s="303"/>
      <c r="X911" s="220"/>
      <c r="Z911" s="227"/>
      <c r="AA911" s="220"/>
      <c r="AB911" s="221"/>
      <c r="AC911" s="229"/>
      <c r="AD911" s="230"/>
      <c r="AE911" s="230"/>
      <c r="AF911" s="230"/>
      <c r="AG911" s="227"/>
    </row>
    <row r="912" spans="1:33" x14ac:dyDescent="0.25">
      <c r="A912" s="32"/>
      <c r="B912" s="306"/>
      <c r="C912" s="307"/>
      <c r="D912" s="312"/>
      <c r="E912" s="301"/>
      <c r="F912" s="232"/>
      <c r="J912" s="306"/>
      <c r="K912" s="306"/>
      <c r="L912" s="313"/>
      <c r="M912" s="219"/>
      <c r="N912" s="218"/>
      <c r="S912" s="224"/>
      <c r="T912" s="228"/>
      <c r="U912" s="226"/>
      <c r="V912" s="226"/>
      <c r="W912" s="303"/>
      <c r="X912" s="220"/>
      <c r="Z912" s="227"/>
      <c r="AA912" s="220"/>
      <c r="AB912" s="221"/>
      <c r="AC912" s="229"/>
      <c r="AD912" s="230"/>
      <c r="AE912" s="230"/>
      <c r="AF912" s="230"/>
      <c r="AG912" s="227"/>
    </row>
    <row r="913" spans="1:33" x14ac:dyDescent="0.25">
      <c r="A913" s="32"/>
      <c r="B913" s="306"/>
      <c r="C913" s="307"/>
      <c r="D913" s="312"/>
      <c r="E913" s="301"/>
      <c r="F913" s="232"/>
      <c r="J913" s="306"/>
      <c r="K913" s="306"/>
      <c r="L913" s="313"/>
      <c r="M913" s="219"/>
      <c r="N913" s="218"/>
      <c r="S913" s="224"/>
      <c r="T913" s="228"/>
      <c r="U913" s="226"/>
      <c r="V913" s="226"/>
      <c r="W913" s="303"/>
      <c r="X913" s="220"/>
      <c r="Z913" s="227"/>
      <c r="AA913" s="220"/>
      <c r="AB913" s="221"/>
      <c r="AC913" s="229"/>
      <c r="AD913" s="230"/>
      <c r="AE913" s="230"/>
      <c r="AF913" s="230"/>
      <c r="AG913" s="227"/>
    </row>
    <row r="914" spans="1:33" x14ac:dyDescent="0.25">
      <c r="A914" s="32"/>
      <c r="B914" s="306"/>
      <c r="C914" s="307"/>
      <c r="D914" s="312"/>
      <c r="E914" s="301"/>
      <c r="F914" s="232"/>
      <c r="J914" s="306"/>
      <c r="K914" s="306"/>
      <c r="L914" s="313"/>
      <c r="M914" s="219"/>
      <c r="N914" s="218"/>
      <c r="S914" s="224"/>
      <c r="T914" s="228"/>
      <c r="U914" s="226"/>
      <c r="V914" s="226"/>
      <c r="W914" s="303"/>
      <c r="X914" s="220"/>
      <c r="Z914" s="227"/>
      <c r="AA914" s="220"/>
      <c r="AB914" s="221"/>
      <c r="AC914" s="229"/>
      <c r="AD914" s="230"/>
      <c r="AE914" s="230"/>
      <c r="AF914" s="230"/>
      <c r="AG914" s="227"/>
    </row>
    <row r="915" spans="1:33" x14ac:dyDescent="0.25">
      <c r="A915" s="32"/>
      <c r="B915" s="306"/>
      <c r="C915" s="307"/>
      <c r="D915" s="312"/>
      <c r="E915" s="301"/>
      <c r="F915" s="232"/>
      <c r="J915" s="306"/>
      <c r="K915" s="306"/>
      <c r="L915" s="313"/>
      <c r="M915" s="219"/>
      <c r="N915" s="218"/>
      <c r="S915" s="224"/>
      <c r="T915" s="228"/>
      <c r="U915" s="226"/>
      <c r="V915" s="226"/>
      <c r="W915" s="303"/>
      <c r="X915" s="220"/>
      <c r="Z915" s="227"/>
      <c r="AA915" s="220"/>
      <c r="AB915" s="221"/>
      <c r="AC915" s="229"/>
      <c r="AD915" s="230"/>
      <c r="AE915" s="230"/>
      <c r="AF915" s="230"/>
      <c r="AG915" s="227"/>
    </row>
    <row r="916" spans="1:33" x14ac:dyDescent="0.25">
      <c r="A916" s="32"/>
      <c r="B916" s="306"/>
      <c r="C916" s="307"/>
      <c r="D916" s="312"/>
      <c r="E916" s="301"/>
      <c r="F916" s="232"/>
      <c r="J916" s="306"/>
      <c r="K916" s="306"/>
      <c r="L916" s="313"/>
      <c r="M916" s="219"/>
      <c r="N916" s="218"/>
      <c r="S916" s="224"/>
      <c r="T916" s="228"/>
      <c r="U916" s="226"/>
      <c r="V916" s="226"/>
      <c r="W916" s="303"/>
      <c r="X916" s="220"/>
      <c r="Z916" s="227"/>
      <c r="AA916" s="220"/>
      <c r="AB916" s="221"/>
      <c r="AC916" s="229"/>
      <c r="AD916" s="230"/>
      <c r="AE916" s="230"/>
      <c r="AF916" s="230"/>
      <c r="AG916" s="227"/>
    </row>
    <row r="917" spans="1:33" x14ac:dyDescent="0.25">
      <c r="A917" s="32"/>
      <c r="B917" s="306"/>
      <c r="C917" s="307"/>
      <c r="D917" s="312"/>
      <c r="E917" s="301"/>
      <c r="F917" s="232"/>
      <c r="J917" s="306"/>
      <c r="K917" s="306"/>
      <c r="L917" s="313"/>
      <c r="M917" s="219"/>
      <c r="N917" s="218"/>
      <c r="S917" s="224"/>
      <c r="T917" s="228"/>
      <c r="U917" s="226"/>
      <c r="V917" s="226"/>
      <c r="W917" s="303"/>
      <c r="X917" s="220"/>
      <c r="Z917" s="227"/>
      <c r="AA917" s="220"/>
      <c r="AB917" s="221"/>
      <c r="AC917" s="229"/>
      <c r="AD917" s="230"/>
      <c r="AE917" s="230"/>
      <c r="AF917" s="230"/>
      <c r="AG917" s="227"/>
    </row>
    <row r="918" spans="1:33" x14ac:dyDescent="0.25">
      <c r="A918" s="32"/>
      <c r="B918" s="306"/>
      <c r="C918" s="307"/>
      <c r="D918" s="312"/>
      <c r="E918" s="301"/>
      <c r="F918" s="232"/>
      <c r="J918" s="306"/>
      <c r="K918" s="306"/>
      <c r="L918" s="313"/>
      <c r="M918" s="219"/>
      <c r="N918" s="218"/>
      <c r="S918" s="224"/>
      <c r="T918" s="228"/>
      <c r="U918" s="226"/>
      <c r="V918" s="226"/>
      <c r="W918" s="303"/>
      <c r="X918" s="220"/>
      <c r="Z918" s="227"/>
      <c r="AA918" s="220"/>
      <c r="AB918" s="221"/>
      <c r="AC918" s="229"/>
      <c r="AD918" s="230"/>
      <c r="AE918" s="230"/>
      <c r="AF918" s="230"/>
      <c r="AG918" s="227"/>
    </row>
    <row r="919" spans="1:33" x14ac:dyDescent="0.25">
      <c r="A919" s="32"/>
      <c r="B919" s="306"/>
      <c r="C919" s="307"/>
      <c r="D919" s="312"/>
      <c r="E919" s="301"/>
      <c r="F919" s="232"/>
      <c r="J919" s="306"/>
      <c r="K919" s="306"/>
      <c r="L919" s="313"/>
      <c r="M919" s="219"/>
      <c r="N919" s="218"/>
      <c r="S919" s="224"/>
      <c r="T919" s="228"/>
      <c r="U919" s="226"/>
      <c r="V919" s="226"/>
      <c r="W919" s="303"/>
      <c r="X919" s="220"/>
      <c r="Z919" s="227"/>
      <c r="AA919" s="220"/>
      <c r="AB919" s="221"/>
      <c r="AC919" s="229"/>
      <c r="AD919" s="230"/>
      <c r="AE919" s="230"/>
      <c r="AF919" s="230"/>
      <c r="AG919" s="227"/>
    </row>
    <row r="920" spans="1:33" x14ac:dyDescent="0.25">
      <c r="A920" s="32"/>
      <c r="B920" s="306"/>
      <c r="C920" s="307"/>
      <c r="D920" s="312"/>
      <c r="E920" s="301"/>
      <c r="F920" s="232"/>
      <c r="J920" s="306"/>
      <c r="K920" s="306"/>
      <c r="L920" s="313"/>
      <c r="M920" s="219"/>
      <c r="N920" s="218"/>
      <c r="S920" s="224"/>
      <c r="T920" s="228"/>
      <c r="U920" s="226"/>
      <c r="V920" s="226"/>
      <c r="W920" s="303"/>
      <c r="X920" s="220"/>
      <c r="Z920" s="227"/>
      <c r="AA920" s="220"/>
      <c r="AB920" s="221"/>
      <c r="AC920" s="229"/>
      <c r="AD920" s="230"/>
      <c r="AE920" s="230"/>
      <c r="AF920" s="230"/>
      <c r="AG920" s="227"/>
    </row>
    <row r="921" spans="1:33" x14ac:dyDescent="0.25">
      <c r="A921" s="32"/>
      <c r="B921" s="306"/>
      <c r="C921" s="307"/>
      <c r="D921" s="312"/>
      <c r="E921" s="301"/>
      <c r="F921" s="232"/>
      <c r="J921" s="306"/>
      <c r="K921" s="306"/>
      <c r="L921" s="313"/>
      <c r="M921" s="219"/>
      <c r="N921" s="218"/>
      <c r="S921" s="224"/>
      <c r="T921" s="228"/>
      <c r="U921" s="226"/>
      <c r="V921" s="226"/>
      <c r="W921" s="303"/>
      <c r="X921" s="220"/>
      <c r="Z921" s="227"/>
      <c r="AA921" s="220"/>
      <c r="AB921" s="221"/>
      <c r="AC921" s="229"/>
      <c r="AD921" s="230"/>
      <c r="AE921" s="230"/>
      <c r="AF921" s="230"/>
      <c r="AG921" s="227"/>
    </row>
    <row r="922" spans="1:33" x14ac:dyDescent="0.25">
      <c r="A922" s="32"/>
      <c r="B922" s="306"/>
      <c r="C922" s="307"/>
      <c r="D922" s="312"/>
      <c r="E922" s="301"/>
      <c r="F922" s="232"/>
      <c r="J922" s="306"/>
      <c r="K922" s="306"/>
      <c r="L922" s="313"/>
      <c r="M922" s="219"/>
      <c r="N922" s="218"/>
      <c r="S922" s="224"/>
      <c r="T922" s="228"/>
      <c r="U922" s="226"/>
      <c r="V922" s="226"/>
      <c r="W922" s="303"/>
      <c r="X922" s="220"/>
      <c r="Z922" s="227"/>
      <c r="AA922" s="220"/>
      <c r="AB922" s="221"/>
      <c r="AC922" s="229"/>
      <c r="AD922" s="230"/>
      <c r="AE922" s="230"/>
      <c r="AF922" s="230"/>
      <c r="AG922" s="227"/>
    </row>
    <row r="923" spans="1:33" x14ac:dyDescent="0.25">
      <c r="A923" s="32"/>
      <c r="B923" s="306"/>
      <c r="C923" s="307"/>
      <c r="D923" s="312"/>
      <c r="E923" s="301"/>
      <c r="F923" s="232"/>
      <c r="J923" s="306"/>
      <c r="K923" s="306"/>
      <c r="L923" s="313"/>
      <c r="M923" s="219"/>
      <c r="N923" s="218"/>
      <c r="S923" s="224"/>
      <c r="T923" s="228"/>
      <c r="U923" s="226"/>
      <c r="V923" s="226"/>
      <c r="W923" s="303"/>
      <c r="X923" s="220"/>
      <c r="Z923" s="227"/>
      <c r="AA923" s="220"/>
      <c r="AB923" s="221"/>
      <c r="AC923" s="229"/>
      <c r="AD923" s="230"/>
      <c r="AE923" s="230"/>
      <c r="AF923" s="230"/>
      <c r="AG923" s="227"/>
    </row>
    <row r="924" spans="1:33" x14ac:dyDescent="0.25">
      <c r="A924" s="32"/>
      <c r="B924" s="306"/>
      <c r="C924" s="307"/>
      <c r="D924" s="312"/>
      <c r="E924" s="301"/>
      <c r="F924" s="232"/>
      <c r="J924" s="306"/>
      <c r="K924" s="306"/>
      <c r="L924" s="313"/>
      <c r="M924" s="219"/>
      <c r="N924" s="218"/>
      <c r="S924" s="224"/>
      <c r="T924" s="228"/>
      <c r="U924" s="226"/>
      <c r="V924" s="226"/>
      <c r="W924" s="303"/>
      <c r="X924" s="220"/>
      <c r="Z924" s="227"/>
      <c r="AA924" s="220"/>
      <c r="AB924" s="221"/>
      <c r="AC924" s="229"/>
      <c r="AD924" s="230"/>
      <c r="AE924" s="230"/>
      <c r="AF924" s="230"/>
      <c r="AG924" s="227"/>
    </row>
    <row r="925" spans="1:33" x14ac:dyDescent="0.25">
      <c r="A925" s="32"/>
      <c r="B925" s="306"/>
      <c r="C925" s="307"/>
      <c r="D925" s="312"/>
      <c r="E925" s="301"/>
      <c r="F925" s="232"/>
      <c r="J925" s="306"/>
      <c r="K925" s="306"/>
      <c r="L925" s="313"/>
      <c r="M925" s="219"/>
      <c r="N925" s="218"/>
      <c r="S925" s="224"/>
      <c r="T925" s="228"/>
      <c r="U925" s="226"/>
      <c r="V925" s="226"/>
      <c r="W925" s="303"/>
      <c r="X925" s="220"/>
      <c r="Z925" s="227"/>
      <c r="AA925" s="220"/>
      <c r="AB925" s="221"/>
      <c r="AC925" s="229"/>
      <c r="AD925" s="230"/>
      <c r="AE925" s="230"/>
      <c r="AF925" s="230"/>
      <c r="AG925" s="227"/>
    </row>
    <row r="926" spans="1:33" x14ac:dyDescent="0.25">
      <c r="A926" s="32"/>
      <c r="B926" s="306"/>
      <c r="C926" s="307"/>
      <c r="D926" s="312"/>
      <c r="E926" s="301"/>
      <c r="F926" s="232"/>
      <c r="J926" s="306"/>
      <c r="K926" s="306"/>
      <c r="L926" s="313"/>
      <c r="M926" s="219"/>
      <c r="N926" s="218"/>
      <c r="S926" s="224"/>
      <c r="T926" s="228"/>
      <c r="U926" s="226"/>
      <c r="V926" s="226"/>
      <c r="W926" s="303"/>
      <c r="X926" s="220"/>
      <c r="Z926" s="227"/>
      <c r="AA926" s="220"/>
      <c r="AB926" s="221"/>
      <c r="AC926" s="229"/>
      <c r="AD926" s="230"/>
      <c r="AE926" s="230"/>
      <c r="AF926" s="230"/>
      <c r="AG926" s="227"/>
    </row>
    <row r="927" spans="1:33" x14ac:dyDescent="0.25">
      <c r="A927" s="32"/>
      <c r="B927" s="306"/>
      <c r="C927" s="307"/>
      <c r="D927" s="312"/>
      <c r="E927" s="301"/>
      <c r="F927" s="232"/>
      <c r="J927" s="306"/>
      <c r="K927" s="306"/>
      <c r="L927" s="313"/>
      <c r="M927" s="219"/>
      <c r="N927" s="218"/>
      <c r="S927" s="224"/>
      <c r="T927" s="228"/>
      <c r="U927" s="226"/>
      <c r="V927" s="226"/>
      <c r="W927" s="303"/>
      <c r="X927" s="220"/>
      <c r="Z927" s="227"/>
      <c r="AA927" s="220"/>
      <c r="AB927" s="221"/>
      <c r="AC927" s="229"/>
      <c r="AD927" s="230"/>
      <c r="AE927" s="230"/>
      <c r="AF927" s="230"/>
      <c r="AG927" s="227"/>
    </row>
    <row r="928" spans="1:33" x14ac:dyDescent="0.25">
      <c r="A928" s="32"/>
      <c r="B928" s="306"/>
      <c r="C928" s="307"/>
      <c r="D928" s="312"/>
      <c r="E928" s="301"/>
      <c r="F928" s="232"/>
      <c r="J928" s="306"/>
      <c r="K928" s="306"/>
      <c r="L928" s="313"/>
      <c r="M928" s="219"/>
      <c r="N928" s="218"/>
      <c r="S928" s="224"/>
      <c r="T928" s="228"/>
      <c r="U928" s="226"/>
      <c r="V928" s="226"/>
      <c r="W928" s="303"/>
      <c r="X928" s="220"/>
      <c r="Z928" s="227"/>
      <c r="AA928" s="220"/>
      <c r="AB928" s="221"/>
      <c r="AC928" s="229"/>
      <c r="AD928" s="230"/>
      <c r="AE928" s="230"/>
      <c r="AF928" s="230"/>
      <c r="AG928" s="227"/>
    </row>
    <row r="929" spans="1:33" x14ac:dyDescent="0.25">
      <c r="A929" s="32"/>
      <c r="B929" s="306"/>
      <c r="C929" s="307"/>
      <c r="D929" s="312"/>
      <c r="E929" s="301"/>
      <c r="F929" s="232"/>
      <c r="J929" s="306"/>
      <c r="K929" s="306"/>
      <c r="L929" s="313"/>
      <c r="M929" s="219"/>
      <c r="N929" s="218"/>
      <c r="S929" s="224"/>
      <c r="T929" s="228"/>
      <c r="U929" s="226"/>
      <c r="V929" s="226"/>
      <c r="W929" s="303"/>
      <c r="X929" s="220"/>
      <c r="Z929" s="227"/>
      <c r="AA929" s="220"/>
      <c r="AB929" s="221"/>
      <c r="AC929" s="229"/>
      <c r="AD929" s="230"/>
      <c r="AE929" s="230"/>
      <c r="AF929" s="230"/>
      <c r="AG929" s="227"/>
    </row>
    <row r="930" spans="1:33" x14ac:dyDescent="0.25">
      <c r="A930" s="32"/>
      <c r="B930" s="306"/>
      <c r="C930" s="307"/>
      <c r="D930" s="312"/>
      <c r="E930" s="301"/>
      <c r="F930" s="232"/>
      <c r="J930" s="306"/>
      <c r="K930" s="306"/>
      <c r="L930" s="313"/>
      <c r="M930" s="219"/>
      <c r="N930" s="218"/>
      <c r="S930" s="224"/>
      <c r="T930" s="228"/>
      <c r="U930" s="226"/>
      <c r="V930" s="226"/>
      <c r="W930" s="303"/>
      <c r="X930" s="220"/>
      <c r="Z930" s="227"/>
      <c r="AA930" s="220"/>
      <c r="AB930" s="221"/>
      <c r="AC930" s="229"/>
      <c r="AD930" s="230"/>
      <c r="AE930" s="230"/>
      <c r="AF930" s="230"/>
      <c r="AG930" s="227"/>
    </row>
    <row r="931" spans="1:33" x14ac:dyDescent="0.25">
      <c r="A931" s="32"/>
      <c r="B931" s="306"/>
      <c r="C931" s="307"/>
      <c r="D931" s="312"/>
      <c r="E931" s="301"/>
      <c r="F931" s="232"/>
      <c r="J931" s="306"/>
      <c r="K931" s="306"/>
      <c r="L931" s="313"/>
      <c r="M931" s="219"/>
      <c r="N931" s="218"/>
      <c r="S931" s="224"/>
      <c r="T931" s="228"/>
      <c r="U931" s="226"/>
      <c r="V931" s="226"/>
      <c r="W931" s="303"/>
      <c r="X931" s="220"/>
      <c r="Z931" s="227"/>
      <c r="AA931" s="220"/>
      <c r="AB931" s="221"/>
      <c r="AC931" s="229"/>
      <c r="AD931" s="230"/>
      <c r="AE931" s="230"/>
      <c r="AF931" s="230"/>
      <c r="AG931" s="227"/>
    </row>
    <row r="932" spans="1:33" x14ac:dyDescent="0.25">
      <c r="A932" s="32"/>
      <c r="B932" s="306"/>
      <c r="C932" s="307"/>
      <c r="D932" s="312"/>
      <c r="E932" s="301"/>
      <c r="F932" s="232"/>
      <c r="J932" s="306"/>
      <c r="K932" s="306"/>
      <c r="L932" s="313"/>
      <c r="M932" s="219"/>
      <c r="N932" s="218"/>
      <c r="S932" s="224"/>
      <c r="T932" s="228"/>
      <c r="U932" s="226"/>
      <c r="V932" s="226"/>
      <c r="W932" s="303"/>
      <c r="X932" s="220"/>
      <c r="Z932" s="227"/>
      <c r="AA932" s="220"/>
      <c r="AB932" s="221"/>
      <c r="AC932" s="229"/>
      <c r="AD932" s="230"/>
      <c r="AE932" s="230"/>
      <c r="AF932" s="230"/>
      <c r="AG932" s="227"/>
    </row>
    <row r="933" spans="1:33" x14ac:dyDescent="0.25">
      <c r="A933" s="32"/>
      <c r="B933" s="306"/>
      <c r="C933" s="307"/>
      <c r="D933" s="312"/>
      <c r="E933" s="301"/>
      <c r="F933" s="232"/>
      <c r="J933" s="306"/>
      <c r="K933" s="306"/>
      <c r="L933" s="313"/>
      <c r="M933" s="219"/>
      <c r="N933" s="218"/>
      <c r="S933" s="224"/>
      <c r="T933" s="228"/>
      <c r="U933" s="226"/>
      <c r="V933" s="226"/>
      <c r="W933" s="303"/>
      <c r="X933" s="220"/>
      <c r="Z933" s="227"/>
      <c r="AA933" s="220"/>
      <c r="AB933" s="221"/>
      <c r="AC933" s="229"/>
      <c r="AD933" s="230"/>
      <c r="AE933" s="230"/>
      <c r="AF933" s="230"/>
      <c r="AG933" s="227"/>
    </row>
    <row r="934" spans="1:33" x14ac:dyDescent="0.25">
      <c r="A934" s="32"/>
      <c r="B934" s="306"/>
      <c r="C934" s="307"/>
      <c r="D934" s="312"/>
      <c r="E934" s="301"/>
      <c r="F934" s="232"/>
      <c r="J934" s="306"/>
      <c r="K934" s="306"/>
      <c r="L934" s="313"/>
      <c r="M934" s="219"/>
      <c r="N934" s="218"/>
      <c r="S934" s="224"/>
      <c r="T934" s="228"/>
      <c r="U934" s="226"/>
      <c r="V934" s="226"/>
      <c r="W934" s="303"/>
      <c r="X934" s="220"/>
      <c r="Z934" s="227"/>
      <c r="AA934" s="220"/>
      <c r="AB934" s="221"/>
      <c r="AC934" s="229"/>
      <c r="AD934" s="230"/>
      <c r="AE934" s="230"/>
      <c r="AF934" s="230"/>
      <c r="AG934" s="227"/>
    </row>
    <row r="935" spans="1:33" x14ac:dyDescent="0.25">
      <c r="A935" s="32"/>
      <c r="B935" s="306"/>
      <c r="C935" s="307"/>
      <c r="D935" s="312"/>
      <c r="E935" s="301"/>
      <c r="F935" s="232"/>
      <c r="J935" s="306"/>
      <c r="K935" s="306"/>
      <c r="L935" s="313"/>
      <c r="M935" s="219"/>
      <c r="N935" s="218"/>
      <c r="S935" s="224"/>
      <c r="T935" s="228"/>
      <c r="U935" s="226"/>
      <c r="V935" s="226"/>
      <c r="W935" s="303"/>
      <c r="X935" s="220"/>
      <c r="Z935" s="227"/>
      <c r="AA935" s="220"/>
      <c r="AB935" s="221"/>
      <c r="AC935" s="229"/>
      <c r="AD935" s="230"/>
      <c r="AE935" s="230"/>
      <c r="AF935" s="230"/>
      <c r="AG935" s="227"/>
    </row>
    <row r="936" spans="1:33" x14ac:dyDescent="0.25">
      <c r="A936" s="32"/>
      <c r="B936" s="306"/>
      <c r="C936" s="307"/>
      <c r="D936" s="312"/>
      <c r="E936" s="301"/>
      <c r="F936" s="232"/>
      <c r="J936" s="306"/>
      <c r="K936" s="306"/>
      <c r="L936" s="313"/>
      <c r="M936" s="219"/>
      <c r="N936" s="218"/>
      <c r="S936" s="224"/>
      <c r="T936" s="228"/>
      <c r="U936" s="226"/>
      <c r="V936" s="226"/>
      <c r="W936" s="303"/>
      <c r="X936" s="220"/>
      <c r="Z936" s="227"/>
      <c r="AA936" s="220"/>
      <c r="AB936" s="221"/>
      <c r="AC936" s="229"/>
      <c r="AD936" s="230"/>
      <c r="AE936" s="230"/>
      <c r="AF936" s="230"/>
      <c r="AG936" s="227"/>
    </row>
    <row r="937" spans="1:33" x14ac:dyDescent="0.25">
      <c r="A937" s="32"/>
      <c r="B937" s="306"/>
      <c r="C937" s="307"/>
      <c r="D937" s="312"/>
      <c r="E937" s="301"/>
      <c r="F937" s="232"/>
      <c r="J937" s="306"/>
      <c r="K937" s="306"/>
      <c r="L937" s="313"/>
      <c r="M937" s="219"/>
      <c r="N937" s="218"/>
      <c r="S937" s="224"/>
      <c r="T937" s="228"/>
      <c r="U937" s="226"/>
      <c r="V937" s="226"/>
      <c r="W937" s="303"/>
      <c r="X937" s="220"/>
      <c r="Z937" s="227"/>
      <c r="AA937" s="220"/>
      <c r="AB937" s="221"/>
      <c r="AC937" s="229"/>
      <c r="AD937" s="230"/>
      <c r="AE937" s="230"/>
      <c r="AF937" s="230"/>
      <c r="AG937" s="227"/>
    </row>
    <row r="938" spans="1:33" x14ac:dyDescent="0.25">
      <c r="A938" s="32"/>
      <c r="B938" s="306"/>
      <c r="C938" s="307"/>
      <c r="D938" s="312"/>
      <c r="E938" s="301"/>
      <c r="F938" s="232"/>
      <c r="J938" s="306"/>
      <c r="K938" s="306"/>
      <c r="L938" s="313"/>
      <c r="M938" s="219"/>
      <c r="N938" s="218"/>
      <c r="S938" s="224"/>
      <c r="T938" s="228"/>
      <c r="U938" s="226"/>
      <c r="V938" s="226"/>
      <c r="W938" s="303"/>
      <c r="X938" s="220"/>
      <c r="Z938" s="227"/>
      <c r="AA938" s="220"/>
      <c r="AB938" s="221"/>
      <c r="AC938" s="229"/>
      <c r="AD938" s="230"/>
      <c r="AE938" s="230"/>
      <c r="AF938" s="230"/>
      <c r="AG938" s="227"/>
    </row>
    <row r="939" spans="1:33" x14ac:dyDescent="0.25">
      <c r="A939" s="32"/>
      <c r="B939" s="306"/>
      <c r="C939" s="307"/>
      <c r="D939" s="312"/>
      <c r="E939" s="301"/>
      <c r="F939" s="232"/>
      <c r="J939" s="306"/>
      <c r="K939" s="306"/>
      <c r="L939" s="313"/>
      <c r="M939" s="219"/>
      <c r="N939" s="218"/>
      <c r="S939" s="224"/>
      <c r="T939" s="228"/>
      <c r="U939" s="226"/>
      <c r="V939" s="226"/>
      <c r="W939" s="303"/>
      <c r="X939" s="220"/>
      <c r="Z939" s="227"/>
      <c r="AA939" s="220"/>
      <c r="AB939" s="221"/>
      <c r="AC939" s="229"/>
      <c r="AD939" s="230"/>
      <c r="AE939" s="230"/>
      <c r="AF939" s="230"/>
      <c r="AG939" s="227"/>
    </row>
    <row r="940" spans="1:33" x14ac:dyDescent="0.25">
      <c r="A940" s="32"/>
      <c r="B940" s="306"/>
      <c r="C940" s="307"/>
      <c r="D940" s="312"/>
      <c r="E940" s="301"/>
      <c r="F940" s="232"/>
      <c r="J940" s="306"/>
      <c r="K940" s="306"/>
      <c r="L940" s="313"/>
      <c r="M940" s="219"/>
      <c r="N940" s="218"/>
      <c r="S940" s="224"/>
      <c r="T940" s="228"/>
      <c r="U940" s="226"/>
      <c r="V940" s="226"/>
      <c r="W940" s="303"/>
      <c r="X940" s="220"/>
      <c r="Z940" s="227"/>
      <c r="AA940" s="220"/>
      <c r="AB940" s="221"/>
      <c r="AC940" s="229"/>
      <c r="AD940" s="230"/>
      <c r="AE940" s="230"/>
      <c r="AF940" s="230"/>
      <c r="AG940" s="227"/>
    </row>
    <row r="941" spans="1:33" x14ac:dyDescent="0.25">
      <c r="A941" s="32"/>
      <c r="B941" s="306"/>
      <c r="C941" s="307"/>
      <c r="D941" s="312"/>
      <c r="E941" s="301"/>
      <c r="F941" s="232"/>
      <c r="J941" s="306"/>
      <c r="K941" s="306"/>
      <c r="L941" s="313"/>
      <c r="M941" s="219"/>
      <c r="N941" s="218"/>
      <c r="S941" s="224"/>
      <c r="T941" s="228"/>
      <c r="U941" s="226"/>
      <c r="V941" s="226"/>
      <c r="W941" s="303"/>
      <c r="X941" s="220"/>
      <c r="Z941" s="227"/>
      <c r="AA941" s="220"/>
      <c r="AB941" s="221"/>
      <c r="AC941" s="229"/>
      <c r="AD941" s="230"/>
      <c r="AE941" s="230"/>
      <c r="AF941" s="230"/>
      <c r="AG941" s="227"/>
    </row>
    <row r="942" spans="1:33" x14ac:dyDescent="0.25">
      <c r="A942" s="32"/>
      <c r="B942" s="306"/>
      <c r="C942" s="307"/>
      <c r="D942" s="312"/>
      <c r="E942" s="301"/>
      <c r="F942" s="232"/>
      <c r="J942" s="306"/>
      <c r="K942" s="306"/>
      <c r="L942" s="313"/>
      <c r="M942" s="219"/>
      <c r="N942" s="218"/>
      <c r="S942" s="224"/>
      <c r="T942" s="228"/>
      <c r="U942" s="226"/>
      <c r="V942" s="226"/>
      <c r="W942" s="303"/>
      <c r="X942" s="220"/>
      <c r="Z942" s="227"/>
      <c r="AA942" s="220"/>
      <c r="AB942" s="221"/>
      <c r="AC942" s="229"/>
      <c r="AD942" s="230"/>
      <c r="AE942" s="230"/>
      <c r="AF942" s="230"/>
      <c r="AG942" s="227"/>
    </row>
    <row r="943" spans="1:33" x14ac:dyDescent="0.25">
      <c r="A943" s="32"/>
      <c r="B943" s="306"/>
      <c r="C943" s="307"/>
      <c r="D943" s="312"/>
      <c r="E943" s="301"/>
      <c r="F943" s="232"/>
      <c r="J943" s="306"/>
      <c r="K943" s="306"/>
      <c r="L943" s="313"/>
      <c r="M943" s="219"/>
      <c r="N943" s="218"/>
      <c r="S943" s="224"/>
      <c r="T943" s="228"/>
      <c r="U943" s="226"/>
      <c r="V943" s="226"/>
      <c r="W943" s="303"/>
      <c r="X943" s="220"/>
      <c r="Z943" s="227"/>
      <c r="AA943" s="220"/>
      <c r="AB943" s="221"/>
      <c r="AC943" s="229"/>
      <c r="AD943" s="230"/>
      <c r="AE943" s="230"/>
      <c r="AF943" s="230"/>
      <c r="AG943" s="227"/>
    </row>
    <row r="944" spans="1:33" x14ac:dyDescent="0.25">
      <c r="A944" s="32"/>
      <c r="B944" s="306"/>
      <c r="C944" s="307"/>
      <c r="D944" s="312"/>
      <c r="E944" s="301"/>
      <c r="F944" s="232"/>
      <c r="J944" s="306"/>
      <c r="K944" s="306"/>
      <c r="L944" s="313"/>
      <c r="M944" s="219"/>
      <c r="N944" s="218"/>
      <c r="S944" s="224"/>
      <c r="T944" s="228"/>
      <c r="U944" s="226"/>
      <c r="V944" s="226"/>
      <c r="W944" s="303"/>
      <c r="X944" s="220"/>
      <c r="Z944" s="227"/>
      <c r="AA944" s="220"/>
      <c r="AB944" s="221"/>
      <c r="AC944" s="229"/>
      <c r="AD944" s="230"/>
      <c r="AE944" s="230"/>
      <c r="AF944" s="230"/>
      <c r="AG944" s="227"/>
    </row>
    <row r="945" spans="1:33" x14ac:dyDescent="0.25">
      <c r="A945" s="32"/>
      <c r="B945" s="306"/>
      <c r="C945" s="307"/>
      <c r="D945" s="312"/>
      <c r="E945" s="301"/>
      <c r="F945" s="232"/>
      <c r="J945" s="306"/>
      <c r="K945" s="306"/>
      <c r="L945" s="313"/>
      <c r="M945" s="219"/>
      <c r="N945" s="218"/>
      <c r="S945" s="224"/>
      <c r="T945" s="228"/>
      <c r="U945" s="226"/>
      <c r="V945" s="226"/>
      <c r="W945" s="303"/>
      <c r="X945" s="220"/>
      <c r="Z945" s="227"/>
      <c r="AA945" s="220"/>
      <c r="AB945" s="221"/>
      <c r="AC945" s="229"/>
      <c r="AD945" s="230"/>
      <c r="AE945" s="230"/>
      <c r="AF945" s="230"/>
      <c r="AG945" s="227"/>
    </row>
    <row r="946" spans="1:33" x14ac:dyDescent="0.25">
      <c r="A946" s="32"/>
      <c r="B946" s="306"/>
      <c r="C946" s="307"/>
      <c r="D946" s="312"/>
      <c r="E946" s="301"/>
      <c r="F946" s="232"/>
      <c r="J946" s="306"/>
      <c r="K946" s="306"/>
      <c r="L946" s="313"/>
      <c r="M946" s="219"/>
      <c r="N946" s="218"/>
      <c r="S946" s="224"/>
      <c r="T946" s="228"/>
      <c r="U946" s="226"/>
      <c r="V946" s="226"/>
      <c r="W946" s="303"/>
      <c r="X946" s="220"/>
      <c r="Z946" s="227"/>
      <c r="AA946" s="220"/>
      <c r="AB946" s="221"/>
      <c r="AC946" s="229"/>
      <c r="AD946" s="230"/>
      <c r="AE946" s="230"/>
      <c r="AF946" s="230"/>
      <c r="AG946" s="227"/>
    </row>
    <row r="947" spans="1:33" x14ac:dyDescent="0.25">
      <c r="A947" s="32"/>
      <c r="B947" s="306"/>
      <c r="C947" s="307"/>
      <c r="D947" s="312"/>
      <c r="E947" s="301"/>
      <c r="F947" s="232"/>
      <c r="J947" s="306"/>
      <c r="K947" s="306"/>
      <c r="L947" s="313"/>
      <c r="M947" s="219"/>
      <c r="N947" s="218"/>
      <c r="S947" s="224"/>
      <c r="T947" s="228"/>
      <c r="U947" s="226"/>
      <c r="V947" s="226"/>
      <c r="W947" s="303"/>
      <c r="X947" s="220"/>
      <c r="Z947" s="227"/>
      <c r="AA947" s="220"/>
      <c r="AB947" s="221"/>
      <c r="AC947" s="229"/>
      <c r="AD947" s="230"/>
      <c r="AE947" s="230"/>
      <c r="AF947" s="230"/>
      <c r="AG947" s="227"/>
    </row>
    <row r="948" spans="1:33" x14ac:dyDescent="0.25">
      <c r="A948" s="32"/>
      <c r="B948" s="306"/>
      <c r="C948" s="307"/>
      <c r="D948" s="312"/>
      <c r="E948" s="301"/>
      <c r="F948" s="232"/>
      <c r="J948" s="306"/>
      <c r="K948" s="306"/>
      <c r="L948" s="313"/>
      <c r="M948" s="219"/>
      <c r="N948" s="218"/>
      <c r="S948" s="224"/>
      <c r="T948" s="228"/>
      <c r="U948" s="226"/>
      <c r="V948" s="226"/>
      <c r="W948" s="303"/>
      <c r="X948" s="220"/>
      <c r="Z948" s="227"/>
      <c r="AA948" s="220"/>
      <c r="AB948" s="221"/>
      <c r="AC948" s="229"/>
      <c r="AD948" s="230"/>
      <c r="AE948" s="230"/>
      <c r="AF948" s="230"/>
      <c r="AG948" s="227"/>
    </row>
    <row r="949" spans="1:33" x14ac:dyDescent="0.25">
      <c r="A949" s="32"/>
      <c r="B949" s="306"/>
      <c r="C949" s="307"/>
      <c r="D949" s="312"/>
      <c r="E949" s="301"/>
      <c r="F949" s="232"/>
      <c r="J949" s="306"/>
      <c r="K949" s="306"/>
      <c r="L949" s="313"/>
      <c r="M949" s="219"/>
      <c r="N949" s="218"/>
      <c r="S949" s="224"/>
      <c r="T949" s="228"/>
      <c r="U949" s="226"/>
      <c r="V949" s="226"/>
      <c r="W949" s="303"/>
      <c r="X949" s="220"/>
      <c r="Z949" s="227"/>
      <c r="AA949" s="220"/>
      <c r="AB949" s="221"/>
      <c r="AC949" s="229"/>
      <c r="AD949" s="230"/>
      <c r="AE949" s="230"/>
      <c r="AF949" s="230"/>
      <c r="AG949" s="227"/>
    </row>
    <row r="950" spans="1:33" x14ac:dyDescent="0.25">
      <c r="A950" s="32"/>
      <c r="B950" s="306"/>
      <c r="C950" s="307"/>
      <c r="D950" s="312"/>
      <c r="E950" s="301"/>
      <c r="F950" s="232"/>
      <c r="J950" s="306"/>
      <c r="K950" s="306"/>
      <c r="L950" s="313"/>
      <c r="M950" s="219"/>
      <c r="N950" s="218"/>
      <c r="S950" s="224"/>
      <c r="T950" s="228"/>
      <c r="U950" s="226"/>
      <c r="V950" s="226"/>
      <c r="W950" s="303"/>
      <c r="X950" s="220"/>
      <c r="Z950" s="227"/>
      <c r="AA950" s="220"/>
      <c r="AB950" s="221"/>
      <c r="AC950" s="229"/>
      <c r="AD950" s="230"/>
      <c r="AE950" s="230"/>
      <c r="AF950" s="230"/>
      <c r="AG950" s="227"/>
    </row>
    <row r="951" spans="1:33" x14ac:dyDescent="0.25">
      <c r="A951" s="32"/>
      <c r="B951" s="306"/>
      <c r="C951" s="307"/>
      <c r="D951" s="312"/>
      <c r="E951" s="301"/>
      <c r="F951" s="232"/>
      <c r="J951" s="306"/>
      <c r="K951" s="306"/>
      <c r="L951" s="313"/>
      <c r="M951" s="219"/>
      <c r="N951" s="218"/>
      <c r="S951" s="224"/>
      <c r="T951" s="228"/>
      <c r="U951" s="226"/>
      <c r="V951" s="226"/>
      <c r="W951" s="303"/>
      <c r="X951" s="220"/>
      <c r="Z951" s="227"/>
      <c r="AA951" s="220"/>
      <c r="AB951" s="221"/>
      <c r="AC951" s="229"/>
      <c r="AD951" s="230"/>
      <c r="AE951" s="230"/>
      <c r="AF951" s="230"/>
      <c r="AG951" s="227"/>
    </row>
    <row r="952" spans="1:33" x14ac:dyDescent="0.25">
      <c r="A952" s="32"/>
      <c r="B952" s="306"/>
      <c r="C952" s="307"/>
      <c r="D952" s="312"/>
      <c r="E952" s="301"/>
      <c r="F952" s="232"/>
      <c r="J952" s="306"/>
      <c r="K952" s="306"/>
      <c r="L952" s="313"/>
      <c r="M952" s="219"/>
      <c r="N952" s="218"/>
      <c r="S952" s="224"/>
      <c r="T952" s="228"/>
      <c r="U952" s="226"/>
      <c r="V952" s="226"/>
      <c r="W952" s="303"/>
      <c r="X952" s="220"/>
      <c r="Z952" s="227"/>
      <c r="AA952" s="220"/>
      <c r="AB952" s="221"/>
      <c r="AC952" s="229"/>
      <c r="AD952" s="230"/>
      <c r="AE952" s="230"/>
      <c r="AF952" s="230"/>
      <c r="AG952" s="227"/>
    </row>
    <row r="953" spans="1:33" x14ac:dyDescent="0.25">
      <c r="A953" s="32"/>
      <c r="B953" s="306"/>
      <c r="C953" s="307"/>
      <c r="D953" s="312"/>
      <c r="E953" s="301"/>
      <c r="F953" s="232"/>
      <c r="J953" s="306"/>
      <c r="K953" s="306"/>
      <c r="L953" s="313"/>
      <c r="M953" s="219"/>
      <c r="N953" s="218"/>
      <c r="S953" s="224"/>
      <c r="T953" s="228"/>
      <c r="U953" s="226"/>
      <c r="V953" s="226"/>
      <c r="W953" s="303"/>
      <c r="X953" s="220"/>
      <c r="Z953" s="227"/>
      <c r="AA953" s="220"/>
      <c r="AB953" s="221"/>
      <c r="AC953" s="229"/>
      <c r="AD953" s="230"/>
      <c r="AE953" s="230"/>
      <c r="AF953" s="230"/>
      <c r="AG953" s="227"/>
    </row>
    <row r="954" spans="1:33" x14ac:dyDescent="0.25">
      <c r="A954" s="32"/>
      <c r="B954" s="306"/>
      <c r="C954" s="307"/>
      <c r="D954" s="312"/>
      <c r="E954" s="301"/>
      <c r="F954" s="232"/>
      <c r="J954" s="306"/>
      <c r="K954" s="306"/>
      <c r="L954" s="313"/>
      <c r="M954" s="219"/>
      <c r="N954" s="218"/>
      <c r="S954" s="224"/>
      <c r="T954" s="228"/>
      <c r="U954" s="226"/>
      <c r="V954" s="226"/>
      <c r="W954" s="303"/>
      <c r="X954" s="220"/>
      <c r="Z954" s="227"/>
      <c r="AA954" s="220"/>
      <c r="AB954" s="221"/>
      <c r="AC954" s="229"/>
      <c r="AD954" s="230"/>
      <c r="AE954" s="230"/>
      <c r="AF954" s="230"/>
      <c r="AG954" s="227"/>
    </row>
    <row r="955" spans="1:33" x14ac:dyDescent="0.25">
      <c r="A955" s="32"/>
      <c r="B955" s="306"/>
      <c r="C955" s="307"/>
      <c r="D955" s="312"/>
      <c r="E955" s="301"/>
      <c r="F955" s="232"/>
      <c r="J955" s="306"/>
      <c r="K955" s="306"/>
      <c r="L955" s="313"/>
      <c r="M955" s="219"/>
      <c r="N955" s="218"/>
      <c r="S955" s="224"/>
      <c r="T955" s="228"/>
      <c r="U955" s="226"/>
      <c r="V955" s="226"/>
      <c r="W955" s="303"/>
      <c r="X955" s="220"/>
      <c r="Z955" s="227"/>
      <c r="AA955" s="220"/>
      <c r="AB955" s="221"/>
      <c r="AC955" s="229"/>
      <c r="AD955" s="230"/>
      <c r="AE955" s="230"/>
      <c r="AF955" s="230"/>
      <c r="AG955" s="227"/>
    </row>
    <row r="956" spans="1:33" x14ac:dyDescent="0.25">
      <c r="A956" s="32"/>
      <c r="B956" s="306"/>
      <c r="C956" s="307"/>
      <c r="D956" s="312"/>
      <c r="E956" s="301"/>
      <c r="F956" s="232"/>
      <c r="J956" s="306"/>
      <c r="K956" s="306"/>
      <c r="L956" s="313"/>
      <c r="M956" s="219"/>
      <c r="N956" s="218"/>
      <c r="S956" s="224"/>
      <c r="T956" s="228"/>
      <c r="U956" s="226"/>
      <c r="V956" s="226"/>
      <c r="W956" s="303"/>
      <c r="X956" s="220"/>
      <c r="Z956" s="227"/>
      <c r="AA956" s="220"/>
      <c r="AB956" s="221"/>
      <c r="AC956" s="229"/>
      <c r="AD956" s="230"/>
      <c r="AE956" s="230"/>
      <c r="AF956" s="230"/>
      <c r="AG956" s="227"/>
    </row>
    <row r="957" spans="1:33" x14ac:dyDescent="0.25">
      <c r="A957" s="32"/>
      <c r="B957" s="306"/>
      <c r="C957" s="307"/>
      <c r="D957" s="312"/>
      <c r="E957" s="301"/>
      <c r="F957" s="232"/>
      <c r="J957" s="306"/>
      <c r="K957" s="306"/>
      <c r="L957" s="313"/>
      <c r="M957" s="219"/>
      <c r="N957" s="218"/>
      <c r="S957" s="224"/>
      <c r="T957" s="228"/>
      <c r="U957" s="226"/>
      <c r="V957" s="226"/>
      <c r="W957" s="303"/>
      <c r="X957" s="220"/>
      <c r="Z957" s="227"/>
      <c r="AA957" s="220"/>
      <c r="AB957" s="221"/>
      <c r="AC957" s="229"/>
      <c r="AD957" s="230"/>
      <c r="AE957" s="230"/>
      <c r="AF957" s="230"/>
      <c r="AG957" s="227"/>
    </row>
    <row r="958" spans="1:33" x14ac:dyDescent="0.25">
      <c r="A958" s="32"/>
      <c r="B958" s="306"/>
      <c r="C958" s="307"/>
      <c r="D958" s="312"/>
      <c r="E958" s="301"/>
      <c r="F958" s="232"/>
      <c r="J958" s="306"/>
      <c r="K958" s="306"/>
      <c r="L958" s="313"/>
      <c r="M958" s="219"/>
      <c r="N958" s="218"/>
      <c r="S958" s="224"/>
      <c r="T958" s="228"/>
      <c r="U958" s="226"/>
      <c r="V958" s="226"/>
      <c r="W958" s="303"/>
      <c r="X958" s="220"/>
      <c r="Z958" s="227"/>
      <c r="AA958" s="220"/>
      <c r="AB958" s="221"/>
      <c r="AC958" s="229"/>
      <c r="AD958" s="230"/>
      <c r="AE958" s="230"/>
      <c r="AF958" s="230"/>
      <c r="AG958" s="227"/>
    </row>
    <row r="959" spans="1:33" x14ac:dyDescent="0.25">
      <c r="A959" s="32"/>
      <c r="B959" s="306"/>
      <c r="C959" s="307"/>
      <c r="D959" s="312"/>
      <c r="E959" s="301"/>
      <c r="F959" s="232"/>
      <c r="J959" s="306"/>
      <c r="K959" s="306"/>
      <c r="L959" s="313"/>
      <c r="M959" s="219"/>
      <c r="N959" s="218"/>
      <c r="S959" s="224"/>
      <c r="T959" s="228"/>
      <c r="U959" s="226"/>
      <c r="V959" s="226"/>
      <c r="W959" s="303"/>
      <c r="X959" s="220"/>
      <c r="Z959" s="227"/>
      <c r="AA959" s="220"/>
      <c r="AB959" s="221"/>
      <c r="AC959" s="229"/>
      <c r="AD959" s="230"/>
      <c r="AE959" s="230"/>
      <c r="AF959" s="230"/>
      <c r="AG959" s="227"/>
    </row>
    <row r="960" spans="1:33" x14ac:dyDescent="0.25">
      <c r="A960" s="32"/>
      <c r="B960" s="306"/>
      <c r="C960" s="307"/>
      <c r="D960" s="312"/>
      <c r="E960" s="301"/>
      <c r="F960" s="232"/>
      <c r="J960" s="306"/>
      <c r="K960" s="306"/>
      <c r="L960" s="313"/>
      <c r="M960" s="219"/>
      <c r="N960" s="218"/>
      <c r="S960" s="224"/>
      <c r="T960" s="228"/>
      <c r="U960" s="226"/>
      <c r="V960" s="226"/>
      <c r="W960" s="303"/>
      <c r="X960" s="220"/>
      <c r="Z960" s="227"/>
      <c r="AA960" s="220"/>
      <c r="AB960" s="221"/>
      <c r="AC960" s="229"/>
      <c r="AD960" s="230"/>
      <c r="AE960" s="230"/>
      <c r="AF960" s="230"/>
      <c r="AG960" s="227"/>
    </row>
    <row r="961" spans="1:33" x14ac:dyDescent="0.25">
      <c r="A961" s="32"/>
      <c r="B961" s="306"/>
      <c r="C961" s="307"/>
      <c r="D961" s="312"/>
      <c r="E961" s="301"/>
      <c r="F961" s="232"/>
      <c r="J961" s="306"/>
      <c r="K961" s="306"/>
      <c r="L961" s="313"/>
      <c r="M961" s="219"/>
      <c r="N961" s="218"/>
      <c r="S961" s="224"/>
      <c r="T961" s="228"/>
      <c r="U961" s="226"/>
      <c r="V961" s="226"/>
      <c r="W961" s="303"/>
      <c r="X961" s="220"/>
      <c r="Z961" s="227"/>
      <c r="AA961" s="220"/>
      <c r="AB961" s="221"/>
      <c r="AC961" s="229"/>
      <c r="AD961" s="230"/>
      <c r="AE961" s="230"/>
      <c r="AF961" s="230"/>
      <c r="AG961" s="227"/>
    </row>
    <row r="962" spans="1:33" x14ac:dyDescent="0.25">
      <c r="A962" s="32"/>
      <c r="B962" s="306"/>
      <c r="C962" s="307"/>
      <c r="D962" s="312"/>
      <c r="E962" s="301"/>
      <c r="F962" s="232"/>
      <c r="J962" s="306"/>
      <c r="K962" s="306"/>
      <c r="L962" s="313"/>
      <c r="M962" s="219"/>
      <c r="N962" s="218"/>
      <c r="S962" s="224"/>
      <c r="T962" s="228"/>
      <c r="U962" s="226"/>
      <c r="V962" s="226"/>
      <c r="W962" s="303"/>
      <c r="X962" s="220"/>
      <c r="Z962" s="227"/>
      <c r="AA962" s="220"/>
      <c r="AB962" s="221"/>
      <c r="AC962" s="229"/>
      <c r="AD962" s="230"/>
      <c r="AE962" s="230"/>
      <c r="AF962" s="230"/>
      <c r="AG962" s="227"/>
    </row>
    <row r="963" spans="1:33" x14ac:dyDescent="0.25">
      <c r="A963" s="32"/>
      <c r="B963" s="306"/>
      <c r="C963" s="307"/>
      <c r="D963" s="312"/>
      <c r="E963" s="301"/>
      <c r="F963" s="232"/>
      <c r="J963" s="306"/>
      <c r="K963" s="306"/>
      <c r="L963" s="313"/>
      <c r="M963" s="219"/>
      <c r="N963" s="218"/>
      <c r="S963" s="224"/>
      <c r="T963" s="228"/>
      <c r="U963" s="226"/>
      <c r="V963" s="226"/>
      <c r="W963" s="303"/>
      <c r="X963" s="220"/>
      <c r="Z963" s="227"/>
      <c r="AA963" s="220"/>
      <c r="AB963" s="221"/>
      <c r="AC963" s="229"/>
      <c r="AD963" s="230"/>
      <c r="AE963" s="230"/>
      <c r="AF963" s="230"/>
      <c r="AG963" s="227"/>
    </row>
    <row r="964" spans="1:33" x14ac:dyDescent="0.25">
      <c r="A964" s="32"/>
      <c r="B964" s="306"/>
      <c r="C964" s="307"/>
      <c r="D964" s="312"/>
      <c r="E964" s="301"/>
      <c r="F964" s="232"/>
      <c r="J964" s="306"/>
      <c r="K964" s="306"/>
      <c r="L964" s="313"/>
      <c r="M964" s="219"/>
      <c r="N964" s="218"/>
      <c r="S964" s="224"/>
      <c r="T964" s="228"/>
      <c r="U964" s="226"/>
      <c r="V964" s="226"/>
      <c r="W964" s="303"/>
      <c r="X964" s="220"/>
      <c r="Z964" s="227"/>
      <c r="AA964" s="220"/>
      <c r="AB964" s="221"/>
      <c r="AC964" s="229"/>
      <c r="AD964" s="230"/>
      <c r="AE964" s="230"/>
      <c r="AF964" s="230"/>
      <c r="AG964" s="227"/>
    </row>
    <row r="965" spans="1:33" x14ac:dyDescent="0.25">
      <c r="A965" s="32"/>
      <c r="B965" s="306"/>
      <c r="C965" s="307"/>
      <c r="D965" s="312"/>
      <c r="E965" s="301"/>
      <c r="F965" s="232"/>
      <c r="J965" s="306"/>
      <c r="K965" s="306"/>
      <c r="L965" s="313"/>
      <c r="M965" s="219"/>
      <c r="N965" s="218"/>
      <c r="S965" s="224"/>
      <c r="T965" s="228"/>
      <c r="U965" s="226"/>
      <c r="V965" s="226"/>
      <c r="W965" s="303"/>
      <c r="X965" s="220"/>
      <c r="Z965" s="227"/>
      <c r="AA965" s="220"/>
      <c r="AB965" s="221"/>
      <c r="AC965" s="229"/>
      <c r="AD965" s="230"/>
      <c r="AE965" s="230"/>
      <c r="AF965" s="230"/>
      <c r="AG965" s="227"/>
    </row>
    <row r="966" spans="1:33" x14ac:dyDescent="0.25">
      <c r="A966" s="32"/>
      <c r="B966" s="306"/>
      <c r="C966" s="307"/>
      <c r="D966" s="312"/>
      <c r="E966" s="301"/>
      <c r="F966" s="232"/>
      <c r="J966" s="306"/>
      <c r="K966" s="306"/>
      <c r="L966" s="313"/>
      <c r="M966" s="219"/>
      <c r="N966" s="218"/>
      <c r="S966" s="224"/>
      <c r="T966" s="228"/>
      <c r="U966" s="226"/>
      <c r="V966" s="226"/>
      <c r="W966" s="303"/>
      <c r="X966" s="220"/>
      <c r="Z966" s="227"/>
      <c r="AA966" s="220"/>
      <c r="AB966" s="221"/>
      <c r="AC966" s="229"/>
      <c r="AD966" s="230"/>
      <c r="AE966" s="230"/>
      <c r="AF966" s="230"/>
      <c r="AG966" s="227"/>
    </row>
    <row r="967" spans="1:33" x14ac:dyDescent="0.25">
      <c r="A967" s="32"/>
      <c r="B967" s="306"/>
      <c r="C967" s="307"/>
      <c r="D967" s="312"/>
      <c r="E967" s="301"/>
      <c r="F967" s="232"/>
      <c r="J967" s="306"/>
      <c r="K967" s="306"/>
      <c r="L967" s="313"/>
      <c r="M967" s="219"/>
      <c r="N967" s="218"/>
      <c r="S967" s="224"/>
      <c r="T967" s="228"/>
      <c r="U967" s="226"/>
      <c r="V967" s="226"/>
      <c r="W967" s="303"/>
      <c r="X967" s="220"/>
      <c r="Z967" s="227"/>
      <c r="AA967" s="220"/>
      <c r="AB967" s="221"/>
      <c r="AC967" s="229"/>
      <c r="AD967" s="230"/>
      <c r="AE967" s="230"/>
      <c r="AF967" s="230"/>
      <c r="AG967" s="227"/>
    </row>
    <row r="968" spans="1:33" x14ac:dyDescent="0.25">
      <c r="A968" s="32"/>
      <c r="B968" s="306"/>
      <c r="C968" s="307"/>
      <c r="D968" s="312"/>
      <c r="E968" s="301"/>
      <c r="F968" s="232"/>
      <c r="J968" s="306"/>
      <c r="K968" s="306"/>
      <c r="L968" s="313"/>
      <c r="M968" s="219"/>
      <c r="N968" s="218"/>
      <c r="S968" s="224"/>
      <c r="T968" s="228"/>
      <c r="U968" s="226"/>
      <c r="V968" s="226"/>
      <c r="W968" s="303"/>
      <c r="X968" s="220"/>
      <c r="Z968" s="227"/>
      <c r="AA968" s="220"/>
      <c r="AB968" s="221"/>
      <c r="AC968" s="229"/>
      <c r="AD968" s="230"/>
      <c r="AE968" s="230"/>
      <c r="AF968" s="230"/>
      <c r="AG968" s="227"/>
    </row>
    <row r="969" spans="1:33" x14ac:dyDescent="0.25">
      <c r="A969" s="32"/>
      <c r="B969" s="306"/>
      <c r="C969" s="307"/>
      <c r="D969" s="312"/>
      <c r="E969" s="301"/>
      <c r="F969" s="232"/>
      <c r="J969" s="306"/>
      <c r="K969" s="306"/>
      <c r="L969" s="313"/>
      <c r="M969" s="219"/>
      <c r="N969" s="218"/>
      <c r="S969" s="224"/>
      <c r="T969" s="228"/>
      <c r="U969" s="226"/>
      <c r="V969" s="226"/>
      <c r="W969" s="303"/>
      <c r="X969" s="220"/>
      <c r="Z969" s="227"/>
      <c r="AA969" s="220"/>
      <c r="AB969" s="221"/>
      <c r="AC969" s="229"/>
      <c r="AD969" s="230"/>
      <c r="AE969" s="230"/>
      <c r="AF969" s="230"/>
      <c r="AG969" s="227"/>
    </row>
    <row r="970" spans="1:33" x14ac:dyDescent="0.25">
      <c r="A970" s="32"/>
      <c r="B970" s="306"/>
      <c r="C970" s="307"/>
      <c r="D970" s="312"/>
      <c r="E970" s="301"/>
      <c r="F970" s="232"/>
      <c r="J970" s="306"/>
      <c r="K970" s="306"/>
      <c r="L970" s="313"/>
      <c r="M970" s="219"/>
      <c r="N970" s="218"/>
      <c r="S970" s="224"/>
      <c r="T970" s="228"/>
      <c r="U970" s="226"/>
      <c r="V970" s="226"/>
      <c r="W970" s="303"/>
      <c r="X970" s="220"/>
      <c r="Z970" s="227"/>
      <c r="AA970" s="220"/>
      <c r="AB970" s="221"/>
      <c r="AC970" s="229"/>
      <c r="AD970" s="230"/>
      <c r="AE970" s="230"/>
      <c r="AF970" s="230"/>
      <c r="AG970" s="227"/>
    </row>
    <row r="971" spans="1:33" x14ac:dyDescent="0.25">
      <c r="A971" s="32"/>
      <c r="B971" s="306"/>
      <c r="C971" s="307"/>
      <c r="D971" s="312"/>
      <c r="E971" s="301"/>
      <c r="F971" s="232"/>
      <c r="J971" s="306"/>
      <c r="K971" s="306"/>
      <c r="L971" s="313"/>
      <c r="M971" s="219"/>
      <c r="N971" s="218"/>
      <c r="S971" s="224"/>
      <c r="T971" s="228"/>
      <c r="U971" s="226"/>
      <c r="V971" s="226"/>
      <c r="W971" s="303"/>
      <c r="X971" s="220"/>
      <c r="Z971" s="227"/>
      <c r="AA971" s="220"/>
      <c r="AB971" s="221"/>
      <c r="AC971" s="229"/>
      <c r="AD971" s="230"/>
      <c r="AE971" s="230"/>
      <c r="AF971" s="230"/>
      <c r="AG971" s="227"/>
    </row>
    <row r="972" spans="1:33" x14ac:dyDescent="0.25">
      <c r="A972" s="32"/>
      <c r="B972" s="306"/>
      <c r="C972" s="307"/>
      <c r="D972" s="312"/>
      <c r="E972" s="301"/>
      <c r="F972" s="232"/>
      <c r="J972" s="306"/>
      <c r="K972" s="306"/>
      <c r="L972" s="313"/>
      <c r="M972" s="219"/>
      <c r="N972" s="218"/>
      <c r="S972" s="224"/>
      <c r="T972" s="228"/>
      <c r="U972" s="226"/>
      <c r="V972" s="226"/>
      <c r="W972" s="303"/>
      <c r="X972" s="220"/>
      <c r="Z972" s="227"/>
      <c r="AA972" s="220"/>
      <c r="AB972" s="221"/>
      <c r="AC972" s="229"/>
      <c r="AD972" s="230"/>
      <c r="AE972" s="230"/>
      <c r="AF972" s="230"/>
      <c r="AG972" s="227"/>
    </row>
    <row r="973" spans="1:33" x14ac:dyDescent="0.25">
      <c r="A973" s="32"/>
      <c r="B973" s="306"/>
      <c r="C973" s="307"/>
      <c r="D973" s="312"/>
      <c r="E973" s="301"/>
      <c r="F973" s="232"/>
      <c r="J973" s="306"/>
      <c r="K973" s="306"/>
      <c r="L973" s="313"/>
      <c r="M973" s="219"/>
      <c r="N973" s="218"/>
      <c r="S973" s="224"/>
      <c r="T973" s="228"/>
      <c r="U973" s="226"/>
      <c r="V973" s="226"/>
      <c r="W973" s="303"/>
      <c r="X973" s="220"/>
      <c r="Z973" s="227"/>
      <c r="AA973" s="220"/>
      <c r="AB973" s="221"/>
      <c r="AC973" s="229"/>
      <c r="AD973" s="230"/>
      <c r="AE973" s="230"/>
      <c r="AF973" s="230"/>
      <c r="AG973" s="227"/>
    </row>
    <row r="974" spans="1:33" x14ac:dyDescent="0.25">
      <c r="A974" s="32"/>
      <c r="B974" s="306"/>
      <c r="C974" s="307"/>
      <c r="D974" s="312"/>
      <c r="E974" s="301"/>
      <c r="F974" s="232"/>
      <c r="J974" s="306"/>
      <c r="K974" s="306"/>
      <c r="L974" s="313"/>
      <c r="M974" s="219"/>
      <c r="N974" s="218"/>
      <c r="S974" s="224"/>
      <c r="T974" s="228"/>
      <c r="U974" s="226"/>
      <c r="V974" s="226"/>
      <c r="W974" s="303"/>
      <c r="X974" s="220"/>
      <c r="Z974" s="227"/>
      <c r="AA974" s="220"/>
      <c r="AB974" s="221"/>
      <c r="AC974" s="229"/>
      <c r="AD974" s="230"/>
      <c r="AE974" s="230"/>
      <c r="AF974" s="230"/>
      <c r="AG974" s="227"/>
    </row>
    <row r="975" spans="1:33" x14ac:dyDescent="0.25">
      <c r="A975" s="32"/>
      <c r="B975" s="306"/>
      <c r="C975" s="307"/>
      <c r="D975" s="312"/>
      <c r="E975" s="301"/>
      <c r="F975" s="232"/>
      <c r="J975" s="306"/>
      <c r="K975" s="306"/>
      <c r="L975" s="313"/>
      <c r="M975" s="219"/>
      <c r="N975" s="218"/>
      <c r="S975" s="224"/>
      <c r="T975" s="228"/>
      <c r="U975" s="226"/>
      <c r="V975" s="226"/>
      <c r="W975" s="303"/>
      <c r="X975" s="220"/>
      <c r="Z975" s="227"/>
      <c r="AA975" s="220"/>
      <c r="AB975" s="221"/>
      <c r="AC975" s="229"/>
      <c r="AD975" s="230"/>
      <c r="AE975" s="230"/>
      <c r="AF975" s="230"/>
      <c r="AG975" s="227"/>
    </row>
    <row r="976" spans="1:33" x14ac:dyDescent="0.25">
      <c r="A976" s="32"/>
      <c r="B976" s="306"/>
      <c r="C976" s="307"/>
      <c r="D976" s="312"/>
      <c r="E976" s="301"/>
      <c r="F976" s="232"/>
      <c r="J976" s="306"/>
      <c r="K976" s="306"/>
      <c r="L976" s="313"/>
      <c r="M976" s="219"/>
      <c r="N976" s="218"/>
      <c r="S976" s="224"/>
      <c r="T976" s="228"/>
      <c r="U976" s="226"/>
      <c r="V976" s="226"/>
      <c r="W976" s="303"/>
      <c r="X976" s="220"/>
      <c r="Z976" s="227"/>
      <c r="AA976" s="220"/>
      <c r="AB976" s="221"/>
      <c r="AC976" s="229"/>
      <c r="AD976" s="230"/>
      <c r="AE976" s="230"/>
      <c r="AF976" s="230"/>
      <c r="AG976" s="227"/>
    </row>
    <row r="977" spans="1:33" x14ac:dyDescent="0.25">
      <c r="A977" s="32"/>
      <c r="B977" s="306"/>
      <c r="C977" s="307"/>
      <c r="D977" s="312"/>
      <c r="E977" s="301"/>
      <c r="F977" s="232"/>
      <c r="J977" s="306"/>
      <c r="K977" s="306"/>
      <c r="L977" s="313"/>
      <c r="M977" s="219"/>
      <c r="N977" s="218"/>
      <c r="S977" s="224"/>
      <c r="T977" s="228"/>
      <c r="U977" s="226"/>
      <c r="V977" s="226"/>
      <c r="W977" s="303"/>
      <c r="X977" s="220"/>
      <c r="Z977" s="227"/>
      <c r="AA977" s="220"/>
      <c r="AB977" s="221"/>
      <c r="AC977" s="229"/>
      <c r="AD977" s="230"/>
      <c r="AE977" s="230"/>
      <c r="AF977" s="230"/>
      <c r="AG977" s="227"/>
    </row>
    <row r="978" spans="1:33" x14ac:dyDescent="0.25">
      <c r="A978" s="32"/>
      <c r="B978" s="306"/>
      <c r="C978" s="307"/>
      <c r="D978" s="312"/>
      <c r="E978" s="301"/>
      <c r="F978" s="232"/>
      <c r="J978" s="306"/>
      <c r="K978" s="306"/>
      <c r="L978" s="313"/>
      <c r="M978" s="219"/>
      <c r="N978" s="218"/>
      <c r="S978" s="224"/>
      <c r="T978" s="228"/>
      <c r="U978" s="226"/>
      <c r="V978" s="226"/>
      <c r="W978" s="303"/>
      <c r="X978" s="220"/>
      <c r="Z978" s="227"/>
      <c r="AA978" s="220"/>
      <c r="AB978" s="221"/>
      <c r="AC978" s="229"/>
      <c r="AD978" s="230"/>
      <c r="AE978" s="230"/>
      <c r="AF978" s="230"/>
      <c r="AG978" s="227"/>
    </row>
    <row r="979" spans="1:33" x14ac:dyDescent="0.25">
      <c r="A979" s="32"/>
      <c r="B979" s="306"/>
      <c r="C979" s="307"/>
      <c r="D979" s="312"/>
      <c r="E979" s="301"/>
      <c r="F979" s="232"/>
      <c r="J979" s="306"/>
      <c r="K979" s="306"/>
      <c r="L979" s="313"/>
      <c r="M979" s="219"/>
      <c r="N979" s="218"/>
      <c r="S979" s="224"/>
      <c r="T979" s="228"/>
      <c r="U979" s="226"/>
      <c r="V979" s="226"/>
      <c r="W979" s="303"/>
      <c r="X979" s="220"/>
      <c r="Z979" s="227"/>
      <c r="AA979" s="220"/>
      <c r="AB979" s="221"/>
      <c r="AC979" s="229"/>
      <c r="AD979" s="230"/>
      <c r="AE979" s="230"/>
      <c r="AF979" s="230"/>
      <c r="AG979" s="227"/>
    </row>
    <row r="980" spans="1:33" x14ac:dyDescent="0.25">
      <c r="A980" s="32"/>
      <c r="B980" s="306"/>
      <c r="C980" s="307"/>
      <c r="D980" s="312"/>
      <c r="E980" s="301"/>
      <c r="F980" s="232"/>
      <c r="J980" s="306"/>
      <c r="K980" s="306"/>
      <c r="L980" s="313"/>
      <c r="M980" s="219"/>
      <c r="N980" s="218"/>
      <c r="S980" s="224"/>
      <c r="T980" s="228"/>
      <c r="U980" s="226"/>
      <c r="V980" s="226"/>
      <c r="W980" s="303"/>
      <c r="X980" s="220"/>
      <c r="Z980" s="227"/>
      <c r="AA980" s="220"/>
      <c r="AB980" s="221"/>
      <c r="AC980" s="229"/>
      <c r="AD980" s="230"/>
      <c r="AE980" s="230"/>
      <c r="AF980" s="230"/>
      <c r="AG980" s="227"/>
    </row>
    <row r="981" spans="1:33" x14ac:dyDescent="0.25">
      <c r="A981" s="32"/>
      <c r="B981" s="306"/>
      <c r="C981" s="307"/>
      <c r="D981" s="312"/>
      <c r="E981" s="301"/>
      <c r="F981" s="232"/>
      <c r="J981" s="306"/>
      <c r="K981" s="306"/>
      <c r="L981" s="313"/>
      <c r="M981" s="219"/>
      <c r="N981" s="218"/>
      <c r="S981" s="224"/>
      <c r="T981" s="228"/>
      <c r="U981" s="226"/>
      <c r="V981" s="226"/>
      <c r="W981" s="303"/>
      <c r="X981" s="220"/>
      <c r="Z981" s="227"/>
      <c r="AA981" s="220"/>
      <c r="AB981" s="221"/>
      <c r="AC981" s="229"/>
      <c r="AD981" s="230"/>
      <c r="AE981" s="230"/>
      <c r="AF981" s="230"/>
      <c r="AG981" s="227"/>
    </row>
    <row r="982" spans="1:33" x14ac:dyDescent="0.25">
      <c r="A982" s="32"/>
      <c r="B982" s="306"/>
      <c r="C982" s="307"/>
      <c r="D982" s="312"/>
      <c r="E982" s="301"/>
      <c r="F982" s="232"/>
      <c r="J982" s="306"/>
      <c r="K982" s="306"/>
      <c r="L982" s="313"/>
      <c r="M982" s="219"/>
      <c r="N982" s="218"/>
      <c r="S982" s="224"/>
      <c r="T982" s="228"/>
      <c r="U982" s="226"/>
      <c r="V982" s="226"/>
      <c r="W982" s="303"/>
      <c r="X982" s="220"/>
      <c r="Z982" s="227"/>
      <c r="AA982" s="220"/>
      <c r="AB982" s="221"/>
      <c r="AC982" s="229"/>
      <c r="AD982" s="230"/>
      <c r="AE982" s="230"/>
      <c r="AF982" s="230"/>
      <c r="AG982" s="227"/>
    </row>
    <row r="983" spans="1:33" x14ac:dyDescent="0.25">
      <c r="A983" s="32"/>
      <c r="B983" s="306"/>
      <c r="C983" s="307"/>
      <c r="D983" s="312"/>
      <c r="E983" s="301"/>
      <c r="F983" s="232"/>
      <c r="J983" s="306"/>
      <c r="K983" s="306"/>
      <c r="L983" s="313"/>
      <c r="M983" s="219"/>
      <c r="N983" s="218"/>
      <c r="S983" s="224"/>
      <c r="T983" s="228"/>
      <c r="U983" s="226"/>
      <c r="V983" s="226"/>
      <c r="W983" s="303"/>
      <c r="X983" s="220"/>
      <c r="Z983" s="227"/>
      <c r="AA983" s="220"/>
      <c r="AB983" s="221"/>
      <c r="AC983" s="229"/>
      <c r="AD983" s="230"/>
      <c r="AE983" s="230"/>
      <c r="AF983" s="230"/>
      <c r="AG983" s="227"/>
    </row>
    <row r="984" spans="1:33" x14ac:dyDescent="0.25">
      <c r="A984" s="32"/>
      <c r="B984" s="306"/>
      <c r="C984" s="307"/>
      <c r="D984" s="312"/>
      <c r="E984" s="301"/>
      <c r="F984" s="232"/>
      <c r="J984" s="306"/>
      <c r="K984" s="306"/>
      <c r="L984" s="313"/>
      <c r="M984" s="219"/>
      <c r="N984" s="218"/>
      <c r="S984" s="224"/>
      <c r="T984" s="228"/>
      <c r="U984" s="226"/>
      <c r="V984" s="226"/>
      <c r="W984" s="303"/>
      <c r="X984" s="220"/>
      <c r="Z984" s="227"/>
      <c r="AA984" s="220"/>
      <c r="AB984" s="221"/>
      <c r="AC984" s="229"/>
      <c r="AD984" s="230"/>
      <c r="AE984" s="230"/>
      <c r="AF984" s="230"/>
      <c r="AG984" s="227"/>
    </row>
    <row r="985" spans="1:33" x14ac:dyDescent="0.25">
      <c r="A985" s="32"/>
      <c r="B985" s="306"/>
      <c r="C985" s="307"/>
      <c r="D985" s="312"/>
      <c r="E985" s="301"/>
      <c r="F985" s="232"/>
      <c r="J985" s="306"/>
      <c r="K985" s="306"/>
      <c r="L985" s="313"/>
      <c r="M985" s="219"/>
      <c r="N985" s="218"/>
      <c r="S985" s="224"/>
      <c r="T985" s="228"/>
      <c r="U985" s="226"/>
      <c r="V985" s="226"/>
      <c r="W985" s="303"/>
      <c r="X985" s="220"/>
      <c r="Z985" s="227"/>
      <c r="AA985" s="220"/>
      <c r="AB985" s="221"/>
      <c r="AC985" s="229"/>
      <c r="AD985" s="230"/>
      <c r="AE985" s="230"/>
      <c r="AF985" s="230"/>
      <c r="AG985" s="227"/>
    </row>
    <row r="986" spans="1:33" x14ac:dyDescent="0.25">
      <c r="A986" s="32"/>
      <c r="B986" s="306"/>
      <c r="C986" s="307"/>
      <c r="D986" s="312"/>
      <c r="E986" s="301"/>
      <c r="F986" s="232"/>
      <c r="J986" s="306"/>
      <c r="K986" s="306"/>
      <c r="L986" s="313"/>
      <c r="M986" s="219"/>
      <c r="N986" s="218"/>
      <c r="S986" s="224"/>
      <c r="T986" s="228"/>
      <c r="U986" s="226"/>
      <c r="V986" s="226"/>
      <c r="W986" s="303"/>
      <c r="X986" s="220"/>
      <c r="Z986" s="227"/>
      <c r="AA986" s="220"/>
      <c r="AB986" s="221"/>
      <c r="AC986" s="229"/>
      <c r="AD986" s="230"/>
      <c r="AE986" s="230"/>
      <c r="AF986" s="230"/>
      <c r="AG986" s="227"/>
    </row>
    <row r="987" spans="1:33" x14ac:dyDescent="0.25">
      <c r="A987" s="32"/>
      <c r="B987" s="306"/>
      <c r="C987" s="307"/>
      <c r="D987" s="312"/>
      <c r="E987" s="301"/>
      <c r="F987" s="232"/>
      <c r="J987" s="306"/>
      <c r="K987" s="306"/>
      <c r="L987" s="313"/>
      <c r="M987" s="219"/>
      <c r="N987" s="218"/>
      <c r="S987" s="224"/>
      <c r="T987" s="228"/>
      <c r="U987" s="226"/>
      <c r="V987" s="226"/>
      <c r="W987" s="303"/>
      <c r="X987" s="220"/>
      <c r="Z987" s="227"/>
      <c r="AA987" s="220"/>
      <c r="AB987" s="221"/>
      <c r="AC987" s="229"/>
      <c r="AD987" s="230"/>
      <c r="AE987" s="230"/>
      <c r="AF987" s="230"/>
      <c r="AG987" s="227"/>
    </row>
    <row r="988" spans="1:33" x14ac:dyDescent="0.25">
      <c r="A988" s="32"/>
      <c r="B988" s="306"/>
      <c r="C988" s="307"/>
      <c r="D988" s="312"/>
      <c r="E988" s="301"/>
      <c r="F988" s="232"/>
      <c r="J988" s="306"/>
      <c r="K988" s="306"/>
      <c r="L988" s="313"/>
      <c r="M988" s="219"/>
      <c r="N988" s="218"/>
      <c r="S988" s="224"/>
      <c r="T988" s="228"/>
      <c r="U988" s="226"/>
      <c r="V988" s="226"/>
      <c r="W988" s="303"/>
      <c r="X988" s="220"/>
      <c r="Z988" s="227"/>
      <c r="AA988" s="220"/>
      <c r="AB988" s="221"/>
      <c r="AC988" s="229"/>
      <c r="AD988" s="230"/>
      <c r="AE988" s="230"/>
      <c r="AF988" s="230"/>
      <c r="AG988" s="227"/>
    </row>
    <row r="989" spans="1:33" x14ac:dyDescent="0.25">
      <c r="A989" s="32"/>
      <c r="B989" s="306"/>
      <c r="C989" s="307"/>
      <c r="D989" s="312"/>
      <c r="E989" s="301"/>
      <c r="F989" s="232"/>
      <c r="J989" s="306"/>
      <c r="K989" s="306"/>
      <c r="L989" s="313"/>
      <c r="M989" s="219"/>
      <c r="N989" s="218"/>
      <c r="S989" s="224"/>
      <c r="T989" s="228"/>
      <c r="U989" s="226"/>
      <c r="V989" s="226"/>
      <c r="W989" s="303"/>
      <c r="X989" s="220"/>
      <c r="Z989" s="227"/>
      <c r="AA989" s="220"/>
      <c r="AB989" s="221"/>
      <c r="AC989" s="229"/>
      <c r="AD989" s="230"/>
      <c r="AE989" s="230"/>
      <c r="AF989" s="230"/>
      <c r="AG989" s="227"/>
    </row>
    <row r="990" spans="1:33" x14ac:dyDescent="0.25">
      <c r="A990" s="32"/>
      <c r="B990" s="306"/>
      <c r="C990" s="307"/>
      <c r="D990" s="312"/>
      <c r="E990" s="301"/>
      <c r="F990" s="232"/>
      <c r="J990" s="306"/>
      <c r="K990" s="306"/>
      <c r="L990" s="313"/>
      <c r="M990" s="219"/>
      <c r="N990" s="218"/>
      <c r="S990" s="224"/>
      <c r="T990" s="228"/>
      <c r="U990" s="226"/>
      <c r="V990" s="226"/>
      <c r="W990" s="303"/>
      <c r="X990" s="220"/>
      <c r="Z990" s="227"/>
      <c r="AA990" s="220"/>
      <c r="AB990" s="221"/>
      <c r="AC990" s="229"/>
      <c r="AD990" s="230"/>
      <c r="AE990" s="230"/>
      <c r="AF990" s="230"/>
      <c r="AG990" s="227"/>
    </row>
    <row r="991" spans="1:33" x14ac:dyDescent="0.25">
      <c r="A991" s="32"/>
      <c r="B991" s="306"/>
      <c r="C991" s="307"/>
      <c r="D991" s="312"/>
      <c r="E991" s="301"/>
      <c r="F991" s="232"/>
      <c r="J991" s="306"/>
      <c r="K991" s="306"/>
      <c r="L991" s="313"/>
      <c r="M991" s="219"/>
      <c r="N991" s="218"/>
      <c r="S991" s="224"/>
      <c r="T991" s="228"/>
      <c r="U991" s="226"/>
      <c r="V991" s="226"/>
      <c r="W991" s="303"/>
      <c r="X991" s="220"/>
      <c r="Z991" s="227"/>
      <c r="AA991" s="220"/>
      <c r="AB991" s="221"/>
      <c r="AC991" s="229"/>
      <c r="AD991" s="230"/>
      <c r="AE991" s="230"/>
      <c r="AF991" s="230"/>
      <c r="AG991" s="227"/>
    </row>
    <row r="992" spans="1:33" x14ac:dyDescent="0.25">
      <c r="A992" s="32"/>
      <c r="B992" s="306"/>
      <c r="C992" s="307"/>
      <c r="D992" s="312"/>
      <c r="E992" s="301"/>
      <c r="F992" s="232"/>
      <c r="J992" s="306"/>
      <c r="K992" s="306"/>
      <c r="L992" s="313"/>
      <c r="M992" s="219"/>
      <c r="N992" s="218"/>
      <c r="S992" s="224"/>
      <c r="T992" s="228"/>
      <c r="U992" s="226"/>
      <c r="V992" s="226"/>
      <c r="W992" s="303"/>
      <c r="X992" s="220"/>
      <c r="Z992" s="227"/>
      <c r="AA992" s="220"/>
      <c r="AB992" s="221"/>
      <c r="AC992" s="229"/>
      <c r="AD992" s="230"/>
      <c r="AE992" s="230"/>
      <c r="AF992" s="230"/>
      <c r="AG992" s="227"/>
    </row>
    <row r="993" spans="1:33" x14ac:dyDescent="0.25">
      <c r="A993" s="32"/>
      <c r="B993" s="306"/>
      <c r="C993" s="307"/>
      <c r="D993" s="312"/>
      <c r="E993" s="301"/>
      <c r="F993" s="232"/>
      <c r="J993" s="306"/>
      <c r="K993" s="306"/>
      <c r="L993" s="313"/>
      <c r="M993" s="219"/>
      <c r="N993" s="218"/>
      <c r="S993" s="224"/>
      <c r="T993" s="228"/>
      <c r="U993" s="226"/>
      <c r="V993" s="226"/>
      <c r="W993" s="303"/>
      <c r="X993" s="220"/>
      <c r="Z993" s="227"/>
      <c r="AA993" s="220"/>
      <c r="AB993" s="221"/>
      <c r="AC993" s="229"/>
      <c r="AD993" s="230"/>
      <c r="AE993" s="230"/>
      <c r="AF993" s="230"/>
      <c r="AG993" s="227"/>
    </row>
    <row r="994" spans="1:33" x14ac:dyDescent="0.25">
      <c r="A994" s="32"/>
      <c r="B994" s="306"/>
      <c r="C994" s="307"/>
      <c r="D994" s="312"/>
      <c r="E994" s="301"/>
      <c r="F994" s="232"/>
      <c r="J994" s="306"/>
      <c r="K994" s="306"/>
      <c r="L994" s="313"/>
      <c r="M994" s="219"/>
      <c r="N994" s="218"/>
      <c r="S994" s="224"/>
      <c r="T994" s="228"/>
      <c r="U994" s="226"/>
      <c r="V994" s="226"/>
      <c r="W994" s="303"/>
      <c r="X994" s="220"/>
      <c r="Z994" s="227"/>
      <c r="AA994" s="220"/>
      <c r="AB994" s="221"/>
      <c r="AC994" s="229"/>
      <c r="AD994" s="230"/>
      <c r="AE994" s="230"/>
      <c r="AF994" s="230"/>
      <c r="AG994" s="227"/>
    </row>
    <row r="995" spans="1:33" x14ac:dyDescent="0.25">
      <c r="A995" s="32"/>
      <c r="B995" s="306"/>
      <c r="C995" s="307"/>
      <c r="D995" s="312"/>
      <c r="E995" s="301"/>
      <c r="F995" s="232"/>
      <c r="J995" s="306"/>
      <c r="K995" s="306"/>
      <c r="L995" s="313"/>
      <c r="M995" s="219"/>
      <c r="N995" s="218"/>
      <c r="S995" s="224"/>
      <c r="T995" s="228"/>
      <c r="U995" s="226"/>
      <c r="V995" s="226"/>
      <c r="W995" s="303"/>
      <c r="X995" s="220"/>
      <c r="Z995" s="227"/>
      <c r="AA995" s="220"/>
      <c r="AB995" s="221"/>
      <c r="AC995" s="229"/>
      <c r="AD995" s="230"/>
      <c r="AE995" s="230"/>
      <c r="AF995" s="230"/>
      <c r="AG995" s="227"/>
    </row>
    <row r="996" spans="1:33" x14ac:dyDescent="0.25">
      <c r="A996" s="32"/>
      <c r="B996" s="306"/>
      <c r="C996" s="307"/>
      <c r="D996" s="312"/>
      <c r="E996" s="301"/>
      <c r="F996" s="232"/>
      <c r="J996" s="306"/>
      <c r="K996" s="306"/>
      <c r="L996" s="313"/>
      <c r="M996" s="219"/>
      <c r="N996" s="218"/>
      <c r="S996" s="224"/>
      <c r="T996" s="228"/>
      <c r="U996" s="226"/>
      <c r="V996" s="226"/>
      <c r="W996" s="303"/>
      <c r="X996" s="220"/>
      <c r="Z996" s="227"/>
      <c r="AA996" s="220"/>
      <c r="AB996" s="221"/>
      <c r="AC996" s="229"/>
      <c r="AD996" s="230"/>
      <c r="AE996" s="230"/>
      <c r="AF996" s="230"/>
      <c r="AG996" s="227"/>
    </row>
    <row r="997" spans="1:33" x14ac:dyDescent="0.25">
      <c r="A997" s="32"/>
      <c r="B997" s="306"/>
      <c r="C997" s="307"/>
      <c r="D997" s="312"/>
      <c r="E997" s="301"/>
      <c r="F997" s="232"/>
      <c r="J997" s="306"/>
      <c r="K997" s="306"/>
      <c r="L997" s="313"/>
      <c r="M997" s="219"/>
      <c r="N997" s="218"/>
      <c r="S997" s="224"/>
      <c r="T997" s="228"/>
      <c r="U997" s="226"/>
      <c r="V997" s="226"/>
      <c r="W997" s="303"/>
      <c r="X997" s="220"/>
      <c r="Z997" s="227"/>
      <c r="AA997" s="220"/>
      <c r="AB997" s="221"/>
      <c r="AC997" s="229"/>
      <c r="AD997" s="230"/>
      <c r="AE997" s="230"/>
      <c r="AF997" s="230"/>
      <c r="AG997" s="227"/>
    </row>
    <row r="998" spans="1:33" x14ac:dyDescent="0.25">
      <c r="A998" s="32"/>
      <c r="B998" s="306"/>
      <c r="C998" s="307"/>
      <c r="D998" s="312"/>
      <c r="E998" s="301"/>
      <c r="F998" s="232"/>
      <c r="J998" s="306"/>
      <c r="K998" s="306"/>
      <c r="L998" s="313"/>
      <c r="M998" s="219"/>
      <c r="N998" s="218"/>
      <c r="S998" s="224"/>
      <c r="T998" s="228"/>
      <c r="U998" s="226"/>
      <c r="V998" s="226"/>
      <c r="W998" s="303"/>
      <c r="X998" s="220"/>
      <c r="Z998" s="227"/>
      <c r="AA998" s="220"/>
      <c r="AB998" s="221"/>
      <c r="AC998" s="229"/>
      <c r="AD998" s="230"/>
      <c r="AE998" s="230"/>
      <c r="AF998" s="230"/>
      <c r="AG998" s="227"/>
    </row>
    <row r="999" spans="1:33" x14ac:dyDescent="0.25">
      <c r="A999" s="32"/>
      <c r="B999" s="306"/>
      <c r="C999" s="307"/>
      <c r="D999" s="312"/>
      <c r="E999" s="301"/>
      <c r="F999" s="232"/>
      <c r="J999" s="306"/>
      <c r="K999" s="306"/>
      <c r="L999" s="313"/>
      <c r="M999" s="219"/>
      <c r="N999" s="218"/>
      <c r="S999" s="224"/>
      <c r="T999" s="228"/>
      <c r="U999" s="226"/>
      <c r="V999" s="226"/>
      <c r="W999" s="303"/>
      <c r="X999" s="220"/>
      <c r="Z999" s="227"/>
      <c r="AA999" s="220"/>
      <c r="AB999" s="221"/>
      <c r="AC999" s="229"/>
      <c r="AD999" s="230"/>
      <c r="AE999" s="230"/>
      <c r="AF999" s="230"/>
      <c r="AG999" s="227"/>
    </row>
    <row r="1000" spans="1:33" x14ac:dyDescent="0.25">
      <c r="A1000" s="32"/>
      <c r="B1000" s="306"/>
      <c r="C1000" s="307"/>
      <c r="D1000" s="312"/>
      <c r="E1000" s="301"/>
      <c r="F1000" s="232"/>
      <c r="J1000" s="306"/>
      <c r="K1000" s="306"/>
      <c r="L1000" s="313"/>
      <c r="M1000" s="219"/>
      <c r="N1000" s="218"/>
      <c r="S1000" s="224"/>
      <c r="T1000" s="228"/>
      <c r="U1000" s="226"/>
      <c r="V1000" s="226"/>
      <c r="W1000" s="303"/>
      <c r="X1000" s="220"/>
      <c r="Z1000" s="227"/>
      <c r="AA1000" s="220"/>
      <c r="AB1000" s="221"/>
      <c r="AC1000" s="229"/>
      <c r="AD1000" s="230"/>
      <c r="AE1000" s="230"/>
      <c r="AF1000" s="230"/>
      <c r="AG1000" s="227"/>
    </row>
    <row r="1001" spans="1:33" x14ac:dyDescent="0.25">
      <c r="A1001" s="32"/>
      <c r="B1001" s="306"/>
      <c r="C1001" s="307"/>
      <c r="D1001" s="312"/>
      <c r="E1001" s="301"/>
      <c r="F1001" s="232"/>
      <c r="J1001" s="306"/>
      <c r="K1001" s="306"/>
      <c r="L1001" s="313"/>
      <c r="M1001" s="219"/>
      <c r="N1001" s="218"/>
      <c r="S1001" s="224"/>
      <c r="T1001" s="228"/>
      <c r="U1001" s="226"/>
      <c r="V1001" s="226"/>
      <c r="W1001" s="303"/>
      <c r="X1001" s="220"/>
      <c r="Z1001" s="227"/>
      <c r="AA1001" s="220"/>
      <c r="AB1001" s="221"/>
      <c r="AC1001" s="229"/>
      <c r="AD1001" s="230"/>
      <c r="AE1001" s="230"/>
      <c r="AF1001" s="230"/>
      <c r="AG1001" s="227"/>
    </row>
    <row r="1002" spans="1:33" x14ac:dyDescent="0.25">
      <c r="A1002" s="32"/>
      <c r="B1002" s="306"/>
      <c r="C1002" s="307"/>
      <c r="D1002" s="312"/>
      <c r="E1002" s="301"/>
      <c r="F1002" s="232"/>
      <c r="J1002" s="306"/>
      <c r="K1002" s="306"/>
      <c r="L1002" s="313"/>
      <c r="M1002" s="219"/>
      <c r="N1002" s="218"/>
      <c r="S1002" s="224"/>
      <c r="T1002" s="228"/>
      <c r="U1002" s="226"/>
      <c r="V1002" s="226"/>
      <c r="W1002" s="303"/>
      <c r="X1002" s="220"/>
      <c r="Z1002" s="227"/>
      <c r="AA1002" s="220"/>
      <c r="AB1002" s="221"/>
      <c r="AC1002" s="229"/>
      <c r="AD1002" s="230"/>
      <c r="AE1002" s="230"/>
      <c r="AF1002" s="230"/>
      <c r="AG1002" s="227"/>
    </row>
    <row r="1003" spans="1:33" x14ac:dyDescent="0.25">
      <c r="A1003" s="32"/>
      <c r="B1003" s="306"/>
      <c r="C1003" s="307"/>
      <c r="D1003" s="312"/>
      <c r="E1003" s="301"/>
      <c r="F1003" s="232"/>
      <c r="J1003" s="306"/>
      <c r="K1003" s="306"/>
      <c r="L1003" s="313"/>
      <c r="M1003" s="219"/>
      <c r="N1003" s="218"/>
      <c r="S1003" s="224"/>
      <c r="T1003" s="228"/>
      <c r="U1003" s="226"/>
      <c r="V1003" s="226"/>
      <c r="W1003" s="303"/>
      <c r="X1003" s="220"/>
      <c r="Z1003" s="227"/>
      <c r="AA1003" s="220"/>
      <c r="AB1003" s="221"/>
      <c r="AC1003" s="229"/>
      <c r="AD1003" s="230"/>
      <c r="AE1003" s="230"/>
      <c r="AF1003" s="230"/>
      <c r="AG1003" s="227"/>
    </row>
    <row r="1004" spans="1:33" x14ac:dyDescent="0.25">
      <c r="A1004" s="32"/>
      <c r="B1004" s="306"/>
      <c r="C1004" s="307"/>
      <c r="D1004" s="312"/>
      <c r="E1004" s="301"/>
      <c r="F1004" s="232"/>
      <c r="J1004" s="306"/>
      <c r="K1004" s="306"/>
      <c r="L1004" s="313"/>
      <c r="M1004" s="219"/>
      <c r="N1004" s="218"/>
      <c r="S1004" s="224"/>
      <c r="T1004" s="228"/>
      <c r="U1004" s="226"/>
      <c r="V1004" s="226"/>
      <c r="W1004" s="303"/>
      <c r="X1004" s="220"/>
      <c r="Z1004" s="227"/>
      <c r="AA1004" s="220"/>
      <c r="AB1004" s="221"/>
      <c r="AC1004" s="229"/>
      <c r="AD1004" s="230"/>
      <c r="AE1004" s="230"/>
      <c r="AF1004" s="230"/>
      <c r="AG1004" s="227"/>
    </row>
    <row r="1005" spans="1:33" x14ac:dyDescent="0.25">
      <c r="A1005" s="32"/>
      <c r="B1005" s="306"/>
      <c r="C1005" s="307"/>
      <c r="D1005" s="312"/>
      <c r="E1005" s="301"/>
      <c r="F1005" s="232"/>
      <c r="J1005" s="306"/>
      <c r="K1005" s="306"/>
      <c r="L1005" s="313"/>
      <c r="M1005" s="219"/>
      <c r="N1005" s="218"/>
      <c r="S1005" s="224"/>
      <c r="T1005" s="228"/>
      <c r="U1005" s="226"/>
      <c r="V1005" s="226"/>
      <c r="W1005" s="303"/>
      <c r="X1005" s="220"/>
      <c r="Z1005" s="227"/>
      <c r="AA1005" s="220"/>
      <c r="AB1005" s="221"/>
      <c r="AC1005" s="229"/>
      <c r="AD1005" s="230"/>
      <c r="AE1005" s="230"/>
      <c r="AF1005" s="230"/>
      <c r="AG1005" s="227"/>
    </row>
    <row r="1006" spans="1:33" x14ac:dyDescent="0.25">
      <c r="A1006" s="32"/>
      <c r="B1006" s="306"/>
      <c r="C1006" s="307"/>
      <c r="D1006" s="312"/>
      <c r="E1006" s="301"/>
      <c r="F1006" s="232"/>
      <c r="J1006" s="306"/>
      <c r="K1006" s="306"/>
      <c r="L1006" s="313"/>
      <c r="M1006" s="219"/>
      <c r="N1006" s="218"/>
      <c r="S1006" s="224"/>
      <c r="T1006" s="228"/>
      <c r="U1006" s="226"/>
      <c r="V1006" s="226"/>
      <c r="W1006" s="303"/>
      <c r="X1006" s="220"/>
      <c r="Z1006" s="227"/>
      <c r="AA1006" s="220"/>
      <c r="AB1006" s="221"/>
      <c r="AC1006" s="229"/>
      <c r="AD1006" s="230"/>
      <c r="AE1006" s="230"/>
      <c r="AF1006" s="230"/>
      <c r="AG1006" s="227"/>
    </row>
    <row r="1007" spans="1:33" x14ac:dyDescent="0.25">
      <c r="A1007" s="32"/>
      <c r="B1007" s="306"/>
      <c r="C1007" s="307"/>
      <c r="D1007" s="312"/>
      <c r="E1007" s="301"/>
      <c r="F1007" s="232"/>
      <c r="J1007" s="306"/>
      <c r="K1007" s="306"/>
      <c r="L1007" s="313"/>
      <c r="M1007" s="219"/>
      <c r="N1007" s="218"/>
      <c r="S1007" s="224"/>
      <c r="T1007" s="228"/>
      <c r="U1007" s="226"/>
      <c r="V1007" s="226"/>
      <c r="W1007" s="303"/>
      <c r="X1007" s="220"/>
      <c r="Z1007" s="227"/>
      <c r="AA1007" s="220"/>
      <c r="AB1007" s="221"/>
      <c r="AC1007" s="229"/>
      <c r="AD1007" s="230"/>
      <c r="AE1007" s="230"/>
      <c r="AF1007" s="230"/>
      <c r="AG1007" s="227"/>
    </row>
    <row r="1008" spans="1:33" x14ac:dyDescent="0.25">
      <c r="A1008" s="32"/>
      <c r="B1008" s="306"/>
      <c r="C1008" s="307"/>
      <c r="D1008" s="312"/>
      <c r="E1008" s="301"/>
      <c r="F1008" s="232"/>
      <c r="J1008" s="306"/>
      <c r="K1008" s="306"/>
      <c r="L1008" s="313"/>
      <c r="M1008" s="219"/>
      <c r="N1008" s="218"/>
      <c r="S1008" s="224"/>
      <c r="T1008" s="228"/>
      <c r="U1008" s="226"/>
      <c r="V1008" s="226"/>
      <c r="W1008" s="303"/>
      <c r="X1008" s="220"/>
      <c r="Z1008" s="227"/>
      <c r="AA1008" s="220"/>
      <c r="AB1008" s="221"/>
      <c r="AC1008" s="229"/>
      <c r="AD1008" s="230"/>
      <c r="AE1008" s="230"/>
      <c r="AF1008" s="230"/>
      <c r="AG1008" s="227"/>
    </row>
    <row r="1009" spans="1:33" x14ac:dyDescent="0.25">
      <c r="A1009" s="32"/>
      <c r="B1009" s="306"/>
      <c r="C1009" s="307"/>
      <c r="D1009" s="312"/>
      <c r="E1009" s="301"/>
      <c r="F1009" s="232"/>
      <c r="J1009" s="306"/>
      <c r="K1009" s="306"/>
      <c r="L1009" s="313"/>
      <c r="M1009" s="219"/>
      <c r="N1009" s="218"/>
      <c r="S1009" s="224"/>
      <c r="T1009" s="228"/>
      <c r="U1009" s="226"/>
      <c r="V1009" s="226"/>
      <c r="W1009" s="303"/>
      <c r="X1009" s="220"/>
      <c r="Z1009" s="227"/>
      <c r="AA1009" s="220"/>
      <c r="AB1009" s="221"/>
      <c r="AC1009" s="229"/>
      <c r="AD1009" s="230"/>
      <c r="AE1009" s="230"/>
      <c r="AF1009" s="230"/>
      <c r="AG1009" s="227"/>
    </row>
    <row r="1010" spans="1:33" x14ac:dyDescent="0.25">
      <c r="A1010" s="32"/>
      <c r="B1010" s="306"/>
      <c r="C1010" s="307"/>
      <c r="D1010" s="312"/>
      <c r="E1010" s="301"/>
      <c r="F1010" s="232"/>
      <c r="J1010" s="306"/>
      <c r="K1010" s="306"/>
      <c r="L1010" s="313"/>
      <c r="M1010" s="219"/>
      <c r="N1010" s="218"/>
      <c r="S1010" s="224"/>
      <c r="T1010" s="228"/>
      <c r="U1010" s="226"/>
      <c r="V1010" s="226"/>
      <c r="W1010" s="303"/>
      <c r="X1010" s="220"/>
      <c r="Z1010" s="227"/>
      <c r="AA1010" s="220"/>
      <c r="AB1010" s="221"/>
      <c r="AC1010" s="229"/>
      <c r="AD1010" s="230"/>
      <c r="AE1010" s="230"/>
      <c r="AF1010" s="230"/>
      <c r="AG1010" s="227"/>
    </row>
    <row r="1011" spans="1:33" x14ac:dyDescent="0.25">
      <c r="A1011" s="32"/>
      <c r="B1011" s="306"/>
      <c r="C1011" s="307"/>
      <c r="D1011" s="312"/>
      <c r="E1011" s="301"/>
      <c r="F1011" s="232"/>
      <c r="J1011" s="306"/>
      <c r="K1011" s="306"/>
      <c r="L1011" s="313"/>
      <c r="M1011" s="219"/>
      <c r="N1011" s="218"/>
      <c r="S1011" s="224"/>
      <c r="T1011" s="228"/>
      <c r="U1011" s="226"/>
      <c r="V1011" s="226"/>
      <c r="W1011" s="303"/>
      <c r="X1011" s="220"/>
      <c r="Z1011" s="227"/>
      <c r="AA1011" s="220"/>
      <c r="AB1011" s="221"/>
      <c r="AC1011" s="229"/>
      <c r="AD1011" s="230"/>
      <c r="AE1011" s="230"/>
      <c r="AF1011" s="230"/>
      <c r="AG1011" s="227"/>
    </row>
    <row r="1012" spans="1:33" x14ac:dyDescent="0.25">
      <c r="A1012" s="32"/>
      <c r="B1012" s="306"/>
      <c r="C1012" s="307"/>
      <c r="D1012" s="312"/>
      <c r="E1012" s="301"/>
      <c r="F1012" s="232"/>
      <c r="J1012" s="306"/>
      <c r="K1012" s="306"/>
      <c r="L1012" s="313"/>
      <c r="M1012" s="219"/>
      <c r="N1012" s="218"/>
      <c r="S1012" s="224"/>
      <c r="T1012" s="228"/>
      <c r="U1012" s="226"/>
      <c r="V1012" s="226"/>
      <c r="W1012" s="303"/>
      <c r="X1012" s="220"/>
      <c r="Z1012" s="227"/>
      <c r="AA1012" s="220"/>
      <c r="AB1012" s="221"/>
      <c r="AC1012" s="229"/>
      <c r="AD1012" s="230"/>
      <c r="AE1012" s="230"/>
      <c r="AF1012" s="230"/>
      <c r="AG1012" s="227"/>
    </row>
    <row r="1013" spans="1:33" x14ac:dyDescent="0.25">
      <c r="A1013" s="32"/>
      <c r="B1013" s="306"/>
      <c r="C1013" s="307"/>
      <c r="D1013" s="312"/>
      <c r="E1013" s="301"/>
      <c r="F1013" s="232"/>
      <c r="J1013" s="306"/>
      <c r="K1013" s="306"/>
      <c r="L1013" s="313"/>
      <c r="M1013" s="219"/>
      <c r="N1013" s="218"/>
      <c r="S1013" s="224"/>
      <c r="T1013" s="228"/>
      <c r="U1013" s="226"/>
      <c r="V1013" s="226"/>
      <c r="W1013" s="303"/>
      <c r="X1013" s="220"/>
      <c r="Z1013" s="227"/>
      <c r="AA1013" s="220"/>
      <c r="AB1013" s="221"/>
      <c r="AC1013" s="229"/>
      <c r="AD1013" s="230"/>
      <c r="AE1013" s="230"/>
      <c r="AF1013" s="230"/>
      <c r="AG1013" s="227"/>
    </row>
    <row r="1014" spans="1:33" x14ac:dyDescent="0.25">
      <c r="A1014" s="32"/>
      <c r="B1014" s="306"/>
      <c r="C1014" s="307"/>
      <c r="D1014" s="312"/>
      <c r="E1014" s="301"/>
      <c r="F1014" s="232"/>
      <c r="J1014" s="306"/>
      <c r="K1014" s="306"/>
      <c r="L1014" s="313"/>
      <c r="M1014" s="219"/>
      <c r="N1014" s="218"/>
      <c r="S1014" s="224"/>
      <c r="T1014" s="228"/>
      <c r="U1014" s="226"/>
      <c r="V1014" s="226"/>
      <c r="W1014" s="303"/>
      <c r="X1014" s="220"/>
      <c r="Z1014" s="227"/>
      <c r="AA1014" s="220"/>
      <c r="AB1014" s="221"/>
      <c r="AC1014" s="229"/>
      <c r="AD1014" s="230"/>
      <c r="AE1014" s="230"/>
      <c r="AF1014" s="230"/>
      <c r="AG1014" s="227"/>
    </row>
    <row r="1015" spans="1:33" x14ac:dyDescent="0.25">
      <c r="A1015" s="32"/>
      <c r="B1015" s="306"/>
      <c r="C1015" s="307"/>
      <c r="D1015" s="312"/>
      <c r="E1015" s="301"/>
      <c r="F1015" s="232"/>
      <c r="J1015" s="306"/>
      <c r="K1015" s="306"/>
      <c r="L1015" s="313"/>
      <c r="M1015" s="219"/>
      <c r="N1015" s="218"/>
      <c r="S1015" s="224"/>
      <c r="T1015" s="228"/>
      <c r="U1015" s="226"/>
      <c r="V1015" s="226"/>
      <c r="W1015" s="303"/>
      <c r="X1015" s="220"/>
      <c r="Z1015" s="227"/>
      <c r="AA1015" s="220"/>
      <c r="AB1015" s="221"/>
      <c r="AC1015" s="229"/>
      <c r="AD1015" s="230"/>
      <c r="AE1015" s="230"/>
      <c r="AF1015" s="230"/>
      <c r="AG1015" s="227"/>
    </row>
    <row r="1016" spans="1:33" x14ac:dyDescent="0.25">
      <c r="A1016" s="32"/>
      <c r="B1016" s="306"/>
      <c r="C1016" s="307"/>
      <c r="D1016" s="312"/>
      <c r="E1016" s="301"/>
      <c r="F1016" s="232"/>
      <c r="J1016" s="306"/>
      <c r="K1016" s="306"/>
      <c r="L1016" s="313"/>
      <c r="M1016" s="219"/>
      <c r="N1016" s="218"/>
      <c r="S1016" s="224"/>
      <c r="T1016" s="228"/>
      <c r="U1016" s="226"/>
      <c r="V1016" s="226"/>
      <c r="W1016" s="303"/>
      <c r="X1016" s="220"/>
      <c r="Z1016" s="227"/>
      <c r="AA1016" s="220"/>
      <c r="AB1016" s="221"/>
      <c r="AC1016" s="229"/>
      <c r="AD1016" s="230"/>
      <c r="AE1016" s="230"/>
      <c r="AF1016" s="230"/>
      <c r="AG1016" s="227"/>
    </row>
    <row r="1017" spans="1:33" x14ac:dyDescent="0.25">
      <c r="A1017" s="32"/>
      <c r="B1017" s="306"/>
      <c r="C1017" s="307"/>
      <c r="D1017" s="312"/>
      <c r="E1017" s="301"/>
      <c r="F1017" s="232"/>
      <c r="J1017" s="306"/>
      <c r="K1017" s="306"/>
      <c r="L1017" s="313"/>
      <c r="M1017" s="219"/>
      <c r="N1017" s="218"/>
      <c r="S1017" s="224"/>
      <c r="T1017" s="228"/>
      <c r="U1017" s="226"/>
      <c r="V1017" s="226"/>
      <c r="W1017" s="303"/>
      <c r="X1017" s="220"/>
      <c r="Z1017" s="227"/>
      <c r="AA1017" s="220"/>
      <c r="AB1017" s="221"/>
      <c r="AC1017" s="229"/>
      <c r="AD1017" s="230"/>
      <c r="AE1017" s="230"/>
      <c r="AF1017" s="230"/>
      <c r="AG1017" s="227"/>
    </row>
    <row r="1018" spans="1:33" x14ac:dyDescent="0.25">
      <c r="A1018" s="32"/>
      <c r="B1018" s="306"/>
      <c r="C1018" s="307"/>
      <c r="D1018" s="312"/>
      <c r="E1018" s="301"/>
      <c r="F1018" s="232"/>
      <c r="J1018" s="306"/>
      <c r="K1018" s="306"/>
      <c r="L1018" s="313"/>
      <c r="M1018" s="219"/>
      <c r="N1018" s="218"/>
      <c r="S1018" s="224"/>
      <c r="T1018" s="228"/>
      <c r="U1018" s="226"/>
      <c r="V1018" s="226"/>
      <c r="W1018" s="303"/>
      <c r="X1018" s="220"/>
      <c r="Z1018" s="227"/>
      <c r="AA1018" s="220"/>
      <c r="AB1018" s="221"/>
      <c r="AC1018" s="229"/>
      <c r="AD1018" s="230"/>
      <c r="AE1018" s="230"/>
      <c r="AF1018" s="230"/>
      <c r="AG1018" s="227"/>
    </row>
    <row r="1019" spans="1:33" x14ac:dyDescent="0.25">
      <c r="A1019" s="32"/>
      <c r="B1019" s="306"/>
      <c r="C1019" s="307"/>
      <c r="D1019" s="312"/>
      <c r="E1019" s="301"/>
      <c r="F1019" s="232"/>
      <c r="J1019" s="306"/>
      <c r="K1019" s="306"/>
      <c r="L1019" s="313"/>
      <c r="M1019" s="219"/>
      <c r="N1019" s="218"/>
      <c r="S1019" s="224"/>
      <c r="T1019" s="228"/>
      <c r="U1019" s="226"/>
      <c r="V1019" s="226"/>
      <c r="W1019" s="303"/>
      <c r="X1019" s="220"/>
      <c r="Z1019" s="227"/>
      <c r="AA1019" s="220"/>
      <c r="AB1019" s="221"/>
      <c r="AC1019" s="229"/>
      <c r="AD1019" s="230"/>
      <c r="AE1019" s="230"/>
      <c r="AF1019" s="230"/>
      <c r="AG1019" s="227"/>
    </row>
    <row r="1020" spans="1:33" x14ac:dyDescent="0.25">
      <c r="A1020" s="32"/>
      <c r="B1020" s="306"/>
      <c r="C1020" s="307"/>
      <c r="D1020" s="312"/>
      <c r="E1020" s="301"/>
      <c r="F1020" s="232"/>
      <c r="J1020" s="306"/>
      <c r="K1020" s="306"/>
      <c r="L1020" s="313"/>
      <c r="M1020" s="219"/>
      <c r="N1020" s="218"/>
      <c r="S1020" s="224"/>
      <c r="T1020" s="228"/>
      <c r="U1020" s="226"/>
      <c r="V1020" s="226"/>
      <c r="W1020" s="303"/>
      <c r="X1020" s="220"/>
      <c r="Z1020" s="227"/>
      <c r="AA1020" s="220"/>
      <c r="AB1020" s="221"/>
      <c r="AC1020" s="229"/>
      <c r="AD1020" s="230"/>
      <c r="AE1020" s="230"/>
      <c r="AF1020" s="230"/>
      <c r="AG1020" s="227"/>
    </row>
    <row r="1021" spans="1:33" x14ac:dyDescent="0.25">
      <c r="A1021" s="32"/>
      <c r="B1021" s="306"/>
      <c r="C1021" s="307"/>
      <c r="D1021" s="312"/>
      <c r="E1021" s="301"/>
      <c r="F1021" s="232"/>
      <c r="J1021" s="306"/>
      <c r="K1021" s="306"/>
      <c r="L1021" s="313"/>
      <c r="M1021" s="219"/>
      <c r="N1021" s="218"/>
      <c r="S1021" s="224"/>
      <c r="T1021" s="228"/>
      <c r="U1021" s="226"/>
      <c r="V1021" s="226"/>
      <c r="W1021" s="303"/>
      <c r="X1021" s="220"/>
      <c r="Z1021" s="227"/>
      <c r="AA1021" s="220"/>
      <c r="AB1021" s="221"/>
      <c r="AC1021" s="229"/>
      <c r="AD1021" s="230"/>
      <c r="AE1021" s="230"/>
      <c r="AF1021" s="230"/>
      <c r="AG1021" s="227"/>
    </row>
    <row r="1022" spans="1:33" x14ac:dyDescent="0.25">
      <c r="A1022" s="32"/>
      <c r="B1022" s="306"/>
      <c r="C1022" s="307"/>
      <c r="D1022" s="312"/>
      <c r="E1022" s="301"/>
      <c r="F1022" s="232"/>
      <c r="J1022" s="306"/>
      <c r="K1022" s="306"/>
      <c r="L1022" s="313"/>
      <c r="M1022" s="219"/>
      <c r="N1022" s="218"/>
      <c r="S1022" s="224"/>
      <c r="T1022" s="228"/>
      <c r="U1022" s="226"/>
      <c r="V1022" s="226"/>
      <c r="W1022" s="303"/>
      <c r="X1022" s="220"/>
      <c r="Z1022" s="227"/>
      <c r="AA1022" s="220"/>
      <c r="AB1022" s="221"/>
      <c r="AC1022" s="229"/>
      <c r="AD1022" s="230"/>
      <c r="AE1022" s="230"/>
      <c r="AF1022" s="230"/>
      <c r="AG1022" s="227"/>
    </row>
    <row r="1023" spans="1:33" x14ac:dyDescent="0.25">
      <c r="A1023" s="32"/>
      <c r="B1023" s="306"/>
      <c r="C1023" s="307"/>
      <c r="D1023" s="312"/>
      <c r="E1023" s="301"/>
      <c r="F1023" s="232"/>
      <c r="J1023" s="306"/>
      <c r="K1023" s="306"/>
      <c r="L1023" s="313"/>
      <c r="M1023" s="219"/>
      <c r="N1023" s="218"/>
      <c r="S1023" s="224"/>
      <c r="T1023" s="228"/>
      <c r="U1023" s="226"/>
      <c r="V1023" s="226"/>
      <c r="W1023" s="303"/>
      <c r="X1023" s="220"/>
      <c r="Z1023" s="227"/>
      <c r="AA1023" s="220"/>
      <c r="AB1023" s="221"/>
      <c r="AC1023" s="229"/>
      <c r="AD1023" s="230"/>
      <c r="AE1023" s="230"/>
      <c r="AF1023" s="230"/>
      <c r="AG1023" s="227"/>
    </row>
    <row r="1024" spans="1:33" x14ac:dyDescent="0.25">
      <c r="A1024" s="32"/>
      <c r="B1024" s="306"/>
      <c r="C1024" s="307"/>
      <c r="D1024" s="312"/>
      <c r="E1024" s="301"/>
      <c r="F1024" s="232"/>
      <c r="J1024" s="306"/>
      <c r="K1024" s="306"/>
      <c r="L1024" s="313"/>
      <c r="M1024" s="219"/>
      <c r="N1024" s="218"/>
      <c r="S1024" s="224"/>
      <c r="T1024" s="228"/>
      <c r="U1024" s="226"/>
      <c r="V1024" s="226"/>
      <c r="W1024" s="303"/>
      <c r="X1024" s="220"/>
      <c r="Z1024" s="227"/>
      <c r="AA1024" s="220"/>
      <c r="AB1024" s="221"/>
      <c r="AC1024" s="229"/>
      <c r="AD1024" s="230"/>
      <c r="AE1024" s="230"/>
      <c r="AF1024" s="230"/>
      <c r="AG1024" s="227"/>
    </row>
    <row r="1025" spans="1:33" x14ac:dyDescent="0.25">
      <c r="A1025" s="32"/>
      <c r="B1025" s="306"/>
      <c r="C1025" s="307"/>
      <c r="D1025" s="312"/>
      <c r="E1025" s="301"/>
      <c r="F1025" s="232"/>
      <c r="J1025" s="306"/>
      <c r="K1025" s="306"/>
      <c r="L1025" s="313"/>
      <c r="M1025" s="219"/>
      <c r="N1025" s="218"/>
      <c r="S1025" s="224"/>
      <c r="T1025" s="228"/>
      <c r="U1025" s="226"/>
      <c r="V1025" s="226"/>
      <c r="W1025" s="303"/>
      <c r="X1025" s="220"/>
      <c r="Z1025" s="227"/>
      <c r="AA1025" s="220"/>
      <c r="AB1025" s="221"/>
      <c r="AC1025" s="229"/>
      <c r="AD1025" s="230"/>
      <c r="AE1025" s="230"/>
      <c r="AF1025" s="230"/>
      <c r="AG1025" s="227"/>
    </row>
    <row r="1026" spans="1:33" x14ac:dyDescent="0.25">
      <c r="A1026" s="32"/>
      <c r="B1026" s="306"/>
      <c r="C1026" s="307"/>
      <c r="D1026" s="312"/>
      <c r="E1026" s="301"/>
      <c r="F1026" s="232"/>
      <c r="J1026" s="306"/>
      <c r="K1026" s="306"/>
      <c r="L1026" s="313"/>
      <c r="M1026" s="219"/>
      <c r="N1026" s="218"/>
      <c r="S1026" s="224"/>
      <c r="T1026" s="228"/>
      <c r="U1026" s="226"/>
      <c r="V1026" s="226"/>
      <c r="W1026" s="303"/>
      <c r="X1026" s="220"/>
      <c r="Z1026" s="227"/>
      <c r="AA1026" s="220"/>
      <c r="AB1026" s="221"/>
      <c r="AC1026" s="229"/>
      <c r="AD1026" s="230"/>
      <c r="AE1026" s="230"/>
      <c r="AF1026" s="230"/>
      <c r="AG1026" s="227"/>
    </row>
    <row r="1027" spans="1:33" x14ac:dyDescent="0.25">
      <c r="A1027" s="32"/>
      <c r="B1027" s="306"/>
      <c r="C1027" s="307"/>
      <c r="D1027" s="312"/>
      <c r="E1027" s="301"/>
      <c r="F1027" s="232"/>
      <c r="J1027" s="306"/>
      <c r="K1027" s="306"/>
      <c r="L1027" s="313"/>
      <c r="M1027" s="219"/>
      <c r="N1027" s="218"/>
      <c r="S1027" s="224"/>
      <c r="T1027" s="228"/>
      <c r="U1027" s="226"/>
      <c r="V1027" s="226"/>
      <c r="W1027" s="303"/>
      <c r="X1027" s="220"/>
      <c r="Z1027" s="227"/>
      <c r="AA1027" s="220"/>
      <c r="AB1027" s="221"/>
      <c r="AC1027" s="229"/>
      <c r="AD1027" s="230"/>
      <c r="AE1027" s="230"/>
      <c r="AF1027" s="230"/>
      <c r="AG1027" s="227"/>
    </row>
    <row r="1028" spans="1:33" x14ac:dyDescent="0.25">
      <c r="A1028" s="32"/>
      <c r="B1028" s="306"/>
      <c r="C1028" s="307"/>
      <c r="D1028" s="312"/>
      <c r="E1028" s="301"/>
      <c r="F1028" s="232"/>
      <c r="J1028" s="306"/>
      <c r="K1028" s="306"/>
      <c r="L1028" s="313"/>
      <c r="M1028" s="219"/>
      <c r="N1028" s="218"/>
      <c r="S1028" s="224"/>
      <c r="T1028" s="228"/>
      <c r="U1028" s="226"/>
      <c r="V1028" s="226"/>
      <c r="W1028" s="303"/>
      <c r="X1028" s="220"/>
      <c r="Z1028" s="227"/>
      <c r="AA1028" s="220"/>
      <c r="AB1028" s="221"/>
      <c r="AC1028" s="229"/>
      <c r="AD1028" s="230"/>
      <c r="AE1028" s="230"/>
      <c r="AF1028" s="230"/>
      <c r="AG1028" s="227"/>
    </row>
    <row r="1029" spans="1:33" x14ac:dyDescent="0.25">
      <c r="A1029" s="32"/>
      <c r="B1029" s="306"/>
      <c r="C1029" s="307"/>
      <c r="D1029" s="312"/>
      <c r="E1029" s="301"/>
      <c r="F1029" s="232"/>
      <c r="J1029" s="306"/>
      <c r="K1029" s="306"/>
      <c r="L1029" s="313"/>
      <c r="M1029" s="219"/>
      <c r="N1029" s="218"/>
      <c r="S1029" s="224"/>
      <c r="T1029" s="228"/>
      <c r="U1029" s="226"/>
      <c r="V1029" s="226"/>
      <c r="W1029" s="303"/>
      <c r="X1029" s="220"/>
      <c r="Z1029" s="227"/>
      <c r="AA1029" s="220"/>
      <c r="AB1029" s="221"/>
      <c r="AC1029" s="229"/>
      <c r="AD1029" s="230"/>
      <c r="AE1029" s="230"/>
      <c r="AF1029" s="230"/>
      <c r="AG1029" s="227"/>
    </row>
    <row r="1030" spans="1:33" x14ac:dyDescent="0.25">
      <c r="A1030" s="32"/>
      <c r="B1030" s="306"/>
      <c r="C1030" s="307"/>
      <c r="D1030" s="312"/>
      <c r="E1030" s="301"/>
      <c r="F1030" s="232"/>
      <c r="J1030" s="306"/>
      <c r="K1030" s="306"/>
      <c r="L1030" s="313"/>
      <c r="M1030" s="219"/>
      <c r="N1030" s="218"/>
      <c r="S1030" s="224"/>
      <c r="T1030" s="228"/>
      <c r="U1030" s="226"/>
      <c r="V1030" s="226"/>
      <c r="W1030" s="303"/>
      <c r="X1030" s="220"/>
      <c r="Z1030" s="227"/>
      <c r="AA1030" s="220"/>
      <c r="AB1030" s="221"/>
      <c r="AC1030" s="229"/>
      <c r="AD1030" s="230"/>
      <c r="AE1030" s="230"/>
      <c r="AF1030" s="230"/>
      <c r="AG1030" s="227"/>
    </row>
    <row r="1031" spans="1:33" x14ac:dyDescent="0.25">
      <c r="A1031" s="32"/>
      <c r="B1031" s="306"/>
      <c r="C1031" s="307"/>
      <c r="D1031" s="312"/>
      <c r="E1031" s="301"/>
      <c r="F1031" s="232"/>
      <c r="J1031" s="306"/>
      <c r="K1031" s="306"/>
      <c r="L1031" s="313"/>
      <c r="M1031" s="219"/>
      <c r="N1031" s="218"/>
      <c r="S1031" s="224"/>
      <c r="T1031" s="228"/>
      <c r="U1031" s="226"/>
      <c r="V1031" s="226"/>
      <c r="W1031" s="303"/>
      <c r="X1031" s="220"/>
      <c r="Z1031" s="227"/>
      <c r="AA1031" s="220"/>
      <c r="AB1031" s="221"/>
      <c r="AC1031" s="229"/>
      <c r="AD1031" s="230"/>
      <c r="AE1031" s="230"/>
      <c r="AF1031" s="230"/>
      <c r="AG1031" s="227"/>
    </row>
    <row r="1032" spans="1:33" x14ac:dyDescent="0.25">
      <c r="A1032" s="32"/>
      <c r="B1032" s="306"/>
      <c r="C1032" s="307"/>
      <c r="D1032" s="312"/>
      <c r="E1032" s="301"/>
      <c r="F1032" s="232"/>
      <c r="J1032" s="306"/>
      <c r="K1032" s="306"/>
      <c r="L1032" s="313"/>
      <c r="M1032" s="219"/>
      <c r="N1032" s="218"/>
      <c r="S1032" s="224"/>
      <c r="T1032" s="228"/>
      <c r="U1032" s="226"/>
      <c r="V1032" s="226"/>
      <c r="W1032" s="303"/>
      <c r="X1032" s="220"/>
      <c r="Z1032" s="227"/>
      <c r="AA1032" s="220"/>
      <c r="AB1032" s="221"/>
      <c r="AC1032" s="229"/>
      <c r="AD1032" s="230"/>
      <c r="AE1032" s="230"/>
      <c r="AF1032" s="230"/>
      <c r="AG1032" s="227"/>
    </row>
    <row r="1033" spans="1:33" x14ac:dyDescent="0.25">
      <c r="A1033" s="32"/>
      <c r="B1033" s="306"/>
      <c r="C1033" s="307"/>
      <c r="D1033" s="312"/>
      <c r="E1033" s="301"/>
      <c r="F1033" s="232"/>
      <c r="J1033" s="306"/>
      <c r="K1033" s="306"/>
      <c r="L1033" s="313"/>
      <c r="M1033" s="219"/>
      <c r="N1033" s="218"/>
      <c r="S1033" s="224"/>
      <c r="T1033" s="228"/>
      <c r="U1033" s="226"/>
      <c r="V1033" s="226"/>
      <c r="W1033" s="303"/>
      <c r="X1033" s="220"/>
      <c r="Z1033" s="227"/>
      <c r="AA1033" s="220"/>
      <c r="AB1033" s="221"/>
      <c r="AC1033" s="229"/>
      <c r="AD1033" s="230"/>
      <c r="AE1033" s="230"/>
      <c r="AF1033" s="230"/>
      <c r="AG1033" s="227"/>
    </row>
    <row r="1034" spans="1:33" x14ac:dyDescent="0.25">
      <c r="A1034" s="32"/>
      <c r="B1034" s="306"/>
      <c r="C1034" s="307"/>
      <c r="D1034" s="312"/>
      <c r="E1034" s="301"/>
      <c r="F1034" s="232"/>
      <c r="J1034" s="306"/>
      <c r="K1034" s="306"/>
      <c r="L1034" s="313"/>
      <c r="M1034" s="219"/>
      <c r="N1034" s="218"/>
      <c r="S1034" s="224"/>
      <c r="T1034" s="228"/>
      <c r="U1034" s="226"/>
      <c r="V1034" s="226"/>
      <c r="W1034" s="303"/>
      <c r="X1034" s="220"/>
      <c r="Z1034" s="227"/>
      <c r="AA1034" s="220"/>
      <c r="AB1034" s="221"/>
      <c r="AC1034" s="229"/>
      <c r="AD1034" s="230"/>
      <c r="AE1034" s="230"/>
      <c r="AF1034" s="230"/>
      <c r="AG1034" s="227"/>
    </row>
    <row r="1035" spans="1:33" x14ac:dyDescent="0.25">
      <c r="A1035" s="32"/>
      <c r="B1035" s="306"/>
      <c r="C1035" s="307"/>
      <c r="D1035" s="312"/>
      <c r="E1035" s="301"/>
      <c r="F1035" s="232"/>
      <c r="J1035" s="306"/>
      <c r="K1035" s="306"/>
      <c r="L1035" s="313"/>
      <c r="M1035" s="219"/>
      <c r="N1035" s="218"/>
      <c r="S1035" s="224"/>
      <c r="T1035" s="228"/>
      <c r="U1035" s="226"/>
      <c r="V1035" s="226"/>
      <c r="W1035" s="303"/>
      <c r="X1035" s="220"/>
      <c r="Z1035" s="227"/>
      <c r="AA1035" s="220"/>
      <c r="AB1035" s="221"/>
      <c r="AC1035" s="229"/>
      <c r="AD1035" s="230"/>
      <c r="AE1035" s="230"/>
      <c r="AF1035" s="230"/>
      <c r="AG1035" s="227"/>
    </row>
    <row r="1036" spans="1:33" x14ac:dyDescent="0.25">
      <c r="A1036" s="32"/>
      <c r="B1036" s="306"/>
      <c r="C1036" s="307"/>
      <c r="D1036" s="312"/>
      <c r="E1036" s="301"/>
      <c r="F1036" s="232"/>
      <c r="J1036" s="306"/>
      <c r="K1036" s="306"/>
      <c r="L1036" s="313"/>
      <c r="M1036" s="219"/>
      <c r="N1036" s="218"/>
      <c r="S1036" s="224"/>
      <c r="T1036" s="228"/>
      <c r="U1036" s="226"/>
      <c r="V1036" s="226"/>
      <c r="W1036" s="303"/>
      <c r="X1036" s="220"/>
      <c r="Z1036" s="227"/>
      <c r="AA1036" s="220"/>
      <c r="AB1036" s="221"/>
      <c r="AC1036" s="229"/>
      <c r="AD1036" s="230"/>
      <c r="AE1036" s="230"/>
      <c r="AF1036" s="230"/>
      <c r="AG1036" s="227"/>
    </row>
    <row r="1037" spans="1:33" x14ac:dyDescent="0.25">
      <c r="A1037" s="32"/>
      <c r="B1037" s="306"/>
      <c r="C1037" s="307"/>
      <c r="D1037" s="312"/>
      <c r="E1037" s="301"/>
      <c r="F1037" s="232"/>
      <c r="J1037" s="306"/>
      <c r="K1037" s="306"/>
      <c r="L1037" s="313"/>
      <c r="M1037" s="219"/>
      <c r="N1037" s="218"/>
      <c r="S1037" s="224"/>
      <c r="T1037" s="228"/>
      <c r="U1037" s="226"/>
      <c r="V1037" s="226"/>
      <c r="W1037" s="303"/>
      <c r="X1037" s="220"/>
      <c r="Z1037" s="227"/>
      <c r="AA1037" s="220"/>
      <c r="AB1037" s="221"/>
      <c r="AC1037" s="229"/>
      <c r="AD1037" s="230"/>
      <c r="AE1037" s="230"/>
      <c r="AF1037" s="230"/>
      <c r="AG1037" s="227"/>
    </row>
    <row r="1038" spans="1:33" x14ac:dyDescent="0.25">
      <c r="A1038" s="32"/>
      <c r="B1038" s="306"/>
      <c r="C1038" s="307"/>
      <c r="D1038" s="312"/>
      <c r="E1038" s="301"/>
      <c r="F1038" s="232"/>
      <c r="J1038" s="306"/>
      <c r="K1038" s="306"/>
      <c r="L1038" s="313"/>
      <c r="M1038" s="219"/>
      <c r="N1038" s="218"/>
      <c r="S1038" s="224"/>
      <c r="T1038" s="228"/>
      <c r="U1038" s="226"/>
      <c r="V1038" s="226"/>
      <c r="W1038" s="303"/>
      <c r="X1038" s="220"/>
      <c r="Z1038" s="227"/>
      <c r="AA1038" s="220"/>
      <c r="AB1038" s="221"/>
      <c r="AC1038" s="229"/>
      <c r="AD1038" s="230"/>
      <c r="AE1038" s="230"/>
      <c r="AF1038" s="230"/>
      <c r="AG1038" s="227"/>
    </row>
    <row r="1039" spans="1:33" x14ac:dyDescent="0.25">
      <c r="A1039" s="32"/>
      <c r="B1039" s="306"/>
      <c r="C1039" s="307"/>
      <c r="D1039" s="312"/>
      <c r="E1039" s="301"/>
      <c r="F1039" s="232"/>
      <c r="J1039" s="306"/>
      <c r="K1039" s="306"/>
      <c r="L1039" s="313"/>
      <c r="M1039" s="219"/>
      <c r="N1039" s="218"/>
      <c r="S1039" s="224"/>
      <c r="T1039" s="228"/>
      <c r="U1039" s="226"/>
      <c r="V1039" s="226"/>
      <c r="W1039" s="303"/>
      <c r="X1039" s="220"/>
      <c r="Z1039" s="227"/>
      <c r="AA1039" s="220"/>
      <c r="AB1039" s="221"/>
      <c r="AC1039" s="229"/>
      <c r="AD1039" s="230"/>
      <c r="AE1039" s="230"/>
      <c r="AF1039" s="230"/>
      <c r="AG1039" s="227"/>
    </row>
    <row r="1040" spans="1:33" x14ac:dyDescent="0.25">
      <c r="A1040" s="32"/>
      <c r="B1040" s="306"/>
      <c r="C1040" s="307"/>
      <c r="D1040" s="312"/>
      <c r="E1040" s="301"/>
      <c r="F1040" s="232"/>
      <c r="J1040" s="306"/>
      <c r="K1040" s="306"/>
      <c r="L1040" s="313"/>
      <c r="M1040" s="219"/>
      <c r="N1040" s="218"/>
      <c r="S1040" s="224"/>
      <c r="T1040" s="228"/>
      <c r="U1040" s="226"/>
      <c r="V1040" s="226"/>
      <c r="W1040" s="303"/>
      <c r="X1040" s="220"/>
      <c r="Z1040" s="227"/>
      <c r="AA1040" s="220"/>
      <c r="AB1040" s="221"/>
      <c r="AC1040" s="229"/>
      <c r="AD1040" s="230"/>
      <c r="AE1040" s="230"/>
      <c r="AF1040" s="230"/>
      <c r="AG1040" s="227"/>
    </row>
    <row r="1041" spans="1:33" x14ac:dyDescent="0.25">
      <c r="A1041" s="32"/>
      <c r="B1041" s="306"/>
      <c r="C1041" s="307"/>
      <c r="D1041" s="312"/>
      <c r="E1041" s="301"/>
      <c r="F1041" s="232"/>
      <c r="J1041" s="306"/>
      <c r="K1041" s="306"/>
      <c r="L1041" s="313"/>
      <c r="M1041" s="219"/>
      <c r="N1041" s="218"/>
      <c r="S1041" s="224"/>
      <c r="T1041" s="228"/>
      <c r="U1041" s="226"/>
      <c r="V1041" s="226"/>
      <c r="W1041" s="303"/>
      <c r="X1041" s="220"/>
      <c r="Z1041" s="227"/>
      <c r="AA1041" s="220"/>
      <c r="AB1041" s="221"/>
      <c r="AC1041" s="229"/>
      <c r="AD1041" s="230"/>
      <c r="AE1041" s="230"/>
      <c r="AF1041" s="230"/>
      <c r="AG1041" s="227"/>
    </row>
    <row r="1042" spans="1:33" x14ac:dyDescent="0.25">
      <c r="A1042" s="32"/>
      <c r="B1042" s="306"/>
      <c r="C1042" s="307"/>
      <c r="D1042" s="312"/>
      <c r="E1042" s="301"/>
      <c r="F1042" s="232"/>
      <c r="J1042" s="306"/>
      <c r="K1042" s="306"/>
      <c r="L1042" s="313"/>
      <c r="M1042" s="219"/>
      <c r="N1042" s="218"/>
      <c r="S1042" s="224"/>
      <c r="T1042" s="228"/>
      <c r="U1042" s="226"/>
      <c r="V1042" s="226"/>
      <c r="W1042" s="303"/>
      <c r="X1042" s="220"/>
      <c r="Z1042" s="227"/>
      <c r="AA1042" s="220"/>
      <c r="AB1042" s="221"/>
      <c r="AC1042" s="229"/>
      <c r="AD1042" s="230"/>
      <c r="AE1042" s="230"/>
      <c r="AF1042" s="230"/>
      <c r="AG1042" s="227"/>
    </row>
    <row r="1043" spans="1:33" x14ac:dyDescent="0.25">
      <c r="A1043" s="32"/>
      <c r="B1043" s="306"/>
      <c r="C1043" s="307"/>
      <c r="D1043" s="312"/>
      <c r="E1043" s="301"/>
      <c r="F1043" s="232"/>
      <c r="J1043" s="306"/>
      <c r="K1043" s="306"/>
      <c r="L1043" s="313"/>
      <c r="M1043" s="219"/>
      <c r="N1043" s="218"/>
      <c r="S1043" s="224"/>
      <c r="T1043" s="228"/>
      <c r="U1043" s="226"/>
      <c r="V1043" s="226"/>
      <c r="W1043" s="303"/>
      <c r="X1043" s="220"/>
      <c r="Z1043" s="227"/>
      <c r="AA1043" s="220"/>
      <c r="AB1043" s="221"/>
      <c r="AC1043" s="229"/>
      <c r="AD1043" s="230"/>
      <c r="AE1043" s="230"/>
      <c r="AF1043" s="230"/>
      <c r="AG1043" s="227"/>
    </row>
    <row r="1044" spans="1:33" x14ac:dyDescent="0.25">
      <c r="A1044" s="32"/>
      <c r="B1044" s="306"/>
      <c r="C1044" s="307"/>
      <c r="D1044" s="312"/>
      <c r="E1044" s="301"/>
      <c r="F1044" s="232"/>
      <c r="J1044" s="306"/>
      <c r="K1044" s="306"/>
      <c r="L1044" s="313"/>
      <c r="M1044" s="219"/>
      <c r="N1044" s="218"/>
      <c r="S1044" s="224"/>
      <c r="T1044" s="228"/>
      <c r="U1044" s="226"/>
      <c r="V1044" s="226"/>
      <c r="W1044" s="303"/>
      <c r="X1044" s="220"/>
      <c r="Z1044" s="227"/>
      <c r="AA1044" s="220"/>
      <c r="AB1044" s="221"/>
      <c r="AC1044" s="229"/>
      <c r="AD1044" s="230"/>
      <c r="AE1044" s="230"/>
      <c r="AF1044" s="230"/>
      <c r="AG1044" s="227"/>
    </row>
    <row r="1045" spans="1:33" x14ac:dyDescent="0.25">
      <c r="A1045" s="32"/>
      <c r="B1045" s="306"/>
      <c r="C1045" s="307"/>
      <c r="D1045" s="312"/>
      <c r="E1045" s="301"/>
      <c r="F1045" s="232"/>
      <c r="J1045" s="306"/>
      <c r="K1045" s="306"/>
      <c r="L1045" s="313"/>
      <c r="M1045" s="219"/>
      <c r="N1045" s="218"/>
      <c r="S1045" s="224"/>
      <c r="T1045" s="228"/>
      <c r="U1045" s="226"/>
      <c r="V1045" s="226"/>
      <c r="W1045" s="303"/>
      <c r="X1045" s="220"/>
      <c r="Z1045" s="227"/>
      <c r="AA1045" s="220"/>
      <c r="AB1045" s="221"/>
      <c r="AC1045" s="229"/>
      <c r="AD1045" s="230"/>
      <c r="AE1045" s="230"/>
      <c r="AF1045" s="230"/>
      <c r="AG1045" s="227"/>
    </row>
    <row r="1046" spans="1:33" x14ac:dyDescent="0.25">
      <c r="A1046" s="32"/>
      <c r="B1046" s="306"/>
      <c r="C1046" s="307"/>
      <c r="D1046" s="312"/>
      <c r="E1046" s="301"/>
      <c r="F1046" s="232"/>
      <c r="J1046" s="306"/>
      <c r="K1046" s="306"/>
      <c r="L1046" s="313"/>
      <c r="M1046" s="219"/>
      <c r="N1046" s="218"/>
      <c r="S1046" s="224"/>
      <c r="T1046" s="228"/>
      <c r="U1046" s="226"/>
      <c r="V1046" s="226"/>
      <c r="W1046" s="303"/>
      <c r="X1046" s="220"/>
      <c r="Z1046" s="227"/>
      <c r="AA1046" s="220"/>
      <c r="AB1046" s="221"/>
      <c r="AC1046" s="229"/>
      <c r="AD1046" s="230"/>
      <c r="AE1046" s="230"/>
      <c r="AF1046" s="230"/>
      <c r="AG1046" s="227"/>
    </row>
    <row r="1047" spans="1:33" x14ac:dyDescent="0.25">
      <c r="A1047" s="32"/>
      <c r="B1047" s="306"/>
      <c r="C1047" s="307"/>
      <c r="D1047" s="312"/>
      <c r="E1047" s="301"/>
      <c r="F1047" s="232"/>
      <c r="J1047" s="306"/>
      <c r="K1047" s="306"/>
      <c r="L1047" s="313"/>
      <c r="M1047" s="219"/>
      <c r="N1047" s="218"/>
      <c r="S1047" s="224"/>
      <c r="T1047" s="228"/>
      <c r="U1047" s="226"/>
      <c r="V1047" s="226"/>
      <c r="W1047" s="303"/>
      <c r="X1047" s="220"/>
      <c r="Z1047" s="227"/>
      <c r="AA1047" s="220"/>
      <c r="AB1047" s="221"/>
      <c r="AC1047" s="229"/>
      <c r="AD1047" s="230"/>
      <c r="AE1047" s="230"/>
      <c r="AF1047" s="230"/>
      <c r="AG1047" s="227"/>
    </row>
    <row r="1048" spans="1:33" x14ac:dyDescent="0.25">
      <c r="A1048" s="32"/>
      <c r="B1048" s="306"/>
      <c r="C1048" s="307"/>
      <c r="D1048" s="312"/>
      <c r="E1048" s="301"/>
      <c r="F1048" s="232"/>
      <c r="J1048" s="306"/>
      <c r="K1048" s="306"/>
      <c r="L1048" s="313"/>
      <c r="M1048" s="219"/>
      <c r="N1048" s="218"/>
      <c r="S1048" s="224"/>
      <c r="T1048" s="228"/>
      <c r="U1048" s="226"/>
      <c r="V1048" s="226"/>
      <c r="W1048" s="303"/>
      <c r="X1048" s="220"/>
      <c r="Z1048" s="227"/>
      <c r="AA1048" s="220"/>
      <c r="AB1048" s="221"/>
      <c r="AC1048" s="229"/>
      <c r="AD1048" s="230"/>
      <c r="AE1048" s="230"/>
      <c r="AF1048" s="230"/>
      <c r="AG1048" s="227"/>
    </row>
    <row r="1049" spans="1:33" x14ac:dyDescent="0.25">
      <c r="A1049" s="32"/>
      <c r="B1049" s="306"/>
      <c r="C1049" s="307"/>
      <c r="D1049" s="312"/>
      <c r="E1049" s="301"/>
      <c r="F1049" s="232"/>
      <c r="J1049" s="306"/>
      <c r="K1049" s="306"/>
      <c r="L1049" s="313"/>
      <c r="M1049" s="219"/>
      <c r="N1049" s="218"/>
      <c r="S1049" s="224"/>
      <c r="T1049" s="228"/>
      <c r="U1049" s="226"/>
      <c r="V1049" s="226"/>
      <c r="W1049" s="303"/>
      <c r="X1049" s="220"/>
      <c r="Z1049" s="227"/>
      <c r="AA1049" s="220"/>
      <c r="AB1049" s="221"/>
      <c r="AC1049" s="229"/>
      <c r="AD1049" s="230"/>
      <c r="AE1049" s="230"/>
      <c r="AF1049" s="230"/>
      <c r="AG1049" s="227"/>
    </row>
    <row r="1050" spans="1:33" x14ac:dyDescent="0.25">
      <c r="A1050" s="32"/>
      <c r="B1050" s="306"/>
      <c r="C1050" s="307"/>
      <c r="D1050" s="312"/>
      <c r="E1050" s="301"/>
      <c r="F1050" s="232"/>
      <c r="J1050" s="306"/>
      <c r="K1050" s="306"/>
      <c r="L1050" s="313"/>
      <c r="M1050" s="219"/>
      <c r="N1050" s="218"/>
      <c r="S1050" s="224"/>
      <c r="T1050" s="228"/>
      <c r="U1050" s="226"/>
      <c r="V1050" s="226"/>
      <c r="W1050" s="303"/>
      <c r="X1050" s="220"/>
      <c r="Z1050" s="227"/>
      <c r="AA1050" s="220"/>
      <c r="AB1050" s="221"/>
      <c r="AC1050" s="229"/>
      <c r="AD1050" s="230"/>
      <c r="AE1050" s="230"/>
      <c r="AF1050" s="230"/>
      <c r="AG1050" s="227"/>
    </row>
    <row r="1051" spans="1:33" x14ac:dyDescent="0.25">
      <c r="A1051" s="32"/>
      <c r="B1051" s="306"/>
      <c r="C1051" s="307"/>
      <c r="D1051" s="312"/>
      <c r="E1051" s="301"/>
      <c r="F1051" s="232"/>
      <c r="J1051" s="306"/>
      <c r="K1051" s="306"/>
      <c r="L1051" s="313"/>
      <c r="M1051" s="219"/>
      <c r="N1051" s="218"/>
      <c r="S1051" s="224"/>
      <c r="T1051" s="228"/>
      <c r="U1051" s="226"/>
      <c r="V1051" s="226"/>
      <c r="W1051" s="303"/>
      <c r="X1051" s="220"/>
      <c r="Z1051" s="227"/>
      <c r="AA1051" s="220"/>
      <c r="AB1051" s="221"/>
      <c r="AC1051" s="229"/>
      <c r="AD1051" s="230"/>
      <c r="AE1051" s="230"/>
      <c r="AF1051" s="230"/>
      <c r="AG1051" s="227"/>
    </row>
    <row r="1052" spans="1:33" x14ac:dyDescent="0.25">
      <c r="A1052" s="32"/>
      <c r="B1052" s="306"/>
      <c r="C1052" s="307"/>
      <c r="D1052" s="312"/>
      <c r="E1052" s="301"/>
      <c r="F1052" s="232"/>
      <c r="J1052" s="306"/>
      <c r="K1052" s="306"/>
      <c r="L1052" s="313"/>
      <c r="M1052" s="219"/>
      <c r="N1052" s="218"/>
      <c r="S1052" s="224"/>
      <c r="T1052" s="228"/>
      <c r="U1052" s="226"/>
      <c r="V1052" s="226"/>
      <c r="W1052" s="303"/>
      <c r="X1052" s="220"/>
      <c r="Z1052" s="227"/>
      <c r="AA1052" s="220"/>
      <c r="AB1052" s="221"/>
      <c r="AC1052" s="229"/>
      <c r="AD1052" s="230"/>
      <c r="AE1052" s="230"/>
      <c r="AF1052" s="230"/>
      <c r="AG1052" s="227"/>
    </row>
    <row r="1053" spans="1:33" x14ac:dyDescent="0.25">
      <c r="A1053" s="32"/>
      <c r="B1053" s="306"/>
      <c r="C1053" s="307"/>
      <c r="D1053" s="312"/>
      <c r="E1053" s="301"/>
      <c r="F1053" s="232"/>
      <c r="J1053" s="306"/>
      <c r="K1053" s="306"/>
      <c r="L1053" s="313"/>
      <c r="M1053" s="219"/>
      <c r="N1053" s="218"/>
      <c r="S1053" s="224"/>
      <c r="T1053" s="228"/>
      <c r="U1053" s="226"/>
      <c r="V1053" s="226"/>
      <c r="W1053" s="303"/>
      <c r="X1053" s="220"/>
      <c r="Z1053" s="227"/>
      <c r="AA1053" s="220"/>
      <c r="AB1053" s="221"/>
      <c r="AC1053" s="229"/>
      <c r="AD1053" s="230"/>
      <c r="AE1053" s="230"/>
      <c r="AF1053" s="230"/>
      <c r="AG1053" s="227"/>
    </row>
    <row r="1054" spans="1:33" x14ac:dyDescent="0.25">
      <c r="A1054" s="32"/>
      <c r="B1054" s="306"/>
      <c r="C1054" s="307"/>
      <c r="D1054" s="312"/>
      <c r="E1054" s="301"/>
      <c r="F1054" s="232"/>
      <c r="J1054" s="306"/>
      <c r="K1054" s="306"/>
      <c r="L1054" s="313"/>
      <c r="M1054" s="219"/>
      <c r="N1054" s="218"/>
      <c r="S1054" s="224"/>
      <c r="T1054" s="228"/>
      <c r="U1054" s="226"/>
      <c r="V1054" s="226"/>
      <c r="W1054" s="303"/>
      <c r="X1054" s="220"/>
      <c r="Z1054" s="227"/>
      <c r="AA1054" s="220"/>
      <c r="AB1054" s="221"/>
      <c r="AC1054" s="229"/>
      <c r="AD1054" s="230"/>
      <c r="AE1054" s="230"/>
      <c r="AF1054" s="230"/>
      <c r="AG1054" s="227"/>
    </row>
    <row r="1055" spans="1:33" x14ac:dyDescent="0.25">
      <c r="A1055" s="32"/>
      <c r="B1055" s="306"/>
      <c r="C1055" s="307"/>
      <c r="D1055" s="312"/>
      <c r="E1055" s="301"/>
      <c r="F1055" s="232"/>
      <c r="J1055" s="306"/>
      <c r="K1055" s="306"/>
      <c r="L1055" s="313"/>
      <c r="M1055" s="219"/>
      <c r="N1055" s="218"/>
      <c r="S1055" s="224"/>
      <c r="T1055" s="228"/>
      <c r="U1055" s="226"/>
      <c r="V1055" s="226"/>
      <c r="W1055" s="303"/>
      <c r="X1055" s="220"/>
      <c r="Z1055" s="227"/>
      <c r="AA1055" s="220"/>
      <c r="AB1055" s="221"/>
      <c r="AC1055" s="229"/>
      <c r="AD1055" s="230"/>
      <c r="AE1055" s="230"/>
      <c r="AF1055" s="230"/>
      <c r="AG1055" s="227"/>
    </row>
    <row r="1056" spans="1:33" x14ac:dyDescent="0.25">
      <c r="A1056" s="32"/>
      <c r="B1056" s="306"/>
      <c r="C1056" s="307"/>
      <c r="D1056" s="312"/>
      <c r="E1056" s="301"/>
      <c r="F1056" s="232"/>
      <c r="J1056" s="306"/>
      <c r="K1056" s="306"/>
      <c r="L1056" s="313"/>
      <c r="M1056" s="219"/>
      <c r="N1056" s="218"/>
      <c r="S1056" s="224"/>
      <c r="T1056" s="228"/>
      <c r="U1056" s="226"/>
      <c r="V1056" s="226"/>
      <c r="W1056" s="303"/>
      <c r="X1056" s="220"/>
      <c r="Z1056" s="227"/>
      <c r="AA1056" s="220"/>
      <c r="AB1056" s="221"/>
      <c r="AC1056" s="229"/>
      <c r="AD1056" s="230"/>
      <c r="AE1056" s="230"/>
      <c r="AF1056" s="230"/>
      <c r="AG1056" s="227"/>
    </row>
    <row r="1057" spans="1:33" x14ac:dyDescent="0.25">
      <c r="A1057" s="32"/>
      <c r="B1057" s="306"/>
      <c r="C1057" s="307"/>
      <c r="D1057" s="312"/>
      <c r="E1057" s="301"/>
      <c r="F1057" s="232"/>
      <c r="J1057" s="306"/>
      <c r="K1057" s="306"/>
      <c r="L1057" s="313"/>
      <c r="M1057" s="219"/>
      <c r="N1057" s="218"/>
      <c r="S1057" s="224"/>
      <c r="T1057" s="228"/>
      <c r="U1057" s="226"/>
      <c r="V1057" s="226"/>
      <c r="W1057" s="303"/>
      <c r="X1057" s="220"/>
      <c r="Z1057" s="227"/>
      <c r="AA1057" s="220"/>
      <c r="AB1057" s="221"/>
      <c r="AC1057" s="229"/>
      <c r="AD1057" s="230"/>
      <c r="AE1057" s="230"/>
      <c r="AF1057" s="230"/>
      <c r="AG1057" s="227"/>
    </row>
    <row r="1058" spans="1:33" x14ac:dyDescent="0.25">
      <c r="A1058" s="32"/>
      <c r="B1058" s="306"/>
      <c r="C1058" s="307"/>
      <c r="D1058" s="312"/>
      <c r="E1058" s="301"/>
      <c r="F1058" s="232"/>
      <c r="J1058" s="306"/>
      <c r="K1058" s="306"/>
      <c r="L1058" s="313"/>
      <c r="M1058" s="219"/>
      <c r="N1058" s="218"/>
      <c r="S1058" s="224"/>
      <c r="T1058" s="228"/>
      <c r="U1058" s="226"/>
      <c r="V1058" s="226"/>
      <c r="W1058" s="303"/>
      <c r="X1058" s="220"/>
      <c r="Z1058" s="227"/>
      <c r="AA1058" s="220"/>
      <c r="AB1058" s="221"/>
      <c r="AC1058" s="229"/>
      <c r="AD1058" s="230"/>
      <c r="AE1058" s="230"/>
      <c r="AF1058" s="230"/>
      <c r="AG1058" s="227"/>
    </row>
    <row r="1059" spans="1:33" x14ac:dyDescent="0.25">
      <c r="A1059" s="32"/>
      <c r="B1059" s="306"/>
      <c r="C1059" s="307"/>
      <c r="D1059" s="312"/>
      <c r="E1059" s="301"/>
      <c r="F1059" s="232"/>
      <c r="J1059" s="306"/>
      <c r="K1059" s="306"/>
      <c r="L1059" s="313"/>
      <c r="M1059" s="219"/>
      <c r="N1059" s="218"/>
      <c r="S1059" s="224"/>
      <c r="T1059" s="228"/>
      <c r="U1059" s="226"/>
      <c r="V1059" s="226"/>
      <c r="W1059" s="303"/>
      <c r="X1059" s="220"/>
      <c r="Z1059" s="227"/>
      <c r="AA1059" s="220"/>
      <c r="AB1059" s="221"/>
      <c r="AC1059" s="229"/>
      <c r="AD1059" s="230"/>
      <c r="AE1059" s="230"/>
      <c r="AF1059" s="230"/>
      <c r="AG1059" s="227"/>
    </row>
    <row r="1060" spans="1:33" x14ac:dyDescent="0.25">
      <c r="A1060" s="32"/>
      <c r="B1060" s="306"/>
      <c r="C1060" s="307"/>
      <c r="D1060" s="312"/>
      <c r="E1060" s="301"/>
      <c r="F1060" s="232"/>
      <c r="J1060" s="306"/>
      <c r="K1060" s="306"/>
      <c r="L1060" s="313"/>
      <c r="M1060" s="219"/>
      <c r="N1060" s="218"/>
      <c r="S1060" s="224"/>
      <c r="T1060" s="228"/>
      <c r="U1060" s="226"/>
      <c r="V1060" s="226"/>
      <c r="W1060" s="303"/>
      <c r="X1060" s="220"/>
      <c r="Z1060" s="227"/>
      <c r="AA1060" s="220"/>
      <c r="AB1060" s="221"/>
      <c r="AC1060" s="229"/>
      <c r="AD1060" s="230"/>
      <c r="AE1060" s="230"/>
      <c r="AF1060" s="230"/>
      <c r="AG1060" s="227"/>
    </row>
    <row r="1061" spans="1:33" x14ac:dyDescent="0.25">
      <c r="A1061" s="32"/>
      <c r="B1061" s="306"/>
      <c r="C1061" s="307"/>
      <c r="D1061" s="312"/>
      <c r="E1061" s="301"/>
      <c r="F1061" s="232"/>
      <c r="J1061" s="306"/>
      <c r="K1061" s="306"/>
      <c r="L1061" s="313"/>
      <c r="M1061" s="219"/>
      <c r="N1061" s="218"/>
      <c r="S1061" s="224"/>
      <c r="T1061" s="228"/>
      <c r="U1061" s="226"/>
      <c r="V1061" s="226"/>
      <c r="W1061" s="303"/>
      <c r="X1061" s="220"/>
      <c r="Z1061" s="227"/>
      <c r="AA1061" s="220"/>
      <c r="AB1061" s="221"/>
      <c r="AC1061" s="229"/>
      <c r="AD1061" s="230"/>
      <c r="AE1061" s="230"/>
      <c r="AF1061" s="230"/>
      <c r="AG1061" s="227"/>
    </row>
    <row r="1062" spans="1:33" x14ac:dyDescent="0.25">
      <c r="A1062" s="32"/>
      <c r="B1062" s="306"/>
      <c r="C1062" s="307"/>
      <c r="D1062" s="312"/>
      <c r="E1062" s="301"/>
      <c r="F1062" s="232"/>
      <c r="J1062" s="306"/>
      <c r="K1062" s="306"/>
      <c r="L1062" s="313"/>
      <c r="M1062" s="219"/>
      <c r="N1062" s="218"/>
      <c r="S1062" s="224"/>
      <c r="T1062" s="228"/>
      <c r="U1062" s="226"/>
      <c r="V1062" s="226"/>
      <c r="W1062" s="303"/>
      <c r="X1062" s="220"/>
      <c r="Z1062" s="227"/>
      <c r="AA1062" s="220"/>
      <c r="AB1062" s="221"/>
      <c r="AC1062" s="229"/>
      <c r="AD1062" s="230"/>
      <c r="AE1062" s="230"/>
      <c r="AF1062" s="230"/>
      <c r="AG1062" s="227"/>
    </row>
    <row r="1063" spans="1:33" x14ac:dyDescent="0.25">
      <c r="A1063" s="32"/>
      <c r="B1063" s="306"/>
      <c r="C1063" s="307"/>
      <c r="D1063" s="312"/>
      <c r="E1063" s="301"/>
      <c r="F1063" s="232"/>
      <c r="J1063" s="306"/>
      <c r="K1063" s="306"/>
      <c r="L1063" s="313"/>
      <c r="M1063" s="219"/>
      <c r="N1063" s="218"/>
      <c r="S1063" s="224"/>
      <c r="T1063" s="228"/>
      <c r="U1063" s="226"/>
      <c r="V1063" s="226"/>
      <c r="W1063" s="303"/>
      <c r="X1063" s="220"/>
      <c r="Z1063" s="227"/>
      <c r="AA1063" s="220"/>
      <c r="AB1063" s="221"/>
      <c r="AC1063" s="229"/>
      <c r="AD1063" s="230"/>
      <c r="AE1063" s="230"/>
      <c r="AF1063" s="230"/>
      <c r="AG1063" s="227"/>
    </row>
    <row r="1064" spans="1:33" x14ac:dyDescent="0.25">
      <c r="A1064" s="32"/>
      <c r="B1064" s="306"/>
      <c r="C1064" s="307"/>
      <c r="D1064" s="312"/>
      <c r="E1064" s="301"/>
      <c r="F1064" s="232"/>
      <c r="J1064" s="306"/>
      <c r="K1064" s="306"/>
      <c r="L1064" s="313"/>
      <c r="M1064" s="219"/>
      <c r="N1064" s="218"/>
      <c r="S1064" s="224"/>
      <c r="T1064" s="228"/>
      <c r="U1064" s="226"/>
      <c r="V1064" s="226"/>
      <c r="W1064" s="303"/>
      <c r="X1064" s="220"/>
      <c r="Z1064" s="227"/>
      <c r="AA1064" s="220"/>
      <c r="AB1064" s="221"/>
      <c r="AC1064" s="229"/>
      <c r="AD1064" s="230"/>
      <c r="AE1064" s="230"/>
      <c r="AF1064" s="230"/>
      <c r="AG1064" s="227"/>
    </row>
    <row r="1065" spans="1:33" x14ac:dyDescent="0.25">
      <c r="A1065" s="32"/>
      <c r="B1065" s="306"/>
      <c r="C1065" s="307"/>
      <c r="D1065" s="312"/>
      <c r="E1065" s="301"/>
      <c r="F1065" s="232"/>
      <c r="J1065" s="306"/>
      <c r="K1065" s="306"/>
      <c r="L1065" s="313"/>
      <c r="M1065" s="219"/>
      <c r="N1065" s="218"/>
      <c r="S1065" s="224"/>
      <c r="T1065" s="228"/>
      <c r="U1065" s="226"/>
      <c r="V1065" s="226"/>
      <c r="W1065" s="303"/>
      <c r="X1065" s="220"/>
      <c r="Z1065" s="227"/>
      <c r="AA1065" s="220"/>
      <c r="AB1065" s="221"/>
      <c r="AC1065" s="229"/>
      <c r="AD1065" s="230"/>
      <c r="AE1065" s="230"/>
      <c r="AF1065" s="230"/>
      <c r="AG1065" s="227"/>
    </row>
    <row r="1066" spans="1:33" x14ac:dyDescent="0.25">
      <c r="A1066" s="32"/>
      <c r="B1066" s="306"/>
      <c r="C1066" s="307"/>
      <c r="D1066" s="312"/>
      <c r="E1066" s="301"/>
      <c r="F1066" s="232"/>
      <c r="J1066" s="306"/>
      <c r="K1066" s="306"/>
      <c r="L1066" s="313"/>
      <c r="M1066" s="219"/>
      <c r="N1066" s="218"/>
      <c r="S1066" s="224"/>
      <c r="T1066" s="228"/>
      <c r="U1066" s="226"/>
      <c r="V1066" s="226"/>
      <c r="W1066" s="303"/>
      <c r="X1066" s="220"/>
      <c r="Z1066" s="227"/>
      <c r="AA1066" s="220"/>
      <c r="AB1066" s="221"/>
      <c r="AC1066" s="229"/>
      <c r="AD1066" s="230"/>
      <c r="AE1066" s="230"/>
      <c r="AF1066" s="230"/>
      <c r="AG1066" s="227"/>
    </row>
    <row r="1067" spans="1:33" x14ac:dyDescent="0.25">
      <c r="A1067" s="32"/>
      <c r="B1067" s="306"/>
      <c r="C1067" s="307"/>
      <c r="D1067" s="312"/>
      <c r="E1067" s="301"/>
      <c r="F1067" s="232"/>
      <c r="J1067" s="306"/>
      <c r="K1067" s="306"/>
      <c r="L1067" s="313"/>
      <c r="M1067" s="219"/>
      <c r="N1067" s="218"/>
      <c r="S1067" s="224"/>
      <c r="T1067" s="228"/>
      <c r="U1067" s="226"/>
      <c r="V1067" s="226"/>
      <c r="W1067" s="303"/>
      <c r="X1067" s="220"/>
      <c r="Z1067" s="227"/>
      <c r="AA1067" s="220"/>
      <c r="AB1067" s="221"/>
      <c r="AC1067" s="229"/>
      <c r="AD1067" s="230"/>
      <c r="AE1067" s="230"/>
      <c r="AF1067" s="230"/>
      <c r="AG1067" s="227"/>
    </row>
    <row r="1068" spans="1:33" x14ac:dyDescent="0.25">
      <c r="A1068" s="32"/>
      <c r="B1068" s="306"/>
      <c r="C1068" s="307"/>
      <c r="D1068" s="312"/>
      <c r="E1068" s="301"/>
      <c r="F1068" s="232"/>
      <c r="J1068" s="306"/>
      <c r="K1068" s="306"/>
      <c r="L1068" s="313"/>
      <c r="M1068" s="219"/>
      <c r="N1068" s="218"/>
      <c r="S1068" s="224"/>
      <c r="T1068" s="228"/>
      <c r="U1068" s="226"/>
      <c r="V1068" s="226"/>
      <c r="W1068" s="303"/>
      <c r="X1068" s="220"/>
      <c r="Z1068" s="227"/>
      <c r="AA1068" s="220"/>
      <c r="AB1068" s="221"/>
      <c r="AC1068" s="229"/>
      <c r="AD1068" s="230"/>
      <c r="AE1068" s="230"/>
      <c r="AF1068" s="230"/>
      <c r="AG1068" s="227"/>
    </row>
    <row r="1069" spans="1:33" x14ac:dyDescent="0.25">
      <c r="A1069" s="32"/>
      <c r="B1069" s="306"/>
      <c r="C1069" s="307"/>
      <c r="D1069" s="312"/>
      <c r="E1069" s="301"/>
      <c r="F1069" s="232"/>
      <c r="J1069" s="306"/>
      <c r="K1069" s="306"/>
      <c r="L1069" s="313"/>
      <c r="M1069" s="219"/>
      <c r="N1069" s="218"/>
      <c r="S1069" s="224"/>
      <c r="T1069" s="228"/>
      <c r="U1069" s="226"/>
      <c r="V1069" s="226"/>
      <c r="W1069" s="303"/>
      <c r="X1069" s="220"/>
      <c r="Z1069" s="227"/>
      <c r="AA1069" s="220"/>
      <c r="AB1069" s="221"/>
      <c r="AC1069" s="229"/>
      <c r="AD1069" s="230"/>
      <c r="AE1069" s="230"/>
      <c r="AF1069" s="230"/>
      <c r="AG1069" s="227"/>
    </row>
    <row r="1070" spans="1:33" x14ac:dyDescent="0.25">
      <c r="A1070" s="32"/>
      <c r="B1070" s="306"/>
      <c r="C1070" s="307"/>
      <c r="D1070" s="312"/>
      <c r="E1070" s="301"/>
      <c r="F1070" s="232"/>
      <c r="J1070" s="306"/>
      <c r="K1070" s="306"/>
      <c r="L1070" s="313"/>
      <c r="M1070" s="219"/>
      <c r="N1070" s="218"/>
      <c r="S1070" s="224"/>
      <c r="T1070" s="228"/>
      <c r="U1070" s="226"/>
      <c r="V1070" s="226"/>
      <c r="W1070" s="303"/>
      <c r="X1070" s="220"/>
      <c r="Z1070" s="227"/>
      <c r="AA1070" s="220"/>
      <c r="AB1070" s="221"/>
      <c r="AC1070" s="229"/>
      <c r="AD1070" s="230"/>
      <c r="AE1070" s="230"/>
      <c r="AF1070" s="230"/>
      <c r="AG1070" s="227"/>
    </row>
    <row r="1071" spans="1:33" x14ac:dyDescent="0.25">
      <c r="A1071" s="32"/>
      <c r="B1071" s="306"/>
      <c r="C1071" s="307"/>
      <c r="D1071" s="312"/>
      <c r="E1071" s="301"/>
      <c r="F1071" s="232"/>
      <c r="J1071" s="306"/>
      <c r="K1071" s="306"/>
      <c r="L1071" s="313"/>
      <c r="M1071" s="219"/>
      <c r="N1071" s="218"/>
      <c r="S1071" s="224"/>
      <c r="T1071" s="228"/>
      <c r="U1071" s="226"/>
      <c r="V1071" s="226"/>
      <c r="W1071" s="303"/>
      <c r="X1071" s="220"/>
      <c r="Z1071" s="227"/>
      <c r="AA1071" s="220"/>
      <c r="AB1071" s="221"/>
      <c r="AC1071" s="229"/>
      <c r="AD1071" s="230"/>
      <c r="AE1071" s="230"/>
      <c r="AF1071" s="230"/>
      <c r="AG1071" s="227"/>
    </row>
    <row r="1072" spans="1:33" x14ac:dyDescent="0.25">
      <c r="A1072" s="32"/>
      <c r="B1072" s="306"/>
      <c r="C1072" s="307"/>
      <c r="D1072" s="312"/>
      <c r="E1072" s="301"/>
      <c r="F1072" s="232"/>
      <c r="J1072" s="306"/>
      <c r="K1072" s="306"/>
      <c r="L1072" s="313"/>
      <c r="M1072" s="219"/>
      <c r="N1072" s="218"/>
      <c r="S1072" s="224"/>
      <c r="T1072" s="228"/>
      <c r="U1072" s="226"/>
      <c r="V1072" s="226"/>
      <c r="W1072" s="303"/>
      <c r="X1072" s="220"/>
      <c r="Z1072" s="227"/>
      <c r="AA1072" s="220"/>
      <c r="AB1072" s="221"/>
      <c r="AC1072" s="229"/>
      <c r="AD1072" s="230"/>
      <c r="AE1072" s="230"/>
      <c r="AF1072" s="230"/>
      <c r="AG1072" s="227"/>
    </row>
    <row r="1073" spans="1:33" x14ac:dyDescent="0.25">
      <c r="A1073" s="32"/>
      <c r="B1073" s="306"/>
      <c r="C1073" s="307"/>
      <c r="D1073" s="312"/>
      <c r="E1073" s="301"/>
      <c r="F1073" s="232"/>
      <c r="J1073" s="306"/>
      <c r="K1073" s="306"/>
      <c r="L1073" s="313"/>
      <c r="M1073" s="219"/>
      <c r="N1073" s="218"/>
      <c r="S1073" s="224"/>
      <c r="T1073" s="228"/>
      <c r="U1073" s="226"/>
      <c r="V1073" s="226"/>
      <c r="W1073" s="303"/>
      <c r="X1073" s="220"/>
      <c r="Z1073" s="227"/>
      <c r="AA1073" s="220"/>
      <c r="AB1073" s="221"/>
      <c r="AC1073" s="229"/>
      <c r="AD1073" s="230"/>
      <c r="AE1073" s="230"/>
      <c r="AF1073" s="230"/>
      <c r="AG1073" s="227"/>
    </row>
    <row r="1074" spans="1:33" x14ac:dyDescent="0.25">
      <c r="A1074" s="32"/>
      <c r="B1074" s="306"/>
      <c r="C1074" s="307"/>
      <c r="D1074" s="312"/>
      <c r="E1074" s="301"/>
      <c r="F1074" s="232"/>
      <c r="J1074" s="306"/>
      <c r="K1074" s="306"/>
      <c r="L1074" s="313"/>
      <c r="M1074" s="219"/>
      <c r="N1074" s="218"/>
      <c r="S1074" s="224"/>
      <c r="T1074" s="228"/>
      <c r="U1074" s="226"/>
      <c r="V1074" s="226"/>
      <c r="W1074" s="303"/>
      <c r="X1074" s="220"/>
      <c r="Z1074" s="227"/>
      <c r="AA1074" s="220"/>
      <c r="AB1074" s="221"/>
      <c r="AC1074" s="229"/>
      <c r="AD1074" s="230"/>
      <c r="AE1074" s="230"/>
      <c r="AF1074" s="230"/>
      <c r="AG1074" s="227"/>
    </row>
    <row r="1075" spans="1:33" x14ac:dyDescent="0.25">
      <c r="A1075" s="32"/>
      <c r="B1075" s="306"/>
      <c r="C1075" s="307"/>
      <c r="D1075" s="312"/>
      <c r="E1075" s="301"/>
      <c r="F1075" s="232"/>
      <c r="J1075" s="306"/>
      <c r="K1075" s="306"/>
      <c r="L1075" s="313"/>
      <c r="M1075" s="219"/>
      <c r="N1075" s="218"/>
      <c r="S1075" s="224"/>
      <c r="T1075" s="228"/>
      <c r="U1075" s="226"/>
      <c r="V1075" s="226"/>
      <c r="W1075" s="303"/>
      <c r="X1075" s="220"/>
      <c r="Z1075" s="227"/>
      <c r="AA1075" s="220"/>
      <c r="AB1075" s="221"/>
      <c r="AC1075" s="229"/>
      <c r="AD1075" s="230"/>
      <c r="AE1075" s="230"/>
      <c r="AF1075" s="230"/>
      <c r="AG1075" s="227"/>
    </row>
    <row r="1076" spans="1:33" x14ac:dyDescent="0.25">
      <c r="A1076" s="32"/>
      <c r="B1076" s="306"/>
      <c r="C1076" s="307"/>
      <c r="D1076" s="312"/>
      <c r="E1076" s="301"/>
      <c r="F1076" s="232"/>
      <c r="J1076" s="306"/>
      <c r="K1076" s="306"/>
      <c r="L1076" s="313"/>
      <c r="M1076" s="219"/>
      <c r="N1076" s="218"/>
      <c r="S1076" s="224"/>
      <c r="T1076" s="228"/>
      <c r="U1076" s="226"/>
      <c r="V1076" s="226"/>
      <c r="W1076" s="303"/>
      <c r="X1076" s="220"/>
      <c r="Z1076" s="227"/>
      <c r="AA1076" s="220"/>
      <c r="AB1076" s="221"/>
      <c r="AC1076" s="229"/>
      <c r="AD1076" s="230"/>
      <c r="AE1076" s="230"/>
      <c r="AF1076" s="230"/>
      <c r="AG1076" s="227"/>
    </row>
    <row r="1077" spans="1:33" x14ac:dyDescent="0.25">
      <c r="A1077" s="32"/>
      <c r="B1077" s="306"/>
      <c r="C1077" s="307"/>
      <c r="D1077" s="312"/>
      <c r="E1077" s="301"/>
      <c r="F1077" s="232"/>
      <c r="J1077" s="306"/>
      <c r="K1077" s="306"/>
      <c r="L1077" s="313"/>
      <c r="M1077" s="219"/>
      <c r="N1077" s="218"/>
      <c r="S1077" s="224"/>
      <c r="T1077" s="228"/>
      <c r="U1077" s="226"/>
      <c r="V1077" s="226"/>
      <c r="W1077" s="303"/>
      <c r="X1077" s="220"/>
      <c r="Z1077" s="227"/>
      <c r="AA1077" s="220"/>
      <c r="AB1077" s="221"/>
      <c r="AC1077" s="229"/>
      <c r="AD1077" s="230"/>
      <c r="AE1077" s="230"/>
      <c r="AF1077" s="230"/>
      <c r="AG1077" s="227"/>
    </row>
    <row r="1078" spans="1:33" x14ac:dyDescent="0.25">
      <c r="A1078" s="32"/>
      <c r="B1078" s="306"/>
      <c r="C1078" s="307"/>
      <c r="D1078" s="312"/>
      <c r="E1078" s="301"/>
      <c r="F1078" s="232"/>
      <c r="J1078" s="306"/>
      <c r="K1078" s="306"/>
      <c r="L1078" s="313"/>
      <c r="M1078" s="219"/>
      <c r="N1078" s="218"/>
      <c r="S1078" s="224"/>
      <c r="T1078" s="228"/>
      <c r="U1078" s="226"/>
      <c r="V1078" s="226"/>
      <c r="W1078" s="303"/>
      <c r="X1078" s="220"/>
      <c r="Z1078" s="227"/>
      <c r="AA1078" s="220"/>
      <c r="AB1078" s="221"/>
      <c r="AC1078" s="229"/>
      <c r="AD1078" s="230"/>
      <c r="AE1078" s="230"/>
      <c r="AF1078" s="230"/>
      <c r="AG1078" s="227"/>
    </row>
    <row r="1079" spans="1:33" x14ac:dyDescent="0.25">
      <c r="A1079" s="32"/>
      <c r="B1079" s="306"/>
      <c r="C1079" s="307"/>
      <c r="D1079" s="312"/>
      <c r="E1079" s="301"/>
      <c r="F1079" s="232"/>
      <c r="J1079" s="306"/>
      <c r="K1079" s="306"/>
      <c r="L1079" s="313"/>
      <c r="M1079" s="219"/>
      <c r="N1079" s="218"/>
      <c r="S1079" s="224"/>
      <c r="T1079" s="228"/>
      <c r="U1079" s="226"/>
      <c r="V1079" s="226"/>
      <c r="W1079" s="303"/>
      <c r="X1079" s="220"/>
      <c r="Z1079" s="227"/>
      <c r="AA1079" s="220"/>
      <c r="AB1079" s="221"/>
      <c r="AC1079" s="229"/>
      <c r="AD1079" s="230"/>
      <c r="AE1079" s="230"/>
      <c r="AF1079" s="230"/>
      <c r="AG1079" s="227"/>
    </row>
    <row r="1080" spans="1:33" x14ac:dyDescent="0.25">
      <c r="A1080" s="32"/>
      <c r="B1080" s="306"/>
      <c r="C1080" s="307"/>
      <c r="D1080" s="312"/>
      <c r="E1080" s="301"/>
      <c r="F1080" s="232"/>
      <c r="J1080" s="306"/>
      <c r="K1080" s="306"/>
      <c r="L1080" s="313"/>
      <c r="M1080" s="219"/>
      <c r="N1080" s="218"/>
      <c r="S1080" s="224"/>
      <c r="T1080" s="228"/>
      <c r="U1080" s="226"/>
      <c r="V1080" s="226"/>
      <c r="W1080" s="303"/>
      <c r="X1080" s="220"/>
      <c r="Z1080" s="227"/>
      <c r="AA1080" s="220"/>
      <c r="AB1080" s="221"/>
      <c r="AC1080" s="229"/>
      <c r="AD1080" s="230"/>
      <c r="AE1080" s="230"/>
      <c r="AF1080" s="230"/>
      <c r="AG1080" s="227"/>
    </row>
    <row r="1081" spans="1:33" x14ac:dyDescent="0.25">
      <c r="A1081" s="32"/>
      <c r="B1081" s="306"/>
      <c r="C1081" s="307"/>
      <c r="D1081" s="312"/>
      <c r="E1081" s="301"/>
      <c r="F1081" s="232"/>
      <c r="J1081" s="306"/>
      <c r="K1081" s="306"/>
      <c r="L1081" s="313"/>
      <c r="M1081" s="219"/>
      <c r="N1081" s="218"/>
      <c r="S1081" s="224"/>
      <c r="T1081" s="228"/>
      <c r="U1081" s="226"/>
      <c r="V1081" s="226"/>
      <c r="W1081" s="303"/>
      <c r="X1081" s="220"/>
      <c r="Z1081" s="227"/>
      <c r="AA1081" s="220"/>
      <c r="AB1081" s="221"/>
      <c r="AC1081" s="229"/>
      <c r="AD1081" s="230"/>
      <c r="AE1081" s="230"/>
      <c r="AF1081" s="230"/>
      <c r="AG1081" s="227"/>
    </row>
    <row r="1082" spans="1:33" x14ac:dyDescent="0.25">
      <c r="A1082" s="32"/>
      <c r="B1082" s="306"/>
      <c r="C1082" s="307"/>
      <c r="D1082" s="312"/>
      <c r="E1082" s="301"/>
      <c r="F1082" s="232"/>
      <c r="J1082" s="306"/>
      <c r="K1082" s="306"/>
      <c r="L1082" s="313"/>
      <c r="M1082" s="219"/>
      <c r="N1082" s="218"/>
      <c r="S1082" s="224"/>
      <c r="T1082" s="228"/>
      <c r="U1082" s="226"/>
      <c r="V1082" s="226"/>
      <c r="W1082" s="303"/>
      <c r="X1082" s="220"/>
      <c r="Z1082" s="227"/>
      <c r="AA1082" s="220"/>
      <c r="AB1082" s="221"/>
      <c r="AC1082" s="229"/>
      <c r="AD1082" s="230"/>
      <c r="AE1082" s="230"/>
      <c r="AF1082" s="230"/>
      <c r="AG1082" s="227"/>
    </row>
    <row r="1083" spans="1:33" x14ac:dyDescent="0.25">
      <c r="A1083" s="32"/>
      <c r="B1083" s="306"/>
      <c r="C1083" s="307"/>
      <c r="D1083" s="312"/>
      <c r="E1083" s="301"/>
      <c r="F1083" s="232"/>
      <c r="J1083" s="306"/>
      <c r="K1083" s="306"/>
      <c r="L1083" s="313"/>
      <c r="M1083" s="219"/>
      <c r="N1083" s="218"/>
      <c r="S1083" s="224"/>
      <c r="T1083" s="228"/>
      <c r="U1083" s="226"/>
      <c r="V1083" s="226"/>
      <c r="W1083" s="303"/>
      <c r="X1083" s="220"/>
      <c r="Z1083" s="227"/>
      <c r="AA1083" s="220"/>
      <c r="AB1083" s="221"/>
      <c r="AC1083" s="229"/>
      <c r="AD1083" s="230"/>
      <c r="AE1083" s="230"/>
      <c r="AF1083" s="230"/>
      <c r="AG1083" s="227"/>
    </row>
    <row r="1084" spans="1:33" x14ac:dyDescent="0.25">
      <c r="A1084" s="32"/>
      <c r="B1084" s="306"/>
      <c r="C1084" s="307"/>
      <c r="D1084" s="312"/>
      <c r="E1084" s="301"/>
      <c r="F1084" s="232"/>
      <c r="J1084" s="306"/>
      <c r="K1084" s="306"/>
      <c r="L1084" s="313"/>
      <c r="M1084" s="219"/>
      <c r="N1084" s="218"/>
      <c r="S1084" s="224"/>
      <c r="T1084" s="228"/>
      <c r="U1084" s="226"/>
      <c r="V1084" s="226"/>
      <c r="W1084" s="303"/>
      <c r="X1084" s="220"/>
      <c r="Z1084" s="227"/>
      <c r="AA1084" s="220"/>
      <c r="AB1084" s="221"/>
      <c r="AC1084" s="229"/>
      <c r="AD1084" s="230"/>
      <c r="AE1084" s="230"/>
      <c r="AF1084" s="230"/>
      <c r="AG1084" s="227"/>
    </row>
    <row r="1085" spans="1:33" x14ac:dyDescent="0.25">
      <c r="A1085" s="32"/>
      <c r="B1085" s="306"/>
      <c r="C1085" s="307"/>
      <c r="D1085" s="312"/>
      <c r="E1085" s="301"/>
      <c r="F1085" s="232"/>
      <c r="J1085" s="306"/>
      <c r="K1085" s="306"/>
      <c r="L1085" s="313"/>
      <c r="M1085" s="219"/>
      <c r="N1085" s="218"/>
      <c r="S1085" s="224"/>
      <c r="T1085" s="228"/>
      <c r="U1085" s="226"/>
      <c r="V1085" s="226"/>
      <c r="W1085" s="303"/>
      <c r="X1085" s="220"/>
      <c r="Z1085" s="227"/>
      <c r="AA1085" s="220"/>
      <c r="AB1085" s="221"/>
      <c r="AC1085" s="229"/>
      <c r="AD1085" s="230"/>
      <c r="AE1085" s="230"/>
      <c r="AF1085" s="230"/>
      <c r="AG1085" s="227"/>
    </row>
    <row r="1086" spans="1:33" x14ac:dyDescent="0.25">
      <c r="A1086" s="32"/>
      <c r="B1086" s="306"/>
      <c r="C1086" s="307"/>
      <c r="D1086" s="312"/>
      <c r="E1086" s="301"/>
      <c r="F1086" s="232"/>
      <c r="J1086" s="306"/>
      <c r="K1086" s="306"/>
      <c r="L1086" s="313"/>
      <c r="M1086" s="219"/>
      <c r="N1086" s="218"/>
      <c r="S1086" s="224"/>
      <c r="T1086" s="228"/>
      <c r="U1086" s="226"/>
      <c r="V1086" s="226"/>
      <c r="W1086" s="303"/>
      <c r="X1086" s="220"/>
      <c r="Z1086" s="227"/>
      <c r="AA1086" s="220"/>
      <c r="AB1086" s="221"/>
      <c r="AC1086" s="229"/>
      <c r="AD1086" s="230"/>
      <c r="AE1086" s="230"/>
      <c r="AF1086" s="230"/>
      <c r="AG1086" s="227"/>
    </row>
    <row r="1087" spans="1:33" x14ac:dyDescent="0.25">
      <c r="A1087" s="32"/>
      <c r="B1087" s="306"/>
      <c r="C1087" s="307"/>
      <c r="D1087" s="312"/>
      <c r="E1087" s="301"/>
      <c r="F1087" s="232"/>
      <c r="J1087" s="306"/>
      <c r="K1087" s="306"/>
      <c r="L1087" s="313"/>
      <c r="M1087" s="219"/>
      <c r="N1087" s="218"/>
      <c r="S1087" s="224"/>
      <c r="T1087" s="228"/>
      <c r="U1087" s="226"/>
      <c r="V1087" s="226"/>
      <c r="W1087" s="303"/>
      <c r="X1087" s="220"/>
      <c r="Z1087" s="227"/>
      <c r="AA1087" s="220"/>
      <c r="AB1087" s="221"/>
      <c r="AC1087" s="229"/>
      <c r="AD1087" s="230"/>
      <c r="AE1087" s="230"/>
      <c r="AF1087" s="230"/>
      <c r="AG1087" s="227"/>
    </row>
    <row r="1088" spans="1:33" x14ac:dyDescent="0.25">
      <c r="A1088" s="32"/>
      <c r="B1088" s="306"/>
      <c r="C1088" s="307"/>
      <c r="D1088" s="312"/>
      <c r="E1088" s="301"/>
      <c r="F1088" s="232"/>
      <c r="J1088" s="306"/>
      <c r="K1088" s="306"/>
      <c r="L1088" s="313"/>
      <c r="M1088" s="219"/>
      <c r="N1088" s="218"/>
      <c r="S1088" s="224"/>
      <c r="T1088" s="228"/>
      <c r="U1088" s="226"/>
      <c r="V1088" s="226"/>
      <c r="W1088" s="303"/>
      <c r="X1088" s="220"/>
      <c r="Z1088" s="227"/>
      <c r="AA1088" s="220"/>
      <c r="AB1088" s="221"/>
      <c r="AC1088" s="229"/>
      <c r="AD1088" s="230"/>
      <c r="AE1088" s="230"/>
      <c r="AF1088" s="230"/>
      <c r="AG1088" s="227"/>
    </row>
    <row r="1089" spans="1:33" x14ac:dyDescent="0.25">
      <c r="A1089" s="32"/>
      <c r="B1089" s="306"/>
      <c r="C1089" s="307"/>
      <c r="D1089" s="312"/>
      <c r="E1089" s="301"/>
      <c r="F1089" s="232"/>
      <c r="J1089" s="306"/>
      <c r="K1089" s="306"/>
      <c r="L1089" s="313"/>
      <c r="M1089" s="219"/>
      <c r="N1089" s="218"/>
      <c r="S1089" s="224"/>
      <c r="T1089" s="228"/>
      <c r="U1089" s="226"/>
      <c r="V1089" s="226"/>
      <c r="W1089" s="303"/>
      <c r="X1089" s="220"/>
      <c r="Z1089" s="227"/>
      <c r="AA1089" s="220"/>
      <c r="AB1089" s="221"/>
      <c r="AC1089" s="229"/>
      <c r="AD1089" s="230"/>
      <c r="AE1089" s="230"/>
      <c r="AF1089" s="230"/>
      <c r="AG1089" s="227"/>
    </row>
    <row r="1090" spans="1:33" x14ac:dyDescent="0.25">
      <c r="A1090" s="32"/>
      <c r="B1090" s="306"/>
      <c r="C1090" s="307"/>
      <c r="D1090" s="312"/>
      <c r="E1090" s="301"/>
      <c r="F1090" s="232"/>
      <c r="J1090" s="306"/>
      <c r="K1090" s="306"/>
      <c r="L1090" s="313"/>
      <c r="M1090" s="219"/>
      <c r="N1090" s="218"/>
      <c r="S1090" s="224"/>
      <c r="T1090" s="228"/>
      <c r="U1090" s="226"/>
      <c r="V1090" s="226"/>
      <c r="W1090" s="303"/>
      <c r="X1090" s="220"/>
      <c r="Z1090" s="227"/>
      <c r="AA1090" s="220"/>
      <c r="AB1090" s="221"/>
      <c r="AC1090" s="229"/>
      <c r="AD1090" s="230"/>
      <c r="AE1090" s="230"/>
      <c r="AF1090" s="230"/>
      <c r="AG1090" s="227"/>
    </row>
    <row r="1091" spans="1:33" x14ac:dyDescent="0.25">
      <c r="A1091" s="32"/>
      <c r="B1091" s="306"/>
      <c r="C1091" s="307"/>
      <c r="D1091" s="312"/>
      <c r="E1091" s="301"/>
      <c r="F1091" s="232"/>
      <c r="J1091" s="306"/>
      <c r="K1091" s="306"/>
      <c r="L1091" s="313"/>
      <c r="M1091" s="219"/>
      <c r="N1091" s="218"/>
      <c r="S1091" s="224"/>
      <c r="T1091" s="228"/>
      <c r="U1091" s="226"/>
      <c r="V1091" s="226"/>
      <c r="W1091" s="303"/>
      <c r="X1091" s="220"/>
      <c r="Z1091" s="227"/>
      <c r="AA1091" s="220"/>
      <c r="AB1091" s="221"/>
      <c r="AC1091" s="229"/>
      <c r="AD1091" s="230"/>
      <c r="AE1091" s="230"/>
      <c r="AF1091" s="230"/>
      <c r="AG1091" s="227"/>
    </row>
    <row r="1092" spans="1:33" x14ac:dyDescent="0.25">
      <c r="A1092" s="32"/>
      <c r="B1092" s="306"/>
      <c r="C1092" s="307"/>
      <c r="D1092" s="312"/>
      <c r="E1092" s="301"/>
      <c r="F1092" s="232"/>
      <c r="J1092" s="306"/>
      <c r="K1092" s="306"/>
      <c r="L1092" s="313"/>
      <c r="M1092" s="219"/>
      <c r="N1092" s="218"/>
      <c r="S1092" s="224"/>
      <c r="T1092" s="228"/>
      <c r="U1092" s="226"/>
      <c r="V1092" s="226"/>
      <c r="W1092" s="303"/>
      <c r="X1092" s="220"/>
      <c r="Z1092" s="227"/>
      <c r="AA1092" s="220"/>
      <c r="AB1092" s="221"/>
      <c r="AC1092" s="229"/>
      <c r="AD1092" s="230"/>
      <c r="AE1092" s="230"/>
      <c r="AF1092" s="230"/>
      <c r="AG1092" s="227"/>
    </row>
    <row r="1093" spans="1:33" x14ac:dyDescent="0.25">
      <c r="A1093" s="32"/>
      <c r="B1093" s="306"/>
      <c r="C1093" s="307"/>
      <c r="D1093" s="312"/>
      <c r="E1093" s="301"/>
      <c r="F1093" s="232"/>
      <c r="J1093" s="306"/>
      <c r="K1093" s="306"/>
      <c r="L1093" s="313"/>
      <c r="M1093" s="219"/>
      <c r="N1093" s="218"/>
      <c r="S1093" s="224"/>
      <c r="T1093" s="228"/>
      <c r="U1093" s="226"/>
      <c r="V1093" s="226"/>
      <c r="W1093" s="303"/>
      <c r="X1093" s="220"/>
      <c r="Z1093" s="227"/>
      <c r="AA1093" s="220"/>
      <c r="AB1093" s="221"/>
      <c r="AC1093" s="229"/>
      <c r="AD1093" s="230"/>
      <c r="AE1093" s="230"/>
      <c r="AF1093" s="230"/>
      <c r="AG1093" s="227"/>
    </row>
    <row r="1094" spans="1:33" x14ac:dyDescent="0.25">
      <c r="A1094" s="32"/>
      <c r="B1094" s="306"/>
      <c r="C1094" s="307"/>
      <c r="D1094" s="312"/>
      <c r="E1094" s="301"/>
      <c r="F1094" s="232"/>
      <c r="J1094" s="306"/>
      <c r="K1094" s="306"/>
      <c r="L1094" s="313"/>
      <c r="M1094" s="219"/>
      <c r="N1094" s="218"/>
      <c r="S1094" s="224"/>
      <c r="T1094" s="228"/>
      <c r="U1094" s="226"/>
      <c r="V1094" s="226"/>
      <c r="W1094" s="303"/>
      <c r="X1094" s="220"/>
      <c r="Z1094" s="227"/>
      <c r="AA1094" s="220"/>
      <c r="AB1094" s="221"/>
      <c r="AC1094" s="229"/>
      <c r="AD1094" s="230"/>
      <c r="AE1094" s="230"/>
      <c r="AF1094" s="230"/>
      <c r="AG1094" s="227"/>
    </row>
    <row r="1095" spans="1:33" x14ac:dyDescent="0.25">
      <c r="A1095" s="32"/>
      <c r="B1095" s="306"/>
      <c r="C1095" s="307"/>
      <c r="D1095" s="312"/>
      <c r="E1095" s="301"/>
      <c r="F1095" s="232"/>
      <c r="J1095" s="306"/>
      <c r="K1095" s="306"/>
      <c r="L1095" s="313"/>
      <c r="M1095" s="219"/>
      <c r="N1095" s="218"/>
      <c r="S1095" s="224"/>
      <c r="T1095" s="228"/>
      <c r="U1095" s="226"/>
      <c r="V1095" s="226"/>
      <c r="W1095" s="303"/>
      <c r="X1095" s="220"/>
      <c r="Z1095" s="227"/>
      <c r="AA1095" s="220"/>
      <c r="AB1095" s="221"/>
      <c r="AC1095" s="229"/>
      <c r="AD1095" s="230"/>
      <c r="AE1095" s="230"/>
      <c r="AF1095" s="230"/>
      <c r="AG1095" s="227"/>
    </row>
    <row r="1096" spans="1:33" x14ac:dyDescent="0.25">
      <c r="A1096" s="32"/>
      <c r="B1096" s="306"/>
      <c r="C1096" s="307"/>
      <c r="D1096" s="312"/>
      <c r="E1096" s="301"/>
      <c r="F1096" s="232"/>
      <c r="J1096" s="306"/>
      <c r="K1096" s="306"/>
      <c r="L1096" s="313"/>
      <c r="M1096" s="219"/>
      <c r="N1096" s="218"/>
      <c r="S1096" s="224"/>
      <c r="T1096" s="228"/>
      <c r="U1096" s="226"/>
      <c r="V1096" s="226"/>
      <c r="W1096" s="303"/>
      <c r="X1096" s="220"/>
      <c r="Z1096" s="227"/>
      <c r="AA1096" s="220"/>
      <c r="AB1096" s="221"/>
      <c r="AC1096" s="229"/>
      <c r="AD1096" s="230"/>
      <c r="AE1096" s="230"/>
      <c r="AF1096" s="230"/>
      <c r="AG1096" s="227"/>
    </row>
    <row r="1097" spans="1:33" x14ac:dyDescent="0.25">
      <c r="A1097" s="32"/>
      <c r="B1097" s="306"/>
      <c r="C1097" s="307"/>
      <c r="D1097" s="312"/>
      <c r="E1097" s="301"/>
      <c r="F1097" s="232"/>
      <c r="J1097" s="306"/>
      <c r="K1097" s="306"/>
      <c r="L1097" s="313"/>
      <c r="M1097" s="219"/>
      <c r="N1097" s="218"/>
      <c r="S1097" s="224"/>
      <c r="T1097" s="228"/>
      <c r="U1097" s="226"/>
      <c r="V1097" s="226"/>
      <c r="W1097" s="303"/>
      <c r="X1097" s="220"/>
      <c r="Z1097" s="227"/>
      <c r="AA1097" s="220"/>
      <c r="AB1097" s="221"/>
      <c r="AC1097" s="229"/>
      <c r="AD1097" s="230"/>
      <c r="AE1097" s="230"/>
      <c r="AF1097" s="230"/>
      <c r="AG1097" s="227"/>
    </row>
    <row r="1098" spans="1:33" x14ac:dyDescent="0.25">
      <c r="A1098" s="32"/>
      <c r="B1098" s="306"/>
      <c r="C1098" s="307"/>
      <c r="D1098" s="312"/>
      <c r="E1098" s="301"/>
      <c r="F1098" s="232"/>
      <c r="J1098" s="306"/>
      <c r="K1098" s="306"/>
      <c r="L1098" s="313"/>
      <c r="M1098" s="219"/>
      <c r="N1098" s="218"/>
      <c r="S1098" s="224"/>
      <c r="T1098" s="228"/>
      <c r="U1098" s="226"/>
      <c r="V1098" s="226"/>
      <c r="W1098" s="303"/>
      <c r="X1098" s="220"/>
      <c r="Z1098" s="227"/>
      <c r="AA1098" s="220"/>
      <c r="AB1098" s="221"/>
      <c r="AC1098" s="229"/>
      <c r="AD1098" s="230"/>
      <c r="AE1098" s="230"/>
      <c r="AF1098" s="230"/>
      <c r="AG1098" s="227"/>
    </row>
    <row r="1099" spans="1:33" x14ac:dyDescent="0.25">
      <c r="A1099" s="32"/>
      <c r="B1099" s="306"/>
      <c r="C1099" s="307"/>
      <c r="D1099" s="312"/>
      <c r="E1099" s="301"/>
      <c r="F1099" s="232"/>
      <c r="J1099" s="306"/>
      <c r="K1099" s="306"/>
      <c r="L1099" s="313"/>
      <c r="M1099" s="219"/>
      <c r="N1099" s="218"/>
      <c r="S1099" s="224"/>
      <c r="T1099" s="228"/>
      <c r="U1099" s="226"/>
      <c r="V1099" s="226"/>
      <c r="W1099" s="303"/>
      <c r="X1099" s="220"/>
      <c r="Z1099" s="227"/>
      <c r="AA1099" s="220"/>
      <c r="AB1099" s="221"/>
      <c r="AC1099" s="229"/>
      <c r="AD1099" s="230"/>
      <c r="AE1099" s="230"/>
      <c r="AF1099" s="230"/>
      <c r="AG1099" s="227"/>
    </row>
    <row r="1100" spans="1:33" x14ac:dyDescent="0.25">
      <c r="A1100" s="32"/>
      <c r="B1100" s="306"/>
      <c r="C1100" s="307"/>
      <c r="D1100" s="312"/>
      <c r="E1100" s="301"/>
      <c r="F1100" s="232"/>
      <c r="J1100" s="306"/>
      <c r="K1100" s="306"/>
      <c r="L1100" s="313"/>
      <c r="M1100" s="219"/>
      <c r="N1100" s="218"/>
      <c r="S1100" s="224"/>
      <c r="T1100" s="228"/>
      <c r="U1100" s="226"/>
      <c r="V1100" s="226"/>
      <c r="W1100" s="303"/>
      <c r="X1100" s="220"/>
      <c r="Z1100" s="227"/>
      <c r="AA1100" s="220"/>
      <c r="AB1100" s="221"/>
      <c r="AC1100" s="229"/>
      <c r="AD1100" s="230"/>
      <c r="AE1100" s="230"/>
      <c r="AF1100" s="230"/>
      <c r="AG1100" s="227"/>
    </row>
    <row r="1101" spans="1:33" x14ac:dyDescent="0.25">
      <c r="A1101" s="32"/>
      <c r="B1101" s="306"/>
      <c r="C1101" s="307"/>
      <c r="D1101" s="312"/>
      <c r="E1101" s="301"/>
      <c r="F1101" s="232"/>
      <c r="J1101" s="306"/>
      <c r="K1101" s="306"/>
      <c r="L1101" s="313"/>
      <c r="M1101" s="219"/>
      <c r="N1101" s="218"/>
      <c r="S1101" s="224"/>
      <c r="T1101" s="228"/>
      <c r="U1101" s="226"/>
      <c r="V1101" s="226"/>
      <c r="W1101" s="303"/>
      <c r="X1101" s="220"/>
      <c r="Z1101" s="227"/>
      <c r="AA1101" s="220"/>
      <c r="AB1101" s="221"/>
      <c r="AC1101" s="229"/>
      <c r="AD1101" s="230"/>
      <c r="AE1101" s="230"/>
      <c r="AF1101" s="230"/>
      <c r="AG1101" s="227"/>
    </row>
    <row r="1102" spans="1:33" x14ac:dyDescent="0.25">
      <c r="A1102" s="32"/>
      <c r="B1102" s="306"/>
      <c r="C1102" s="307"/>
      <c r="D1102" s="312"/>
      <c r="E1102" s="301"/>
      <c r="F1102" s="232"/>
      <c r="J1102" s="306"/>
      <c r="K1102" s="306"/>
      <c r="L1102" s="313"/>
      <c r="M1102" s="219"/>
      <c r="N1102" s="218"/>
      <c r="S1102" s="224"/>
      <c r="T1102" s="228"/>
      <c r="U1102" s="226"/>
      <c r="V1102" s="226"/>
      <c r="W1102" s="303"/>
      <c r="X1102" s="220"/>
      <c r="Z1102" s="227"/>
      <c r="AA1102" s="220"/>
      <c r="AB1102" s="221"/>
      <c r="AC1102" s="229"/>
      <c r="AD1102" s="230"/>
      <c r="AE1102" s="230"/>
      <c r="AF1102" s="230"/>
      <c r="AG1102" s="227"/>
    </row>
    <row r="1103" spans="1:33" x14ac:dyDescent="0.25">
      <c r="A1103" s="32"/>
      <c r="B1103" s="306"/>
      <c r="C1103" s="307"/>
      <c r="D1103" s="312"/>
      <c r="E1103" s="301"/>
      <c r="F1103" s="232"/>
      <c r="J1103" s="306"/>
      <c r="K1103" s="306"/>
      <c r="L1103" s="313"/>
      <c r="M1103" s="219"/>
      <c r="N1103" s="218"/>
      <c r="S1103" s="224"/>
      <c r="T1103" s="228"/>
      <c r="U1103" s="226"/>
      <c r="V1103" s="226"/>
      <c r="W1103" s="303"/>
      <c r="X1103" s="220"/>
      <c r="Z1103" s="227"/>
      <c r="AA1103" s="220"/>
      <c r="AB1103" s="221"/>
      <c r="AC1103" s="229"/>
      <c r="AD1103" s="230"/>
      <c r="AE1103" s="230"/>
      <c r="AF1103" s="230"/>
      <c r="AG1103" s="227"/>
    </row>
    <row r="1104" spans="1:33" x14ac:dyDescent="0.25">
      <c r="A1104" s="32"/>
      <c r="B1104" s="306"/>
      <c r="C1104" s="307"/>
      <c r="D1104" s="312"/>
      <c r="E1104" s="301"/>
      <c r="F1104" s="232"/>
      <c r="J1104" s="306"/>
      <c r="K1104" s="306"/>
      <c r="L1104" s="313"/>
      <c r="M1104" s="219"/>
      <c r="N1104" s="218"/>
      <c r="S1104" s="224"/>
      <c r="T1104" s="228"/>
      <c r="U1104" s="226"/>
      <c r="V1104" s="226"/>
      <c r="W1104" s="303"/>
      <c r="X1104" s="220"/>
      <c r="Z1104" s="227"/>
      <c r="AA1104" s="220"/>
      <c r="AB1104" s="221"/>
      <c r="AC1104" s="229"/>
      <c r="AD1104" s="230"/>
      <c r="AE1104" s="230"/>
      <c r="AF1104" s="230"/>
      <c r="AG1104" s="227"/>
    </row>
    <row r="1105" spans="1:33" x14ac:dyDescent="0.25">
      <c r="A1105" s="32"/>
      <c r="B1105" s="306"/>
      <c r="C1105" s="307"/>
      <c r="D1105" s="312"/>
      <c r="E1105" s="301"/>
      <c r="F1105" s="232"/>
      <c r="J1105" s="306"/>
      <c r="K1105" s="306"/>
      <c r="L1105" s="313"/>
      <c r="M1105" s="219"/>
      <c r="N1105" s="218"/>
      <c r="S1105" s="224"/>
      <c r="T1105" s="228"/>
      <c r="U1105" s="226"/>
      <c r="V1105" s="226"/>
      <c r="W1105" s="303"/>
      <c r="X1105" s="220"/>
      <c r="Z1105" s="227"/>
      <c r="AA1105" s="220"/>
      <c r="AB1105" s="221"/>
      <c r="AC1105" s="229"/>
      <c r="AD1105" s="230"/>
      <c r="AE1105" s="230"/>
      <c r="AF1105" s="230"/>
      <c r="AG1105" s="227"/>
    </row>
    <row r="1106" spans="1:33" x14ac:dyDescent="0.25">
      <c r="A1106" s="32"/>
      <c r="B1106" s="306"/>
      <c r="C1106" s="307"/>
      <c r="D1106" s="312"/>
      <c r="E1106" s="301"/>
      <c r="F1106" s="232"/>
      <c r="J1106" s="306"/>
      <c r="K1106" s="306"/>
      <c r="L1106" s="313"/>
      <c r="M1106" s="219"/>
      <c r="N1106" s="218"/>
      <c r="S1106" s="224"/>
      <c r="T1106" s="228"/>
      <c r="U1106" s="226"/>
      <c r="V1106" s="226"/>
      <c r="W1106" s="303"/>
      <c r="X1106" s="220"/>
      <c r="Z1106" s="227"/>
      <c r="AA1106" s="220"/>
      <c r="AB1106" s="221"/>
      <c r="AC1106" s="229"/>
      <c r="AD1106" s="230"/>
      <c r="AE1106" s="230"/>
      <c r="AF1106" s="230"/>
      <c r="AG1106" s="227"/>
    </row>
    <row r="1107" spans="1:33" x14ac:dyDescent="0.25">
      <c r="A1107" s="32"/>
      <c r="B1107" s="306"/>
      <c r="C1107" s="307"/>
      <c r="D1107" s="312"/>
      <c r="E1107" s="301"/>
      <c r="F1107" s="232"/>
      <c r="J1107" s="306"/>
      <c r="K1107" s="306"/>
      <c r="L1107" s="313"/>
      <c r="M1107" s="219"/>
      <c r="N1107" s="218"/>
      <c r="S1107" s="224"/>
      <c r="T1107" s="228"/>
      <c r="U1107" s="226"/>
      <c r="V1107" s="226"/>
      <c r="W1107" s="303"/>
      <c r="X1107" s="220"/>
      <c r="Z1107" s="227"/>
      <c r="AA1107" s="220"/>
      <c r="AB1107" s="221"/>
      <c r="AC1107" s="229"/>
      <c r="AD1107" s="230"/>
      <c r="AE1107" s="230"/>
      <c r="AF1107" s="230"/>
      <c r="AG1107" s="227"/>
    </row>
    <row r="1108" spans="1:33" x14ac:dyDescent="0.25">
      <c r="A1108" s="32"/>
      <c r="B1108" s="306"/>
      <c r="C1108" s="307"/>
      <c r="D1108" s="312"/>
      <c r="E1108" s="301"/>
      <c r="F1108" s="232"/>
      <c r="J1108" s="306"/>
      <c r="K1108" s="306"/>
      <c r="L1108" s="313"/>
      <c r="M1108" s="219"/>
      <c r="N1108" s="218"/>
      <c r="S1108" s="224"/>
      <c r="T1108" s="228"/>
      <c r="U1108" s="226"/>
      <c r="V1108" s="226"/>
      <c r="W1108" s="303"/>
      <c r="X1108" s="220"/>
      <c r="Z1108" s="227"/>
      <c r="AA1108" s="220"/>
      <c r="AB1108" s="221"/>
      <c r="AC1108" s="229"/>
      <c r="AD1108" s="230"/>
      <c r="AE1108" s="230"/>
      <c r="AF1108" s="230"/>
      <c r="AG1108" s="227"/>
    </row>
    <row r="1109" spans="1:33" x14ac:dyDescent="0.25">
      <c r="A1109" s="32"/>
      <c r="B1109" s="306"/>
      <c r="C1109" s="307"/>
      <c r="D1109" s="312"/>
      <c r="E1109" s="301"/>
      <c r="F1109" s="232"/>
      <c r="J1109" s="306"/>
      <c r="K1109" s="306"/>
      <c r="L1109" s="313"/>
      <c r="M1109" s="219"/>
      <c r="N1109" s="218"/>
      <c r="S1109" s="224"/>
      <c r="T1109" s="228"/>
      <c r="U1109" s="226"/>
      <c r="V1109" s="226"/>
      <c r="W1109" s="303"/>
      <c r="X1109" s="220"/>
      <c r="Z1109" s="227"/>
      <c r="AA1109" s="220"/>
      <c r="AB1109" s="221"/>
      <c r="AC1109" s="229"/>
      <c r="AD1109" s="230"/>
      <c r="AE1109" s="230"/>
      <c r="AF1109" s="230"/>
      <c r="AG1109" s="227"/>
    </row>
    <row r="1110" spans="1:33" x14ac:dyDescent="0.25">
      <c r="A1110" s="32"/>
      <c r="B1110" s="306"/>
      <c r="C1110" s="307"/>
      <c r="D1110" s="312"/>
      <c r="E1110" s="301"/>
      <c r="F1110" s="232"/>
      <c r="J1110" s="306"/>
      <c r="K1110" s="306"/>
      <c r="L1110" s="313"/>
      <c r="M1110" s="219"/>
      <c r="N1110" s="218"/>
      <c r="S1110" s="224"/>
      <c r="T1110" s="228"/>
      <c r="U1110" s="226"/>
      <c r="V1110" s="226"/>
      <c r="W1110" s="303"/>
      <c r="X1110" s="220"/>
      <c r="Z1110" s="227"/>
      <c r="AA1110" s="220"/>
      <c r="AB1110" s="221"/>
      <c r="AC1110" s="229"/>
      <c r="AD1110" s="230"/>
      <c r="AE1110" s="230"/>
      <c r="AF1110" s="230"/>
      <c r="AG1110" s="227"/>
    </row>
    <row r="1111" spans="1:33" x14ac:dyDescent="0.25">
      <c r="A1111" s="32"/>
      <c r="B1111" s="306"/>
      <c r="C1111" s="307"/>
      <c r="D1111" s="312"/>
      <c r="E1111" s="301"/>
      <c r="F1111" s="232"/>
      <c r="J1111" s="306"/>
      <c r="K1111" s="306"/>
      <c r="L1111" s="313"/>
      <c r="M1111" s="219"/>
      <c r="N1111" s="218"/>
      <c r="S1111" s="224"/>
      <c r="T1111" s="228"/>
      <c r="U1111" s="226"/>
      <c r="V1111" s="226"/>
      <c r="W1111" s="303"/>
      <c r="X1111" s="220"/>
      <c r="Z1111" s="227"/>
      <c r="AA1111" s="220"/>
      <c r="AB1111" s="221"/>
      <c r="AC1111" s="229"/>
      <c r="AD1111" s="230"/>
      <c r="AE1111" s="230"/>
      <c r="AF1111" s="230"/>
      <c r="AG1111" s="227"/>
    </row>
    <row r="1112" spans="1:33" x14ac:dyDescent="0.25">
      <c r="A1112" s="32"/>
      <c r="B1112" s="306"/>
      <c r="C1112" s="307"/>
      <c r="D1112" s="312"/>
      <c r="E1112" s="301"/>
      <c r="F1112" s="232"/>
      <c r="J1112" s="306"/>
      <c r="K1112" s="306"/>
      <c r="L1112" s="313"/>
      <c r="M1112" s="219"/>
      <c r="N1112" s="218"/>
      <c r="S1112" s="224"/>
      <c r="T1112" s="228"/>
      <c r="U1112" s="226"/>
      <c r="V1112" s="226"/>
      <c r="W1112" s="303"/>
      <c r="X1112" s="220"/>
      <c r="Z1112" s="227"/>
      <c r="AA1112" s="220"/>
      <c r="AB1112" s="221"/>
      <c r="AC1112" s="229"/>
      <c r="AD1112" s="230"/>
      <c r="AE1112" s="230"/>
      <c r="AF1112" s="230"/>
      <c r="AG1112" s="227"/>
    </row>
    <row r="1113" spans="1:33" x14ac:dyDescent="0.25">
      <c r="A1113" s="32"/>
      <c r="B1113" s="306"/>
      <c r="C1113" s="307"/>
      <c r="D1113" s="312"/>
      <c r="E1113" s="301"/>
      <c r="F1113" s="232"/>
      <c r="J1113" s="306"/>
      <c r="K1113" s="306"/>
      <c r="L1113" s="313"/>
      <c r="M1113" s="219"/>
      <c r="N1113" s="218"/>
      <c r="S1113" s="224"/>
      <c r="T1113" s="228"/>
      <c r="U1113" s="226"/>
      <c r="V1113" s="226"/>
      <c r="W1113" s="303"/>
      <c r="X1113" s="220"/>
      <c r="Z1113" s="227"/>
      <c r="AA1113" s="220"/>
      <c r="AB1113" s="221"/>
      <c r="AC1113" s="229"/>
      <c r="AD1113" s="230"/>
      <c r="AE1113" s="230"/>
      <c r="AF1113" s="230"/>
      <c r="AG1113" s="227"/>
    </row>
    <row r="1114" spans="1:33" x14ac:dyDescent="0.25">
      <c r="A1114" s="32"/>
      <c r="B1114" s="306"/>
      <c r="C1114" s="307"/>
      <c r="D1114" s="312"/>
      <c r="E1114" s="301"/>
      <c r="F1114" s="232"/>
      <c r="J1114" s="306"/>
      <c r="K1114" s="306"/>
      <c r="L1114" s="313"/>
      <c r="M1114" s="219"/>
      <c r="N1114" s="218"/>
      <c r="S1114" s="224"/>
      <c r="T1114" s="228"/>
      <c r="U1114" s="226"/>
      <c r="V1114" s="226"/>
      <c r="W1114" s="303"/>
      <c r="X1114" s="220"/>
      <c r="Z1114" s="227"/>
      <c r="AA1114" s="220"/>
      <c r="AB1114" s="221"/>
      <c r="AC1114" s="229"/>
      <c r="AD1114" s="230"/>
      <c r="AE1114" s="230"/>
      <c r="AF1114" s="230"/>
      <c r="AG1114" s="227"/>
    </row>
    <row r="1115" spans="1:33" x14ac:dyDescent="0.25">
      <c r="A1115" s="32"/>
      <c r="B1115" s="306"/>
      <c r="C1115" s="307"/>
      <c r="D1115" s="312"/>
      <c r="E1115" s="301"/>
      <c r="F1115" s="232"/>
      <c r="J1115" s="306"/>
      <c r="K1115" s="306"/>
      <c r="L1115" s="313"/>
      <c r="M1115" s="219"/>
      <c r="N1115" s="218"/>
      <c r="S1115" s="224"/>
      <c r="T1115" s="228"/>
      <c r="U1115" s="226"/>
      <c r="V1115" s="226"/>
      <c r="W1115" s="303"/>
      <c r="X1115" s="220"/>
      <c r="Z1115" s="227"/>
      <c r="AA1115" s="220"/>
      <c r="AB1115" s="221"/>
      <c r="AC1115" s="229"/>
      <c r="AD1115" s="230"/>
      <c r="AE1115" s="230"/>
      <c r="AF1115" s="230"/>
      <c r="AG1115" s="227"/>
    </row>
    <row r="1116" spans="1:33" x14ac:dyDescent="0.25">
      <c r="A1116" s="32"/>
      <c r="B1116" s="306"/>
      <c r="C1116" s="307"/>
      <c r="D1116" s="312"/>
      <c r="E1116" s="301"/>
      <c r="F1116" s="232"/>
      <c r="J1116" s="306"/>
      <c r="K1116" s="306"/>
      <c r="L1116" s="313"/>
      <c r="M1116" s="219"/>
      <c r="N1116" s="218"/>
      <c r="S1116" s="224"/>
      <c r="T1116" s="228"/>
      <c r="U1116" s="226"/>
      <c r="V1116" s="226"/>
      <c r="W1116" s="303"/>
      <c r="X1116" s="220"/>
      <c r="Z1116" s="227"/>
      <c r="AA1116" s="220"/>
      <c r="AB1116" s="221"/>
      <c r="AC1116" s="229"/>
      <c r="AD1116" s="230"/>
      <c r="AE1116" s="230"/>
      <c r="AF1116" s="230"/>
      <c r="AG1116" s="227"/>
    </row>
    <row r="1117" spans="1:33" x14ac:dyDescent="0.25">
      <c r="A1117" s="32"/>
      <c r="B1117" s="306"/>
      <c r="C1117" s="307"/>
      <c r="D1117" s="312"/>
      <c r="E1117" s="301"/>
      <c r="F1117" s="232"/>
      <c r="J1117" s="306"/>
      <c r="K1117" s="306"/>
      <c r="L1117" s="313"/>
      <c r="M1117" s="219"/>
      <c r="N1117" s="218"/>
      <c r="S1117" s="224"/>
      <c r="T1117" s="228"/>
      <c r="U1117" s="226"/>
      <c r="V1117" s="226"/>
      <c r="W1117" s="303"/>
      <c r="X1117" s="220"/>
      <c r="Z1117" s="227"/>
      <c r="AA1117" s="220"/>
      <c r="AB1117" s="221"/>
      <c r="AC1117" s="229"/>
      <c r="AD1117" s="230"/>
      <c r="AE1117" s="230"/>
      <c r="AF1117" s="230"/>
      <c r="AG1117" s="227"/>
    </row>
    <row r="1118" spans="1:33" x14ac:dyDescent="0.25">
      <c r="A1118" s="32"/>
      <c r="B1118" s="306"/>
      <c r="C1118" s="307"/>
      <c r="D1118" s="312"/>
      <c r="E1118" s="301"/>
      <c r="F1118" s="232"/>
      <c r="J1118" s="306"/>
      <c r="K1118" s="306"/>
      <c r="L1118" s="313"/>
      <c r="M1118" s="219"/>
      <c r="N1118" s="218"/>
      <c r="S1118" s="224"/>
      <c r="T1118" s="228"/>
      <c r="U1118" s="226"/>
      <c r="V1118" s="226"/>
      <c r="W1118" s="303"/>
      <c r="X1118" s="220"/>
      <c r="Z1118" s="227"/>
      <c r="AA1118" s="220"/>
      <c r="AB1118" s="221"/>
      <c r="AC1118" s="229"/>
      <c r="AD1118" s="230"/>
      <c r="AE1118" s="230"/>
      <c r="AF1118" s="230"/>
      <c r="AG1118" s="227"/>
    </row>
    <row r="1119" spans="1:33" x14ac:dyDescent="0.25">
      <c r="A1119" s="32"/>
      <c r="B1119" s="306"/>
      <c r="C1119" s="307"/>
      <c r="D1119" s="312"/>
      <c r="E1119" s="301"/>
      <c r="F1119" s="232"/>
      <c r="J1119" s="306"/>
      <c r="K1119" s="306"/>
      <c r="L1119" s="313"/>
      <c r="M1119" s="219"/>
      <c r="N1119" s="218"/>
      <c r="S1119" s="224"/>
      <c r="T1119" s="228"/>
      <c r="U1119" s="226"/>
      <c r="V1119" s="226"/>
      <c r="W1119" s="303"/>
      <c r="X1119" s="220"/>
      <c r="Z1119" s="227"/>
      <c r="AA1119" s="220"/>
      <c r="AB1119" s="221"/>
      <c r="AC1119" s="229"/>
      <c r="AD1119" s="230"/>
      <c r="AE1119" s="230"/>
      <c r="AF1119" s="230"/>
      <c r="AG1119" s="227"/>
    </row>
    <row r="1120" spans="1:33" x14ac:dyDescent="0.25">
      <c r="A1120" s="32"/>
      <c r="B1120" s="306"/>
      <c r="C1120" s="307"/>
      <c r="D1120" s="312"/>
      <c r="E1120" s="301"/>
      <c r="F1120" s="232"/>
      <c r="J1120" s="306"/>
      <c r="K1120" s="306"/>
      <c r="L1120" s="313"/>
      <c r="M1120" s="219"/>
      <c r="N1120" s="218"/>
      <c r="S1120" s="224"/>
      <c r="T1120" s="228"/>
      <c r="U1120" s="226"/>
      <c r="V1120" s="226"/>
      <c r="W1120" s="303"/>
      <c r="X1120" s="220"/>
      <c r="Z1120" s="227"/>
      <c r="AA1120" s="220"/>
      <c r="AB1120" s="221"/>
      <c r="AC1120" s="229"/>
      <c r="AD1120" s="230"/>
      <c r="AE1120" s="230"/>
      <c r="AF1120" s="230"/>
      <c r="AG1120" s="227"/>
    </row>
    <row r="1121" spans="1:33" x14ac:dyDescent="0.25">
      <c r="A1121" s="32"/>
      <c r="B1121" s="306"/>
      <c r="C1121" s="307"/>
      <c r="D1121" s="312"/>
      <c r="E1121" s="301"/>
      <c r="F1121" s="232"/>
      <c r="J1121" s="306"/>
      <c r="K1121" s="306"/>
      <c r="L1121" s="313"/>
      <c r="M1121" s="219"/>
      <c r="N1121" s="218"/>
      <c r="S1121" s="224"/>
      <c r="T1121" s="228"/>
      <c r="U1121" s="226"/>
      <c r="V1121" s="226"/>
      <c r="W1121" s="303"/>
      <c r="X1121" s="220"/>
      <c r="Z1121" s="227"/>
      <c r="AA1121" s="220"/>
      <c r="AB1121" s="221"/>
      <c r="AC1121" s="229"/>
      <c r="AD1121" s="230"/>
      <c r="AE1121" s="230"/>
      <c r="AF1121" s="230"/>
      <c r="AG1121" s="227"/>
    </row>
    <row r="1122" spans="1:33" x14ac:dyDescent="0.25">
      <c r="A1122" s="32"/>
      <c r="B1122" s="306"/>
      <c r="C1122" s="307"/>
      <c r="D1122" s="312"/>
      <c r="E1122" s="301"/>
      <c r="F1122" s="232"/>
      <c r="J1122" s="306"/>
      <c r="K1122" s="306"/>
      <c r="L1122" s="313"/>
      <c r="M1122" s="219"/>
      <c r="N1122" s="218"/>
      <c r="S1122" s="224"/>
      <c r="T1122" s="228"/>
      <c r="U1122" s="226"/>
      <c r="V1122" s="226"/>
      <c r="W1122" s="303"/>
      <c r="X1122" s="220"/>
      <c r="Z1122" s="227"/>
      <c r="AA1122" s="220"/>
      <c r="AB1122" s="221"/>
      <c r="AC1122" s="229"/>
      <c r="AD1122" s="230"/>
      <c r="AE1122" s="230"/>
      <c r="AF1122" s="230"/>
      <c r="AG1122" s="227"/>
    </row>
    <row r="1123" spans="1:33" x14ac:dyDescent="0.25">
      <c r="A1123" s="32"/>
      <c r="B1123" s="306"/>
      <c r="C1123" s="307"/>
      <c r="D1123" s="312"/>
      <c r="E1123" s="301"/>
      <c r="F1123" s="232"/>
      <c r="J1123" s="306"/>
      <c r="K1123" s="306"/>
      <c r="L1123" s="313"/>
      <c r="M1123" s="219"/>
      <c r="N1123" s="218"/>
      <c r="S1123" s="224"/>
      <c r="T1123" s="228"/>
      <c r="U1123" s="226"/>
      <c r="V1123" s="226"/>
      <c r="W1123" s="303"/>
      <c r="X1123" s="220"/>
      <c r="Z1123" s="227"/>
      <c r="AA1123" s="220"/>
      <c r="AB1123" s="221"/>
      <c r="AC1123" s="229"/>
      <c r="AD1123" s="230"/>
      <c r="AE1123" s="230"/>
      <c r="AF1123" s="230"/>
      <c r="AG1123" s="227"/>
    </row>
    <row r="1124" spans="1:33" x14ac:dyDescent="0.25">
      <c r="A1124" s="32"/>
      <c r="B1124" s="306"/>
      <c r="C1124" s="307"/>
      <c r="D1124" s="312"/>
      <c r="E1124" s="301"/>
      <c r="F1124" s="232"/>
      <c r="J1124" s="306"/>
      <c r="K1124" s="306"/>
      <c r="L1124" s="313"/>
      <c r="M1124" s="219"/>
      <c r="N1124" s="218"/>
      <c r="S1124" s="224"/>
      <c r="T1124" s="228"/>
      <c r="U1124" s="226"/>
      <c r="V1124" s="226"/>
      <c r="W1124" s="303"/>
      <c r="X1124" s="220"/>
      <c r="Z1124" s="227"/>
      <c r="AA1124" s="220"/>
      <c r="AB1124" s="221"/>
      <c r="AC1124" s="229"/>
      <c r="AD1124" s="230"/>
      <c r="AE1124" s="230"/>
      <c r="AF1124" s="230"/>
      <c r="AG1124" s="227"/>
    </row>
    <row r="1125" spans="1:33" x14ac:dyDescent="0.25">
      <c r="A1125" s="32"/>
      <c r="B1125" s="306"/>
      <c r="C1125" s="307"/>
      <c r="D1125" s="312"/>
      <c r="E1125" s="301"/>
      <c r="F1125" s="232"/>
      <c r="J1125" s="306"/>
      <c r="K1125" s="306"/>
      <c r="L1125" s="313"/>
      <c r="M1125" s="219"/>
      <c r="N1125" s="218"/>
      <c r="S1125" s="224"/>
      <c r="T1125" s="228"/>
      <c r="U1125" s="226"/>
      <c r="V1125" s="226"/>
      <c r="W1125" s="303"/>
      <c r="X1125" s="220"/>
      <c r="Z1125" s="227"/>
      <c r="AA1125" s="220"/>
      <c r="AB1125" s="221"/>
      <c r="AC1125" s="229"/>
      <c r="AD1125" s="230"/>
      <c r="AE1125" s="230"/>
      <c r="AF1125" s="230"/>
      <c r="AG1125" s="227"/>
    </row>
    <row r="1126" spans="1:33" x14ac:dyDescent="0.25">
      <c r="A1126" s="32"/>
      <c r="B1126" s="306"/>
      <c r="C1126" s="307"/>
      <c r="D1126" s="312"/>
      <c r="E1126" s="301"/>
      <c r="F1126" s="232"/>
      <c r="J1126" s="306"/>
      <c r="K1126" s="306"/>
      <c r="L1126" s="313"/>
      <c r="M1126" s="219"/>
      <c r="N1126" s="218"/>
      <c r="S1126" s="224"/>
      <c r="T1126" s="228"/>
      <c r="U1126" s="226"/>
      <c r="V1126" s="226"/>
      <c r="W1126" s="303"/>
      <c r="X1126" s="220"/>
      <c r="Z1126" s="227"/>
      <c r="AA1126" s="220"/>
      <c r="AB1126" s="221"/>
      <c r="AC1126" s="229"/>
      <c r="AD1126" s="230"/>
      <c r="AE1126" s="230"/>
      <c r="AF1126" s="230"/>
      <c r="AG1126" s="227"/>
    </row>
    <row r="1127" spans="1:33" x14ac:dyDescent="0.25">
      <c r="A1127" s="32"/>
      <c r="B1127" s="306"/>
      <c r="C1127" s="307"/>
      <c r="D1127" s="312"/>
      <c r="E1127" s="301"/>
      <c r="F1127" s="232"/>
      <c r="J1127" s="306"/>
      <c r="K1127" s="306"/>
      <c r="L1127" s="313"/>
      <c r="M1127" s="219"/>
      <c r="N1127" s="218"/>
      <c r="S1127" s="224"/>
      <c r="T1127" s="228"/>
      <c r="U1127" s="226"/>
      <c r="V1127" s="226"/>
      <c r="W1127" s="303"/>
      <c r="X1127" s="220"/>
      <c r="Z1127" s="227"/>
      <c r="AA1127" s="220"/>
      <c r="AB1127" s="221"/>
      <c r="AC1127" s="229"/>
      <c r="AD1127" s="230"/>
      <c r="AE1127" s="230"/>
      <c r="AF1127" s="230"/>
      <c r="AG1127" s="227"/>
    </row>
    <row r="1128" spans="1:33" x14ac:dyDescent="0.25">
      <c r="A1128" s="32"/>
      <c r="B1128" s="306"/>
      <c r="C1128" s="307"/>
      <c r="D1128" s="312"/>
      <c r="E1128" s="301"/>
      <c r="F1128" s="232"/>
      <c r="J1128" s="306"/>
      <c r="K1128" s="306"/>
      <c r="L1128" s="313"/>
      <c r="M1128" s="219"/>
      <c r="N1128" s="218"/>
      <c r="S1128" s="224"/>
      <c r="T1128" s="228"/>
      <c r="U1128" s="226"/>
      <c r="V1128" s="226"/>
      <c r="W1128" s="303"/>
      <c r="X1128" s="220"/>
      <c r="Z1128" s="227"/>
      <c r="AA1128" s="220"/>
      <c r="AB1128" s="221"/>
      <c r="AC1128" s="229"/>
      <c r="AD1128" s="230"/>
      <c r="AE1128" s="230"/>
      <c r="AF1128" s="230"/>
      <c r="AG1128" s="227"/>
    </row>
    <row r="1129" spans="1:33" x14ac:dyDescent="0.25">
      <c r="A1129" s="32"/>
      <c r="B1129" s="306"/>
      <c r="C1129" s="307"/>
      <c r="D1129" s="312"/>
      <c r="E1129" s="301"/>
      <c r="F1129" s="232"/>
      <c r="J1129" s="306"/>
      <c r="K1129" s="306"/>
      <c r="L1129" s="313"/>
      <c r="M1129" s="219"/>
      <c r="N1129" s="218"/>
      <c r="S1129" s="224"/>
      <c r="T1129" s="228"/>
      <c r="U1129" s="226"/>
      <c r="V1129" s="226"/>
      <c r="W1129" s="303"/>
      <c r="X1129" s="220"/>
      <c r="Z1129" s="227"/>
      <c r="AA1129" s="220"/>
      <c r="AB1129" s="221"/>
      <c r="AC1129" s="229"/>
      <c r="AD1129" s="230"/>
      <c r="AE1129" s="230"/>
      <c r="AF1129" s="230"/>
      <c r="AG1129" s="227"/>
    </row>
    <row r="1130" spans="1:33" x14ac:dyDescent="0.25">
      <c r="A1130" s="32"/>
      <c r="B1130" s="306"/>
      <c r="C1130" s="307"/>
      <c r="D1130" s="312"/>
      <c r="E1130" s="301"/>
      <c r="F1130" s="232"/>
      <c r="J1130" s="306"/>
      <c r="K1130" s="306"/>
      <c r="L1130" s="313"/>
      <c r="M1130" s="219"/>
      <c r="N1130" s="218"/>
      <c r="S1130" s="224"/>
      <c r="T1130" s="228"/>
      <c r="U1130" s="226"/>
      <c r="V1130" s="226"/>
      <c r="W1130" s="303"/>
      <c r="X1130" s="220"/>
      <c r="Z1130" s="227"/>
      <c r="AA1130" s="220"/>
      <c r="AB1130" s="221"/>
      <c r="AC1130" s="229"/>
      <c r="AD1130" s="230"/>
      <c r="AE1130" s="230"/>
      <c r="AF1130" s="230"/>
      <c r="AG1130" s="227"/>
    </row>
    <row r="1131" spans="1:33" x14ac:dyDescent="0.25">
      <c r="A1131" s="32"/>
      <c r="B1131" s="306"/>
      <c r="C1131" s="307"/>
      <c r="D1131" s="312"/>
      <c r="E1131" s="301"/>
      <c r="F1131" s="232"/>
      <c r="J1131" s="306"/>
      <c r="K1131" s="306"/>
      <c r="L1131" s="313"/>
      <c r="M1131" s="219"/>
      <c r="N1131" s="218"/>
      <c r="S1131" s="224"/>
      <c r="T1131" s="228"/>
      <c r="U1131" s="226"/>
      <c r="V1131" s="226"/>
      <c r="W1131" s="303"/>
      <c r="X1131" s="220"/>
      <c r="Z1131" s="227"/>
      <c r="AA1131" s="220"/>
      <c r="AB1131" s="221"/>
      <c r="AC1131" s="229"/>
      <c r="AD1131" s="230"/>
      <c r="AE1131" s="230"/>
      <c r="AF1131" s="230"/>
      <c r="AG1131" s="227"/>
    </row>
    <row r="1132" spans="1:33" x14ac:dyDescent="0.25">
      <c r="A1132" s="32"/>
      <c r="B1132" s="306"/>
      <c r="C1132" s="307"/>
      <c r="D1132" s="312"/>
      <c r="E1132" s="301"/>
      <c r="F1132" s="232"/>
      <c r="J1132" s="306"/>
      <c r="K1132" s="306"/>
      <c r="L1132" s="313"/>
      <c r="M1132" s="219"/>
      <c r="N1132" s="218"/>
      <c r="S1132" s="224"/>
      <c r="T1132" s="228"/>
      <c r="U1132" s="226"/>
      <c r="V1132" s="226"/>
      <c r="W1132" s="303"/>
      <c r="X1132" s="220"/>
      <c r="Z1132" s="227"/>
      <c r="AA1132" s="220"/>
      <c r="AB1132" s="221"/>
      <c r="AC1132" s="229"/>
      <c r="AD1132" s="230"/>
      <c r="AE1132" s="230"/>
      <c r="AF1132" s="230"/>
      <c r="AG1132" s="227"/>
    </row>
    <row r="1133" spans="1:33" x14ac:dyDescent="0.25">
      <c r="A1133" s="32"/>
      <c r="B1133" s="306"/>
      <c r="C1133" s="307"/>
      <c r="D1133" s="312"/>
      <c r="E1133" s="301"/>
      <c r="F1133" s="232"/>
      <c r="J1133" s="306"/>
      <c r="K1133" s="306"/>
      <c r="L1133" s="313"/>
      <c r="M1133" s="219"/>
      <c r="N1133" s="218"/>
      <c r="S1133" s="224"/>
      <c r="T1133" s="228"/>
      <c r="U1133" s="226"/>
      <c r="V1133" s="226"/>
      <c r="W1133" s="303"/>
      <c r="X1133" s="220"/>
      <c r="Z1133" s="227"/>
      <c r="AA1133" s="220"/>
      <c r="AB1133" s="221"/>
      <c r="AC1133" s="229"/>
      <c r="AD1133" s="230"/>
      <c r="AE1133" s="230"/>
      <c r="AF1133" s="230"/>
      <c r="AG1133" s="227"/>
    </row>
    <row r="1134" spans="1:33" x14ac:dyDescent="0.25">
      <c r="A1134" s="32"/>
      <c r="B1134" s="306"/>
      <c r="C1134" s="307"/>
      <c r="D1134" s="312"/>
      <c r="E1134" s="301"/>
      <c r="F1134" s="232"/>
      <c r="J1134" s="306"/>
      <c r="K1134" s="306"/>
      <c r="L1134" s="313"/>
      <c r="M1134" s="219"/>
      <c r="N1134" s="218"/>
      <c r="S1134" s="224"/>
      <c r="T1134" s="228"/>
      <c r="U1134" s="226"/>
      <c r="V1134" s="226"/>
      <c r="W1134" s="303"/>
      <c r="X1134" s="220"/>
      <c r="Z1134" s="227"/>
      <c r="AA1134" s="220"/>
      <c r="AB1134" s="221"/>
      <c r="AC1134" s="229"/>
      <c r="AD1134" s="230"/>
      <c r="AE1134" s="230"/>
      <c r="AF1134" s="230"/>
      <c r="AG1134" s="227"/>
    </row>
    <row r="1135" spans="1:33" x14ac:dyDescent="0.25">
      <c r="A1135" s="32"/>
      <c r="B1135" s="306"/>
      <c r="C1135" s="307"/>
      <c r="D1135" s="312"/>
      <c r="E1135" s="301"/>
      <c r="F1135" s="232"/>
      <c r="J1135" s="306"/>
      <c r="K1135" s="306"/>
      <c r="L1135" s="313"/>
      <c r="M1135" s="219"/>
      <c r="N1135" s="218"/>
      <c r="S1135" s="224"/>
      <c r="T1135" s="228"/>
      <c r="U1135" s="226"/>
      <c r="V1135" s="226"/>
      <c r="W1135" s="303"/>
      <c r="X1135" s="220"/>
      <c r="Z1135" s="227"/>
      <c r="AA1135" s="220"/>
      <c r="AB1135" s="221"/>
      <c r="AC1135" s="229"/>
      <c r="AD1135" s="230"/>
      <c r="AE1135" s="230"/>
      <c r="AF1135" s="230"/>
      <c r="AG1135" s="227"/>
    </row>
    <row r="1136" spans="1:33" x14ac:dyDescent="0.25">
      <c r="A1136" s="32"/>
      <c r="B1136" s="306"/>
      <c r="C1136" s="307"/>
      <c r="D1136" s="312"/>
      <c r="E1136" s="301"/>
      <c r="F1136" s="232"/>
      <c r="J1136" s="306"/>
      <c r="K1136" s="306"/>
      <c r="L1136" s="313"/>
      <c r="M1136" s="219"/>
      <c r="N1136" s="218"/>
      <c r="S1136" s="224"/>
      <c r="T1136" s="228"/>
      <c r="U1136" s="226"/>
      <c r="V1136" s="226"/>
      <c r="W1136" s="303"/>
      <c r="X1136" s="220"/>
      <c r="Z1136" s="227"/>
      <c r="AA1136" s="220"/>
      <c r="AB1136" s="221"/>
      <c r="AC1136" s="229"/>
      <c r="AD1136" s="230"/>
      <c r="AE1136" s="230"/>
      <c r="AF1136" s="230"/>
      <c r="AG1136" s="227"/>
    </row>
    <row r="1137" spans="1:33" x14ac:dyDescent="0.25">
      <c r="A1137" s="32"/>
      <c r="B1137" s="306"/>
      <c r="C1137" s="307"/>
      <c r="D1137" s="312"/>
      <c r="E1137" s="301"/>
      <c r="F1137" s="232"/>
      <c r="J1137" s="306"/>
      <c r="K1137" s="306"/>
      <c r="L1137" s="313"/>
      <c r="M1137" s="219"/>
      <c r="N1137" s="218"/>
      <c r="S1137" s="224"/>
      <c r="T1137" s="228"/>
      <c r="U1137" s="226"/>
      <c r="V1137" s="226"/>
      <c r="W1137" s="303"/>
      <c r="X1137" s="220"/>
      <c r="Z1137" s="227"/>
      <c r="AA1137" s="220"/>
      <c r="AB1137" s="221"/>
      <c r="AC1137" s="229"/>
      <c r="AD1137" s="230"/>
      <c r="AE1137" s="230"/>
      <c r="AF1137" s="230"/>
      <c r="AG1137" s="227"/>
    </row>
    <row r="1138" spans="1:33" x14ac:dyDescent="0.25">
      <c r="A1138" s="32"/>
      <c r="B1138" s="306"/>
      <c r="C1138" s="307"/>
      <c r="D1138" s="312"/>
      <c r="E1138" s="301"/>
      <c r="F1138" s="232"/>
      <c r="J1138" s="306"/>
      <c r="K1138" s="306"/>
      <c r="L1138" s="313"/>
      <c r="M1138" s="219"/>
      <c r="N1138" s="218"/>
      <c r="S1138" s="224"/>
      <c r="T1138" s="228"/>
      <c r="U1138" s="226"/>
      <c r="V1138" s="226"/>
      <c r="W1138" s="303"/>
      <c r="X1138" s="220"/>
      <c r="Z1138" s="227"/>
      <c r="AA1138" s="220"/>
      <c r="AB1138" s="221"/>
      <c r="AC1138" s="229"/>
      <c r="AD1138" s="230"/>
      <c r="AE1138" s="230"/>
      <c r="AF1138" s="230"/>
      <c r="AG1138" s="227"/>
    </row>
    <row r="1139" spans="1:33" x14ac:dyDescent="0.25">
      <c r="A1139" s="32"/>
      <c r="B1139" s="306"/>
      <c r="C1139" s="307"/>
      <c r="D1139" s="312"/>
      <c r="E1139" s="301"/>
      <c r="F1139" s="232"/>
      <c r="J1139" s="306"/>
      <c r="K1139" s="306"/>
      <c r="L1139" s="313"/>
      <c r="M1139" s="219"/>
      <c r="N1139" s="218"/>
      <c r="S1139" s="224"/>
      <c r="T1139" s="228"/>
      <c r="U1139" s="226"/>
      <c r="V1139" s="226"/>
      <c r="W1139" s="303"/>
      <c r="X1139" s="220"/>
      <c r="Z1139" s="227"/>
      <c r="AA1139" s="220"/>
      <c r="AB1139" s="221"/>
      <c r="AC1139" s="229"/>
      <c r="AD1139" s="230"/>
      <c r="AE1139" s="230"/>
      <c r="AF1139" s="230"/>
      <c r="AG1139" s="227"/>
    </row>
    <row r="1140" spans="1:33" x14ac:dyDescent="0.25">
      <c r="A1140" s="32"/>
      <c r="B1140" s="306"/>
      <c r="C1140" s="307"/>
      <c r="D1140" s="312"/>
      <c r="E1140" s="301"/>
      <c r="F1140" s="232"/>
      <c r="J1140" s="306"/>
      <c r="K1140" s="306"/>
      <c r="L1140" s="313"/>
      <c r="M1140" s="219"/>
      <c r="N1140" s="218"/>
      <c r="S1140" s="224"/>
      <c r="T1140" s="228"/>
      <c r="U1140" s="226"/>
      <c r="V1140" s="226"/>
      <c r="W1140" s="303"/>
      <c r="X1140" s="220"/>
      <c r="Z1140" s="227"/>
      <c r="AA1140" s="220"/>
      <c r="AB1140" s="221"/>
      <c r="AC1140" s="229"/>
      <c r="AD1140" s="230"/>
      <c r="AE1140" s="230"/>
      <c r="AF1140" s="230"/>
      <c r="AG1140" s="227"/>
    </row>
    <row r="1141" spans="1:33" x14ac:dyDescent="0.25">
      <c r="A1141" s="32"/>
      <c r="B1141" s="306"/>
      <c r="C1141" s="307"/>
      <c r="D1141" s="312"/>
      <c r="E1141" s="301"/>
      <c r="F1141" s="232"/>
      <c r="J1141" s="306"/>
      <c r="K1141" s="306"/>
      <c r="L1141" s="313"/>
      <c r="M1141" s="219"/>
      <c r="N1141" s="218"/>
      <c r="S1141" s="224"/>
      <c r="T1141" s="228"/>
      <c r="U1141" s="226"/>
      <c r="V1141" s="226"/>
      <c r="W1141" s="303"/>
      <c r="X1141" s="220"/>
      <c r="Z1141" s="227"/>
      <c r="AA1141" s="220"/>
      <c r="AB1141" s="221"/>
      <c r="AC1141" s="229"/>
      <c r="AD1141" s="230"/>
      <c r="AE1141" s="230"/>
      <c r="AF1141" s="230"/>
      <c r="AG1141" s="227"/>
    </row>
    <row r="1142" spans="1:33" x14ac:dyDescent="0.25">
      <c r="A1142" s="32"/>
      <c r="B1142" s="306"/>
      <c r="C1142" s="307"/>
      <c r="D1142" s="312"/>
      <c r="E1142" s="301"/>
      <c r="F1142" s="232"/>
      <c r="J1142" s="306"/>
      <c r="K1142" s="306"/>
      <c r="L1142" s="313"/>
      <c r="M1142" s="219"/>
      <c r="N1142" s="218"/>
      <c r="S1142" s="224"/>
      <c r="T1142" s="228"/>
      <c r="U1142" s="226"/>
      <c r="V1142" s="226"/>
      <c r="W1142" s="303"/>
      <c r="X1142" s="220"/>
      <c r="Z1142" s="227"/>
      <c r="AA1142" s="220"/>
      <c r="AB1142" s="221"/>
      <c r="AC1142" s="229"/>
      <c r="AD1142" s="230"/>
      <c r="AE1142" s="230"/>
      <c r="AF1142" s="230"/>
      <c r="AG1142" s="227"/>
    </row>
    <row r="1143" spans="1:33" x14ac:dyDescent="0.25">
      <c r="A1143" s="32"/>
      <c r="B1143" s="306"/>
      <c r="C1143" s="307"/>
      <c r="D1143" s="312"/>
      <c r="E1143" s="301"/>
      <c r="F1143" s="232"/>
      <c r="J1143" s="306"/>
      <c r="K1143" s="306"/>
      <c r="L1143" s="313"/>
      <c r="M1143" s="219"/>
      <c r="N1143" s="218"/>
      <c r="S1143" s="224"/>
      <c r="T1143" s="228"/>
      <c r="U1143" s="226"/>
      <c r="V1143" s="226"/>
      <c r="W1143" s="303"/>
      <c r="X1143" s="220"/>
      <c r="Z1143" s="227"/>
      <c r="AA1143" s="220"/>
      <c r="AB1143" s="221"/>
      <c r="AC1143" s="229"/>
      <c r="AD1143" s="230"/>
      <c r="AE1143" s="230"/>
      <c r="AF1143" s="230"/>
      <c r="AG1143" s="227"/>
    </row>
    <row r="1144" spans="1:33" x14ac:dyDescent="0.25">
      <c r="A1144" s="32"/>
      <c r="B1144" s="306"/>
      <c r="C1144" s="307"/>
      <c r="D1144" s="312"/>
      <c r="E1144" s="301"/>
      <c r="F1144" s="232"/>
      <c r="J1144" s="306"/>
      <c r="K1144" s="306"/>
      <c r="L1144" s="313"/>
      <c r="M1144" s="219"/>
      <c r="N1144" s="218"/>
      <c r="S1144" s="224"/>
      <c r="T1144" s="228"/>
      <c r="U1144" s="226"/>
      <c r="V1144" s="226"/>
      <c r="W1144" s="303"/>
      <c r="X1144" s="220"/>
      <c r="Z1144" s="227"/>
      <c r="AA1144" s="220"/>
      <c r="AB1144" s="221"/>
      <c r="AC1144" s="229"/>
      <c r="AD1144" s="230"/>
      <c r="AE1144" s="230"/>
      <c r="AF1144" s="230"/>
      <c r="AG1144" s="227"/>
    </row>
    <row r="1145" spans="1:33" x14ac:dyDescent="0.25">
      <c r="A1145" s="32"/>
      <c r="B1145" s="306"/>
      <c r="C1145" s="307"/>
      <c r="D1145" s="312"/>
      <c r="E1145" s="301"/>
      <c r="F1145" s="232"/>
      <c r="J1145" s="306"/>
      <c r="K1145" s="306"/>
      <c r="L1145" s="313"/>
      <c r="M1145" s="219"/>
      <c r="N1145" s="218"/>
      <c r="S1145" s="224"/>
      <c r="T1145" s="228"/>
      <c r="U1145" s="226"/>
      <c r="V1145" s="226"/>
      <c r="W1145" s="303"/>
      <c r="X1145" s="220"/>
      <c r="Z1145" s="227"/>
      <c r="AA1145" s="220"/>
      <c r="AB1145" s="221"/>
      <c r="AC1145" s="229"/>
      <c r="AD1145" s="230"/>
      <c r="AE1145" s="230"/>
      <c r="AF1145" s="230"/>
      <c r="AG1145" s="227"/>
    </row>
    <row r="1146" spans="1:33" x14ac:dyDescent="0.25">
      <c r="A1146" s="32"/>
      <c r="B1146" s="306"/>
      <c r="C1146" s="307"/>
      <c r="D1146" s="312"/>
      <c r="E1146" s="301"/>
      <c r="F1146" s="232"/>
      <c r="J1146" s="306"/>
      <c r="K1146" s="306"/>
      <c r="L1146" s="313"/>
      <c r="M1146" s="219"/>
      <c r="N1146" s="218"/>
      <c r="S1146" s="224"/>
      <c r="T1146" s="228"/>
      <c r="U1146" s="226"/>
      <c r="V1146" s="226"/>
      <c r="W1146" s="303"/>
      <c r="X1146" s="220"/>
      <c r="Z1146" s="227"/>
      <c r="AA1146" s="220"/>
      <c r="AB1146" s="221"/>
      <c r="AC1146" s="229"/>
      <c r="AD1146" s="230"/>
      <c r="AE1146" s="230"/>
      <c r="AF1146" s="230"/>
      <c r="AG1146" s="227"/>
    </row>
    <row r="1147" spans="1:33" x14ac:dyDescent="0.25">
      <c r="A1147" s="32"/>
      <c r="B1147" s="306"/>
      <c r="C1147" s="307"/>
      <c r="D1147" s="312"/>
      <c r="E1147" s="301"/>
      <c r="F1147" s="232"/>
      <c r="J1147" s="306"/>
      <c r="K1147" s="306"/>
      <c r="L1147" s="313"/>
      <c r="M1147" s="219"/>
      <c r="N1147" s="218"/>
      <c r="S1147" s="224"/>
      <c r="T1147" s="228"/>
      <c r="U1147" s="226"/>
      <c r="V1147" s="226"/>
      <c r="W1147" s="303"/>
      <c r="X1147" s="220"/>
      <c r="Z1147" s="227"/>
      <c r="AA1147" s="220"/>
      <c r="AB1147" s="221"/>
      <c r="AC1147" s="229"/>
      <c r="AD1147" s="230"/>
      <c r="AE1147" s="230"/>
      <c r="AF1147" s="230"/>
      <c r="AG1147" s="227"/>
    </row>
    <row r="1148" spans="1:33" x14ac:dyDescent="0.25">
      <c r="A1148" s="32"/>
      <c r="B1148" s="306"/>
      <c r="C1148" s="307"/>
      <c r="D1148" s="312"/>
      <c r="E1148" s="301"/>
      <c r="F1148" s="232"/>
      <c r="J1148" s="306"/>
      <c r="K1148" s="306"/>
      <c r="L1148" s="313"/>
      <c r="M1148" s="219"/>
      <c r="N1148" s="218"/>
      <c r="S1148" s="224"/>
      <c r="T1148" s="228"/>
      <c r="U1148" s="226"/>
      <c r="V1148" s="226"/>
      <c r="W1148" s="303"/>
      <c r="X1148" s="220"/>
      <c r="Z1148" s="227"/>
      <c r="AA1148" s="220"/>
      <c r="AB1148" s="221"/>
      <c r="AC1148" s="229"/>
      <c r="AD1148" s="230"/>
      <c r="AE1148" s="230"/>
      <c r="AF1148" s="230"/>
      <c r="AG1148" s="227"/>
    </row>
    <row r="1149" spans="1:33" x14ac:dyDescent="0.25">
      <c r="A1149" s="32"/>
      <c r="B1149" s="306"/>
      <c r="C1149" s="307"/>
      <c r="D1149" s="312"/>
      <c r="E1149" s="301"/>
      <c r="F1149" s="232"/>
      <c r="J1149" s="306"/>
      <c r="K1149" s="306"/>
      <c r="L1149" s="313"/>
      <c r="M1149" s="219"/>
      <c r="N1149" s="218"/>
      <c r="S1149" s="224"/>
      <c r="T1149" s="228"/>
      <c r="U1149" s="226"/>
      <c r="V1149" s="226"/>
      <c r="W1149" s="303"/>
      <c r="X1149" s="220"/>
      <c r="Z1149" s="227"/>
      <c r="AA1149" s="220"/>
      <c r="AB1149" s="221"/>
      <c r="AC1149" s="229"/>
      <c r="AD1149" s="230"/>
      <c r="AE1149" s="230"/>
      <c r="AF1149" s="230"/>
      <c r="AG1149" s="227"/>
    </row>
    <row r="1150" spans="1:33" x14ac:dyDescent="0.25">
      <c r="A1150" s="32"/>
      <c r="B1150" s="306"/>
      <c r="C1150" s="307"/>
      <c r="D1150" s="312"/>
      <c r="E1150" s="301"/>
      <c r="F1150" s="232"/>
      <c r="J1150" s="306"/>
      <c r="K1150" s="306"/>
      <c r="L1150" s="313"/>
      <c r="M1150" s="219"/>
      <c r="N1150" s="218"/>
      <c r="S1150" s="224"/>
      <c r="T1150" s="228"/>
      <c r="U1150" s="226"/>
      <c r="V1150" s="226"/>
      <c r="W1150" s="303"/>
      <c r="X1150" s="220"/>
      <c r="Z1150" s="227"/>
      <c r="AA1150" s="220"/>
      <c r="AB1150" s="221"/>
      <c r="AC1150" s="229"/>
      <c r="AD1150" s="230"/>
      <c r="AE1150" s="230"/>
      <c r="AF1150" s="230"/>
      <c r="AG1150" s="227"/>
    </row>
    <row r="1151" spans="1:33" x14ac:dyDescent="0.25">
      <c r="A1151" s="32"/>
      <c r="B1151" s="306"/>
      <c r="C1151" s="307"/>
      <c r="D1151" s="312"/>
      <c r="E1151" s="301"/>
      <c r="F1151" s="232"/>
      <c r="J1151" s="306"/>
      <c r="K1151" s="306"/>
      <c r="L1151" s="313"/>
      <c r="M1151" s="219"/>
      <c r="N1151" s="218"/>
      <c r="S1151" s="224"/>
      <c r="T1151" s="228"/>
      <c r="U1151" s="226"/>
      <c r="V1151" s="226"/>
      <c r="W1151" s="303"/>
      <c r="X1151" s="220"/>
      <c r="Z1151" s="227"/>
      <c r="AA1151" s="220"/>
      <c r="AB1151" s="221"/>
      <c r="AC1151" s="229"/>
      <c r="AD1151" s="230"/>
      <c r="AE1151" s="230"/>
      <c r="AF1151" s="230"/>
      <c r="AG1151" s="227"/>
    </row>
    <row r="1152" spans="1:33" x14ac:dyDescent="0.25">
      <c r="A1152" s="32"/>
      <c r="B1152" s="306"/>
      <c r="C1152" s="307"/>
      <c r="D1152" s="312"/>
      <c r="E1152" s="301"/>
      <c r="F1152" s="232"/>
      <c r="J1152" s="306"/>
      <c r="K1152" s="306"/>
      <c r="L1152" s="313"/>
      <c r="M1152" s="219"/>
      <c r="N1152" s="218"/>
      <c r="S1152" s="224"/>
      <c r="T1152" s="228"/>
      <c r="U1152" s="226"/>
      <c r="V1152" s="226"/>
      <c r="W1152" s="303"/>
      <c r="X1152" s="220"/>
      <c r="Z1152" s="227"/>
      <c r="AA1152" s="220"/>
      <c r="AB1152" s="221"/>
      <c r="AC1152" s="229"/>
      <c r="AD1152" s="230"/>
      <c r="AE1152" s="230"/>
      <c r="AF1152" s="230"/>
      <c r="AG1152" s="227"/>
    </row>
    <row r="1153" spans="1:33" x14ac:dyDescent="0.25">
      <c r="A1153" s="32"/>
      <c r="B1153" s="306"/>
      <c r="C1153" s="307"/>
      <c r="D1153" s="312"/>
      <c r="E1153" s="301"/>
      <c r="F1153" s="232"/>
      <c r="J1153" s="306"/>
      <c r="K1153" s="306"/>
      <c r="L1153" s="313"/>
      <c r="M1153" s="219"/>
      <c r="N1153" s="218"/>
      <c r="S1153" s="224"/>
      <c r="T1153" s="228"/>
      <c r="U1153" s="226"/>
      <c r="V1153" s="226"/>
      <c r="W1153" s="303"/>
      <c r="X1153" s="220"/>
      <c r="Z1153" s="227"/>
      <c r="AA1153" s="220"/>
      <c r="AB1153" s="221"/>
      <c r="AC1153" s="229"/>
      <c r="AD1153" s="230"/>
      <c r="AE1153" s="230"/>
      <c r="AF1153" s="230"/>
      <c r="AG1153" s="227"/>
    </row>
    <row r="1154" spans="1:33" x14ac:dyDescent="0.25">
      <c r="A1154" s="32"/>
      <c r="B1154" s="306"/>
      <c r="C1154" s="307"/>
      <c r="D1154" s="312"/>
      <c r="E1154" s="301"/>
      <c r="F1154" s="232"/>
      <c r="J1154" s="306"/>
      <c r="K1154" s="306"/>
      <c r="L1154" s="313"/>
      <c r="M1154" s="219"/>
      <c r="N1154" s="218"/>
      <c r="S1154" s="224"/>
      <c r="T1154" s="228"/>
      <c r="U1154" s="226"/>
      <c r="V1154" s="226"/>
      <c r="W1154" s="303"/>
      <c r="X1154" s="220"/>
      <c r="Z1154" s="227"/>
      <c r="AA1154" s="220"/>
      <c r="AB1154" s="221"/>
      <c r="AC1154" s="229"/>
      <c r="AD1154" s="230"/>
      <c r="AE1154" s="230"/>
      <c r="AF1154" s="230"/>
      <c r="AG1154" s="227"/>
    </row>
    <row r="1155" spans="1:33" x14ac:dyDescent="0.25">
      <c r="A1155" s="32"/>
      <c r="B1155" s="306"/>
      <c r="C1155" s="307"/>
      <c r="D1155" s="312"/>
      <c r="E1155" s="301"/>
      <c r="F1155" s="232"/>
      <c r="J1155" s="306"/>
      <c r="K1155" s="306"/>
      <c r="L1155" s="313"/>
      <c r="M1155" s="219"/>
      <c r="N1155" s="218"/>
      <c r="S1155" s="224"/>
      <c r="T1155" s="228"/>
      <c r="U1155" s="226"/>
      <c r="V1155" s="226"/>
      <c r="W1155" s="303"/>
      <c r="X1155" s="220"/>
      <c r="Z1155" s="227"/>
      <c r="AA1155" s="220"/>
      <c r="AB1155" s="221"/>
      <c r="AC1155" s="229"/>
      <c r="AD1155" s="230"/>
      <c r="AE1155" s="230"/>
      <c r="AF1155" s="230"/>
      <c r="AG1155" s="227"/>
    </row>
    <row r="1156" spans="1:33" x14ac:dyDescent="0.25">
      <c r="A1156" s="32"/>
      <c r="B1156" s="306"/>
      <c r="C1156" s="307"/>
      <c r="D1156" s="312"/>
      <c r="E1156" s="301"/>
      <c r="F1156" s="232"/>
      <c r="J1156" s="306"/>
      <c r="K1156" s="306"/>
      <c r="L1156" s="313"/>
      <c r="M1156" s="219"/>
      <c r="N1156" s="218"/>
      <c r="S1156" s="224"/>
      <c r="T1156" s="228"/>
      <c r="U1156" s="226"/>
      <c r="V1156" s="226"/>
      <c r="W1156" s="303"/>
      <c r="X1156" s="220"/>
      <c r="Z1156" s="227"/>
      <c r="AA1156" s="220"/>
      <c r="AB1156" s="221"/>
      <c r="AC1156" s="229"/>
      <c r="AD1156" s="230"/>
      <c r="AE1156" s="230"/>
      <c r="AF1156" s="230"/>
      <c r="AG1156" s="227"/>
    </row>
    <row r="1157" spans="1:33" x14ac:dyDescent="0.25">
      <c r="A1157" s="32"/>
      <c r="B1157" s="306"/>
      <c r="C1157" s="307"/>
      <c r="D1157" s="312"/>
      <c r="E1157" s="301"/>
      <c r="F1157" s="232"/>
      <c r="J1157" s="306"/>
      <c r="K1157" s="306"/>
      <c r="L1157" s="313"/>
      <c r="M1157" s="219"/>
      <c r="N1157" s="218"/>
      <c r="S1157" s="224"/>
      <c r="T1157" s="228"/>
      <c r="U1157" s="226"/>
      <c r="V1157" s="226"/>
      <c r="W1157" s="303"/>
      <c r="X1157" s="220"/>
      <c r="Z1157" s="227"/>
      <c r="AA1157" s="220"/>
      <c r="AB1157" s="221"/>
      <c r="AC1157" s="229"/>
      <c r="AD1157" s="230"/>
      <c r="AE1157" s="230"/>
      <c r="AF1157" s="230"/>
      <c r="AG1157" s="227"/>
    </row>
    <row r="1158" spans="1:33" x14ac:dyDescent="0.25">
      <c r="A1158" s="32"/>
      <c r="B1158" s="306"/>
      <c r="C1158" s="307"/>
      <c r="D1158" s="312"/>
      <c r="E1158" s="301"/>
      <c r="F1158" s="232"/>
      <c r="J1158" s="306"/>
      <c r="K1158" s="306"/>
      <c r="L1158" s="313"/>
      <c r="M1158" s="219"/>
      <c r="N1158" s="218"/>
      <c r="S1158" s="224"/>
      <c r="T1158" s="228"/>
      <c r="U1158" s="226"/>
      <c r="V1158" s="226"/>
      <c r="W1158" s="303"/>
      <c r="X1158" s="220"/>
      <c r="Z1158" s="227"/>
      <c r="AA1158" s="220"/>
      <c r="AB1158" s="221"/>
      <c r="AC1158" s="229"/>
      <c r="AD1158" s="230"/>
      <c r="AE1158" s="230"/>
      <c r="AF1158" s="230"/>
      <c r="AG1158" s="227"/>
    </row>
    <row r="1159" spans="1:33" x14ac:dyDescent="0.25">
      <c r="A1159" s="32"/>
      <c r="B1159" s="306"/>
      <c r="C1159" s="307"/>
      <c r="D1159" s="312"/>
      <c r="E1159" s="301"/>
      <c r="F1159" s="232"/>
      <c r="J1159" s="306"/>
      <c r="K1159" s="306"/>
      <c r="L1159" s="313"/>
      <c r="M1159" s="219"/>
      <c r="N1159" s="218"/>
      <c r="S1159" s="224"/>
      <c r="T1159" s="228"/>
      <c r="U1159" s="226"/>
      <c r="V1159" s="226"/>
      <c r="W1159" s="303"/>
      <c r="X1159" s="220"/>
      <c r="Z1159" s="227"/>
      <c r="AA1159" s="220"/>
      <c r="AB1159" s="221"/>
      <c r="AC1159" s="229"/>
      <c r="AD1159" s="230"/>
      <c r="AE1159" s="230"/>
      <c r="AF1159" s="230"/>
      <c r="AG1159" s="227"/>
    </row>
    <row r="1160" spans="1:33" x14ac:dyDescent="0.25">
      <c r="A1160" s="32"/>
      <c r="B1160" s="306"/>
      <c r="C1160" s="307"/>
      <c r="D1160" s="312"/>
      <c r="E1160" s="301"/>
      <c r="F1160" s="232"/>
      <c r="J1160" s="306"/>
      <c r="K1160" s="306"/>
      <c r="L1160" s="313"/>
      <c r="M1160" s="219"/>
      <c r="N1160" s="218"/>
      <c r="S1160" s="224"/>
      <c r="T1160" s="228"/>
      <c r="U1160" s="226"/>
      <c r="V1160" s="226"/>
      <c r="W1160" s="303"/>
      <c r="X1160" s="220"/>
      <c r="Z1160" s="227"/>
      <c r="AA1160" s="220"/>
      <c r="AB1160" s="221"/>
      <c r="AC1160" s="229"/>
      <c r="AD1160" s="230"/>
      <c r="AE1160" s="230"/>
      <c r="AF1160" s="230"/>
      <c r="AG1160" s="227"/>
    </row>
    <row r="1161" spans="1:33" x14ac:dyDescent="0.25">
      <c r="A1161" s="32"/>
      <c r="B1161" s="306"/>
      <c r="C1161" s="307"/>
      <c r="D1161" s="312"/>
      <c r="E1161" s="301"/>
      <c r="F1161" s="232"/>
      <c r="J1161" s="306"/>
      <c r="K1161" s="306"/>
      <c r="L1161" s="313"/>
      <c r="M1161" s="219"/>
      <c r="N1161" s="218"/>
      <c r="S1161" s="224"/>
      <c r="T1161" s="228"/>
      <c r="U1161" s="226"/>
      <c r="V1161" s="226"/>
      <c r="W1161" s="303"/>
      <c r="X1161" s="220"/>
      <c r="Z1161" s="227"/>
      <c r="AA1161" s="220"/>
      <c r="AB1161" s="221"/>
      <c r="AC1161" s="229"/>
      <c r="AD1161" s="230"/>
      <c r="AE1161" s="230"/>
      <c r="AF1161" s="230"/>
      <c r="AG1161" s="227"/>
    </row>
    <row r="1162" spans="1:33" x14ac:dyDescent="0.25">
      <c r="A1162" s="32"/>
      <c r="B1162" s="306"/>
      <c r="C1162" s="307"/>
      <c r="D1162" s="312"/>
      <c r="E1162" s="301"/>
      <c r="F1162" s="232"/>
      <c r="J1162" s="306"/>
      <c r="K1162" s="306"/>
      <c r="L1162" s="313"/>
      <c r="M1162" s="219"/>
      <c r="N1162" s="218"/>
      <c r="S1162" s="224"/>
      <c r="T1162" s="228"/>
      <c r="U1162" s="226"/>
      <c r="V1162" s="226"/>
      <c r="W1162" s="303"/>
      <c r="X1162" s="220"/>
      <c r="Z1162" s="227"/>
      <c r="AA1162" s="220"/>
      <c r="AB1162" s="221"/>
      <c r="AC1162" s="229"/>
      <c r="AD1162" s="230"/>
      <c r="AE1162" s="230"/>
      <c r="AF1162" s="230"/>
      <c r="AG1162" s="227"/>
    </row>
    <row r="1163" spans="1:33" x14ac:dyDescent="0.25">
      <c r="A1163" s="32"/>
      <c r="B1163" s="306"/>
      <c r="C1163" s="307"/>
      <c r="D1163" s="312"/>
      <c r="E1163" s="301"/>
      <c r="F1163" s="232"/>
      <c r="J1163" s="306"/>
      <c r="K1163" s="306"/>
      <c r="L1163" s="313"/>
      <c r="M1163" s="219"/>
      <c r="N1163" s="218"/>
      <c r="S1163" s="224"/>
      <c r="T1163" s="228"/>
      <c r="U1163" s="226"/>
      <c r="V1163" s="226"/>
      <c r="W1163" s="303"/>
      <c r="X1163" s="220"/>
      <c r="Z1163" s="227"/>
      <c r="AA1163" s="220"/>
      <c r="AB1163" s="221"/>
      <c r="AC1163" s="229"/>
      <c r="AD1163" s="230"/>
      <c r="AE1163" s="230"/>
      <c r="AF1163" s="230"/>
      <c r="AG1163" s="227"/>
    </row>
    <row r="1164" spans="1:33" x14ac:dyDescent="0.25">
      <c r="A1164" s="32"/>
      <c r="B1164" s="306"/>
      <c r="C1164" s="307"/>
      <c r="D1164" s="312"/>
      <c r="E1164" s="301"/>
      <c r="F1164" s="232"/>
      <c r="J1164" s="306"/>
      <c r="K1164" s="306"/>
      <c r="L1164" s="313"/>
      <c r="M1164" s="219"/>
      <c r="N1164" s="218"/>
      <c r="S1164" s="224"/>
      <c r="T1164" s="228"/>
      <c r="U1164" s="226"/>
      <c r="V1164" s="226"/>
      <c r="W1164" s="303"/>
      <c r="X1164" s="220"/>
      <c r="Z1164" s="227"/>
      <c r="AA1164" s="220"/>
      <c r="AB1164" s="221"/>
      <c r="AC1164" s="229"/>
      <c r="AD1164" s="230"/>
      <c r="AE1164" s="230"/>
      <c r="AF1164" s="230"/>
      <c r="AG1164" s="227"/>
    </row>
    <row r="1165" spans="1:33" x14ac:dyDescent="0.25">
      <c r="A1165" s="32"/>
      <c r="B1165" s="306"/>
      <c r="C1165" s="307"/>
      <c r="D1165" s="312"/>
      <c r="E1165" s="301"/>
      <c r="F1165" s="232"/>
      <c r="J1165" s="306"/>
      <c r="K1165" s="306"/>
      <c r="L1165" s="313"/>
      <c r="M1165" s="219"/>
      <c r="N1165" s="218"/>
      <c r="S1165" s="224"/>
      <c r="T1165" s="228"/>
      <c r="U1165" s="226"/>
      <c r="V1165" s="226"/>
      <c r="W1165" s="303"/>
      <c r="X1165" s="220"/>
      <c r="Z1165" s="227"/>
      <c r="AA1165" s="220"/>
      <c r="AB1165" s="221"/>
      <c r="AC1165" s="229"/>
      <c r="AD1165" s="230"/>
      <c r="AE1165" s="230"/>
      <c r="AF1165" s="230"/>
      <c r="AG1165" s="227"/>
    </row>
    <row r="1166" spans="1:33" x14ac:dyDescent="0.25">
      <c r="A1166" s="32"/>
      <c r="B1166" s="306"/>
      <c r="C1166" s="307"/>
      <c r="D1166" s="312"/>
      <c r="E1166" s="301"/>
      <c r="F1166" s="232"/>
      <c r="J1166" s="306"/>
      <c r="K1166" s="306"/>
      <c r="L1166" s="313"/>
      <c r="M1166" s="219"/>
      <c r="N1166" s="218"/>
      <c r="S1166" s="224"/>
      <c r="T1166" s="228"/>
      <c r="U1166" s="226"/>
      <c r="V1166" s="226"/>
      <c r="W1166" s="303"/>
      <c r="X1166" s="220"/>
      <c r="Z1166" s="227"/>
      <c r="AA1166" s="220"/>
      <c r="AB1166" s="221"/>
      <c r="AC1166" s="229"/>
      <c r="AD1166" s="230"/>
      <c r="AE1166" s="230"/>
      <c r="AF1166" s="230"/>
      <c r="AG1166" s="227"/>
    </row>
    <row r="1167" spans="1:33" x14ac:dyDescent="0.25">
      <c r="A1167" s="32"/>
      <c r="B1167" s="306"/>
      <c r="C1167" s="307"/>
      <c r="D1167" s="312"/>
      <c r="E1167" s="301"/>
      <c r="F1167" s="232"/>
      <c r="J1167" s="306"/>
      <c r="K1167" s="306"/>
      <c r="L1167" s="313"/>
      <c r="M1167" s="219"/>
      <c r="N1167" s="218"/>
      <c r="S1167" s="224"/>
      <c r="T1167" s="228"/>
      <c r="U1167" s="226"/>
      <c r="V1167" s="226"/>
      <c r="W1167" s="303"/>
      <c r="X1167" s="220"/>
      <c r="Z1167" s="227"/>
      <c r="AA1167" s="220"/>
      <c r="AB1167" s="221"/>
      <c r="AC1167" s="229"/>
      <c r="AD1167" s="230"/>
      <c r="AE1167" s="230"/>
      <c r="AF1167" s="230"/>
      <c r="AG1167" s="227"/>
    </row>
    <row r="1168" spans="1:33" x14ac:dyDescent="0.25">
      <c r="A1168" s="32"/>
      <c r="B1168" s="306"/>
      <c r="C1168" s="307"/>
      <c r="D1168" s="312"/>
      <c r="E1168" s="301"/>
      <c r="F1168" s="232"/>
      <c r="J1168" s="306"/>
      <c r="K1168" s="306"/>
      <c r="L1168" s="313"/>
      <c r="M1168" s="219"/>
      <c r="N1168" s="218"/>
      <c r="S1168" s="224"/>
      <c r="T1168" s="228"/>
      <c r="U1168" s="226"/>
      <c r="V1168" s="226"/>
      <c r="W1168" s="303"/>
      <c r="X1168" s="220"/>
      <c r="Z1168" s="227"/>
      <c r="AA1168" s="220"/>
      <c r="AB1168" s="221"/>
      <c r="AC1168" s="229"/>
      <c r="AD1168" s="230"/>
      <c r="AE1168" s="230"/>
      <c r="AF1168" s="230"/>
      <c r="AG1168" s="227"/>
    </row>
    <row r="1169" spans="1:33" x14ac:dyDescent="0.25">
      <c r="A1169" s="32"/>
      <c r="B1169" s="306"/>
      <c r="C1169" s="307"/>
      <c r="D1169" s="312"/>
      <c r="E1169" s="301"/>
      <c r="F1169" s="232"/>
      <c r="J1169" s="306"/>
      <c r="K1169" s="306"/>
      <c r="L1169" s="313"/>
      <c r="M1169" s="219"/>
      <c r="N1169" s="218"/>
      <c r="S1169" s="224"/>
      <c r="T1169" s="228"/>
      <c r="U1169" s="226"/>
      <c r="V1169" s="226"/>
      <c r="W1169" s="303"/>
      <c r="X1169" s="220"/>
      <c r="Z1169" s="227"/>
      <c r="AA1169" s="220"/>
      <c r="AB1169" s="221"/>
      <c r="AC1169" s="229"/>
      <c r="AD1169" s="230"/>
      <c r="AE1169" s="230"/>
      <c r="AF1169" s="230"/>
      <c r="AG1169" s="227"/>
    </row>
    <row r="1170" spans="1:33" x14ac:dyDescent="0.25">
      <c r="A1170" s="32"/>
      <c r="B1170" s="306"/>
      <c r="C1170" s="307"/>
      <c r="D1170" s="312"/>
      <c r="E1170" s="301"/>
      <c r="F1170" s="232"/>
      <c r="J1170" s="306"/>
      <c r="K1170" s="306"/>
      <c r="L1170" s="313"/>
      <c r="M1170" s="219"/>
      <c r="N1170" s="218"/>
      <c r="S1170" s="224"/>
      <c r="T1170" s="228"/>
      <c r="U1170" s="226"/>
      <c r="V1170" s="226"/>
      <c r="W1170" s="303"/>
      <c r="X1170" s="220"/>
      <c r="Z1170" s="227"/>
      <c r="AA1170" s="220"/>
      <c r="AB1170" s="221"/>
      <c r="AC1170" s="229"/>
      <c r="AD1170" s="230"/>
      <c r="AE1170" s="230"/>
      <c r="AF1170" s="230"/>
      <c r="AG1170" s="227"/>
    </row>
    <row r="1171" spans="1:33" x14ac:dyDescent="0.25">
      <c r="A1171" s="32"/>
      <c r="B1171" s="306"/>
      <c r="C1171" s="307"/>
      <c r="D1171" s="312"/>
      <c r="E1171" s="301"/>
      <c r="F1171" s="232"/>
      <c r="J1171" s="306"/>
      <c r="K1171" s="306"/>
      <c r="L1171" s="313"/>
      <c r="M1171" s="219"/>
      <c r="N1171" s="218"/>
      <c r="S1171" s="224"/>
      <c r="T1171" s="228"/>
      <c r="U1171" s="226"/>
      <c r="V1171" s="226"/>
      <c r="W1171" s="303"/>
      <c r="X1171" s="220"/>
      <c r="Z1171" s="227"/>
      <c r="AA1171" s="220"/>
      <c r="AB1171" s="221"/>
      <c r="AC1171" s="229"/>
      <c r="AD1171" s="230"/>
      <c r="AE1171" s="230"/>
      <c r="AF1171" s="230"/>
      <c r="AG1171" s="227"/>
    </row>
    <row r="1172" spans="1:33" x14ac:dyDescent="0.25">
      <c r="A1172" s="32"/>
      <c r="B1172" s="306"/>
      <c r="C1172" s="307"/>
      <c r="D1172" s="312"/>
      <c r="E1172" s="301"/>
      <c r="F1172" s="232"/>
      <c r="J1172" s="306"/>
      <c r="K1172" s="306"/>
      <c r="L1172" s="313"/>
      <c r="M1172" s="219"/>
      <c r="N1172" s="218"/>
      <c r="S1172" s="224"/>
      <c r="T1172" s="228"/>
      <c r="U1172" s="226"/>
      <c r="V1172" s="226"/>
      <c r="W1172" s="303"/>
      <c r="X1172" s="220"/>
      <c r="Z1172" s="227"/>
      <c r="AA1172" s="220"/>
      <c r="AB1172" s="221"/>
      <c r="AC1172" s="229"/>
      <c r="AD1172" s="230"/>
      <c r="AE1172" s="230"/>
      <c r="AF1172" s="230"/>
      <c r="AG1172" s="227"/>
    </row>
    <row r="1173" spans="1:33" x14ac:dyDescent="0.25">
      <c r="A1173" s="32"/>
      <c r="B1173" s="306"/>
      <c r="C1173" s="307"/>
      <c r="D1173" s="312"/>
      <c r="E1173" s="301"/>
      <c r="F1173" s="232"/>
      <c r="J1173" s="306"/>
      <c r="K1173" s="306"/>
      <c r="L1173" s="313"/>
      <c r="M1173" s="219"/>
      <c r="N1173" s="218"/>
      <c r="S1173" s="224"/>
      <c r="T1173" s="228"/>
      <c r="U1173" s="226"/>
      <c r="V1173" s="226"/>
      <c r="W1173" s="303"/>
      <c r="X1173" s="220"/>
      <c r="Z1173" s="227"/>
      <c r="AA1173" s="220"/>
      <c r="AB1173" s="221"/>
      <c r="AC1173" s="229"/>
      <c r="AD1173" s="230"/>
      <c r="AE1173" s="230"/>
      <c r="AF1173" s="230"/>
      <c r="AG1173" s="227"/>
    </row>
    <row r="1174" spans="1:33" x14ac:dyDescent="0.25">
      <c r="A1174" s="32"/>
      <c r="B1174" s="306"/>
      <c r="C1174" s="307"/>
      <c r="D1174" s="312"/>
      <c r="E1174" s="301"/>
      <c r="F1174" s="232"/>
      <c r="J1174" s="306"/>
      <c r="K1174" s="306"/>
      <c r="L1174" s="313"/>
      <c r="M1174" s="219"/>
      <c r="N1174" s="218"/>
      <c r="S1174" s="224"/>
      <c r="T1174" s="228"/>
      <c r="U1174" s="226"/>
      <c r="V1174" s="226"/>
      <c r="W1174" s="303"/>
      <c r="X1174" s="220"/>
      <c r="Z1174" s="227"/>
      <c r="AA1174" s="220"/>
      <c r="AB1174" s="221"/>
      <c r="AC1174" s="229"/>
      <c r="AD1174" s="230"/>
      <c r="AE1174" s="230"/>
      <c r="AF1174" s="230"/>
      <c r="AG1174" s="227"/>
    </row>
    <row r="1175" spans="1:33" x14ac:dyDescent="0.25">
      <c r="A1175" s="32"/>
      <c r="B1175" s="306"/>
      <c r="C1175" s="307"/>
      <c r="D1175" s="312"/>
      <c r="E1175" s="301"/>
      <c r="F1175" s="232"/>
      <c r="J1175" s="306"/>
      <c r="K1175" s="306"/>
      <c r="L1175" s="313"/>
      <c r="M1175" s="219"/>
      <c r="N1175" s="218"/>
      <c r="S1175" s="224"/>
      <c r="T1175" s="228"/>
      <c r="U1175" s="226"/>
      <c r="V1175" s="226"/>
      <c r="W1175" s="303"/>
      <c r="X1175" s="220"/>
      <c r="Z1175" s="227"/>
      <c r="AA1175" s="220"/>
      <c r="AB1175" s="221"/>
      <c r="AC1175" s="229"/>
      <c r="AD1175" s="230"/>
      <c r="AE1175" s="230"/>
      <c r="AF1175" s="230"/>
      <c r="AG1175" s="227"/>
    </row>
    <row r="1176" spans="1:33" x14ac:dyDescent="0.25">
      <c r="A1176" s="32"/>
      <c r="B1176" s="306"/>
      <c r="C1176" s="307"/>
      <c r="D1176" s="312"/>
      <c r="E1176" s="301"/>
      <c r="F1176" s="232"/>
      <c r="J1176" s="306"/>
      <c r="K1176" s="306"/>
      <c r="L1176" s="313"/>
      <c r="M1176" s="219"/>
      <c r="N1176" s="218"/>
      <c r="S1176" s="224"/>
      <c r="T1176" s="228"/>
      <c r="U1176" s="226"/>
      <c r="V1176" s="226"/>
      <c r="W1176" s="303"/>
      <c r="X1176" s="220"/>
      <c r="Z1176" s="227"/>
      <c r="AA1176" s="220"/>
      <c r="AB1176" s="221"/>
      <c r="AC1176" s="229"/>
      <c r="AD1176" s="230"/>
      <c r="AE1176" s="230"/>
      <c r="AF1176" s="230"/>
      <c r="AG1176" s="227"/>
    </row>
    <row r="1177" spans="1:33" x14ac:dyDescent="0.25">
      <c r="A1177" s="32"/>
      <c r="B1177" s="306"/>
      <c r="C1177" s="307"/>
      <c r="D1177" s="312"/>
      <c r="E1177" s="301"/>
      <c r="F1177" s="232"/>
      <c r="J1177" s="306"/>
      <c r="K1177" s="306"/>
      <c r="L1177" s="313"/>
      <c r="M1177" s="219"/>
      <c r="N1177" s="218"/>
      <c r="S1177" s="224"/>
      <c r="T1177" s="228"/>
      <c r="U1177" s="226"/>
      <c r="V1177" s="226"/>
      <c r="W1177" s="303"/>
      <c r="X1177" s="220"/>
      <c r="Z1177" s="227"/>
      <c r="AA1177" s="220"/>
      <c r="AB1177" s="221"/>
      <c r="AC1177" s="229"/>
      <c r="AD1177" s="230"/>
      <c r="AE1177" s="230"/>
      <c r="AF1177" s="230"/>
      <c r="AG1177" s="227"/>
    </row>
    <row r="1178" spans="1:33" x14ac:dyDescent="0.25">
      <c r="A1178" s="32"/>
      <c r="B1178" s="306"/>
      <c r="C1178" s="307"/>
      <c r="D1178" s="312"/>
      <c r="E1178" s="301"/>
      <c r="F1178" s="232"/>
      <c r="J1178" s="306"/>
      <c r="K1178" s="306"/>
      <c r="L1178" s="313"/>
      <c r="M1178" s="219"/>
      <c r="N1178" s="218"/>
      <c r="S1178" s="224"/>
      <c r="T1178" s="228"/>
      <c r="U1178" s="226"/>
      <c r="V1178" s="226"/>
      <c r="W1178" s="303"/>
      <c r="X1178" s="220"/>
      <c r="Z1178" s="227"/>
      <c r="AA1178" s="220"/>
      <c r="AB1178" s="221"/>
      <c r="AC1178" s="229"/>
      <c r="AD1178" s="230"/>
      <c r="AE1178" s="230"/>
      <c r="AF1178" s="230"/>
      <c r="AG1178" s="227"/>
    </row>
    <row r="1179" spans="1:33" x14ac:dyDescent="0.25">
      <c r="A1179" s="32"/>
      <c r="B1179" s="306"/>
      <c r="C1179" s="307"/>
      <c r="D1179" s="312"/>
      <c r="E1179" s="301"/>
      <c r="F1179" s="232"/>
      <c r="J1179" s="306"/>
      <c r="K1179" s="306"/>
      <c r="L1179" s="313"/>
      <c r="M1179" s="219"/>
      <c r="N1179" s="218"/>
      <c r="S1179" s="224"/>
      <c r="T1179" s="228"/>
      <c r="U1179" s="226"/>
      <c r="V1179" s="226"/>
      <c r="W1179" s="303"/>
      <c r="X1179" s="220"/>
      <c r="Z1179" s="227"/>
      <c r="AA1179" s="220"/>
      <c r="AB1179" s="221"/>
      <c r="AC1179" s="229"/>
      <c r="AD1179" s="230"/>
      <c r="AE1179" s="230"/>
      <c r="AF1179" s="230"/>
      <c r="AG1179" s="227"/>
    </row>
    <row r="1180" spans="1:33" x14ac:dyDescent="0.25">
      <c r="A1180" s="32"/>
      <c r="B1180" s="306"/>
      <c r="C1180" s="307"/>
      <c r="D1180" s="312"/>
      <c r="E1180" s="301"/>
      <c r="F1180" s="232"/>
      <c r="J1180" s="306"/>
      <c r="K1180" s="306"/>
      <c r="L1180" s="313"/>
      <c r="M1180" s="219"/>
      <c r="N1180" s="218"/>
      <c r="S1180" s="224"/>
      <c r="T1180" s="228"/>
      <c r="U1180" s="226"/>
      <c r="V1180" s="226"/>
      <c r="W1180" s="303"/>
      <c r="X1180" s="220"/>
      <c r="Z1180" s="227"/>
      <c r="AA1180" s="220"/>
      <c r="AB1180" s="221"/>
      <c r="AC1180" s="229"/>
      <c r="AD1180" s="230"/>
      <c r="AE1180" s="230"/>
      <c r="AF1180" s="230"/>
      <c r="AG1180" s="227"/>
    </row>
    <row r="1181" spans="1:33" x14ac:dyDescent="0.25">
      <c r="A1181" s="32"/>
      <c r="B1181" s="306"/>
      <c r="C1181" s="307"/>
      <c r="D1181" s="312"/>
      <c r="E1181" s="301"/>
      <c r="F1181" s="232"/>
      <c r="J1181" s="306"/>
      <c r="K1181" s="306"/>
      <c r="L1181" s="313"/>
      <c r="M1181" s="219"/>
      <c r="N1181" s="218"/>
      <c r="S1181" s="224"/>
      <c r="T1181" s="228"/>
      <c r="U1181" s="226"/>
      <c r="V1181" s="226"/>
      <c r="W1181" s="303"/>
      <c r="X1181" s="220"/>
      <c r="Z1181" s="227"/>
      <c r="AA1181" s="220"/>
      <c r="AB1181" s="221"/>
      <c r="AC1181" s="229"/>
      <c r="AD1181" s="230"/>
      <c r="AE1181" s="230"/>
      <c r="AF1181" s="230"/>
      <c r="AG1181" s="227"/>
    </row>
    <row r="1182" spans="1:33" x14ac:dyDescent="0.25">
      <c r="A1182" s="32"/>
      <c r="B1182" s="306"/>
      <c r="C1182" s="307"/>
      <c r="D1182" s="312"/>
      <c r="E1182" s="301"/>
      <c r="F1182" s="232"/>
      <c r="J1182" s="306"/>
      <c r="K1182" s="306"/>
      <c r="L1182" s="313"/>
      <c r="M1182" s="219"/>
      <c r="N1182" s="218"/>
      <c r="S1182" s="224"/>
      <c r="T1182" s="228"/>
      <c r="U1182" s="226"/>
      <c r="V1182" s="226"/>
      <c r="W1182" s="303"/>
      <c r="X1182" s="220"/>
      <c r="Z1182" s="227"/>
      <c r="AA1182" s="220"/>
      <c r="AB1182" s="221"/>
      <c r="AC1182" s="229"/>
      <c r="AD1182" s="230"/>
      <c r="AE1182" s="230"/>
      <c r="AF1182" s="230"/>
      <c r="AG1182" s="227"/>
    </row>
    <row r="1183" spans="1:33" x14ac:dyDescent="0.25">
      <c r="A1183" s="32"/>
      <c r="B1183" s="306"/>
      <c r="C1183" s="307"/>
      <c r="D1183" s="312"/>
      <c r="E1183" s="301"/>
      <c r="F1183" s="232"/>
      <c r="J1183" s="306"/>
      <c r="K1183" s="306"/>
      <c r="L1183" s="313"/>
      <c r="M1183" s="219"/>
      <c r="N1183" s="218"/>
      <c r="S1183" s="224"/>
      <c r="T1183" s="228"/>
      <c r="U1183" s="226"/>
      <c r="V1183" s="226"/>
      <c r="W1183" s="303"/>
      <c r="X1183" s="220"/>
      <c r="Z1183" s="227"/>
      <c r="AA1183" s="220"/>
      <c r="AB1183" s="221"/>
      <c r="AC1183" s="229"/>
      <c r="AD1183" s="230"/>
      <c r="AE1183" s="230"/>
      <c r="AF1183" s="230"/>
      <c r="AG1183" s="227"/>
    </row>
    <row r="1184" spans="1:33" x14ac:dyDescent="0.25">
      <c r="A1184" s="32"/>
      <c r="B1184" s="306"/>
      <c r="C1184" s="307"/>
      <c r="D1184" s="312"/>
      <c r="E1184" s="301"/>
      <c r="F1184" s="232"/>
      <c r="J1184" s="306"/>
      <c r="K1184" s="306"/>
      <c r="L1184" s="313"/>
      <c r="M1184" s="219"/>
      <c r="N1184" s="218"/>
      <c r="S1184" s="224"/>
      <c r="T1184" s="228"/>
      <c r="U1184" s="226"/>
      <c r="V1184" s="226"/>
      <c r="W1184" s="303"/>
      <c r="X1184" s="220"/>
      <c r="Z1184" s="227"/>
      <c r="AA1184" s="220"/>
      <c r="AB1184" s="221"/>
      <c r="AC1184" s="229"/>
      <c r="AD1184" s="230"/>
      <c r="AE1184" s="230"/>
      <c r="AF1184" s="230"/>
      <c r="AG1184" s="227"/>
    </row>
    <row r="1185" spans="1:33" x14ac:dyDescent="0.25">
      <c r="A1185" s="32"/>
      <c r="B1185" s="306"/>
      <c r="C1185" s="307"/>
      <c r="D1185" s="312"/>
      <c r="E1185" s="301"/>
      <c r="F1185" s="232"/>
      <c r="J1185" s="306"/>
      <c r="K1185" s="306"/>
      <c r="L1185" s="313"/>
      <c r="M1185" s="219"/>
      <c r="N1185" s="218"/>
      <c r="S1185" s="224"/>
      <c r="T1185" s="228"/>
      <c r="U1185" s="226"/>
      <c r="V1185" s="226"/>
      <c r="W1185" s="303"/>
      <c r="X1185" s="220"/>
      <c r="Z1185" s="227"/>
      <c r="AA1185" s="220"/>
      <c r="AB1185" s="221"/>
      <c r="AC1185" s="229"/>
      <c r="AD1185" s="230"/>
      <c r="AE1185" s="230"/>
      <c r="AF1185" s="230"/>
      <c r="AG1185" s="227"/>
    </row>
    <row r="1186" spans="1:33" x14ac:dyDescent="0.25">
      <c r="A1186" s="32"/>
      <c r="B1186" s="306"/>
      <c r="C1186" s="307"/>
      <c r="D1186" s="312"/>
      <c r="E1186" s="301"/>
      <c r="F1186" s="232"/>
      <c r="J1186" s="306"/>
      <c r="K1186" s="306"/>
      <c r="L1186" s="313"/>
      <c r="M1186" s="219"/>
      <c r="N1186" s="218"/>
      <c r="S1186" s="224"/>
      <c r="T1186" s="228"/>
      <c r="U1186" s="226"/>
      <c r="V1186" s="226"/>
      <c r="W1186" s="303"/>
      <c r="X1186" s="220"/>
      <c r="Z1186" s="227"/>
      <c r="AA1186" s="220"/>
      <c r="AB1186" s="221"/>
      <c r="AC1186" s="229"/>
      <c r="AD1186" s="230"/>
      <c r="AE1186" s="230"/>
      <c r="AF1186" s="230"/>
      <c r="AG1186" s="227"/>
    </row>
    <row r="1187" spans="1:33" x14ac:dyDescent="0.25">
      <c r="A1187" s="32"/>
      <c r="B1187" s="306"/>
      <c r="C1187" s="307"/>
      <c r="D1187" s="312"/>
      <c r="E1187" s="301"/>
      <c r="F1187" s="232"/>
      <c r="J1187" s="306"/>
      <c r="K1187" s="306"/>
      <c r="L1187" s="313"/>
      <c r="M1187" s="219"/>
      <c r="N1187" s="218"/>
      <c r="S1187" s="224"/>
      <c r="T1187" s="228"/>
      <c r="U1187" s="226"/>
      <c r="V1187" s="226"/>
      <c r="W1187" s="303"/>
      <c r="X1187" s="220"/>
      <c r="Z1187" s="227"/>
      <c r="AA1187" s="220"/>
      <c r="AB1187" s="221"/>
      <c r="AC1187" s="229"/>
      <c r="AD1187" s="230"/>
      <c r="AE1187" s="230"/>
      <c r="AF1187" s="230"/>
      <c r="AG1187" s="227"/>
    </row>
    <row r="1188" spans="1:33" x14ac:dyDescent="0.25">
      <c r="A1188" s="32"/>
      <c r="B1188" s="306"/>
      <c r="C1188" s="307"/>
      <c r="D1188" s="312"/>
      <c r="E1188" s="301"/>
      <c r="F1188" s="232"/>
      <c r="J1188" s="306"/>
      <c r="K1188" s="306"/>
      <c r="L1188" s="313"/>
      <c r="M1188" s="219"/>
      <c r="N1188" s="218"/>
      <c r="S1188" s="224"/>
      <c r="T1188" s="228"/>
      <c r="U1188" s="226"/>
      <c r="V1188" s="226"/>
      <c r="W1188" s="303"/>
      <c r="X1188" s="220"/>
      <c r="Z1188" s="227"/>
      <c r="AA1188" s="220"/>
      <c r="AB1188" s="221"/>
      <c r="AC1188" s="229"/>
      <c r="AD1188" s="230"/>
      <c r="AE1188" s="230"/>
      <c r="AF1188" s="230"/>
      <c r="AG1188" s="227"/>
    </row>
    <row r="1189" spans="1:33" x14ac:dyDescent="0.25">
      <c r="A1189" s="32"/>
      <c r="B1189" s="306"/>
      <c r="C1189" s="307"/>
      <c r="D1189" s="312"/>
      <c r="E1189" s="301"/>
      <c r="F1189" s="232"/>
      <c r="J1189" s="306"/>
      <c r="K1189" s="306"/>
      <c r="L1189" s="313"/>
      <c r="M1189" s="219"/>
      <c r="N1189" s="218"/>
      <c r="S1189" s="224"/>
      <c r="T1189" s="228"/>
      <c r="U1189" s="226"/>
      <c r="V1189" s="226"/>
      <c r="W1189" s="303"/>
      <c r="X1189" s="220"/>
      <c r="Z1189" s="227"/>
      <c r="AA1189" s="220"/>
      <c r="AB1189" s="221"/>
      <c r="AC1189" s="229"/>
      <c r="AD1189" s="230"/>
      <c r="AE1189" s="230"/>
      <c r="AF1189" s="230"/>
      <c r="AG1189" s="227"/>
    </row>
    <row r="1190" spans="1:33" x14ac:dyDescent="0.25">
      <c r="A1190" s="32"/>
      <c r="B1190" s="306"/>
      <c r="C1190" s="307"/>
      <c r="D1190" s="312"/>
      <c r="E1190" s="301"/>
      <c r="F1190" s="232"/>
      <c r="J1190" s="306"/>
      <c r="K1190" s="306"/>
      <c r="L1190" s="313"/>
      <c r="M1190" s="219"/>
      <c r="N1190" s="218"/>
      <c r="S1190" s="224"/>
      <c r="T1190" s="228"/>
      <c r="U1190" s="226"/>
      <c r="V1190" s="226"/>
      <c r="W1190" s="303"/>
      <c r="X1190" s="220"/>
      <c r="Z1190" s="227"/>
      <c r="AA1190" s="220"/>
      <c r="AB1190" s="221"/>
      <c r="AC1190" s="229"/>
      <c r="AD1190" s="230"/>
      <c r="AE1190" s="230"/>
      <c r="AF1190" s="230"/>
      <c r="AG1190" s="227"/>
    </row>
    <row r="1191" spans="1:33" x14ac:dyDescent="0.25">
      <c r="A1191" s="32"/>
      <c r="B1191" s="306"/>
      <c r="C1191" s="307"/>
      <c r="D1191" s="312"/>
      <c r="E1191" s="301"/>
      <c r="F1191" s="232"/>
      <c r="J1191" s="306"/>
      <c r="K1191" s="306"/>
      <c r="L1191" s="313"/>
      <c r="M1191" s="219"/>
      <c r="N1191" s="218"/>
      <c r="S1191" s="224"/>
      <c r="T1191" s="228"/>
      <c r="U1191" s="226"/>
      <c r="V1191" s="226"/>
      <c r="W1191" s="303"/>
      <c r="X1191" s="220"/>
      <c r="Z1191" s="227"/>
      <c r="AA1191" s="220"/>
      <c r="AB1191" s="221"/>
      <c r="AC1191" s="229"/>
      <c r="AD1191" s="230"/>
      <c r="AE1191" s="230"/>
      <c r="AF1191" s="230"/>
      <c r="AG1191" s="227"/>
    </row>
    <row r="1192" spans="1:33" x14ac:dyDescent="0.25">
      <c r="A1192" s="32"/>
      <c r="B1192" s="306"/>
      <c r="C1192" s="307"/>
      <c r="D1192" s="312"/>
      <c r="E1192" s="301"/>
      <c r="F1192" s="232"/>
      <c r="J1192" s="306"/>
      <c r="K1192" s="306"/>
      <c r="L1192" s="313"/>
      <c r="M1192" s="219"/>
      <c r="N1192" s="218"/>
      <c r="S1192" s="224"/>
      <c r="T1192" s="228"/>
      <c r="U1192" s="226"/>
      <c r="V1192" s="226"/>
      <c r="W1192" s="303"/>
      <c r="X1192" s="220"/>
      <c r="Z1192" s="227"/>
      <c r="AA1192" s="220"/>
      <c r="AB1192" s="221"/>
      <c r="AC1192" s="229"/>
      <c r="AD1192" s="230"/>
      <c r="AE1192" s="230"/>
      <c r="AF1192" s="230"/>
      <c r="AG1192" s="227"/>
    </row>
    <row r="1193" spans="1:33" x14ac:dyDescent="0.25">
      <c r="A1193" s="32"/>
      <c r="B1193" s="306"/>
      <c r="C1193" s="307"/>
      <c r="D1193" s="312"/>
      <c r="E1193" s="301"/>
      <c r="F1193" s="232"/>
      <c r="J1193" s="306"/>
      <c r="K1193" s="306"/>
      <c r="L1193" s="313"/>
      <c r="M1193" s="219"/>
      <c r="N1193" s="218"/>
      <c r="S1193" s="224"/>
      <c r="T1193" s="228"/>
      <c r="U1193" s="226"/>
      <c r="V1193" s="226"/>
      <c r="W1193" s="303"/>
      <c r="X1193" s="220"/>
      <c r="Z1193" s="227"/>
      <c r="AA1193" s="220"/>
      <c r="AB1193" s="221"/>
      <c r="AC1193" s="229"/>
      <c r="AD1193" s="230"/>
      <c r="AE1193" s="230"/>
      <c r="AF1193" s="230"/>
      <c r="AG1193" s="227"/>
    </row>
    <row r="1194" spans="1:33" x14ac:dyDescent="0.25">
      <c r="A1194" s="32"/>
      <c r="B1194" s="306"/>
      <c r="C1194" s="307"/>
      <c r="D1194" s="312"/>
      <c r="E1194" s="301"/>
      <c r="F1194" s="232"/>
      <c r="J1194" s="306"/>
      <c r="K1194" s="306"/>
      <c r="L1194" s="313"/>
      <c r="M1194" s="219"/>
      <c r="N1194" s="218"/>
      <c r="S1194" s="224"/>
      <c r="T1194" s="228"/>
      <c r="U1194" s="226"/>
      <c r="V1194" s="226"/>
      <c r="W1194" s="303"/>
      <c r="X1194" s="220"/>
      <c r="Z1194" s="227"/>
      <c r="AA1194" s="220"/>
      <c r="AB1194" s="221"/>
      <c r="AC1194" s="229"/>
      <c r="AD1194" s="230"/>
      <c r="AE1194" s="230"/>
      <c r="AF1194" s="230"/>
      <c r="AG1194" s="227"/>
    </row>
    <row r="1195" spans="1:33" x14ac:dyDescent="0.25">
      <c r="A1195" s="32"/>
      <c r="B1195" s="306"/>
      <c r="C1195" s="307"/>
      <c r="D1195" s="312"/>
      <c r="E1195" s="301"/>
      <c r="F1195" s="232"/>
      <c r="J1195" s="306"/>
      <c r="K1195" s="306"/>
      <c r="L1195" s="313"/>
      <c r="M1195" s="219"/>
      <c r="N1195" s="218"/>
      <c r="S1195" s="224"/>
      <c r="T1195" s="228"/>
      <c r="U1195" s="226"/>
      <c r="V1195" s="226"/>
      <c r="W1195" s="303"/>
      <c r="X1195" s="220"/>
      <c r="Z1195" s="227"/>
      <c r="AA1195" s="220"/>
      <c r="AB1195" s="221"/>
      <c r="AC1195" s="229"/>
      <c r="AD1195" s="230"/>
      <c r="AE1195" s="230"/>
      <c r="AF1195" s="230"/>
      <c r="AG1195" s="227"/>
    </row>
    <row r="1196" spans="1:33" x14ac:dyDescent="0.25">
      <c r="A1196" s="32"/>
      <c r="B1196" s="306"/>
      <c r="C1196" s="307"/>
      <c r="D1196" s="312"/>
      <c r="E1196" s="301"/>
      <c r="F1196" s="232"/>
      <c r="J1196" s="306"/>
      <c r="K1196" s="306"/>
      <c r="L1196" s="313"/>
      <c r="M1196" s="219"/>
      <c r="N1196" s="218"/>
      <c r="S1196" s="224"/>
      <c r="T1196" s="228"/>
      <c r="U1196" s="226"/>
      <c r="V1196" s="226"/>
      <c r="W1196" s="303"/>
      <c r="X1196" s="220"/>
      <c r="Z1196" s="227"/>
      <c r="AA1196" s="220"/>
      <c r="AB1196" s="221"/>
      <c r="AC1196" s="229"/>
      <c r="AD1196" s="230"/>
      <c r="AE1196" s="230"/>
      <c r="AF1196" s="230"/>
      <c r="AG1196" s="227"/>
    </row>
    <row r="1197" spans="1:33" x14ac:dyDescent="0.25">
      <c r="A1197" s="32"/>
      <c r="B1197" s="306"/>
      <c r="C1197" s="307"/>
      <c r="D1197" s="312"/>
      <c r="E1197" s="301"/>
      <c r="F1197" s="232"/>
      <c r="J1197" s="306"/>
      <c r="K1197" s="306"/>
      <c r="L1197" s="313"/>
      <c r="M1197" s="219"/>
      <c r="N1197" s="218"/>
      <c r="S1197" s="224"/>
      <c r="T1197" s="228"/>
      <c r="U1197" s="226"/>
      <c r="V1197" s="226"/>
      <c r="W1197" s="303"/>
      <c r="X1197" s="220"/>
      <c r="Z1197" s="227"/>
      <c r="AA1197" s="220"/>
      <c r="AB1197" s="221"/>
      <c r="AC1197" s="229"/>
      <c r="AD1197" s="230"/>
      <c r="AE1197" s="230"/>
      <c r="AF1197" s="230"/>
      <c r="AG1197" s="227"/>
    </row>
    <row r="1198" spans="1:33" x14ac:dyDescent="0.25">
      <c r="A1198" s="32"/>
      <c r="B1198" s="306"/>
      <c r="C1198" s="307"/>
      <c r="D1198" s="312"/>
      <c r="E1198" s="301"/>
      <c r="F1198" s="232"/>
      <c r="J1198" s="306"/>
      <c r="K1198" s="306"/>
      <c r="L1198" s="313"/>
      <c r="M1198" s="219"/>
      <c r="N1198" s="218"/>
      <c r="S1198" s="224"/>
      <c r="T1198" s="228"/>
      <c r="U1198" s="226"/>
      <c r="V1198" s="226"/>
      <c r="W1198" s="303"/>
      <c r="X1198" s="220"/>
      <c r="Z1198" s="227"/>
      <c r="AA1198" s="220"/>
      <c r="AB1198" s="221"/>
      <c r="AC1198" s="229"/>
      <c r="AD1198" s="230"/>
      <c r="AE1198" s="230"/>
      <c r="AF1198" s="230"/>
      <c r="AG1198" s="227"/>
    </row>
    <row r="1199" spans="1:33" x14ac:dyDescent="0.25">
      <c r="A1199" s="32"/>
      <c r="B1199" s="306"/>
      <c r="C1199" s="307"/>
      <c r="D1199" s="312"/>
      <c r="E1199" s="301"/>
      <c r="F1199" s="232"/>
      <c r="J1199" s="306"/>
      <c r="K1199" s="306"/>
      <c r="L1199" s="313"/>
      <c r="M1199" s="219"/>
      <c r="N1199" s="218"/>
      <c r="S1199" s="224"/>
      <c r="T1199" s="228"/>
      <c r="U1199" s="226"/>
      <c r="V1199" s="226"/>
      <c r="W1199" s="303"/>
      <c r="X1199" s="220"/>
      <c r="Z1199" s="227"/>
      <c r="AA1199" s="220"/>
      <c r="AB1199" s="221"/>
      <c r="AC1199" s="229"/>
      <c r="AD1199" s="230"/>
      <c r="AE1199" s="230"/>
      <c r="AF1199" s="230"/>
      <c r="AG1199" s="227"/>
    </row>
    <row r="1200" spans="1:33" x14ac:dyDescent="0.25">
      <c r="A1200" s="32"/>
      <c r="B1200" s="306"/>
      <c r="C1200" s="307"/>
      <c r="D1200" s="312"/>
      <c r="E1200" s="301"/>
      <c r="F1200" s="232"/>
      <c r="J1200" s="306"/>
      <c r="K1200" s="306"/>
      <c r="L1200" s="313"/>
      <c r="M1200" s="219"/>
      <c r="N1200" s="218"/>
      <c r="S1200" s="224"/>
      <c r="T1200" s="228"/>
      <c r="U1200" s="226"/>
      <c r="V1200" s="226"/>
      <c r="W1200" s="303"/>
      <c r="X1200" s="220"/>
      <c r="Z1200" s="227"/>
      <c r="AA1200" s="220"/>
      <c r="AB1200" s="221"/>
      <c r="AC1200" s="229"/>
      <c r="AD1200" s="230"/>
      <c r="AE1200" s="230"/>
      <c r="AF1200" s="230"/>
      <c r="AG1200" s="227"/>
    </row>
    <row r="1201" spans="1:33" x14ac:dyDescent="0.25">
      <c r="A1201" s="32"/>
      <c r="B1201" s="306"/>
      <c r="C1201" s="307"/>
      <c r="D1201" s="312"/>
      <c r="E1201" s="301"/>
      <c r="F1201" s="232"/>
      <c r="J1201" s="306"/>
      <c r="K1201" s="306"/>
      <c r="L1201" s="313"/>
      <c r="M1201" s="219"/>
      <c r="N1201" s="218"/>
      <c r="S1201" s="224"/>
      <c r="T1201" s="228"/>
      <c r="U1201" s="226"/>
      <c r="V1201" s="226"/>
      <c r="W1201" s="303"/>
      <c r="X1201" s="220"/>
      <c r="Z1201" s="227"/>
      <c r="AA1201" s="220"/>
      <c r="AB1201" s="221"/>
      <c r="AC1201" s="229"/>
      <c r="AD1201" s="230"/>
      <c r="AE1201" s="230"/>
      <c r="AF1201" s="230"/>
      <c r="AG1201" s="227"/>
    </row>
    <row r="1202" spans="1:33" x14ac:dyDescent="0.25">
      <c r="A1202" s="32"/>
      <c r="B1202" s="306"/>
      <c r="C1202" s="307"/>
      <c r="D1202" s="312"/>
      <c r="E1202" s="301"/>
      <c r="F1202" s="232"/>
      <c r="J1202" s="306"/>
      <c r="K1202" s="306"/>
      <c r="L1202" s="313"/>
      <c r="M1202" s="219"/>
      <c r="N1202" s="218"/>
      <c r="S1202" s="224"/>
      <c r="T1202" s="228"/>
      <c r="U1202" s="226"/>
      <c r="V1202" s="226"/>
      <c r="W1202" s="303"/>
      <c r="X1202" s="220"/>
      <c r="Z1202" s="227"/>
      <c r="AA1202" s="220"/>
      <c r="AB1202" s="221"/>
      <c r="AC1202" s="229"/>
      <c r="AD1202" s="230"/>
      <c r="AE1202" s="230"/>
      <c r="AF1202" s="230"/>
      <c r="AG1202" s="227"/>
    </row>
    <row r="1203" spans="1:33" x14ac:dyDescent="0.25">
      <c r="A1203" s="32"/>
      <c r="B1203" s="306"/>
      <c r="C1203" s="307"/>
      <c r="D1203" s="312"/>
      <c r="E1203" s="301"/>
      <c r="F1203" s="232"/>
      <c r="J1203" s="306"/>
      <c r="K1203" s="306"/>
      <c r="L1203" s="313"/>
      <c r="M1203" s="219"/>
      <c r="N1203" s="218"/>
      <c r="S1203" s="224"/>
      <c r="T1203" s="228"/>
      <c r="U1203" s="226"/>
      <c r="V1203" s="226"/>
      <c r="W1203" s="303"/>
      <c r="X1203" s="220"/>
      <c r="Z1203" s="227"/>
      <c r="AA1203" s="220"/>
      <c r="AB1203" s="221"/>
      <c r="AC1203" s="229"/>
      <c r="AD1203" s="230"/>
      <c r="AE1203" s="230"/>
      <c r="AF1203" s="230"/>
      <c r="AG1203" s="227"/>
    </row>
    <row r="1204" spans="1:33" x14ac:dyDescent="0.25">
      <c r="A1204" s="32"/>
      <c r="B1204" s="306"/>
      <c r="C1204" s="307"/>
      <c r="D1204" s="312"/>
      <c r="E1204" s="301"/>
      <c r="F1204" s="232"/>
      <c r="J1204" s="306"/>
      <c r="K1204" s="306"/>
      <c r="L1204" s="313"/>
      <c r="M1204" s="219"/>
      <c r="N1204" s="218"/>
      <c r="S1204" s="224"/>
      <c r="T1204" s="228"/>
      <c r="U1204" s="226"/>
      <c r="V1204" s="226"/>
      <c r="W1204" s="303"/>
      <c r="X1204" s="220"/>
      <c r="Z1204" s="227"/>
      <c r="AA1204" s="220"/>
      <c r="AB1204" s="221"/>
      <c r="AC1204" s="229"/>
      <c r="AD1204" s="230"/>
      <c r="AE1204" s="230"/>
      <c r="AF1204" s="230"/>
      <c r="AG1204" s="227"/>
    </row>
    <row r="1205" spans="1:33" x14ac:dyDescent="0.25">
      <c r="A1205" s="32"/>
      <c r="B1205" s="306"/>
      <c r="C1205" s="307"/>
      <c r="D1205" s="312"/>
      <c r="E1205" s="301"/>
      <c r="F1205" s="232"/>
      <c r="J1205" s="306"/>
      <c r="K1205" s="306"/>
      <c r="L1205" s="313"/>
      <c r="M1205" s="219"/>
      <c r="N1205" s="218"/>
      <c r="S1205" s="224"/>
      <c r="T1205" s="228"/>
      <c r="U1205" s="226"/>
      <c r="V1205" s="226"/>
      <c r="W1205" s="303"/>
      <c r="X1205" s="220"/>
      <c r="Z1205" s="227"/>
      <c r="AA1205" s="220"/>
      <c r="AB1205" s="221"/>
      <c r="AC1205" s="229"/>
      <c r="AD1205" s="230"/>
      <c r="AE1205" s="230"/>
      <c r="AF1205" s="230"/>
      <c r="AG1205" s="227"/>
    </row>
    <row r="1206" spans="1:33" x14ac:dyDescent="0.25">
      <c r="A1206" s="32"/>
      <c r="B1206" s="306"/>
      <c r="C1206" s="307"/>
      <c r="D1206" s="312"/>
      <c r="E1206" s="301"/>
      <c r="F1206" s="232"/>
      <c r="J1206" s="306"/>
      <c r="K1206" s="306"/>
      <c r="L1206" s="313"/>
      <c r="M1206" s="219"/>
      <c r="N1206" s="218"/>
      <c r="S1206" s="224"/>
      <c r="T1206" s="228"/>
      <c r="U1206" s="226"/>
      <c r="V1206" s="226"/>
      <c r="W1206" s="303"/>
      <c r="X1206" s="220"/>
      <c r="Z1206" s="227"/>
      <c r="AA1206" s="220"/>
      <c r="AB1206" s="221"/>
      <c r="AC1206" s="229"/>
      <c r="AD1206" s="230"/>
      <c r="AE1206" s="230"/>
      <c r="AF1206" s="230"/>
      <c r="AG1206" s="227"/>
    </row>
    <row r="1207" spans="1:33" x14ac:dyDescent="0.25">
      <c r="A1207" s="32"/>
      <c r="B1207" s="306"/>
      <c r="C1207" s="307"/>
      <c r="D1207" s="312"/>
      <c r="E1207" s="301"/>
      <c r="F1207" s="232"/>
      <c r="J1207" s="306"/>
      <c r="K1207" s="306"/>
      <c r="L1207" s="313"/>
      <c r="M1207" s="219"/>
      <c r="N1207" s="218"/>
      <c r="S1207" s="224"/>
      <c r="T1207" s="228"/>
      <c r="U1207" s="226"/>
      <c r="V1207" s="226"/>
      <c r="W1207" s="303"/>
      <c r="X1207" s="220"/>
      <c r="Z1207" s="227"/>
      <c r="AA1207" s="220"/>
      <c r="AB1207" s="221"/>
      <c r="AC1207" s="229"/>
      <c r="AD1207" s="230"/>
      <c r="AE1207" s="230"/>
      <c r="AF1207" s="230"/>
      <c r="AG1207" s="227"/>
    </row>
    <row r="1208" spans="1:33" x14ac:dyDescent="0.25">
      <c r="A1208" s="32"/>
      <c r="B1208" s="306"/>
      <c r="C1208" s="307"/>
      <c r="D1208" s="312"/>
      <c r="E1208" s="301"/>
      <c r="F1208" s="232"/>
      <c r="J1208" s="306"/>
      <c r="K1208" s="306"/>
      <c r="L1208" s="313"/>
      <c r="M1208" s="219"/>
      <c r="N1208" s="218"/>
      <c r="S1208" s="224"/>
      <c r="T1208" s="228"/>
      <c r="U1208" s="226"/>
      <c r="V1208" s="226"/>
      <c r="W1208" s="303"/>
      <c r="X1208" s="220"/>
      <c r="Z1208" s="227"/>
      <c r="AA1208" s="220"/>
      <c r="AB1208" s="221"/>
      <c r="AC1208" s="229"/>
      <c r="AD1208" s="230"/>
      <c r="AE1208" s="230"/>
      <c r="AF1208" s="230"/>
      <c r="AG1208" s="227"/>
    </row>
    <row r="1209" spans="1:33" x14ac:dyDescent="0.25">
      <c r="A1209" s="32"/>
      <c r="B1209" s="306"/>
      <c r="C1209" s="307"/>
      <c r="D1209" s="312"/>
      <c r="E1209" s="301"/>
      <c r="F1209" s="232"/>
      <c r="J1209" s="306"/>
      <c r="K1209" s="306"/>
      <c r="L1209" s="313"/>
      <c r="M1209" s="219"/>
      <c r="N1209" s="218"/>
      <c r="S1209" s="224"/>
      <c r="T1209" s="228"/>
      <c r="U1209" s="226"/>
      <c r="V1209" s="226"/>
      <c r="W1209" s="303"/>
      <c r="X1209" s="220"/>
      <c r="Z1209" s="227"/>
      <c r="AA1209" s="220"/>
      <c r="AB1209" s="221"/>
      <c r="AC1209" s="229"/>
      <c r="AD1209" s="230"/>
      <c r="AE1209" s="230"/>
      <c r="AF1209" s="230"/>
      <c r="AG1209" s="227"/>
    </row>
    <row r="1210" spans="1:33" x14ac:dyDescent="0.25">
      <c r="A1210" s="32"/>
      <c r="B1210" s="306"/>
      <c r="C1210" s="307"/>
      <c r="D1210" s="312"/>
      <c r="E1210" s="301"/>
      <c r="F1210" s="232"/>
      <c r="J1210" s="306"/>
      <c r="K1210" s="306"/>
      <c r="L1210" s="313"/>
      <c r="M1210" s="219"/>
      <c r="N1210" s="218"/>
      <c r="S1210" s="224"/>
      <c r="T1210" s="228"/>
      <c r="U1210" s="226"/>
      <c r="V1210" s="226"/>
      <c r="W1210" s="303"/>
      <c r="X1210" s="220"/>
      <c r="Z1210" s="227"/>
      <c r="AA1210" s="220"/>
      <c r="AB1210" s="221"/>
      <c r="AC1210" s="229"/>
      <c r="AD1210" s="230"/>
      <c r="AE1210" s="230"/>
      <c r="AF1210" s="230"/>
      <c r="AG1210" s="227"/>
    </row>
    <row r="1211" spans="1:33" x14ac:dyDescent="0.25">
      <c r="A1211" s="32"/>
      <c r="B1211" s="306"/>
      <c r="C1211" s="307"/>
      <c r="D1211" s="312"/>
      <c r="E1211" s="301"/>
      <c r="F1211" s="232"/>
      <c r="J1211" s="306"/>
      <c r="K1211" s="306"/>
      <c r="L1211" s="313"/>
      <c r="M1211" s="219"/>
      <c r="N1211" s="218"/>
      <c r="S1211" s="224"/>
      <c r="T1211" s="228"/>
      <c r="U1211" s="226"/>
      <c r="V1211" s="226"/>
      <c r="W1211" s="303"/>
      <c r="X1211" s="220"/>
      <c r="Z1211" s="227"/>
      <c r="AA1211" s="220"/>
      <c r="AB1211" s="221"/>
      <c r="AC1211" s="229"/>
      <c r="AD1211" s="230"/>
      <c r="AE1211" s="230"/>
      <c r="AF1211" s="230"/>
      <c r="AG1211" s="227"/>
    </row>
    <row r="1212" spans="1:33" x14ac:dyDescent="0.25">
      <c r="A1212" s="32"/>
      <c r="B1212" s="306"/>
      <c r="C1212" s="307"/>
      <c r="D1212" s="312"/>
      <c r="E1212" s="301"/>
      <c r="F1212" s="232"/>
      <c r="J1212" s="306"/>
      <c r="K1212" s="306"/>
      <c r="L1212" s="313"/>
      <c r="M1212" s="219"/>
      <c r="N1212" s="218"/>
      <c r="S1212" s="224"/>
      <c r="T1212" s="228"/>
      <c r="U1212" s="226"/>
      <c r="V1212" s="226"/>
      <c r="W1212" s="303"/>
      <c r="X1212" s="220"/>
      <c r="Z1212" s="227"/>
      <c r="AA1212" s="220"/>
      <c r="AB1212" s="221"/>
      <c r="AC1212" s="229"/>
      <c r="AD1212" s="230"/>
      <c r="AE1212" s="230"/>
      <c r="AF1212" s="230"/>
      <c r="AG1212" s="227"/>
    </row>
    <row r="1213" spans="1:33" x14ac:dyDescent="0.25">
      <c r="A1213" s="32"/>
      <c r="B1213" s="306"/>
      <c r="C1213" s="307"/>
      <c r="D1213" s="312"/>
      <c r="E1213" s="301"/>
      <c r="F1213" s="232"/>
      <c r="J1213" s="306"/>
      <c r="K1213" s="306"/>
      <c r="L1213" s="313"/>
      <c r="M1213" s="219"/>
      <c r="N1213" s="218"/>
      <c r="S1213" s="224"/>
      <c r="T1213" s="228"/>
      <c r="U1213" s="226"/>
      <c r="V1213" s="226"/>
      <c r="W1213" s="303"/>
      <c r="X1213" s="220"/>
      <c r="Z1213" s="227"/>
      <c r="AA1213" s="220"/>
      <c r="AB1213" s="221"/>
      <c r="AC1213" s="229"/>
      <c r="AD1213" s="230"/>
      <c r="AE1213" s="230"/>
      <c r="AF1213" s="230"/>
      <c r="AG1213" s="227"/>
    </row>
    <row r="1214" spans="1:33" x14ac:dyDescent="0.25">
      <c r="A1214" s="32"/>
      <c r="B1214" s="306"/>
      <c r="C1214" s="307"/>
      <c r="D1214" s="312"/>
      <c r="E1214" s="301"/>
      <c r="F1214" s="232"/>
      <c r="J1214" s="306"/>
      <c r="K1214" s="306"/>
      <c r="L1214" s="313"/>
      <c r="M1214" s="219"/>
      <c r="N1214" s="218"/>
      <c r="S1214" s="224"/>
      <c r="T1214" s="228"/>
      <c r="U1214" s="226"/>
      <c r="V1214" s="226"/>
      <c r="W1214" s="303"/>
      <c r="X1214" s="220"/>
      <c r="Z1214" s="227"/>
      <c r="AA1214" s="220"/>
      <c r="AB1214" s="221"/>
      <c r="AC1214" s="229"/>
      <c r="AD1214" s="230"/>
      <c r="AE1214" s="230"/>
      <c r="AF1214" s="230"/>
      <c r="AG1214" s="227"/>
    </row>
    <row r="1215" spans="1:33" x14ac:dyDescent="0.25">
      <c r="A1215" s="32"/>
      <c r="B1215" s="306"/>
      <c r="C1215" s="307"/>
      <c r="D1215" s="312"/>
      <c r="E1215" s="301"/>
      <c r="F1215" s="232"/>
      <c r="J1215" s="306"/>
      <c r="K1215" s="306"/>
      <c r="L1215" s="313"/>
      <c r="M1215" s="219"/>
      <c r="N1215" s="218"/>
      <c r="S1215" s="224"/>
      <c r="T1215" s="228"/>
      <c r="U1215" s="226"/>
      <c r="V1215" s="226"/>
      <c r="W1215" s="303"/>
      <c r="X1215" s="220"/>
      <c r="Z1215" s="227"/>
      <c r="AA1215" s="220"/>
      <c r="AB1215" s="221"/>
      <c r="AC1215" s="229"/>
      <c r="AD1215" s="230"/>
      <c r="AE1215" s="230"/>
      <c r="AF1215" s="230"/>
      <c r="AG1215" s="227"/>
    </row>
    <row r="1216" spans="1:33" x14ac:dyDescent="0.25">
      <c r="A1216" s="32"/>
      <c r="B1216" s="306"/>
      <c r="C1216" s="307"/>
      <c r="D1216" s="312"/>
      <c r="E1216" s="301"/>
      <c r="F1216" s="232"/>
      <c r="J1216" s="306"/>
      <c r="K1216" s="306"/>
      <c r="L1216" s="313"/>
      <c r="M1216" s="219"/>
      <c r="N1216" s="218"/>
      <c r="S1216" s="224"/>
      <c r="T1216" s="228"/>
      <c r="U1216" s="226"/>
      <c r="V1216" s="226"/>
      <c r="W1216" s="303"/>
      <c r="X1216" s="220"/>
      <c r="Z1216" s="227"/>
      <c r="AA1216" s="220"/>
      <c r="AB1216" s="221"/>
      <c r="AC1216" s="229"/>
      <c r="AD1216" s="230"/>
      <c r="AE1216" s="230"/>
      <c r="AF1216" s="230"/>
      <c r="AG1216" s="227"/>
    </row>
    <row r="1217" spans="1:33" x14ac:dyDescent="0.25">
      <c r="A1217" s="32"/>
      <c r="B1217" s="306"/>
      <c r="C1217" s="307"/>
      <c r="D1217" s="312"/>
      <c r="E1217" s="301"/>
      <c r="F1217" s="232"/>
      <c r="J1217" s="306"/>
      <c r="K1217" s="306"/>
      <c r="L1217" s="313"/>
      <c r="M1217" s="219"/>
      <c r="N1217" s="218"/>
      <c r="S1217" s="224"/>
      <c r="T1217" s="228"/>
      <c r="U1217" s="226"/>
      <c r="V1217" s="226"/>
      <c r="W1217" s="303"/>
      <c r="X1217" s="220"/>
      <c r="Z1217" s="227"/>
      <c r="AA1217" s="220"/>
      <c r="AB1217" s="221"/>
      <c r="AC1217" s="229"/>
      <c r="AD1217" s="230"/>
      <c r="AE1217" s="230"/>
      <c r="AF1217" s="230"/>
      <c r="AG1217" s="227"/>
    </row>
    <row r="1218" spans="1:33" x14ac:dyDescent="0.25">
      <c r="A1218" s="32"/>
      <c r="B1218" s="306"/>
      <c r="C1218" s="307"/>
      <c r="D1218" s="312"/>
      <c r="E1218" s="301"/>
      <c r="F1218" s="232"/>
      <c r="J1218" s="306"/>
      <c r="K1218" s="306"/>
      <c r="L1218" s="313"/>
      <c r="M1218" s="219"/>
      <c r="N1218" s="218"/>
      <c r="S1218" s="224"/>
      <c r="T1218" s="228"/>
      <c r="U1218" s="226"/>
      <c r="V1218" s="226"/>
      <c r="W1218" s="303"/>
      <c r="X1218" s="220"/>
      <c r="Z1218" s="227"/>
      <c r="AA1218" s="220"/>
      <c r="AB1218" s="221"/>
      <c r="AC1218" s="229"/>
      <c r="AD1218" s="230"/>
      <c r="AE1218" s="230"/>
      <c r="AF1218" s="230"/>
      <c r="AG1218" s="227"/>
    </row>
    <row r="1219" spans="1:33" x14ac:dyDescent="0.25">
      <c r="A1219" s="32"/>
      <c r="B1219" s="306"/>
      <c r="C1219" s="307"/>
      <c r="D1219" s="312"/>
      <c r="E1219" s="301"/>
      <c r="F1219" s="232"/>
      <c r="J1219" s="306"/>
      <c r="K1219" s="306"/>
      <c r="L1219" s="313"/>
      <c r="M1219" s="219"/>
      <c r="N1219" s="218"/>
      <c r="S1219" s="224"/>
      <c r="T1219" s="228"/>
      <c r="U1219" s="226"/>
      <c r="V1219" s="226"/>
      <c r="W1219" s="303"/>
      <c r="X1219" s="220"/>
      <c r="Z1219" s="227"/>
      <c r="AA1219" s="220"/>
      <c r="AB1219" s="221"/>
      <c r="AC1219" s="229"/>
      <c r="AD1219" s="230"/>
      <c r="AE1219" s="230"/>
      <c r="AF1219" s="230"/>
      <c r="AG1219" s="227"/>
    </row>
    <row r="1220" spans="1:33" x14ac:dyDescent="0.25">
      <c r="A1220" s="32"/>
      <c r="B1220" s="306"/>
      <c r="C1220" s="307"/>
      <c r="D1220" s="312"/>
      <c r="E1220" s="301"/>
      <c r="F1220" s="232"/>
      <c r="J1220" s="306"/>
      <c r="K1220" s="306"/>
      <c r="L1220" s="313"/>
      <c r="M1220" s="219"/>
      <c r="N1220" s="218"/>
      <c r="S1220" s="224"/>
      <c r="T1220" s="228"/>
      <c r="U1220" s="226"/>
      <c r="V1220" s="226"/>
      <c r="W1220" s="303"/>
      <c r="X1220" s="220"/>
      <c r="Z1220" s="227"/>
      <c r="AA1220" s="220"/>
      <c r="AB1220" s="221"/>
      <c r="AC1220" s="229"/>
      <c r="AD1220" s="230"/>
      <c r="AE1220" s="230"/>
      <c r="AF1220" s="230"/>
      <c r="AG1220" s="227"/>
    </row>
    <row r="1221" spans="1:33" x14ac:dyDescent="0.25">
      <c r="A1221" s="32"/>
      <c r="B1221" s="306"/>
      <c r="C1221" s="307"/>
      <c r="D1221" s="312"/>
      <c r="E1221" s="301"/>
      <c r="F1221" s="232"/>
      <c r="J1221" s="306"/>
      <c r="K1221" s="306"/>
      <c r="L1221" s="313"/>
      <c r="M1221" s="219"/>
      <c r="N1221" s="218"/>
      <c r="S1221" s="224"/>
      <c r="T1221" s="228"/>
      <c r="U1221" s="226"/>
      <c r="V1221" s="226"/>
      <c r="W1221" s="303"/>
      <c r="X1221" s="220"/>
      <c r="Z1221" s="227"/>
      <c r="AA1221" s="220"/>
      <c r="AB1221" s="221"/>
      <c r="AC1221" s="229"/>
      <c r="AD1221" s="230"/>
      <c r="AE1221" s="230"/>
      <c r="AF1221" s="230"/>
      <c r="AG1221" s="227"/>
    </row>
    <row r="1222" spans="1:33" x14ac:dyDescent="0.25">
      <c r="A1222" s="32"/>
      <c r="B1222" s="306"/>
      <c r="C1222" s="307"/>
      <c r="D1222" s="312"/>
      <c r="E1222" s="301"/>
      <c r="F1222" s="232"/>
      <c r="J1222" s="306"/>
      <c r="K1222" s="306"/>
      <c r="L1222" s="313"/>
      <c r="M1222" s="219"/>
      <c r="N1222" s="218"/>
      <c r="S1222" s="224"/>
      <c r="T1222" s="228"/>
      <c r="U1222" s="226"/>
      <c r="V1222" s="226"/>
      <c r="W1222" s="303"/>
      <c r="X1222" s="220"/>
      <c r="Z1222" s="227"/>
      <c r="AA1222" s="220"/>
      <c r="AB1222" s="221"/>
      <c r="AC1222" s="229"/>
      <c r="AD1222" s="230"/>
      <c r="AE1222" s="230"/>
      <c r="AF1222" s="230"/>
      <c r="AG1222" s="227"/>
    </row>
    <row r="1223" spans="1:33" x14ac:dyDescent="0.25">
      <c r="A1223" s="32"/>
      <c r="B1223" s="306"/>
      <c r="C1223" s="307"/>
      <c r="D1223" s="312"/>
      <c r="E1223" s="301"/>
      <c r="F1223" s="232"/>
      <c r="J1223" s="306"/>
      <c r="K1223" s="306"/>
      <c r="L1223" s="313"/>
      <c r="M1223" s="219"/>
      <c r="N1223" s="218"/>
      <c r="S1223" s="224"/>
      <c r="T1223" s="228"/>
      <c r="U1223" s="226"/>
      <c r="V1223" s="226"/>
      <c r="W1223" s="303"/>
      <c r="X1223" s="220"/>
      <c r="Z1223" s="227"/>
      <c r="AA1223" s="220"/>
      <c r="AB1223" s="221"/>
      <c r="AC1223" s="229"/>
      <c r="AD1223" s="230"/>
      <c r="AE1223" s="230"/>
      <c r="AF1223" s="230"/>
      <c r="AG1223" s="227"/>
    </row>
    <row r="1224" spans="1:33" x14ac:dyDescent="0.25">
      <c r="A1224" s="32"/>
      <c r="B1224" s="306"/>
      <c r="C1224" s="307"/>
      <c r="D1224" s="312"/>
      <c r="E1224" s="301"/>
      <c r="F1224" s="232"/>
      <c r="J1224" s="306"/>
      <c r="K1224" s="306"/>
      <c r="L1224" s="313"/>
      <c r="M1224" s="219"/>
      <c r="N1224" s="218"/>
      <c r="S1224" s="224"/>
      <c r="T1224" s="228"/>
      <c r="U1224" s="226"/>
      <c r="V1224" s="226"/>
      <c r="W1224" s="303"/>
      <c r="X1224" s="220"/>
      <c r="Z1224" s="227"/>
      <c r="AA1224" s="220"/>
      <c r="AB1224" s="221"/>
      <c r="AC1224" s="229"/>
      <c r="AD1224" s="230"/>
      <c r="AE1224" s="230"/>
      <c r="AF1224" s="230"/>
      <c r="AG1224" s="227"/>
    </row>
    <row r="1225" spans="1:33" x14ac:dyDescent="0.25">
      <c r="A1225" s="32"/>
      <c r="B1225" s="306"/>
      <c r="C1225" s="307"/>
      <c r="D1225" s="312"/>
      <c r="E1225" s="301"/>
      <c r="F1225" s="232"/>
      <c r="J1225" s="306"/>
      <c r="K1225" s="306"/>
      <c r="L1225" s="313"/>
      <c r="M1225" s="219"/>
      <c r="N1225" s="218"/>
      <c r="S1225" s="224"/>
      <c r="T1225" s="228"/>
      <c r="U1225" s="226"/>
      <c r="V1225" s="226"/>
      <c r="W1225" s="303"/>
      <c r="X1225" s="220"/>
      <c r="Z1225" s="227"/>
      <c r="AA1225" s="220"/>
      <c r="AB1225" s="221"/>
      <c r="AC1225" s="229"/>
      <c r="AD1225" s="230"/>
      <c r="AE1225" s="230"/>
      <c r="AF1225" s="230"/>
      <c r="AG1225" s="227"/>
    </row>
    <row r="1226" spans="1:33" x14ac:dyDescent="0.25">
      <c r="A1226" s="32"/>
      <c r="B1226" s="306"/>
      <c r="C1226" s="307"/>
      <c r="D1226" s="312"/>
      <c r="E1226" s="301"/>
      <c r="F1226" s="232"/>
      <c r="J1226" s="306"/>
      <c r="K1226" s="306"/>
      <c r="L1226" s="313"/>
      <c r="M1226" s="219"/>
      <c r="N1226" s="218"/>
      <c r="S1226" s="224"/>
      <c r="T1226" s="228"/>
      <c r="U1226" s="226"/>
      <c r="V1226" s="226"/>
      <c r="W1226" s="303"/>
      <c r="X1226" s="220"/>
      <c r="Z1226" s="227"/>
      <c r="AA1226" s="220"/>
      <c r="AB1226" s="221"/>
      <c r="AC1226" s="229"/>
      <c r="AD1226" s="230"/>
      <c r="AE1226" s="230"/>
      <c r="AF1226" s="230"/>
      <c r="AG1226" s="227"/>
    </row>
    <row r="1227" spans="1:33" x14ac:dyDescent="0.25">
      <c r="A1227" s="32"/>
      <c r="B1227" s="306"/>
      <c r="C1227" s="307"/>
      <c r="D1227" s="312"/>
      <c r="E1227" s="301"/>
      <c r="F1227" s="232"/>
      <c r="J1227" s="306"/>
      <c r="K1227" s="306"/>
      <c r="L1227" s="313"/>
      <c r="M1227" s="219"/>
      <c r="N1227" s="218"/>
      <c r="S1227" s="224"/>
      <c r="T1227" s="228"/>
      <c r="U1227" s="226"/>
      <c r="V1227" s="226"/>
      <c r="W1227" s="303"/>
      <c r="X1227" s="220"/>
      <c r="Z1227" s="227"/>
      <c r="AA1227" s="220"/>
      <c r="AB1227" s="221"/>
      <c r="AC1227" s="229"/>
      <c r="AD1227" s="230"/>
      <c r="AE1227" s="230"/>
      <c r="AF1227" s="230"/>
      <c r="AG1227" s="227"/>
    </row>
    <row r="1228" spans="1:33" x14ac:dyDescent="0.25">
      <c r="A1228" s="32"/>
      <c r="B1228" s="306"/>
      <c r="C1228" s="307"/>
      <c r="D1228" s="312"/>
      <c r="E1228" s="301"/>
      <c r="F1228" s="232"/>
      <c r="J1228" s="306"/>
      <c r="K1228" s="306"/>
      <c r="L1228" s="313"/>
      <c r="M1228" s="219"/>
      <c r="N1228" s="218"/>
      <c r="S1228" s="224"/>
      <c r="T1228" s="228"/>
      <c r="U1228" s="226"/>
      <c r="V1228" s="226"/>
      <c r="W1228" s="303"/>
      <c r="X1228" s="220"/>
      <c r="Z1228" s="227"/>
      <c r="AA1228" s="220"/>
      <c r="AB1228" s="221"/>
      <c r="AC1228" s="229"/>
      <c r="AD1228" s="230"/>
      <c r="AE1228" s="230"/>
      <c r="AF1228" s="230"/>
      <c r="AG1228" s="227"/>
    </row>
    <row r="1229" spans="1:33" x14ac:dyDescent="0.25">
      <c r="A1229" s="32"/>
      <c r="B1229" s="306"/>
      <c r="C1229" s="307"/>
      <c r="D1229" s="312"/>
      <c r="E1229" s="301"/>
      <c r="F1229" s="232"/>
      <c r="J1229" s="306"/>
      <c r="K1229" s="306"/>
      <c r="L1229" s="313"/>
      <c r="M1229" s="219"/>
      <c r="N1229" s="218"/>
      <c r="S1229" s="224"/>
      <c r="T1229" s="228"/>
      <c r="U1229" s="226"/>
      <c r="V1229" s="226"/>
      <c r="W1229" s="303"/>
      <c r="X1229" s="220"/>
      <c r="Z1229" s="227"/>
      <c r="AA1229" s="220"/>
      <c r="AB1229" s="221"/>
      <c r="AC1229" s="229"/>
      <c r="AD1229" s="230"/>
      <c r="AE1229" s="230"/>
      <c r="AF1229" s="230"/>
      <c r="AG1229" s="227"/>
    </row>
    <row r="1230" spans="1:33" x14ac:dyDescent="0.25">
      <c r="A1230" s="32"/>
      <c r="B1230" s="306"/>
      <c r="C1230" s="307"/>
      <c r="D1230" s="312"/>
      <c r="E1230" s="301"/>
      <c r="F1230" s="232"/>
      <c r="J1230" s="306"/>
      <c r="K1230" s="306"/>
      <c r="L1230" s="313"/>
      <c r="M1230" s="219"/>
      <c r="N1230" s="218"/>
      <c r="S1230" s="224"/>
      <c r="T1230" s="228"/>
      <c r="U1230" s="226"/>
      <c r="V1230" s="226"/>
      <c r="W1230" s="303"/>
      <c r="X1230" s="220"/>
      <c r="Z1230" s="227"/>
      <c r="AA1230" s="220"/>
      <c r="AB1230" s="221"/>
      <c r="AC1230" s="229"/>
      <c r="AD1230" s="230"/>
      <c r="AE1230" s="230"/>
      <c r="AF1230" s="230"/>
      <c r="AG1230" s="227"/>
    </row>
    <row r="1231" spans="1:33" x14ac:dyDescent="0.25">
      <c r="A1231" s="32"/>
      <c r="B1231" s="306"/>
      <c r="C1231" s="307"/>
      <c r="D1231" s="312"/>
      <c r="E1231" s="301"/>
      <c r="F1231" s="232"/>
      <c r="J1231" s="306"/>
      <c r="K1231" s="306"/>
      <c r="L1231" s="313"/>
      <c r="M1231" s="219"/>
      <c r="N1231" s="218"/>
      <c r="S1231" s="224"/>
      <c r="T1231" s="228"/>
      <c r="U1231" s="226"/>
      <c r="V1231" s="226"/>
      <c r="W1231" s="303"/>
      <c r="X1231" s="220"/>
      <c r="Z1231" s="227"/>
      <c r="AA1231" s="220"/>
      <c r="AB1231" s="221"/>
      <c r="AC1231" s="229"/>
      <c r="AD1231" s="230"/>
      <c r="AE1231" s="230"/>
      <c r="AF1231" s="230"/>
      <c r="AG1231" s="227"/>
    </row>
    <row r="1232" spans="1:33" x14ac:dyDescent="0.25">
      <c r="A1232" s="32"/>
      <c r="B1232" s="306"/>
      <c r="C1232" s="307"/>
      <c r="D1232" s="312"/>
      <c r="E1232" s="301"/>
      <c r="F1232" s="232"/>
      <c r="J1232" s="306"/>
      <c r="K1232" s="306"/>
      <c r="L1232" s="313"/>
      <c r="M1232" s="219"/>
      <c r="N1232" s="218"/>
      <c r="S1232" s="224"/>
      <c r="T1232" s="228"/>
      <c r="U1232" s="226"/>
      <c r="V1232" s="226"/>
      <c r="W1232" s="303"/>
      <c r="X1232" s="220"/>
      <c r="Z1232" s="227"/>
      <c r="AA1232" s="220"/>
      <c r="AB1232" s="221"/>
      <c r="AC1232" s="229"/>
      <c r="AD1232" s="230"/>
      <c r="AE1232" s="230"/>
      <c r="AF1232" s="230"/>
      <c r="AG1232" s="227"/>
    </row>
    <row r="1233" spans="1:33" x14ac:dyDescent="0.25">
      <c r="A1233" s="32"/>
      <c r="B1233" s="306"/>
      <c r="C1233" s="307"/>
      <c r="D1233" s="312"/>
      <c r="E1233" s="301"/>
      <c r="F1233" s="232"/>
      <c r="J1233" s="306"/>
      <c r="K1233" s="306"/>
      <c r="L1233" s="313"/>
      <c r="M1233" s="219"/>
      <c r="N1233" s="218"/>
      <c r="S1233" s="224"/>
      <c r="T1233" s="228"/>
      <c r="U1233" s="226"/>
      <c r="V1233" s="226"/>
      <c r="W1233" s="303"/>
      <c r="X1233" s="220"/>
      <c r="Z1233" s="227"/>
      <c r="AA1233" s="220"/>
      <c r="AB1233" s="221"/>
      <c r="AC1233" s="229"/>
      <c r="AD1233" s="230"/>
      <c r="AE1233" s="230"/>
      <c r="AF1233" s="230"/>
      <c r="AG1233" s="227"/>
    </row>
    <row r="1234" spans="1:33" x14ac:dyDescent="0.25">
      <c r="A1234" s="32"/>
      <c r="B1234" s="306"/>
      <c r="C1234" s="307"/>
      <c r="D1234" s="312"/>
      <c r="E1234" s="301"/>
      <c r="F1234" s="232"/>
      <c r="J1234" s="306"/>
      <c r="K1234" s="306"/>
      <c r="L1234" s="313"/>
      <c r="M1234" s="219"/>
      <c r="N1234" s="218"/>
      <c r="S1234" s="224"/>
      <c r="T1234" s="228"/>
      <c r="U1234" s="226"/>
      <c r="V1234" s="226"/>
      <c r="W1234" s="303"/>
      <c r="X1234" s="220"/>
      <c r="Z1234" s="227"/>
      <c r="AA1234" s="220"/>
      <c r="AB1234" s="221"/>
      <c r="AC1234" s="229"/>
      <c r="AD1234" s="230"/>
      <c r="AE1234" s="230"/>
      <c r="AF1234" s="230"/>
      <c r="AG1234" s="227"/>
    </row>
    <row r="1235" spans="1:33" x14ac:dyDescent="0.25">
      <c r="A1235" s="32"/>
      <c r="B1235" s="306"/>
      <c r="C1235" s="307"/>
      <c r="D1235" s="312"/>
      <c r="E1235" s="301"/>
      <c r="F1235" s="232"/>
      <c r="J1235" s="306"/>
      <c r="K1235" s="306"/>
      <c r="L1235" s="313"/>
      <c r="M1235" s="219"/>
      <c r="N1235" s="218"/>
      <c r="S1235" s="224"/>
      <c r="T1235" s="228"/>
      <c r="U1235" s="226"/>
      <c r="V1235" s="226"/>
      <c r="W1235" s="303"/>
      <c r="X1235" s="220"/>
      <c r="Z1235" s="227"/>
      <c r="AA1235" s="220"/>
      <c r="AB1235" s="221"/>
      <c r="AC1235" s="229"/>
      <c r="AD1235" s="230"/>
      <c r="AE1235" s="230"/>
      <c r="AF1235" s="230"/>
      <c r="AG1235" s="227"/>
    </row>
    <row r="1236" spans="1:33" x14ac:dyDescent="0.25">
      <c r="A1236" s="32"/>
      <c r="B1236" s="306"/>
      <c r="C1236" s="307"/>
      <c r="D1236" s="312"/>
      <c r="E1236" s="301"/>
      <c r="F1236" s="232"/>
      <c r="J1236" s="306"/>
      <c r="K1236" s="306"/>
      <c r="L1236" s="313"/>
      <c r="M1236" s="219"/>
      <c r="N1236" s="218"/>
      <c r="S1236" s="224"/>
      <c r="T1236" s="228"/>
      <c r="U1236" s="226"/>
      <c r="V1236" s="226"/>
      <c r="W1236" s="303"/>
      <c r="X1236" s="220"/>
      <c r="Z1236" s="227"/>
      <c r="AA1236" s="220"/>
      <c r="AB1236" s="221"/>
      <c r="AC1236" s="229"/>
      <c r="AD1236" s="230"/>
      <c r="AE1236" s="230"/>
      <c r="AF1236" s="230"/>
      <c r="AG1236" s="227"/>
    </row>
    <row r="1237" spans="1:33" x14ac:dyDescent="0.25">
      <c r="A1237" s="32"/>
      <c r="B1237" s="306"/>
      <c r="C1237" s="307"/>
      <c r="D1237" s="312"/>
      <c r="E1237" s="301"/>
      <c r="F1237" s="232"/>
      <c r="J1237" s="306"/>
      <c r="K1237" s="306"/>
      <c r="L1237" s="313"/>
      <c r="M1237" s="219"/>
      <c r="N1237" s="218"/>
      <c r="S1237" s="224"/>
      <c r="T1237" s="228"/>
      <c r="U1237" s="226"/>
      <c r="V1237" s="226"/>
      <c r="W1237" s="303"/>
      <c r="X1237" s="220"/>
      <c r="Z1237" s="227"/>
      <c r="AA1237" s="220"/>
      <c r="AB1237" s="221"/>
      <c r="AC1237" s="229"/>
      <c r="AD1237" s="230"/>
      <c r="AE1237" s="230"/>
      <c r="AF1237" s="230"/>
      <c r="AG1237" s="227"/>
    </row>
    <row r="1238" spans="1:33" x14ac:dyDescent="0.25">
      <c r="A1238" s="32"/>
      <c r="B1238" s="306"/>
      <c r="C1238" s="307"/>
      <c r="D1238" s="312"/>
      <c r="E1238" s="301"/>
      <c r="F1238" s="232"/>
      <c r="J1238" s="306"/>
      <c r="K1238" s="306"/>
      <c r="L1238" s="313"/>
      <c r="M1238" s="219"/>
      <c r="N1238" s="218"/>
      <c r="S1238" s="224"/>
      <c r="T1238" s="228"/>
      <c r="U1238" s="226"/>
      <c r="V1238" s="226"/>
      <c r="W1238" s="303"/>
      <c r="X1238" s="220"/>
      <c r="Z1238" s="227"/>
      <c r="AA1238" s="220"/>
      <c r="AB1238" s="221"/>
      <c r="AC1238" s="229"/>
      <c r="AD1238" s="230"/>
      <c r="AE1238" s="230"/>
      <c r="AF1238" s="230"/>
      <c r="AG1238" s="227"/>
    </row>
    <row r="1239" spans="1:33" x14ac:dyDescent="0.25">
      <c r="A1239" s="32"/>
      <c r="B1239" s="306"/>
      <c r="C1239" s="307"/>
      <c r="D1239" s="312"/>
      <c r="E1239" s="301"/>
      <c r="F1239" s="232"/>
      <c r="J1239" s="306"/>
      <c r="K1239" s="306"/>
      <c r="L1239" s="313"/>
      <c r="M1239" s="219"/>
      <c r="N1239" s="218"/>
      <c r="S1239" s="224"/>
      <c r="T1239" s="228"/>
      <c r="U1239" s="226"/>
      <c r="V1239" s="226"/>
      <c r="W1239" s="303"/>
      <c r="X1239" s="220"/>
      <c r="Z1239" s="227"/>
      <c r="AA1239" s="220"/>
      <c r="AB1239" s="221"/>
      <c r="AC1239" s="229"/>
      <c r="AD1239" s="230"/>
      <c r="AE1239" s="230"/>
      <c r="AF1239" s="230"/>
      <c r="AG1239" s="227"/>
    </row>
    <row r="1240" spans="1:33" x14ac:dyDescent="0.25">
      <c r="A1240" s="32"/>
      <c r="B1240" s="306"/>
      <c r="C1240" s="307"/>
      <c r="D1240" s="312"/>
      <c r="E1240" s="301"/>
      <c r="F1240" s="232"/>
      <c r="J1240" s="306"/>
      <c r="K1240" s="306"/>
      <c r="L1240" s="313"/>
      <c r="M1240" s="219"/>
      <c r="N1240" s="218"/>
      <c r="S1240" s="224"/>
      <c r="T1240" s="228"/>
      <c r="U1240" s="226"/>
      <c r="V1240" s="226"/>
      <c r="W1240" s="303"/>
      <c r="X1240" s="220"/>
      <c r="Z1240" s="227"/>
      <c r="AA1240" s="220"/>
      <c r="AB1240" s="221"/>
      <c r="AC1240" s="229"/>
      <c r="AD1240" s="230"/>
      <c r="AE1240" s="230"/>
      <c r="AF1240" s="230"/>
      <c r="AG1240" s="227"/>
    </row>
    <row r="1241" spans="1:33" x14ac:dyDescent="0.25">
      <c r="A1241" s="32"/>
      <c r="B1241" s="306"/>
      <c r="C1241" s="307"/>
      <c r="D1241" s="312"/>
      <c r="E1241" s="301"/>
      <c r="F1241" s="232"/>
      <c r="J1241" s="306"/>
      <c r="K1241" s="306"/>
      <c r="L1241" s="313"/>
      <c r="M1241" s="219"/>
      <c r="N1241" s="218"/>
      <c r="S1241" s="224"/>
      <c r="T1241" s="228"/>
      <c r="U1241" s="226"/>
      <c r="V1241" s="226"/>
      <c r="W1241" s="303"/>
      <c r="X1241" s="220"/>
      <c r="Z1241" s="227"/>
      <c r="AA1241" s="220"/>
      <c r="AB1241" s="221"/>
      <c r="AC1241" s="229"/>
      <c r="AD1241" s="230"/>
      <c r="AE1241" s="230"/>
      <c r="AF1241" s="230"/>
      <c r="AG1241" s="227"/>
    </row>
    <row r="1242" spans="1:33" x14ac:dyDescent="0.25">
      <c r="A1242" s="32"/>
      <c r="B1242" s="306"/>
      <c r="C1242" s="307"/>
      <c r="D1242" s="312"/>
      <c r="E1242" s="301"/>
      <c r="F1242" s="232"/>
      <c r="J1242" s="306"/>
      <c r="K1242" s="306"/>
      <c r="L1242" s="313"/>
      <c r="M1242" s="219"/>
      <c r="N1242" s="218"/>
      <c r="S1242" s="224"/>
      <c r="T1242" s="228"/>
      <c r="U1242" s="226"/>
      <c r="V1242" s="226"/>
      <c r="W1242" s="303"/>
      <c r="X1242" s="220"/>
      <c r="Z1242" s="227"/>
      <c r="AA1242" s="220"/>
      <c r="AB1242" s="221"/>
      <c r="AC1242" s="229"/>
      <c r="AD1242" s="230"/>
      <c r="AE1242" s="230"/>
      <c r="AF1242" s="230"/>
      <c r="AG1242" s="227"/>
    </row>
    <row r="1243" spans="1:33" x14ac:dyDescent="0.25">
      <c r="A1243" s="32"/>
      <c r="B1243" s="306"/>
      <c r="C1243" s="307"/>
      <c r="D1243" s="312"/>
      <c r="E1243" s="301"/>
      <c r="F1243" s="232"/>
      <c r="J1243" s="306"/>
      <c r="K1243" s="306"/>
      <c r="L1243" s="313"/>
      <c r="M1243" s="219"/>
      <c r="N1243" s="218"/>
      <c r="S1243" s="224"/>
      <c r="T1243" s="228"/>
      <c r="U1243" s="226"/>
      <c r="V1243" s="226"/>
      <c r="W1243" s="303"/>
      <c r="X1243" s="220"/>
      <c r="Z1243" s="227"/>
      <c r="AA1243" s="220"/>
      <c r="AB1243" s="221"/>
      <c r="AC1243" s="229"/>
      <c r="AD1243" s="230"/>
      <c r="AE1243" s="230"/>
      <c r="AF1243" s="230"/>
      <c r="AG1243" s="227"/>
    </row>
    <row r="1244" spans="1:33" x14ac:dyDescent="0.25">
      <c r="A1244" s="32"/>
      <c r="B1244" s="306"/>
      <c r="C1244" s="307"/>
      <c r="D1244" s="312"/>
      <c r="E1244" s="301"/>
      <c r="F1244" s="232"/>
      <c r="J1244" s="306"/>
      <c r="K1244" s="306"/>
      <c r="L1244" s="313"/>
      <c r="M1244" s="219"/>
      <c r="N1244" s="218"/>
      <c r="S1244" s="224"/>
      <c r="T1244" s="228"/>
      <c r="U1244" s="226"/>
      <c r="V1244" s="226"/>
      <c r="W1244" s="303"/>
      <c r="X1244" s="220"/>
      <c r="Z1244" s="227"/>
      <c r="AA1244" s="220"/>
      <c r="AB1244" s="221"/>
      <c r="AC1244" s="229"/>
      <c r="AD1244" s="230"/>
      <c r="AE1244" s="230"/>
      <c r="AF1244" s="230"/>
      <c r="AG1244" s="227"/>
    </row>
    <row r="1245" spans="1:33" x14ac:dyDescent="0.25">
      <c r="A1245" s="32"/>
      <c r="B1245" s="306"/>
      <c r="C1245" s="307"/>
      <c r="D1245" s="312"/>
      <c r="E1245" s="301"/>
      <c r="F1245" s="232"/>
      <c r="J1245" s="306"/>
      <c r="K1245" s="306"/>
      <c r="L1245" s="313"/>
      <c r="M1245" s="219"/>
      <c r="N1245" s="218"/>
      <c r="S1245" s="224"/>
      <c r="T1245" s="228"/>
      <c r="U1245" s="226"/>
      <c r="V1245" s="226"/>
      <c r="W1245" s="303"/>
      <c r="X1245" s="220"/>
      <c r="Z1245" s="227"/>
      <c r="AA1245" s="220"/>
      <c r="AB1245" s="221"/>
      <c r="AC1245" s="229"/>
      <c r="AD1245" s="230"/>
      <c r="AE1245" s="230"/>
      <c r="AF1245" s="230"/>
      <c r="AG1245" s="227"/>
    </row>
    <row r="1246" spans="1:33" x14ac:dyDescent="0.25">
      <c r="A1246" s="32"/>
      <c r="B1246" s="306"/>
      <c r="C1246" s="307"/>
      <c r="D1246" s="312"/>
      <c r="E1246" s="301"/>
      <c r="F1246" s="232"/>
      <c r="J1246" s="306"/>
      <c r="K1246" s="306"/>
      <c r="L1246" s="313"/>
      <c r="M1246" s="219"/>
      <c r="N1246" s="218"/>
      <c r="S1246" s="224"/>
      <c r="T1246" s="228"/>
      <c r="U1246" s="226"/>
      <c r="V1246" s="226"/>
      <c r="W1246" s="303"/>
      <c r="X1246" s="220"/>
      <c r="Z1246" s="227"/>
      <c r="AA1246" s="220"/>
      <c r="AB1246" s="221"/>
      <c r="AC1246" s="229"/>
      <c r="AD1246" s="230"/>
      <c r="AE1246" s="230"/>
      <c r="AF1246" s="230"/>
      <c r="AG1246" s="227"/>
    </row>
    <row r="1247" spans="1:33" x14ac:dyDescent="0.25">
      <c r="A1247" s="32"/>
      <c r="B1247" s="306"/>
      <c r="C1247" s="307"/>
      <c r="D1247" s="312"/>
      <c r="E1247" s="301"/>
      <c r="F1247" s="232"/>
      <c r="J1247" s="306"/>
      <c r="K1247" s="306"/>
      <c r="L1247" s="313"/>
      <c r="M1247" s="219"/>
      <c r="N1247" s="218"/>
      <c r="S1247" s="224"/>
      <c r="T1247" s="228"/>
      <c r="U1247" s="226"/>
      <c r="V1247" s="226"/>
      <c r="W1247" s="303"/>
      <c r="X1247" s="220"/>
      <c r="Z1247" s="227"/>
      <c r="AA1247" s="220"/>
      <c r="AB1247" s="221"/>
      <c r="AC1247" s="229"/>
      <c r="AD1247" s="230"/>
      <c r="AE1247" s="230"/>
      <c r="AF1247" s="230"/>
      <c r="AG1247" s="227"/>
    </row>
    <row r="1248" spans="1:33" x14ac:dyDescent="0.25">
      <c r="A1248" s="32"/>
      <c r="B1248" s="306"/>
      <c r="C1248" s="307"/>
      <c r="D1248" s="312"/>
      <c r="E1248" s="301"/>
      <c r="F1248" s="232"/>
      <c r="J1248" s="306"/>
      <c r="K1248" s="306"/>
      <c r="L1248" s="313"/>
      <c r="M1248" s="219"/>
      <c r="N1248" s="218"/>
      <c r="S1248" s="224"/>
      <c r="T1248" s="228"/>
      <c r="U1248" s="226"/>
      <c r="V1248" s="226"/>
      <c r="W1248" s="303"/>
      <c r="X1248" s="220"/>
      <c r="Z1248" s="227"/>
      <c r="AA1248" s="220"/>
      <c r="AB1248" s="221"/>
      <c r="AC1248" s="229"/>
      <c r="AD1248" s="230"/>
      <c r="AE1248" s="230"/>
      <c r="AF1248" s="230"/>
      <c r="AG1248" s="227"/>
    </row>
    <row r="1249" spans="1:33" x14ac:dyDescent="0.25">
      <c r="A1249" s="32"/>
      <c r="B1249" s="306"/>
      <c r="C1249" s="307"/>
      <c r="D1249" s="312"/>
      <c r="E1249" s="301"/>
      <c r="F1249" s="232"/>
      <c r="J1249" s="306"/>
      <c r="K1249" s="306"/>
      <c r="L1249" s="313"/>
      <c r="M1249" s="219"/>
      <c r="N1249" s="218"/>
      <c r="S1249" s="224"/>
      <c r="T1249" s="228"/>
      <c r="U1249" s="226"/>
      <c r="V1249" s="226"/>
      <c r="W1249" s="303"/>
      <c r="X1249" s="220"/>
      <c r="Z1249" s="227"/>
      <c r="AA1249" s="220"/>
      <c r="AB1249" s="221"/>
      <c r="AC1249" s="229"/>
      <c r="AD1249" s="230"/>
      <c r="AE1249" s="230"/>
      <c r="AF1249" s="230"/>
      <c r="AG1249" s="227"/>
    </row>
    <row r="1250" spans="1:33" x14ac:dyDescent="0.25">
      <c r="A1250" s="32"/>
      <c r="B1250" s="306"/>
      <c r="C1250" s="307"/>
      <c r="D1250" s="312"/>
      <c r="E1250" s="301"/>
      <c r="F1250" s="232"/>
      <c r="J1250" s="306"/>
      <c r="K1250" s="306"/>
      <c r="L1250" s="313"/>
      <c r="M1250" s="219"/>
      <c r="N1250" s="218"/>
      <c r="S1250" s="224"/>
      <c r="T1250" s="228"/>
      <c r="U1250" s="226"/>
      <c r="V1250" s="226"/>
      <c r="W1250" s="303"/>
      <c r="X1250" s="220"/>
      <c r="Z1250" s="227"/>
      <c r="AA1250" s="220"/>
      <c r="AB1250" s="221"/>
      <c r="AC1250" s="229"/>
      <c r="AD1250" s="230"/>
      <c r="AE1250" s="230"/>
      <c r="AF1250" s="230"/>
      <c r="AG1250" s="227"/>
    </row>
    <row r="1251" spans="1:33" x14ac:dyDescent="0.25">
      <c r="A1251" s="32"/>
      <c r="B1251" s="306"/>
      <c r="C1251" s="307"/>
      <c r="D1251" s="312"/>
      <c r="E1251" s="301"/>
      <c r="F1251" s="232"/>
      <c r="J1251" s="306"/>
      <c r="K1251" s="306"/>
      <c r="L1251" s="313"/>
      <c r="M1251" s="219"/>
      <c r="N1251" s="218"/>
      <c r="S1251" s="224"/>
      <c r="T1251" s="228"/>
      <c r="U1251" s="226"/>
      <c r="V1251" s="226"/>
      <c r="W1251" s="303"/>
      <c r="X1251" s="220"/>
      <c r="Z1251" s="227"/>
      <c r="AA1251" s="220"/>
      <c r="AB1251" s="221"/>
      <c r="AC1251" s="229"/>
      <c r="AD1251" s="230"/>
      <c r="AE1251" s="230"/>
      <c r="AF1251" s="230"/>
      <c r="AG1251" s="227"/>
    </row>
    <row r="1252" spans="1:33" x14ac:dyDescent="0.25">
      <c r="A1252" s="32"/>
      <c r="B1252" s="306"/>
      <c r="C1252" s="307"/>
      <c r="D1252" s="312"/>
      <c r="E1252" s="301"/>
      <c r="F1252" s="232"/>
      <c r="J1252" s="306"/>
      <c r="K1252" s="306"/>
      <c r="L1252" s="313"/>
      <c r="M1252" s="219"/>
      <c r="N1252" s="218"/>
      <c r="S1252" s="224"/>
      <c r="T1252" s="228"/>
      <c r="U1252" s="226"/>
      <c r="V1252" s="226"/>
      <c r="W1252" s="303"/>
      <c r="X1252" s="220"/>
      <c r="Z1252" s="227"/>
      <c r="AA1252" s="220"/>
      <c r="AB1252" s="221"/>
      <c r="AC1252" s="229"/>
      <c r="AD1252" s="230"/>
      <c r="AE1252" s="230"/>
      <c r="AF1252" s="230"/>
      <c r="AG1252" s="227"/>
    </row>
    <row r="1253" spans="1:33" x14ac:dyDescent="0.25">
      <c r="A1253" s="32"/>
      <c r="B1253" s="306"/>
      <c r="C1253" s="307"/>
      <c r="D1253" s="312"/>
      <c r="E1253" s="301"/>
      <c r="F1253" s="232"/>
      <c r="J1253" s="306"/>
      <c r="K1253" s="306"/>
      <c r="L1253" s="313"/>
      <c r="M1253" s="219"/>
      <c r="N1253" s="218"/>
      <c r="S1253" s="224"/>
      <c r="T1253" s="228"/>
      <c r="U1253" s="226"/>
      <c r="V1253" s="226"/>
      <c r="W1253" s="303"/>
      <c r="X1253" s="220"/>
      <c r="Z1253" s="227"/>
      <c r="AA1253" s="220"/>
      <c r="AB1253" s="221"/>
      <c r="AC1253" s="229"/>
      <c r="AD1253" s="230"/>
      <c r="AE1253" s="230"/>
      <c r="AF1253" s="230"/>
      <c r="AG1253" s="227"/>
    </row>
    <row r="1254" spans="1:33" x14ac:dyDescent="0.25">
      <c r="A1254" s="32"/>
      <c r="B1254" s="306"/>
      <c r="C1254" s="307"/>
      <c r="D1254" s="312"/>
      <c r="E1254" s="301"/>
      <c r="F1254" s="232"/>
      <c r="J1254" s="306"/>
      <c r="K1254" s="306"/>
      <c r="L1254" s="313"/>
      <c r="M1254" s="219"/>
      <c r="N1254" s="218"/>
      <c r="S1254" s="224"/>
      <c r="T1254" s="228"/>
      <c r="U1254" s="226"/>
      <c r="V1254" s="226"/>
      <c r="W1254" s="303"/>
      <c r="X1254" s="220"/>
      <c r="Z1254" s="227"/>
      <c r="AA1254" s="220"/>
      <c r="AB1254" s="221"/>
      <c r="AC1254" s="229"/>
      <c r="AD1254" s="230"/>
      <c r="AE1254" s="230"/>
      <c r="AF1254" s="230"/>
      <c r="AG1254" s="227"/>
    </row>
    <row r="1255" spans="1:33" x14ac:dyDescent="0.25">
      <c r="A1255" s="32"/>
      <c r="B1255" s="306"/>
      <c r="C1255" s="307"/>
      <c r="D1255" s="312"/>
      <c r="E1255" s="301"/>
      <c r="F1255" s="232"/>
      <c r="J1255" s="306"/>
      <c r="K1255" s="306"/>
      <c r="L1255" s="313"/>
      <c r="M1255" s="219"/>
      <c r="N1255" s="218"/>
      <c r="S1255" s="224"/>
      <c r="T1255" s="228"/>
      <c r="U1255" s="226"/>
      <c r="V1255" s="226"/>
      <c r="W1255" s="303"/>
      <c r="X1255" s="220"/>
      <c r="Z1255" s="227"/>
      <c r="AA1255" s="220"/>
      <c r="AB1255" s="221"/>
      <c r="AC1255" s="229"/>
      <c r="AD1255" s="230"/>
      <c r="AE1255" s="230"/>
      <c r="AF1255" s="230"/>
      <c r="AG1255" s="227"/>
    </row>
    <row r="1256" spans="1:33" x14ac:dyDescent="0.25">
      <c r="A1256" s="32"/>
      <c r="B1256" s="306"/>
      <c r="C1256" s="307"/>
      <c r="D1256" s="312"/>
      <c r="E1256" s="301"/>
      <c r="F1256" s="232"/>
      <c r="J1256" s="306"/>
      <c r="K1256" s="306"/>
      <c r="L1256" s="313"/>
      <c r="M1256" s="219"/>
      <c r="N1256" s="218"/>
      <c r="S1256" s="224"/>
      <c r="T1256" s="228"/>
      <c r="U1256" s="226"/>
      <c r="V1256" s="226"/>
      <c r="W1256" s="303"/>
      <c r="X1256" s="220"/>
      <c r="Z1256" s="227"/>
      <c r="AA1256" s="220"/>
      <c r="AB1256" s="221"/>
      <c r="AC1256" s="229"/>
      <c r="AD1256" s="230"/>
      <c r="AE1256" s="230"/>
      <c r="AF1256" s="230"/>
      <c r="AG1256" s="227"/>
    </row>
    <row r="1257" spans="1:33" x14ac:dyDescent="0.25">
      <c r="A1257" s="32"/>
      <c r="B1257" s="306"/>
      <c r="C1257" s="307"/>
      <c r="D1257" s="312"/>
      <c r="E1257" s="301"/>
      <c r="F1257" s="232"/>
      <c r="J1257" s="306"/>
      <c r="K1257" s="306"/>
      <c r="L1257" s="313"/>
      <c r="M1257" s="219"/>
      <c r="N1257" s="218"/>
      <c r="S1257" s="224"/>
      <c r="T1257" s="228"/>
      <c r="U1257" s="226"/>
      <c r="V1257" s="226"/>
      <c r="W1257" s="303"/>
      <c r="X1257" s="220"/>
      <c r="Z1257" s="227"/>
      <c r="AA1257" s="220"/>
      <c r="AB1257" s="221"/>
      <c r="AC1257" s="229"/>
      <c r="AD1257" s="230"/>
      <c r="AE1257" s="230"/>
      <c r="AF1257" s="230"/>
      <c r="AG1257" s="227"/>
    </row>
    <row r="1258" spans="1:33" x14ac:dyDescent="0.25">
      <c r="A1258" s="32"/>
      <c r="B1258" s="306"/>
      <c r="C1258" s="307"/>
      <c r="D1258" s="312"/>
      <c r="E1258" s="301"/>
      <c r="F1258" s="232"/>
      <c r="J1258" s="306"/>
      <c r="K1258" s="306"/>
      <c r="L1258" s="313"/>
      <c r="M1258" s="219"/>
      <c r="N1258" s="218"/>
      <c r="S1258" s="224"/>
      <c r="T1258" s="228"/>
      <c r="U1258" s="226"/>
      <c r="V1258" s="226"/>
      <c r="W1258" s="303"/>
      <c r="X1258" s="220"/>
      <c r="Z1258" s="227"/>
      <c r="AA1258" s="220"/>
      <c r="AB1258" s="221"/>
      <c r="AC1258" s="229"/>
      <c r="AD1258" s="230"/>
      <c r="AE1258" s="230"/>
      <c r="AF1258" s="230"/>
      <c r="AG1258" s="227"/>
    </row>
    <row r="1259" spans="1:33" x14ac:dyDescent="0.25">
      <c r="A1259" s="32"/>
      <c r="B1259" s="306"/>
      <c r="C1259" s="307"/>
      <c r="D1259" s="312"/>
      <c r="E1259" s="301"/>
      <c r="F1259" s="232"/>
      <c r="J1259" s="306"/>
      <c r="K1259" s="306"/>
      <c r="L1259" s="313"/>
      <c r="M1259" s="219"/>
      <c r="N1259" s="218"/>
      <c r="S1259" s="224"/>
      <c r="T1259" s="228"/>
      <c r="U1259" s="226"/>
      <c r="V1259" s="226"/>
      <c r="W1259" s="303"/>
      <c r="X1259" s="220"/>
      <c r="Z1259" s="227"/>
      <c r="AA1259" s="220"/>
      <c r="AB1259" s="221"/>
      <c r="AC1259" s="229"/>
      <c r="AD1259" s="230"/>
      <c r="AE1259" s="230"/>
      <c r="AF1259" s="230"/>
      <c r="AG1259" s="227"/>
    </row>
    <row r="1260" spans="1:33" x14ac:dyDescent="0.25">
      <c r="A1260" s="32"/>
      <c r="B1260" s="306"/>
      <c r="C1260" s="307"/>
      <c r="D1260" s="312"/>
      <c r="E1260" s="301"/>
      <c r="F1260" s="232"/>
      <c r="J1260" s="306"/>
      <c r="K1260" s="306"/>
      <c r="L1260" s="313"/>
      <c r="M1260" s="219"/>
      <c r="N1260" s="218"/>
      <c r="S1260" s="224"/>
      <c r="T1260" s="228"/>
      <c r="U1260" s="226"/>
      <c r="V1260" s="226"/>
      <c r="W1260" s="303"/>
      <c r="X1260" s="220"/>
      <c r="Z1260" s="227"/>
      <c r="AA1260" s="220"/>
      <c r="AB1260" s="221"/>
      <c r="AC1260" s="229"/>
      <c r="AD1260" s="230"/>
      <c r="AE1260" s="230"/>
      <c r="AF1260" s="230"/>
      <c r="AG1260" s="227"/>
    </row>
    <row r="1261" spans="1:33" x14ac:dyDescent="0.25">
      <c r="A1261" s="32"/>
      <c r="B1261" s="306"/>
      <c r="C1261" s="307"/>
      <c r="D1261" s="312"/>
      <c r="E1261" s="301"/>
      <c r="F1261" s="232"/>
      <c r="J1261" s="306"/>
      <c r="K1261" s="306"/>
      <c r="L1261" s="313"/>
      <c r="M1261" s="219"/>
      <c r="N1261" s="218"/>
      <c r="S1261" s="224"/>
      <c r="T1261" s="228"/>
      <c r="U1261" s="226"/>
      <c r="V1261" s="226"/>
      <c r="W1261" s="303"/>
      <c r="X1261" s="220"/>
      <c r="Z1261" s="227"/>
      <c r="AA1261" s="220"/>
      <c r="AB1261" s="221"/>
      <c r="AC1261" s="229"/>
      <c r="AD1261" s="230"/>
      <c r="AE1261" s="230"/>
      <c r="AF1261" s="230"/>
      <c r="AG1261" s="227"/>
    </row>
    <row r="1262" spans="1:33" x14ac:dyDescent="0.25">
      <c r="A1262" s="32"/>
      <c r="B1262" s="306"/>
      <c r="C1262" s="307"/>
      <c r="D1262" s="312"/>
      <c r="E1262" s="301"/>
      <c r="F1262" s="232"/>
      <c r="J1262" s="306"/>
      <c r="K1262" s="306"/>
      <c r="L1262" s="313"/>
      <c r="M1262" s="219"/>
      <c r="N1262" s="218"/>
      <c r="S1262" s="224"/>
      <c r="T1262" s="228"/>
      <c r="U1262" s="226"/>
      <c r="V1262" s="226"/>
      <c r="W1262" s="303"/>
      <c r="X1262" s="220"/>
      <c r="Z1262" s="227"/>
      <c r="AA1262" s="220"/>
      <c r="AB1262" s="221"/>
      <c r="AC1262" s="229"/>
      <c r="AD1262" s="230"/>
      <c r="AE1262" s="230"/>
      <c r="AF1262" s="230"/>
      <c r="AG1262" s="227"/>
    </row>
    <row r="1263" spans="1:33" x14ac:dyDescent="0.25">
      <c r="A1263" s="32"/>
      <c r="B1263" s="306"/>
      <c r="C1263" s="307"/>
      <c r="D1263" s="312"/>
      <c r="E1263" s="301"/>
      <c r="F1263" s="232"/>
      <c r="J1263" s="306"/>
      <c r="K1263" s="306"/>
      <c r="L1263" s="313"/>
      <c r="M1263" s="219"/>
      <c r="N1263" s="218"/>
      <c r="S1263" s="224"/>
      <c r="T1263" s="228"/>
      <c r="U1263" s="226"/>
      <c r="V1263" s="226"/>
      <c r="W1263" s="303"/>
      <c r="X1263" s="220"/>
      <c r="Z1263" s="227"/>
      <c r="AA1263" s="220"/>
      <c r="AB1263" s="221"/>
      <c r="AC1263" s="229"/>
      <c r="AD1263" s="230"/>
      <c r="AE1263" s="230"/>
      <c r="AF1263" s="230"/>
      <c r="AG1263" s="227"/>
    </row>
    <row r="1264" spans="1:33" x14ac:dyDescent="0.25">
      <c r="A1264" s="32"/>
      <c r="B1264" s="306"/>
      <c r="C1264" s="307"/>
      <c r="D1264" s="312"/>
      <c r="E1264" s="301"/>
      <c r="F1264" s="232"/>
      <c r="J1264" s="306"/>
      <c r="K1264" s="306"/>
      <c r="L1264" s="313"/>
      <c r="M1264" s="219"/>
      <c r="N1264" s="218"/>
      <c r="S1264" s="224"/>
      <c r="T1264" s="228"/>
      <c r="U1264" s="226"/>
      <c r="V1264" s="226"/>
      <c r="W1264" s="303"/>
      <c r="X1264" s="220"/>
      <c r="Z1264" s="227"/>
      <c r="AA1264" s="220"/>
      <c r="AB1264" s="221"/>
      <c r="AC1264" s="229"/>
      <c r="AD1264" s="230"/>
      <c r="AE1264" s="230"/>
      <c r="AF1264" s="230"/>
      <c r="AG1264" s="227"/>
    </row>
    <row r="1265" spans="1:33" x14ac:dyDescent="0.25">
      <c r="A1265" s="32"/>
      <c r="B1265" s="306"/>
      <c r="C1265" s="307"/>
      <c r="D1265" s="312"/>
      <c r="E1265" s="301"/>
      <c r="F1265" s="232"/>
      <c r="J1265" s="306"/>
      <c r="K1265" s="306"/>
      <c r="L1265" s="313"/>
      <c r="M1265" s="219"/>
      <c r="N1265" s="218"/>
      <c r="S1265" s="224"/>
      <c r="T1265" s="228"/>
      <c r="U1265" s="226"/>
      <c r="V1265" s="226"/>
      <c r="W1265" s="303"/>
      <c r="X1265" s="220"/>
      <c r="Z1265" s="227"/>
      <c r="AA1265" s="220"/>
      <c r="AB1265" s="221"/>
      <c r="AC1265" s="229"/>
      <c r="AD1265" s="230"/>
      <c r="AE1265" s="230"/>
      <c r="AF1265" s="230"/>
      <c r="AG1265" s="227"/>
    </row>
    <row r="1266" spans="1:33" x14ac:dyDescent="0.25">
      <c r="A1266" s="32"/>
      <c r="B1266" s="306"/>
      <c r="C1266" s="307"/>
      <c r="D1266" s="312"/>
      <c r="E1266" s="301"/>
      <c r="F1266" s="232"/>
      <c r="J1266" s="306"/>
      <c r="K1266" s="306"/>
      <c r="L1266" s="313"/>
      <c r="M1266" s="219"/>
      <c r="N1266" s="218"/>
      <c r="S1266" s="224"/>
      <c r="T1266" s="228"/>
      <c r="U1266" s="226"/>
      <c r="V1266" s="226"/>
      <c r="W1266" s="303"/>
      <c r="X1266" s="220"/>
      <c r="Z1266" s="227"/>
      <c r="AA1266" s="220"/>
      <c r="AB1266" s="221"/>
      <c r="AC1266" s="229"/>
      <c r="AD1266" s="230"/>
      <c r="AE1266" s="230"/>
      <c r="AF1266" s="230"/>
      <c r="AG1266" s="227"/>
    </row>
    <row r="1267" spans="1:33" x14ac:dyDescent="0.25">
      <c r="A1267" s="32"/>
      <c r="B1267" s="306"/>
      <c r="C1267" s="307"/>
      <c r="D1267" s="312"/>
      <c r="E1267" s="301"/>
      <c r="F1267" s="232"/>
      <c r="J1267" s="306"/>
      <c r="K1267" s="306"/>
      <c r="L1267" s="313"/>
      <c r="M1267" s="219"/>
      <c r="N1267" s="218"/>
      <c r="S1267" s="224"/>
      <c r="T1267" s="228"/>
      <c r="U1267" s="226"/>
      <c r="V1267" s="226"/>
      <c r="W1267" s="303"/>
      <c r="X1267" s="220"/>
      <c r="Z1267" s="227"/>
      <c r="AA1267" s="220"/>
      <c r="AB1267" s="221"/>
      <c r="AC1267" s="229"/>
      <c r="AD1267" s="230"/>
      <c r="AE1267" s="230"/>
      <c r="AF1267" s="230"/>
      <c r="AG1267" s="227"/>
    </row>
    <row r="1268" spans="1:33" x14ac:dyDescent="0.25">
      <c r="A1268" s="32"/>
      <c r="B1268" s="306"/>
      <c r="C1268" s="307"/>
      <c r="D1268" s="312"/>
      <c r="E1268" s="301"/>
      <c r="F1268" s="232"/>
      <c r="J1268" s="306"/>
      <c r="K1268" s="306"/>
      <c r="L1268" s="313"/>
      <c r="M1268" s="219"/>
      <c r="N1268" s="218"/>
      <c r="S1268" s="224"/>
      <c r="T1268" s="228"/>
      <c r="U1268" s="226"/>
      <c r="V1268" s="226"/>
      <c r="W1268" s="303"/>
      <c r="X1268" s="220"/>
      <c r="Z1268" s="227"/>
      <c r="AA1268" s="220"/>
      <c r="AB1268" s="221"/>
      <c r="AC1268" s="229"/>
      <c r="AD1268" s="230"/>
      <c r="AE1268" s="230"/>
      <c r="AF1268" s="230"/>
      <c r="AG1268" s="227"/>
    </row>
    <row r="1269" spans="1:33" x14ac:dyDescent="0.25">
      <c r="A1269" s="32"/>
      <c r="B1269" s="306"/>
      <c r="C1269" s="307"/>
      <c r="D1269" s="312"/>
      <c r="E1269" s="301"/>
      <c r="F1269" s="232"/>
      <c r="J1269" s="306"/>
      <c r="K1269" s="306"/>
      <c r="L1269" s="313"/>
      <c r="M1269" s="219"/>
      <c r="N1269" s="218"/>
      <c r="S1269" s="224"/>
      <c r="T1269" s="228"/>
      <c r="U1269" s="226"/>
      <c r="V1269" s="226"/>
      <c r="W1269" s="303"/>
      <c r="X1269" s="220"/>
      <c r="Z1269" s="227"/>
      <c r="AA1269" s="220"/>
      <c r="AB1269" s="221"/>
      <c r="AC1269" s="229"/>
      <c r="AD1269" s="230"/>
      <c r="AE1269" s="230"/>
      <c r="AF1269" s="230"/>
      <c r="AG1269" s="227"/>
    </row>
    <row r="1270" spans="1:33" x14ac:dyDescent="0.25">
      <c r="A1270" s="32"/>
      <c r="B1270" s="306"/>
      <c r="C1270" s="307"/>
      <c r="D1270" s="312"/>
      <c r="E1270" s="301"/>
      <c r="F1270" s="232"/>
      <c r="J1270" s="306"/>
      <c r="K1270" s="306"/>
      <c r="L1270" s="313"/>
      <c r="M1270" s="219"/>
      <c r="N1270" s="218"/>
      <c r="S1270" s="224"/>
      <c r="T1270" s="228"/>
      <c r="U1270" s="226"/>
      <c r="V1270" s="226"/>
      <c r="W1270" s="303"/>
      <c r="X1270" s="220"/>
      <c r="Z1270" s="227"/>
      <c r="AA1270" s="220"/>
      <c r="AB1270" s="221"/>
      <c r="AC1270" s="229"/>
      <c r="AD1270" s="230"/>
      <c r="AE1270" s="230"/>
      <c r="AF1270" s="230"/>
      <c r="AG1270" s="227"/>
    </row>
    <row r="1271" spans="1:33" x14ac:dyDescent="0.25">
      <c r="A1271" s="32"/>
      <c r="B1271" s="306"/>
      <c r="C1271" s="307"/>
      <c r="D1271" s="312"/>
      <c r="E1271" s="301"/>
      <c r="F1271" s="232"/>
      <c r="J1271" s="306"/>
      <c r="K1271" s="306"/>
      <c r="L1271" s="313"/>
      <c r="M1271" s="219"/>
      <c r="N1271" s="218"/>
      <c r="S1271" s="224"/>
      <c r="T1271" s="228"/>
      <c r="U1271" s="226"/>
      <c r="V1271" s="226"/>
      <c r="W1271" s="303"/>
      <c r="X1271" s="220"/>
      <c r="Z1271" s="227"/>
      <c r="AA1271" s="220"/>
      <c r="AB1271" s="221"/>
      <c r="AC1271" s="229"/>
      <c r="AD1271" s="230"/>
      <c r="AE1271" s="230"/>
      <c r="AF1271" s="230"/>
      <c r="AG1271" s="227"/>
    </row>
    <row r="1272" spans="1:33" x14ac:dyDescent="0.25">
      <c r="A1272" s="32"/>
      <c r="B1272" s="306"/>
      <c r="C1272" s="307"/>
      <c r="D1272" s="312"/>
      <c r="E1272" s="301"/>
      <c r="F1272" s="232"/>
      <c r="J1272" s="306"/>
      <c r="K1272" s="306"/>
      <c r="L1272" s="313"/>
      <c r="M1272" s="219"/>
      <c r="N1272" s="218"/>
      <c r="S1272" s="224"/>
      <c r="T1272" s="228"/>
      <c r="U1272" s="226"/>
      <c r="V1272" s="226"/>
      <c r="W1272" s="303"/>
      <c r="X1272" s="220"/>
      <c r="Z1272" s="227"/>
      <c r="AA1272" s="220"/>
      <c r="AB1272" s="221"/>
      <c r="AC1272" s="229"/>
      <c r="AD1272" s="230"/>
      <c r="AE1272" s="230"/>
      <c r="AF1272" s="230"/>
      <c r="AG1272" s="227"/>
    </row>
    <row r="1273" spans="1:33" x14ac:dyDescent="0.25">
      <c r="A1273" s="32"/>
      <c r="B1273" s="306"/>
      <c r="C1273" s="307"/>
      <c r="D1273" s="312"/>
      <c r="E1273" s="301"/>
      <c r="F1273" s="232"/>
      <c r="J1273" s="306"/>
      <c r="K1273" s="306"/>
      <c r="L1273" s="313"/>
      <c r="M1273" s="219"/>
      <c r="N1273" s="218"/>
      <c r="S1273" s="224"/>
      <c r="T1273" s="228"/>
      <c r="U1273" s="226"/>
      <c r="V1273" s="226"/>
      <c r="W1273" s="303"/>
      <c r="X1273" s="220"/>
      <c r="Z1273" s="227"/>
      <c r="AA1273" s="220"/>
      <c r="AB1273" s="221"/>
      <c r="AC1273" s="229"/>
      <c r="AD1273" s="230"/>
      <c r="AE1273" s="230"/>
      <c r="AF1273" s="230"/>
      <c r="AG1273" s="227"/>
    </row>
    <row r="1274" spans="1:33" x14ac:dyDescent="0.25">
      <c r="A1274" s="32"/>
      <c r="B1274" s="306"/>
      <c r="C1274" s="307"/>
      <c r="D1274" s="312"/>
      <c r="E1274" s="301"/>
      <c r="F1274" s="232"/>
      <c r="J1274" s="306"/>
      <c r="K1274" s="306"/>
      <c r="L1274" s="313"/>
      <c r="M1274" s="219"/>
      <c r="N1274" s="218"/>
      <c r="S1274" s="224"/>
      <c r="T1274" s="228"/>
      <c r="U1274" s="226"/>
      <c r="V1274" s="226"/>
      <c r="W1274" s="303"/>
      <c r="X1274" s="220"/>
      <c r="Z1274" s="227"/>
      <c r="AA1274" s="220"/>
      <c r="AB1274" s="221"/>
      <c r="AC1274" s="229"/>
      <c r="AD1274" s="230"/>
      <c r="AE1274" s="230"/>
      <c r="AF1274" s="230"/>
      <c r="AG1274" s="227"/>
    </row>
    <row r="1275" spans="1:33" x14ac:dyDescent="0.25">
      <c r="A1275" s="32"/>
      <c r="B1275" s="306"/>
      <c r="C1275" s="307"/>
      <c r="D1275" s="312"/>
      <c r="E1275" s="301"/>
      <c r="F1275" s="232"/>
      <c r="J1275" s="306"/>
      <c r="K1275" s="306"/>
      <c r="L1275" s="313"/>
      <c r="M1275" s="219"/>
      <c r="N1275" s="218"/>
      <c r="S1275" s="224"/>
      <c r="T1275" s="228"/>
      <c r="U1275" s="226"/>
      <c r="V1275" s="226"/>
      <c r="W1275" s="303"/>
      <c r="X1275" s="220"/>
      <c r="Z1275" s="227"/>
      <c r="AA1275" s="220"/>
      <c r="AB1275" s="221"/>
      <c r="AC1275" s="229"/>
      <c r="AD1275" s="230"/>
      <c r="AE1275" s="230"/>
      <c r="AF1275" s="230"/>
      <c r="AG1275" s="227"/>
    </row>
    <row r="1276" spans="1:33" x14ac:dyDescent="0.25">
      <c r="A1276" s="32"/>
      <c r="B1276" s="306"/>
      <c r="C1276" s="307"/>
      <c r="D1276" s="312"/>
      <c r="E1276" s="301"/>
      <c r="F1276" s="232"/>
      <c r="J1276" s="306"/>
      <c r="K1276" s="306"/>
      <c r="L1276" s="313"/>
      <c r="M1276" s="219"/>
      <c r="N1276" s="218"/>
      <c r="S1276" s="224"/>
      <c r="T1276" s="228"/>
      <c r="U1276" s="226"/>
      <c r="V1276" s="226"/>
      <c r="W1276" s="303"/>
      <c r="X1276" s="220"/>
      <c r="Z1276" s="227"/>
      <c r="AA1276" s="220"/>
      <c r="AB1276" s="221"/>
      <c r="AC1276" s="229"/>
      <c r="AD1276" s="230"/>
      <c r="AE1276" s="230"/>
      <c r="AF1276" s="230"/>
      <c r="AG1276" s="227"/>
    </row>
    <row r="1277" spans="1:33" x14ac:dyDescent="0.25">
      <c r="A1277" s="32"/>
      <c r="B1277" s="306"/>
      <c r="C1277" s="307"/>
      <c r="D1277" s="312"/>
      <c r="E1277" s="301"/>
      <c r="F1277" s="232"/>
      <c r="J1277" s="306"/>
      <c r="K1277" s="306"/>
      <c r="L1277" s="313"/>
      <c r="M1277" s="219"/>
      <c r="N1277" s="218"/>
      <c r="S1277" s="224"/>
      <c r="T1277" s="228"/>
      <c r="U1277" s="226"/>
      <c r="V1277" s="226"/>
      <c r="W1277" s="303"/>
      <c r="X1277" s="220"/>
      <c r="Z1277" s="227"/>
      <c r="AA1277" s="220"/>
      <c r="AB1277" s="221"/>
      <c r="AC1277" s="229"/>
      <c r="AD1277" s="230"/>
      <c r="AE1277" s="230"/>
      <c r="AF1277" s="230"/>
      <c r="AG1277" s="227"/>
    </row>
    <row r="1278" spans="1:33" x14ac:dyDescent="0.25">
      <c r="A1278" s="32"/>
      <c r="B1278" s="306"/>
      <c r="C1278" s="307"/>
      <c r="D1278" s="312"/>
      <c r="E1278" s="301"/>
      <c r="F1278" s="232"/>
      <c r="J1278" s="306"/>
      <c r="K1278" s="306"/>
      <c r="L1278" s="313"/>
      <c r="M1278" s="219"/>
      <c r="N1278" s="218"/>
      <c r="S1278" s="224"/>
      <c r="T1278" s="228"/>
      <c r="U1278" s="226"/>
      <c r="V1278" s="226"/>
      <c r="W1278" s="303"/>
      <c r="X1278" s="220"/>
      <c r="Z1278" s="227"/>
      <c r="AA1278" s="220"/>
      <c r="AB1278" s="221"/>
      <c r="AC1278" s="229"/>
      <c r="AD1278" s="230"/>
      <c r="AE1278" s="230"/>
      <c r="AF1278" s="230"/>
      <c r="AG1278" s="227"/>
    </row>
    <row r="1279" spans="1:33" x14ac:dyDescent="0.25">
      <c r="A1279" s="32"/>
      <c r="B1279" s="306"/>
      <c r="C1279" s="307"/>
      <c r="D1279" s="312"/>
      <c r="E1279" s="301"/>
      <c r="F1279" s="232"/>
      <c r="J1279" s="306"/>
      <c r="K1279" s="306"/>
      <c r="L1279" s="313"/>
      <c r="M1279" s="219"/>
      <c r="N1279" s="218"/>
      <c r="S1279" s="224"/>
      <c r="T1279" s="228"/>
      <c r="U1279" s="226"/>
      <c r="V1279" s="226"/>
      <c r="W1279" s="303"/>
      <c r="X1279" s="220"/>
      <c r="Z1279" s="227"/>
      <c r="AA1279" s="220"/>
      <c r="AB1279" s="221"/>
      <c r="AC1279" s="229"/>
      <c r="AD1279" s="230"/>
      <c r="AE1279" s="230"/>
      <c r="AF1279" s="230"/>
      <c r="AG1279" s="227"/>
    </row>
    <row r="1280" spans="1:33" x14ac:dyDescent="0.25">
      <c r="A1280" s="32"/>
      <c r="B1280" s="306"/>
      <c r="C1280" s="307"/>
      <c r="D1280" s="312"/>
      <c r="E1280" s="301"/>
      <c r="F1280" s="232"/>
      <c r="J1280" s="306"/>
      <c r="K1280" s="306"/>
      <c r="L1280" s="313"/>
      <c r="M1280" s="219"/>
      <c r="N1280" s="218"/>
      <c r="S1280" s="224"/>
      <c r="T1280" s="228"/>
      <c r="U1280" s="226"/>
      <c r="V1280" s="226"/>
      <c r="W1280" s="303"/>
      <c r="X1280" s="220"/>
      <c r="Z1280" s="227"/>
      <c r="AA1280" s="220"/>
      <c r="AB1280" s="221"/>
      <c r="AC1280" s="229"/>
      <c r="AD1280" s="230"/>
      <c r="AE1280" s="230"/>
      <c r="AF1280" s="230"/>
      <c r="AG1280" s="227"/>
    </row>
    <row r="1281" spans="1:33" x14ac:dyDescent="0.25">
      <c r="A1281" s="32"/>
      <c r="B1281" s="306"/>
      <c r="C1281" s="307"/>
      <c r="D1281" s="312"/>
      <c r="E1281" s="301"/>
      <c r="F1281" s="232"/>
      <c r="J1281" s="306"/>
      <c r="K1281" s="306"/>
      <c r="L1281" s="313"/>
      <c r="M1281" s="219"/>
      <c r="N1281" s="218"/>
      <c r="S1281" s="224"/>
      <c r="T1281" s="228"/>
      <c r="U1281" s="226"/>
      <c r="V1281" s="226"/>
      <c r="W1281" s="303"/>
      <c r="X1281" s="220"/>
      <c r="Z1281" s="227"/>
      <c r="AA1281" s="220"/>
      <c r="AB1281" s="221"/>
      <c r="AC1281" s="229"/>
      <c r="AD1281" s="230"/>
      <c r="AE1281" s="230"/>
      <c r="AF1281" s="230"/>
      <c r="AG1281" s="227"/>
    </row>
    <row r="1282" spans="1:33" x14ac:dyDescent="0.25">
      <c r="A1282" s="32"/>
      <c r="B1282" s="306"/>
      <c r="C1282" s="307"/>
      <c r="D1282" s="312"/>
      <c r="E1282" s="301"/>
      <c r="F1282" s="232"/>
      <c r="J1282" s="306"/>
      <c r="K1282" s="306"/>
      <c r="L1282" s="313"/>
      <c r="M1282" s="219"/>
      <c r="N1282" s="218"/>
      <c r="S1282" s="224"/>
      <c r="T1282" s="228"/>
      <c r="U1282" s="226"/>
      <c r="V1282" s="226"/>
      <c r="W1282" s="303"/>
      <c r="X1282" s="220"/>
      <c r="Z1282" s="227"/>
      <c r="AA1282" s="220"/>
      <c r="AB1282" s="221"/>
      <c r="AC1282" s="229"/>
      <c r="AD1282" s="230"/>
      <c r="AE1282" s="230"/>
      <c r="AF1282" s="230"/>
      <c r="AG1282" s="227"/>
    </row>
    <row r="1283" spans="1:33" x14ac:dyDescent="0.25">
      <c r="A1283" s="32"/>
      <c r="B1283" s="306"/>
      <c r="C1283" s="307"/>
      <c r="D1283" s="312"/>
      <c r="E1283" s="301"/>
      <c r="F1283" s="232"/>
      <c r="J1283" s="306"/>
      <c r="K1283" s="306"/>
      <c r="L1283" s="313"/>
      <c r="M1283" s="219"/>
      <c r="N1283" s="218"/>
      <c r="S1283" s="224"/>
      <c r="T1283" s="228"/>
      <c r="U1283" s="226"/>
      <c r="V1283" s="226"/>
      <c r="W1283" s="303"/>
      <c r="X1283" s="220"/>
      <c r="Z1283" s="227"/>
      <c r="AA1283" s="220"/>
      <c r="AB1283" s="221"/>
      <c r="AC1283" s="229"/>
      <c r="AD1283" s="230"/>
      <c r="AE1283" s="230"/>
      <c r="AF1283" s="230"/>
      <c r="AG1283" s="227"/>
    </row>
    <row r="1284" spans="1:33" x14ac:dyDescent="0.25">
      <c r="A1284" s="32"/>
      <c r="B1284" s="306"/>
      <c r="C1284" s="307"/>
      <c r="D1284" s="312"/>
      <c r="E1284" s="301"/>
      <c r="F1284" s="232"/>
      <c r="J1284" s="306"/>
      <c r="K1284" s="306"/>
      <c r="L1284" s="313"/>
      <c r="M1284" s="219"/>
      <c r="N1284" s="218"/>
      <c r="S1284" s="224"/>
      <c r="T1284" s="228"/>
      <c r="U1284" s="226"/>
      <c r="V1284" s="226"/>
      <c r="W1284" s="303"/>
      <c r="X1284" s="220"/>
      <c r="Z1284" s="227"/>
      <c r="AA1284" s="220"/>
      <c r="AB1284" s="221"/>
      <c r="AC1284" s="229"/>
      <c r="AD1284" s="230"/>
      <c r="AE1284" s="230"/>
      <c r="AF1284" s="230"/>
      <c r="AG1284" s="227"/>
    </row>
    <row r="1285" spans="1:33" x14ac:dyDescent="0.25">
      <c r="A1285" s="32"/>
      <c r="B1285" s="306"/>
      <c r="C1285" s="307"/>
      <c r="D1285" s="312"/>
      <c r="E1285" s="301"/>
      <c r="F1285" s="232"/>
      <c r="J1285" s="306"/>
      <c r="K1285" s="306"/>
      <c r="L1285" s="313"/>
      <c r="M1285" s="219"/>
      <c r="N1285" s="218"/>
      <c r="S1285" s="224"/>
      <c r="T1285" s="228"/>
      <c r="U1285" s="226"/>
      <c r="V1285" s="226"/>
      <c r="W1285" s="303"/>
      <c r="X1285" s="220"/>
      <c r="Z1285" s="227"/>
      <c r="AA1285" s="220"/>
      <c r="AB1285" s="221"/>
      <c r="AC1285" s="229"/>
      <c r="AD1285" s="230"/>
      <c r="AE1285" s="230"/>
      <c r="AF1285" s="230"/>
      <c r="AG1285" s="227"/>
    </row>
    <row r="1286" spans="1:33" x14ac:dyDescent="0.25">
      <c r="A1286" s="32"/>
      <c r="B1286" s="306"/>
      <c r="C1286" s="307"/>
      <c r="D1286" s="312"/>
      <c r="E1286" s="301"/>
      <c r="F1286" s="232"/>
      <c r="J1286" s="306"/>
      <c r="K1286" s="306"/>
      <c r="L1286" s="313"/>
      <c r="M1286" s="219"/>
      <c r="N1286" s="218"/>
      <c r="S1286" s="224"/>
      <c r="T1286" s="228"/>
      <c r="U1286" s="226"/>
      <c r="V1286" s="226"/>
      <c r="W1286" s="303"/>
      <c r="X1286" s="220"/>
      <c r="Z1286" s="227"/>
      <c r="AA1286" s="220"/>
      <c r="AB1286" s="221"/>
      <c r="AC1286" s="229"/>
      <c r="AD1286" s="230"/>
      <c r="AE1286" s="230"/>
      <c r="AF1286" s="230"/>
      <c r="AG1286" s="227"/>
    </row>
    <row r="1287" spans="1:33" x14ac:dyDescent="0.25">
      <c r="A1287" s="32"/>
      <c r="B1287" s="306"/>
      <c r="C1287" s="307"/>
      <c r="D1287" s="312"/>
      <c r="E1287" s="301"/>
      <c r="F1287" s="232"/>
      <c r="J1287" s="306"/>
      <c r="K1287" s="306"/>
      <c r="L1287" s="313"/>
      <c r="M1287" s="219"/>
      <c r="N1287" s="218"/>
      <c r="S1287" s="224"/>
      <c r="T1287" s="228"/>
      <c r="U1287" s="226"/>
      <c r="V1287" s="226"/>
      <c r="W1287" s="303"/>
      <c r="X1287" s="220"/>
      <c r="Z1287" s="227"/>
      <c r="AA1287" s="220"/>
      <c r="AB1287" s="221"/>
      <c r="AC1287" s="229"/>
      <c r="AD1287" s="230"/>
      <c r="AE1287" s="230"/>
      <c r="AF1287" s="230"/>
      <c r="AG1287" s="227"/>
    </row>
    <row r="1288" spans="1:33" x14ac:dyDescent="0.25">
      <c r="A1288" s="32"/>
      <c r="B1288" s="306"/>
      <c r="C1288" s="307"/>
      <c r="D1288" s="312"/>
      <c r="E1288" s="301"/>
      <c r="F1288" s="232"/>
      <c r="J1288" s="306"/>
      <c r="K1288" s="306"/>
      <c r="L1288" s="313"/>
      <c r="M1288" s="219"/>
      <c r="N1288" s="218"/>
      <c r="S1288" s="224"/>
      <c r="T1288" s="228"/>
      <c r="U1288" s="226"/>
      <c r="V1288" s="226"/>
      <c r="W1288" s="303"/>
      <c r="X1288" s="220"/>
      <c r="Z1288" s="227"/>
      <c r="AA1288" s="220"/>
      <c r="AB1288" s="221"/>
      <c r="AC1288" s="229"/>
      <c r="AD1288" s="230"/>
      <c r="AE1288" s="230"/>
      <c r="AF1288" s="230"/>
      <c r="AG1288" s="227"/>
    </row>
    <row r="1289" spans="1:33" x14ac:dyDescent="0.25">
      <c r="A1289" s="32"/>
      <c r="B1289" s="306"/>
      <c r="C1289" s="307"/>
      <c r="D1289" s="312"/>
      <c r="E1289" s="301"/>
      <c r="F1289" s="232"/>
      <c r="J1289" s="306"/>
      <c r="K1289" s="306"/>
      <c r="L1289" s="313"/>
      <c r="M1289" s="219"/>
      <c r="N1289" s="218"/>
      <c r="S1289" s="224"/>
      <c r="T1289" s="228"/>
      <c r="U1289" s="226"/>
      <c r="V1289" s="226"/>
      <c r="W1289" s="303"/>
      <c r="X1289" s="220"/>
      <c r="Z1289" s="227"/>
      <c r="AA1289" s="220"/>
      <c r="AB1289" s="221"/>
      <c r="AC1289" s="229"/>
      <c r="AD1289" s="230"/>
      <c r="AE1289" s="230"/>
      <c r="AF1289" s="230"/>
      <c r="AG1289" s="227"/>
    </row>
    <row r="1290" spans="1:33" x14ac:dyDescent="0.25">
      <c r="A1290" s="32"/>
      <c r="B1290" s="306"/>
      <c r="C1290" s="307"/>
      <c r="D1290" s="312"/>
      <c r="E1290" s="301"/>
      <c r="F1290" s="232"/>
      <c r="J1290" s="306"/>
      <c r="K1290" s="306"/>
      <c r="L1290" s="313"/>
      <c r="M1290" s="219"/>
      <c r="N1290" s="218"/>
      <c r="S1290" s="224"/>
      <c r="T1290" s="228"/>
      <c r="U1290" s="226"/>
      <c r="V1290" s="226"/>
      <c r="W1290" s="303"/>
      <c r="X1290" s="220"/>
      <c r="Z1290" s="227"/>
      <c r="AA1290" s="220"/>
      <c r="AB1290" s="221"/>
      <c r="AC1290" s="229"/>
      <c r="AD1290" s="230"/>
      <c r="AE1290" s="230"/>
      <c r="AF1290" s="230"/>
      <c r="AG1290" s="227"/>
    </row>
    <row r="1291" spans="1:33" x14ac:dyDescent="0.25">
      <c r="A1291" s="32"/>
      <c r="B1291" s="306"/>
      <c r="C1291" s="307"/>
      <c r="D1291" s="312"/>
      <c r="E1291" s="301"/>
      <c r="F1291" s="232"/>
      <c r="J1291" s="306"/>
      <c r="K1291" s="306"/>
      <c r="L1291" s="313"/>
      <c r="M1291" s="219"/>
      <c r="N1291" s="218"/>
      <c r="S1291" s="224"/>
      <c r="T1291" s="228"/>
      <c r="U1291" s="226"/>
      <c r="V1291" s="226"/>
      <c r="W1291" s="303"/>
      <c r="X1291" s="220"/>
      <c r="Z1291" s="227"/>
      <c r="AA1291" s="220"/>
      <c r="AB1291" s="221"/>
      <c r="AC1291" s="229"/>
      <c r="AD1291" s="230"/>
      <c r="AE1291" s="230"/>
      <c r="AF1291" s="230"/>
      <c r="AG1291" s="227"/>
    </row>
    <row r="1292" spans="1:33" x14ac:dyDescent="0.25">
      <c r="A1292" s="32"/>
      <c r="B1292" s="306"/>
      <c r="C1292" s="307"/>
      <c r="D1292" s="312"/>
      <c r="E1292" s="301"/>
      <c r="F1292" s="232"/>
      <c r="J1292" s="306"/>
      <c r="K1292" s="306"/>
      <c r="L1292" s="313"/>
      <c r="M1292" s="219"/>
      <c r="N1292" s="218"/>
      <c r="S1292" s="224"/>
      <c r="T1292" s="228"/>
      <c r="U1292" s="226"/>
      <c r="V1292" s="226"/>
      <c r="W1292" s="303"/>
      <c r="X1292" s="220"/>
      <c r="Z1292" s="227"/>
      <c r="AA1292" s="220"/>
      <c r="AB1292" s="221"/>
      <c r="AC1292" s="229"/>
      <c r="AD1292" s="230"/>
      <c r="AE1292" s="230"/>
      <c r="AF1292" s="230"/>
      <c r="AG1292" s="227"/>
    </row>
    <row r="1293" spans="1:33" x14ac:dyDescent="0.25">
      <c r="A1293" s="32"/>
      <c r="B1293" s="306"/>
      <c r="C1293" s="307"/>
      <c r="D1293" s="312"/>
      <c r="E1293" s="301"/>
      <c r="F1293" s="232"/>
      <c r="J1293" s="306"/>
      <c r="K1293" s="306"/>
      <c r="L1293" s="313"/>
      <c r="M1293" s="219"/>
      <c r="N1293" s="218"/>
      <c r="S1293" s="224"/>
      <c r="T1293" s="228"/>
      <c r="U1293" s="226"/>
      <c r="V1293" s="226"/>
      <c r="W1293" s="303"/>
      <c r="X1293" s="220"/>
      <c r="Z1293" s="227"/>
      <c r="AA1293" s="220"/>
      <c r="AB1293" s="221"/>
      <c r="AC1293" s="229"/>
      <c r="AD1293" s="230"/>
      <c r="AE1293" s="230"/>
      <c r="AF1293" s="230"/>
      <c r="AG1293" s="227"/>
    </row>
    <row r="1294" spans="1:33" x14ac:dyDescent="0.25">
      <c r="A1294" s="32"/>
      <c r="B1294" s="306"/>
      <c r="C1294" s="307"/>
      <c r="D1294" s="312"/>
      <c r="E1294" s="301"/>
      <c r="F1294" s="232"/>
      <c r="J1294" s="306"/>
      <c r="K1294" s="306"/>
      <c r="L1294" s="313"/>
      <c r="M1294" s="219"/>
      <c r="N1294" s="218"/>
      <c r="S1294" s="224"/>
      <c r="T1294" s="228"/>
      <c r="U1294" s="226"/>
      <c r="V1294" s="226"/>
      <c r="W1294" s="303"/>
      <c r="X1294" s="220"/>
      <c r="Z1294" s="227"/>
      <c r="AA1294" s="220"/>
      <c r="AB1294" s="221"/>
      <c r="AC1294" s="229"/>
      <c r="AD1294" s="230"/>
      <c r="AE1294" s="230"/>
      <c r="AF1294" s="230"/>
      <c r="AG1294" s="227"/>
    </row>
    <row r="1295" spans="1:33" x14ac:dyDescent="0.25">
      <c r="A1295" s="32"/>
      <c r="B1295" s="306"/>
      <c r="C1295" s="307"/>
      <c r="D1295" s="312"/>
      <c r="E1295" s="301"/>
      <c r="F1295" s="232"/>
      <c r="J1295" s="306"/>
      <c r="K1295" s="306"/>
      <c r="L1295" s="313"/>
      <c r="M1295" s="219"/>
      <c r="N1295" s="218"/>
      <c r="S1295" s="224"/>
      <c r="T1295" s="228"/>
      <c r="U1295" s="226"/>
      <c r="V1295" s="226"/>
      <c r="W1295" s="303"/>
      <c r="X1295" s="220"/>
      <c r="Z1295" s="227"/>
      <c r="AA1295" s="220"/>
      <c r="AB1295" s="221"/>
      <c r="AC1295" s="229"/>
      <c r="AD1295" s="230"/>
      <c r="AE1295" s="230"/>
      <c r="AF1295" s="230"/>
      <c r="AG1295" s="227"/>
    </row>
    <row r="1296" spans="1:33" x14ac:dyDescent="0.25">
      <c r="A1296" s="32"/>
      <c r="B1296" s="306"/>
      <c r="C1296" s="307"/>
      <c r="D1296" s="312"/>
      <c r="E1296" s="301"/>
      <c r="F1296" s="232"/>
      <c r="J1296" s="306"/>
      <c r="K1296" s="306"/>
      <c r="L1296" s="313"/>
      <c r="M1296" s="219"/>
      <c r="N1296" s="218"/>
      <c r="S1296" s="224"/>
      <c r="T1296" s="228"/>
      <c r="U1296" s="226"/>
      <c r="V1296" s="226"/>
      <c r="W1296" s="303"/>
      <c r="X1296" s="220"/>
      <c r="Z1296" s="227"/>
      <c r="AA1296" s="220"/>
      <c r="AB1296" s="221"/>
      <c r="AC1296" s="229"/>
      <c r="AD1296" s="230"/>
      <c r="AE1296" s="230"/>
      <c r="AF1296" s="230"/>
      <c r="AG1296" s="227"/>
    </row>
    <row r="1297" spans="1:33" x14ac:dyDescent="0.25">
      <c r="A1297" s="32"/>
      <c r="B1297" s="306"/>
      <c r="C1297" s="307"/>
      <c r="D1297" s="312"/>
      <c r="E1297" s="301"/>
      <c r="F1297" s="232"/>
      <c r="J1297" s="306"/>
      <c r="K1297" s="306"/>
      <c r="L1297" s="313"/>
      <c r="M1297" s="219"/>
      <c r="N1297" s="218"/>
      <c r="S1297" s="224"/>
      <c r="T1297" s="228"/>
      <c r="U1297" s="226"/>
      <c r="V1297" s="226"/>
      <c r="W1297" s="303"/>
      <c r="X1297" s="220"/>
      <c r="Z1297" s="227"/>
      <c r="AA1297" s="220"/>
      <c r="AB1297" s="221"/>
      <c r="AC1297" s="229"/>
      <c r="AD1297" s="230"/>
      <c r="AE1297" s="230"/>
      <c r="AF1297" s="230"/>
      <c r="AG1297" s="227"/>
    </row>
    <row r="1298" spans="1:33" x14ac:dyDescent="0.25">
      <c r="A1298" s="32"/>
      <c r="B1298" s="306"/>
      <c r="C1298" s="307"/>
      <c r="D1298" s="312"/>
      <c r="E1298" s="301"/>
      <c r="F1298" s="232"/>
      <c r="J1298" s="306"/>
      <c r="K1298" s="306"/>
      <c r="L1298" s="313"/>
      <c r="M1298" s="219"/>
      <c r="N1298" s="218"/>
      <c r="S1298" s="224"/>
      <c r="T1298" s="228"/>
      <c r="U1298" s="226"/>
      <c r="V1298" s="226"/>
      <c r="W1298" s="303"/>
      <c r="X1298" s="220"/>
      <c r="Z1298" s="227"/>
      <c r="AA1298" s="220"/>
      <c r="AB1298" s="221"/>
      <c r="AC1298" s="229"/>
      <c r="AD1298" s="230"/>
      <c r="AE1298" s="230"/>
      <c r="AF1298" s="230"/>
      <c r="AG1298" s="227"/>
    </row>
    <row r="1299" spans="1:33" x14ac:dyDescent="0.25">
      <c r="A1299" s="32"/>
      <c r="B1299" s="306"/>
      <c r="C1299" s="307"/>
      <c r="D1299" s="312"/>
      <c r="E1299" s="301"/>
      <c r="F1299" s="232"/>
      <c r="J1299" s="306"/>
      <c r="K1299" s="306"/>
      <c r="L1299" s="313"/>
      <c r="M1299" s="219"/>
      <c r="N1299" s="218"/>
      <c r="S1299" s="224"/>
      <c r="T1299" s="228"/>
      <c r="U1299" s="226"/>
      <c r="V1299" s="226"/>
      <c r="W1299" s="303"/>
      <c r="X1299" s="220"/>
      <c r="Z1299" s="227"/>
      <c r="AA1299" s="220"/>
      <c r="AB1299" s="221"/>
      <c r="AC1299" s="229"/>
      <c r="AD1299" s="230"/>
      <c r="AE1299" s="230"/>
      <c r="AF1299" s="230"/>
      <c r="AG1299" s="227"/>
    </row>
    <row r="1300" spans="1:33" x14ac:dyDescent="0.25">
      <c r="A1300" s="32"/>
      <c r="B1300" s="306"/>
      <c r="C1300" s="307"/>
      <c r="D1300" s="312"/>
      <c r="E1300" s="301"/>
      <c r="F1300" s="232"/>
      <c r="J1300" s="306"/>
      <c r="K1300" s="306"/>
      <c r="L1300" s="313"/>
      <c r="M1300" s="219"/>
      <c r="N1300" s="218"/>
      <c r="S1300" s="224"/>
      <c r="T1300" s="228"/>
      <c r="U1300" s="226"/>
      <c r="V1300" s="226"/>
      <c r="W1300" s="303"/>
      <c r="X1300" s="220"/>
      <c r="Z1300" s="227"/>
      <c r="AA1300" s="220"/>
      <c r="AB1300" s="221"/>
      <c r="AC1300" s="229"/>
      <c r="AD1300" s="230"/>
      <c r="AE1300" s="230"/>
      <c r="AF1300" s="230"/>
      <c r="AG1300" s="227"/>
    </row>
    <row r="1301" spans="1:33" x14ac:dyDescent="0.25">
      <c r="A1301" s="32"/>
      <c r="B1301" s="306"/>
      <c r="C1301" s="307"/>
      <c r="D1301" s="312"/>
      <c r="E1301" s="301"/>
      <c r="F1301" s="232"/>
      <c r="J1301" s="306"/>
      <c r="K1301" s="306"/>
      <c r="L1301" s="313"/>
      <c r="M1301" s="219"/>
      <c r="N1301" s="218"/>
      <c r="S1301" s="224"/>
      <c r="T1301" s="228"/>
      <c r="U1301" s="226"/>
      <c r="V1301" s="226"/>
      <c r="W1301" s="303"/>
      <c r="X1301" s="220"/>
      <c r="Z1301" s="227"/>
      <c r="AA1301" s="220"/>
      <c r="AB1301" s="221"/>
      <c r="AC1301" s="229"/>
      <c r="AD1301" s="230"/>
      <c r="AE1301" s="230"/>
      <c r="AF1301" s="230"/>
      <c r="AG1301" s="227"/>
    </row>
    <row r="1302" spans="1:33" x14ac:dyDescent="0.25">
      <c r="A1302" s="32"/>
      <c r="B1302" s="306"/>
      <c r="C1302" s="307"/>
      <c r="D1302" s="312"/>
      <c r="E1302" s="301"/>
      <c r="F1302" s="232"/>
      <c r="J1302" s="306"/>
      <c r="K1302" s="306"/>
      <c r="L1302" s="313"/>
      <c r="M1302" s="219"/>
      <c r="N1302" s="218"/>
      <c r="S1302" s="224"/>
      <c r="T1302" s="228"/>
      <c r="U1302" s="226"/>
      <c r="V1302" s="226"/>
      <c r="W1302" s="303"/>
      <c r="X1302" s="220"/>
      <c r="Z1302" s="227"/>
      <c r="AA1302" s="220"/>
      <c r="AB1302" s="221"/>
      <c r="AC1302" s="229"/>
      <c r="AD1302" s="230"/>
      <c r="AE1302" s="230"/>
      <c r="AF1302" s="230"/>
      <c r="AG1302" s="227"/>
    </row>
    <row r="1303" spans="1:33" x14ac:dyDescent="0.25">
      <c r="A1303" s="32"/>
      <c r="B1303" s="306"/>
      <c r="C1303" s="307"/>
      <c r="D1303" s="312"/>
      <c r="E1303" s="301"/>
      <c r="F1303" s="232"/>
      <c r="J1303" s="306"/>
      <c r="K1303" s="306"/>
      <c r="L1303" s="313"/>
      <c r="M1303" s="219"/>
      <c r="N1303" s="218"/>
      <c r="S1303" s="224"/>
      <c r="T1303" s="228"/>
      <c r="U1303" s="226"/>
      <c r="V1303" s="226"/>
      <c r="W1303" s="303"/>
      <c r="X1303" s="220"/>
      <c r="Z1303" s="227"/>
      <c r="AA1303" s="220"/>
      <c r="AB1303" s="221"/>
      <c r="AC1303" s="229"/>
      <c r="AD1303" s="230"/>
      <c r="AE1303" s="230"/>
      <c r="AF1303" s="230"/>
      <c r="AG1303" s="227"/>
    </row>
    <row r="1304" spans="1:33" x14ac:dyDescent="0.25">
      <c r="A1304" s="32"/>
      <c r="B1304" s="306"/>
      <c r="C1304" s="307"/>
      <c r="D1304" s="312"/>
      <c r="E1304" s="301"/>
      <c r="F1304" s="232"/>
      <c r="J1304" s="306"/>
      <c r="K1304" s="306"/>
      <c r="L1304" s="313"/>
      <c r="M1304" s="219"/>
      <c r="N1304" s="218"/>
      <c r="S1304" s="224"/>
      <c r="T1304" s="228"/>
      <c r="U1304" s="226"/>
      <c r="V1304" s="226"/>
      <c r="W1304" s="303"/>
      <c r="X1304" s="220"/>
      <c r="Z1304" s="227"/>
      <c r="AA1304" s="220"/>
      <c r="AB1304" s="221"/>
      <c r="AC1304" s="229"/>
      <c r="AD1304" s="230"/>
      <c r="AE1304" s="230"/>
      <c r="AF1304" s="230"/>
      <c r="AG1304" s="227"/>
    </row>
    <row r="1305" spans="1:33" x14ac:dyDescent="0.25">
      <c r="A1305" s="32"/>
      <c r="B1305" s="306"/>
      <c r="C1305" s="307"/>
      <c r="D1305" s="312"/>
      <c r="E1305" s="301"/>
      <c r="F1305" s="232"/>
      <c r="J1305" s="306"/>
      <c r="K1305" s="306"/>
      <c r="L1305" s="313"/>
      <c r="M1305" s="219"/>
      <c r="N1305" s="218"/>
      <c r="S1305" s="224"/>
      <c r="T1305" s="228"/>
      <c r="U1305" s="226"/>
      <c r="V1305" s="226"/>
      <c r="W1305" s="303"/>
      <c r="X1305" s="220"/>
      <c r="Z1305" s="227"/>
      <c r="AA1305" s="220"/>
      <c r="AB1305" s="221"/>
      <c r="AC1305" s="229"/>
      <c r="AD1305" s="230"/>
      <c r="AE1305" s="230"/>
      <c r="AF1305" s="230"/>
      <c r="AG1305" s="227"/>
    </row>
    <row r="1306" spans="1:33" x14ac:dyDescent="0.25">
      <c r="A1306" s="32"/>
      <c r="B1306" s="306"/>
      <c r="C1306" s="307"/>
      <c r="D1306" s="312"/>
      <c r="E1306" s="301"/>
      <c r="F1306" s="232"/>
      <c r="J1306" s="306"/>
      <c r="K1306" s="306"/>
      <c r="L1306" s="313"/>
      <c r="M1306" s="219"/>
      <c r="N1306" s="218"/>
      <c r="S1306" s="224"/>
      <c r="T1306" s="228"/>
      <c r="U1306" s="226"/>
      <c r="V1306" s="226"/>
      <c r="W1306" s="303"/>
      <c r="X1306" s="220"/>
      <c r="Z1306" s="227"/>
      <c r="AA1306" s="220"/>
      <c r="AB1306" s="221"/>
      <c r="AC1306" s="229"/>
      <c r="AD1306" s="230"/>
      <c r="AE1306" s="230"/>
      <c r="AF1306" s="230"/>
      <c r="AG1306" s="227"/>
    </row>
    <row r="1307" spans="1:33" x14ac:dyDescent="0.25">
      <c r="A1307" s="32"/>
      <c r="B1307" s="306"/>
      <c r="C1307" s="307"/>
      <c r="D1307" s="312"/>
      <c r="E1307" s="301"/>
      <c r="F1307" s="232"/>
      <c r="J1307" s="306"/>
      <c r="K1307" s="306"/>
      <c r="L1307" s="313"/>
      <c r="M1307" s="219"/>
      <c r="N1307" s="218"/>
      <c r="S1307" s="224"/>
      <c r="T1307" s="228"/>
      <c r="U1307" s="226"/>
      <c r="V1307" s="226"/>
      <c r="W1307" s="303"/>
      <c r="X1307" s="220"/>
      <c r="Z1307" s="227"/>
      <c r="AA1307" s="220"/>
      <c r="AB1307" s="221"/>
      <c r="AC1307" s="229"/>
      <c r="AD1307" s="230"/>
      <c r="AE1307" s="230"/>
      <c r="AF1307" s="230"/>
      <c r="AG1307" s="227"/>
    </row>
    <row r="1308" spans="1:33" x14ac:dyDescent="0.25">
      <c r="A1308" s="32"/>
      <c r="B1308" s="306"/>
      <c r="C1308" s="307"/>
      <c r="D1308" s="312"/>
      <c r="E1308" s="301"/>
      <c r="F1308" s="232"/>
      <c r="J1308" s="306"/>
      <c r="K1308" s="306"/>
      <c r="L1308" s="313"/>
      <c r="M1308" s="219"/>
      <c r="N1308" s="218"/>
      <c r="S1308" s="224"/>
      <c r="T1308" s="228"/>
      <c r="U1308" s="226"/>
      <c r="V1308" s="226"/>
      <c r="W1308" s="303"/>
      <c r="X1308" s="220"/>
      <c r="Z1308" s="227"/>
      <c r="AA1308" s="220"/>
      <c r="AB1308" s="221"/>
      <c r="AC1308" s="229"/>
      <c r="AD1308" s="230"/>
      <c r="AE1308" s="230"/>
      <c r="AF1308" s="230"/>
      <c r="AG1308" s="227"/>
    </row>
    <row r="1309" spans="1:33" x14ac:dyDescent="0.25">
      <c r="A1309" s="32"/>
      <c r="B1309" s="306"/>
      <c r="C1309" s="307"/>
      <c r="D1309" s="312"/>
      <c r="E1309" s="301"/>
      <c r="F1309" s="232"/>
      <c r="J1309" s="306"/>
      <c r="K1309" s="306"/>
      <c r="L1309" s="313"/>
      <c r="M1309" s="219"/>
      <c r="N1309" s="218"/>
      <c r="S1309" s="224"/>
      <c r="T1309" s="228"/>
      <c r="U1309" s="226"/>
      <c r="V1309" s="226"/>
      <c r="W1309" s="303"/>
      <c r="X1309" s="220"/>
      <c r="Z1309" s="227"/>
      <c r="AA1309" s="220"/>
      <c r="AB1309" s="221"/>
      <c r="AC1309" s="229"/>
      <c r="AD1309" s="230"/>
      <c r="AE1309" s="230"/>
      <c r="AF1309" s="230"/>
      <c r="AG1309" s="227"/>
    </row>
    <row r="1310" spans="1:33" x14ac:dyDescent="0.25">
      <c r="A1310" s="32"/>
      <c r="B1310" s="306"/>
      <c r="C1310" s="307"/>
      <c r="D1310" s="312"/>
      <c r="E1310" s="301"/>
      <c r="F1310" s="232"/>
      <c r="J1310" s="306"/>
      <c r="K1310" s="306"/>
      <c r="L1310" s="313"/>
      <c r="M1310" s="219"/>
      <c r="N1310" s="218"/>
      <c r="S1310" s="224"/>
      <c r="T1310" s="228"/>
      <c r="U1310" s="226"/>
      <c r="V1310" s="226"/>
      <c r="W1310" s="303"/>
      <c r="X1310" s="220"/>
      <c r="Z1310" s="227"/>
      <c r="AA1310" s="220"/>
      <c r="AB1310" s="221"/>
      <c r="AC1310" s="229"/>
      <c r="AD1310" s="230"/>
      <c r="AE1310" s="230"/>
      <c r="AF1310" s="230"/>
      <c r="AG1310" s="227"/>
    </row>
    <row r="1311" spans="1:33" x14ac:dyDescent="0.25">
      <c r="A1311" s="32"/>
      <c r="B1311" s="306"/>
      <c r="C1311" s="307"/>
      <c r="D1311" s="312"/>
      <c r="E1311" s="301"/>
      <c r="F1311" s="232"/>
      <c r="J1311" s="306"/>
      <c r="K1311" s="306"/>
      <c r="L1311" s="313"/>
      <c r="M1311" s="219"/>
      <c r="N1311" s="218"/>
      <c r="S1311" s="224"/>
      <c r="T1311" s="228"/>
      <c r="U1311" s="226"/>
      <c r="V1311" s="226"/>
      <c r="W1311" s="303"/>
      <c r="X1311" s="220"/>
      <c r="Z1311" s="227"/>
      <c r="AA1311" s="220"/>
      <c r="AB1311" s="221"/>
      <c r="AC1311" s="229"/>
      <c r="AD1311" s="230"/>
      <c r="AE1311" s="230"/>
      <c r="AF1311" s="230"/>
      <c r="AG1311" s="227"/>
    </row>
    <row r="1312" spans="1:33" x14ac:dyDescent="0.25">
      <c r="A1312" s="32"/>
      <c r="B1312" s="306"/>
      <c r="C1312" s="307"/>
      <c r="D1312" s="312"/>
      <c r="E1312" s="301"/>
      <c r="F1312" s="232"/>
      <c r="J1312" s="306"/>
      <c r="K1312" s="306"/>
      <c r="L1312" s="313"/>
      <c r="M1312" s="219"/>
      <c r="N1312" s="218"/>
      <c r="S1312" s="224"/>
      <c r="T1312" s="228"/>
      <c r="U1312" s="226"/>
      <c r="V1312" s="226"/>
      <c r="W1312" s="303"/>
      <c r="X1312" s="220"/>
      <c r="Z1312" s="227"/>
      <c r="AA1312" s="220"/>
      <c r="AB1312" s="221"/>
      <c r="AC1312" s="229"/>
      <c r="AD1312" s="230"/>
      <c r="AE1312" s="230"/>
      <c r="AF1312" s="230"/>
      <c r="AG1312" s="227"/>
    </row>
    <row r="1313" spans="1:33" x14ac:dyDescent="0.25">
      <c r="A1313" s="32"/>
      <c r="B1313" s="306"/>
      <c r="C1313" s="307"/>
      <c r="D1313" s="312"/>
      <c r="E1313" s="301"/>
      <c r="F1313" s="232"/>
      <c r="J1313" s="306"/>
      <c r="K1313" s="306"/>
      <c r="L1313" s="313"/>
      <c r="M1313" s="219"/>
      <c r="N1313" s="218"/>
      <c r="S1313" s="224"/>
      <c r="T1313" s="228"/>
      <c r="U1313" s="226"/>
      <c r="V1313" s="226"/>
      <c r="W1313" s="303"/>
      <c r="X1313" s="220"/>
      <c r="Z1313" s="227"/>
      <c r="AA1313" s="220"/>
      <c r="AB1313" s="221"/>
      <c r="AC1313" s="229"/>
      <c r="AD1313" s="230"/>
      <c r="AE1313" s="230"/>
      <c r="AF1313" s="230"/>
      <c r="AG1313" s="227"/>
    </row>
    <row r="1314" spans="1:33" x14ac:dyDescent="0.25">
      <c r="A1314" s="32"/>
      <c r="B1314" s="306"/>
      <c r="C1314" s="307"/>
      <c r="D1314" s="312"/>
      <c r="E1314" s="301"/>
      <c r="F1314" s="232"/>
      <c r="J1314" s="306"/>
      <c r="K1314" s="306"/>
      <c r="L1314" s="313"/>
      <c r="M1314" s="219"/>
      <c r="N1314" s="218"/>
      <c r="S1314" s="224"/>
      <c r="T1314" s="228"/>
      <c r="U1314" s="226"/>
      <c r="V1314" s="226"/>
      <c r="W1314" s="303"/>
      <c r="X1314" s="220"/>
      <c r="Z1314" s="227"/>
      <c r="AA1314" s="220"/>
      <c r="AB1314" s="221"/>
      <c r="AC1314" s="229"/>
      <c r="AD1314" s="230"/>
      <c r="AE1314" s="230"/>
      <c r="AF1314" s="230"/>
      <c r="AG1314" s="227"/>
    </row>
    <row r="1315" spans="1:33" x14ac:dyDescent="0.25">
      <c r="A1315" s="32"/>
      <c r="B1315" s="306"/>
      <c r="C1315" s="307"/>
      <c r="D1315" s="312"/>
      <c r="E1315" s="301"/>
      <c r="F1315" s="232"/>
      <c r="J1315" s="306"/>
      <c r="K1315" s="306"/>
      <c r="L1315" s="313"/>
      <c r="M1315" s="219"/>
      <c r="N1315" s="218"/>
      <c r="S1315" s="224"/>
      <c r="T1315" s="228"/>
      <c r="U1315" s="226"/>
      <c r="V1315" s="226"/>
      <c r="W1315" s="303"/>
      <c r="X1315" s="220"/>
      <c r="Z1315" s="227"/>
      <c r="AA1315" s="220"/>
      <c r="AB1315" s="221"/>
      <c r="AC1315" s="229"/>
      <c r="AD1315" s="230"/>
      <c r="AE1315" s="230"/>
      <c r="AF1315" s="230"/>
      <c r="AG1315" s="227"/>
    </row>
    <row r="1316" spans="1:33" x14ac:dyDescent="0.25">
      <c r="A1316" s="32"/>
      <c r="B1316" s="306"/>
      <c r="C1316" s="307"/>
      <c r="D1316" s="312"/>
      <c r="E1316" s="301"/>
      <c r="F1316" s="232"/>
      <c r="J1316" s="306"/>
      <c r="K1316" s="306"/>
      <c r="L1316" s="313"/>
      <c r="M1316" s="219"/>
      <c r="N1316" s="218"/>
      <c r="S1316" s="224"/>
      <c r="T1316" s="228"/>
      <c r="U1316" s="226"/>
      <c r="V1316" s="226"/>
      <c r="W1316" s="303"/>
      <c r="X1316" s="220"/>
      <c r="Z1316" s="227"/>
      <c r="AA1316" s="220"/>
      <c r="AB1316" s="221"/>
      <c r="AC1316" s="229"/>
      <c r="AD1316" s="230"/>
      <c r="AE1316" s="230"/>
      <c r="AF1316" s="230"/>
      <c r="AG1316" s="227"/>
    </row>
    <row r="1317" spans="1:33" x14ac:dyDescent="0.25">
      <c r="A1317" s="32"/>
      <c r="B1317" s="306"/>
      <c r="C1317" s="307"/>
      <c r="D1317" s="312"/>
      <c r="E1317" s="301"/>
      <c r="F1317" s="232"/>
      <c r="J1317" s="306"/>
      <c r="K1317" s="306"/>
      <c r="L1317" s="313"/>
      <c r="M1317" s="219"/>
      <c r="N1317" s="218"/>
      <c r="S1317" s="224"/>
      <c r="T1317" s="228"/>
      <c r="U1317" s="226"/>
      <c r="V1317" s="226"/>
      <c r="W1317" s="303"/>
      <c r="X1317" s="220"/>
      <c r="Z1317" s="227"/>
      <c r="AA1317" s="220"/>
      <c r="AB1317" s="221"/>
      <c r="AC1317" s="229"/>
      <c r="AD1317" s="230"/>
      <c r="AE1317" s="230"/>
      <c r="AF1317" s="230"/>
      <c r="AG1317" s="227"/>
    </row>
    <row r="1318" spans="1:33" x14ac:dyDescent="0.25">
      <c r="A1318" s="32"/>
      <c r="B1318" s="306"/>
      <c r="C1318" s="307"/>
      <c r="D1318" s="312"/>
      <c r="E1318" s="301"/>
      <c r="F1318" s="232"/>
      <c r="J1318" s="306"/>
      <c r="K1318" s="306"/>
      <c r="L1318" s="313"/>
      <c r="M1318" s="219"/>
      <c r="N1318" s="218"/>
      <c r="S1318" s="224"/>
      <c r="T1318" s="228"/>
      <c r="U1318" s="226"/>
      <c r="V1318" s="226"/>
      <c r="W1318" s="303"/>
      <c r="X1318" s="220"/>
      <c r="Z1318" s="227"/>
      <c r="AA1318" s="220"/>
      <c r="AB1318" s="221"/>
      <c r="AC1318" s="229"/>
      <c r="AD1318" s="230"/>
      <c r="AE1318" s="230"/>
      <c r="AF1318" s="230"/>
      <c r="AG1318" s="227"/>
    </row>
    <row r="1319" spans="1:33" x14ac:dyDescent="0.25">
      <c r="A1319" s="32"/>
      <c r="B1319" s="306"/>
      <c r="C1319" s="307"/>
      <c r="D1319" s="312"/>
      <c r="E1319" s="301"/>
      <c r="F1319" s="232"/>
      <c r="J1319" s="306"/>
      <c r="K1319" s="306"/>
      <c r="L1319" s="313"/>
      <c r="M1319" s="219"/>
      <c r="N1319" s="218"/>
      <c r="S1319" s="224"/>
      <c r="T1319" s="228"/>
      <c r="U1319" s="226"/>
      <c r="V1319" s="226"/>
      <c r="W1319" s="303"/>
      <c r="X1319" s="220"/>
      <c r="Z1319" s="227"/>
      <c r="AA1319" s="220"/>
      <c r="AB1319" s="221"/>
      <c r="AC1319" s="229"/>
      <c r="AD1319" s="230"/>
      <c r="AE1319" s="230"/>
      <c r="AF1319" s="230"/>
      <c r="AG1319" s="227"/>
    </row>
    <row r="1320" spans="1:33" x14ac:dyDescent="0.25">
      <c r="A1320" s="32"/>
      <c r="B1320" s="306"/>
      <c r="C1320" s="307"/>
      <c r="D1320" s="312"/>
      <c r="E1320" s="301"/>
      <c r="F1320" s="232"/>
      <c r="J1320" s="306"/>
      <c r="K1320" s="306"/>
      <c r="L1320" s="313"/>
      <c r="M1320" s="219"/>
      <c r="N1320" s="218"/>
      <c r="S1320" s="224"/>
      <c r="T1320" s="228"/>
      <c r="U1320" s="226"/>
      <c r="V1320" s="226"/>
      <c r="W1320" s="303"/>
      <c r="X1320" s="220"/>
      <c r="Z1320" s="227"/>
      <c r="AA1320" s="220"/>
      <c r="AB1320" s="221"/>
      <c r="AC1320" s="229"/>
      <c r="AD1320" s="230"/>
      <c r="AE1320" s="230"/>
      <c r="AF1320" s="230"/>
      <c r="AG1320" s="227"/>
    </row>
    <row r="1321" spans="1:33" x14ac:dyDescent="0.25">
      <c r="A1321" s="32"/>
      <c r="B1321" s="306"/>
      <c r="C1321" s="307"/>
      <c r="D1321" s="312"/>
      <c r="E1321" s="301"/>
      <c r="F1321" s="232"/>
      <c r="J1321" s="306"/>
      <c r="K1321" s="306"/>
      <c r="L1321" s="313"/>
      <c r="M1321" s="219"/>
      <c r="N1321" s="218"/>
      <c r="S1321" s="224"/>
      <c r="T1321" s="228"/>
      <c r="U1321" s="226"/>
      <c r="V1321" s="226"/>
      <c r="W1321" s="303"/>
      <c r="X1321" s="220"/>
      <c r="Z1321" s="227"/>
      <c r="AA1321" s="220"/>
      <c r="AB1321" s="221"/>
      <c r="AC1321" s="229"/>
      <c r="AD1321" s="230"/>
      <c r="AE1321" s="230"/>
      <c r="AF1321" s="230"/>
      <c r="AG1321" s="227"/>
    </row>
    <row r="1322" spans="1:33" x14ac:dyDescent="0.25">
      <c r="A1322" s="32"/>
      <c r="B1322" s="306"/>
      <c r="C1322" s="307"/>
      <c r="D1322" s="312"/>
      <c r="E1322" s="301"/>
      <c r="F1322" s="232"/>
      <c r="J1322" s="306"/>
      <c r="K1322" s="306"/>
      <c r="L1322" s="313"/>
      <c r="M1322" s="219"/>
      <c r="N1322" s="218"/>
      <c r="S1322" s="224"/>
      <c r="T1322" s="228"/>
      <c r="U1322" s="226"/>
      <c r="V1322" s="226"/>
      <c r="W1322" s="303"/>
      <c r="X1322" s="220"/>
      <c r="Z1322" s="227"/>
      <c r="AA1322" s="220"/>
      <c r="AB1322" s="221"/>
      <c r="AC1322" s="229"/>
      <c r="AD1322" s="230"/>
      <c r="AE1322" s="230"/>
      <c r="AF1322" s="230"/>
      <c r="AG1322" s="227"/>
    </row>
    <row r="1323" spans="1:33" x14ac:dyDescent="0.25">
      <c r="A1323" s="32"/>
      <c r="B1323" s="306"/>
      <c r="C1323" s="307"/>
      <c r="D1323" s="312"/>
      <c r="E1323" s="301"/>
      <c r="F1323" s="232"/>
      <c r="J1323" s="306"/>
      <c r="K1323" s="306"/>
      <c r="L1323" s="313"/>
      <c r="M1323" s="219"/>
      <c r="N1323" s="218"/>
      <c r="S1323" s="224"/>
      <c r="T1323" s="228"/>
      <c r="U1323" s="226"/>
      <c r="V1323" s="226"/>
      <c r="W1323" s="303"/>
      <c r="X1323" s="220"/>
      <c r="Z1323" s="227"/>
      <c r="AA1323" s="220"/>
      <c r="AB1323" s="221"/>
      <c r="AC1323" s="229"/>
      <c r="AD1323" s="230"/>
      <c r="AE1323" s="230"/>
      <c r="AF1323" s="230"/>
      <c r="AG1323" s="227"/>
    </row>
    <row r="1324" spans="1:33" x14ac:dyDescent="0.25">
      <c r="A1324" s="32"/>
      <c r="B1324" s="306"/>
      <c r="C1324" s="307"/>
      <c r="D1324" s="312"/>
      <c r="E1324" s="301"/>
      <c r="F1324" s="232"/>
      <c r="J1324" s="306"/>
      <c r="K1324" s="306"/>
      <c r="L1324" s="313"/>
      <c r="M1324" s="219"/>
      <c r="N1324" s="218"/>
      <c r="S1324" s="224"/>
      <c r="T1324" s="228"/>
      <c r="U1324" s="226"/>
      <c r="V1324" s="226"/>
      <c r="W1324" s="303"/>
      <c r="X1324" s="220"/>
      <c r="Z1324" s="227"/>
      <c r="AA1324" s="220"/>
      <c r="AB1324" s="221"/>
      <c r="AC1324" s="229"/>
      <c r="AD1324" s="230"/>
      <c r="AE1324" s="230"/>
      <c r="AF1324" s="230"/>
      <c r="AG1324" s="227"/>
    </row>
    <row r="1325" spans="1:33" x14ac:dyDescent="0.25">
      <c r="A1325" s="32"/>
      <c r="B1325" s="306"/>
      <c r="C1325" s="307"/>
      <c r="D1325" s="312"/>
      <c r="E1325" s="301"/>
      <c r="F1325" s="232"/>
      <c r="J1325" s="306"/>
      <c r="K1325" s="306"/>
      <c r="L1325" s="313"/>
      <c r="M1325" s="219"/>
      <c r="N1325" s="218"/>
      <c r="S1325" s="224"/>
      <c r="T1325" s="228"/>
      <c r="U1325" s="226"/>
      <c r="V1325" s="226"/>
      <c r="W1325" s="303"/>
      <c r="X1325" s="220"/>
      <c r="Z1325" s="227"/>
      <c r="AA1325" s="220"/>
      <c r="AB1325" s="221"/>
      <c r="AC1325" s="229"/>
      <c r="AD1325" s="230"/>
      <c r="AE1325" s="230"/>
      <c r="AF1325" s="230"/>
      <c r="AG1325" s="227"/>
    </row>
    <row r="1326" spans="1:33" x14ac:dyDescent="0.25">
      <c r="A1326" s="32"/>
      <c r="B1326" s="306"/>
      <c r="C1326" s="307"/>
      <c r="D1326" s="312"/>
      <c r="E1326" s="301"/>
      <c r="F1326" s="232"/>
      <c r="J1326" s="306"/>
      <c r="K1326" s="306"/>
      <c r="L1326" s="313"/>
      <c r="M1326" s="219"/>
      <c r="N1326" s="218"/>
      <c r="S1326" s="224"/>
      <c r="T1326" s="228"/>
      <c r="U1326" s="226"/>
      <c r="V1326" s="226"/>
      <c r="W1326" s="303"/>
      <c r="X1326" s="220"/>
      <c r="Z1326" s="227"/>
      <c r="AA1326" s="220"/>
      <c r="AB1326" s="221"/>
      <c r="AC1326" s="229"/>
      <c r="AD1326" s="230"/>
      <c r="AE1326" s="230"/>
      <c r="AF1326" s="230"/>
      <c r="AG1326" s="227"/>
    </row>
    <row r="1327" spans="1:33" x14ac:dyDescent="0.25">
      <c r="A1327" s="32"/>
      <c r="B1327" s="306"/>
      <c r="C1327" s="307"/>
      <c r="D1327" s="312"/>
      <c r="E1327" s="301"/>
      <c r="F1327" s="232"/>
      <c r="J1327" s="306"/>
      <c r="K1327" s="306"/>
      <c r="L1327" s="313"/>
      <c r="M1327" s="219"/>
      <c r="N1327" s="218"/>
      <c r="S1327" s="224"/>
      <c r="T1327" s="228"/>
      <c r="U1327" s="226"/>
      <c r="V1327" s="226"/>
      <c r="W1327" s="303"/>
      <c r="X1327" s="220"/>
      <c r="Z1327" s="227"/>
      <c r="AA1327" s="220"/>
      <c r="AB1327" s="221"/>
      <c r="AC1327" s="229"/>
      <c r="AD1327" s="230"/>
      <c r="AE1327" s="230"/>
      <c r="AF1327" s="230"/>
      <c r="AG1327" s="227"/>
    </row>
    <row r="1328" spans="1:33" x14ac:dyDescent="0.25">
      <c r="A1328" s="32"/>
      <c r="B1328" s="306"/>
      <c r="C1328" s="307"/>
      <c r="D1328" s="312"/>
      <c r="E1328" s="301"/>
      <c r="F1328" s="232"/>
      <c r="J1328" s="306"/>
      <c r="K1328" s="306"/>
      <c r="L1328" s="313"/>
      <c r="M1328" s="219"/>
      <c r="N1328" s="218"/>
      <c r="S1328" s="224"/>
      <c r="T1328" s="228"/>
      <c r="U1328" s="226"/>
      <c r="V1328" s="226"/>
      <c r="W1328" s="303"/>
      <c r="X1328" s="220"/>
      <c r="Z1328" s="227"/>
      <c r="AA1328" s="220"/>
      <c r="AB1328" s="221"/>
      <c r="AC1328" s="229"/>
      <c r="AD1328" s="230"/>
      <c r="AE1328" s="230"/>
      <c r="AF1328" s="230"/>
      <c r="AG1328" s="227"/>
    </row>
    <row r="1329" spans="1:33" x14ac:dyDescent="0.25">
      <c r="A1329" s="32"/>
      <c r="B1329" s="306"/>
      <c r="C1329" s="307"/>
      <c r="D1329" s="312"/>
      <c r="E1329" s="301"/>
      <c r="F1329" s="232"/>
      <c r="J1329" s="306"/>
      <c r="K1329" s="306"/>
      <c r="L1329" s="313"/>
      <c r="M1329" s="219"/>
      <c r="N1329" s="218"/>
      <c r="S1329" s="224"/>
      <c r="T1329" s="228"/>
      <c r="U1329" s="226"/>
      <c r="V1329" s="226"/>
      <c r="W1329" s="303"/>
      <c r="X1329" s="220"/>
      <c r="Z1329" s="227"/>
      <c r="AA1329" s="220"/>
      <c r="AB1329" s="221"/>
      <c r="AC1329" s="229"/>
      <c r="AD1329" s="230"/>
      <c r="AE1329" s="230"/>
      <c r="AF1329" s="230"/>
      <c r="AG1329" s="227"/>
    </row>
    <row r="1330" spans="1:33" x14ac:dyDescent="0.25">
      <c r="A1330" s="32"/>
      <c r="B1330" s="306"/>
      <c r="C1330" s="307"/>
      <c r="D1330" s="312"/>
      <c r="E1330" s="301"/>
      <c r="F1330" s="232"/>
      <c r="J1330" s="306"/>
      <c r="K1330" s="306"/>
      <c r="L1330" s="313"/>
      <c r="M1330" s="219"/>
      <c r="N1330" s="218"/>
      <c r="S1330" s="224"/>
      <c r="T1330" s="228"/>
      <c r="U1330" s="226"/>
      <c r="V1330" s="226"/>
      <c r="W1330" s="303"/>
      <c r="X1330" s="220"/>
      <c r="Z1330" s="227"/>
      <c r="AA1330" s="220"/>
      <c r="AB1330" s="221"/>
      <c r="AC1330" s="229"/>
      <c r="AD1330" s="230"/>
      <c r="AE1330" s="230"/>
      <c r="AF1330" s="230"/>
      <c r="AG1330" s="227"/>
    </row>
    <row r="1331" spans="1:33" x14ac:dyDescent="0.25">
      <c r="A1331" s="32"/>
      <c r="B1331" s="306"/>
      <c r="C1331" s="307"/>
      <c r="D1331" s="312"/>
      <c r="E1331" s="301"/>
      <c r="F1331" s="232"/>
      <c r="J1331" s="306"/>
      <c r="K1331" s="306"/>
      <c r="L1331" s="313"/>
      <c r="M1331" s="219"/>
      <c r="N1331" s="218"/>
      <c r="S1331" s="224"/>
      <c r="T1331" s="228"/>
      <c r="U1331" s="226"/>
      <c r="V1331" s="226"/>
      <c r="W1331" s="303"/>
      <c r="X1331" s="220"/>
      <c r="Z1331" s="227"/>
      <c r="AA1331" s="220"/>
      <c r="AB1331" s="221"/>
      <c r="AC1331" s="229"/>
      <c r="AD1331" s="230"/>
      <c r="AE1331" s="230"/>
      <c r="AF1331" s="230"/>
      <c r="AG1331" s="227"/>
    </row>
    <row r="1332" spans="1:33" x14ac:dyDescent="0.25">
      <c r="A1332" s="32"/>
      <c r="B1332" s="306"/>
      <c r="C1332" s="307"/>
      <c r="D1332" s="312"/>
      <c r="E1332" s="301"/>
      <c r="F1332" s="232"/>
      <c r="J1332" s="306"/>
      <c r="K1332" s="306"/>
      <c r="L1332" s="313"/>
      <c r="M1332" s="219"/>
      <c r="N1332" s="218"/>
      <c r="S1332" s="224"/>
      <c r="T1332" s="228"/>
      <c r="U1332" s="226"/>
      <c r="V1332" s="226"/>
      <c r="W1332" s="303"/>
      <c r="X1332" s="220"/>
      <c r="Z1332" s="227"/>
      <c r="AA1332" s="220"/>
      <c r="AB1332" s="221"/>
      <c r="AC1332" s="229"/>
      <c r="AD1332" s="230"/>
      <c r="AE1332" s="230"/>
      <c r="AF1332" s="230"/>
      <c r="AG1332" s="227"/>
    </row>
    <row r="1333" spans="1:33" x14ac:dyDescent="0.25">
      <c r="A1333" s="32"/>
      <c r="B1333" s="306"/>
      <c r="C1333" s="307"/>
      <c r="D1333" s="312"/>
      <c r="E1333" s="301"/>
      <c r="F1333" s="232"/>
      <c r="J1333" s="306"/>
      <c r="K1333" s="306"/>
      <c r="L1333" s="313"/>
      <c r="M1333" s="219"/>
      <c r="N1333" s="218"/>
      <c r="S1333" s="224"/>
      <c r="T1333" s="228"/>
      <c r="U1333" s="226"/>
      <c r="V1333" s="226"/>
      <c r="W1333" s="303"/>
      <c r="X1333" s="220"/>
      <c r="Z1333" s="227"/>
      <c r="AA1333" s="220"/>
      <c r="AB1333" s="221"/>
      <c r="AC1333" s="229"/>
      <c r="AD1333" s="230"/>
      <c r="AE1333" s="230"/>
      <c r="AF1333" s="230"/>
      <c r="AG1333" s="227"/>
    </row>
    <row r="1334" spans="1:33" x14ac:dyDescent="0.25">
      <c r="A1334" s="32"/>
      <c r="B1334" s="306"/>
      <c r="C1334" s="307"/>
      <c r="D1334" s="312"/>
      <c r="E1334" s="301"/>
      <c r="F1334" s="232"/>
      <c r="J1334" s="306"/>
      <c r="K1334" s="306"/>
      <c r="L1334" s="313"/>
      <c r="M1334" s="219"/>
      <c r="N1334" s="218"/>
      <c r="S1334" s="224"/>
      <c r="T1334" s="228"/>
      <c r="U1334" s="226"/>
      <c r="V1334" s="226"/>
      <c r="W1334" s="303"/>
      <c r="X1334" s="220"/>
      <c r="Z1334" s="227"/>
      <c r="AA1334" s="220"/>
      <c r="AB1334" s="221"/>
      <c r="AC1334" s="229"/>
      <c r="AD1334" s="230"/>
      <c r="AE1334" s="230"/>
      <c r="AF1334" s="230"/>
      <c r="AG1334" s="227"/>
    </row>
    <row r="1335" spans="1:33" x14ac:dyDescent="0.25">
      <c r="A1335" s="32"/>
      <c r="B1335" s="306"/>
      <c r="C1335" s="307"/>
      <c r="D1335" s="312"/>
      <c r="E1335" s="301"/>
      <c r="F1335" s="232"/>
      <c r="J1335" s="306"/>
      <c r="K1335" s="306"/>
      <c r="L1335" s="313"/>
      <c r="M1335" s="219"/>
      <c r="N1335" s="218"/>
      <c r="S1335" s="224"/>
      <c r="T1335" s="228"/>
      <c r="U1335" s="226"/>
      <c r="V1335" s="226"/>
      <c r="W1335" s="303"/>
      <c r="X1335" s="220"/>
      <c r="Z1335" s="227"/>
      <c r="AA1335" s="220"/>
      <c r="AB1335" s="221"/>
      <c r="AC1335" s="229"/>
      <c r="AD1335" s="230"/>
      <c r="AE1335" s="230"/>
      <c r="AF1335" s="230"/>
      <c r="AG1335" s="227"/>
    </row>
    <row r="1336" spans="1:33" x14ac:dyDescent="0.25">
      <c r="A1336" s="32"/>
      <c r="B1336" s="306"/>
      <c r="C1336" s="307"/>
      <c r="D1336" s="312"/>
      <c r="E1336" s="301"/>
      <c r="F1336" s="232"/>
      <c r="J1336" s="306"/>
      <c r="K1336" s="306"/>
      <c r="L1336" s="313"/>
      <c r="M1336" s="219"/>
      <c r="N1336" s="218"/>
      <c r="S1336" s="224"/>
      <c r="T1336" s="228"/>
      <c r="U1336" s="226"/>
      <c r="V1336" s="226"/>
      <c r="W1336" s="303"/>
      <c r="X1336" s="220"/>
      <c r="Z1336" s="227"/>
      <c r="AA1336" s="220"/>
      <c r="AB1336" s="221"/>
      <c r="AC1336" s="229"/>
      <c r="AD1336" s="230"/>
      <c r="AE1336" s="230"/>
      <c r="AF1336" s="230"/>
      <c r="AG1336" s="227"/>
    </row>
    <row r="1337" spans="1:33" x14ac:dyDescent="0.25">
      <c r="A1337" s="32"/>
      <c r="B1337" s="306"/>
      <c r="C1337" s="307"/>
      <c r="D1337" s="312"/>
      <c r="E1337" s="301"/>
      <c r="F1337" s="232"/>
      <c r="J1337" s="306"/>
      <c r="K1337" s="306"/>
      <c r="L1337" s="313"/>
      <c r="M1337" s="219"/>
      <c r="N1337" s="218"/>
      <c r="S1337" s="224"/>
      <c r="T1337" s="228"/>
      <c r="U1337" s="226"/>
      <c r="V1337" s="226"/>
      <c r="W1337" s="303"/>
      <c r="X1337" s="220"/>
      <c r="Z1337" s="227"/>
      <c r="AA1337" s="220"/>
      <c r="AB1337" s="221"/>
      <c r="AC1337" s="229"/>
      <c r="AD1337" s="230"/>
      <c r="AE1337" s="230"/>
      <c r="AF1337" s="230"/>
      <c r="AG1337" s="227"/>
    </row>
    <row r="1338" spans="1:33" x14ac:dyDescent="0.25">
      <c r="A1338" s="32"/>
      <c r="B1338" s="306"/>
      <c r="C1338" s="307"/>
      <c r="D1338" s="312"/>
      <c r="E1338" s="301"/>
      <c r="F1338" s="232"/>
      <c r="J1338" s="306"/>
      <c r="K1338" s="306"/>
      <c r="L1338" s="313"/>
      <c r="M1338" s="219"/>
      <c r="N1338" s="218"/>
      <c r="S1338" s="224"/>
      <c r="T1338" s="228"/>
      <c r="U1338" s="226"/>
      <c r="V1338" s="226"/>
      <c r="W1338" s="303"/>
      <c r="X1338" s="220"/>
      <c r="Z1338" s="227"/>
      <c r="AA1338" s="220"/>
      <c r="AB1338" s="221"/>
      <c r="AC1338" s="229"/>
      <c r="AD1338" s="230"/>
      <c r="AE1338" s="230"/>
      <c r="AF1338" s="230"/>
      <c r="AG1338" s="227"/>
    </row>
    <row r="1339" spans="1:33" x14ac:dyDescent="0.25">
      <c r="A1339" s="32"/>
      <c r="B1339" s="306"/>
      <c r="C1339" s="307"/>
      <c r="D1339" s="312"/>
      <c r="E1339" s="301"/>
      <c r="F1339" s="232"/>
      <c r="J1339" s="306"/>
      <c r="K1339" s="306"/>
      <c r="L1339" s="313"/>
      <c r="M1339" s="219"/>
      <c r="N1339" s="218"/>
      <c r="S1339" s="224"/>
      <c r="T1339" s="228"/>
      <c r="U1339" s="226"/>
      <c r="V1339" s="226"/>
      <c r="W1339" s="303"/>
      <c r="X1339" s="220"/>
      <c r="Z1339" s="227"/>
      <c r="AA1339" s="220"/>
      <c r="AB1339" s="221"/>
      <c r="AC1339" s="229"/>
      <c r="AD1339" s="230"/>
      <c r="AE1339" s="230"/>
      <c r="AF1339" s="230"/>
      <c r="AG1339" s="227"/>
    </row>
    <row r="1340" spans="1:33" x14ac:dyDescent="0.25">
      <c r="A1340" s="32"/>
      <c r="B1340" s="306"/>
      <c r="C1340" s="307"/>
      <c r="D1340" s="312"/>
      <c r="E1340" s="301"/>
      <c r="F1340" s="232"/>
      <c r="J1340" s="306"/>
      <c r="K1340" s="306"/>
      <c r="L1340" s="313"/>
      <c r="M1340" s="219"/>
      <c r="N1340" s="218"/>
      <c r="S1340" s="224"/>
      <c r="T1340" s="228"/>
      <c r="U1340" s="226"/>
      <c r="V1340" s="226"/>
      <c r="W1340" s="303"/>
      <c r="X1340" s="220"/>
      <c r="Z1340" s="227"/>
      <c r="AA1340" s="220"/>
      <c r="AB1340" s="221"/>
      <c r="AC1340" s="229"/>
      <c r="AD1340" s="230"/>
      <c r="AE1340" s="230"/>
      <c r="AF1340" s="230"/>
      <c r="AG1340" s="227"/>
    </row>
    <row r="1341" spans="1:33" x14ac:dyDescent="0.25">
      <c r="A1341" s="32"/>
      <c r="B1341" s="306"/>
      <c r="C1341" s="307"/>
      <c r="D1341" s="312"/>
      <c r="E1341" s="301"/>
      <c r="F1341" s="232"/>
      <c r="J1341" s="306"/>
      <c r="K1341" s="306"/>
      <c r="L1341" s="313"/>
      <c r="M1341" s="219"/>
      <c r="N1341" s="218"/>
      <c r="S1341" s="224"/>
      <c r="T1341" s="228"/>
      <c r="U1341" s="226"/>
      <c r="V1341" s="226"/>
      <c r="W1341" s="303"/>
      <c r="X1341" s="220"/>
      <c r="Z1341" s="227"/>
      <c r="AA1341" s="220"/>
      <c r="AB1341" s="221"/>
      <c r="AC1341" s="229"/>
      <c r="AD1341" s="230"/>
      <c r="AE1341" s="230"/>
      <c r="AF1341" s="230"/>
      <c r="AG1341" s="227"/>
    </row>
    <row r="1342" spans="1:33" x14ac:dyDescent="0.25">
      <c r="A1342" s="32"/>
      <c r="B1342" s="306"/>
      <c r="C1342" s="307"/>
      <c r="D1342" s="312"/>
      <c r="E1342" s="301"/>
      <c r="F1342" s="232"/>
      <c r="J1342" s="306"/>
      <c r="K1342" s="306"/>
      <c r="L1342" s="313"/>
      <c r="M1342" s="219"/>
      <c r="N1342" s="218"/>
      <c r="S1342" s="224"/>
      <c r="T1342" s="228"/>
      <c r="U1342" s="226"/>
      <c r="V1342" s="226"/>
      <c r="W1342" s="303"/>
      <c r="X1342" s="220"/>
      <c r="Z1342" s="227"/>
      <c r="AA1342" s="220"/>
      <c r="AB1342" s="221"/>
      <c r="AC1342" s="229"/>
      <c r="AD1342" s="230"/>
      <c r="AE1342" s="230"/>
      <c r="AF1342" s="230"/>
      <c r="AG1342" s="227"/>
    </row>
    <row r="1343" spans="1:33" x14ac:dyDescent="0.25">
      <c r="A1343" s="32"/>
      <c r="B1343" s="306"/>
      <c r="C1343" s="307"/>
      <c r="D1343" s="312"/>
      <c r="E1343" s="301"/>
      <c r="F1343" s="232"/>
      <c r="J1343" s="306"/>
      <c r="K1343" s="306"/>
      <c r="L1343" s="313"/>
      <c r="M1343" s="219"/>
      <c r="N1343" s="218"/>
      <c r="S1343" s="224"/>
      <c r="T1343" s="228"/>
      <c r="U1343" s="226"/>
      <c r="V1343" s="226"/>
      <c r="W1343" s="303"/>
      <c r="X1343" s="220"/>
      <c r="Z1343" s="227"/>
      <c r="AA1343" s="220"/>
      <c r="AB1343" s="221"/>
      <c r="AC1343" s="229"/>
      <c r="AD1343" s="230"/>
      <c r="AE1343" s="230"/>
      <c r="AF1343" s="230"/>
      <c r="AG1343" s="227"/>
    </row>
    <row r="1344" spans="1:33" x14ac:dyDescent="0.25">
      <c r="A1344" s="32"/>
      <c r="B1344" s="306"/>
      <c r="C1344" s="307"/>
      <c r="D1344" s="312"/>
      <c r="E1344" s="301"/>
      <c r="F1344" s="232"/>
      <c r="J1344" s="306"/>
      <c r="K1344" s="306"/>
      <c r="L1344" s="313"/>
      <c r="M1344" s="219"/>
      <c r="N1344" s="218"/>
      <c r="S1344" s="224"/>
      <c r="T1344" s="228"/>
      <c r="U1344" s="226"/>
      <c r="V1344" s="226"/>
      <c r="W1344" s="303"/>
      <c r="X1344" s="220"/>
      <c r="Z1344" s="227"/>
      <c r="AA1344" s="220"/>
      <c r="AB1344" s="221"/>
      <c r="AC1344" s="229"/>
      <c r="AD1344" s="230"/>
      <c r="AE1344" s="230"/>
      <c r="AF1344" s="230"/>
      <c r="AG1344" s="227"/>
    </row>
    <row r="1345" spans="1:33" x14ac:dyDescent="0.25">
      <c r="A1345" s="32"/>
      <c r="B1345" s="306"/>
      <c r="C1345" s="307"/>
      <c r="D1345" s="312"/>
      <c r="E1345" s="301"/>
      <c r="F1345" s="232"/>
      <c r="J1345" s="306"/>
      <c r="K1345" s="306"/>
      <c r="L1345" s="313"/>
      <c r="M1345" s="219"/>
      <c r="N1345" s="218"/>
      <c r="S1345" s="224"/>
      <c r="T1345" s="228"/>
      <c r="U1345" s="226"/>
      <c r="V1345" s="226"/>
      <c r="W1345" s="303"/>
      <c r="X1345" s="220"/>
      <c r="Z1345" s="227"/>
      <c r="AA1345" s="220"/>
      <c r="AB1345" s="221"/>
      <c r="AC1345" s="229"/>
      <c r="AD1345" s="230"/>
      <c r="AE1345" s="230"/>
      <c r="AF1345" s="230"/>
      <c r="AG1345" s="227"/>
    </row>
    <row r="1346" spans="1:33" x14ac:dyDescent="0.25">
      <c r="A1346" s="32"/>
      <c r="B1346" s="306"/>
      <c r="C1346" s="307"/>
      <c r="D1346" s="312"/>
      <c r="E1346" s="301"/>
      <c r="F1346" s="232"/>
      <c r="J1346" s="306"/>
      <c r="K1346" s="306"/>
      <c r="L1346" s="313"/>
      <c r="M1346" s="219"/>
      <c r="N1346" s="218"/>
      <c r="S1346" s="224"/>
      <c r="T1346" s="228"/>
      <c r="U1346" s="226"/>
      <c r="V1346" s="226"/>
      <c r="W1346" s="303"/>
      <c r="X1346" s="220"/>
      <c r="Z1346" s="227"/>
      <c r="AA1346" s="220"/>
      <c r="AB1346" s="221"/>
      <c r="AC1346" s="229"/>
      <c r="AD1346" s="230"/>
      <c r="AE1346" s="230"/>
      <c r="AF1346" s="230"/>
      <c r="AG1346" s="227"/>
    </row>
    <row r="1347" spans="1:33" x14ac:dyDescent="0.25">
      <c r="A1347" s="32"/>
      <c r="B1347" s="306"/>
      <c r="C1347" s="307"/>
      <c r="D1347" s="312"/>
      <c r="E1347" s="301"/>
      <c r="F1347" s="232"/>
      <c r="J1347" s="306"/>
      <c r="K1347" s="306"/>
      <c r="L1347" s="313"/>
      <c r="M1347" s="219"/>
      <c r="N1347" s="218"/>
      <c r="S1347" s="224"/>
      <c r="T1347" s="228"/>
      <c r="U1347" s="226"/>
      <c r="V1347" s="226"/>
      <c r="W1347" s="303"/>
      <c r="X1347" s="220"/>
      <c r="Z1347" s="227"/>
      <c r="AA1347" s="220"/>
      <c r="AB1347" s="221"/>
      <c r="AC1347" s="229"/>
      <c r="AD1347" s="230"/>
      <c r="AE1347" s="230"/>
      <c r="AF1347" s="230"/>
      <c r="AG1347" s="227"/>
    </row>
    <row r="1348" spans="1:33" x14ac:dyDescent="0.25">
      <c r="A1348" s="32"/>
      <c r="B1348" s="306"/>
      <c r="C1348" s="307"/>
      <c r="D1348" s="312"/>
      <c r="E1348" s="301"/>
      <c r="F1348" s="232"/>
      <c r="J1348" s="306"/>
      <c r="K1348" s="306"/>
      <c r="L1348" s="313"/>
      <c r="M1348" s="219"/>
      <c r="N1348" s="218"/>
      <c r="S1348" s="224"/>
      <c r="T1348" s="228"/>
      <c r="U1348" s="226"/>
      <c r="V1348" s="226"/>
      <c r="W1348" s="303"/>
      <c r="X1348" s="220"/>
      <c r="Z1348" s="227"/>
      <c r="AA1348" s="220"/>
      <c r="AB1348" s="221"/>
      <c r="AC1348" s="229"/>
      <c r="AD1348" s="230"/>
      <c r="AE1348" s="230"/>
      <c r="AF1348" s="230"/>
      <c r="AG1348" s="227"/>
    </row>
    <row r="1349" spans="1:33" x14ac:dyDescent="0.25">
      <c r="A1349" s="32"/>
      <c r="B1349" s="306"/>
      <c r="C1349" s="307"/>
      <c r="D1349" s="312"/>
      <c r="E1349" s="301"/>
      <c r="F1349" s="232"/>
      <c r="J1349" s="306"/>
      <c r="K1349" s="306"/>
      <c r="L1349" s="313"/>
      <c r="M1349" s="219"/>
      <c r="N1349" s="218"/>
      <c r="S1349" s="224"/>
      <c r="T1349" s="228"/>
      <c r="U1349" s="226"/>
      <c r="V1349" s="226"/>
      <c r="W1349" s="303"/>
      <c r="X1349" s="220"/>
      <c r="Z1349" s="227"/>
      <c r="AA1349" s="220"/>
      <c r="AB1349" s="221"/>
      <c r="AC1349" s="229"/>
      <c r="AD1349" s="230"/>
      <c r="AE1349" s="230"/>
      <c r="AF1349" s="230"/>
      <c r="AG1349" s="227"/>
    </row>
    <row r="1350" spans="1:33" x14ac:dyDescent="0.25">
      <c r="A1350" s="32"/>
      <c r="B1350" s="306"/>
      <c r="C1350" s="307"/>
      <c r="D1350" s="312"/>
      <c r="E1350" s="301"/>
      <c r="F1350" s="232"/>
      <c r="J1350" s="306"/>
      <c r="K1350" s="306"/>
      <c r="L1350" s="313"/>
      <c r="M1350" s="219"/>
      <c r="N1350" s="218"/>
      <c r="S1350" s="224"/>
      <c r="T1350" s="228"/>
      <c r="U1350" s="226"/>
      <c r="V1350" s="226"/>
      <c r="W1350" s="303"/>
      <c r="X1350" s="220"/>
      <c r="Z1350" s="227"/>
      <c r="AA1350" s="220"/>
      <c r="AB1350" s="221"/>
      <c r="AC1350" s="229"/>
      <c r="AD1350" s="230"/>
      <c r="AE1350" s="230"/>
      <c r="AF1350" s="230"/>
      <c r="AG1350" s="227"/>
    </row>
    <row r="1351" spans="1:33" x14ac:dyDescent="0.25">
      <c r="A1351" s="32"/>
      <c r="B1351" s="306"/>
      <c r="C1351" s="307"/>
      <c r="D1351" s="312"/>
      <c r="E1351" s="301"/>
      <c r="F1351" s="232"/>
      <c r="J1351" s="306"/>
      <c r="K1351" s="306"/>
      <c r="L1351" s="313"/>
      <c r="M1351" s="219"/>
      <c r="N1351" s="218"/>
      <c r="S1351" s="224"/>
      <c r="T1351" s="228"/>
      <c r="U1351" s="226"/>
      <c r="V1351" s="226"/>
      <c r="W1351" s="303"/>
      <c r="X1351" s="220"/>
      <c r="Z1351" s="227"/>
      <c r="AA1351" s="220"/>
      <c r="AB1351" s="221"/>
      <c r="AC1351" s="229"/>
      <c r="AD1351" s="230"/>
      <c r="AE1351" s="230"/>
      <c r="AF1351" s="230"/>
      <c r="AG1351" s="227"/>
    </row>
    <row r="1352" spans="1:33" x14ac:dyDescent="0.25">
      <c r="A1352" s="32"/>
      <c r="B1352" s="306"/>
      <c r="C1352" s="307"/>
      <c r="D1352" s="312"/>
      <c r="E1352" s="301"/>
      <c r="F1352" s="232"/>
      <c r="J1352" s="306"/>
      <c r="K1352" s="306"/>
      <c r="L1352" s="313"/>
      <c r="M1352" s="219"/>
      <c r="N1352" s="218"/>
      <c r="S1352" s="224"/>
      <c r="T1352" s="228"/>
      <c r="U1352" s="226"/>
      <c r="V1352" s="226"/>
      <c r="W1352" s="303"/>
      <c r="X1352" s="220"/>
      <c r="Z1352" s="227"/>
      <c r="AA1352" s="220"/>
      <c r="AB1352" s="221"/>
      <c r="AC1352" s="229"/>
      <c r="AD1352" s="230"/>
      <c r="AE1352" s="230"/>
      <c r="AF1352" s="230"/>
      <c r="AG1352" s="227"/>
    </row>
    <row r="1353" spans="1:33" x14ac:dyDescent="0.25">
      <c r="A1353" s="32"/>
      <c r="B1353" s="306"/>
      <c r="C1353" s="307"/>
      <c r="D1353" s="312"/>
      <c r="E1353" s="301"/>
      <c r="F1353" s="232"/>
      <c r="J1353" s="306"/>
      <c r="K1353" s="306"/>
      <c r="L1353" s="313"/>
      <c r="M1353" s="219"/>
      <c r="N1353" s="218"/>
      <c r="S1353" s="224"/>
      <c r="T1353" s="228"/>
      <c r="U1353" s="226"/>
      <c r="V1353" s="226"/>
      <c r="W1353" s="303"/>
      <c r="X1353" s="220"/>
      <c r="Z1353" s="227"/>
      <c r="AA1353" s="220"/>
      <c r="AB1353" s="221"/>
      <c r="AC1353" s="229"/>
      <c r="AD1353" s="230"/>
      <c r="AE1353" s="230"/>
      <c r="AF1353" s="230"/>
      <c r="AG1353" s="227"/>
    </row>
    <row r="1354" spans="1:33" x14ac:dyDescent="0.25">
      <c r="A1354" s="32"/>
      <c r="B1354" s="306"/>
      <c r="C1354" s="307"/>
      <c r="D1354" s="312"/>
      <c r="E1354" s="301"/>
      <c r="F1354" s="232"/>
      <c r="J1354" s="306"/>
      <c r="K1354" s="306"/>
      <c r="L1354" s="313"/>
      <c r="M1354" s="219"/>
      <c r="N1354" s="218"/>
      <c r="S1354" s="224"/>
      <c r="T1354" s="228"/>
      <c r="U1354" s="226"/>
      <c r="V1354" s="226"/>
      <c r="W1354" s="303"/>
      <c r="X1354" s="220"/>
      <c r="Z1354" s="227"/>
      <c r="AA1354" s="220"/>
      <c r="AB1354" s="221"/>
      <c r="AC1354" s="229"/>
      <c r="AD1354" s="230"/>
      <c r="AE1354" s="230"/>
      <c r="AF1354" s="230"/>
      <c r="AG1354" s="227"/>
    </row>
    <row r="1355" spans="1:33" x14ac:dyDescent="0.25">
      <c r="A1355" s="32"/>
      <c r="B1355" s="306"/>
      <c r="C1355" s="307"/>
      <c r="D1355" s="312"/>
      <c r="E1355" s="301"/>
      <c r="F1355" s="232"/>
      <c r="J1355" s="306"/>
      <c r="K1355" s="306"/>
      <c r="L1355" s="313"/>
      <c r="M1355" s="219"/>
      <c r="N1355" s="218"/>
      <c r="S1355" s="224"/>
      <c r="T1355" s="228"/>
      <c r="U1355" s="226"/>
      <c r="V1355" s="226"/>
      <c r="W1355" s="303"/>
      <c r="X1355" s="220"/>
      <c r="Z1355" s="227"/>
      <c r="AA1355" s="220"/>
      <c r="AB1355" s="221"/>
      <c r="AC1355" s="229"/>
      <c r="AD1355" s="230"/>
      <c r="AE1355" s="230"/>
      <c r="AF1355" s="230"/>
      <c r="AG1355" s="227"/>
    </row>
    <row r="1356" spans="1:33" x14ac:dyDescent="0.25">
      <c r="A1356" s="32"/>
      <c r="B1356" s="306"/>
      <c r="C1356" s="307"/>
      <c r="D1356" s="312"/>
      <c r="E1356" s="301"/>
      <c r="F1356" s="232"/>
      <c r="J1356" s="306"/>
      <c r="K1356" s="306"/>
      <c r="L1356" s="313"/>
      <c r="M1356" s="219"/>
      <c r="N1356" s="218"/>
      <c r="S1356" s="224"/>
      <c r="T1356" s="228"/>
      <c r="U1356" s="226"/>
      <c r="V1356" s="226"/>
      <c r="W1356" s="303"/>
      <c r="X1356" s="220"/>
      <c r="Z1356" s="227"/>
      <c r="AA1356" s="220"/>
      <c r="AB1356" s="221"/>
      <c r="AC1356" s="229"/>
      <c r="AD1356" s="230"/>
      <c r="AE1356" s="230"/>
      <c r="AF1356" s="230"/>
      <c r="AG1356" s="227"/>
    </row>
    <row r="1357" spans="1:33" x14ac:dyDescent="0.25">
      <c r="A1357" s="32"/>
      <c r="B1357" s="306"/>
      <c r="C1357" s="307"/>
      <c r="D1357" s="312"/>
      <c r="E1357" s="301"/>
      <c r="F1357" s="232"/>
      <c r="J1357" s="306"/>
      <c r="K1357" s="306"/>
      <c r="L1357" s="313"/>
      <c r="M1357" s="219"/>
      <c r="N1357" s="218"/>
      <c r="S1357" s="224"/>
      <c r="T1357" s="228"/>
      <c r="U1357" s="226"/>
      <c r="V1357" s="226"/>
      <c r="W1357" s="303"/>
      <c r="X1357" s="220"/>
      <c r="Z1357" s="227"/>
      <c r="AA1357" s="220"/>
      <c r="AB1357" s="221"/>
      <c r="AC1357" s="229"/>
      <c r="AD1357" s="230"/>
      <c r="AE1357" s="230"/>
      <c r="AF1357" s="230"/>
      <c r="AG1357" s="227"/>
    </row>
    <row r="1358" spans="1:33" x14ac:dyDescent="0.25">
      <c r="A1358" s="32"/>
      <c r="B1358" s="306"/>
      <c r="C1358" s="307"/>
      <c r="D1358" s="312"/>
      <c r="E1358" s="301"/>
      <c r="F1358" s="232"/>
      <c r="J1358" s="306"/>
      <c r="K1358" s="306"/>
      <c r="L1358" s="313"/>
      <c r="M1358" s="219"/>
      <c r="N1358" s="218"/>
      <c r="S1358" s="224"/>
      <c r="T1358" s="228"/>
      <c r="U1358" s="226"/>
      <c r="V1358" s="226"/>
      <c r="W1358" s="303"/>
      <c r="X1358" s="220"/>
      <c r="Z1358" s="227"/>
      <c r="AA1358" s="220"/>
      <c r="AB1358" s="221"/>
      <c r="AC1358" s="229"/>
      <c r="AD1358" s="230"/>
      <c r="AE1358" s="230"/>
      <c r="AF1358" s="230"/>
      <c r="AG1358" s="227"/>
    </row>
    <row r="1359" spans="1:33" x14ac:dyDescent="0.25">
      <c r="A1359" s="32"/>
      <c r="B1359" s="306"/>
      <c r="C1359" s="307"/>
      <c r="D1359" s="312"/>
      <c r="E1359" s="301"/>
      <c r="F1359" s="232"/>
      <c r="J1359" s="306"/>
      <c r="K1359" s="306"/>
      <c r="L1359" s="313"/>
      <c r="M1359" s="219"/>
      <c r="N1359" s="218"/>
      <c r="S1359" s="224"/>
      <c r="T1359" s="228"/>
      <c r="U1359" s="226"/>
      <c r="V1359" s="226"/>
      <c r="W1359" s="303"/>
      <c r="X1359" s="220"/>
      <c r="Z1359" s="227"/>
      <c r="AA1359" s="220"/>
      <c r="AB1359" s="221"/>
      <c r="AC1359" s="229"/>
      <c r="AD1359" s="230"/>
      <c r="AE1359" s="230"/>
      <c r="AF1359" s="230"/>
      <c r="AG1359" s="227"/>
    </row>
    <row r="1360" spans="1:33" x14ac:dyDescent="0.25">
      <c r="A1360" s="32"/>
      <c r="B1360" s="306"/>
      <c r="C1360" s="307"/>
      <c r="D1360" s="312"/>
      <c r="E1360" s="301"/>
      <c r="F1360" s="232"/>
      <c r="J1360" s="306"/>
      <c r="K1360" s="306"/>
      <c r="L1360" s="313"/>
      <c r="M1360" s="219"/>
      <c r="N1360" s="218"/>
      <c r="S1360" s="224"/>
      <c r="T1360" s="228"/>
      <c r="U1360" s="226"/>
      <c r="V1360" s="226"/>
      <c r="W1360" s="303"/>
      <c r="X1360" s="220"/>
      <c r="Z1360" s="227"/>
      <c r="AA1360" s="220"/>
      <c r="AB1360" s="221"/>
      <c r="AC1360" s="229"/>
      <c r="AD1360" s="230"/>
      <c r="AE1360" s="230"/>
      <c r="AF1360" s="230"/>
      <c r="AG1360" s="227"/>
    </row>
    <row r="1361" spans="1:33" x14ac:dyDescent="0.25">
      <c r="A1361" s="32"/>
      <c r="B1361" s="306"/>
      <c r="C1361" s="307"/>
      <c r="D1361" s="312"/>
      <c r="E1361" s="301"/>
      <c r="F1361" s="232"/>
      <c r="J1361" s="306"/>
      <c r="K1361" s="306"/>
      <c r="L1361" s="313"/>
      <c r="M1361" s="219"/>
      <c r="N1361" s="218"/>
      <c r="S1361" s="224"/>
      <c r="T1361" s="228"/>
      <c r="U1361" s="226"/>
      <c r="V1361" s="226"/>
      <c r="W1361" s="303"/>
      <c r="X1361" s="220"/>
      <c r="Z1361" s="227"/>
      <c r="AA1361" s="220"/>
      <c r="AB1361" s="221"/>
      <c r="AC1361" s="229"/>
      <c r="AD1361" s="230"/>
      <c r="AE1361" s="230"/>
      <c r="AF1361" s="230"/>
      <c r="AG1361" s="227"/>
    </row>
    <row r="1362" spans="1:33" x14ac:dyDescent="0.25">
      <c r="A1362" s="32"/>
      <c r="B1362" s="306"/>
      <c r="C1362" s="307"/>
      <c r="D1362" s="312"/>
      <c r="E1362" s="301"/>
      <c r="F1362" s="232"/>
      <c r="J1362" s="306"/>
      <c r="K1362" s="306"/>
      <c r="L1362" s="313"/>
      <c r="M1362" s="219"/>
      <c r="N1362" s="218"/>
      <c r="S1362" s="224"/>
      <c r="T1362" s="228"/>
      <c r="U1362" s="226"/>
      <c r="V1362" s="226"/>
      <c r="W1362" s="303"/>
      <c r="X1362" s="220"/>
      <c r="Z1362" s="227"/>
      <c r="AA1362" s="220"/>
      <c r="AB1362" s="221"/>
      <c r="AC1362" s="229"/>
      <c r="AD1362" s="230"/>
      <c r="AE1362" s="230"/>
      <c r="AF1362" s="230"/>
      <c r="AG1362" s="227"/>
    </row>
    <row r="1363" spans="1:33" x14ac:dyDescent="0.25">
      <c r="A1363" s="32"/>
      <c r="B1363" s="306"/>
      <c r="C1363" s="307"/>
      <c r="D1363" s="312"/>
      <c r="E1363" s="301"/>
      <c r="F1363" s="232"/>
      <c r="J1363" s="306"/>
      <c r="K1363" s="306"/>
      <c r="L1363" s="313"/>
      <c r="M1363" s="219"/>
      <c r="N1363" s="218"/>
      <c r="S1363" s="224"/>
      <c r="T1363" s="228"/>
      <c r="U1363" s="226"/>
      <c r="V1363" s="226"/>
      <c r="W1363" s="303"/>
      <c r="X1363" s="220"/>
      <c r="Z1363" s="227"/>
      <c r="AA1363" s="220"/>
      <c r="AB1363" s="221"/>
      <c r="AC1363" s="229"/>
      <c r="AD1363" s="230"/>
      <c r="AE1363" s="230"/>
      <c r="AF1363" s="230"/>
      <c r="AG1363" s="227"/>
    </row>
    <row r="1364" spans="1:33" x14ac:dyDescent="0.25">
      <c r="A1364" s="32"/>
      <c r="B1364" s="306"/>
      <c r="C1364" s="307"/>
      <c r="D1364" s="312"/>
      <c r="E1364" s="301"/>
      <c r="F1364" s="232"/>
      <c r="J1364" s="306"/>
      <c r="K1364" s="306"/>
      <c r="L1364" s="313"/>
      <c r="M1364" s="219"/>
      <c r="N1364" s="218"/>
      <c r="S1364" s="224"/>
      <c r="T1364" s="228"/>
      <c r="U1364" s="226"/>
      <c r="V1364" s="226"/>
      <c r="W1364" s="303"/>
      <c r="X1364" s="220"/>
      <c r="Z1364" s="227"/>
      <c r="AA1364" s="220"/>
      <c r="AB1364" s="221"/>
      <c r="AC1364" s="229"/>
      <c r="AD1364" s="230"/>
      <c r="AE1364" s="230"/>
      <c r="AF1364" s="230"/>
      <c r="AG1364" s="227"/>
    </row>
    <row r="1365" spans="1:33" x14ac:dyDescent="0.25">
      <c r="A1365" s="32"/>
      <c r="B1365" s="306"/>
      <c r="C1365" s="307"/>
      <c r="D1365" s="312"/>
      <c r="E1365" s="301"/>
      <c r="F1365" s="232"/>
      <c r="J1365" s="306"/>
      <c r="K1365" s="306"/>
      <c r="L1365" s="313"/>
      <c r="M1365" s="219"/>
      <c r="N1365" s="218"/>
      <c r="S1365" s="224"/>
      <c r="T1365" s="228"/>
      <c r="U1365" s="226"/>
      <c r="V1365" s="226"/>
      <c r="W1365" s="303"/>
      <c r="X1365" s="220"/>
      <c r="Z1365" s="227"/>
      <c r="AA1365" s="220"/>
      <c r="AB1365" s="221"/>
      <c r="AC1365" s="229"/>
      <c r="AD1365" s="230"/>
      <c r="AE1365" s="230"/>
      <c r="AF1365" s="230"/>
      <c r="AG1365" s="227"/>
    </row>
    <row r="1366" spans="1:33" x14ac:dyDescent="0.25">
      <c r="A1366" s="32"/>
      <c r="B1366" s="306"/>
      <c r="C1366" s="307"/>
      <c r="D1366" s="312"/>
      <c r="E1366" s="301"/>
      <c r="F1366" s="232"/>
      <c r="J1366" s="306"/>
      <c r="K1366" s="306"/>
      <c r="L1366" s="313"/>
      <c r="M1366" s="219"/>
      <c r="N1366" s="218"/>
      <c r="S1366" s="224"/>
      <c r="T1366" s="228"/>
      <c r="U1366" s="226"/>
      <c r="V1366" s="226"/>
      <c r="W1366" s="303"/>
      <c r="X1366" s="220"/>
      <c r="Z1366" s="227"/>
      <c r="AA1366" s="220"/>
      <c r="AB1366" s="221"/>
      <c r="AC1366" s="229"/>
      <c r="AD1366" s="230"/>
      <c r="AE1366" s="230"/>
      <c r="AF1366" s="230"/>
      <c r="AG1366" s="227"/>
    </row>
    <row r="1367" spans="1:33" x14ac:dyDescent="0.25">
      <c r="A1367" s="32"/>
      <c r="B1367" s="306"/>
      <c r="C1367" s="307"/>
      <c r="D1367" s="312"/>
      <c r="E1367" s="301"/>
      <c r="F1367" s="232"/>
      <c r="J1367" s="306"/>
      <c r="K1367" s="306"/>
      <c r="L1367" s="313"/>
      <c r="M1367" s="219"/>
      <c r="N1367" s="218"/>
      <c r="S1367" s="224"/>
      <c r="T1367" s="228"/>
      <c r="U1367" s="226"/>
      <c r="V1367" s="226"/>
      <c r="W1367" s="303"/>
      <c r="X1367" s="220"/>
      <c r="Z1367" s="227"/>
      <c r="AA1367" s="220"/>
      <c r="AB1367" s="221"/>
      <c r="AC1367" s="229"/>
      <c r="AD1367" s="230"/>
      <c r="AE1367" s="230"/>
      <c r="AF1367" s="230"/>
      <c r="AG1367" s="227"/>
    </row>
    <row r="1368" spans="1:33" x14ac:dyDescent="0.25">
      <c r="A1368" s="32"/>
      <c r="B1368" s="306"/>
      <c r="C1368" s="307"/>
      <c r="D1368" s="312"/>
      <c r="E1368" s="301"/>
      <c r="F1368" s="232"/>
      <c r="J1368" s="306"/>
      <c r="K1368" s="306"/>
      <c r="L1368" s="313"/>
      <c r="M1368" s="219"/>
      <c r="N1368" s="218"/>
      <c r="S1368" s="224"/>
      <c r="T1368" s="228"/>
      <c r="U1368" s="226"/>
      <c r="V1368" s="226"/>
      <c r="W1368" s="303"/>
      <c r="X1368" s="220"/>
      <c r="Z1368" s="227"/>
      <c r="AA1368" s="220"/>
      <c r="AB1368" s="221"/>
      <c r="AC1368" s="229"/>
      <c r="AD1368" s="230"/>
      <c r="AE1368" s="230"/>
      <c r="AF1368" s="230"/>
      <c r="AG1368" s="227"/>
    </row>
    <row r="1369" spans="1:33" x14ac:dyDescent="0.25">
      <c r="A1369" s="32"/>
      <c r="B1369" s="306"/>
      <c r="C1369" s="307"/>
      <c r="D1369" s="312"/>
      <c r="E1369" s="301"/>
      <c r="F1369" s="232"/>
      <c r="J1369" s="306"/>
      <c r="K1369" s="306"/>
      <c r="L1369" s="313"/>
      <c r="M1369" s="219"/>
      <c r="N1369" s="218"/>
      <c r="S1369" s="224"/>
      <c r="T1369" s="228"/>
      <c r="U1369" s="226"/>
      <c r="V1369" s="226"/>
      <c r="W1369" s="303"/>
      <c r="X1369" s="220"/>
      <c r="Z1369" s="227"/>
      <c r="AA1369" s="220"/>
      <c r="AB1369" s="221"/>
      <c r="AC1369" s="229"/>
      <c r="AD1369" s="230"/>
      <c r="AE1369" s="230"/>
      <c r="AF1369" s="230"/>
      <c r="AG1369" s="227"/>
    </row>
    <row r="1370" spans="1:33" x14ac:dyDescent="0.25">
      <c r="A1370" s="32"/>
      <c r="B1370" s="306"/>
      <c r="C1370" s="307"/>
      <c r="D1370" s="312"/>
      <c r="E1370" s="301"/>
      <c r="F1370" s="232"/>
      <c r="J1370" s="306"/>
      <c r="K1370" s="306"/>
      <c r="L1370" s="313"/>
      <c r="M1370" s="219"/>
      <c r="N1370" s="218"/>
      <c r="S1370" s="224"/>
      <c r="T1370" s="228"/>
      <c r="U1370" s="226"/>
      <c r="V1370" s="226"/>
      <c r="W1370" s="303"/>
      <c r="X1370" s="220"/>
      <c r="Z1370" s="227"/>
      <c r="AA1370" s="220"/>
      <c r="AB1370" s="221"/>
      <c r="AC1370" s="229"/>
      <c r="AD1370" s="230"/>
      <c r="AE1370" s="230"/>
      <c r="AF1370" s="230"/>
      <c r="AG1370" s="227"/>
    </row>
    <row r="1371" spans="1:33" x14ac:dyDescent="0.25">
      <c r="A1371" s="32"/>
      <c r="B1371" s="306"/>
      <c r="C1371" s="307"/>
      <c r="D1371" s="312"/>
      <c r="E1371" s="301"/>
      <c r="F1371" s="232"/>
      <c r="J1371" s="306"/>
      <c r="K1371" s="306"/>
      <c r="L1371" s="313"/>
      <c r="M1371" s="219"/>
      <c r="N1371" s="218"/>
      <c r="S1371" s="224"/>
      <c r="T1371" s="228"/>
      <c r="U1371" s="226"/>
      <c r="V1371" s="226"/>
      <c r="W1371" s="303"/>
      <c r="X1371" s="220"/>
      <c r="Z1371" s="227"/>
      <c r="AA1371" s="220"/>
      <c r="AB1371" s="221"/>
      <c r="AC1371" s="229"/>
      <c r="AD1371" s="230"/>
      <c r="AE1371" s="230"/>
      <c r="AF1371" s="230"/>
      <c r="AG1371" s="227"/>
    </row>
    <row r="1372" spans="1:33" x14ac:dyDescent="0.25">
      <c r="A1372" s="32"/>
      <c r="B1372" s="306"/>
      <c r="C1372" s="307"/>
      <c r="D1372" s="312"/>
      <c r="E1372" s="301"/>
      <c r="F1372" s="232"/>
      <c r="J1372" s="306"/>
      <c r="K1372" s="306"/>
      <c r="L1372" s="313"/>
      <c r="M1372" s="219"/>
      <c r="N1372" s="218"/>
      <c r="S1372" s="224"/>
      <c r="T1372" s="228"/>
      <c r="U1372" s="226"/>
      <c r="V1372" s="226"/>
      <c r="W1372" s="303"/>
      <c r="X1372" s="220"/>
      <c r="Z1372" s="227"/>
      <c r="AA1372" s="220"/>
      <c r="AB1372" s="221"/>
      <c r="AC1372" s="229"/>
      <c r="AD1372" s="230"/>
      <c r="AE1372" s="230"/>
      <c r="AF1372" s="230"/>
      <c r="AG1372" s="227"/>
    </row>
    <row r="1373" spans="1:33" x14ac:dyDescent="0.25">
      <c r="A1373" s="32"/>
      <c r="B1373" s="306"/>
      <c r="C1373" s="307"/>
      <c r="D1373" s="312"/>
      <c r="E1373" s="301"/>
      <c r="F1373" s="232"/>
      <c r="J1373" s="306"/>
      <c r="K1373" s="306"/>
      <c r="L1373" s="313"/>
      <c r="M1373" s="219"/>
      <c r="N1373" s="218"/>
      <c r="S1373" s="224"/>
      <c r="T1373" s="228"/>
      <c r="U1373" s="226"/>
      <c r="V1373" s="226"/>
      <c r="W1373" s="303"/>
      <c r="X1373" s="220"/>
      <c r="Z1373" s="227"/>
      <c r="AA1373" s="220"/>
      <c r="AB1373" s="221"/>
      <c r="AC1373" s="229"/>
      <c r="AD1373" s="230"/>
      <c r="AE1373" s="230"/>
      <c r="AF1373" s="230"/>
      <c r="AG1373" s="227"/>
    </row>
    <row r="1374" spans="1:33" x14ac:dyDescent="0.25">
      <c r="A1374" s="32"/>
      <c r="B1374" s="306"/>
      <c r="C1374" s="307"/>
      <c r="D1374" s="312"/>
      <c r="E1374" s="301"/>
      <c r="F1374" s="232"/>
      <c r="J1374" s="306"/>
      <c r="K1374" s="306"/>
      <c r="L1374" s="313"/>
      <c r="M1374" s="219"/>
      <c r="N1374" s="218"/>
      <c r="S1374" s="224"/>
      <c r="T1374" s="228"/>
      <c r="U1374" s="226"/>
      <c r="V1374" s="226"/>
      <c r="W1374" s="303"/>
      <c r="X1374" s="220"/>
      <c r="Z1374" s="227"/>
      <c r="AA1374" s="220"/>
      <c r="AB1374" s="221"/>
      <c r="AC1374" s="229"/>
      <c r="AD1374" s="230"/>
      <c r="AE1374" s="230"/>
      <c r="AF1374" s="230"/>
      <c r="AG1374" s="227"/>
    </row>
    <row r="1375" spans="1:33" x14ac:dyDescent="0.25">
      <c r="A1375" s="32"/>
      <c r="B1375" s="306"/>
      <c r="C1375" s="307"/>
      <c r="D1375" s="312"/>
      <c r="E1375" s="301"/>
      <c r="F1375" s="232"/>
      <c r="J1375" s="306"/>
      <c r="K1375" s="306"/>
      <c r="L1375" s="313"/>
      <c r="M1375" s="219"/>
      <c r="N1375" s="218"/>
      <c r="S1375" s="224"/>
      <c r="T1375" s="228"/>
      <c r="U1375" s="226"/>
      <c r="V1375" s="226"/>
      <c r="W1375" s="303"/>
      <c r="X1375" s="220"/>
      <c r="Z1375" s="227"/>
      <c r="AA1375" s="220"/>
      <c r="AB1375" s="221"/>
      <c r="AC1375" s="229"/>
      <c r="AD1375" s="230"/>
      <c r="AE1375" s="230"/>
      <c r="AF1375" s="230"/>
      <c r="AG1375" s="227"/>
    </row>
    <row r="1376" spans="1:33" x14ac:dyDescent="0.25">
      <c r="A1376" s="32"/>
      <c r="B1376" s="306"/>
      <c r="C1376" s="307"/>
      <c r="D1376" s="312"/>
      <c r="E1376" s="301"/>
      <c r="F1376" s="232"/>
      <c r="J1376" s="306"/>
      <c r="K1376" s="306"/>
      <c r="L1376" s="313"/>
      <c r="M1376" s="219"/>
      <c r="N1376" s="218"/>
      <c r="S1376" s="224"/>
      <c r="T1376" s="228"/>
      <c r="U1376" s="226"/>
      <c r="V1376" s="226"/>
      <c r="W1376" s="303"/>
      <c r="X1376" s="220"/>
      <c r="Z1376" s="227"/>
      <c r="AA1376" s="220"/>
      <c r="AB1376" s="221"/>
      <c r="AC1376" s="229"/>
      <c r="AD1376" s="230"/>
      <c r="AE1376" s="230"/>
      <c r="AF1376" s="230"/>
      <c r="AG1376" s="227"/>
    </row>
    <row r="1377" spans="1:33" x14ac:dyDescent="0.25">
      <c r="A1377" s="32"/>
      <c r="B1377" s="306"/>
      <c r="C1377" s="307"/>
      <c r="D1377" s="312"/>
      <c r="E1377" s="301"/>
      <c r="F1377" s="232"/>
      <c r="J1377" s="306"/>
      <c r="K1377" s="306"/>
      <c r="L1377" s="313"/>
      <c r="M1377" s="219"/>
      <c r="N1377" s="218"/>
      <c r="S1377" s="224"/>
      <c r="T1377" s="228"/>
      <c r="U1377" s="226"/>
      <c r="V1377" s="226"/>
      <c r="W1377" s="303"/>
      <c r="X1377" s="220"/>
      <c r="Z1377" s="227"/>
      <c r="AA1377" s="220"/>
      <c r="AB1377" s="221"/>
      <c r="AC1377" s="229"/>
      <c r="AD1377" s="230"/>
      <c r="AE1377" s="230"/>
      <c r="AF1377" s="230"/>
      <c r="AG1377" s="227"/>
    </row>
    <row r="1378" spans="1:33" x14ac:dyDescent="0.25">
      <c r="A1378" s="32"/>
      <c r="B1378" s="306"/>
      <c r="C1378" s="307"/>
      <c r="D1378" s="312"/>
      <c r="E1378" s="301"/>
      <c r="F1378" s="232"/>
      <c r="J1378" s="306"/>
      <c r="K1378" s="306"/>
      <c r="L1378" s="313"/>
      <c r="M1378" s="219"/>
      <c r="N1378" s="218"/>
      <c r="S1378" s="224"/>
      <c r="T1378" s="228"/>
      <c r="U1378" s="226"/>
      <c r="V1378" s="226"/>
      <c r="W1378" s="303"/>
      <c r="X1378" s="220"/>
      <c r="Z1378" s="227"/>
      <c r="AA1378" s="220"/>
      <c r="AB1378" s="221"/>
      <c r="AC1378" s="229"/>
      <c r="AD1378" s="230"/>
      <c r="AE1378" s="230"/>
      <c r="AF1378" s="230"/>
      <c r="AG1378" s="227"/>
    </row>
    <row r="1379" spans="1:33" x14ac:dyDescent="0.25">
      <c r="A1379" s="32"/>
      <c r="B1379" s="306"/>
      <c r="C1379" s="307"/>
      <c r="D1379" s="312"/>
      <c r="E1379" s="301"/>
      <c r="F1379" s="232"/>
      <c r="J1379" s="306"/>
      <c r="K1379" s="306"/>
      <c r="L1379" s="313"/>
      <c r="M1379" s="219"/>
      <c r="N1379" s="218"/>
      <c r="S1379" s="224"/>
      <c r="T1379" s="228"/>
      <c r="U1379" s="226"/>
      <c r="V1379" s="226"/>
      <c r="W1379" s="303"/>
      <c r="X1379" s="220"/>
      <c r="Z1379" s="227"/>
      <c r="AA1379" s="220"/>
      <c r="AB1379" s="221"/>
      <c r="AC1379" s="229"/>
      <c r="AD1379" s="230"/>
      <c r="AE1379" s="230"/>
      <c r="AF1379" s="230"/>
      <c r="AG1379" s="227"/>
    </row>
    <row r="1380" spans="1:33" x14ac:dyDescent="0.25">
      <c r="A1380" s="32"/>
      <c r="B1380" s="306"/>
      <c r="C1380" s="307"/>
      <c r="D1380" s="312"/>
      <c r="E1380" s="301"/>
      <c r="F1380" s="232"/>
      <c r="J1380" s="306"/>
      <c r="K1380" s="306"/>
      <c r="L1380" s="313"/>
      <c r="M1380" s="219"/>
      <c r="N1380" s="218"/>
      <c r="S1380" s="224"/>
      <c r="T1380" s="228"/>
      <c r="U1380" s="226"/>
      <c r="V1380" s="226"/>
      <c r="W1380" s="303"/>
      <c r="X1380" s="220"/>
      <c r="Z1380" s="227"/>
      <c r="AA1380" s="220"/>
      <c r="AB1380" s="221"/>
      <c r="AC1380" s="229"/>
      <c r="AD1380" s="230"/>
      <c r="AE1380" s="230"/>
      <c r="AF1380" s="230"/>
      <c r="AG1380" s="227"/>
    </row>
    <row r="1381" spans="1:33" x14ac:dyDescent="0.25">
      <c r="A1381" s="32"/>
      <c r="B1381" s="306"/>
      <c r="C1381" s="307"/>
      <c r="D1381" s="312"/>
      <c r="E1381" s="301"/>
      <c r="F1381" s="232"/>
      <c r="J1381" s="306"/>
      <c r="K1381" s="306"/>
      <c r="L1381" s="313"/>
      <c r="M1381" s="219"/>
      <c r="N1381" s="218"/>
      <c r="S1381" s="224"/>
      <c r="T1381" s="228"/>
      <c r="U1381" s="226"/>
      <c r="V1381" s="226"/>
      <c r="W1381" s="303"/>
      <c r="X1381" s="220"/>
      <c r="Z1381" s="227"/>
      <c r="AA1381" s="220"/>
      <c r="AB1381" s="221"/>
      <c r="AC1381" s="229"/>
      <c r="AD1381" s="230"/>
      <c r="AE1381" s="230"/>
      <c r="AF1381" s="230"/>
      <c r="AG1381" s="227"/>
    </row>
    <row r="1382" spans="1:33" x14ac:dyDescent="0.25">
      <c r="A1382" s="32"/>
      <c r="B1382" s="306"/>
      <c r="C1382" s="307"/>
      <c r="D1382" s="312"/>
      <c r="E1382" s="301"/>
      <c r="F1382" s="232"/>
      <c r="J1382" s="306"/>
      <c r="K1382" s="306"/>
      <c r="L1382" s="313"/>
      <c r="M1382" s="219"/>
      <c r="N1382" s="218"/>
      <c r="S1382" s="224"/>
      <c r="T1382" s="228"/>
      <c r="U1382" s="226"/>
      <c r="V1382" s="226"/>
      <c r="W1382" s="303"/>
      <c r="X1382" s="220"/>
      <c r="Z1382" s="227"/>
      <c r="AA1382" s="220"/>
      <c r="AB1382" s="221"/>
      <c r="AC1382" s="229"/>
      <c r="AD1382" s="230"/>
      <c r="AE1382" s="230"/>
      <c r="AF1382" s="230"/>
      <c r="AG1382" s="227"/>
    </row>
    <row r="1383" spans="1:33" x14ac:dyDescent="0.25">
      <c r="A1383" s="32"/>
      <c r="B1383" s="306"/>
      <c r="C1383" s="307"/>
      <c r="D1383" s="312"/>
      <c r="E1383" s="301"/>
      <c r="F1383" s="232"/>
      <c r="J1383" s="306"/>
      <c r="K1383" s="306"/>
      <c r="L1383" s="313"/>
      <c r="M1383" s="219"/>
      <c r="N1383" s="218"/>
      <c r="S1383" s="224"/>
      <c r="T1383" s="228"/>
      <c r="U1383" s="226"/>
      <c r="V1383" s="226"/>
      <c r="W1383" s="303"/>
      <c r="X1383" s="220"/>
      <c r="Z1383" s="227"/>
      <c r="AA1383" s="220"/>
      <c r="AB1383" s="221"/>
      <c r="AC1383" s="229"/>
      <c r="AD1383" s="230"/>
      <c r="AE1383" s="230"/>
      <c r="AF1383" s="230"/>
      <c r="AG1383" s="227"/>
    </row>
    <row r="1384" spans="1:33" x14ac:dyDescent="0.25">
      <c r="A1384" s="32"/>
      <c r="B1384" s="306"/>
      <c r="C1384" s="307"/>
      <c r="D1384" s="312"/>
      <c r="E1384" s="301"/>
      <c r="F1384" s="232"/>
      <c r="J1384" s="306"/>
      <c r="K1384" s="306"/>
      <c r="L1384" s="313"/>
      <c r="M1384" s="219"/>
      <c r="N1384" s="218"/>
      <c r="S1384" s="224"/>
      <c r="T1384" s="228"/>
      <c r="U1384" s="226"/>
      <c r="V1384" s="226"/>
      <c r="W1384" s="303"/>
      <c r="X1384" s="220"/>
      <c r="Z1384" s="227"/>
      <c r="AA1384" s="220"/>
      <c r="AB1384" s="221"/>
      <c r="AC1384" s="229"/>
      <c r="AD1384" s="230"/>
      <c r="AE1384" s="230"/>
      <c r="AF1384" s="230"/>
      <c r="AG1384" s="227"/>
    </row>
    <row r="1385" spans="1:33" x14ac:dyDescent="0.25">
      <c r="A1385" s="32"/>
      <c r="B1385" s="306"/>
      <c r="C1385" s="307"/>
      <c r="D1385" s="312"/>
      <c r="E1385" s="301"/>
      <c r="F1385" s="232"/>
      <c r="J1385" s="306"/>
      <c r="K1385" s="306"/>
      <c r="L1385" s="313"/>
      <c r="M1385" s="219"/>
      <c r="N1385" s="218"/>
      <c r="S1385" s="224"/>
      <c r="T1385" s="228"/>
      <c r="U1385" s="226"/>
      <c r="V1385" s="226"/>
      <c r="W1385" s="303"/>
      <c r="X1385" s="220"/>
      <c r="Z1385" s="227"/>
      <c r="AA1385" s="220"/>
      <c r="AB1385" s="221"/>
      <c r="AC1385" s="229"/>
      <c r="AD1385" s="230"/>
      <c r="AE1385" s="230"/>
      <c r="AF1385" s="230"/>
      <c r="AG1385" s="227"/>
    </row>
    <row r="1386" spans="1:33" x14ac:dyDescent="0.25">
      <c r="A1386" s="32"/>
      <c r="B1386" s="306"/>
      <c r="C1386" s="307"/>
      <c r="D1386" s="312"/>
      <c r="E1386" s="301"/>
      <c r="F1386" s="232"/>
      <c r="J1386" s="306"/>
      <c r="K1386" s="306"/>
      <c r="L1386" s="313"/>
      <c r="M1386" s="219"/>
      <c r="N1386" s="218"/>
      <c r="S1386" s="224"/>
      <c r="T1386" s="228"/>
      <c r="U1386" s="226"/>
      <c r="V1386" s="226"/>
      <c r="W1386" s="303"/>
      <c r="X1386" s="220"/>
      <c r="Z1386" s="227"/>
      <c r="AA1386" s="220"/>
      <c r="AB1386" s="221"/>
      <c r="AC1386" s="229"/>
      <c r="AD1386" s="230"/>
      <c r="AE1386" s="230"/>
      <c r="AF1386" s="230"/>
      <c r="AG1386" s="227"/>
    </row>
    <row r="1387" spans="1:33" x14ac:dyDescent="0.25">
      <c r="A1387" s="32"/>
      <c r="B1387" s="306"/>
      <c r="C1387" s="307"/>
      <c r="D1387" s="312"/>
      <c r="E1387" s="301"/>
      <c r="F1387" s="232"/>
      <c r="J1387" s="306"/>
      <c r="K1387" s="306"/>
      <c r="L1387" s="313"/>
      <c r="M1387" s="219"/>
      <c r="N1387" s="218"/>
      <c r="S1387" s="224"/>
      <c r="T1387" s="228"/>
      <c r="U1387" s="226"/>
      <c r="V1387" s="226"/>
      <c r="W1387" s="303"/>
      <c r="X1387" s="220"/>
      <c r="Z1387" s="227"/>
      <c r="AA1387" s="220"/>
      <c r="AB1387" s="221"/>
      <c r="AC1387" s="229"/>
      <c r="AD1387" s="230"/>
      <c r="AE1387" s="230"/>
      <c r="AF1387" s="230"/>
      <c r="AG1387" s="227"/>
    </row>
    <row r="1388" spans="1:33" x14ac:dyDescent="0.25">
      <c r="A1388" s="32"/>
      <c r="B1388" s="306"/>
      <c r="C1388" s="307"/>
      <c r="D1388" s="312"/>
      <c r="E1388" s="301"/>
      <c r="F1388" s="232"/>
      <c r="J1388" s="306"/>
      <c r="K1388" s="306"/>
      <c r="L1388" s="313"/>
      <c r="M1388" s="219"/>
      <c r="N1388" s="218"/>
      <c r="S1388" s="224"/>
      <c r="T1388" s="228"/>
      <c r="U1388" s="226"/>
      <c r="V1388" s="226"/>
      <c r="W1388" s="303"/>
      <c r="X1388" s="220"/>
      <c r="Z1388" s="227"/>
      <c r="AA1388" s="220"/>
      <c r="AB1388" s="221"/>
      <c r="AC1388" s="229"/>
      <c r="AD1388" s="230"/>
      <c r="AE1388" s="230"/>
      <c r="AF1388" s="230"/>
      <c r="AG1388" s="227"/>
    </row>
    <row r="1389" spans="1:33" x14ac:dyDescent="0.25">
      <c r="A1389" s="32"/>
      <c r="B1389" s="306"/>
      <c r="C1389" s="307"/>
      <c r="D1389" s="312"/>
      <c r="E1389" s="301"/>
      <c r="F1389" s="232"/>
      <c r="J1389" s="306"/>
      <c r="K1389" s="306"/>
      <c r="L1389" s="313"/>
      <c r="M1389" s="219"/>
      <c r="N1389" s="218"/>
      <c r="S1389" s="224"/>
      <c r="T1389" s="228"/>
      <c r="U1389" s="226"/>
      <c r="V1389" s="226"/>
      <c r="W1389" s="303"/>
      <c r="X1389" s="220"/>
      <c r="Z1389" s="227"/>
      <c r="AA1389" s="220"/>
      <c r="AB1389" s="221"/>
      <c r="AC1389" s="229"/>
      <c r="AD1389" s="230"/>
      <c r="AE1389" s="230"/>
      <c r="AF1389" s="230"/>
      <c r="AG1389" s="227"/>
    </row>
    <row r="1390" spans="1:33" x14ac:dyDescent="0.25">
      <c r="A1390" s="32"/>
      <c r="B1390" s="306"/>
      <c r="C1390" s="307"/>
      <c r="D1390" s="312"/>
      <c r="E1390" s="301"/>
      <c r="F1390" s="232"/>
      <c r="J1390" s="306"/>
      <c r="K1390" s="306"/>
      <c r="L1390" s="313"/>
      <c r="M1390" s="219"/>
      <c r="N1390" s="218"/>
      <c r="S1390" s="224"/>
      <c r="T1390" s="228"/>
      <c r="U1390" s="226"/>
      <c r="V1390" s="226"/>
      <c r="W1390" s="303"/>
      <c r="X1390" s="220"/>
      <c r="Z1390" s="227"/>
      <c r="AA1390" s="220"/>
      <c r="AB1390" s="221"/>
      <c r="AC1390" s="229"/>
      <c r="AD1390" s="230"/>
      <c r="AE1390" s="230"/>
      <c r="AF1390" s="230"/>
      <c r="AG1390" s="227"/>
    </row>
    <row r="1391" spans="1:33" x14ac:dyDescent="0.25">
      <c r="A1391" s="32"/>
      <c r="B1391" s="306"/>
      <c r="C1391" s="307"/>
      <c r="D1391" s="312"/>
      <c r="E1391" s="301"/>
      <c r="F1391" s="232"/>
      <c r="J1391" s="306"/>
      <c r="K1391" s="306"/>
      <c r="L1391" s="313"/>
      <c r="M1391" s="219"/>
      <c r="N1391" s="218"/>
      <c r="S1391" s="224"/>
      <c r="T1391" s="228"/>
      <c r="U1391" s="226"/>
      <c r="V1391" s="226"/>
      <c r="W1391" s="303"/>
      <c r="X1391" s="220"/>
      <c r="Z1391" s="227"/>
      <c r="AA1391" s="220"/>
      <c r="AB1391" s="221"/>
      <c r="AC1391" s="229"/>
      <c r="AD1391" s="230"/>
      <c r="AE1391" s="230"/>
      <c r="AF1391" s="230"/>
      <c r="AG1391" s="227"/>
    </row>
    <row r="1392" spans="1:33" x14ac:dyDescent="0.25">
      <c r="A1392" s="32"/>
      <c r="B1392" s="306"/>
      <c r="C1392" s="307"/>
      <c r="D1392" s="312"/>
      <c r="E1392" s="301"/>
      <c r="F1392" s="232"/>
      <c r="J1392" s="306"/>
      <c r="K1392" s="306"/>
      <c r="L1392" s="313"/>
      <c r="M1392" s="219"/>
      <c r="N1392" s="218"/>
      <c r="S1392" s="224"/>
      <c r="T1392" s="228"/>
      <c r="U1392" s="226"/>
      <c r="V1392" s="226"/>
      <c r="W1392" s="303"/>
      <c r="X1392" s="220"/>
      <c r="Z1392" s="227"/>
      <c r="AA1392" s="220"/>
      <c r="AB1392" s="221"/>
      <c r="AC1392" s="229"/>
      <c r="AD1392" s="230"/>
      <c r="AE1392" s="230"/>
      <c r="AF1392" s="230"/>
      <c r="AG1392" s="227"/>
    </row>
    <row r="1393" spans="1:33" x14ac:dyDescent="0.25">
      <c r="A1393" s="32"/>
      <c r="B1393" s="306"/>
      <c r="C1393" s="307"/>
      <c r="D1393" s="312"/>
      <c r="E1393" s="301"/>
      <c r="F1393" s="232"/>
      <c r="J1393" s="306"/>
      <c r="K1393" s="306"/>
      <c r="L1393" s="313"/>
      <c r="M1393" s="219"/>
      <c r="N1393" s="218"/>
      <c r="S1393" s="224"/>
      <c r="T1393" s="228"/>
      <c r="U1393" s="226"/>
      <c r="V1393" s="226"/>
      <c r="W1393" s="303"/>
      <c r="X1393" s="220"/>
      <c r="Z1393" s="227"/>
      <c r="AA1393" s="220"/>
      <c r="AB1393" s="221"/>
      <c r="AC1393" s="229"/>
      <c r="AD1393" s="230"/>
      <c r="AE1393" s="230"/>
      <c r="AF1393" s="230"/>
      <c r="AG1393" s="227"/>
    </row>
    <row r="1394" spans="1:33" x14ac:dyDescent="0.25">
      <c r="A1394" s="32"/>
      <c r="B1394" s="306"/>
      <c r="C1394" s="307"/>
      <c r="D1394" s="312"/>
      <c r="E1394" s="301"/>
      <c r="F1394" s="232"/>
      <c r="J1394" s="306"/>
      <c r="K1394" s="306"/>
      <c r="L1394" s="313"/>
      <c r="M1394" s="219"/>
      <c r="N1394" s="218"/>
      <c r="S1394" s="224"/>
      <c r="T1394" s="228"/>
      <c r="U1394" s="226"/>
      <c r="V1394" s="226"/>
      <c r="W1394" s="303"/>
      <c r="X1394" s="220"/>
      <c r="Z1394" s="227"/>
      <c r="AA1394" s="220"/>
      <c r="AB1394" s="221"/>
      <c r="AC1394" s="229"/>
      <c r="AD1394" s="230"/>
      <c r="AE1394" s="230"/>
      <c r="AF1394" s="230"/>
      <c r="AG1394" s="227"/>
    </row>
    <row r="1395" spans="1:33" x14ac:dyDescent="0.25">
      <c r="A1395" s="32"/>
      <c r="B1395" s="306"/>
      <c r="C1395" s="307"/>
      <c r="D1395" s="312"/>
      <c r="E1395" s="301"/>
      <c r="F1395" s="232"/>
      <c r="J1395" s="306"/>
      <c r="K1395" s="306"/>
      <c r="L1395" s="313"/>
      <c r="M1395" s="219"/>
      <c r="N1395" s="218"/>
      <c r="S1395" s="224"/>
      <c r="T1395" s="228"/>
      <c r="U1395" s="226"/>
      <c r="V1395" s="226"/>
      <c r="W1395" s="303"/>
      <c r="X1395" s="220"/>
      <c r="Z1395" s="227"/>
      <c r="AA1395" s="220"/>
      <c r="AB1395" s="221"/>
      <c r="AC1395" s="229"/>
      <c r="AD1395" s="230"/>
      <c r="AE1395" s="230"/>
      <c r="AF1395" s="230"/>
      <c r="AG1395" s="227"/>
    </row>
    <row r="1396" spans="1:33" x14ac:dyDescent="0.25">
      <c r="A1396" s="32"/>
      <c r="B1396" s="306"/>
      <c r="C1396" s="307"/>
      <c r="D1396" s="312"/>
      <c r="E1396" s="301"/>
      <c r="F1396" s="232"/>
      <c r="J1396" s="306"/>
      <c r="K1396" s="306"/>
      <c r="L1396" s="313"/>
      <c r="M1396" s="219"/>
      <c r="N1396" s="218"/>
      <c r="S1396" s="224"/>
      <c r="T1396" s="228"/>
      <c r="U1396" s="226"/>
      <c r="V1396" s="226"/>
      <c r="W1396" s="303"/>
      <c r="X1396" s="220"/>
      <c r="Z1396" s="227"/>
      <c r="AA1396" s="220"/>
      <c r="AB1396" s="221"/>
      <c r="AC1396" s="229"/>
      <c r="AD1396" s="230"/>
      <c r="AE1396" s="230"/>
      <c r="AF1396" s="230"/>
      <c r="AG1396" s="227"/>
    </row>
    <row r="1397" spans="1:33" x14ac:dyDescent="0.25">
      <c r="A1397" s="32"/>
      <c r="B1397" s="306"/>
      <c r="C1397" s="307"/>
      <c r="D1397" s="312"/>
      <c r="E1397" s="301"/>
      <c r="F1397" s="232"/>
      <c r="J1397" s="306"/>
      <c r="K1397" s="306"/>
      <c r="L1397" s="313"/>
      <c r="M1397" s="219"/>
      <c r="N1397" s="218"/>
      <c r="S1397" s="224"/>
      <c r="T1397" s="228"/>
      <c r="U1397" s="226"/>
      <c r="V1397" s="226"/>
      <c r="W1397" s="303"/>
      <c r="X1397" s="220"/>
      <c r="Z1397" s="227"/>
      <c r="AA1397" s="220"/>
      <c r="AB1397" s="221"/>
      <c r="AC1397" s="229"/>
      <c r="AD1397" s="230"/>
      <c r="AE1397" s="230"/>
      <c r="AF1397" s="230"/>
      <c r="AG1397" s="227"/>
    </row>
    <row r="1398" spans="1:33" x14ac:dyDescent="0.25">
      <c r="A1398" s="32"/>
      <c r="B1398" s="306"/>
      <c r="C1398" s="307"/>
      <c r="D1398" s="312"/>
      <c r="E1398" s="301"/>
      <c r="F1398" s="232"/>
      <c r="J1398" s="306"/>
      <c r="K1398" s="306"/>
      <c r="L1398" s="313"/>
      <c r="M1398" s="219"/>
      <c r="N1398" s="218"/>
      <c r="S1398" s="224"/>
      <c r="T1398" s="228"/>
      <c r="U1398" s="226"/>
      <c r="V1398" s="226"/>
      <c r="W1398" s="303"/>
      <c r="X1398" s="220"/>
      <c r="Z1398" s="227"/>
      <c r="AA1398" s="220"/>
      <c r="AB1398" s="221"/>
      <c r="AC1398" s="229"/>
      <c r="AD1398" s="230"/>
      <c r="AE1398" s="230"/>
      <c r="AF1398" s="230"/>
      <c r="AG1398" s="227"/>
    </row>
    <row r="1399" spans="1:33" x14ac:dyDescent="0.25">
      <c r="A1399" s="32"/>
      <c r="B1399" s="306"/>
      <c r="C1399" s="307"/>
      <c r="D1399" s="312"/>
      <c r="E1399" s="301"/>
      <c r="F1399" s="232"/>
      <c r="J1399" s="306"/>
      <c r="K1399" s="306"/>
      <c r="L1399" s="313"/>
      <c r="M1399" s="219"/>
      <c r="N1399" s="218"/>
      <c r="S1399" s="224"/>
      <c r="T1399" s="228"/>
      <c r="U1399" s="226"/>
      <c r="V1399" s="226"/>
      <c r="W1399" s="303"/>
      <c r="X1399" s="220"/>
      <c r="Z1399" s="227"/>
      <c r="AA1399" s="220"/>
      <c r="AB1399" s="221"/>
      <c r="AC1399" s="229"/>
      <c r="AD1399" s="230"/>
      <c r="AE1399" s="230"/>
      <c r="AF1399" s="230"/>
      <c r="AG1399" s="227"/>
    </row>
    <row r="1400" spans="1:33" x14ac:dyDescent="0.25">
      <c r="A1400" s="32"/>
      <c r="B1400" s="306"/>
      <c r="C1400" s="307"/>
      <c r="D1400" s="312"/>
      <c r="E1400" s="301"/>
      <c r="F1400" s="232"/>
      <c r="J1400" s="306"/>
      <c r="K1400" s="306"/>
      <c r="L1400" s="313"/>
      <c r="M1400" s="219"/>
      <c r="N1400" s="218"/>
      <c r="S1400" s="224"/>
      <c r="T1400" s="228"/>
      <c r="U1400" s="226"/>
      <c r="V1400" s="226"/>
      <c r="W1400" s="303"/>
      <c r="X1400" s="220"/>
      <c r="Z1400" s="227"/>
      <c r="AA1400" s="220"/>
      <c r="AB1400" s="221"/>
      <c r="AC1400" s="229"/>
      <c r="AD1400" s="230"/>
      <c r="AE1400" s="230"/>
      <c r="AF1400" s="230"/>
      <c r="AG1400" s="227"/>
    </row>
    <row r="1401" spans="1:33" x14ac:dyDescent="0.25">
      <c r="A1401" s="32"/>
      <c r="B1401" s="306"/>
      <c r="C1401" s="307"/>
      <c r="D1401" s="312"/>
      <c r="E1401" s="301"/>
      <c r="F1401" s="232"/>
      <c r="J1401" s="306"/>
      <c r="K1401" s="306"/>
      <c r="L1401" s="313"/>
      <c r="M1401" s="219"/>
      <c r="N1401" s="218"/>
      <c r="S1401" s="224"/>
      <c r="T1401" s="228"/>
      <c r="U1401" s="226"/>
      <c r="V1401" s="226"/>
      <c r="W1401" s="303"/>
      <c r="X1401" s="220"/>
      <c r="Z1401" s="227"/>
      <c r="AA1401" s="220"/>
      <c r="AB1401" s="221"/>
      <c r="AC1401" s="229"/>
      <c r="AD1401" s="230"/>
      <c r="AE1401" s="230"/>
      <c r="AF1401" s="230"/>
      <c r="AG1401" s="227"/>
    </row>
    <row r="1402" spans="1:33" x14ac:dyDescent="0.25">
      <c r="A1402" s="32"/>
      <c r="B1402" s="306"/>
      <c r="C1402" s="307"/>
      <c r="D1402" s="312"/>
      <c r="E1402" s="301"/>
      <c r="F1402" s="232"/>
      <c r="J1402" s="306"/>
      <c r="K1402" s="306"/>
      <c r="L1402" s="313"/>
      <c r="M1402" s="219"/>
      <c r="N1402" s="218"/>
      <c r="S1402" s="224"/>
      <c r="T1402" s="228"/>
      <c r="U1402" s="226"/>
      <c r="V1402" s="226"/>
      <c r="W1402" s="303"/>
      <c r="X1402" s="220"/>
      <c r="Z1402" s="227"/>
      <c r="AA1402" s="220"/>
      <c r="AB1402" s="221"/>
      <c r="AC1402" s="229"/>
      <c r="AD1402" s="230"/>
      <c r="AE1402" s="230"/>
      <c r="AF1402" s="230"/>
      <c r="AG1402" s="227"/>
    </row>
    <row r="1403" spans="1:33" x14ac:dyDescent="0.25">
      <c r="A1403" s="32"/>
      <c r="B1403" s="306"/>
      <c r="C1403" s="307"/>
      <c r="D1403" s="312"/>
      <c r="E1403" s="301"/>
      <c r="F1403" s="232"/>
      <c r="J1403" s="306"/>
      <c r="K1403" s="306"/>
      <c r="L1403" s="313"/>
      <c r="M1403" s="219"/>
      <c r="N1403" s="218"/>
      <c r="S1403" s="224"/>
      <c r="T1403" s="228"/>
      <c r="U1403" s="226"/>
      <c r="V1403" s="226"/>
      <c r="W1403" s="303"/>
      <c r="X1403" s="220"/>
      <c r="Z1403" s="227"/>
      <c r="AA1403" s="220"/>
      <c r="AB1403" s="221"/>
      <c r="AC1403" s="229"/>
      <c r="AD1403" s="230"/>
      <c r="AE1403" s="230"/>
      <c r="AF1403" s="230"/>
      <c r="AG1403" s="227"/>
    </row>
    <row r="1404" spans="1:33" x14ac:dyDescent="0.25">
      <c r="A1404" s="32"/>
      <c r="B1404" s="306"/>
      <c r="C1404" s="307"/>
      <c r="D1404" s="312"/>
      <c r="E1404" s="301"/>
      <c r="F1404" s="232"/>
      <c r="J1404" s="306"/>
      <c r="K1404" s="306"/>
      <c r="L1404" s="313"/>
      <c r="M1404" s="219"/>
      <c r="N1404" s="218"/>
      <c r="S1404" s="224"/>
      <c r="T1404" s="228"/>
      <c r="U1404" s="226"/>
      <c r="V1404" s="226"/>
      <c r="W1404" s="303"/>
      <c r="X1404" s="220"/>
      <c r="Z1404" s="227"/>
      <c r="AA1404" s="220"/>
      <c r="AB1404" s="221"/>
      <c r="AC1404" s="229"/>
      <c r="AD1404" s="230"/>
      <c r="AE1404" s="230"/>
      <c r="AF1404" s="230"/>
      <c r="AG1404" s="227"/>
    </row>
    <row r="1405" spans="1:33" x14ac:dyDescent="0.25">
      <c r="A1405" s="32"/>
      <c r="B1405" s="306"/>
      <c r="C1405" s="307"/>
      <c r="D1405" s="312"/>
      <c r="E1405" s="301"/>
      <c r="F1405" s="232"/>
      <c r="J1405" s="306"/>
      <c r="K1405" s="306"/>
      <c r="L1405" s="313"/>
      <c r="M1405" s="219"/>
      <c r="N1405" s="218"/>
      <c r="S1405" s="224"/>
      <c r="T1405" s="228"/>
      <c r="U1405" s="226"/>
      <c r="V1405" s="226"/>
      <c r="W1405" s="303"/>
      <c r="X1405" s="220"/>
      <c r="Z1405" s="227"/>
      <c r="AA1405" s="220"/>
      <c r="AB1405" s="221"/>
      <c r="AC1405" s="229"/>
      <c r="AD1405" s="230"/>
      <c r="AE1405" s="230"/>
      <c r="AF1405" s="230"/>
      <c r="AG1405" s="227"/>
    </row>
    <row r="1406" spans="1:33" x14ac:dyDescent="0.25">
      <c r="A1406" s="32"/>
      <c r="B1406" s="306"/>
      <c r="C1406" s="307"/>
      <c r="D1406" s="312"/>
      <c r="E1406" s="301"/>
      <c r="F1406" s="232"/>
      <c r="J1406" s="306"/>
      <c r="K1406" s="306"/>
      <c r="L1406" s="313"/>
      <c r="M1406" s="219"/>
      <c r="N1406" s="218"/>
      <c r="S1406" s="224"/>
      <c r="T1406" s="228"/>
      <c r="U1406" s="226"/>
      <c r="V1406" s="226"/>
      <c r="W1406" s="303"/>
      <c r="X1406" s="220"/>
      <c r="Z1406" s="227"/>
      <c r="AA1406" s="220"/>
      <c r="AB1406" s="221"/>
      <c r="AC1406" s="229"/>
      <c r="AD1406" s="230"/>
      <c r="AE1406" s="230"/>
      <c r="AF1406" s="230"/>
      <c r="AG1406" s="227"/>
    </row>
    <row r="1407" spans="1:33" x14ac:dyDescent="0.25">
      <c r="A1407" s="32"/>
      <c r="B1407" s="306"/>
      <c r="C1407" s="307"/>
      <c r="D1407" s="312"/>
      <c r="E1407" s="301"/>
      <c r="F1407" s="232"/>
      <c r="J1407" s="306"/>
      <c r="K1407" s="306"/>
      <c r="L1407" s="313"/>
      <c r="M1407" s="219"/>
      <c r="N1407" s="218"/>
      <c r="S1407" s="224"/>
      <c r="T1407" s="228"/>
      <c r="U1407" s="226"/>
      <c r="V1407" s="226"/>
      <c r="W1407" s="303"/>
      <c r="X1407" s="220"/>
      <c r="Z1407" s="227"/>
      <c r="AA1407" s="220"/>
      <c r="AB1407" s="221"/>
      <c r="AC1407" s="229"/>
      <c r="AD1407" s="230"/>
      <c r="AE1407" s="230"/>
      <c r="AF1407" s="230"/>
      <c r="AG1407" s="227"/>
    </row>
    <row r="1408" spans="1:33" x14ac:dyDescent="0.25">
      <c r="A1408" s="32"/>
      <c r="B1408" s="306"/>
      <c r="C1408" s="307"/>
      <c r="D1408" s="312"/>
      <c r="E1408" s="301"/>
      <c r="F1408" s="232"/>
      <c r="J1408" s="306"/>
      <c r="K1408" s="306"/>
      <c r="L1408" s="313"/>
      <c r="M1408" s="219"/>
      <c r="N1408" s="218"/>
      <c r="S1408" s="224"/>
      <c r="T1408" s="228"/>
      <c r="U1408" s="226"/>
      <c r="V1408" s="226"/>
      <c r="W1408" s="303"/>
      <c r="X1408" s="220"/>
      <c r="Z1408" s="227"/>
      <c r="AA1408" s="220"/>
      <c r="AB1408" s="221"/>
      <c r="AC1408" s="229"/>
      <c r="AD1408" s="230"/>
      <c r="AE1408" s="230"/>
      <c r="AF1408" s="230"/>
      <c r="AG1408" s="227"/>
    </row>
    <row r="1409" spans="1:33" x14ac:dyDescent="0.25">
      <c r="A1409" s="32"/>
      <c r="B1409" s="306"/>
      <c r="C1409" s="307"/>
      <c r="D1409" s="312"/>
      <c r="E1409" s="301"/>
      <c r="F1409" s="232"/>
      <c r="J1409" s="306"/>
      <c r="K1409" s="306"/>
      <c r="L1409" s="313"/>
      <c r="M1409" s="219"/>
      <c r="N1409" s="218"/>
      <c r="S1409" s="224"/>
      <c r="T1409" s="228"/>
      <c r="U1409" s="226"/>
      <c r="V1409" s="226"/>
      <c r="W1409" s="303"/>
      <c r="X1409" s="220"/>
      <c r="Z1409" s="227"/>
      <c r="AA1409" s="220"/>
      <c r="AB1409" s="221"/>
      <c r="AC1409" s="229"/>
      <c r="AD1409" s="230"/>
      <c r="AE1409" s="230"/>
      <c r="AF1409" s="230"/>
      <c r="AG1409" s="227"/>
    </row>
    <row r="1410" spans="1:33" x14ac:dyDescent="0.25">
      <c r="A1410" s="32"/>
      <c r="B1410" s="306"/>
      <c r="C1410" s="307"/>
      <c r="D1410" s="312"/>
      <c r="E1410" s="301"/>
      <c r="F1410" s="232"/>
      <c r="J1410" s="306"/>
      <c r="K1410" s="306"/>
      <c r="L1410" s="313"/>
      <c r="M1410" s="219"/>
      <c r="N1410" s="218"/>
      <c r="S1410" s="224"/>
      <c r="T1410" s="228"/>
      <c r="U1410" s="226"/>
      <c r="V1410" s="226"/>
      <c r="W1410" s="303"/>
      <c r="X1410" s="220"/>
      <c r="Z1410" s="227"/>
      <c r="AA1410" s="220"/>
      <c r="AB1410" s="221"/>
      <c r="AC1410" s="229"/>
      <c r="AD1410" s="230"/>
      <c r="AE1410" s="230"/>
      <c r="AF1410" s="230"/>
      <c r="AG1410" s="227"/>
    </row>
    <row r="1411" spans="1:33" x14ac:dyDescent="0.25">
      <c r="A1411" s="32"/>
      <c r="B1411" s="306"/>
      <c r="C1411" s="307"/>
      <c r="D1411" s="312"/>
      <c r="E1411" s="301"/>
      <c r="F1411" s="232"/>
      <c r="J1411" s="306"/>
      <c r="K1411" s="306"/>
      <c r="L1411" s="313"/>
      <c r="M1411" s="219"/>
      <c r="N1411" s="218"/>
      <c r="S1411" s="224"/>
      <c r="T1411" s="228"/>
      <c r="U1411" s="226"/>
      <c r="V1411" s="226"/>
      <c r="W1411" s="303"/>
      <c r="X1411" s="220"/>
      <c r="Z1411" s="227"/>
      <c r="AA1411" s="220"/>
      <c r="AB1411" s="221"/>
      <c r="AC1411" s="229"/>
      <c r="AD1411" s="230"/>
      <c r="AE1411" s="230"/>
      <c r="AF1411" s="230"/>
      <c r="AG1411" s="227"/>
    </row>
    <row r="1412" spans="1:33" x14ac:dyDescent="0.25">
      <c r="A1412" s="32"/>
      <c r="B1412" s="306"/>
      <c r="C1412" s="307"/>
      <c r="D1412" s="312"/>
      <c r="E1412" s="301"/>
      <c r="F1412" s="232"/>
      <c r="J1412" s="306"/>
      <c r="K1412" s="306"/>
      <c r="L1412" s="313"/>
      <c r="M1412" s="219"/>
      <c r="N1412" s="218"/>
      <c r="S1412" s="224"/>
      <c r="T1412" s="228"/>
      <c r="U1412" s="226"/>
      <c r="V1412" s="226"/>
      <c r="W1412" s="303"/>
      <c r="X1412" s="220"/>
      <c r="Z1412" s="227"/>
      <c r="AA1412" s="220"/>
      <c r="AB1412" s="221"/>
      <c r="AC1412" s="229"/>
      <c r="AD1412" s="230"/>
      <c r="AE1412" s="230"/>
      <c r="AF1412" s="230"/>
      <c r="AG1412" s="227"/>
    </row>
    <row r="1413" spans="1:33" x14ac:dyDescent="0.25">
      <c r="A1413" s="32"/>
      <c r="B1413" s="306"/>
      <c r="C1413" s="307"/>
      <c r="D1413" s="312"/>
      <c r="E1413" s="301"/>
      <c r="F1413" s="232"/>
      <c r="J1413" s="306"/>
      <c r="K1413" s="306"/>
      <c r="L1413" s="313"/>
      <c r="M1413" s="219"/>
      <c r="N1413" s="218"/>
      <c r="S1413" s="224"/>
      <c r="T1413" s="228"/>
      <c r="U1413" s="226"/>
      <c r="V1413" s="226"/>
      <c r="W1413" s="303"/>
      <c r="X1413" s="220"/>
      <c r="Z1413" s="227"/>
      <c r="AA1413" s="220"/>
      <c r="AB1413" s="221"/>
      <c r="AC1413" s="229"/>
      <c r="AD1413" s="230"/>
      <c r="AE1413" s="230"/>
      <c r="AF1413" s="230"/>
      <c r="AG1413" s="227"/>
    </row>
    <row r="1414" spans="1:33" x14ac:dyDescent="0.25">
      <c r="A1414" s="32"/>
      <c r="B1414" s="306"/>
      <c r="C1414" s="307"/>
      <c r="D1414" s="312"/>
      <c r="E1414" s="301"/>
      <c r="F1414" s="232"/>
      <c r="J1414" s="306"/>
      <c r="K1414" s="306"/>
      <c r="L1414" s="313"/>
      <c r="M1414" s="219"/>
      <c r="N1414" s="218"/>
      <c r="S1414" s="224"/>
      <c r="T1414" s="228"/>
      <c r="U1414" s="226"/>
      <c r="V1414" s="226"/>
      <c r="W1414" s="303"/>
      <c r="X1414" s="220"/>
      <c r="Z1414" s="227"/>
      <c r="AA1414" s="220"/>
      <c r="AB1414" s="221"/>
      <c r="AC1414" s="229"/>
      <c r="AD1414" s="230"/>
      <c r="AE1414" s="230"/>
      <c r="AF1414" s="230"/>
      <c r="AG1414" s="227"/>
    </row>
    <row r="1415" spans="1:33" x14ac:dyDescent="0.25">
      <c r="A1415" s="32"/>
      <c r="B1415" s="306"/>
      <c r="C1415" s="307"/>
      <c r="D1415" s="312"/>
      <c r="E1415" s="301"/>
      <c r="F1415" s="232"/>
      <c r="J1415" s="306"/>
      <c r="K1415" s="306"/>
      <c r="L1415" s="313"/>
      <c r="M1415" s="219"/>
      <c r="N1415" s="218"/>
      <c r="S1415" s="224"/>
      <c r="T1415" s="228"/>
      <c r="U1415" s="226"/>
      <c r="V1415" s="226"/>
      <c r="W1415" s="303"/>
      <c r="X1415" s="220"/>
      <c r="Z1415" s="227"/>
      <c r="AA1415" s="220"/>
      <c r="AB1415" s="221"/>
      <c r="AC1415" s="229"/>
      <c r="AD1415" s="230"/>
      <c r="AE1415" s="230"/>
      <c r="AF1415" s="230"/>
      <c r="AG1415" s="227"/>
    </row>
    <row r="1416" spans="1:33" x14ac:dyDescent="0.25">
      <c r="A1416" s="32"/>
      <c r="B1416" s="306"/>
      <c r="C1416" s="307"/>
      <c r="D1416" s="312"/>
      <c r="E1416" s="301"/>
      <c r="F1416" s="232"/>
      <c r="J1416" s="306"/>
      <c r="K1416" s="306"/>
      <c r="L1416" s="313"/>
      <c r="M1416" s="219"/>
      <c r="N1416" s="218"/>
      <c r="S1416" s="224"/>
      <c r="T1416" s="228"/>
      <c r="U1416" s="226"/>
      <c r="V1416" s="226"/>
      <c r="W1416" s="303"/>
      <c r="X1416" s="220"/>
      <c r="Z1416" s="227"/>
      <c r="AA1416" s="220"/>
      <c r="AB1416" s="221"/>
      <c r="AC1416" s="229"/>
      <c r="AD1416" s="230"/>
      <c r="AE1416" s="230"/>
      <c r="AF1416" s="230"/>
      <c r="AG1416" s="227"/>
    </row>
    <row r="1417" spans="1:33" x14ac:dyDescent="0.25">
      <c r="A1417" s="32"/>
      <c r="B1417" s="306"/>
      <c r="C1417" s="307"/>
      <c r="D1417" s="312"/>
      <c r="E1417" s="301"/>
      <c r="F1417" s="232"/>
      <c r="J1417" s="306"/>
      <c r="K1417" s="306"/>
      <c r="L1417" s="313"/>
      <c r="M1417" s="219"/>
      <c r="N1417" s="218"/>
      <c r="S1417" s="224"/>
      <c r="T1417" s="228"/>
      <c r="U1417" s="226"/>
      <c r="V1417" s="226"/>
      <c r="W1417" s="303"/>
      <c r="X1417" s="220"/>
      <c r="Z1417" s="227"/>
      <c r="AA1417" s="220"/>
      <c r="AB1417" s="221"/>
      <c r="AC1417" s="229"/>
      <c r="AD1417" s="230"/>
      <c r="AE1417" s="230"/>
      <c r="AF1417" s="230"/>
      <c r="AG1417" s="227"/>
    </row>
    <row r="1418" spans="1:33" x14ac:dyDescent="0.25">
      <c r="A1418" s="32"/>
      <c r="B1418" s="306"/>
      <c r="C1418" s="307"/>
      <c r="D1418" s="312"/>
      <c r="E1418" s="301"/>
      <c r="F1418" s="232"/>
      <c r="J1418" s="306"/>
      <c r="K1418" s="306"/>
      <c r="L1418" s="313"/>
      <c r="M1418" s="219"/>
      <c r="N1418" s="218"/>
      <c r="S1418" s="224"/>
      <c r="T1418" s="228"/>
      <c r="U1418" s="226"/>
      <c r="V1418" s="226"/>
      <c r="W1418" s="303"/>
      <c r="X1418" s="220"/>
      <c r="Z1418" s="227"/>
      <c r="AA1418" s="220"/>
      <c r="AB1418" s="221"/>
      <c r="AC1418" s="229"/>
      <c r="AD1418" s="230"/>
      <c r="AE1418" s="230"/>
      <c r="AF1418" s="230"/>
      <c r="AG1418" s="227"/>
    </row>
    <row r="1419" spans="1:33" x14ac:dyDescent="0.25">
      <c r="A1419" s="32"/>
      <c r="B1419" s="306"/>
      <c r="C1419" s="307"/>
      <c r="D1419" s="312"/>
      <c r="E1419" s="301"/>
      <c r="F1419" s="232"/>
      <c r="J1419" s="306"/>
      <c r="K1419" s="306"/>
      <c r="L1419" s="313"/>
      <c r="M1419" s="219"/>
      <c r="N1419" s="218"/>
      <c r="S1419" s="224"/>
      <c r="T1419" s="228"/>
      <c r="U1419" s="226"/>
      <c r="V1419" s="226"/>
      <c r="W1419" s="303"/>
      <c r="X1419" s="220"/>
      <c r="Z1419" s="227"/>
      <c r="AA1419" s="220"/>
      <c r="AB1419" s="221"/>
      <c r="AC1419" s="229"/>
      <c r="AD1419" s="230"/>
      <c r="AE1419" s="230"/>
      <c r="AF1419" s="230"/>
      <c r="AG1419" s="227"/>
    </row>
    <row r="1420" spans="1:33" x14ac:dyDescent="0.25">
      <c r="A1420" s="32"/>
      <c r="B1420" s="306"/>
      <c r="C1420" s="307"/>
      <c r="D1420" s="312"/>
      <c r="E1420" s="301"/>
      <c r="F1420" s="232"/>
      <c r="J1420" s="306"/>
      <c r="K1420" s="306"/>
      <c r="L1420" s="313"/>
      <c r="M1420" s="219"/>
      <c r="N1420" s="218"/>
      <c r="S1420" s="224"/>
      <c r="T1420" s="228"/>
      <c r="U1420" s="226"/>
      <c r="V1420" s="226"/>
      <c r="W1420" s="303"/>
      <c r="X1420" s="220"/>
      <c r="Z1420" s="227"/>
      <c r="AA1420" s="220"/>
      <c r="AB1420" s="221"/>
      <c r="AC1420" s="229"/>
      <c r="AD1420" s="230"/>
      <c r="AE1420" s="230"/>
      <c r="AF1420" s="230"/>
      <c r="AG1420" s="227"/>
    </row>
    <row r="1421" spans="1:33" x14ac:dyDescent="0.25">
      <c r="A1421" s="32"/>
      <c r="B1421" s="306"/>
      <c r="C1421" s="307"/>
      <c r="D1421" s="312"/>
      <c r="E1421" s="301"/>
      <c r="F1421" s="232"/>
      <c r="J1421" s="306"/>
      <c r="K1421" s="306"/>
      <c r="L1421" s="313"/>
      <c r="M1421" s="219"/>
      <c r="N1421" s="218"/>
      <c r="S1421" s="224"/>
      <c r="T1421" s="228"/>
      <c r="U1421" s="226"/>
      <c r="V1421" s="226"/>
      <c r="W1421" s="303"/>
      <c r="X1421" s="220"/>
      <c r="Z1421" s="227"/>
      <c r="AA1421" s="220"/>
      <c r="AB1421" s="221"/>
      <c r="AC1421" s="229"/>
      <c r="AD1421" s="230"/>
      <c r="AE1421" s="230"/>
      <c r="AF1421" s="230"/>
      <c r="AG1421" s="227"/>
    </row>
    <row r="1422" spans="1:33" x14ac:dyDescent="0.25">
      <c r="A1422" s="32"/>
      <c r="B1422" s="306"/>
      <c r="C1422" s="307"/>
      <c r="D1422" s="312"/>
      <c r="E1422" s="301"/>
      <c r="F1422" s="232"/>
      <c r="J1422" s="306"/>
      <c r="K1422" s="306"/>
      <c r="L1422" s="313"/>
      <c r="M1422" s="219"/>
      <c r="N1422" s="218"/>
      <c r="S1422" s="224"/>
      <c r="T1422" s="228"/>
      <c r="U1422" s="226"/>
      <c r="V1422" s="226"/>
      <c r="W1422" s="303"/>
      <c r="X1422" s="220"/>
      <c r="Z1422" s="227"/>
      <c r="AA1422" s="220"/>
      <c r="AB1422" s="221"/>
      <c r="AC1422" s="229"/>
      <c r="AD1422" s="230"/>
      <c r="AE1422" s="230"/>
      <c r="AF1422" s="230"/>
      <c r="AG1422" s="227"/>
    </row>
    <row r="1423" spans="1:33" x14ac:dyDescent="0.25">
      <c r="A1423" s="32"/>
      <c r="B1423" s="306"/>
      <c r="C1423" s="307"/>
      <c r="D1423" s="312"/>
      <c r="E1423" s="301"/>
      <c r="F1423" s="232"/>
      <c r="J1423" s="306"/>
      <c r="K1423" s="306"/>
      <c r="L1423" s="313"/>
      <c r="M1423" s="219"/>
      <c r="N1423" s="218"/>
      <c r="S1423" s="224"/>
      <c r="T1423" s="228"/>
      <c r="U1423" s="226"/>
      <c r="V1423" s="226"/>
      <c r="W1423" s="303"/>
      <c r="X1423" s="220"/>
      <c r="Z1423" s="227"/>
      <c r="AA1423" s="220"/>
      <c r="AB1423" s="221"/>
      <c r="AC1423" s="229"/>
      <c r="AD1423" s="230"/>
      <c r="AE1423" s="230"/>
      <c r="AF1423" s="230"/>
      <c r="AG1423" s="227"/>
    </row>
    <row r="1424" spans="1:33" x14ac:dyDescent="0.25">
      <c r="A1424" s="32"/>
      <c r="B1424" s="306"/>
      <c r="C1424" s="307"/>
      <c r="D1424" s="312"/>
      <c r="E1424" s="301"/>
      <c r="F1424" s="232"/>
      <c r="J1424" s="306"/>
      <c r="K1424" s="306"/>
      <c r="L1424" s="313"/>
      <c r="M1424" s="219"/>
      <c r="N1424" s="218"/>
      <c r="S1424" s="224"/>
      <c r="T1424" s="228"/>
      <c r="U1424" s="226"/>
      <c r="V1424" s="226"/>
      <c r="W1424" s="303"/>
      <c r="X1424" s="220"/>
      <c r="Z1424" s="227"/>
      <c r="AA1424" s="220"/>
      <c r="AB1424" s="221"/>
      <c r="AC1424" s="229"/>
      <c r="AD1424" s="230"/>
      <c r="AE1424" s="230"/>
      <c r="AF1424" s="230"/>
      <c r="AG1424" s="227"/>
    </row>
    <row r="1425" spans="1:33" x14ac:dyDescent="0.25">
      <c r="A1425" s="32"/>
      <c r="B1425" s="306"/>
      <c r="C1425" s="307"/>
      <c r="D1425" s="312"/>
      <c r="E1425" s="301"/>
      <c r="F1425" s="232"/>
      <c r="J1425" s="306"/>
      <c r="K1425" s="306"/>
      <c r="L1425" s="313"/>
      <c r="M1425" s="219"/>
      <c r="N1425" s="218"/>
      <c r="S1425" s="224"/>
      <c r="T1425" s="228"/>
      <c r="U1425" s="226"/>
      <c r="V1425" s="226"/>
      <c r="W1425" s="303"/>
      <c r="X1425" s="220"/>
      <c r="Z1425" s="227"/>
      <c r="AA1425" s="220"/>
      <c r="AB1425" s="221"/>
      <c r="AC1425" s="229"/>
      <c r="AD1425" s="230"/>
      <c r="AE1425" s="230"/>
      <c r="AF1425" s="230"/>
      <c r="AG1425" s="227"/>
    </row>
    <row r="1426" spans="1:33" x14ac:dyDescent="0.25">
      <c r="A1426" s="32"/>
      <c r="B1426" s="306"/>
      <c r="C1426" s="307"/>
      <c r="D1426" s="312"/>
      <c r="E1426" s="301"/>
      <c r="F1426" s="232"/>
      <c r="J1426" s="306"/>
      <c r="K1426" s="306"/>
      <c r="L1426" s="313"/>
      <c r="M1426" s="219"/>
      <c r="N1426" s="218"/>
      <c r="S1426" s="224"/>
      <c r="T1426" s="228"/>
      <c r="U1426" s="226"/>
      <c r="V1426" s="226"/>
      <c r="W1426" s="303"/>
      <c r="X1426" s="220"/>
      <c r="Z1426" s="227"/>
      <c r="AA1426" s="220"/>
      <c r="AB1426" s="221"/>
      <c r="AC1426" s="229"/>
      <c r="AD1426" s="230"/>
      <c r="AE1426" s="230"/>
      <c r="AF1426" s="230"/>
      <c r="AG1426" s="227"/>
    </row>
    <row r="1427" spans="1:33" x14ac:dyDescent="0.25">
      <c r="A1427" s="32"/>
      <c r="B1427" s="306"/>
      <c r="C1427" s="307"/>
      <c r="D1427" s="312"/>
      <c r="E1427" s="301"/>
      <c r="F1427" s="232"/>
      <c r="J1427" s="306"/>
      <c r="K1427" s="306"/>
      <c r="L1427" s="313"/>
      <c r="M1427" s="219"/>
      <c r="N1427" s="218"/>
      <c r="S1427" s="224"/>
      <c r="T1427" s="228"/>
      <c r="U1427" s="226"/>
      <c r="V1427" s="226"/>
      <c r="W1427" s="303"/>
      <c r="X1427" s="220"/>
      <c r="Z1427" s="227"/>
      <c r="AA1427" s="220"/>
      <c r="AB1427" s="221"/>
      <c r="AC1427" s="229"/>
      <c r="AD1427" s="230"/>
      <c r="AE1427" s="230"/>
      <c r="AF1427" s="230"/>
      <c r="AG1427" s="227"/>
    </row>
    <row r="1428" spans="1:33" x14ac:dyDescent="0.25">
      <c r="A1428" s="32"/>
      <c r="B1428" s="306"/>
      <c r="C1428" s="307"/>
      <c r="D1428" s="312"/>
      <c r="E1428" s="301"/>
      <c r="F1428" s="232"/>
      <c r="J1428" s="306"/>
      <c r="K1428" s="306"/>
      <c r="L1428" s="313"/>
      <c r="M1428" s="219"/>
      <c r="N1428" s="218"/>
      <c r="S1428" s="224"/>
      <c r="T1428" s="228"/>
      <c r="U1428" s="226"/>
      <c r="V1428" s="226"/>
      <c r="W1428" s="303"/>
      <c r="X1428" s="220"/>
      <c r="Z1428" s="227"/>
      <c r="AA1428" s="220"/>
      <c r="AB1428" s="221"/>
      <c r="AC1428" s="229"/>
      <c r="AD1428" s="230"/>
      <c r="AE1428" s="230"/>
      <c r="AF1428" s="230"/>
      <c r="AG1428" s="227"/>
    </row>
    <row r="1429" spans="1:33" x14ac:dyDescent="0.25">
      <c r="A1429" s="32"/>
      <c r="B1429" s="306"/>
      <c r="C1429" s="307"/>
      <c r="D1429" s="312"/>
      <c r="E1429" s="301"/>
      <c r="F1429" s="232"/>
      <c r="J1429" s="306"/>
      <c r="K1429" s="306"/>
      <c r="L1429" s="313"/>
      <c r="M1429" s="219"/>
      <c r="N1429" s="218"/>
      <c r="S1429" s="224"/>
      <c r="T1429" s="228"/>
      <c r="U1429" s="226"/>
      <c r="V1429" s="226"/>
      <c r="W1429" s="303"/>
      <c r="X1429" s="220"/>
      <c r="Z1429" s="227"/>
      <c r="AA1429" s="220"/>
      <c r="AB1429" s="221"/>
      <c r="AC1429" s="229"/>
      <c r="AD1429" s="230"/>
      <c r="AE1429" s="230"/>
      <c r="AF1429" s="230"/>
      <c r="AG1429" s="227"/>
    </row>
    <row r="1430" spans="1:33" x14ac:dyDescent="0.25">
      <c r="A1430" s="32"/>
      <c r="B1430" s="306"/>
      <c r="C1430" s="307"/>
      <c r="D1430" s="312"/>
      <c r="E1430" s="301"/>
      <c r="F1430" s="232"/>
      <c r="J1430" s="306"/>
      <c r="K1430" s="306"/>
      <c r="L1430" s="313"/>
      <c r="M1430" s="219"/>
      <c r="N1430" s="218"/>
      <c r="S1430" s="224"/>
      <c r="T1430" s="228"/>
      <c r="U1430" s="226"/>
      <c r="V1430" s="226"/>
      <c r="W1430" s="303"/>
      <c r="X1430" s="220"/>
      <c r="Z1430" s="227"/>
      <c r="AA1430" s="220"/>
      <c r="AB1430" s="221"/>
      <c r="AC1430" s="229"/>
      <c r="AD1430" s="230"/>
      <c r="AE1430" s="230"/>
      <c r="AF1430" s="230"/>
      <c r="AG1430" s="227"/>
    </row>
    <row r="1431" spans="1:33" x14ac:dyDescent="0.25">
      <c r="A1431" s="32"/>
      <c r="B1431" s="306"/>
      <c r="C1431" s="307"/>
      <c r="D1431" s="312"/>
      <c r="E1431" s="301"/>
      <c r="F1431" s="232"/>
      <c r="J1431" s="306"/>
      <c r="K1431" s="306"/>
      <c r="L1431" s="313"/>
      <c r="M1431" s="219"/>
      <c r="N1431" s="218"/>
      <c r="S1431" s="224"/>
      <c r="T1431" s="228"/>
      <c r="U1431" s="226"/>
      <c r="V1431" s="226"/>
      <c r="W1431" s="303"/>
      <c r="X1431" s="220"/>
      <c r="Z1431" s="227"/>
      <c r="AA1431" s="220"/>
      <c r="AB1431" s="221"/>
      <c r="AC1431" s="229"/>
      <c r="AD1431" s="230"/>
      <c r="AE1431" s="230"/>
      <c r="AF1431" s="230"/>
      <c r="AG1431" s="227"/>
    </row>
    <row r="1432" spans="1:33" x14ac:dyDescent="0.25">
      <c r="A1432" s="32"/>
      <c r="B1432" s="306"/>
      <c r="C1432" s="307"/>
      <c r="D1432" s="312"/>
      <c r="E1432" s="301"/>
      <c r="F1432" s="232"/>
      <c r="J1432" s="306"/>
      <c r="K1432" s="306"/>
      <c r="L1432" s="313"/>
      <c r="M1432" s="219"/>
      <c r="N1432" s="218"/>
      <c r="S1432" s="224"/>
      <c r="T1432" s="228"/>
      <c r="U1432" s="226"/>
      <c r="V1432" s="226"/>
      <c r="W1432" s="303"/>
      <c r="X1432" s="220"/>
      <c r="Z1432" s="227"/>
      <c r="AA1432" s="220"/>
      <c r="AB1432" s="221"/>
      <c r="AC1432" s="229"/>
      <c r="AD1432" s="230"/>
      <c r="AE1432" s="230"/>
      <c r="AF1432" s="230"/>
      <c r="AG1432" s="227"/>
    </row>
    <row r="1433" spans="1:33" x14ac:dyDescent="0.25">
      <c r="A1433" s="32"/>
      <c r="B1433" s="306"/>
      <c r="C1433" s="307"/>
      <c r="D1433" s="312"/>
      <c r="E1433" s="301"/>
      <c r="F1433" s="232"/>
      <c r="J1433" s="306"/>
      <c r="K1433" s="306"/>
      <c r="L1433" s="313"/>
      <c r="M1433" s="219"/>
      <c r="N1433" s="218"/>
      <c r="S1433" s="224"/>
      <c r="T1433" s="228"/>
      <c r="U1433" s="226"/>
      <c r="V1433" s="226"/>
      <c r="W1433" s="303"/>
      <c r="X1433" s="220"/>
      <c r="Z1433" s="227"/>
      <c r="AA1433" s="220"/>
      <c r="AB1433" s="221"/>
      <c r="AC1433" s="229"/>
      <c r="AD1433" s="230"/>
      <c r="AE1433" s="230"/>
      <c r="AF1433" s="230"/>
      <c r="AG1433" s="227"/>
    </row>
    <row r="1434" spans="1:33" x14ac:dyDescent="0.25">
      <c r="A1434" s="32"/>
      <c r="B1434" s="306"/>
      <c r="C1434" s="307"/>
      <c r="D1434" s="312"/>
      <c r="E1434" s="301"/>
      <c r="F1434" s="232"/>
      <c r="J1434" s="306"/>
      <c r="K1434" s="306"/>
      <c r="L1434" s="313"/>
      <c r="M1434" s="219"/>
      <c r="N1434" s="218"/>
      <c r="S1434" s="224"/>
      <c r="T1434" s="228"/>
      <c r="U1434" s="226"/>
      <c r="V1434" s="226"/>
      <c r="W1434" s="303"/>
      <c r="X1434" s="220"/>
      <c r="Z1434" s="227"/>
      <c r="AA1434" s="220"/>
      <c r="AB1434" s="221"/>
      <c r="AC1434" s="229"/>
      <c r="AD1434" s="230"/>
      <c r="AE1434" s="230"/>
      <c r="AF1434" s="230"/>
      <c r="AG1434" s="227"/>
    </row>
    <row r="1435" spans="1:33" x14ac:dyDescent="0.25">
      <c r="A1435" s="32"/>
      <c r="B1435" s="306"/>
      <c r="C1435" s="307"/>
      <c r="D1435" s="312"/>
      <c r="E1435" s="301"/>
      <c r="F1435" s="232"/>
      <c r="J1435" s="306"/>
      <c r="K1435" s="306"/>
      <c r="L1435" s="313"/>
      <c r="M1435" s="219"/>
      <c r="N1435" s="218"/>
      <c r="S1435" s="224"/>
      <c r="T1435" s="228"/>
      <c r="U1435" s="226"/>
      <c r="V1435" s="226"/>
      <c r="W1435" s="303"/>
      <c r="X1435" s="220"/>
      <c r="Z1435" s="227"/>
      <c r="AA1435" s="220"/>
      <c r="AB1435" s="221"/>
      <c r="AC1435" s="229"/>
      <c r="AD1435" s="230"/>
      <c r="AE1435" s="230"/>
      <c r="AF1435" s="230"/>
      <c r="AG1435" s="227"/>
    </row>
    <row r="1436" spans="1:33" x14ac:dyDescent="0.25">
      <c r="A1436" s="32"/>
      <c r="B1436" s="306"/>
      <c r="C1436" s="307"/>
      <c r="D1436" s="312"/>
      <c r="E1436" s="301"/>
      <c r="F1436" s="232"/>
      <c r="J1436" s="306"/>
      <c r="K1436" s="306"/>
      <c r="L1436" s="313"/>
      <c r="M1436" s="219"/>
      <c r="N1436" s="218"/>
      <c r="S1436" s="224"/>
      <c r="T1436" s="228"/>
      <c r="U1436" s="226"/>
      <c r="V1436" s="226"/>
      <c r="W1436" s="303"/>
      <c r="X1436" s="220"/>
      <c r="Z1436" s="227"/>
      <c r="AA1436" s="220"/>
      <c r="AB1436" s="221"/>
      <c r="AC1436" s="229"/>
      <c r="AD1436" s="230"/>
      <c r="AE1436" s="230"/>
      <c r="AF1436" s="230"/>
      <c r="AG1436" s="227"/>
    </row>
    <row r="1437" spans="1:33" x14ac:dyDescent="0.25">
      <c r="A1437" s="32"/>
      <c r="B1437" s="306"/>
      <c r="C1437" s="307"/>
      <c r="D1437" s="312"/>
      <c r="E1437" s="301"/>
      <c r="F1437" s="232"/>
      <c r="J1437" s="306"/>
      <c r="K1437" s="306"/>
      <c r="L1437" s="313"/>
      <c r="M1437" s="219"/>
      <c r="N1437" s="218"/>
      <c r="S1437" s="224"/>
      <c r="T1437" s="228"/>
      <c r="U1437" s="226"/>
      <c r="V1437" s="226"/>
      <c r="W1437" s="303"/>
      <c r="X1437" s="220"/>
      <c r="Z1437" s="227"/>
      <c r="AA1437" s="220"/>
      <c r="AB1437" s="221"/>
      <c r="AC1437" s="229"/>
      <c r="AD1437" s="230"/>
      <c r="AE1437" s="230"/>
      <c r="AF1437" s="230"/>
      <c r="AG1437" s="227"/>
    </row>
    <row r="1438" spans="1:33" x14ac:dyDescent="0.25">
      <c r="A1438" s="32"/>
      <c r="B1438" s="306"/>
      <c r="C1438" s="307"/>
      <c r="D1438" s="312"/>
      <c r="E1438" s="301"/>
      <c r="F1438" s="232"/>
      <c r="J1438" s="306"/>
      <c r="K1438" s="306"/>
      <c r="L1438" s="313"/>
      <c r="M1438" s="219"/>
      <c r="N1438" s="218"/>
      <c r="S1438" s="224"/>
      <c r="T1438" s="228"/>
      <c r="U1438" s="226"/>
      <c r="V1438" s="226"/>
      <c r="W1438" s="303"/>
      <c r="X1438" s="220"/>
      <c r="Z1438" s="227"/>
      <c r="AA1438" s="220"/>
      <c r="AB1438" s="221"/>
      <c r="AC1438" s="229"/>
      <c r="AD1438" s="230"/>
      <c r="AE1438" s="230"/>
      <c r="AF1438" s="230"/>
      <c r="AG1438" s="227"/>
    </row>
    <row r="1439" spans="1:33" x14ac:dyDescent="0.25">
      <c r="A1439" s="32"/>
      <c r="B1439" s="306"/>
      <c r="C1439" s="307"/>
      <c r="D1439" s="312"/>
      <c r="E1439" s="301"/>
      <c r="F1439" s="232"/>
      <c r="J1439" s="306"/>
      <c r="K1439" s="306"/>
      <c r="L1439" s="313"/>
      <c r="M1439" s="219"/>
      <c r="N1439" s="218"/>
      <c r="S1439" s="224"/>
      <c r="T1439" s="228"/>
      <c r="U1439" s="226"/>
      <c r="V1439" s="226"/>
      <c r="W1439" s="303"/>
      <c r="X1439" s="220"/>
      <c r="Z1439" s="227"/>
      <c r="AA1439" s="220"/>
      <c r="AB1439" s="221"/>
      <c r="AC1439" s="229"/>
      <c r="AD1439" s="230"/>
      <c r="AE1439" s="230"/>
      <c r="AF1439" s="230"/>
      <c r="AG1439" s="227"/>
    </row>
    <row r="1440" spans="1:33" x14ac:dyDescent="0.25">
      <c r="A1440" s="32"/>
      <c r="B1440" s="306"/>
      <c r="C1440" s="307"/>
      <c r="D1440" s="312"/>
      <c r="E1440" s="301"/>
      <c r="F1440" s="232"/>
      <c r="J1440" s="306"/>
      <c r="K1440" s="306"/>
      <c r="L1440" s="313"/>
      <c r="M1440" s="219"/>
      <c r="N1440" s="218"/>
      <c r="S1440" s="224"/>
      <c r="T1440" s="228"/>
      <c r="U1440" s="226"/>
      <c r="V1440" s="226"/>
      <c r="W1440" s="303"/>
      <c r="X1440" s="220"/>
      <c r="Z1440" s="227"/>
      <c r="AA1440" s="220"/>
      <c r="AB1440" s="221"/>
      <c r="AC1440" s="229"/>
      <c r="AD1440" s="230"/>
      <c r="AE1440" s="230"/>
      <c r="AF1440" s="230"/>
      <c r="AG1440" s="227"/>
    </row>
    <row r="1441" spans="1:33" x14ac:dyDescent="0.25">
      <c r="A1441" s="32"/>
      <c r="B1441" s="306"/>
      <c r="C1441" s="307"/>
      <c r="D1441" s="312"/>
      <c r="E1441" s="301"/>
      <c r="F1441" s="232"/>
      <c r="J1441" s="306"/>
      <c r="K1441" s="306"/>
      <c r="L1441" s="313"/>
      <c r="M1441" s="219"/>
      <c r="N1441" s="218"/>
      <c r="S1441" s="224"/>
      <c r="T1441" s="228"/>
      <c r="U1441" s="226"/>
      <c r="V1441" s="226"/>
      <c r="W1441" s="303"/>
      <c r="X1441" s="220"/>
      <c r="Z1441" s="227"/>
      <c r="AA1441" s="220"/>
      <c r="AB1441" s="221"/>
      <c r="AC1441" s="229"/>
      <c r="AD1441" s="230"/>
      <c r="AE1441" s="230"/>
      <c r="AF1441" s="230"/>
      <c r="AG1441" s="227"/>
    </row>
    <row r="1442" spans="1:33" x14ac:dyDescent="0.25">
      <c r="A1442" s="32"/>
      <c r="B1442" s="306"/>
      <c r="C1442" s="307"/>
      <c r="D1442" s="312"/>
      <c r="E1442" s="301"/>
      <c r="F1442" s="232"/>
      <c r="J1442" s="306"/>
      <c r="K1442" s="306"/>
      <c r="L1442" s="313"/>
      <c r="M1442" s="219"/>
      <c r="N1442" s="218"/>
      <c r="S1442" s="224"/>
      <c r="T1442" s="228"/>
      <c r="U1442" s="226"/>
      <c r="V1442" s="226"/>
      <c r="W1442" s="303"/>
      <c r="X1442" s="220"/>
      <c r="Z1442" s="227"/>
      <c r="AA1442" s="220"/>
      <c r="AB1442" s="221"/>
      <c r="AC1442" s="229"/>
      <c r="AD1442" s="230"/>
      <c r="AE1442" s="230"/>
      <c r="AF1442" s="230"/>
      <c r="AG1442" s="227"/>
    </row>
    <row r="1443" spans="1:33" x14ac:dyDescent="0.25">
      <c r="A1443" s="32"/>
      <c r="B1443" s="306"/>
      <c r="C1443" s="307"/>
      <c r="D1443" s="312"/>
      <c r="E1443" s="301"/>
      <c r="F1443" s="232"/>
      <c r="J1443" s="306"/>
      <c r="K1443" s="306"/>
      <c r="L1443" s="313"/>
      <c r="M1443" s="219"/>
      <c r="N1443" s="218"/>
      <c r="S1443" s="224"/>
      <c r="T1443" s="228"/>
      <c r="U1443" s="226"/>
      <c r="V1443" s="226"/>
      <c r="W1443" s="303"/>
      <c r="X1443" s="220"/>
      <c r="Z1443" s="227"/>
      <c r="AA1443" s="220"/>
      <c r="AB1443" s="221"/>
      <c r="AC1443" s="229"/>
      <c r="AD1443" s="230"/>
      <c r="AE1443" s="230"/>
      <c r="AF1443" s="230"/>
      <c r="AG1443" s="227"/>
    </row>
    <row r="1444" spans="1:33" x14ac:dyDescent="0.25">
      <c r="A1444" s="32"/>
      <c r="B1444" s="306"/>
      <c r="C1444" s="307"/>
      <c r="D1444" s="312"/>
      <c r="E1444" s="301"/>
      <c r="F1444" s="232"/>
      <c r="J1444" s="306"/>
      <c r="K1444" s="306"/>
      <c r="L1444" s="313"/>
      <c r="M1444" s="219"/>
      <c r="N1444" s="218"/>
      <c r="S1444" s="224"/>
      <c r="T1444" s="228"/>
      <c r="U1444" s="226"/>
      <c r="V1444" s="226"/>
      <c r="W1444" s="303"/>
      <c r="X1444" s="220"/>
      <c r="Z1444" s="227"/>
      <c r="AA1444" s="220"/>
      <c r="AB1444" s="221"/>
      <c r="AC1444" s="229"/>
      <c r="AD1444" s="230"/>
      <c r="AE1444" s="230"/>
      <c r="AF1444" s="230"/>
      <c r="AG1444" s="227"/>
    </row>
    <row r="1445" spans="1:33" x14ac:dyDescent="0.25">
      <c r="A1445" s="32"/>
      <c r="B1445" s="306"/>
      <c r="C1445" s="307"/>
      <c r="D1445" s="312"/>
      <c r="E1445" s="301"/>
      <c r="F1445" s="232"/>
      <c r="J1445" s="306"/>
      <c r="K1445" s="306"/>
      <c r="L1445" s="313"/>
      <c r="M1445" s="219"/>
      <c r="N1445" s="218"/>
      <c r="S1445" s="224"/>
      <c r="T1445" s="228"/>
      <c r="U1445" s="226"/>
      <c r="V1445" s="226"/>
      <c r="W1445" s="303"/>
      <c r="X1445" s="220"/>
      <c r="Z1445" s="227"/>
      <c r="AA1445" s="220"/>
      <c r="AB1445" s="221"/>
      <c r="AC1445" s="229"/>
      <c r="AD1445" s="230"/>
      <c r="AE1445" s="230"/>
      <c r="AF1445" s="230"/>
      <c r="AG1445" s="227"/>
    </row>
    <row r="1446" spans="1:33" x14ac:dyDescent="0.25">
      <c r="A1446" s="32"/>
      <c r="B1446" s="306"/>
      <c r="C1446" s="307"/>
      <c r="D1446" s="312"/>
      <c r="E1446" s="301"/>
      <c r="F1446" s="232"/>
      <c r="J1446" s="306"/>
      <c r="K1446" s="306"/>
      <c r="L1446" s="313"/>
      <c r="M1446" s="219"/>
      <c r="N1446" s="218"/>
      <c r="S1446" s="224"/>
      <c r="T1446" s="228"/>
      <c r="U1446" s="226"/>
      <c r="V1446" s="226"/>
      <c r="W1446" s="303"/>
      <c r="X1446" s="220"/>
      <c r="Z1446" s="227"/>
      <c r="AA1446" s="220"/>
      <c r="AB1446" s="221"/>
      <c r="AC1446" s="229"/>
      <c r="AD1446" s="230"/>
      <c r="AE1446" s="230"/>
      <c r="AF1446" s="230"/>
      <c r="AG1446" s="227"/>
    </row>
    <row r="1447" spans="1:33" x14ac:dyDescent="0.25">
      <c r="A1447" s="32"/>
      <c r="B1447" s="306"/>
      <c r="C1447" s="307"/>
      <c r="D1447" s="312"/>
      <c r="E1447" s="301"/>
      <c r="F1447" s="232"/>
      <c r="J1447" s="306"/>
      <c r="K1447" s="306"/>
      <c r="L1447" s="313"/>
      <c r="M1447" s="219"/>
      <c r="N1447" s="218"/>
      <c r="S1447" s="224"/>
      <c r="T1447" s="228"/>
      <c r="U1447" s="226"/>
      <c r="V1447" s="226"/>
      <c r="W1447" s="303"/>
      <c r="X1447" s="220"/>
      <c r="Z1447" s="227"/>
      <c r="AA1447" s="220"/>
      <c r="AB1447" s="221"/>
      <c r="AC1447" s="229"/>
      <c r="AD1447" s="230"/>
      <c r="AE1447" s="230"/>
      <c r="AF1447" s="230"/>
      <c r="AG1447" s="227"/>
    </row>
    <row r="1448" spans="1:33" x14ac:dyDescent="0.25">
      <c r="A1448" s="32"/>
      <c r="B1448" s="306"/>
      <c r="C1448" s="307"/>
      <c r="D1448" s="312"/>
      <c r="E1448" s="301"/>
      <c r="F1448" s="232"/>
      <c r="J1448" s="306"/>
      <c r="K1448" s="306"/>
      <c r="L1448" s="313"/>
      <c r="M1448" s="219"/>
      <c r="N1448" s="218"/>
      <c r="S1448" s="224"/>
      <c r="T1448" s="228"/>
      <c r="U1448" s="226"/>
      <c r="V1448" s="226"/>
      <c r="W1448" s="303"/>
      <c r="X1448" s="220"/>
      <c r="Z1448" s="227"/>
      <c r="AA1448" s="220"/>
      <c r="AB1448" s="221"/>
      <c r="AC1448" s="229"/>
      <c r="AD1448" s="230"/>
      <c r="AE1448" s="230"/>
      <c r="AF1448" s="230"/>
      <c r="AG1448" s="227"/>
    </row>
    <row r="1449" spans="1:33" x14ac:dyDescent="0.25">
      <c r="A1449" s="32"/>
      <c r="B1449" s="306"/>
      <c r="C1449" s="307"/>
      <c r="D1449" s="312"/>
      <c r="E1449" s="301"/>
      <c r="F1449" s="232"/>
      <c r="J1449" s="306"/>
      <c r="K1449" s="306"/>
      <c r="L1449" s="313"/>
      <c r="M1449" s="219"/>
      <c r="N1449" s="218"/>
      <c r="S1449" s="224"/>
      <c r="T1449" s="228"/>
      <c r="U1449" s="226"/>
      <c r="V1449" s="226"/>
      <c r="W1449" s="303"/>
      <c r="X1449" s="220"/>
      <c r="Z1449" s="227"/>
      <c r="AA1449" s="220"/>
      <c r="AB1449" s="221"/>
      <c r="AC1449" s="229"/>
      <c r="AD1449" s="230"/>
      <c r="AE1449" s="230"/>
      <c r="AF1449" s="230"/>
      <c r="AG1449" s="227"/>
    </row>
    <row r="1450" spans="1:33" x14ac:dyDescent="0.25">
      <c r="A1450" s="32"/>
      <c r="B1450" s="306"/>
      <c r="C1450" s="307"/>
      <c r="D1450" s="312"/>
      <c r="E1450" s="301"/>
      <c r="F1450" s="232"/>
      <c r="J1450" s="306"/>
      <c r="K1450" s="306"/>
      <c r="L1450" s="313"/>
      <c r="M1450" s="219"/>
      <c r="N1450" s="218"/>
      <c r="S1450" s="224"/>
      <c r="T1450" s="228"/>
      <c r="U1450" s="226"/>
      <c r="V1450" s="226"/>
      <c r="W1450" s="303"/>
      <c r="X1450" s="220"/>
      <c r="Z1450" s="227"/>
      <c r="AA1450" s="220"/>
      <c r="AB1450" s="221"/>
      <c r="AC1450" s="229"/>
      <c r="AD1450" s="230"/>
      <c r="AE1450" s="230"/>
      <c r="AF1450" s="230"/>
      <c r="AG1450" s="227"/>
    </row>
    <row r="1451" spans="1:33" x14ac:dyDescent="0.25">
      <c r="A1451" s="32"/>
      <c r="B1451" s="306"/>
      <c r="C1451" s="307"/>
      <c r="D1451" s="312"/>
      <c r="E1451" s="301"/>
      <c r="F1451" s="232"/>
      <c r="J1451" s="306"/>
      <c r="K1451" s="306"/>
      <c r="L1451" s="313"/>
      <c r="M1451" s="219"/>
      <c r="N1451" s="218"/>
      <c r="S1451" s="224"/>
      <c r="T1451" s="228"/>
      <c r="U1451" s="226"/>
      <c r="V1451" s="226"/>
      <c r="W1451" s="303"/>
      <c r="X1451" s="220"/>
      <c r="Z1451" s="227"/>
      <c r="AA1451" s="220"/>
      <c r="AB1451" s="221"/>
      <c r="AC1451" s="229"/>
      <c r="AD1451" s="230"/>
      <c r="AE1451" s="230"/>
      <c r="AF1451" s="230"/>
      <c r="AG1451" s="227"/>
    </row>
    <row r="1452" spans="1:33" x14ac:dyDescent="0.25">
      <c r="A1452" s="32"/>
      <c r="B1452" s="306"/>
      <c r="C1452" s="307"/>
      <c r="D1452" s="312"/>
      <c r="E1452" s="301"/>
      <c r="F1452" s="232"/>
      <c r="J1452" s="306"/>
      <c r="K1452" s="306"/>
      <c r="L1452" s="313"/>
      <c r="M1452" s="219"/>
      <c r="N1452" s="218"/>
      <c r="S1452" s="224"/>
      <c r="T1452" s="228"/>
      <c r="U1452" s="226"/>
      <c r="V1452" s="226"/>
      <c r="W1452" s="303"/>
      <c r="X1452" s="220"/>
      <c r="Z1452" s="227"/>
      <c r="AA1452" s="220"/>
      <c r="AB1452" s="221"/>
      <c r="AC1452" s="229"/>
      <c r="AD1452" s="230"/>
      <c r="AE1452" s="230"/>
      <c r="AF1452" s="230"/>
      <c r="AG1452" s="227"/>
    </row>
    <row r="1453" spans="1:33" x14ac:dyDescent="0.25">
      <c r="A1453" s="32"/>
      <c r="B1453" s="306"/>
      <c r="C1453" s="307"/>
      <c r="D1453" s="312"/>
      <c r="E1453" s="301"/>
      <c r="F1453" s="232"/>
      <c r="J1453" s="306"/>
      <c r="K1453" s="306"/>
      <c r="L1453" s="313"/>
      <c r="M1453" s="219"/>
      <c r="N1453" s="218"/>
      <c r="S1453" s="224"/>
      <c r="T1453" s="228"/>
      <c r="U1453" s="226"/>
      <c r="V1453" s="226"/>
      <c r="W1453" s="303"/>
      <c r="X1453" s="220"/>
      <c r="Z1453" s="227"/>
      <c r="AA1453" s="220"/>
      <c r="AB1453" s="221"/>
      <c r="AC1453" s="229"/>
      <c r="AD1453" s="230"/>
      <c r="AE1453" s="230"/>
      <c r="AF1453" s="230"/>
      <c r="AG1453" s="227"/>
    </row>
    <row r="1454" spans="1:33" x14ac:dyDescent="0.25">
      <c r="A1454" s="32"/>
      <c r="B1454" s="306"/>
      <c r="C1454" s="307"/>
      <c r="D1454" s="312"/>
      <c r="E1454" s="301"/>
      <c r="F1454" s="232"/>
      <c r="J1454" s="306"/>
      <c r="K1454" s="306"/>
      <c r="L1454" s="313"/>
      <c r="M1454" s="219"/>
      <c r="N1454" s="218"/>
      <c r="S1454" s="224"/>
      <c r="T1454" s="228"/>
      <c r="U1454" s="226"/>
      <c r="V1454" s="226"/>
      <c r="W1454" s="303"/>
      <c r="X1454" s="220"/>
      <c r="Z1454" s="227"/>
      <c r="AA1454" s="220"/>
      <c r="AB1454" s="221"/>
      <c r="AC1454" s="229"/>
      <c r="AD1454" s="230"/>
      <c r="AE1454" s="230"/>
      <c r="AF1454" s="230"/>
      <c r="AG1454" s="227"/>
    </row>
    <row r="1455" spans="1:33" x14ac:dyDescent="0.25">
      <c r="A1455" s="32"/>
      <c r="B1455" s="306"/>
      <c r="C1455" s="307"/>
      <c r="D1455" s="312"/>
      <c r="E1455" s="301"/>
      <c r="F1455" s="232"/>
      <c r="J1455" s="306"/>
      <c r="K1455" s="306"/>
      <c r="L1455" s="313"/>
      <c r="M1455" s="219"/>
      <c r="N1455" s="218"/>
      <c r="S1455" s="224"/>
      <c r="T1455" s="228"/>
      <c r="U1455" s="226"/>
      <c r="V1455" s="226"/>
      <c r="W1455" s="303"/>
      <c r="X1455" s="220"/>
      <c r="Z1455" s="227"/>
      <c r="AA1455" s="220"/>
      <c r="AB1455" s="221"/>
      <c r="AC1455" s="229"/>
      <c r="AD1455" s="230"/>
      <c r="AE1455" s="230"/>
      <c r="AF1455" s="230"/>
      <c r="AG1455" s="227"/>
    </row>
    <row r="1456" spans="1:33" x14ac:dyDescent="0.25">
      <c r="A1456" s="32"/>
      <c r="B1456" s="306"/>
      <c r="C1456" s="307"/>
      <c r="D1456" s="312"/>
      <c r="E1456" s="301"/>
      <c r="F1456" s="232"/>
      <c r="J1456" s="306"/>
      <c r="K1456" s="306"/>
      <c r="L1456" s="313"/>
      <c r="M1456" s="219"/>
      <c r="N1456" s="218"/>
      <c r="S1456" s="224"/>
      <c r="T1456" s="228"/>
      <c r="U1456" s="226"/>
      <c r="V1456" s="226"/>
      <c r="W1456" s="303"/>
      <c r="X1456" s="220"/>
      <c r="Z1456" s="227"/>
      <c r="AA1456" s="220"/>
      <c r="AB1456" s="221"/>
      <c r="AC1456" s="229"/>
      <c r="AD1456" s="230"/>
      <c r="AE1456" s="230"/>
      <c r="AF1456" s="230"/>
      <c r="AG1456" s="227"/>
    </row>
    <row r="1457" spans="1:33" x14ac:dyDescent="0.25">
      <c r="A1457" s="32"/>
      <c r="B1457" s="306"/>
      <c r="C1457" s="307"/>
      <c r="D1457" s="312"/>
      <c r="E1457" s="301"/>
      <c r="F1457" s="232"/>
      <c r="J1457" s="306"/>
      <c r="K1457" s="306"/>
      <c r="L1457" s="313"/>
      <c r="M1457" s="219"/>
      <c r="N1457" s="218"/>
      <c r="S1457" s="224"/>
      <c r="T1457" s="228"/>
      <c r="U1457" s="226"/>
      <c r="V1457" s="226"/>
      <c r="W1457" s="303"/>
      <c r="X1457" s="220"/>
      <c r="Z1457" s="227"/>
      <c r="AA1457" s="220"/>
      <c r="AB1457" s="221"/>
      <c r="AC1457" s="229"/>
      <c r="AD1457" s="230"/>
      <c r="AE1457" s="230"/>
      <c r="AF1457" s="230"/>
      <c r="AG1457" s="227"/>
    </row>
    <row r="1458" spans="1:33" x14ac:dyDescent="0.25">
      <c r="A1458" s="32"/>
      <c r="B1458" s="306"/>
      <c r="C1458" s="307"/>
      <c r="D1458" s="312"/>
      <c r="E1458" s="301"/>
      <c r="F1458" s="232"/>
      <c r="J1458" s="306"/>
      <c r="K1458" s="306"/>
      <c r="L1458" s="313"/>
      <c r="M1458" s="219"/>
      <c r="N1458" s="218"/>
      <c r="S1458" s="224"/>
      <c r="T1458" s="228"/>
      <c r="U1458" s="226"/>
      <c r="V1458" s="226"/>
      <c r="W1458" s="303"/>
      <c r="X1458" s="220"/>
      <c r="Z1458" s="227"/>
      <c r="AA1458" s="220"/>
      <c r="AB1458" s="221"/>
      <c r="AC1458" s="229"/>
      <c r="AD1458" s="230"/>
      <c r="AE1458" s="230"/>
      <c r="AF1458" s="230"/>
      <c r="AG1458" s="227"/>
    </row>
    <row r="1459" spans="1:33" x14ac:dyDescent="0.25">
      <c r="A1459" s="32"/>
      <c r="B1459" s="306"/>
      <c r="C1459" s="307"/>
      <c r="D1459" s="312"/>
      <c r="E1459" s="301"/>
      <c r="F1459" s="232"/>
      <c r="J1459" s="306"/>
      <c r="K1459" s="306"/>
      <c r="L1459" s="313"/>
      <c r="M1459" s="219"/>
      <c r="N1459" s="218"/>
      <c r="S1459" s="224"/>
      <c r="T1459" s="228"/>
      <c r="U1459" s="226"/>
      <c r="V1459" s="226"/>
      <c r="W1459" s="303"/>
      <c r="X1459" s="220"/>
      <c r="Z1459" s="227"/>
      <c r="AA1459" s="220"/>
      <c r="AB1459" s="221"/>
      <c r="AC1459" s="229"/>
      <c r="AD1459" s="230"/>
      <c r="AE1459" s="230"/>
      <c r="AF1459" s="230"/>
      <c r="AG1459" s="227"/>
    </row>
    <row r="1460" spans="1:33" x14ac:dyDescent="0.25">
      <c r="A1460" s="32"/>
      <c r="B1460" s="306"/>
      <c r="C1460" s="307"/>
      <c r="D1460" s="312"/>
      <c r="E1460" s="301"/>
      <c r="F1460" s="232"/>
      <c r="J1460" s="306"/>
      <c r="K1460" s="306"/>
      <c r="L1460" s="313"/>
      <c r="M1460" s="219"/>
      <c r="N1460" s="218"/>
      <c r="S1460" s="224"/>
      <c r="T1460" s="228"/>
      <c r="U1460" s="226"/>
      <c r="V1460" s="226"/>
      <c r="W1460" s="303"/>
      <c r="X1460" s="220"/>
      <c r="Z1460" s="227"/>
      <c r="AA1460" s="220"/>
      <c r="AB1460" s="221"/>
      <c r="AC1460" s="229"/>
      <c r="AD1460" s="230"/>
      <c r="AE1460" s="230"/>
      <c r="AF1460" s="230"/>
      <c r="AG1460" s="227"/>
    </row>
    <row r="1461" spans="1:33" x14ac:dyDescent="0.25">
      <c r="A1461" s="32"/>
      <c r="B1461" s="306"/>
      <c r="C1461" s="307"/>
      <c r="D1461" s="312"/>
      <c r="E1461" s="301"/>
      <c r="F1461" s="232"/>
      <c r="J1461" s="306"/>
      <c r="K1461" s="306"/>
      <c r="L1461" s="313"/>
      <c r="M1461" s="219"/>
      <c r="N1461" s="218"/>
      <c r="S1461" s="224"/>
      <c r="T1461" s="228"/>
      <c r="U1461" s="226"/>
      <c r="V1461" s="226"/>
      <c r="W1461" s="303"/>
      <c r="X1461" s="220"/>
      <c r="Z1461" s="227"/>
      <c r="AA1461" s="220"/>
      <c r="AB1461" s="221"/>
      <c r="AC1461" s="229"/>
      <c r="AD1461" s="230"/>
      <c r="AE1461" s="230"/>
      <c r="AF1461" s="230"/>
      <c r="AG1461" s="227"/>
    </row>
    <row r="1462" spans="1:33" x14ac:dyDescent="0.25">
      <c r="A1462" s="32"/>
      <c r="B1462" s="306"/>
      <c r="C1462" s="307"/>
      <c r="D1462" s="312"/>
      <c r="E1462" s="301"/>
      <c r="F1462" s="232"/>
      <c r="J1462" s="306"/>
      <c r="K1462" s="306"/>
      <c r="L1462" s="313"/>
      <c r="M1462" s="219"/>
      <c r="N1462" s="218"/>
      <c r="S1462" s="224"/>
      <c r="T1462" s="228"/>
      <c r="U1462" s="226"/>
      <c r="V1462" s="226"/>
      <c r="W1462" s="303"/>
      <c r="X1462" s="220"/>
      <c r="Z1462" s="227"/>
      <c r="AA1462" s="220"/>
      <c r="AB1462" s="221"/>
      <c r="AC1462" s="229"/>
      <c r="AD1462" s="230"/>
      <c r="AE1462" s="230"/>
      <c r="AF1462" s="230"/>
      <c r="AG1462" s="227"/>
    </row>
    <row r="1463" spans="1:33" x14ac:dyDescent="0.25">
      <c r="A1463" s="32"/>
      <c r="B1463" s="306"/>
      <c r="C1463" s="307"/>
      <c r="D1463" s="312"/>
      <c r="E1463" s="301"/>
      <c r="F1463" s="232"/>
      <c r="J1463" s="306"/>
      <c r="K1463" s="306"/>
      <c r="L1463" s="313"/>
      <c r="M1463" s="219"/>
      <c r="N1463" s="218"/>
      <c r="S1463" s="224"/>
      <c r="T1463" s="228"/>
      <c r="U1463" s="226"/>
      <c r="V1463" s="226"/>
      <c r="W1463" s="303"/>
      <c r="X1463" s="220"/>
      <c r="Z1463" s="227"/>
      <c r="AA1463" s="220"/>
      <c r="AB1463" s="221"/>
      <c r="AC1463" s="229"/>
      <c r="AD1463" s="230"/>
      <c r="AE1463" s="230"/>
      <c r="AF1463" s="230"/>
      <c r="AG1463" s="227"/>
    </row>
    <row r="1464" spans="1:33" x14ac:dyDescent="0.25">
      <c r="A1464" s="32"/>
      <c r="B1464" s="306"/>
      <c r="C1464" s="307"/>
      <c r="D1464" s="312"/>
      <c r="E1464" s="301"/>
      <c r="F1464" s="232"/>
      <c r="J1464" s="306"/>
      <c r="K1464" s="306"/>
      <c r="L1464" s="313"/>
      <c r="M1464" s="219"/>
      <c r="N1464" s="218"/>
      <c r="S1464" s="224"/>
      <c r="T1464" s="228"/>
      <c r="U1464" s="226"/>
      <c r="V1464" s="226"/>
      <c r="W1464" s="303"/>
      <c r="X1464" s="220"/>
      <c r="Z1464" s="227"/>
      <c r="AA1464" s="220"/>
      <c r="AB1464" s="221"/>
      <c r="AC1464" s="229"/>
      <c r="AD1464" s="230"/>
      <c r="AE1464" s="230"/>
      <c r="AF1464" s="230"/>
      <c r="AG1464" s="227"/>
    </row>
    <row r="1465" spans="1:33" x14ac:dyDescent="0.25">
      <c r="A1465" s="32"/>
      <c r="B1465" s="306"/>
      <c r="C1465" s="307"/>
      <c r="D1465" s="312"/>
      <c r="E1465" s="301"/>
      <c r="F1465" s="232"/>
      <c r="J1465" s="306"/>
      <c r="K1465" s="306"/>
      <c r="L1465" s="313"/>
      <c r="M1465" s="219"/>
      <c r="N1465" s="218"/>
      <c r="S1465" s="224"/>
      <c r="T1465" s="228"/>
      <c r="U1465" s="226"/>
      <c r="V1465" s="226"/>
      <c r="W1465" s="303"/>
      <c r="X1465" s="220"/>
      <c r="Z1465" s="227"/>
      <c r="AA1465" s="220"/>
      <c r="AB1465" s="221"/>
      <c r="AC1465" s="229"/>
      <c r="AD1465" s="230"/>
      <c r="AE1465" s="230"/>
      <c r="AF1465" s="230"/>
      <c r="AG1465" s="227"/>
    </row>
    <row r="1466" spans="1:33" x14ac:dyDescent="0.25">
      <c r="A1466" s="32"/>
      <c r="B1466" s="306"/>
      <c r="C1466" s="307"/>
      <c r="D1466" s="312"/>
      <c r="E1466" s="301"/>
      <c r="F1466" s="232"/>
      <c r="J1466" s="306"/>
      <c r="K1466" s="306"/>
      <c r="L1466" s="313"/>
      <c r="M1466" s="219"/>
      <c r="N1466" s="218"/>
      <c r="S1466" s="224"/>
      <c r="T1466" s="228"/>
      <c r="U1466" s="226"/>
      <c r="V1466" s="226"/>
      <c r="W1466" s="303"/>
      <c r="X1466" s="220"/>
      <c r="Z1466" s="227"/>
      <c r="AA1466" s="220"/>
      <c r="AB1466" s="221"/>
      <c r="AC1466" s="229"/>
      <c r="AD1466" s="230"/>
      <c r="AE1466" s="230"/>
      <c r="AF1466" s="230"/>
      <c r="AG1466" s="227"/>
    </row>
    <row r="1467" spans="1:33" x14ac:dyDescent="0.25">
      <c r="A1467" s="32"/>
      <c r="B1467" s="306"/>
      <c r="C1467" s="307"/>
      <c r="D1467" s="312"/>
      <c r="E1467" s="301"/>
      <c r="F1467" s="232"/>
      <c r="J1467" s="306"/>
      <c r="K1467" s="306"/>
      <c r="L1467" s="313"/>
      <c r="M1467" s="219"/>
      <c r="N1467" s="218"/>
      <c r="S1467" s="224"/>
      <c r="T1467" s="228"/>
      <c r="U1467" s="226"/>
      <c r="V1467" s="226"/>
      <c r="W1467" s="303"/>
      <c r="X1467" s="220"/>
      <c r="Z1467" s="227"/>
      <c r="AA1467" s="220"/>
      <c r="AB1467" s="221"/>
      <c r="AC1467" s="229"/>
      <c r="AD1467" s="230"/>
      <c r="AE1467" s="230"/>
      <c r="AF1467" s="230"/>
      <c r="AG1467" s="227"/>
    </row>
    <row r="1468" spans="1:33" x14ac:dyDescent="0.25">
      <c r="A1468" s="32"/>
      <c r="B1468" s="306"/>
      <c r="C1468" s="307"/>
      <c r="D1468" s="312"/>
      <c r="E1468" s="301"/>
      <c r="F1468" s="232"/>
      <c r="J1468" s="306"/>
      <c r="K1468" s="306"/>
      <c r="L1468" s="313"/>
      <c r="M1468" s="219"/>
      <c r="N1468" s="218"/>
      <c r="S1468" s="224"/>
      <c r="T1468" s="228"/>
      <c r="U1468" s="226"/>
      <c r="V1468" s="226"/>
      <c r="W1468" s="303"/>
      <c r="X1468" s="220"/>
      <c r="Z1468" s="227"/>
      <c r="AA1468" s="220"/>
      <c r="AB1468" s="221"/>
      <c r="AC1468" s="229"/>
      <c r="AD1468" s="230"/>
      <c r="AE1468" s="230"/>
      <c r="AF1468" s="230"/>
      <c r="AG1468" s="227"/>
    </row>
    <row r="1469" spans="1:33" x14ac:dyDescent="0.25">
      <c r="A1469" s="32"/>
      <c r="B1469" s="306"/>
      <c r="C1469" s="307"/>
      <c r="D1469" s="312"/>
      <c r="E1469" s="301"/>
      <c r="F1469" s="232"/>
      <c r="J1469" s="306"/>
      <c r="K1469" s="306"/>
      <c r="L1469" s="313"/>
      <c r="M1469" s="219"/>
      <c r="N1469" s="218"/>
      <c r="S1469" s="224"/>
      <c r="T1469" s="228"/>
      <c r="U1469" s="226"/>
      <c r="V1469" s="226"/>
      <c r="W1469" s="303"/>
      <c r="X1469" s="220"/>
      <c r="Z1469" s="227"/>
      <c r="AA1469" s="220"/>
      <c r="AB1469" s="221"/>
      <c r="AC1469" s="229"/>
      <c r="AD1469" s="230"/>
      <c r="AE1469" s="230"/>
      <c r="AF1469" s="230"/>
      <c r="AG1469" s="227"/>
    </row>
    <row r="1470" spans="1:33" x14ac:dyDescent="0.25">
      <c r="A1470" s="32"/>
      <c r="B1470" s="306"/>
      <c r="C1470" s="307"/>
      <c r="D1470" s="312"/>
      <c r="E1470" s="301"/>
      <c r="F1470" s="232"/>
      <c r="J1470" s="306"/>
      <c r="K1470" s="306"/>
      <c r="L1470" s="313"/>
      <c r="M1470" s="219"/>
      <c r="N1470" s="218"/>
      <c r="S1470" s="224"/>
      <c r="T1470" s="228"/>
      <c r="U1470" s="226"/>
      <c r="V1470" s="226"/>
      <c r="W1470" s="303"/>
      <c r="X1470" s="220"/>
      <c r="Z1470" s="227"/>
      <c r="AA1470" s="220"/>
      <c r="AB1470" s="221"/>
      <c r="AC1470" s="229"/>
      <c r="AD1470" s="230"/>
      <c r="AE1470" s="230"/>
      <c r="AF1470" s="230"/>
      <c r="AG1470" s="227"/>
    </row>
    <row r="1471" spans="1:33" x14ac:dyDescent="0.25">
      <c r="A1471" s="32"/>
      <c r="B1471" s="306"/>
      <c r="C1471" s="307"/>
      <c r="D1471" s="312"/>
      <c r="E1471" s="301"/>
      <c r="F1471" s="232"/>
      <c r="J1471" s="306"/>
      <c r="K1471" s="306"/>
      <c r="L1471" s="313"/>
      <c r="M1471" s="219"/>
      <c r="N1471" s="218"/>
      <c r="S1471" s="224"/>
      <c r="T1471" s="228"/>
      <c r="U1471" s="226"/>
      <c r="V1471" s="226"/>
      <c r="W1471" s="303"/>
      <c r="X1471" s="220"/>
      <c r="Z1471" s="227"/>
      <c r="AA1471" s="220"/>
      <c r="AB1471" s="221"/>
      <c r="AC1471" s="229"/>
      <c r="AD1471" s="230"/>
      <c r="AE1471" s="230"/>
      <c r="AF1471" s="230"/>
      <c r="AG1471" s="227"/>
    </row>
    <row r="1472" spans="1:33" x14ac:dyDescent="0.25">
      <c r="A1472" s="32"/>
      <c r="B1472" s="306"/>
      <c r="C1472" s="307"/>
      <c r="D1472" s="312"/>
      <c r="E1472" s="301"/>
      <c r="F1472" s="232"/>
      <c r="J1472" s="306"/>
      <c r="K1472" s="306"/>
      <c r="L1472" s="313"/>
      <c r="M1472" s="219"/>
      <c r="N1472" s="218"/>
      <c r="S1472" s="224"/>
      <c r="T1472" s="228"/>
      <c r="U1472" s="226"/>
      <c r="V1472" s="226"/>
      <c r="W1472" s="303"/>
      <c r="X1472" s="220"/>
      <c r="Z1472" s="227"/>
      <c r="AA1472" s="220"/>
      <c r="AB1472" s="221"/>
      <c r="AC1472" s="229"/>
      <c r="AD1472" s="230"/>
      <c r="AE1472" s="230"/>
      <c r="AF1472" s="230"/>
      <c r="AG1472" s="227"/>
    </row>
    <row r="1473" spans="1:33" x14ac:dyDescent="0.25">
      <c r="A1473" s="32"/>
      <c r="B1473" s="306"/>
      <c r="C1473" s="307"/>
      <c r="D1473" s="312"/>
      <c r="E1473" s="301"/>
      <c r="F1473" s="232"/>
      <c r="J1473" s="306"/>
      <c r="K1473" s="306"/>
      <c r="L1473" s="313"/>
      <c r="M1473" s="219"/>
      <c r="N1473" s="218"/>
      <c r="S1473" s="224"/>
      <c r="T1473" s="228"/>
      <c r="U1473" s="226"/>
      <c r="V1473" s="226"/>
      <c r="W1473" s="303"/>
      <c r="X1473" s="220"/>
      <c r="Z1473" s="227"/>
      <c r="AA1473" s="220"/>
      <c r="AB1473" s="221"/>
      <c r="AC1473" s="229"/>
      <c r="AD1473" s="230"/>
      <c r="AE1473" s="230"/>
      <c r="AF1473" s="230"/>
      <c r="AG1473" s="227"/>
    </row>
    <row r="1474" spans="1:33" x14ac:dyDescent="0.25">
      <c r="A1474" s="32"/>
      <c r="B1474" s="306"/>
      <c r="C1474" s="307"/>
      <c r="D1474" s="312"/>
      <c r="E1474" s="301"/>
      <c r="F1474" s="232"/>
      <c r="J1474" s="306"/>
      <c r="K1474" s="306"/>
      <c r="L1474" s="313"/>
      <c r="M1474" s="219"/>
      <c r="N1474" s="218"/>
      <c r="S1474" s="224"/>
      <c r="T1474" s="228"/>
      <c r="U1474" s="226"/>
      <c r="V1474" s="226"/>
      <c r="W1474" s="303"/>
      <c r="X1474" s="220"/>
      <c r="Z1474" s="227"/>
      <c r="AA1474" s="220"/>
      <c r="AB1474" s="221"/>
      <c r="AC1474" s="229"/>
      <c r="AD1474" s="230"/>
      <c r="AE1474" s="230"/>
      <c r="AF1474" s="230"/>
      <c r="AG1474" s="227"/>
    </row>
    <row r="1475" spans="1:33" x14ac:dyDescent="0.25">
      <c r="A1475" s="32"/>
      <c r="B1475" s="306"/>
      <c r="C1475" s="307"/>
      <c r="D1475" s="312"/>
      <c r="E1475" s="301"/>
      <c r="F1475" s="232"/>
      <c r="J1475" s="306"/>
      <c r="K1475" s="306"/>
      <c r="L1475" s="313"/>
      <c r="M1475" s="219"/>
      <c r="N1475" s="218"/>
      <c r="S1475" s="224"/>
      <c r="T1475" s="228"/>
      <c r="U1475" s="226"/>
      <c r="V1475" s="226"/>
      <c r="W1475" s="303"/>
      <c r="X1475" s="220"/>
      <c r="Z1475" s="227"/>
      <c r="AA1475" s="220"/>
      <c r="AB1475" s="221"/>
      <c r="AC1475" s="229"/>
      <c r="AD1475" s="230"/>
      <c r="AE1475" s="230"/>
      <c r="AF1475" s="230"/>
      <c r="AG1475" s="227"/>
    </row>
    <row r="1476" spans="1:33" x14ac:dyDescent="0.25">
      <c r="A1476" s="32"/>
      <c r="B1476" s="306"/>
      <c r="C1476" s="307"/>
      <c r="D1476" s="312"/>
      <c r="E1476" s="301"/>
      <c r="F1476" s="232"/>
      <c r="J1476" s="306"/>
      <c r="K1476" s="306"/>
      <c r="L1476" s="313"/>
      <c r="M1476" s="219"/>
      <c r="N1476" s="218"/>
      <c r="S1476" s="224"/>
      <c r="T1476" s="228"/>
      <c r="U1476" s="226"/>
      <c r="V1476" s="226"/>
      <c r="W1476" s="303"/>
      <c r="X1476" s="220"/>
      <c r="Z1476" s="227"/>
      <c r="AA1476" s="220"/>
      <c r="AB1476" s="221"/>
      <c r="AC1476" s="229"/>
      <c r="AD1476" s="230"/>
      <c r="AE1476" s="230"/>
      <c r="AF1476" s="230"/>
      <c r="AG1476" s="227"/>
    </row>
    <row r="1477" spans="1:33" x14ac:dyDescent="0.25">
      <c r="A1477" s="32"/>
      <c r="B1477" s="306"/>
      <c r="C1477" s="307"/>
      <c r="D1477" s="312"/>
      <c r="E1477" s="301"/>
      <c r="F1477" s="232"/>
      <c r="J1477" s="306"/>
      <c r="K1477" s="306"/>
      <c r="L1477" s="313"/>
      <c r="M1477" s="219"/>
      <c r="N1477" s="218"/>
      <c r="S1477" s="224"/>
      <c r="T1477" s="228"/>
      <c r="U1477" s="226"/>
      <c r="V1477" s="226"/>
      <c r="W1477" s="303"/>
      <c r="X1477" s="220"/>
      <c r="Z1477" s="227"/>
      <c r="AA1477" s="220"/>
      <c r="AB1477" s="221"/>
      <c r="AC1477" s="229"/>
      <c r="AD1477" s="230"/>
      <c r="AE1477" s="230"/>
      <c r="AF1477" s="230"/>
      <c r="AG1477" s="227"/>
    </row>
    <row r="1478" spans="1:33" x14ac:dyDescent="0.25">
      <c r="A1478" s="32"/>
      <c r="B1478" s="306"/>
      <c r="C1478" s="307"/>
      <c r="D1478" s="312"/>
      <c r="E1478" s="301"/>
      <c r="F1478" s="232"/>
      <c r="J1478" s="306"/>
      <c r="K1478" s="306"/>
      <c r="L1478" s="313"/>
      <c r="M1478" s="219"/>
      <c r="N1478" s="218"/>
      <c r="S1478" s="224"/>
      <c r="T1478" s="228"/>
      <c r="U1478" s="226"/>
      <c r="V1478" s="226"/>
      <c r="W1478" s="303"/>
      <c r="X1478" s="220"/>
      <c r="Z1478" s="227"/>
      <c r="AA1478" s="220"/>
      <c r="AB1478" s="221"/>
      <c r="AC1478" s="229"/>
      <c r="AD1478" s="230"/>
      <c r="AE1478" s="230"/>
      <c r="AF1478" s="230"/>
      <c r="AG1478" s="227"/>
    </row>
    <row r="1479" spans="1:33" x14ac:dyDescent="0.25">
      <c r="A1479" s="32"/>
      <c r="B1479" s="306"/>
      <c r="C1479" s="307"/>
      <c r="D1479" s="312"/>
      <c r="E1479" s="301"/>
      <c r="F1479" s="232"/>
      <c r="J1479" s="306"/>
      <c r="K1479" s="306"/>
      <c r="L1479" s="313"/>
      <c r="M1479" s="219"/>
      <c r="N1479" s="218"/>
      <c r="S1479" s="224"/>
      <c r="T1479" s="228"/>
      <c r="U1479" s="226"/>
      <c r="V1479" s="226"/>
      <c r="W1479" s="303"/>
      <c r="X1479" s="220"/>
      <c r="Z1479" s="227"/>
      <c r="AA1479" s="220"/>
      <c r="AB1479" s="221"/>
      <c r="AC1479" s="229"/>
      <c r="AD1479" s="230"/>
      <c r="AE1479" s="230"/>
      <c r="AF1479" s="230"/>
      <c r="AG1479" s="227"/>
    </row>
    <row r="1480" spans="1:33" x14ac:dyDescent="0.25">
      <c r="A1480" s="32"/>
      <c r="B1480" s="306"/>
      <c r="C1480" s="307"/>
      <c r="D1480" s="312"/>
      <c r="E1480" s="301"/>
      <c r="F1480" s="232"/>
      <c r="J1480" s="306"/>
      <c r="K1480" s="306"/>
      <c r="L1480" s="313"/>
      <c r="M1480" s="219"/>
      <c r="N1480" s="218"/>
      <c r="S1480" s="224"/>
      <c r="T1480" s="228"/>
      <c r="U1480" s="226"/>
      <c r="V1480" s="226"/>
      <c r="W1480" s="303"/>
      <c r="X1480" s="220"/>
      <c r="Z1480" s="227"/>
      <c r="AA1480" s="220"/>
      <c r="AB1480" s="221"/>
      <c r="AC1480" s="229"/>
      <c r="AD1480" s="230"/>
      <c r="AE1480" s="230"/>
      <c r="AF1480" s="230"/>
      <c r="AG1480" s="227"/>
    </row>
    <row r="1481" spans="1:33" x14ac:dyDescent="0.25">
      <c r="A1481" s="32"/>
      <c r="B1481" s="306"/>
      <c r="C1481" s="307"/>
      <c r="D1481" s="312"/>
      <c r="E1481" s="301"/>
      <c r="F1481" s="232"/>
      <c r="J1481" s="306"/>
      <c r="K1481" s="306"/>
      <c r="L1481" s="313"/>
      <c r="M1481" s="219"/>
      <c r="N1481" s="218"/>
      <c r="S1481" s="224"/>
      <c r="T1481" s="228"/>
      <c r="U1481" s="226"/>
      <c r="V1481" s="226"/>
      <c r="W1481" s="303"/>
      <c r="X1481" s="220"/>
      <c r="Z1481" s="227"/>
      <c r="AA1481" s="220"/>
      <c r="AB1481" s="221"/>
      <c r="AC1481" s="229"/>
      <c r="AD1481" s="230"/>
      <c r="AE1481" s="230"/>
      <c r="AF1481" s="230"/>
      <c r="AG1481" s="227"/>
    </row>
    <row r="1482" spans="1:33" x14ac:dyDescent="0.25">
      <c r="A1482" s="32"/>
      <c r="B1482" s="306"/>
      <c r="C1482" s="307"/>
      <c r="D1482" s="312"/>
      <c r="E1482" s="301"/>
      <c r="F1482" s="232"/>
      <c r="J1482" s="306"/>
      <c r="K1482" s="306"/>
      <c r="L1482" s="313"/>
      <c r="M1482" s="219"/>
      <c r="N1482" s="218"/>
      <c r="S1482" s="224"/>
      <c r="T1482" s="228"/>
      <c r="U1482" s="226"/>
      <c r="V1482" s="226"/>
      <c r="W1482" s="303"/>
      <c r="X1482" s="220"/>
      <c r="Z1482" s="227"/>
      <c r="AA1482" s="220"/>
      <c r="AB1482" s="221"/>
      <c r="AC1482" s="229"/>
      <c r="AD1482" s="230"/>
      <c r="AE1482" s="230"/>
      <c r="AF1482" s="230"/>
      <c r="AG1482" s="227"/>
    </row>
    <row r="1483" spans="1:33" x14ac:dyDescent="0.25">
      <c r="A1483" s="32"/>
      <c r="B1483" s="306"/>
      <c r="C1483" s="307"/>
      <c r="D1483" s="312"/>
      <c r="E1483" s="301"/>
      <c r="F1483" s="232"/>
      <c r="J1483" s="306"/>
      <c r="K1483" s="306"/>
      <c r="L1483" s="313"/>
      <c r="M1483" s="219"/>
      <c r="N1483" s="218"/>
      <c r="S1483" s="224"/>
      <c r="T1483" s="228"/>
      <c r="U1483" s="226"/>
      <c r="V1483" s="226"/>
      <c r="W1483" s="303"/>
      <c r="X1483" s="220"/>
      <c r="Z1483" s="227"/>
      <c r="AA1483" s="220"/>
      <c r="AB1483" s="221"/>
      <c r="AC1483" s="229"/>
      <c r="AD1483" s="230"/>
      <c r="AE1483" s="230"/>
      <c r="AF1483" s="230"/>
      <c r="AG1483" s="227"/>
    </row>
    <row r="1484" spans="1:33" x14ac:dyDescent="0.25">
      <c r="A1484" s="32"/>
      <c r="B1484" s="306"/>
      <c r="C1484" s="307"/>
      <c r="D1484" s="312"/>
      <c r="E1484" s="301"/>
      <c r="F1484" s="232"/>
      <c r="J1484" s="306"/>
      <c r="K1484" s="306"/>
      <c r="L1484" s="313"/>
      <c r="M1484" s="219"/>
      <c r="N1484" s="218"/>
      <c r="S1484" s="224"/>
      <c r="T1484" s="228"/>
      <c r="U1484" s="226"/>
      <c r="V1484" s="226"/>
      <c r="W1484" s="303"/>
      <c r="X1484" s="220"/>
      <c r="Z1484" s="227"/>
      <c r="AA1484" s="220"/>
      <c r="AB1484" s="221"/>
      <c r="AC1484" s="229"/>
      <c r="AD1484" s="230"/>
      <c r="AE1484" s="230"/>
      <c r="AF1484" s="230"/>
      <c r="AG1484" s="227"/>
    </row>
    <row r="1485" spans="1:33" x14ac:dyDescent="0.25">
      <c r="A1485" s="32"/>
      <c r="B1485" s="306"/>
      <c r="C1485" s="307"/>
      <c r="D1485" s="312"/>
      <c r="E1485" s="301"/>
      <c r="F1485" s="232"/>
      <c r="J1485" s="306"/>
      <c r="K1485" s="306"/>
      <c r="L1485" s="313"/>
      <c r="M1485" s="219"/>
      <c r="N1485" s="218"/>
      <c r="S1485" s="224"/>
      <c r="T1485" s="228"/>
      <c r="U1485" s="226"/>
      <c r="V1485" s="226"/>
      <c r="W1485" s="303"/>
      <c r="X1485" s="220"/>
      <c r="Z1485" s="227"/>
      <c r="AA1485" s="220"/>
      <c r="AB1485" s="221"/>
      <c r="AC1485" s="229"/>
      <c r="AD1485" s="230"/>
      <c r="AE1485" s="230"/>
      <c r="AF1485" s="230"/>
      <c r="AG1485" s="227"/>
    </row>
    <row r="1486" spans="1:33" x14ac:dyDescent="0.25">
      <c r="A1486" s="32"/>
      <c r="B1486" s="306"/>
      <c r="C1486" s="307"/>
      <c r="D1486" s="312"/>
      <c r="E1486" s="301"/>
      <c r="F1486" s="232"/>
      <c r="J1486" s="306"/>
      <c r="K1486" s="306"/>
      <c r="L1486" s="313"/>
      <c r="M1486" s="219"/>
      <c r="N1486" s="218"/>
      <c r="S1486" s="224"/>
      <c r="T1486" s="228"/>
      <c r="U1486" s="226"/>
      <c r="V1486" s="226"/>
      <c r="W1486" s="303"/>
      <c r="X1486" s="220"/>
      <c r="Z1486" s="227"/>
      <c r="AA1486" s="220"/>
      <c r="AB1486" s="221"/>
      <c r="AC1486" s="229"/>
      <c r="AD1486" s="230"/>
      <c r="AE1486" s="230"/>
      <c r="AF1486" s="230"/>
      <c r="AG1486" s="227"/>
    </row>
    <row r="1487" spans="1:33" x14ac:dyDescent="0.25">
      <c r="A1487" s="32"/>
      <c r="B1487" s="306"/>
      <c r="C1487" s="307"/>
      <c r="D1487" s="312"/>
      <c r="E1487" s="301"/>
      <c r="F1487" s="232"/>
      <c r="J1487" s="306"/>
      <c r="K1487" s="306"/>
      <c r="L1487" s="313"/>
      <c r="M1487" s="219"/>
      <c r="N1487" s="218"/>
      <c r="S1487" s="224"/>
      <c r="T1487" s="228"/>
      <c r="U1487" s="226"/>
      <c r="V1487" s="226"/>
      <c r="W1487" s="303"/>
      <c r="X1487" s="220"/>
      <c r="Z1487" s="227"/>
      <c r="AA1487" s="220"/>
      <c r="AB1487" s="221"/>
      <c r="AC1487" s="229"/>
      <c r="AD1487" s="230"/>
      <c r="AE1487" s="230"/>
      <c r="AF1487" s="230"/>
      <c r="AG1487" s="227"/>
    </row>
    <row r="1488" spans="1:33" x14ac:dyDescent="0.25">
      <c r="A1488" s="32"/>
      <c r="B1488" s="306"/>
      <c r="C1488" s="307"/>
      <c r="D1488" s="312"/>
      <c r="E1488" s="301"/>
      <c r="F1488" s="232"/>
      <c r="J1488" s="306"/>
      <c r="K1488" s="306"/>
      <c r="L1488" s="313"/>
      <c r="M1488" s="219"/>
      <c r="N1488" s="218"/>
      <c r="S1488" s="224"/>
      <c r="T1488" s="228"/>
      <c r="U1488" s="226"/>
      <c r="V1488" s="226"/>
      <c r="W1488" s="303"/>
      <c r="X1488" s="220"/>
      <c r="Z1488" s="227"/>
      <c r="AA1488" s="220"/>
      <c r="AB1488" s="221"/>
      <c r="AC1488" s="229"/>
      <c r="AD1488" s="230"/>
      <c r="AE1488" s="230"/>
      <c r="AF1488" s="230"/>
      <c r="AG1488" s="227"/>
    </row>
    <row r="1489" spans="1:33" x14ac:dyDescent="0.25">
      <c r="A1489" s="32"/>
      <c r="B1489" s="306"/>
      <c r="C1489" s="307"/>
      <c r="D1489" s="312"/>
      <c r="E1489" s="301"/>
      <c r="F1489" s="232"/>
      <c r="J1489" s="306"/>
      <c r="K1489" s="306"/>
      <c r="L1489" s="313"/>
      <c r="M1489" s="219"/>
      <c r="N1489" s="218"/>
      <c r="S1489" s="224"/>
      <c r="T1489" s="228"/>
      <c r="U1489" s="226"/>
      <c r="V1489" s="226"/>
      <c r="W1489" s="303"/>
      <c r="X1489" s="220"/>
      <c r="Z1489" s="227"/>
      <c r="AA1489" s="220"/>
      <c r="AB1489" s="221"/>
      <c r="AC1489" s="229"/>
      <c r="AD1489" s="230"/>
      <c r="AE1489" s="230"/>
      <c r="AF1489" s="230"/>
      <c r="AG1489" s="227"/>
    </row>
    <row r="1490" spans="1:33" x14ac:dyDescent="0.25">
      <c r="A1490" s="32"/>
      <c r="B1490" s="306"/>
      <c r="C1490" s="307"/>
      <c r="D1490" s="312"/>
      <c r="E1490" s="301"/>
      <c r="F1490" s="232"/>
      <c r="J1490" s="306"/>
      <c r="K1490" s="306"/>
      <c r="L1490" s="313"/>
      <c r="M1490" s="219"/>
      <c r="N1490" s="218"/>
      <c r="S1490" s="224"/>
      <c r="T1490" s="228"/>
      <c r="U1490" s="226"/>
      <c r="V1490" s="226"/>
      <c r="W1490" s="303"/>
      <c r="X1490" s="220"/>
      <c r="Z1490" s="227"/>
      <c r="AA1490" s="220"/>
      <c r="AB1490" s="221"/>
      <c r="AC1490" s="229"/>
      <c r="AD1490" s="230"/>
      <c r="AE1490" s="230"/>
      <c r="AF1490" s="230"/>
      <c r="AG1490" s="227"/>
    </row>
    <row r="1491" spans="1:33" x14ac:dyDescent="0.25">
      <c r="A1491" s="32"/>
      <c r="B1491" s="306"/>
      <c r="C1491" s="307"/>
      <c r="D1491" s="312"/>
      <c r="E1491" s="301"/>
      <c r="F1491" s="232"/>
      <c r="J1491" s="306"/>
      <c r="K1491" s="306"/>
      <c r="L1491" s="313"/>
      <c r="M1491" s="219"/>
      <c r="N1491" s="218"/>
      <c r="S1491" s="224"/>
      <c r="T1491" s="228"/>
      <c r="U1491" s="226"/>
      <c r="V1491" s="226"/>
      <c r="W1491" s="303"/>
      <c r="X1491" s="220"/>
      <c r="Z1491" s="227"/>
      <c r="AA1491" s="220"/>
      <c r="AB1491" s="221"/>
      <c r="AC1491" s="229"/>
      <c r="AD1491" s="230"/>
      <c r="AE1491" s="230"/>
      <c r="AF1491" s="230"/>
      <c r="AG1491" s="227"/>
    </row>
    <row r="1492" spans="1:33" x14ac:dyDescent="0.25">
      <c r="A1492" s="32"/>
      <c r="B1492" s="306"/>
      <c r="C1492" s="307"/>
      <c r="D1492" s="312"/>
      <c r="E1492" s="301"/>
      <c r="F1492" s="232"/>
      <c r="J1492" s="306"/>
      <c r="K1492" s="306"/>
      <c r="L1492" s="313"/>
      <c r="M1492" s="219"/>
      <c r="N1492" s="218"/>
      <c r="S1492" s="224"/>
      <c r="T1492" s="228"/>
      <c r="U1492" s="226"/>
      <c r="V1492" s="226"/>
      <c r="W1492" s="303"/>
      <c r="X1492" s="220"/>
      <c r="Z1492" s="227"/>
      <c r="AA1492" s="220"/>
      <c r="AB1492" s="221"/>
      <c r="AC1492" s="229"/>
      <c r="AD1492" s="230"/>
      <c r="AE1492" s="230"/>
      <c r="AF1492" s="230"/>
      <c r="AG1492" s="227"/>
    </row>
    <row r="1493" spans="1:33" x14ac:dyDescent="0.25">
      <c r="A1493" s="32"/>
      <c r="B1493" s="306"/>
      <c r="C1493" s="307"/>
      <c r="D1493" s="312"/>
      <c r="E1493" s="301"/>
      <c r="F1493" s="232"/>
      <c r="J1493" s="306"/>
      <c r="K1493" s="306"/>
      <c r="L1493" s="313"/>
      <c r="M1493" s="219"/>
      <c r="N1493" s="218"/>
      <c r="S1493" s="224"/>
      <c r="T1493" s="228"/>
      <c r="U1493" s="226"/>
      <c r="V1493" s="226"/>
      <c r="W1493" s="303"/>
      <c r="X1493" s="220"/>
      <c r="Z1493" s="227"/>
      <c r="AA1493" s="220"/>
      <c r="AB1493" s="221"/>
      <c r="AC1493" s="229"/>
      <c r="AD1493" s="230"/>
      <c r="AE1493" s="230"/>
      <c r="AF1493" s="230"/>
      <c r="AG1493" s="227"/>
    </row>
    <row r="1494" spans="1:33" x14ac:dyDescent="0.25">
      <c r="A1494" s="32"/>
      <c r="B1494" s="306"/>
      <c r="C1494" s="307"/>
      <c r="D1494" s="312"/>
      <c r="E1494" s="301"/>
      <c r="F1494" s="232"/>
      <c r="J1494" s="306"/>
      <c r="K1494" s="306"/>
      <c r="L1494" s="313"/>
      <c r="M1494" s="219"/>
      <c r="N1494" s="218"/>
      <c r="S1494" s="224"/>
      <c r="T1494" s="228"/>
      <c r="U1494" s="226"/>
      <c r="V1494" s="226"/>
      <c r="W1494" s="303"/>
      <c r="X1494" s="220"/>
      <c r="Z1494" s="227"/>
      <c r="AA1494" s="220"/>
      <c r="AB1494" s="221"/>
      <c r="AC1494" s="229"/>
      <c r="AD1494" s="230"/>
      <c r="AE1494" s="230"/>
      <c r="AF1494" s="230"/>
      <c r="AG1494" s="227"/>
    </row>
    <row r="1495" spans="1:33" x14ac:dyDescent="0.25">
      <c r="A1495" s="32"/>
      <c r="B1495" s="306"/>
      <c r="C1495" s="307"/>
      <c r="D1495" s="312"/>
      <c r="E1495" s="301"/>
      <c r="F1495" s="232"/>
      <c r="J1495" s="306"/>
      <c r="K1495" s="306"/>
      <c r="L1495" s="313"/>
      <c r="M1495" s="219"/>
      <c r="N1495" s="218"/>
      <c r="S1495" s="224"/>
      <c r="T1495" s="228"/>
      <c r="U1495" s="226"/>
      <c r="V1495" s="226"/>
      <c r="W1495" s="303"/>
      <c r="X1495" s="220"/>
      <c r="Z1495" s="227"/>
      <c r="AA1495" s="220"/>
      <c r="AB1495" s="221"/>
      <c r="AC1495" s="229"/>
      <c r="AD1495" s="230"/>
      <c r="AE1495" s="230"/>
      <c r="AF1495" s="230"/>
      <c r="AG1495" s="227"/>
    </row>
    <row r="1496" spans="1:33" x14ac:dyDescent="0.25">
      <c r="A1496" s="32"/>
      <c r="B1496" s="306"/>
      <c r="C1496" s="307"/>
      <c r="D1496" s="312"/>
      <c r="E1496" s="301"/>
      <c r="F1496" s="232"/>
      <c r="J1496" s="306"/>
      <c r="K1496" s="306"/>
      <c r="L1496" s="313"/>
      <c r="M1496" s="219"/>
      <c r="N1496" s="218"/>
      <c r="S1496" s="224"/>
      <c r="T1496" s="228"/>
      <c r="U1496" s="226"/>
      <c r="V1496" s="226"/>
      <c r="W1496" s="303"/>
      <c r="X1496" s="220"/>
      <c r="Z1496" s="227"/>
      <c r="AA1496" s="220"/>
      <c r="AB1496" s="221"/>
      <c r="AC1496" s="229"/>
      <c r="AD1496" s="230"/>
      <c r="AE1496" s="230"/>
      <c r="AF1496" s="230"/>
      <c r="AG1496" s="227"/>
    </row>
    <row r="1497" spans="1:33" x14ac:dyDescent="0.25">
      <c r="A1497" s="32"/>
      <c r="B1497" s="306"/>
      <c r="C1497" s="307"/>
      <c r="D1497" s="312"/>
      <c r="E1497" s="301"/>
      <c r="F1497" s="232"/>
      <c r="J1497" s="306"/>
      <c r="K1497" s="306"/>
      <c r="L1497" s="313"/>
      <c r="M1497" s="219"/>
      <c r="N1497" s="218"/>
      <c r="S1497" s="224"/>
      <c r="T1497" s="228"/>
      <c r="U1497" s="226"/>
      <c r="V1497" s="226"/>
      <c r="W1497" s="303"/>
      <c r="X1497" s="220"/>
      <c r="Z1497" s="227"/>
      <c r="AA1497" s="220"/>
      <c r="AB1497" s="221"/>
      <c r="AC1497" s="229"/>
      <c r="AD1497" s="230"/>
      <c r="AE1497" s="230"/>
      <c r="AF1497" s="230"/>
      <c r="AG1497" s="227"/>
    </row>
    <row r="1498" spans="1:33" x14ac:dyDescent="0.25">
      <c r="A1498" s="32"/>
      <c r="B1498" s="306"/>
      <c r="C1498" s="307"/>
      <c r="D1498" s="312"/>
      <c r="E1498" s="301"/>
      <c r="F1498" s="232"/>
      <c r="J1498" s="306"/>
      <c r="K1498" s="306"/>
      <c r="L1498" s="313"/>
      <c r="M1498" s="219"/>
      <c r="N1498" s="218"/>
      <c r="S1498" s="224"/>
      <c r="T1498" s="228"/>
      <c r="U1498" s="226"/>
      <c r="V1498" s="226"/>
      <c r="W1498" s="303"/>
      <c r="X1498" s="220"/>
      <c r="Z1498" s="227"/>
      <c r="AA1498" s="220"/>
      <c r="AB1498" s="221"/>
      <c r="AC1498" s="229"/>
      <c r="AD1498" s="230"/>
      <c r="AE1498" s="230"/>
      <c r="AF1498" s="230"/>
      <c r="AG1498" s="227"/>
    </row>
    <row r="1499" spans="1:33" x14ac:dyDescent="0.25">
      <c r="A1499" s="32"/>
      <c r="B1499" s="306"/>
      <c r="C1499" s="307"/>
      <c r="D1499" s="312"/>
      <c r="E1499" s="301"/>
      <c r="F1499" s="232"/>
      <c r="J1499" s="306"/>
      <c r="K1499" s="306"/>
      <c r="L1499" s="313"/>
      <c r="M1499" s="219"/>
      <c r="N1499" s="218"/>
      <c r="S1499" s="224"/>
      <c r="T1499" s="228"/>
      <c r="U1499" s="226"/>
      <c r="V1499" s="226"/>
      <c r="W1499" s="303"/>
      <c r="X1499" s="220"/>
      <c r="Z1499" s="227"/>
      <c r="AA1499" s="220"/>
      <c r="AB1499" s="221"/>
      <c r="AC1499" s="229"/>
      <c r="AD1499" s="230"/>
      <c r="AE1499" s="230"/>
      <c r="AF1499" s="230"/>
      <c r="AG1499" s="227"/>
    </row>
    <row r="1500" spans="1:33" x14ac:dyDescent="0.25">
      <c r="A1500" s="32"/>
      <c r="B1500" s="306"/>
      <c r="C1500" s="307"/>
      <c r="D1500" s="312"/>
      <c r="E1500" s="301"/>
      <c r="F1500" s="232"/>
      <c r="J1500" s="306"/>
      <c r="K1500" s="306"/>
      <c r="L1500" s="313"/>
      <c r="M1500" s="219"/>
      <c r="N1500" s="218"/>
      <c r="S1500" s="224"/>
      <c r="T1500" s="228"/>
      <c r="U1500" s="226"/>
      <c r="V1500" s="226"/>
      <c r="W1500" s="303"/>
      <c r="X1500" s="220"/>
      <c r="Z1500" s="227"/>
      <c r="AA1500" s="220"/>
      <c r="AB1500" s="221"/>
      <c r="AC1500" s="229"/>
      <c r="AD1500" s="230"/>
      <c r="AE1500" s="230"/>
      <c r="AF1500" s="230"/>
      <c r="AG1500" s="227"/>
    </row>
    <row r="1501" spans="1:33" x14ac:dyDescent="0.25">
      <c r="A1501" s="32"/>
      <c r="B1501" s="306"/>
      <c r="C1501" s="307"/>
      <c r="D1501" s="312"/>
      <c r="E1501" s="301"/>
      <c r="F1501" s="232"/>
      <c r="J1501" s="306"/>
      <c r="K1501" s="306"/>
      <c r="L1501" s="313"/>
      <c r="M1501" s="219"/>
      <c r="N1501" s="218"/>
      <c r="S1501" s="224"/>
      <c r="T1501" s="228"/>
      <c r="U1501" s="226"/>
      <c r="V1501" s="226"/>
      <c r="W1501" s="303"/>
      <c r="X1501" s="220"/>
      <c r="Z1501" s="227"/>
      <c r="AA1501" s="220"/>
      <c r="AB1501" s="221"/>
      <c r="AC1501" s="229"/>
      <c r="AD1501" s="230"/>
      <c r="AE1501" s="230"/>
      <c r="AF1501" s="230"/>
      <c r="AG1501" s="227"/>
    </row>
    <row r="1502" spans="1:33" x14ac:dyDescent="0.25">
      <c r="A1502" s="32"/>
      <c r="B1502" s="306"/>
      <c r="C1502" s="307"/>
      <c r="D1502" s="312"/>
      <c r="E1502" s="301"/>
      <c r="F1502" s="232"/>
      <c r="J1502" s="306"/>
      <c r="K1502" s="306"/>
      <c r="L1502" s="313"/>
      <c r="M1502" s="219"/>
      <c r="N1502" s="218"/>
      <c r="S1502" s="224"/>
      <c r="T1502" s="228"/>
      <c r="U1502" s="226"/>
      <c r="V1502" s="226"/>
      <c r="W1502" s="303"/>
      <c r="X1502" s="220"/>
      <c r="Z1502" s="227"/>
      <c r="AA1502" s="220"/>
      <c r="AB1502" s="221"/>
      <c r="AC1502" s="229"/>
      <c r="AD1502" s="230"/>
      <c r="AE1502" s="230"/>
      <c r="AF1502" s="230"/>
      <c r="AG1502" s="227"/>
    </row>
    <row r="1503" spans="1:33" x14ac:dyDescent="0.25">
      <c r="A1503" s="32"/>
      <c r="B1503" s="306"/>
      <c r="C1503" s="307"/>
      <c r="D1503" s="312"/>
      <c r="E1503" s="301"/>
      <c r="F1503" s="232"/>
      <c r="J1503" s="306"/>
      <c r="K1503" s="306"/>
      <c r="L1503" s="313"/>
      <c r="M1503" s="219"/>
      <c r="N1503" s="218"/>
      <c r="S1503" s="224"/>
      <c r="T1503" s="228"/>
      <c r="U1503" s="226"/>
      <c r="V1503" s="226"/>
      <c r="W1503" s="303"/>
      <c r="X1503" s="220"/>
      <c r="Z1503" s="227"/>
      <c r="AA1503" s="220"/>
      <c r="AB1503" s="221"/>
      <c r="AC1503" s="229"/>
      <c r="AD1503" s="230"/>
      <c r="AE1503" s="230"/>
      <c r="AF1503" s="230"/>
      <c r="AG1503" s="227"/>
    </row>
    <row r="1504" spans="1:33" x14ac:dyDescent="0.25">
      <c r="A1504" s="32"/>
      <c r="B1504" s="306"/>
      <c r="C1504" s="307"/>
      <c r="D1504" s="312"/>
      <c r="E1504" s="301"/>
      <c r="F1504" s="232"/>
      <c r="J1504" s="306"/>
      <c r="K1504" s="306"/>
      <c r="L1504" s="313"/>
      <c r="M1504" s="219"/>
      <c r="N1504" s="218"/>
      <c r="S1504" s="224"/>
      <c r="T1504" s="228"/>
      <c r="U1504" s="226"/>
      <c r="V1504" s="226"/>
      <c r="W1504" s="303"/>
      <c r="X1504" s="220"/>
      <c r="Z1504" s="227"/>
      <c r="AA1504" s="220"/>
      <c r="AB1504" s="221"/>
      <c r="AC1504" s="229"/>
      <c r="AD1504" s="230"/>
      <c r="AE1504" s="230"/>
      <c r="AF1504" s="230"/>
      <c r="AG1504" s="227"/>
    </row>
    <row r="1505" spans="1:33" x14ac:dyDescent="0.25">
      <c r="A1505" s="32"/>
      <c r="B1505" s="306"/>
      <c r="C1505" s="307"/>
      <c r="D1505" s="312"/>
      <c r="E1505" s="301"/>
      <c r="F1505" s="232"/>
      <c r="J1505" s="306"/>
      <c r="K1505" s="306"/>
      <c r="L1505" s="313"/>
      <c r="M1505" s="219"/>
      <c r="N1505" s="218"/>
      <c r="S1505" s="224"/>
      <c r="T1505" s="228"/>
      <c r="U1505" s="226"/>
      <c r="V1505" s="226"/>
      <c r="W1505" s="303"/>
      <c r="X1505" s="220"/>
      <c r="Z1505" s="227"/>
      <c r="AA1505" s="220"/>
      <c r="AB1505" s="221"/>
      <c r="AC1505" s="229"/>
      <c r="AD1505" s="230"/>
      <c r="AE1505" s="230"/>
      <c r="AF1505" s="230"/>
      <c r="AG1505" s="227"/>
    </row>
    <row r="1506" spans="1:33" x14ac:dyDescent="0.25">
      <c r="A1506" s="32"/>
      <c r="B1506" s="306"/>
      <c r="C1506" s="307"/>
      <c r="D1506" s="312"/>
      <c r="E1506" s="301"/>
      <c r="F1506" s="232"/>
      <c r="J1506" s="306"/>
      <c r="K1506" s="306"/>
      <c r="L1506" s="313"/>
      <c r="M1506" s="219"/>
      <c r="N1506" s="218"/>
      <c r="S1506" s="224"/>
      <c r="T1506" s="228"/>
      <c r="U1506" s="226"/>
      <c r="V1506" s="226"/>
      <c r="W1506" s="303"/>
      <c r="X1506" s="220"/>
      <c r="Z1506" s="227"/>
      <c r="AA1506" s="220"/>
      <c r="AB1506" s="221"/>
      <c r="AC1506" s="229"/>
      <c r="AD1506" s="230"/>
      <c r="AE1506" s="230"/>
      <c r="AF1506" s="230"/>
      <c r="AG1506" s="227"/>
    </row>
    <row r="1507" spans="1:33" x14ac:dyDescent="0.25">
      <c r="A1507" s="32"/>
      <c r="B1507" s="306"/>
      <c r="C1507" s="307"/>
      <c r="D1507" s="312"/>
      <c r="E1507" s="301"/>
      <c r="F1507" s="232"/>
      <c r="J1507" s="306"/>
      <c r="K1507" s="306"/>
      <c r="L1507" s="313"/>
      <c r="M1507" s="219"/>
      <c r="N1507" s="218"/>
      <c r="S1507" s="224"/>
      <c r="T1507" s="228"/>
      <c r="U1507" s="226"/>
      <c r="V1507" s="226"/>
      <c r="W1507" s="303"/>
      <c r="X1507" s="220"/>
      <c r="Z1507" s="227"/>
      <c r="AA1507" s="220"/>
      <c r="AB1507" s="221"/>
      <c r="AC1507" s="229"/>
      <c r="AD1507" s="230"/>
      <c r="AE1507" s="230"/>
      <c r="AF1507" s="230"/>
      <c r="AG1507" s="227"/>
    </row>
    <row r="1508" spans="1:33" x14ac:dyDescent="0.25">
      <c r="A1508" s="32"/>
      <c r="B1508" s="306"/>
      <c r="C1508" s="307"/>
      <c r="D1508" s="312"/>
      <c r="E1508" s="301"/>
      <c r="F1508" s="232"/>
      <c r="J1508" s="306"/>
      <c r="K1508" s="306"/>
      <c r="L1508" s="313"/>
      <c r="M1508" s="219"/>
      <c r="N1508" s="218"/>
      <c r="S1508" s="224"/>
      <c r="T1508" s="228"/>
      <c r="U1508" s="226"/>
      <c r="V1508" s="226"/>
      <c r="W1508" s="303"/>
      <c r="X1508" s="220"/>
      <c r="Z1508" s="227"/>
      <c r="AA1508" s="220"/>
      <c r="AB1508" s="221"/>
      <c r="AC1508" s="229"/>
      <c r="AD1508" s="230"/>
      <c r="AE1508" s="230"/>
      <c r="AF1508" s="230"/>
      <c r="AG1508" s="227"/>
    </row>
    <row r="1509" spans="1:33" x14ac:dyDescent="0.25">
      <c r="A1509" s="32"/>
      <c r="B1509" s="306"/>
      <c r="C1509" s="307"/>
      <c r="D1509" s="312"/>
      <c r="E1509" s="301"/>
      <c r="F1509" s="232"/>
      <c r="J1509" s="306"/>
      <c r="K1509" s="306"/>
      <c r="L1509" s="313"/>
      <c r="M1509" s="219"/>
      <c r="N1509" s="218"/>
      <c r="S1509" s="224"/>
      <c r="T1509" s="228"/>
      <c r="U1509" s="226"/>
      <c r="V1509" s="226"/>
      <c r="W1509" s="303"/>
      <c r="X1509" s="220"/>
      <c r="Z1509" s="227"/>
      <c r="AA1509" s="220"/>
      <c r="AB1509" s="221"/>
      <c r="AC1509" s="229"/>
      <c r="AD1509" s="230"/>
      <c r="AE1509" s="230"/>
      <c r="AF1509" s="230"/>
      <c r="AG1509" s="227"/>
    </row>
    <row r="1510" spans="1:33" x14ac:dyDescent="0.25">
      <c r="A1510" s="32"/>
      <c r="B1510" s="306"/>
      <c r="C1510" s="307"/>
      <c r="D1510" s="312"/>
      <c r="E1510" s="301"/>
      <c r="F1510" s="232"/>
      <c r="J1510" s="306"/>
      <c r="K1510" s="306"/>
      <c r="L1510" s="313"/>
      <c r="M1510" s="219"/>
      <c r="N1510" s="218"/>
      <c r="S1510" s="224"/>
      <c r="T1510" s="228"/>
      <c r="U1510" s="226"/>
      <c r="V1510" s="226"/>
      <c r="W1510" s="303"/>
      <c r="X1510" s="220"/>
      <c r="Z1510" s="227"/>
      <c r="AA1510" s="220"/>
      <c r="AB1510" s="221"/>
      <c r="AC1510" s="229"/>
      <c r="AD1510" s="230"/>
      <c r="AE1510" s="230"/>
      <c r="AF1510" s="230"/>
      <c r="AG1510" s="227"/>
    </row>
    <row r="1511" spans="1:33" x14ac:dyDescent="0.25">
      <c r="A1511" s="32"/>
      <c r="B1511" s="306"/>
      <c r="C1511" s="307"/>
      <c r="D1511" s="312"/>
      <c r="E1511" s="301"/>
      <c r="F1511" s="232"/>
      <c r="J1511" s="306"/>
      <c r="K1511" s="306"/>
      <c r="L1511" s="313"/>
      <c r="M1511" s="219"/>
      <c r="N1511" s="218"/>
      <c r="S1511" s="224"/>
      <c r="T1511" s="228"/>
      <c r="U1511" s="226"/>
      <c r="V1511" s="226"/>
      <c r="W1511" s="303"/>
      <c r="X1511" s="220"/>
      <c r="Z1511" s="227"/>
      <c r="AA1511" s="220"/>
      <c r="AB1511" s="221"/>
      <c r="AC1511" s="229"/>
      <c r="AD1511" s="230"/>
      <c r="AE1511" s="230"/>
      <c r="AF1511" s="230"/>
      <c r="AG1511" s="227"/>
    </row>
    <row r="1512" spans="1:33" x14ac:dyDescent="0.25">
      <c r="A1512" s="32"/>
      <c r="B1512" s="306"/>
      <c r="C1512" s="307"/>
      <c r="D1512" s="312"/>
      <c r="E1512" s="301"/>
      <c r="F1512" s="232"/>
      <c r="J1512" s="306"/>
      <c r="K1512" s="306"/>
      <c r="L1512" s="313"/>
      <c r="M1512" s="219"/>
      <c r="N1512" s="218"/>
      <c r="S1512" s="224"/>
      <c r="T1512" s="228"/>
      <c r="U1512" s="226"/>
      <c r="V1512" s="226"/>
      <c r="W1512" s="303"/>
      <c r="X1512" s="220"/>
      <c r="Z1512" s="227"/>
      <c r="AA1512" s="220"/>
      <c r="AB1512" s="221"/>
      <c r="AC1512" s="229"/>
      <c r="AD1512" s="230"/>
      <c r="AE1512" s="230"/>
      <c r="AF1512" s="230"/>
      <c r="AG1512" s="227"/>
    </row>
    <row r="1513" spans="1:33" x14ac:dyDescent="0.25">
      <c r="A1513" s="32"/>
      <c r="B1513" s="306"/>
      <c r="C1513" s="307"/>
      <c r="D1513" s="312"/>
      <c r="E1513" s="301"/>
      <c r="F1513" s="232"/>
      <c r="J1513" s="306"/>
      <c r="K1513" s="306"/>
      <c r="L1513" s="313"/>
      <c r="M1513" s="219"/>
      <c r="N1513" s="218"/>
      <c r="S1513" s="224"/>
      <c r="T1513" s="228"/>
      <c r="U1513" s="226"/>
      <c r="V1513" s="226"/>
      <c r="W1513" s="303"/>
      <c r="X1513" s="220"/>
      <c r="Z1513" s="227"/>
      <c r="AA1513" s="220"/>
      <c r="AB1513" s="221"/>
      <c r="AC1513" s="229"/>
      <c r="AD1513" s="230"/>
      <c r="AE1513" s="230"/>
      <c r="AF1513" s="230"/>
      <c r="AG1513" s="227"/>
    </row>
    <row r="1514" spans="1:33" x14ac:dyDescent="0.25">
      <c r="A1514" s="32"/>
      <c r="B1514" s="306"/>
      <c r="C1514" s="307"/>
      <c r="D1514" s="312"/>
      <c r="E1514" s="301"/>
      <c r="F1514" s="232"/>
      <c r="J1514" s="306"/>
      <c r="K1514" s="306"/>
      <c r="L1514" s="313"/>
      <c r="M1514" s="219"/>
      <c r="N1514" s="218"/>
      <c r="S1514" s="224"/>
      <c r="T1514" s="228"/>
      <c r="U1514" s="226"/>
      <c r="V1514" s="226"/>
      <c r="W1514" s="303"/>
      <c r="X1514" s="220"/>
      <c r="Z1514" s="227"/>
      <c r="AA1514" s="220"/>
      <c r="AB1514" s="221"/>
      <c r="AC1514" s="229"/>
      <c r="AD1514" s="230"/>
      <c r="AE1514" s="230"/>
      <c r="AF1514" s="230"/>
      <c r="AG1514" s="227"/>
    </row>
    <row r="1515" spans="1:33" x14ac:dyDescent="0.25">
      <c r="A1515" s="32"/>
      <c r="B1515" s="306"/>
      <c r="C1515" s="307"/>
      <c r="D1515" s="312"/>
      <c r="E1515" s="301"/>
      <c r="F1515" s="232"/>
      <c r="J1515" s="306"/>
      <c r="K1515" s="306"/>
      <c r="L1515" s="313"/>
      <c r="M1515" s="219"/>
      <c r="N1515" s="218"/>
      <c r="S1515" s="224"/>
      <c r="T1515" s="228"/>
      <c r="U1515" s="226"/>
      <c r="V1515" s="226"/>
      <c r="W1515" s="303"/>
      <c r="X1515" s="220"/>
      <c r="Z1515" s="227"/>
      <c r="AA1515" s="220"/>
      <c r="AB1515" s="221"/>
      <c r="AC1515" s="229"/>
      <c r="AD1515" s="230"/>
      <c r="AE1515" s="230"/>
      <c r="AF1515" s="230"/>
      <c r="AG1515" s="227"/>
    </row>
    <row r="1516" spans="1:33" x14ac:dyDescent="0.25">
      <c r="A1516" s="32"/>
      <c r="B1516" s="306"/>
      <c r="C1516" s="307"/>
      <c r="D1516" s="312"/>
      <c r="E1516" s="301"/>
      <c r="F1516" s="232"/>
      <c r="J1516" s="306"/>
      <c r="K1516" s="306"/>
      <c r="L1516" s="313"/>
      <c r="M1516" s="219"/>
      <c r="N1516" s="218"/>
      <c r="S1516" s="224"/>
      <c r="T1516" s="228"/>
      <c r="U1516" s="226"/>
      <c r="V1516" s="226"/>
      <c r="W1516" s="303"/>
      <c r="X1516" s="220"/>
      <c r="Z1516" s="227"/>
      <c r="AA1516" s="220"/>
      <c r="AB1516" s="221"/>
      <c r="AC1516" s="229"/>
      <c r="AD1516" s="230"/>
      <c r="AE1516" s="230"/>
      <c r="AF1516" s="230"/>
      <c r="AG1516" s="227"/>
    </row>
    <row r="1517" spans="1:33" x14ac:dyDescent="0.25">
      <c r="A1517" s="32"/>
      <c r="B1517" s="306"/>
      <c r="C1517" s="307"/>
      <c r="D1517" s="312"/>
      <c r="E1517" s="301"/>
      <c r="F1517" s="232"/>
      <c r="J1517" s="306"/>
      <c r="K1517" s="306"/>
      <c r="L1517" s="313"/>
      <c r="M1517" s="219"/>
      <c r="N1517" s="218"/>
      <c r="S1517" s="224"/>
      <c r="T1517" s="228"/>
      <c r="U1517" s="226"/>
      <c r="V1517" s="226"/>
      <c r="W1517" s="303"/>
      <c r="X1517" s="220"/>
      <c r="Z1517" s="227"/>
      <c r="AA1517" s="220"/>
      <c r="AB1517" s="221"/>
      <c r="AC1517" s="229"/>
      <c r="AD1517" s="230"/>
      <c r="AE1517" s="230"/>
      <c r="AF1517" s="230"/>
      <c r="AG1517" s="227"/>
    </row>
    <row r="1518" spans="1:33" x14ac:dyDescent="0.25">
      <c r="A1518" s="32"/>
      <c r="B1518" s="306"/>
      <c r="C1518" s="307"/>
      <c r="D1518" s="312"/>
      <c r="E1518" s="301"/>
      <c r="F1518" s="232"/>
      <c r="J1518" s="306"/>
      <c r="K1518" s="306"/>
      <c r="L1518" s="313"/>
      <c r="M1518" s="219"/>
      <c r="N1518" s="218"/>
      <c r="S1518" s="224"/>
      <c r="T1518" s="228"/>
      <c r="U1518" s="226"/>
      <c r="V1518" s="226"/>
      <c r="W1518" s="303"/>
      <c r="X1518" s="220"/>
      <c r="Z1518" s="227"/>
      <c r="AA1518" s="220"/>
      <c r="AB1518" s="221"/>
      <c r="AC1518" s="229"/>
      <c r="AD1518" s="230"/>
      <c r="AE1518" s="230"/>
      <c r="AF1518" s="230"/>
      <c r="AG1518" s="227"/>
    </row>
    <row r="1519" spans="1:33" x14ac:dyDescent="0.25">
      <c r="A1519" s="32"/>
      <c r="B1519" s="306"/>
      <c r="C1519" s="307"/>
      <c r="D1519" s="312"/>
      <c r="E1519" s="301"/>
      <c r="F1519" s="232"/>
      <c r="J1519" s="306"/>
      <c r="K1519" s="306"/>
      <c r="L1519" s="313"/>
      <c r="M1519" s="219"/>
      <c r="N1519" s="218"/>
      <c r="S1519" s="224"/>
      <c r="T1519" s="228"/>
      <c r="U1519" s="226"/>
      <c r="V1519" s="226"/>
      <c r="W1519" s="303"/>
      <c r="X1519" s="220"/>
      <c r="Z1519" s="227"/>
      <c r="AA1519" s="220"/>
      <c r="AB1519" s="221"/>
      <c r="AC1519" s="229"/>
      <c r="AD1519" s="230"/>
      <c r="AE1519" s="230"/>
      <c r="AF1519" s="230"/>
      <c r="AG1519" s="227"/>
    </row>
    <row r="1520" spans="1:33" x14ac:dyDescent="0.25">
      <c r="A1520" s="32"/>
      <c r="B1520" s="306"/>
      <c r="C1520" s="307"/>
      <c r="D1520" s="312"/>
      <c r="E1520" s="301"/>
      <c r="F1520" s="232"/>
      <c r="J1520" s="306"/>
      <c r="K1520" s="306"/>
      <c r="L1520" s="313"/>
      <c r="M1520" s="219"/>
      <c r="N1520" s="218"/>
      <c r="S1520" s="224"/>
      <c r="T1520" s="228"/>
      <c r="U1520" s="226"/>
      <c r="V1520" s="226"/>
      <c r="W1520" s="303"/>
      <c r="X1520" s="220"/>
      <c r="Z1520" s="227"/>
      <c r="AA1520" s="220"/>
      <c r="AB1520" s="221"/>
      <c r="AC1520" s="229"/>
      <c r="AD1520" s="230"/>
      <c r="AE1520" s="230"/>
      <c r="AF1520" s="230"/>
      <c r="AG1520" s="227"/>
    </row>
    <row r="1521" spans="1:33" x14ac:dyDescent="0.25">
      <c r="A1521" s="32"/>
      <c r="B1521" s="306"/>
      <c r="C1521" s="307"/>
      <c r="D1521" s="312"/>
      <c r="E1521" s="301"/>
      <c r="F1521" s="232"/>
      <c r="J1521" s="306"/>
      <c r="K1521" s="306"/>
      <c r="L1521" s="313"/>
      <c r="M1521" s="219"/>
      <c r="N1521" s="218"/>
      <c r="S1521" s="224"/>
      <c r="T1521" s="228"/>
      <c r="U1521" s="226"/>
      <c r="V1521" s="226"/>
      <c r="W1521" s="303"/>
      <c r="X1521" s="220"/>
      <c r="Z1521" s="227"/>
      <c r="AA1521" s="220"/>
      <c r="AB1521" s="221"/>
      <c r="AC1521" s="229"/>
      <c r="AD1521" s="230"/>
      <c r="AE1521" s="230"/>
      <c r="AF1521" s="230"/>
      <c r="AG1521" s="227"/>
    </row>
    <row r="1522" spans="1:33" x14ac:dyDescent="0.25">
      <c r="A1522" s="32"/>
      <c r="B1522" s="306"/>
      <c r="C1522" s="307"/>
      <c r="D1522" s="312"/>
      <c r="E1522" s="301"/>
      <c r="F1522" s="232"/>
      <c r="J1522" s="306"/>
      <c r="K1522" s="306"/>
      <c r="L1522" s="313"/>
      <c r="M1522" s="219"/>
      <c r="N1522" s="218"/>
      <c r="S1522" s="224"/>
      <c r="T1522" s="228"/>
      <c r="U1522" s="226"/>
      <c r="V1522" s="226"/>
      <c r="W1522" s="303"/>
      <c r="X1522" s="220"/>
      <c r="Z1522" s="227"/>
      <c r="AA1522" s="220"/>
      <c r="AB1522" s="221"/>
      <c r="AC1522" s="229"/>
      <c r="AD1522" s="230"/>
      <c r="AE1522" s="230"/>
      <c r="AF1522" s="230"/>
      <c r="AG1522" s="227"/>
    </row>
    <row r="1523" spans="1:33" x14ac:dyDescent="0.25">
      <c r="A1523" s="32"/>
      <c r="B1523" s="306"/>
      <c r="C1523" s="307"/>
      <c r="D1523" s="312"/>
      <c r="E1523" s="301"/>
      <c r="F1523" s="232"/>
      <c r="J1523" s="306"/>
      <c r="K1523" s="306"/>
      <c r="L1523" s="313"/>
      <c r="M1523" s="219"/>
      <c r="N1523" s="218"/>
      <c r="S1523" s="224"/>
      <c r="T1523" s="228"/>
      <c r="U1523" s="226"/>
      <c r="V1523" s="226"/>
      <c r="W1523" s="303"/>
      <c r="X1523" s="220"/>
      <c r="Z1523" s="227"/>
      <c r="AA1523" s="220"/>
      <c r="AB1523" s="221"/>
      <c r="AC1523" s="229"/>
      <c r="AD1523" s="230"/>
      <c r="AE1523" s="230"/>
      <c r="AF1523" s="230"/>
      <c r="AG1523" s="227"/>
    </row>
    <row r="1524" spans="1:33" x14ac:dyDescent="0.25">
      <c r="A1524" s="32"/>
      <c r="B1524" s="306"/>
      <c r="C1524" s="307"/>
      <c r="D1524" s="312"/>
      <c r="E1524" s="301"/>
      <c r="F1524" s="232"/>
      <c r="J1524" s="306"/>
      <c r="K1524" s="306"/>
      <c r="L1524" s="313"/>
      <c r="M1524" s="219"/>
      <c r="N1524" s="218"/>
      <c r="S1524" s="224"/>
      <c r="T1524" s="228"/>
      <c r="U1524" s="226"/>
      <c r="V1524" s="226"/>
      <c r="W1524" s="303"/>
      <c r="X1524" s="220"/>
      <c r="Z1524" s="227"/>
      <c r="AA1524" s="220"/>
      <c r="AB1524" s="221"/>
      <c r="AC1524" s="229"/>
      <c r="AD1524" s="230"/>
      <c r="AE1524" s="230"/>
      <c r="AF1524" s="230"/>
      <c r="AG1524" s="227"/>
    </row>
    <row r="1525" spans="1:33" x14ac:dyDescent="0.25">
      <c r="A1525" s="32"/>
      <c r="B1525" s="306"/>
      <c r="C1525" s="307"/>
      <c r="D1525" s="312"/>
      <c r="E1525" s="301"/>
      <c r="F1525" s="232"/>
      <c r="J1525" s="306"/>
      <c r="K1525" s="306"/>
      <c r="L1525" s="313"/>
      <c r="M1525" s="219"/>
      <c r="N1525" s="218"/>
      <c r="S1525" s="224"/>
      <c r="T1525" s="228"/>
      <c r="U1525" s="226"/>
      <c r="V1525" s="226"/>
      <c r="W1525" s="303"/>
      <c r="X1525" s="220"/>
      <c r="Z1525" s="227"/>
      <c r="AA1525" s="220"/>
      <c r="AB1525" s="221"/>
      <c r="AC1525" s="229"/>
      <c r="AD1525" s="230"/>
      <c r="AE1525" s="230"/>
      <c r="AF1525" s="230"/>
      <c r="AG1525" s="227"/>
    </row>
    <row r="1526" spans="1:33" x14ac:dyDescent="0.25">
      <c r="A1526" s="32"/>
      <c r="B1526" s="306"/>
      <c r="C1526" s="307"/>
      <c r="D1526" s="312"/>
      <c r="E1526" s="301"/>
      <c r="F1526" s="232"/>
      <c r="J1526" s="306"/>
      <c r="K1526" s="306"/>
      <c r="L1526" s="313"/>
      <c r="M1526" s="219"/>
      <c r="N1526" s="218"/>
      <c r="S1526" s="224"/>
      <c r="T1526" s="228"/>
      <c r="U1526" s="226"/>
      <c r="V1526" s="226"/>
      <c r="W1526" s="303"/>
      <c r="X1526" s="220"/>
      <c r="Z1526" s="227"/>
      <c r="AA1526" s="220"/>
      <c r="AB1526" s="221"/>
      <c r="AC1526" s="229"/>
      <c r="AD1526" s="230"/>
      <c r="AE1526" s="230"/>
      <c r="AF1526" s="230"/>
      <c r="AG1526" s="227"/>
    </row>
    <row r="1527" spans="1:33" x14ac:dyDescent="0.25">
      <c r="A1527" s="32"/>
      <c r="B1527" s="306"/>
      <c r="C1527" s="307"/>
      <c r="D1527" s="312"/>
      <c r="E1527" s="301"/>
      <c r="F1527" s="232"/>
      <c r="J1527" s="306"/>
      <c r="K1527" s="306"/>
      <c r="L1527" s="313"/>
      <c r="M1527" s="219"/>
      <c r="N1527" s="218"/>
      <c r="S1527" s="224"/>
      <c r="T1527" s="228"/>
      <c r="U1527" s="226"/>
      <c r="V1527" s="226"/>
      <c r="W1527" s="303"/>
      <c r="X1527" s="220"/>
      <c r="Z1527" s="227"/>
      <c r="AA1527" s="220"/>
      <c r="AB1527" s="221"/>
      <c r="AC1527" s="229"/>
      <c r="AD1527" s="230"/>
      <c r="AE1527" s="230"/>
      <c r="AF1527" s="230"/>
      <c r="AG1527" s="227"/>
    </row>
    <row r="1528" spans="1:33" x14ac:dyDescent="0.25">
      <c r="A1528" s="32"/>
      <c r="B1528" s="306"/>
      <c r="C1528" s="307"/>
      <c r="D1528" s="312"/>
      <c r="E1528" s="301"/>
      <c r="F1528" s="232"/>
      <c r="J1528" s="306"/>
      <c r="K1528" s="306"/>
      <c r="L1528" s="313"/>
      <c r="M1528" s="219"/>
      <c r="N1528" s="218"/>
      <c r="S1528" s="224"/>
      <c r="T1528" s="228"/>
      <c r="U1528" s="226"/>
      <c r="V1528" s="226"/>
      <c r="W1528" s="303"/>
      <c r="X1528" s="220"/>
      <c r="Z1528" s="227"/>
      <c r="AA1528" s="220"/>
      <c r="AB1528" s="221"/>
      <c r="AC1528" s="229"/>
      <c r="AD1528" s="230"/>
      <c r="AE1528" s="230"/>
      <c r="AF1528" s="230"/>
      <c r="AG1528" s="227"/>
    </row>
    <row r="1529" spans="1:33" x14ac:dyDescent="0.25">
      <c r="A1529" s="32"/>
      <c r="B1529" s="306"/>
      <c r="C1529" s="307"/>
      <c r="D1529" s="312"/>
      <c r="E1529" s="301"/>
      <c r="F1529" s="232"/>
      <c r="J1529" s="306"/>
      <c r="K1529" s="306"/>
      <c r="L1529" s="313"/>
      <c r="M1529" s="219"/>
      <c r="N1529" s="218"/>
      <c r="S1529" s="224"/>
      <c r="T1529" s="228"/>
      <c r="U1529" s="226"/>
      <c r="V1529" s="226"/>
      <c r="W1529" s="303"/>
      <c r="X1529" s="220"/>
      <c r="Z1529" s="227"/>
      <c r="AA1529" s="220"/>
      <c r="AB1529" s="221"/>
      <c r="AC1529" s="229"/>
      <c r="AD1529" s="230"/>
      <c r="AE1529" s="230"/>
      <c r="AF1529" s="230"/>
      <c r="AG1529" s="227"/>
    </row>
    <row r="1530" spans="1:33" x14ac:dyDescent="0.25">
      <c r="A1530" s="32"/>
      <c r="B1530" s="306"/>
      <c r="C1530" s="307"/>
      <c r="D1530" s="312"/>
      <c r="E1530" s="301"/>
      <c r="F1530" s="232"/>
      <c r="J1530" s="306"/>
      <c r="K1530" s="306"/>
      <c r="L1530" s="313"/>
      <c r="M1530" s="219"/>
      <c r="N1530" s="218"/>
      <c r="S1530" s="224"/>
      <c r="T1530" s="228"/>
      <c r="U1530" s="226"/>
      <c r="V1530" s="226"/>
      <c r="W1530" s="303"/>
      <c r="X1530" s="220"/>
      <c r="Z1530" s="227"/>
      <c r="AA1530" s="220"/>
      <c r="AB1530" s="221"/>
      <c r="AC1530" s="229"/>
      <c r="AD1530" s="230"/>
      <c r="AE1530" s="230"/>
      <c r="AF1530" s="230"/>
      <c r="AG1530" s="227"/>
    </row>
    <row r="1531" spans="1:33" x14ac:dyDescent="0.25">
      <c r="A1531" s="32"/>
      <c r="B1531" s="306"/>
      <c r="C1531" s="307"/>
      <c r="D1531" s="312"/>
      <c r="E1531" s="301"/>
      <c r="F1531" s="232"/>
      <c r="J1531" s="306"/>
      <c r="K1531" s="306"/>
      <c r="L1531" s="313"/>
      <c r="M1531" s="219"/>
      <c r="N1531" s="218"/>
      <c r="S1531" s="224"/>
      <c r="T1531" s="228"/>
      <c r="U1531" s="226"/>
      <c r="V1531" s="226"/>
      <c r="W1531" s="303"/>
      <c r="X1531" s="220"/>
      <c r="Z1531" s="227"/>
      <c r="AA1531" s="220"/>
      <c r="AB1531" s="221"/>
      <c r="AC1531" s="229"/>
      <c r="AD1531" s="230"/>
      <c r="AE1531" s="230"/>
      <c r="AF1531" s="230"/>
      <c r="AG1531" s="227"/>
    </row>
    <row r="1532" spans="1:33" x14ac:dyDescent="0.25">
      <c r="A1532" s="32"/>
      <c r="B1532" s="306"/>
      <c r="C1532" s="307"/>
      <c r="D1532" s="312"/>
      <c r="E1532" s="301"/>
      <c r="F1532" s="232"/>
      <c r="J1532" s="306"/>
      <c r="K1532" s="306"/>
      <c r="L1532" s="313"/>
      <c r="M1532" s="219"/>
      <c r="N1532" s="218"/>
      <c r="S1532" s="224"/>
      <c r="T1532" s="228"/>
      <c r="U1532" s="226"/>
      <c r="V1532" s="226"/>
      <c r="W1532" s="303"/>
      <c r="X1532" s="220"/>
      <c r="Z1532" s="227"/>
      <c r="AA1532" s="220"/>
      <c r="AB1532" s="221"/>
      <c r="AC1532" s="229"/>
      <c r="AD1532" s="230"/>
      <c r="AE1532" s="230"/>
      <c r="AF1532" s="230"/>
      <c r="AG1532" s="227"/>
    </row>
    <row r="1533" spans="1:33" x14ac:dyDescent="0.25">
      <c r="A1533" s="32"/>
      <c r="B1533" s="306"/>
      <c r="C1533" s="307"/>
      <c r="D1533" s="312"/>
      <c r="E1533" s="301"/>
      <c r="F1533" s="232"/>
      <c r="J1533" s="306"/>
      <c r="K1533" s="306"/>
      <c r="L1533" s="313"/>
      <c r="M1533" s="219"/>
      <c r="N1533" s="218"/>
      <c r="S1533" s="224"/>
      <c r="T1533" s="228"/>
      <c r="U1533" s="226"/>
      <c r="V1533" s="226"/>
      <c r="W1533" s="303"/>
      <c r="X1533" s="220"/>
      <c r="Z1533" s="227"/>
      <c r="AA1533" s="220"/>
      <c r="AB1533" s="221"/>
      <c r="AC1533" s="229"/>
      <c r="AD1533" s="230"/>
      <c r="AE1533" s="230"/>
      <c r="AF1533" s="230"/>
      <c r="AG1533" s="227"/>
    </row>
    <row r="1534" spans="1:33" x14ac:dyDescent="0.25">
      <c r="A1534" s="32"/>
      <c r="B1534" s="306"/>
      <c r="C1534" s="307"/>
      <c r="D1534" s="312"/>
      <c r="E1534" s="301"/>
      <c r="F1534" s="232"/>
      <c r="J1534" s="306"/>
      <c r="K1534" s="306"/>
      <c r="L1534" s="313"/>
      <c r="M1534" s="219"/>
      <c r="N1534" s="218"/>
      <c r="S1534" s="224"/>
      <c r="T1534" s="228"/>
      <c r="U1534" s="226"/>
      <c r="V1534" s="226"/>
      <c r="W1534" s="303"/>
      <c r="X1534" s="220"/>
      <c r="Z1534" s="227"/>
      <c r="AA1534" s="220"/>
      <c r="AB1534" s="221"/>
      <c r="AC1534" s="229"/>
      <c r="AD1534" s="230"/>
      <c r="AE1534" s="230"/>
      <c r="AF1534" s="230"/>
      <c r="AG1534" s="227"/>
    </row>
    <row r="1535" spans="1:33" x14ac:dyDescent="0.25">
      <c r="A1535" s="32"/>
      <c r="B1535" s="306"/>
      <c r="C1535" s="307"/>
      <c r="D1535" s="312"/>
      <c r="E1535" s="301"/>
      <c r="F1535" s="232"/>
      <c r="J1535" s="306"/>
      <c r="K1535" s="306"/>
      <c r="L1535" s="313"/>
      <c r="M1535" s="219"/>
      <c r="N1535" s="218"/>
      <c r="S1535" s="224"/>
      <c r="T1535" s="228"/>
      <c r="U1535" s="226"/>
      <c r="V1535" s="226"/>
      <c r="W1535" s="303"/>
      <c r="X1535" s="220"/>
      <c r="Z1535" s="227"/>
      <c r="AA1535" s="220"/>
      <c r="AB1535" s="221"/>
      <c r="AC1535" s="229"/>
      <c r="AD1535" s="230"/>
      <c r="AE1535" s="230"/>
      <c r="AF1535" s="230"/>
      <c r="AG1535" s="227"/>
    </row>
    <row r="1536" spans="1:33" x14ac:dyDescent="0.25">
      <c r="A1536" s="32"/>
      <c r="B1536" s="306"/>
      <c r="C1536" s="307"/>
      <c r="D1536" s="312"/>
      <c r="E1536" s="301"/>
      <c r="F1536" s="232"/>
      <c r="J1536" s="306"/>
      <c r="K1536" s="306"/>
      <c r="L1536" s="313"/>
      <c r="M1536" s="219"/>
      <c r="N1536" s="218"/>
      <c r="S1536" s="224"/>
      <c r="T1536" s="228"/>
      <c r="U1536" s="226"/>
      <c r="V1536" s="226"/>
      <c r="W1536" s="303"/>
      <c r="X1536" s="220"/>
      <c r="Z1536" s="227"/>
      <c r="AA1536" s="220"/>
      <c r="AB1536" s="221"/>
      <c r="AC1536" s="229"/>
      <c r="AD1536" s="230"/>
      <c r="AE1536" s="230"/>
      <c r="AF1536" s="230"/>
      <c r="AG1536" s="227"/>
    </row>
    <row r="1537" spans="1:33" x14ac:dyDescent="0.25">
      <c r="A1537" s="32"/>
      <c r="B1537" s="306"/>
      <c r="C1537" s="307"/>
      <c r="D1537" s="312"/>
      <c r="E1537" s="301"/>
      <c r="F1537" s="232"/>
      <c r="J1537" s="306"/>
      <c r="K1537" s="306"/>
      <c r="L1537" s="313"/>
      <c r="M1537" s="219"/>
      <c r="N1537" s="218"/>
      <c r="S1537" s="224"/>
      <c r="T1537" s="228"/>
      <c r="U1537" s="226"/>
      <c r="V1537" s="226"/>
      <c r="W1537" s="303"/>
      <c r="X1537" s="220"/>
      <c r="Z1537" s="227"/>
      <c r="AA1537" s="220"/>
      <c r="AB1537" s="221"/>
      <c r="AC1537" s="229"/>
      <c r="AD1537" s="230"/>
      <c r="AE1537" s="230"/>
      <c r="AF1537" s="230"/>
      <c r="AG1537" s="227"/>
    </row>
    <row r="1538" spans="1:33" x14ac:dyDescent="0.25">
      <c r="A1538" s="32"/>
      <c r="B1538" s="306"/>
      <c r="C1538" s="307"/>
      <c r="D1538" s="312"/>
      <c r="E1538" s="301"/>
      <c r="F1538" s="232"/>
      <c r="J1538" s="306"/>
      <c r="K1538" s="306"/>
      <c r="L1538" s="313"/>
      <c r="M1538" s="219"/>
      <c r="N1538" s="218"/>
      <c r="S1538" s="224"/>
      <c r="T1538" s="228"/>
      <c r="U1538" s="226"/>
      <c r="V1538" s="226"/>
      <c r="W1538" s="303"/>
      <c r="X1538" s="220"/>
      <c r="Z1538" s="227"/>
      <c r="AA1538" s="220"/>
      <c r="AB1538" s="221"/>
      <c r="AC1538" s="229"/>
      <c r="AD1538" s="230"/>
      <c r="AE1538" s="230"/>
      <c r="AF1538" s="230"/>
      <c r="AG1538" s="227"/>
    </row>
    <row r="1539" spans="1:33" x14ac:dyDescent="0.25">
      <c r="A1539" s="32"/>
      <c r="B1539" s="306"/>
      <c r="C1539" s="307"/>
      <c r="D1539" s="312"/>
      <c r="E1539" s="301"/>
      <c r="F1539" s="232"/>
      <c r="J1539" s="306"/>
      <c r="K1539" s="306"/>
      <c r="L1539" s="313"/>
      <c r="M1539" s="219"/>
      <c r="N1539" s="218"/>
      <c r="S1539" s="224"/>
      <c r="T1539" s="228"/>
      <c r="U1539" s="226"/>
      <c r="V1539" s="226"/>
      <c r="W1539" s="303"/>
      <c r="X1539" s="220"/>
      <c r="Z1539" s="227"/>
      <c r="AA1539" s="220"/>
      <c r="AB1539" s="221"/>
      <c r="AC1539" s="229"/>
      <c r="AD1539" s="230"/>
      <c r="AE1539" s="230"/>
      <c r="AF1539" s="230"/>
      <c r="AG1539" s="227"/>
    </row>
    <row r="1540" spans="1:33" x14ac:dyDescent="0.25">
      <c r="A1540" s="32"/>
      <c r="B1540" s="306"/>
      <c r="C1540" s="307"/>
      <c r="D1540" s="312"/>
      <c r="E1540" s="301"/>
      <c r="F1540" s="232"/>
      <c r="J1540" s="306"/>
      <c r="K1540" s="306"/>
      <c r="L1540" s="313"/>
      <c r="M1540" s="219"/>
      <c r="N1540" s="218"/>
      <c r="S1540" s="224"/>
      <c r="T1540" s="228"/>
      <c r="U1540" s="226"/>
      <c r="V1540" s="226"/>
      <c r="W1540" s="303"/>
      <c r="X1540" s="220"/>
      <c r="Z1540" s="227"/>
      <c r="AA1540" s="220"/>
      <c r="AB1540" s="221"/>
      <c r="AC1540" s="229"/>
      <c r="AD1540" s="230"/>
      <c r="AE1540" s="230"/>
      <c r="AF1540" s="230"/>
      <c r="AG1540" s="227"/>
    </row>
    <row r="1541" spans="1:33" x14ac:dyDescent="0.25">
      <c r="A1541" s="32"/>
      <c r="B1541" s="306"/>
      <c r="C1541" s="307"/>
      <c r="D1541" s="312"/>
      <c r="E1541" s="301"/>
      <c r="F1541" s="232"/>
      <c r="J1541" s="306"/>
      <c r="K1541" s="306"/>
      <c r="L1541" s="313"/>
      <c r="M1541" s="219"/>
      <c r="N1541" s="218"/>
      <c r="S1541" s="224"/>
      <c r="T1541" s="228"/>
      <c r="U1541" s="226"/>
      <c r="V1541" s="226"/>
      <c r="W1541" s="303"/>
      <c r="X1541" s="220"/>
      <c r="Z1541" s="227"/>
      <c r="AA1541" s="220"/>
      <c r="AB1541" s="221"/>
      <c r="AC1541" s="229"/>
      <c r="AD1541" s="230"/>
      <c r="AE1541" s="230"/>
      <c r="AF1541" s="230"/>
      <c r="AG1541" s="227"/>
    </row>
    <row r="1542" spans="1:33" x14ac:dyDescent="0.25">
      <c r="A1542" s="32"/>
      <c r="B1542" s="306"/>
      <c r="C1542" s="307"/>
      <c r="D1542" s="312"/>
      <c r="E1542" s="301"/>
      <c r="F1542" s="232"/>
      <c r="J1542" s="306"/>
      <c r="K1542" s="306"/>
      <c r="L1542" s="313"/>
      <c r="M1542" s="219"/>
      <c r="N1542" s="218"/>
      <c r="S1542" s="224"/>
      <c r="T1542" s="228"/>
      <c r="U1542" s="226"/>
      <c r="V1542" s="226"/>
      <c r="W1542" s="303"/>
      <c r="X1542" s="220"/>
      <c r="Z1542" s="227"/>
      <c r="AA1542" s="220"/>
      <c r="AB1542" s="221"/>
      <c r="AC1542" s="229"/>
      <c r="AD1542" s="230"/>
      <c r="AE1542" s="230"/>
      <c r="AF1542" s="230"/>
      <c r="AG1542" s="227"/>
    </row>
    <row r="1543" spans="1:33" x14ac:dyDescent="0.25">
      <c r="A1543" s="32"/>
      <c r="B1543" s="306"/>
      <c r="C1543" s="307"/>
      <c r="D1543" s="312"/>
      <c r="E1543" s="301"/>
      <c r="F1543" s="232"/>
      <c r="J1543" s="306"/>
      <c r="K1543" s="306"/>
      <c r="L1543" s="313"/>
      <c r="M1543" s="219"/>
      <c r="N1543" s="218"/>
      <c r="S1543" s="224"/>
      <c r="T1543" s="228"/>
      <c r="U1543" s="226"/>
      <c r="V1543" s="226"/>
      <c r="W1543" s="303"/>
      <c r="X1543" s="220"/>
      <c r="Z1543" s="227"/>
      <c r="AA1543" s="220"/>
      <c r="AB1543" s="221"/>
      <c r="AC1543" s="229"/>
      <c r="AD1543" s="230"/>
      <c r="AE1543" s="230"/>
      <c r="AF1543" s="230"/>
      <c r="AG1543" s="227"/>
    </row>
    <row r="1544" spans="1:33" x14ac:dyDescent="0.25">
      <c r="A1544" s="32"/>
      <c r="B1544" s="306"/>
      <c r="C1544" s="307"/>
      <c r="D1544" s="312"/>
      <c r="E1544" s="301"/>
      <c r="F1544" s="232"/>
      <c r="J1544" s="306"/>
      <c r="K1544" s="306"/>
      <c r="L1544" s="313"/>
      <c r="M1544" s="219"/>
      <c r="N1544" s="218"/>
      <c r="S1544" s="224"/>
      <c r="T1544" s="228"/>
      <c r="U1544" s="226"/>
      <c r="V1544" s="226"/>
      <c r="W1544" s="303"/>
      <c r="X1544" s="220"/>
      <c r="Z1544" s="227"/>
      <c r="AA1544" s="220"/>
      <c r="AB1544" s="221"/>
      <c r="AC1544" s="229"/>
      <c r="AD1544" s="230"/>
      <c r="AE1544" s="230"/>
      <c r="AF1544" s="230"/>
      <c r="AG1544" s="227"/>
    </row>
    <row r="1545" spans="1:33" x14ac:dyDescent="0.25">
      <c r="A1545" s="32"/>
      <c r="B1545" s="306"/>
      <c r="C1545" s="307"/>
      <c r="D1545" s="312"/>
      <c r="E1545" s="301"/>
      <c r="F1545" s="232"/>
      <c r="J1545" s="306"/>
      <c r="K1545" s="306"/>
      <c r="L1545" s="313"/>
      <c r="M1545" s="219"/>
      <c r="N1545" s="218"/>
      <c r="S1545" s="224"/>
      <c r="T1545" s="228"/>
      <c r="U1545" s="226"/>
      <c r="V1545" s="226"/>
      <c r="W1545" s="303"/>
      <c r="X1545" s="220"/>
      <c r="Z1545" s="227"/>
      <c r="AA1545" s="220"/>
      <c r="AB1545" s="221"/>
      <c r="AC1545" s="229"/>
      <c r="AD1545" s="230"/>
      <c r="AE1545" s="230"/>
      <c r="AF1545" s="230"/>
      <c r="AG1545" s="227"/>
    </row>
    <row r="1546" spans="1:33" x14ac:dyDescent="0.25">
      <c r="A1546" s="32"/>
      <c r="B1546" s="306"/>
      <c r="C1546" s="307"/>
      <c r="D1546" s="312"/>
      <c r="E1546" s="301"/>
      <c r="F1546" s="232"/>
      <c r="J1546" s="306"/>
      <c r="K1546" s="306"/>
      <c r="L1546" s="313"/>
      <c r="M1546" s="219"/>
      <c r="N1546" s="218"/>
      <c r="S1546" s="224"/>
      <c r="T1546" s="228"/>
      <c r="U1546" s="226"/>
      <c r="V1546" s="226"/>
      <c r="W1546" s="303"/>
      <c r="X1546" s="220"/>
      <c r="Z1546" s="227"/>
      <c r="AA1546" s="220"/>
      <c r="AB1546" s="221"/>
      <c r="AC1546" s="229"/>
      <c r="AD1546" s="230"/>
      <c r="AE1546" s="230"/>
      <c r="AF1546" s="230"/>
      <c r="AG1546" s="227"/>
    </row>
    <row r="1547" spans="1:33" x14ac:dyDescent="0.25">
      <c r="A1547" s="32"/>
      <c r="B1547" s="306"/>
      <c r="C1547" s="307"/>
      <c r="D1547" s="312"/>
      <c r="E1547" s="301"/>
      <c r="F1547" s="232"/>
      <c r="J1547" s="306"/>
      <c r="K1547" s="306"/>
      <c r="L1547" s="313"/>
      <c r="M1547" s="219"/>
      <c r="N1547" s="218"/>
      <c r="S1547" s="224"/>
      <c r="T1547" s="228"/>
      <c r="U1547" s="226"/>
      <c r="V1547" s="226"/>
      <c r="W1547" s="303"/>
      <c r="X1547" s="220"/>
      <c r="Z1547" s="227"/>
      <c r="AA1547" s="220"/>
      <c r="AB1547" s="221"/>
      <c r="AC1547" s="229"/>
      <c r="AD1547" s="230"/>
      <c r="AE1547" s="230"/>
      <c r="AF1547" s="230"/>
      <c r="AG1547" s="227"/>
    </row>
    <row r="1548" spans="1:33" x14ac:dyDescent="0.25">
      <c r="A1548" s="32"/>
      <c r="B1548" s="306"/>
      <c r="C1548" s="307"/>
      <c r="D1548" s="312"/>
      <c r="E1548" s="301"/>
      <c r="F1548" s="232"/>
      <c r="J1548" s="306"/>
      <c r="K1548" s="306"/>
      <c r="L1548" s="313"/>
      <c r="M1548" s="219"/>
      <c r="N1548" s="218"/>
      <c r="S1548" s="224"/>
      <c r="T1548" s="228"/>
      <c r="U1548" s="226"/>
      <c r="V1548" s="226"/>
      <c r="W1548" s="303"/>
      <c r="X1548" s="220"/>
      <c r="Z1548" s="227"/>
      <c r="AA1548" s="220"/>
      <c r="AB1548" s="221"/>
      <c r="AC1548" s="229"/>
      <c r="AD1548" s="230"/>
      <c r="AE1548" s="230"/>
      <c r="AF1548" s="230"/>
      <c r="AG1548" s="227"/>
    </row>
    <row r="1549" spans="1:33" x14ac:dyDescent="0.25">
      <c r="A1549" s="32"/>
      <c r="B1549" s="306"/>
      <c r="C1549" s="307"/>
      <c r="D1549" s="312"/>
      <c r="E1549" s="301"/>
      <c r="F1549" s="232"/>
      <c r="J1549" s="306"/>
      <c r="K1549" s="306"/>
      <c r="L1549" s="313"/>
      <c r="M1549" s="219"/>
      <c r="N1549" s="218"/>
      <c r="S1549" s="224"/>
      <c r="T1549" s="228"/>
      <c r="U1549" s="226"/>
      <c r="V1549" s="226"/>
      <c r="W1549" s="303"/>
      <c r="X1549" s="220"/>
      <c r="Z1549" s="227"/>
      <c r="AA1549" s="220"/>
      <c r="AB1549" s="221"/>
      <c r="AC1549" s="229"/>
      <c r="AD1549" s="230"/>
      <c r="AE1549" s="230"/>
      <c r="AF1549" s="230"/>
      <c r="AG1549" s="227"/>
    </row>
    <row r="1550" spans="1:33" x14ac:dyDescent="0.25">
      <c r="A1550" s="32"/>
      <c r="B1550" s="306"/>
      <c r="C1550" s="307"/>
      <c r="D1550" s="312"/>
      <c r="E1550" s="301"/>
      <c r="F1550" s="232"/>
      <c r="J1550" s="306"/>
      <c r="K1550" s="306"/>
      <c r="L1550" s="313"/>
      <c r="M1550" s="219"/>
      <c r="N1550" s="218"/>
      <c r="S1550" s="224"/>
      <c r="T1550" s="228"/>
      <c r="U1550" s="226"/>
      <c r="V1550" s="226"/>
      <c r="W1550" s="303"/>
      <c r="X1550" s="220"/>
      <c r="Z1550" s="227"/>
      <c r="AA1550" s="220"/>
      <c r="AB1550" s="221"/>
      <c r="AC1550" s="229"/>
      <c r="AD1550" s="230"/>
      <c r="AE1550" s="230"/>
      <c r="AF1550" s="230"/>
      <c r="AG1550" s="227"/>
    </row>
    <row r="1551" spans="1:33" x14ac:dyDescent="0.25">
      <c r="A1551" s="32"/>
      <c r="B1551" s="306"/>
      <c r="C1551" s="307"/>
      <c r="D1551" s="312"/>
      <c r="E1551" s="301"/>
      <c r="F1551" s="232"/>
      <c r="J1551" s="306"/>
      <c r="K1551" s="306"/>
      <c r="L1551" s="313"/>
      <c r="M1551" s="219"/>
      <c r="N1551" s="218"/>
      <c r="S1551" s="224"/>
      <c r="T1551" s="228"/>
      <c r="U1551" s="226"/>
      <c r="V1551" s="226"/>
      <c r="W1551" s="303"/>
      <c r="X1551" s="220"/>
      <c r="Z1551" s="227"/>
      <c r="AA1551" s="220"/>
      <c r="AB1551" s="221"/>
      <c r="AC1551" s="229"/>
      <c r="AD1551" s="230"/>
      <c r="AE1551" s="230"/>
      <c r="AF1551" s="230"/>
      <c r="AG1551" s="227"/>
    </row>
    <row r="1552" spans="1:33" x14ac:dyDescent="0.25">
      <c r="A1552" s="32"/>
      <c r="B1552" s="306"/>
      <c r="C1552" s="307"/>
      <c r="D1552" s="312"/>
      <c r="E1552" s="301"/>
      <c r="F1552" s="232"/>
      <c r="J1552" s="306"/>
      <c r="K1552" s="306"/>
      <c r="L1552" s="313"/>
      <c r="M1552" s="219"/>
      <c r="N1552" s="218"/>
      <c r="S1552" s="224"/>
      <c r="T1552" s="228"/>
      <c r="U1552" s="226"/>
      <c r="V1552" s="226"/>
      <c r="W1552" s="303"/>
      <c r="X1552" s="220"/>
      <c r="Z1552" s="227"/>
      <c r="AA1552" s="220"/>
      <c r="AB1552" s="221"/>
      <c r="AC1552" s="229"/>
      <c r="AD1552" s="230"/>
      <c r="AE1552" s="230"/>
      <c r="AF1552" s="230"/>
      <c r="AG1552" s="227"/>
    </row>
    <row r="1553" spans="1:33" x14ac:dyDescent="0.25">
      <c r="A1553" s="32"/>
      <c r="B1553" s="306"/>
      <c r="C1553" s="307"/>
      <c r="D1553" s="312"/>
      <c r="E1553" s="301"/>
      <c r="F1553" s="232"/>
      <c r="J1553" s="306"/>
      <c r="K1553" s="306"/>
      <c r="L1553" s="313"/>
      <c r="M1553" s="219"/>
      <c r="N1553" s="218"/>
      <c r="S1553" s="224"/>
      <c r="T1553" s="228"/>
      <c r="U1553" s="226"/>
      <c r="V1553" s="226"/>
      <c r="W1553" s="303"/>
      <c r="X1553" s="220"/>
      <c r="Z1553" s="227"/>
      <c r="AA1553" s="220"/>
      <c r="AB1553" s="221"/>
      <c r="AC1553" s="229"/>
      <c r="AD1553" s="230"/>
      <c r="AE1553" s="230"/>
      <c r="AF1553" s="230"/>
      <c r="AG1553" s="227"/>
    </row>
    <row r="1554" spans="1:33" x14ac:dyDescent="0.25">
      <c r="A1554" s="32"/>
      <c r="B1554" s="306"/>
      <c r="C1554" s="307"/>
      <c r="D1554" s="312"/>
      <c r="E1554" s="301"/>
      <c r="F1554" s="232"/>
      <c r="J1554" s="306"/>
      <c r="K1554" s="306"/>
      <c r="L1554" s="313"/>
      <c r="M1554" s="219"/>
      <c r="N1554" s="218"/>
      <c r="S1554" s="224"/>
      <c r="T1554" s="228"/>
      <c r="U1554" s="226"/>
      <c r="V1554" s="226"/>
      <c r="W1554" s="303"/>
      <c r="X1554" s="220"/>
      <c r="Z1554" s="227"/>
      <c r="AA1554" s="220"/>
      <c r="AB1554" s="221"/>
      <c r="AC1554" s="229"/>
      <c r="AD1554" s="230"/>
      <c r="AE1554" s="230"/>
      <c r="AF1554" s="230"/>
      <c r="AG1554" s="227"/>
    </row>
    <row r="1555" spans="1:33" x14ac:dyDescent="0.25">
      <c r="A1555" s="32"/>
      <c r="B1555" s="306"/>
      <c r="C1555" s="307"/>
      <c r="D1555" s="312"/>
      <c r="E1555" s="301"/>
      <c r="F1555" s="232"/>
      <c r="J1555" s="306"/>
      <c r="K1555" s="306"/>
      <c r="L1555" s="313"/>
      <c r="M1555" s="219"/>
      <c r="N1555" s="218"/>
      <c r="S1555" s="224"/>
      <c r="T1555" s="228"/>
      <c r="U1555" s="226"/>
      <c r="V1555" s="226"/>
      <c r="W1555" s="303"/>
      <c r="X1555" s="220"/>
      <c r="Z1555" s="227"/>
      <c r="AA1555" s="220"/>
      <c r="AB1555" s="221"/>
      <c r="AC1555" s="229"/>
      <c r="AD1555" s="230"/>
      <c r="AE1555" s="230"/>
      <c r="AF1555" s="230"/>
      <c r="AG1555" s="227"/>
    </row>
    <row r="1556" spans="1:33" x14ac:dyDescent="0.25">
      <c r="A1556" s="32"/>
      <c r="B1556" s="306"/>
      <c r="C1556" s="307"/>
      <c r="D1556" s="312"/>
      <c r="E1556" s="301"/>
      <c r="F1556" s="232"/>
      <c r="J1556" s="306"/>
      <c r="K1556" s="306"/>
      <c r="L1556" s="313"/>
      <c r="M1556" s="219"/>
      <c r="N1556" s="218"/>
      <c r="S1556" s="224"/>
      <c r="T1556" s="228"/>
      <c r="U1556" s="226"/>
      <c r="V1556" s="226"/>
      <c r="W1556" s="303"/>
      <c r="X1556" s="220"/>
      <c r="Z1556" s="227"/>
      <c r="AA1556" s="220"/>
      <c r="AB1556" s="221"/>
      <c r="AC1556" s="229"/>
      <c r="AD1556" s="230"/>
      <c r="AE1556" s="230"/>
      <c r="AF1556" s="230"/>
      <c r="AG1556" s="227"/>
    </row>
    <row r="1557" spans="1:33" x14ac:dyDescent="0.25">
      <c r="A1557" s="32"/>
      <c r="B1557" s="306"/>
      <c r="C1557" s="307"/>
      <c r="D1557" s="312"/>
      <c r="E1557" s="301"/>
      <c r="F1557" s="232"/>
      <c r="J1557" s="306"/>
      <c r="K1557" s="306"/>
      <c r="L1557" s="313"/>
      <c r="M1557" s="219"/>
      <c r="N1557" s="218"/>
      <c r="S1557" s="224"/>
      <c r="T1557" s="228"/>
      <c r="U1557" s="226"/>
      <c r="V1557" s="226"/>
      <c r="W1557" s="303"/>
      <c r="X1557" s="220"/>
      <c r="Z1557" s="227"/>
      <c r="AA1557" s="220"/>
      <c r="AB1557" s="221"/>
      <c r="AC1557" s="229"/>
      <c r="AD1557" s="230"/>
      <c r="AE1557" s="230"/>
      <c r="AF1557" s="230"/>
      <c r="AG1557" s="227"/>
    </row>
    <row r="1558" spans="1:33" x14ac:dyDescent="0.25">
      <c r="A1558" s="32"/>
      <c r="B1558" s="306"/>
      <c r="C1558" s="307"/>
      <c r="D1558" s="312"/>
      <c r="E1558" s="301"/>
      <c r="F1558" s="232"/>
      <c r="J1558" s="306"/>
      <c r="K1558" s="306"/>
      <c r="L1558" s="313"/>
      <c r="M1558" s="219"/>
      <c r="N1558" s="218"/>
      <c r="S1558" s="224"/>
      <c r="T1558" s="228"/>
      <c r="U1558" s="226"/>
      <c r="V1558" s="226"/>
      <c r="W1558" s="303"/>
      <c r="X1558" s="220"/>
      <c r="Z1558" s="227"/>
      <c r="AA1558" s="220"/>
      <c r="AB1558" s="221"/>
      <c r="AC1558" s="229"/>
      <c r="AD1558" s="230"/>
      <c r="AE1558" s="230"/>
      <c r="AF1558" s="230"/>
      <c r="AG1558" s="227"/>
    </row>
    <row r="1559" spans="1:33" x14ac:dyDescent="0.25">
      <c r="A1559" s="32"/>
      <c r="B1559" s="306"/>
      <c r="C1559" s="307"/>
      <c r="D1559" s="312"/>
      <c r="E1559" s="301"/>
      <c r="F1559" s="232"/>
      <c r="J1559" s="306"/>
      <c r="K1559" s="306"/>
      <c r="L1559" s="313"/>
      <c r="M1559" s="219"/>
      <c r="N1559" s="218"/>
      <c r="S1559" s="224"/>
      <c r="T1559" s="228"/>
      <c r="U1559" s="226"/>
      <c r="V1559" s="226"/>
      <c r="W1559" s="303"/>
      <c r="X1559" s="220"/>
      <c r="Z1559" s="227"/>
      <c r="AA1559" s="220"/>
      <c r="AB1559" s="221"/>
      <c r="AC1559" s="229"/>
      <c r="AD1559" s="230"/>
      <c r="AE1559" s="230"/>
      <c r="AF1559" s="230"/>
      <c r="AG1559" s="227"/>
    </row>
    <row r="1560" spans="1:33" x14ac:dyDescent="0.25">
      <c r="A1560" s="32"/>
      <c r="B1560" s="306"/>
      <c r="C1560" s="307"/>
      <c r="D1560" s="312"/>
      <c r="E1560" s="301"/>
      <c r="F1560" s="232"/>
      <c r="J1560" s="306"/>
      <c r="K1560" s="306"/>
      <c r="L1560" s="313"/>
      <c r="M1560" s="219"/>
      <c r="N1560" s="218"/>
      <c r="S1560" s="224"/>
      <c r="T1560" s="228"/>
      <c r="U1560" s="226"/>
      <c r="V1560" s="226"/>
      <c r="W1560" s="303"/>
      <c r="X1560" s="220"/>
      <c r="Z1560" s="227"/>
      <c r="AA1560" s="220"/>
      <c r="AB1560" s="221"/>
      <c r="AC1560" s="229"/>
      <c r="AD1560" s="230"/>
      <c r="AE1560" s="230"/>
      <c r="AF1560" s="230"/>
      <c r="AG1560" s="227"/>
    </row>
    <row r="1561" spans="1:33" x14ac:dyDescent="0.25">
      <c r="A1561" s="32"/>
      <c r="B1561" s="306"/>
      <c r="C1561" s="307"/>
      <c r="D1561" s="312"/>
      <c r="E1561" s="301"/>
      <c r="F1561" s="232"/>
      <c r="J1561" s="306"/>
      <c r="K1561" s="306"/>
      <c r="L1561" s="313"/>
      <c r="M1561" s="219"/>
      <c r="N1561" s="218"/>
      <c r="S1561" s="224"/>
      <c r="T1561" s="228"/>
      <c r="U1561" s="226"/>
      <c r="V1561" s="226"/>
      <c r="W1561" s="303"/>
      <c r="X1561" s="220"/>
      <c r="Z1561" s="227"/>
      <c r="AA1561" s="220"/>
      <c r="AB1561" s="221"/>
      <c r="AC1561" s="229"/>
      <c r="AD1561" s="230"/>
      <c r="AE1561" s="230"/>
      <c r="AF1561" s="230"/>
      <c r="AG1561" s="227"/>
    </row>
    <row r="1562" spans="1:33" x14ac:dyDescent="0.25">
      <c r="A1562" s="32"/>
      <c r="B1562" s="306"/>
      <c r="C1562" s="307"/>
      <c r="D1562" s="312"/>
      <c r="E1562" s="301"/>
      <c r="F1562" s="232"/>
      <c r="J1562" s="306"/>
      <c r="K1562" s="306"/>
      <c r="L1562" s="313"/>
      <c r="M1562" s="219"/>
      <c r="N1562" s="218"/>
      <c r="S1562" s="224"/>
      <c r="T1562" s="228"/>
      <c r="U1562" s="226"/>
      <c r="V1562" s="226"/>
      <c r="W1562" s="303"/>
      <c r="X1562" s="220"/>
      <c r="Z1562" s="227"/>
      <c r="AA1562" s="220"/>
      <c r="AB1562" s="221"/>
      <c r="AC1562" s="229"/>
      <c r="AD1562" s="230"/>
      <c r="AE1562" s="230"/>
      <c r="AF1562" s="230"/>
      <c r="AG1562" s="227"/>
    </row>
    <row r="1563" spans="1:33" x14ac:dyDescent="0.25">
      <c r="A1563" s="32"/>
      <c r="B1563" s="306"/>
      <c r="C1563" s="307"/>
      <c r="D1563" s="312"/>
      <c r="E1563" s="301"/>
      <c r="F1563" s="232"/>
      <c r="J1563" s="306"/>
      <c r="K1563" s="306"/>
      <c r="L1563" s="313"/>
      <c r="M1563" s="219"/>
      <c r="N1563" s="218"/>
      <c r="S1563" s="224"/>
      <c r="T1563" s="228"/>
      <c r="U1563" s="226"/>
      <c r="V1563" s="226"/>
      <c r="W1563" s="303"/>
      <c r="X1563" s="220"/>
      <c r="Z1563" s="227"/>
      <c r="AA1563" s="220"/>
      <c r="AB1563" s="221"/>
      <c r="AC1563" s="229"/>
      <c r="AD1563" s="230"/>
      <c r="AE1563" s="230"/>
      <c r="AF1563" s="230"/>
      <c r="AG1563" s="227"/>
    </row>
    <row r="1564" spans="1:33" x14ac:dyDescent="0.25">
      <c r="A1564" s="32"/>
      <c r="B1564" s="306"/>
      <c r="C1564" s="307"/>
      <c r="D1564" s="312"/>
      <c r="E1564" s="301"/>
      <c r="F1564" s="232"/>
      <c r="J1564" s="306"/>
      <c r="K1564" s="306"/>
      <c r="L1564" s="313"/>
      <c r="M1564" s="219"/>
      <c r="N1564" s="218"/>
      <c r="S1564" s="224"/>
      <c r="T1564" s="228"/>
      <c r="U1564" s="226"/>
      <c r="V1564" s="226"/>
      <c r="W1564" s="303"/>
      <c r="X1564" s="220"/>
      <c r="Z1564" s="227"/>
      <c r="AA1564" s="220"/>
      <c r="AB1564" s="221"/>
      <c r="AC1564" s="229"/>
      <c r="AD1564" s="230"/>
      <c r="AE1564" s="230"/>
      <c r="AF1564" s="230"/>
      <c r="AG1564" s="227"/>
    </row>
    <row r="1565" spans="1:33" x14ac:dyDescent="0.25">
      <c r="A1565" s="32"/>
      <c r="B1565" s="306"/>
      <c r="C1565" s="307"/>
      <c r="D1565" s="312"/>
      <c r="E1565" s="301"/>
      <c r="F1565" s="232"/>
      <c r="J1565" s="306"/>
      <c r="K1565" s="306"/>
      <c r="L1565" s="313"/>
      <c r="M1565" s="219"/>
      <c r="N1565" s="218"/>
      <c r="S1565" s="224"/>
      <c r="T1565" s="228"/>
      <c r="U1565" s="226"/>
      <c r="V1565" s="226"/>
      <c r="W1565" s="303"/>
      <c r="X1565" s="220"/>
      <c r="Z1565" s="227"/>
      <c r="AA1565" s="220"/>
      <c r="AB1565" s="221"/>
      <c r="AC1565" s="229"/>
      <c r="AD1565" s="230"/>
      <c r="AE1565" s="230"/>
      <c r="AF1565" s="230"/>
      <c r="AG1565" s="227"/>
    </row>
    <row r="1566" spans="1:33" x14ac:dyDescent="0.25">
      <c r="A1566" s="32"/>
      <c r="B1566" s="306"/>
      <c r="C1566" s="307"/>
      <c r="D1566" s="312"/>
      <c r="E1566" s="301"/>
      <c r="F1566" s="232"/>
      <c r="J1566" s="306"/>
      <c r="K1566" s="306"/>
      <c r="L1566" s="313"/>
      <c r="M1566" s="219"/>
      <c r="N1566" s="218"/>
      <c r="S1566" s="224"/>
      <c r="T1566" s="228"/>
      <c r="U1566" s="226"/>
      <c r="V1566" s="226"/>
      <c r="W1566" s="303"/>
      <c r="X1566" s="220"/>
      <c r="Z1566" s="227"/>
      <c r="AA1566" s="220"/>
      <c r="AB1566" s="221"/>
      <c r="AC1566" s="229"/>
      <c r="AD1566" s="230"/>
      <c r="AE1566" s="230"/>
      <c r="AF1566" s="230"/>
      <c r="AG1566" s="227"/>
    </row>
    <row r="1567" spans="1:33" x14ac:dyDescent="0.25">
      <c r="A1567" s="32"/>
      <c r="B1567" s="306"/>
      <c r="C1567" s="307"/>
      <c r="D1567" s="312"/>
      <c r="E1567" s="301"/>
      <c r="F1567" s="232"/>
      <c r="J1567" s="306"/>
      <c r="K1567" s="306"/>
      <c r="L1567" s="313"/>
      <c r="M1567" s="219"/>
      <c r="N1567" s="218"/>
      <c r="S1567" s="224"/>
      <c r="T1567" s="228"/>
      <c r="U1567" s="226"/>
      <c r="V1567" s="226"/>
      <c r="W1567" s="303"/>
      <c r="X1567" s="220"/>
      <c r="Z1567" s="227"/>
      <c r="AA1567" s="220"/>
      <c r="AB1567" s="221"/>
      <c r="AC1567" s="229"/>
      <c r="AD1567" s="230"/>
      <c r="AE1567" s="230"/>
      <c r="AF1567" s="230"/>
      <c r="AG1567" s="227"/>
    </row>
    <row r="1568" spans="1:33" x14ac:dyDescent="0.25">
      <c r="A1568" s="32"/>
      <c r="B1568" s="306"/>
      <c r="C1568" s="307"/>
      <c r="D1568" s="312"/>
      <c r="E1568" s="301"/>
      <c r="F1568" s="232"/>
      <c r="J1568" s="306"/>
      <c r="K1568" s="306"/>
      <c r="L1568" s="313"/>
      <c r="M1568" s="219"/>
      <c r="N1568" s="218"/>
      <c r="S1568" s="224"/>
      <c r="T1568" s="228"/>
      <c r="U1568" s="226"/>
      <c r="V1568" s="226"/>
      <c r="W1568" s="303"/>
      <c r="X1568" s="220"/>
      <c r="Z1568" s="227"/>
      <c r="AA1568" s="220"/>
      <c r="AB1568" s="221"/>
      <c r="AC1568" s="229"/>
      <c r="AD1568" s="230"/>
      <c r="AE1568" s="230"/>
      <c r="AF1568" s="230"/>
      <c r="AG1568" s="227"/>
    </row>
    <row r="1569" spans="1:33" x14ac:dyDescent="0.25">
      <c r="A1569" s="32"/>
      <c r="B1569" s="306"/>
      <c r="C1569" s="307"/>
      <c r="D1569" s="312"/>
      <c r="E1569" s="301"/>
      <c r="F1569" s="232"/>
      <c r="J1569" s="306"/>
      <c r="K1569" s="306"/>
      <c r="L1569" s="313"/>
      <c r="M1569" s="219"/>
      <c r="N1569" s="218"/>
      <c r="S1569" s="224"/>
      <c r="T1569" s="228"/>
      <c r="U1569" s="226"/>
      <c r="V1569" s="226"/>
      <c r="W1569" s="303"/>
      <c r="X1569" s="220"/>
      <c r="Z1569" s="227"/>
      <c r="AA1569" s="220"/>
      <c r="AB1569" s="221"/>
      <c r="AC1569" s="229"/>
      <c r="AD1569" s="230"/>
      <c r="AE1569" s="230"/>
      <c r="AF1569" s="230"/>
      <c r="AG1569" s="227"/>
    </row>
    <row r="1570" spans="1:33" x14ac:dyDescent="0.25">
      <c r="A1570" s="32"/>
      <c r="B1570" s="306"/>
      <c r="C1570" s="307"/>
      <c r="D1570" s="312"/>
      <c r="E1570" s="301"/>
      <c r="F1570" s="232"/>
      <c r="J1570" s="306"/>
      <c r="K1570" s="306"/>
      <c r="L1570" s="313"/>
      <c r="M1570" s="219"/>
      <c r="N1570" s="218"/>
      <c r="S1570" s="224"/>
      <c r="T1570" s="228"/>
      <c r="U1570" s="226"/>
      <c r="V1570" s="226"/>
      <c r="W1570" s="303"/>
      <c r="X1570" s="220"/>
      <c r="Z1570" s="227"/>
      <c r="AA1570" s="220"/>
      <c r="AB1570" s="221"/>
      <c r="AC1570" s="229"/>
      <c r="AD1570" s="230"/>
      <c r="AE1570" s="230"/>
      <c r="AF1570" s="230"/>
      <c r="AG1570" s="227"/>
    </row>
    <row r="1571" spans="1:33" x14ac:dyDescent="0.25">
      <c r="A1571" s="32"/>
      <c r="B1571" s="306"/>
      <c r="C1571" s="307"/>
      <c r="D1571" s="312"/>
      <c r="E1571" s="301"/>
      <c r="F1571" s="232"/>
      <c r="J1571" s="306"/>
      <c r="K1571" s="306"/>
      <c r="L1571" s="313"/>
      <c r="M1571" s="219"/>
      <c r="N1571" s="218"/>
      <c r="S1571" s="224"/>
      <c r="T1571" s="228"/>
      <c r="U1571" s="226"/>
      <c r="V1571" s="226"/>
      <c r="W1571" s="303"/>
      <c r="X1571" s="220"/>
      <c r="Z1571" s="227"/>
      <c r="AA1571" s="220"/>
      <c r="AB1571" s="221"/>
      <c r="AC1571" s="229"/>
      <c r="AD1571" s="230"/>
      <c r="AE1571" s="230"/>
      <c r="AF1571" s="230"/>
      <c r="AG1571" s="227"/>
    </row>
    <row r="1572" spans="1:33" x14ac:dyDescent="0.25">
      <c r="A1572" s="32"/>
      <c r="B1572" s="306"/>
      <c r="C1572" s="307"/>
      <c r="D1572" s="312"/>
      <c r="E1572" s="301"/>
      <c r="F1572" s="232"/>
      <c r="J1572" s="306"/>
      <c r="K1572" s="306"/>
      <c r="L1572" s="313"/>
      <c r="M1572" s="219"/>
      <c r="N1572" s="218"/>
      <c r="S1572" s="224"/>
      <c r="T1572" s="228"/>
      <c r="U1572" s="226"/>
      <c r="V1572" s="226"/>
      <c r="W1572" s="303"/>
      <c r="X1572" s="220"/>
      <c r="Z1572" s="227"/>
      <c r="AA1572" s="220"/>
      <c r="AB1572" s="221"/>
      <c r="AC1572" s="229"/>
      <c r="AD1572" s="230"/>
      <c r="AE1572" s="230"/>
      <c r="AF1572" s="230"/>
      <c r="AG1572" s="227"/>
    </row>
    <row r="1573" spans="1:33" x14ac:dyDescent="0.25">
      <c r="A1573" s="32"/>
      <c r="B1573" s="306"/>
      <c r="C1573" s="307"/>
      <c r="D1573" s="312"/>
      <c r="E1573" s="301"/>
      <c r="F1573" s="232"/>
      <c r="J1573" s="306"/>
      <c r="K1573" s="306"/>
      <c r="L1573" s="313"/>
      <c r="M1573" s="219"/>
      <c r="N1573" s="218"/>
      <c r="S1573" s="224"/>
      <c r="T1573" s="228"/>
      <c r="U1573" s="226"/>
      <c r="V1573" s="226"/>
      <c r="W1573" s="303"/>
      <c r="X1573" s="220"/>
      <c r="Z1573" s="227"/>
      <c r="AA1573" s="220"/>
      <c r="AB1573" s="221"/>
      <c r="AC1573" s="229"/>
      <c r="AD1573" s="230"/>
      <c r="AE1573" s="230"/>
      <c r="AF1573" s="230"/>
      <c r="AG1573" s="227"/>
    </row>
    <row r="1574" spans="1:33" x14ac:dyDescent="0.25">
      <c r="A1574" s="32"/>
      <c r="B1574" s="306"/>
      <c r="C1574" s="307"/>
      <c r="D1574" s="312"/>
      <c r="E1574" s="301"/>
      <c r="F1574" s="232"/>
      <c r="J1574" s="306"/>
      <c r="K1574" s="306"/>
      <c r="L1574" s="313"/>
      <c r="M1574" s="219"/>
      <c r="N1574" s="218"/>
      <c r="S1574" s="224"/>
      <c r="T1574" s="228"/>
      <c r="U1574" s="226"/>
      <c r="V1574" s="226"/>
      <c r="W1574" s="303"/>
      <c r="X1574" s="220"/>
      <c r="Z1574" s="227"/>
      <c r="AA1574" s="220"/>
      <c r="AB1574" s="221"/>
      <c r="AC1574" s="229"/>
      <c r="AD1574" s="230"/>
      <c r="AE1574" s="230"/>
      <c r="AF1574" s="230"/>
      <c r="AG1574" s="227"/>
    </row>
    <row r="1575" spans="1:33" x14ac:dyDescent="0.25">
      <c r="A1575" s="32"/>
      <c r="B1575" s="306"/>
      <c r="C1575" s="307"/>
      <c r="D1575" s="312"/>
      <c r="E1575" s="301"/>
      <c r="F1575" s="232"/>
      <c r="J1575" s="306"/>
      <c r="K1575" s="306"/>
      <c r="L1575" s="313"/>
      <c r="M1575" s="219"/>
      <c r="N1575" s="218"/>
      <c r="S1575" s="224"/>
      <c r="T1575" s="228"/>
      <c r="U1575" s="226"/>
      <c r="V1575" s="226"/>
      <c r="W1575" s="303"/>
      <c r="X1575" s="220"/>
      <c r="Z1575" s="227"/>
      <c r="AA1575" s="220"/>
      <c r="AB1575" s="221"/>
      <c r="AC1575" s="229"/>
      <c r="AD1575" s="230"/>
      <c r="AE1575" s="230"/>
      <c r="AF1575" s="230"/>
      <c r="AG1575" s="227"/>
    </row>
    <row r="1576" spans="1:33" x14ac:dyDescent="0.25">
      <c r="A1576" s="32"/>
      <c r="B1576" s="306"/>
      <c r="C1576" s="307"/>
      <c r="D1576" s="312"/>
      <c r="E1576" s="301"/>
      <c r="F1576" s="232"/>
      <c r="J1576" s="306"/>
      <c r="K1576" s="306"/>
      <c r="L1576" s="313"/>
      <c r="M1576" s="219"/>
      <c r="N1576" s="218"/>
      <c r="S1576" s="224"/>
      <c r="T1576" s="228"/>
      <c r="U1576" s="226"/>
      <c r="V1576" s="226"/>
      <c r="W1576" s="303"/>
      <c r="X1576" s="220"/>
      <c r="Z1576" s="227"/>
      <c r="AA1576" s="220"/>
      <c r="AB1576" s="221"/>
      <c r="AC1576" s="229"/>
      <c r="AD1576" s="230"/>
      <c r="AE1576" s="230"/>
      <c r="AF1576" s="230"/>
      <c r="AG1576" s="227"/>
    </row>
    <row r="1577" spans="1:33" x14ac:dyDescent="0.25">
      <c r="A1577" s="32"/>
      <c r="B1577" s="306"/>
      <c r="C1577" s="307"/>
      <c r="D1577" s="312"/>
      <c r="E1577" s="301"/>
      <c r="F1577" s="232"/>
      <c r="J1577" s="306"/>
      <c r="K1577" s="306"/>
      <c r="L1577" s="313"/>
      <c r="M1577" s="219"/>
      <c r="N1577" s="218"/>
      <c r="S1577" s="224"/>
      <c r="T1577" s="228"/>
      <c r="U1577" s="226"/>
      <c r="V1577" s="226"/>
      <c r="W1577" s="303"/>
      <c r="X1577" s="220"/>
      <c r="Z1577" s="227"/>
      <c r="AA1577" s="220"/>
      <c r="AB1577" s="221"/>
      <c r="AC1577" s="229"/>
      <c r="AD1577" s="230"/>
      <c r="AE1577" s="230"/>
      <c r="AF1577" s="230"/>
      <c r="AG1577" s="227"/>
    </row>
    <row r="1578" spans="1:33" x14ac:dyDescent="0.25">
      <c r="A1578" s="32"/>
      <c r="B1578" s="306"/>
      <c r="C1578" s="307"/>
      <c r="D1578" s="312"/>
      <c r="E1578" s="301"/>
      <c r="F1578" s="232"/>
      <c r="J1578" s="306"/>
      <c r="K1578" s="306"/>
      <c r="L1578" s="313"/>
      <c r="M1578" s="219"/>
      <c r="N1578" s="218"/>
      <c r="S1578" s="224"/>
      <c r="T1578" s="228"/>
      <c r="U1578" s="226"/>
      <c r="V1578" s="226"/>
      <c r="W1578" s="303"/>
      <c r="X1578" s="220"/>
      <c r="Z1578" s="227"/>
      <c r="AA1578" s="220"/>
      <c r="AB1578" s="221"/>
      <c r="AC1578" s="229"/>
      <c r="AD1578" s="230"/>
      <c r="AE1578" s="230"/>
      <c r="AF1578" s="230"/>
      <c r="AG1578" s="227"/>
    </row>
    <row r="1579" spans="1:33" x14ac:dyDescent="0.25">
      <c r="A1579" s="32"/>
      <c r="B1579" s="306"/>
      <c r="C1579" s="307"/>
      <c r="D1579" s="312"/>
      <c r="E1579" s="301"/>
      <c r="F1579" s="232"/>
      <c r="J1579" s="306"/>
      <c r="K1579" s="306"/>
      <c r="L1579" s="313"/>
      <c r="M1579" s="219"/>
      <c r="N1579" s="218"/>
      <c r="S1579" s="224"/>
      <c r="T1579" s="228"/>
      <c r="U1579" s="226"/>
      <c r="V1579" s="226"/>
      <c r="W1579" s="303"/>
      <c r="X1579" s="220"/>
      <c r="Z1579" s="227"/>
      <c r="AA1579" s="220"/>
      <c r="AB1579" s="221"/>
      <c r="AC1579" s="229"/>
      <c r="AD1579" s="230"/>
      <c r="AE1579" s="230"/>
      <c r="AF1579" s="230"/>
      <c r="AG1579" s="227"/>
    </row>
    <row r="1580" spans="1:33" x14ac:dyDescent="0.25">
      <c r="A1580" s="32"/>
      <c r="B1580" s="306"/>
      <c r="C1580" s="307"/>
      <c r="D1580" s="312"/>
      <c r="E1580" s="301"/>
      <c r="F1580" s="232"/>
      <c r="J1580" s="306"/>
      <c r="K1580" s="306"/>
      <c r="L1580" s="313"/>
      <c r="M1580" s="219"/>
      <c r="N1580" s="218"/>
      <c r="S1580" s="224"/>
      <c r="T1580" s="228"/>
      <c r="U1580" s="226"/>
      <c r="V1580" s="226"/>
      <c r="W1580" s="303"/>
      <c r="X1580" s="220"/>
      <c r="Z1580" s="227"/>
      <c r="AA1580" s="220"/>
      <c r="AB1580" s="221"/>
      <c r="AC1580" s="229"/>
      <c r="AD1580" s="230"/>
      <c r="AE1580" s="230"/>
      <c r="AF1580" s="230"/>
      <c r="AG1580" s="227"/>
    </row>
    <row r="1581" spans="1:33" x14ac:dyDescent="0.25">
      <c r="A1581" s="32"/>
      <c r="B1581" s="306"/>
      <c r="C1581" s="307"/>
      <c r="D1581" s="312"/>
      <c r="E1581" s="301"/>
      <c r="F1581" s="232"/>
      <c r="J1581" s="306"/>
      <c r="K1581" s="306"/>
      <c r="L1581" s="313"/>
      <c r="M1581" s="219"/>
      <c r="N1581" s="218"/>
      <c r="S1581" s="224"/>
      <c r="T1581" s="228"/>
      <c r="U1581" s="226"/>
      <c r="V1581" s="226"/>
      <c r="W1581" s="303"/>
      <c r="X1581" s="220"/>
      <c r="Z1581" s="227"/>
      <c r="AA1581" s="220"/>
      <c r="AB1581" s="221"/>
      <c r="AC1581" s="229"/>
      <c r="AD1581" s="230"/>
      <c r="AE1581" s="230"/>
      <c r="AF1581" s="230"/>
      <c r="AG1581" s="227"/>
    </row>
    <row r="1582" spans="1:33" x14ac:dyDescent="0.25">
      <c r="A1582" s="32"/>
      <c r="B1582" s="306"/>
      <c r="C1582" s="307"/>
      <c r="D1582" s="312"/>
      <c r="E1582" s="301"/>
      <c r="F1582" s="232"/>
      <c r="J1582" s="306"/>
      <c r="K1582" s="306"/>
      <c r="L1582" s="313"/>
      <c r="M1582" s="219"/>
      <c r="N1582" s="218"/>
      <c r="S1582" s="224"/>
      <c r="T1582" s="228"/>
      <c r="U1582" s="226"/>
      <c r="V1582" s="226"/>
      <c r="W1582" s="303"/>
      <c r="X1582" s="220"/>
      <c r="Z1582" s="227"/>
      <c r="AA1582" s="220"/>
      <c r="AB1582" s="221"/>
      <c r="AC1582" s="229"/>
      <c r="AD1582" s="230"/>
      <c r="AE1582" s="230"/>
      <c r="AF1582" s="230"/>
      <c r="AG1582" s="227"/>
    </row>
    <row r="1583" spans="1:33" x14ac:dyDescent="0.25">
      <c r="A1583" s="32"/>
      <c r="B1583" s="306"/>
      <c r="C1583" s="307"/>
      <c r="D1583" s="312"/>
      <c r="E1583" s="301"/>
      <c r="F1583" s="232"/>
      <c r="J1583" s="306"/>
      <c r="K1583" s="306"/>
      <c r="L1583" s="313"/>
      <c r="M1583" s="219"/>
      <c r="N1583" s="218"/>
      <c r="S1583" s="224"/>
      <c r="T1583" s="228"/>
      <c r="U1583" s="226"/>
      <c r="V1583" s="226"/>
      <c r="W1583" s="303"/>
      <c r="X1583" s="220"/>
      <c r="Z1583" s="227"/>
      <c r="AA1583" s="220"/>
      <c r="AB1583" s="221"/>
      <c r="AC1583" s="229"/>
      <c r="AD1583" s="230"/>
      <c r="AE1583" s="230"/>
      <c r="AF1583" s="230"/>
      <c r="AG1583" s="227"/>
    </row>
    <row r="1584" spans="1:33" x14ac:dyDescent="0.25">
      <c r="A1584" s="32"/>
      <c r="B1584" s="306"/>
      <c r="C1584" s="307"/>
      <c r="D1584" s="312"/>
      <c r="E1584" s="301"/>
      <c r="F1584" s="232"/>
      <c r="J1584" s="306"/>
      <c r="K1584" s="306"/>
      <c r="L1584" s="313"/>
      <c r="M1584" s="219"/>
      <c r="N1584" s="218"/>
      <c r="S1584" s="224"/>
      <c r="T1584" s="228"/>
      <c r="U1584" s="226"/>
      <c r="V1584" s="226"/>
      <c r="W1584" s="303"/>
      <c r="X1584" s="220"/>
      <c r="Z1584" s="227"/>
      <c r="AA1584" s="220"/>
      <c r="AB1584" s="221"/>
      <c r="AC1584" s="229"/>
      <c r="AD1584" s="230"/>
      <c r="AE1584" s="230"/>
      <c r="AF1584" s="230"/>
      <c r="AG1584" s="227"/>
    </row>
    <row r="1585" spans="1:33" x14ac:dyDescent="0.25">
      <c r="A1585" s="32"/>
      <c r="B1585" s="306"/>
      <c r="C1585" s="307"/>
      <c r="D1585" s="312"/>
      <c r="E1585" s="301"/>
      <c r="F1585" s="232"/>
      <c r="J1585" s="306"/>
      <c r="K1585" s="306"/>
      <c r="L1585" s="313"/>
      <c r="M1585" s="219"/>
      <c r="N1585" s="218"/>
      <c r="S1585" s="224"/>
      <c r="T1585" s="228"/>
      <c r="U1585" s="226"/>
      <c r="V1585" s="226"/>
      <c r="W1585" s="303"/>
      <c r="X1585" s="220"/>
      <c r="Z1585" s="227"/>
      <c r="AA1585" s="220"/>
      <c r="AB1585" s="221"/>
      <c r="AC1585" s="229"/>
      <c r="AD1585" s="230"/>
      <c r="AE1585" s="230"/>
      <c r="AF1585" s="230"/>
      <c r="AG1585" s="227"/>
    </row>
    <row r="1586" spans="1:33" x14ac:dyDescent="0.25">
      <c r="A1586" s="32"/>
      <c r="B1586" s="306"/>
      <c r="C1586" s="307"/>
      <c r="D1586" s="312"/>
      <c r="E1586" s="301"/>
      <c r="F1586" s="232"/>
      <c r="J1586" s="306"/>
      <c r="K1586" s="306"/>
      <c r="L1586" s="313"/>
      <c r="M1586" s="219"/>
      <c r="N1586" s="218"/>
      <c r="S1586" s="224"/>
      <c r="T1586" s="228"/>
      <c r="U1586" s="226"/>
      <c r="V1586" s="226"/>
      <c r="W1586" s="303"/>
      <c r="X1586" s="220"/>
      <c r="Z1586" s="227"/>
      <c r="AA1586" s="220"/>
      <c r="AB1586" s="221"/>
      <c r="AC1586" s="229"/>
      <c r="AD1586" s="230"/>
      <c r="AE1586" s="230"/>
      <c r="AF1586" s="230"/>
      <c r="AG1586" s="227"/>
    </row>
    <row r="1587" spans="1:33" x14ac:dyDescent="0.25">
      <c r="A1587" s="32"/>
      <c r="B1587" s="306"/>
      <c r="C1587" s="307"/>
      <c r="D1587" s="312"/>
      <c r="E1587" s="301"/>
      <c r="F1587" s="232"/>
      <c r="J1587" s="306"/>
      <c r="K1587" s="306"/>
      <c r="L1587" s="313"/>
      <c r="M1587" s="219"/>
      <c r="N1587" s="218"/>
      <c r="S1587" s="224"/>
      <c r="T1587" s="228"/>
      <c r="U1587" s="226"/>
      <c r="V1587" s="226"/>
      <c r="W1587" s="303"/>
      <c r="X1587" s="220"/>
      <c r="Z1587" s="227"/>
      <c r="AA1587" s="220"/>
      <c r="AB1587" s="221"/>
      <c r="AC1587" s="229"/>
      <c r="AD1587" s="230"/>
      <c r="AE1587" s="230"/>
      <c r="AF1587" s="230"/>
      <c r="AG1587" s="227"/>
    </row>
    <row r="1588" spans="1:33" x14ac:dyDescent="0.25">
      <c r="A1588" s="32"/>
      <c r="B1588" s="306"/>
      <c r="C1588" s="307"/>
      <c r="D1588" s="312"/>
      <c r="E1588" s="301"/>
      <c r="F1588" s="232"/>
      <c r="J1588" s="306"/>
      <c r="K1588" s="306"/>
      <c r="L1588" s="313"/>
      <c r="M1588" s="219"/>
      <c r="N1588" s="218"/>
      <c r="S1588" s="224"/>
      <c r="T1588" s="228"/>
      <c r="U1588" s="226"/>
      <c r="V1588" s="226"/>
      <c r="W1588" s="303"/>
      <c r="X1588" s="220"/>
      <c r="Z1588" s="227"/>
      <c r="AA1588" s="220"/>
      <c r="AB1588" s="221"/>
      <c r="AC1588" s="229"/>
      <c r="AD1588" s="230"/>
      <c r="AE1588" s="230"/>
      <c r="AF1588" s="230"/>
      <c r="AG1588" s="227"/>
    </row>
    <row r="1589" spans="1:33" x14ac:dyDescent="0.25">
      <c r="A1589" s="32"/>
      <c r="B1589" s="306"/>
      <c r="C1589" s="307"/>
      <c r="D1589" s="312"/>
      <c r="E1589" s="301"/>
      <c r="F1589" s="232"/>
      <c r="J1589" s="306"/>
      <c r="K1589" s="306"/>
      <c r="L1589" s="313"/>
      <c r="M1589" s="219"/>
      <c r="N1589" s="218"/>
      <c r="S1589" s="224"/>
      <c r="T1589" s="228"/>
      <c r="U1589" s="226"/>
      <c r="V1589" s="226"/>
      <c r="W1589" s="303"/>
      <c r="X1589" s="220"/>
      <c r="Z1589" s="227"/>
      <c r="AA1589" s="220"/>
      <c r="AB1589" s="221"/>
      <c r="AC1589" s="229"/>
      <c r="AD1589" s="230"/>
      <c r="AE1589" s="230"/>
      <c r="AF1589" s="230"/>
      <c r="AG1589" s="227"/>
    </row>
    <row r="1590" spans="1:33" x14ac:dyDescent="0.25">
      <c r="A1590" s="32"/>
      <c r="B1590" s="306"/>
      <c r="C1590" s="307"/>
      <c r="D1590" s="312"/>
      <c r="E1590" s="301"/>
      <c r="F1590" s="232"/>
      <c r="J1590" s="306"/>
      <c r="K1590" s="306"/>
      <c r="L1590" s="313"/>
      <c r="M1590" s="219"/>
      <c r="N1590" s="218"/>
      <c r="S1590" s="224"/>
      <c r="T1590" s="228"/>
      <c r="U1590" s="226"/>
      <c r="V1590" s="226"/>
      <c r="W1590" s="303"/>
      <c r="X1590" s="220"/>
      <c r="Z1590" s="227"/>
      <c r="AA1590" s="220"/>
      <c r="AB1590" s="221"/>
      <c r="AC1590" s="229"/>
      <c r="AD1590" s="230"/>
      <c r="AE1590" s="230"/>
      <c r="AF1590" s="230"/>
      <c r="AG1590" s="227"/>
    </row>
    <row r="1591" spans="1:33" x14ac:dyDescent="0.25">
      <c r="A1591" s="32"/>
      <c r="B1591" s="306"/>
      <c r="C1591" s="307"/>
      <c r="D1591" s="312"/>
      <c r="E1591" s="301"/>
      <c r="F1591" s="232"/>
      <c r="J1591" s="306"/>
      <c r="K1591" s="306"/>
      <c r="L1591" s="313"/>
      <c r="M1591" s="219"/>
      <c r="N1591" s="218"/>
      <c r="S1591" s="224"/>
      <c r="T1591" s="228"/>
      <c r="U1591" s="226"/>
      <c r="V1591" s="226"/>
      <c r="W1591" s="303"/>
      <c r="X1591" s="220"/>
      <c r="Z1591" s="227"/>
      <c r="AA1591" s="220"/>
      <c r="AB1591" s="221"/>
      <c r="AC1591" s="229"/>
      <c r="AD1591" s="230"/>
      <c r="AE1591" s="230"/>
      <c r="AF1591" s="230"/>
      <c r="AG1591" s="227"/>
    </row>
    <row r="1592" spans="1:33" x14ac:dyDescent="0.25">
      <c r="A1592" s="32"/>
      <c r="B1592" s="306"/>
      <c r="C1592" s="307"/>
      <c r="D1592" s="312"/>
      <c r="E1592" s="301"/>
      <c r="F1592" s="232"/>
      <c r="J1592" s="306"/>
      <c r="K1592" s="306"/>
      <c r="L1592" s="313"/>
      <c r="M1592" s="219"/>
      <c r="N1592" s="218"/>
      <c r="S1592" s="224"/>
      <c r="T1592" s="228"/>
      <c r="U1592" s="226"/>
      <c r="V1592" s="226"/>
      <c r="W1592" s="303"/>
      <c r="X1592" s="220"/>
      <c r="Z1592" s="227"/>
      <c r="AA1592" s="220"/>
      <c r="AB1592" s="221"/>
      <c r="AC1592" s="229"/>
      <c r="AD1592" s="230"/>
      <c r="AE1592" s="230"/>
      <c r="AF1592" s="230"/>
      <c r="AG1592" s="227"/>
    </row>
    <row r="1593" spans="1:33" x14ac:dyDescent="0.25">
      <c r="A1593" s="32"/>
      <c r="B1593" s="306"/>
      <c r="C1593" s="307"/>
      <c r="D1593" s="312"/>
      <c r="E1593" s="301"/>
      <c r="F1593" s="232"/>
      <c r="J1593" s="306"/>
      <c r="K1593" s="306"/>
      <c r="L1593" s="313"/>
      <c r="M1593" s="219"/>
      <c r="N1593" s="218"/>
      <c r="S1593" s="224"/>
      <c r="T1593" s="228"/>
      <c r="U1593" s="226"/>
      <c r="V1593" s="226"/>
      <c r="W1593" s="303"/>
      <c r="X1593" s="220"/>
      <c r="Z1593" s="227"/>
      <c r="AA1593" s="220"/>
      <c r="AB1593" s="221"/>
      <c r="AC1593" s="229"/>
      <c r="AD1593" s="230"/>
      <c r="AE1593" s="230"/>
      <c r="AF1593" s="230"/>
      <c r="AG1593" s="227"/>
    </row>
    <row r="1594" spans="1:33" x14ac:dyDescent="0.25">
      <c r="A1594" s="32"/>
      <c r="B1594" s="306"/>
      <c r="C1594" s="307"/>
      <c r="D1594" s="312"/>
      <c r="E1594" s="301"/>
      <c r="F1594" s="232"/>
      <c r="J1594" s="306"/>
      <c r="K1594" s="306"/>
      <c r="L1594" s="313"/>
      <c r="M1594" s="219"/>
      <c r="N1594" s="218"/>
      <c r="S1594" s="224"/>
      <c r="T1594" s="228"/>
      <c r="U1594" s="226"/>
      <c r="V1594" s="226"/>
      <c r="W1594" s="303"/>
      <c r="X1594" s="220"/>
      <c r="Z1594" s="227"/>
      <c r="AA1594" s="220"/>
      <c r="AB1594" s="221"/>
      <c r="AC1594" s="229"/>
      <c r="AD1594" s="230"/>
      <c r="AE1594" s="230"/>
      <c r="AF1594" s="230"/>
      <c r="AG1594" s="227"/>
    </row>
    <row r="1595" spans="1:33" x14ac:dyDescent="0.25">
      <c r="A1595" s="32"/>
      <c r="B1595" s="306"/>
      <c r="C1595" s="307"/>
      <c r="D1595" s="312"/>
      <c r="E1595" s="301"/>
      <c r="F1595" s="232"/>
      <c r="J1595" s="306"/>
      <c r="K1595" s="306"/>
      <c r="L1595" s="313"/>
      <c r="M1595" s="219"/>
      <c r="N1595" s="218"/>
      <c r="S1595" s="224"/>
      <c r="T1595" s="228"/>
      <c r="U1595" s="226"/>
      <c r="V1595" s="226"/>
      <c r="W1595" s="303"/>
      <c r="X1595" s="220"/>
      <c r="Z1595" s="227"/>
      <c r="AA1595" s="220"/>
      <c r="AB1595" s="221"/>
      <c r="AC1595" s="229"/>
      <c r="AD1595" s="230"/>
      <c r="AE1595" s="230"/>
      <c r="AF1595" s="230"/>
      <c r="AG1595" s="227"/>
    </row>
    <row r="1596" spans="1:33" x14ac:dyDescent="0.25">
      <c r="A1596" s="32"/>
      <c r="B1596" s="306"/>
      <c r="C1596" s="307"/>
      <c r="D1596" s="312"/>
      <c r="E1596" s="301"/>
      <c r="F1596" s="232"/>
      <c r="J1596" s="306"/>
      <c r="K1596" s="306"/>
      <c r="L1596" s="313"/>
      <c r="M1596" s="219"/>
      <c r="N1596" s="218"/>
      <c r="S1596" s="224"/>
      <c r="T1596" s="228"/>
      <c r="U1596" s="226"/>
      <c r="V1596" s="226"/>
      <c r="W1596" s="303"/>
      <c r="X1596" s="220"/>
      <c r="Z1596" s="227"/>
      <c r="AA1596" s="220"/>
      <c r="AB1596" s="221"/>
      <c r="AC1596" s="229"/>
      <c r="AD1596" s="230"/>
      <c r="AE1596" s="230"/>
      <c r="AF1596" s="230"/>
      <c r="AG1596" s="227"/>
    </row>
    <row r="1597" spans="1:33" x14ac:dyDescent="0.25">
      <c r="A1597" s="32"/>
      <c r="B1597" s="306"/>
      <c r="C1597" s="307"/>
      <c r="D1597" s="312"/>
      <c r="E1597" s="301"/>
      <c r="F1597" s="232"/>
      <c r="J1597" s="306"/>
      <c r="K1597" s="306"/>
      <c r="L1597" s="313"/>
      <c r="M1597" s="219"/>
      <c r="N1597" s="218"/>
      <c r="S1597" s="224"/>
      <c r="T1597" s="228"/>
      <c r="U1597" s="226"/>
      <c r="V1597" s="226"/>
      <c r="W1597" s="303"/>
      <c r="X1597" s="220"/>
      <c r="Z1597" s="227"/>
      <c r="AA1597" s="220"/>
      <c r="AB1597" s="221"/>
      <c r="AC1597" s="229"/>
      <c r="AD1597" s="230"/>
      <c r="AE1597" s="230"/>
      <c r="AF1597" s="230"/>
      <c r="AG1597" s="227"/>
    </row>
    <row r="1598" spans="1:33" x14ac:dyDescent="0.25">
      <c r="A1598" s="32"/>
      <c r="B1598" s="306"/>
      <c r="C1598" s="307"/>
      <c r="D1598" s="312"/>
      <c r="E1598" s="301"/>
      <c r="F1598" s="232"/>
      <c r="J1598" s="306"/>
      <c r="K1598" s="306"/>
      <c r="L1598" s="313"/>
      <c r="M1598" s="219"/>
      <c r="N1598" s="218"/>
      <c r="S1598" s="224"/>
      <c r="T1598" s="228"/>
      <c r="U1598" s="226"/>
      <c r="V1598" s="226"/>
      <c r="W1598" s="303"/>
      <c r="X1598" s="220"/>
      <c r="Z1598" s="227"/>
      <c r="AA1598" s="220"/>
      <c r="AB1598" s="221"/>
      <c r="AC1598" s="229"/>
      <c r="AD1598" s="230"/>
      <c r="AE1598" s="230"/>
      <c r="AF1598" s="230"/>
      <c r="AG1598" s="227"/>
    </row>
    <row r="1599" spans="1:33" x14ac:dyDescent="0.25">
      <c r="A1599" s="32"/>
      <c r="B1599" s="306"/>
      <c r="C1599" s="307"/>
      <c r="D1599" s="312"/>
      <c r="E1599" s="301"/>
      <c r="F1599" s="232"/>
      <c r="J1599" s="306"/>
      <c r="K1599" s="306"/>
      <c r="L1599" s="313"/>
      <c r="M1599" s="219"/>
      <c r="N1599" s="218"/>
      <c r="S1599" s="224"/>
      <c r="T1599" s="228"/>
      <c r="U1599" s="226"/>
      <c r="V1599" s="226"/>
      <c r="W1599" s="303"/>
      <c r="X1599" s="220"/>
      <c r="Z1599" s="227"/>
      <c r="AA1599" s="220"/>
      <c r="AB1599" s="221"/>
      <c r="AC1599" s="229"/>
      <c r="AD1599" s="230"/>
      <c r="AE1599" s="230"/>
      <c r="AF1599" s="230"/>
      <c r="AG1599" s="227"/>
    </row>
    <row r="1600" spans="1:33" x14ac:dyDescent="0.25">
      <c r="A1600" s="32"/>
      <c r="B1600" s="306"/>
      <c r="C1600" s="307"/>
      <c r="D1600" s="312"/>
      <c r="E1600" s="301"/>
      <c r="F1600" s="232"/>
      <c r="J1600" s="306"/>
      <c r="K1600" s="306"/>
      <c r="L1600" s="313"/>
      <c r="M1600" s="219"/>
      <c r="N1600" s="218"/>
      <c r="S1600" s="224"/>
      <c r="T1600" s="228"/>
      <c r="U1600" s="226"/>
      <c r="V1600" s="226"/>
      <c r="W1600" s="303"/>
      <c r="X1600" s="220"/>
      <c r="Z1600" s="227"/>
      <c r="AA1600" s="220"/>
      <c r="AB1600" s="221"/>
      <c r="AC1600" s="229"/>
      <c r="AD1600" s="230"/>
      <c r="AE1600" s="230"/>
      <c r="AF1600" s="230"/>
      <c r="AG1600" s="227"/>
    </row>
    <row r="1601" spans="1:33" x14ac:dyDescent="0.25">
      <c r="A1601" s="32"/>
      <c r="B1601" s="306"/>
      <c r="C1601" s="307"/>
      <c r="D1601" s="312"/>
      <c r="E1601" s="301"/>
      <c r="F1601" s="232"/>
      <c r="J1601" s="306"/>
      <c r="K1601" s="306"/>
      <c r="L1601" s="313"/>
      <c r="M1601" s="219"/>
      <c r="N1601" s="218"/>
      <c r="S1601" s="224"/>
      <c r="T1601" s="228"/>
      <c r="U1601" s="226"/>
      <c r="V1601" s="226"/>
      <c r="W1601" s="303"/>
      <c r="X1601" s="220"/>
      <c r="Z1601" s="227"/>
      <c r="AA1601" s="220"/>
      <c r="AB1601" s="221"/>
      <c r="AC1601" s="229"/>
      <c r="AD1601" s="230"/>
      <c r="AE1601" s="230"/>
      <c r="AF1601" s="230"/>
      <c r="AG1601" s="227"/>
    </row>
    <row r="1602" spans="1:33" x14ac:dyDescent="0.25">
      <c r="A1602" s="32"/>
      <c r="B1602" s="306"/>
      <c r="C1602" s="307"/>
      <c r="D1602" s="312"/>
      <c r="E1602" s="301"/>
      <c r="F1602" s="232"/>
      <c r="J1602" s="306"/>
      <c r="K1602" s="306"/>
      <c r="L1602" s="313"/>
      <c r="M1602" s="219"/>
      <c r="N1602" s="218"/>
      <c r="S1602" s="224"/>
      <c r="T1602" s="228"/>
      <c r="U1602" s="226"/>
      <c r="V1602" s="226"/>
      <c r="W1602" s="303"/>
      <c r="X1602" s="220"/>
      <c r="Z1602" s="227"/>
      <c r="AA1602" s="220"/>
      <c r="AB1602" s="221"/>
      <c r="AC1602" s="229"/>
      <c r="AD1602" s="230"/>
      <c r="AE1602" s="230"/>
      <c r="AF1602" s="230"/>
      <c r="AG1602" s="227"/>
    </row>
    <row r="1603" spans="1:33" x14ac:dyDescent="0.25">
      <c r="A1603" s="32"/>
      <c r="B1603" s="306"/>
      <c r="C1603" s="307"/>
      <c r="D1603" s="312"/>
      <c r="E1603" s="301"/>
      <c r="F1603" s="232"/>
      <c r="J1603" s="306"/>
      <c r="K1603" s="306"/>
      <c r="L1603" s="313"/>
      <c r="M1603" s="219"/>
      <c r="N1603" s="218"/>
      <c r="S1603" s="224"/>
      <c r="T1603" s="228"/>
      <c r="U1603" s="226"/>
      <c r="V1603" s="226"/>
      <c r="W1603" s="303"/>
      <c r="X1603" s="220"/>
      <c r="Z1603" s="227"/>
      <c r="AA1603" s="220"/>
      <c r="AB1603" s="221"/>
      <c r="AC1603" s="229"/>
      <c r="AD1603" s="230"/>
      <c r="AE1603" s="230"/>
      <c r="AF1603" s="230"/>
      <c r="AG1603" s="227"/>
    </row>
    <row r="1604" spans="1:33" x14ac:dyDescent="0.25">
      <c r="A1604" s="32"/>
      <c r="B1604" s="306"/>
      <c r="C1604" s="307"/>
      <c r="D1604" s="312"/>
      <c r="E1604" s="301"/>
      <c r="F1604" s="232"/>
      <c r="J1604" s="306"/>
      <c r="K1604" s="306"/>
      <c r="L1604" s="313"/>
      <c r="M1604" s="219"/>
      <c r="N1604" s="218"/>
      <c r="S1604" s="224"/>
      <c r="T1604" s="228"/>
      <c r="U1604" s="226"/>
      <c r="V1604" s="226"/>
      <c r="W1604" s="303"/>
      <c r="X1604" s="220"/>
      <c r="Z1604" s="227"/>
      <c r="AA1604" s="220"/>
      <c r="AB1604" s="221"/>
      <c r="AC1604" s="229"/>
      <c r="AD1604" s="230"/>
      <c r="AE1604" s="230"/>
      <c r="AF1604" s="230"/>
      <c r="AG1604" s="227"/>
    </row>
    <row r="1605" spans="1:33" x14ac:dyDescent="0.25">
      <c r="A1605" s="32"/>
      <c r="B1605" s="306"/>
      <c r="C1605" s="307"/>
      <c r="D1605" s="312"/>
      <c r="E1605" s="301"/>
      <c r="F1605" s="232"/>
      <c r="J1605" s="306"/>
      <c r="K1605" s="306"/>
      <c r="L1605" s="313"/>
      <c r="M1605" s="219"/>
      <c r="N1605" s="218"/>
      <c r="S1605" s="224"/>
      <c r="T1605" s="228"/>
      <c r="U1605" s="226"/>
      <c r="V1605" s="226"/>
      <c r="W1605" s="303"/>
      <c r="X1605" s="220"/>
      <c r="Z1605" s="227"/>
      <c r="AA1605" s="220"/>
      <c r="AB1605" s="221"/>
      <c r="AC1605" s="229"/>
      <c r="AD1605" s="230"/>
      <c r="AE1605" s="230"/>
      <c r="AF1605" s="230"/>
      <c r="AG1605" s="227"/>
    </row>
    <row r="1606" spans="1:33" x14ac:dyDescent="0.25">
      <c r="A1606" s="32"/>
      <c r="B1606" s="306"/>
      <c r="C1606" s="307"/>
      <c r="D1606" s="312"/>
      <c r="E1606" s="301"/>
      <c r="F1606" s="232"/>
      <c r="J1606" s="306"/>
      <c r="K1606" s="306"/>
      <c r="L1606" s="313"/>
      <c r="M1606" s="219"/>
      <c r="N1606" s="218"/>
      <c r="S1606" s="224"/>
      <c r="T1606" s="228"/>
      <c r="U1606" s="226"/>
      <c r="V1606" s="226"/>
      <c r="W1606" s="303"/>
      <c r="X1606" s="220"/>
      <c r="Z1606" s="227"/>
      <c r="AA1606" s="220"/>
      <c r="AB1606" s="221"/>
      <c r="AC1606" s="229"/>
      <c r="AD1606" s="230"/>
      <c r="AE1606" s="230"/>
      <c r="AF1606" s="230"/>
      <c r="AG1606" s="227"/>
    </row>
    <row r="1607" spans="1:33" x14ac:dyDescent="0.25">
      <c r="A1607" s="32"/>
      <c r="B1607" s="306"/>
      <c r="C1607" s="307"/>
      <c r="D1607" s="312"/>
      <c r="E1607" s="301"/>
      <c r="F1607" s="232"/>
      <c r="J1607" s="306"/>
      <c r="K1607" s="306"/>
      <c r="L1607" s="313"/>
      <c r="M1607" s="219"/>
      <c r="N1607" s="218"/>
      <c r="S1607" s="224"/>
      <c r="T1607" s="228"/>
      <c r="U1607" s="226"/>
      <c r="V1607" s="226"/>
      <c r="W1607" s="303"/>
      <c r="X1607" s="220"/>
      <c r="Z1607" s="227"/>
      <c r="AA1607" s="220"/>
      <c r="AB1607" s="221"/>
      <c r="AC1607" s="229"/>
      <c r="AD1607" s="230"/>
      <c r="AE1607" s="230"/>
      <c r="AF1607" s="230"/>
      <c r="AG1607" s="227"/>
    </row>
    <row r="1608" spans="1:33" x14ac:dyDescent="0.25">
      <c r="A1608" s="32"/>
      <c r="B1608" s="306"/>
      <c r="C1608" s="307"/>
      <c r="D1608" s="312"/>
      <c r="E1608" s="301"/>
      <c r="F1608" s="232"/>
      <c r="J1608" s="306"/>
      <c r="K1608" s="306"/>
      <c r="L1608" s="313"/>
      <c r="M1608" s="219"/>
      <c r="N1608" s="218"/>
      <c r="S1608" s="224"/>
      <c r="T1608" s="228"/>
      <c r="U1608" s="226"/>
      <c r="V1608" s="226"/>
      <c r="W1608" s="303"/>
      <c r="X1608" s="220"/>
      <c r="Z1608" s="227"/>
      <c r="AA1608" s="220"/>
      <c r="AB1608" s="221"/>
      <c r="AC1608" s="229"/>
      <c r="AD1608" s="230"/>
      <c r="AE1608" s="230"/>
      <c r="AF1608" s="230"/>
      <c r="AG1608" s="227"/>
    </row>
    <row r="1609" spans="1:33" x14ac:dyDescent="0.25">
      <c r="A1609" s="32"/>
      <c r="B1609" s="306"/>
      <c r="C1609" s="307"/>
      <c r="D1609" s="312"/>
      <c r="E1609" s="301"/>
      <c r="F1609" s="232"/>
      <c r="J1609" s="306"/>
      <c r="K1609" s="306"/>
      <c r="L1609" s="313"/>
      <c r="M1609" s="219"/>
      <c r="N1609" s="218"/>
      <c r="S1609" s="224"/>
      <c r="T1609" s="228"/>
      <c r="U1609" s="226"/>
      <c r="V1609" s="226"/>
      <c r="W1609" s="303"/>
      <c r="X1609" s="220"/>
      <c r="Z1609" s="227"/>
      <c r="AA1609" s="220"/>
      <c r="AB1609" s="221"/>
      <c r="AC1609" s="229"/>
      <c r="AD1609" s="230"/>
      <c r="AE1609" s="230"/>
      <c r="AF1609" s="230"/>
      <c r="AG1609" s="227"/>
    </row>
    <row r="1610" spans="1:33" x14ac:dyDescent="0.25">
      <c r="A1610" s="32"/>
      <c r="B1610" s="306"/>
      <c r="C1610" s="307"/>
      <c r="D1610" s="312"/>
      <c r="E1610" s="301"/>
      <c r="F1610" s="232"/>
      <c r="J1610" s="306"/>
      <c r="K1610" s="306"/>
      <c r="L1610" s="313"/>
      <c r="M1610" s="219"/>
      <c r="N1610" s="218"/>
      <c r="S1610" s="224"/>
      <c r="T1610" s="228"/>
      <c r="U1610" s="226"/>
      <c r="V1610" s="226"/>
      <c r="W1610" s="303"/>
      <c r="X1610" s="220"/>
      <c r="Z1610" s="227"/>
      <c r="AA1610" s="220"/>
      <c r="AB1610" s="221"/>
      <c r="AC1610" s="229"/>
      <c r="AD1610" s="230"/>
      <c r="AE1610" s="230"/>
      <c r="AF1610" s="230"/>
      <c r="AG1610" s="227"/>
    </row>
    <row r="1611" spans="1:33" x14ac:dyDescent="0.25">
      <c r="A1611" s="32"/>
      <c r="B1611" s="306"/>
      <c r="C1611" s="307"/>
      <c r="D1611" s="312"/>
      <c r="E1611" s="301"/>
      <c r="F1611" s="232"/>
      <c r="J1611" s="306"/>
      <c r="K1611" s="306"/>
      <c r="L1611" s="313"/>
      <c r="M1611" s="219"/>
      <c r="N1611" s="218"/>
      <c r="S1611" s="224"/>
      <c r="T1611" s="228"/>
      <c r="U1611" s="226"/>
      <c r="V1611" s="226"/>
      <c r="W1611" s="303"/>
      <c r="X1611" s="220"/>
      <c r="Z1611" s="227"/>
      <c r="AA1611" s="220"/>
      <c r="AB1611" s="221"/>
      <c r="AC1611" s="229"/>
      <c r="AD1611" s="230"/>
      <c r="AE1611" s="230"/>
      <c r="AF1611" s="230"/>
      <c r="AG1611" s="227"/>
    </row>
    <row r="1612" spans="1:33" x14ac:dyDescent="0.25">
      <c r="A1612" s="32"/>
      <c r="B1612" s="306"/>
      <c r="C1612" s="307"/>
      <c r="D1612" s="312"/>
      <c r="E1612" s="301"/>
      <c r="F1612" s="232"/>
      <c r="J1612" s="306"/>
      <c r="K1612" s="306"/>
      <c r="L1612" s="313"/>
      <c r="M1612" s="219"/>
      <c r="N1612" s="218"/>
      <c r="S1612" s="224"/>
      <c r="T1612" s="228"/>
      <c r="U1612" s="226"/>
      <c r="V1612" s="226"/>
      <c r="W1612" s="303"/>
      <c r="X1612" s="220"/>
      <c r="Z1612" s="227"/>
      <c r="AA1612" s="220"/>
      <c r="AB1612" s="221"/>
      <c r="AC1612" s="229"/>
      <c r="AD1612" s="230"/>
      <c r="AE1612" s="230"/>
      <c r="AF1612" s="230"/>
      <c r="AG1612" s="227"/>
    </row>
    <row r="1613" spans="1:33" x14ac:dyDescent="0.25">
      <c r="A1613" s="32"/>
      <c r="B1613" s="306"/>
      <c r="C1613" s="307"/>
      <c r="D1613" s="312"/>
      <c r="E1613" s="301"/>
      <c r="F1613" s="232"/>
      <c r="J1613" s="306"/>
      <c r="K1613" s="306"/>
      <c r="L1613" s="313"/>
      <c r="M1613" s="219"/>
      <c r="N1613" s="218"/>
      <c r="S1613" s="224"/>
      <c r="T1613" s="228"/>
      <c r="U1613" s="226"/>
      <c r="V1613" s="226"/>
      <c r="W1613" s="303"/>
      <c r="X1613" s="220"/>
      <c r="Z1613" s="227"/>
      <c r="AA1613" s="220"/>
      <c r="AB1613" s="221"/>
      <c r="AC1613" s="229"/>
      <c r="AD1613" s="230"/>
      <c r="AE1613" s="230"/>
      <c r="AF1613" s="230"/>
      <c r="AG1613" s="227"/>
    </row>
    <row r="1614" spans="1:33" x14ac:dyDescent="0.25">
      <c r="A1614" s="32"/>
      <c r="B1614" s="306"/>
      <c r="C1614" s="307"/>
      <c r="D1614" s="312"/>
      <c r="E1614" s="301"/>
      <c r="F1614" s="232"/>
      <c r="J1614" s="306"/>
      <c r="K1614" s="306"/>
      <c r="L1614" s="313"/>
      <c r="M1614" s="219"/>
      <c r="N1614" s="218"/>
      <c r="S1614" s="224"/>
      <c r="T1614" s="228"/>
      <c r="U1614" s="226"/>
      <c r="V1614" s="226"/>
      <c r="W1614" s="303"/>
      <c r="X1614" s="220"/>
      <c r="Z1614" s="227"/>
      <c r="AA1614" s="220"/>
      <c r="AB1614" s="221"/>
      <c r="AC1614" s="229"/>
      <c r="AD1614" s="230"/>
      <c r="AE1614" s="230"/>
      <c r="AF1614" s="230"/>
      <c r="AG1614" s="227"/>
    </row>
    <row r="1615" spans="1:33" x14ac:dyDescent="0.25">
      <c r="A1615" s="32"/>
      <c r="B1615" s="306"/>
      <c r="C1615" s="307"/>
      <c r="D1615" s="312"/>
      <c r="E1615" s="301"/>
      <c r="F1615" s="232"/>
      <c r="J1615" s="306"/>
      <c r="K1615" s="306"/>
      <c r="L1615" s="313"/>
      <c r="M1615" s="219"/>
      <c r="N1615" s="218"/>
      <c r="S1615" s="224"/>
      <c r="T1615" s="228"/>
      <c r="U1615" s="226"/>
      <c r="V1615" s="226"/>
      <c r="W1615" s="303"/>
      <c r="X1615" s="220"/>
      <c r="Z1615" s="227"/>
      <c r="AA1615" s="220"/>
      <c r="AB1615" s="221"/>
      <c r="AC1615" s="229"/>
      <c r="AD1615" s="230"/>
      <c r="AE1615" s="230"/>
      <c r="AF1615" s="230"/>
      <c r="AG1615" s="227"/>
    </row>
    <row r="1616" spans="1:33" x14ac:dyDescent="0.25">
      <c r="A1616" s="32"/>
      <c r="B1616" s="306"/>
      <c r="C1616" s="307"/>
      <c r="D1616" s="312"/>
      <c r="E1616" s="301"/>
      <c r="F1616" s="232"/>
      <c r="J1616" s="306"/>
      <c r="K1616" s="306"/>
      <c r="L1616" s="313"/>
      <c r="M1616" s="219"/>
      <c r="N1616" s="218"/>
      <c r="S1616" s="224"/>
      <c r="T1616" s="228"/>
      <c r="U1616" s="226"/>
      <c r="V1616" s="226"/>
      <c r="W1616" s="303"/>
      <c r="X1616" s="220"/>
      <c r="Z1616" s="227"/>
      <c r="AA1616" s="220"/>
      <c r="AB1616" s="221"/>
      <c r="AC1616" s="229"/>
      <c r="AD1616" s="230"/>
      <c r="AE1616" s="230"/>
      <c r="AF1616" s="230"/>
      <c r="AG1616" s="227"/>
    </row>
    <row r="1617" spans="1:33" x14ac:dyDescent="0.25">
      <c r="A1617" s="32"/>
      <c r="B1617" s="306"/>
      <c r="C1617" s="307"/>
      <c r="D1617" s="312"/>
      <c r="E1617" s="301"/>
      <c r="F1617" s="232"/>
      <c r="J1617" s="306"/>
      <c r="K1617" s="306"/>
      <c r="L1617" s="313"/>
      <c r="M1617" s="219"/>
      <c r="N1617" s="218"/>
      <c r="S1617" s="224"/>
      <c r="T1617" s="228"/>
      <c r="U1617" s="226"/>
      <c r="V1617" s="226"/>
      <c r="W1617" s="303"/>
      <c r="X1617" s="220"/>
      <c r="Z1617" s="227"/>
      <c r="AA1617" s="220"/>
      <c r="AB1617" s="221"/>
      <c r="AC1617" s="229"/>
      <c r="AD1617" s="230"/>
      <c r="AE1617" s="230"/>
      <c r="AF1617" s="230"/>
      <c r="AG1617" s="227"/>
    </row>
    <row r="1618" spans="1:33" x14ac:dyDescent="0.25">
      <c r="A1618" s="32"/>
      <c r="B1618" s="306"/>
      <c r="C1618" s="307"/>
      <c r="D1618" s="312"/>
      <c r="E1618" s="301"/>
      <c r="F1618" s="232"/>
      <c r="J1618" s="306"/>
      <c r="K1618" s="306"/>
      <c r="L1618" s="313"/>
      <c r="M1618" s="219"/>
      <c r="N1618" s="218"/>
      <c r="S1618" s="224"/>
      <c r="T1618" s="228"/>
      <c r="U1618" s="226"/>
      <c r="V1618" s="226"/>
      <c r="W1618" s="303"/>
      <c r="X1618" s="220"/>
      <c r="Z1618" s="227"/>
      <c r="AA1618" s="220"/>
      <c r="AB1618" s="221"/>
      <c r="AC1618" s="229"/>
      <c r="AD1618" s="230"/>
      <c r="AE1618" s="230"/>
      <c r="AF1618" s="230"/>
      <c r="AG1618" s="227"/>
    </row>
    <row r="1619" spans="1:33" x14ac:dyDescent="0.25">
      <c r="A1619" s="32"/>
      <c r="B1619" s="306"/>
      <c r="C1619" s="307"/>
      <c r="D1619" s="312"/>
      <c r="E1619" s="301"/>
      <c r="F1619" s="232"/>
      <c r="J1619" s="306"/>
      <c r="K1619" s="306"/>
      <c r="L1619" s="313"/>
      <c r="M1619" s="219"/>
      <c r="N1619" s="218"/>
      <c r="S1619" s="224"/>
      <c r="T1619" s="228"/>
      <c r="U1619" s="226"/>
      <c r="V1619" s="226"/>
      <c r="W1619" s="303"/>
      <c r="X1619" s="220"/>
      <c r="Z1619" s="227"/>
      <c r="AA1619" s="220"/>
      <c r="AB1619" s="221"/>
      <c r="AC1619" s="229"/>
      <c r="AD1619" s="230"/>
      <c r="AE1619" s="230"/>
      <c r="AF1619" s="230"/>
      <c r="AG1619" s="227"/>
    </row>
    <row r="1620" spans="1:33" x14ac:dyDescent="0.25">
      <c r="A1620" s="32"/>
      <c r="B1620" s="306"/>
      <c r="C1620" s="307"/>
      <c r="D1620" s="312"/>
      <c r="E1620" s="301"/>
      <c r="F1620" s="232"/>
      <c r="J1620" s="306"/>
      <c r="K1620" s="306"/>
      <c r="L1620" s="313"/>
      <c r="M1620" s="219"/>
      <c r="N1620" s="218"/>
      <c r="S1620" s="224"/>
      <c r="T1620" s="228"/>
      <c r="U1620" s="226"/>
      <c r="V1620" s="226"/>
      <c r="W1620" s="303"/>
      <c r="X1620" s="220"/>
      <c r="Z1620" s="227"/>
      <c r="AA1620" s="220"/>
      <c r="AB1620" s="221"/>
      <c r="AC1620" s="229"/>
      <c r="AD1620" s="230"/>
      <c r="AE1620" s="230"/>
      <c r="AF1620" s="230"/>
      <c r="AG1620" s="227"/>
    </row>
    <row r="1621" spans="1:33" x14ac:dyDescent="0.25">
      <c r="A1621" s="32"/>
      <c r="B1621" s="306"/>
      <c r="C1621" s="307"/>
      <c r="D1621" s="312"/>
      <c r="E1621" s="301"/>
      <c r="F1621" s="232"/>
      <c r="J1621" s="306"/>
      <c r="K1621" s="306"/>
      <c r="L1621" s="313"/>
      <c r="M1621" s="219"/>
      <c r="N1621" s="218"/>
      <c r="S1621" s="224"/>
      <c r="T1621" s="228"/>
      <c r="U1621" s="226"/>
      <c r="V1621" s="226"/>
      <c r="W1621" s="303"/>
      <c r="X1621" s="220"/>
      <c r="Z1621" s="227"/>
      <c r="AA1621" s="220"/>
      <c r="AB1621" s="221"/>
      <c r="AC1621" s="229"/>
      <c r="AD1621" s="230"/>
      <c r="AE1621" s="230"/>
      <c r="AF1621" s="230"/>
      <c r="AG1621" s="227"/>
    </row>
    <row r="1622" spans="1:33" x14ac:dyDescent="0.25">
      <c r="A1622" s="32"/>
      <c r="B1622" s="306"/>
      <c r="C1622" s="307"/>
      <c r="D1622" s="312"/>
      <c r="E1622" s="301"/>
      <c r="F1622" s="232"/>
      <c r="J1622" s="306"/>
      <c r="K1622" s="306"/>
      <c r="L1622" s="313"/>
      <c r="M1622" s="219"/>
      <c r="N1622" s="218"/>
      <c r="S1622" s="224"/>
      <c r="T1622" s="228"/>
      <c r="U1622" s="226"/>
      <c r="V1622" s="226"/>
      <c r="W1622" s="303"/>
      <c r="X1622" s="220"/>
      <c r="Z1622" s="227"/>
      <c r="AA1622" s="220"/>
      <c r="AB1622" s="221"/>
      <c r="AC1622" s="229"/>
      <c r="AD1622" s="230"/>
      <c r="AE1622" s="230"/>
      <c r="AF1622" s="230"/>
      <c r="AG1622" s="227"/>
    </row>
    <row r="1623" spans="1:33" x14ac:dyDescent="0.25">
      <c r="A1623" s="32"/>
      <c r="B1623" s="306"/>
      <c r="C1623" s="307"/>
      <c r="D1623" s="312"/>
      <c r="E1623" s="301"/>
      <c r="F1623" s="232"/>
      <c r="J1623" s="306"/>
      <c r="K1623" s="306"/>
      <c r="L1623" s="313"/>
      <c r="M1623" s="219"/>
      <c r="N1623" s="218"/>
      <c r="S1623" s="224"/>
      <c r="T1623" s="228"/>
      <c r="U1623" s="226"/>
      <c r="V1623" s="226"/>
      <c r="W1623" s="303"/>
      <c r="X1623" s="220"/>
      <c r="Z1623" s="227"/>
      <c r="AA1623" s="220"/>
      <c r="AB1623" s="221"/>
      <c r="AC1623" s="229"/>
      <c r="AD1623" s="230"/>
      <c r="AE1623" s="230"/>
      <c r="AF1623" s="230"/>
      <c r="AG1623" s="227"/>
    </row>
    <row r="1624" spans="1:33" x14ac:dyDescent="0.25">
      <c r="A1624" s="32"/>
      <c r="B1624" s="306"/>
      <c r="C1624" s="307"/>
      <c r="D1624" s="312"/>
      <c r="E1624" s="301"/>
      <c r="F1624" s="232"/>
      <c r="J1624" s="306"/>
      <c r="K1624" s="306"/>
      <c r="L1624" s="313"/>
      <c r="M1624" s="219"/>
      <c r="N1624" s="218"/>
      <c r="S1624" s="224"/>
      <c r="T1624" s="228"/>
      <c r="U1624" s="226"/>
      <c r="V1624" s="226"/>
      <c r="W1624" s="303"/>
      <c r="X1624" s="220"/>
      <c r="Z1624" s="227"/>
      <c r="AA1624" s="220"/>
      <c r="AB1624" s="221"/>
      <c r="AC1624" s="229"/>
      <c r="AD1624" s="230"/>
      <c r="AE1624" s="230"/>
      <c r="AF1624" s="230"/>
      <c r="AG1624" s="227"/>
    </row>
    <row r="1625" spans="1:33" x14ac:dyDescent="0.25">
      <c r="A1625" s="32"/>
      <c r="B1625" s="306"/>
      <c r="C1625" s="307"/>
      <c r="D1625" s="312"/>
      <c r="E1625" s="301"/>
      <c r="F1625" s="232"/>
      <c r="J1625" s="306"/>
      <c r="K1625" s="306"/>
      <c r="L1625" s="313"/>
      <c r="M1625" s="219"/>
      <c r="N1625" s="218"/>
      <c r="S1625" s="224"/>
      <c r="T1625" s="228"/>
      <c r="U1625" s="226"/>
      <c r="V1625" s="226"/>
      <c r="W1625" s="303"/>
      <c r="X1625" s="220"/>
      <c r="Z1625" s="227"/>
      <c r="AA1625" s="220"/>
      <c r="AB1625" s="221"/>
      <c r="AC1625" s="229"/>
      <c r="AD1625" s="230"/>
      <c r="AE1625" s="230"/>
      <c r="AF1625" s="230"/>
      <c r="AG1625" s="227"/>
    </row>
    <row r="1626" spans="1:33" x14ac:dyDescent="0.25">
      <c r="A1626" s="32"/>
      <c r="B1626" s="306"/>
      <c r="C1626" s="307"/>
      <c r="D1626" s="312"/>
      <c r="E1626" s="301"/>
      <c r="F1626" s="232"/>
      <c r="J1626" s="306"/>
      <c r="K1626" s="306"/>
      <c r="L1626" s="313"/>
      <c r="M1626" s="219"/>
      <c r="N1626" s="218"/>
      <c r="S1626" s="224"/>
      <c r="T1626" s="228"/>
      <c r="U1626" s="226"/>
      <c r="V1626" s="226"/>
      <c r="W1626" s="303"/>
      <c r="X1626" s="220"/>
      <c r="Z1626" s="227"/>
      <c r="AA1626" s="220"/>
      <c r="AB1626" s="221"/>
      <c r="AC1626" s="229"/>
      <c r="AD1626" s="230"/>
      <c r="AE1626" s="230"/>
      <c r="AF1626" s="230"/>
      <c r="AG1626" s="227"/>
    </row>
    <row r="1627" spans="1:33" x14ac:dyDescent="0.25">
      <c r="A1627" s="32"/>
      <c r="B1627" s="306"/>
      <c r="C1627" s="307"/>
      <c r="D1627" s="312"/>
      <c r="E1627" s="301"/>
      <c r="F1627" s="232"/>
      <c r="J1627" s="306"/>
      <c r="K1627" s="306"/>
      <c r="L1627" s="313"/>
      <c r="M1627" s="219"/>
      <c r="N1627" s="218"/>
      <c r="S1627" s="224"/>
      <c r="T1627" s="228"/>
      <c r="U1627" s="226"/>
      <c r="V1627" s="226"/>
      <c r="W1627" s="303"/>
      <c r="X1627" s="220"/>
      <c r="Z1627" s="227"/>
      <c r="AA1627" s="220"/>
      <c r="AB1627" s="221"/>
      <c r="AC1627" s="229"/>
      <c r="AD1627" s="230"/>
      <c r="AE1627" s="230"/>
      <c r="AF1627" s="230"/>
      <c r="AG1627" s="227"/>
    </row>
    <row r="1628" spans="1:33" x14ac:dyDescent="0.25">
      <c r="A1628" s="32"/>
      <c r="B1628" s="306"/>
      <c r="C1628" s="307"/>
      <c r="D1628" s="312"/>
      <c r="E1628" s="301"/>
      <c r="F1628" s="232"/>
      <c r="J1628" s="306"/>
      <c r="K1628" s="306"/>
      <c r="L1628" s="313"/>
      <c r="M1628" s="219"/>
      <c r="N1628" s="218"/>
      <c r="S1628" s="224"/>
      <c r="T1628" s="228"/>
      <c r="U1628" s="226"/>
      <c r="V1628" s="226"/>
      <c r="W1628" s="303"/>
      <c r="X1628" s="220"/>
      <c r="Z1628" s="227"/>
      <c r="AA1628" s="220"/>
      <c r="AB1628" s="221"/>
      <c r="AC1628" s="229"/>
      <c r="AD1628" s="230"/>
      <c r="AE1628" s="230"/>
      <c r="AF1628" s="230"/>
      <c r="AG1628" s="227"/>
    </row>
    <row r="1629" spans="1:33" x14ac:dyDescent="0.25">
      <c r="A1629" s="32"/>
      <c r="B1629" s="306"/>
      <c r="C1629" s="307"/>
      <c r="D1629" s="312"/>
      <c r="E1629" s="301"/>
      <c r="F1629" s="232"/>
      <c r="J1629" s="306"/>
      <c r="K1629" s="306"/>
      <c r="L1629" s="313"/>
      <c r="M1629" s="219"/>
      <c r="N1629" s="218"/>
      <c r="S1629" s="224"/>
      <c r="T1629" s="228"/>
      <c r="U1629" s="226"/>
      <c r="V1629" s="226"/>
      <c r="W1629" s="303"/>
      <c r="X1629" s="220"/>
      <c r="Z1629" s="227"/>
      <c r="AA1629" s="220"/>
      <c r="AB1629" s="221"/>
      <c r="AC1629" s="229"/>
      <c r="AD1629" s="230"/>
      <c r="AE1629" s="230"/>
      <c r="AF1629" s="230"/>
      <c r="AG1629" s="227"/>
    </row>
    <row r="1630" spans="1:33" x14ac:dyDescent="0.25">
      <c r="A1630" s="32"/>
      <c r="B1630" s="306"/>
      <c r="C1630" s="307"/>
      <c r="D1630" s="312"/>
      <c r="E1630" s="301"/>
      <c r="F1630" s="232"/>
      <c r="J1630" s="306"/>
      <c r="K1630" s="306"/>
      <c r="L1630" s="313"/>
      <c r="M1630" s="219"/>
      <c r="N1630" s="218"/>
      <c r="S1630" s="224"/>
      <c r="T1630" s="228"/>
      <c r="U1630" s="226"/>
      <c r="V1630" s="226"/>
      <c r="W1630" s="303"/>
      <c r="X1630" s="220"/>
      <c r="Z1630" s="227"/>
      <c r="AA1630" s="220"/>
      <c r="AB1630" s="221"/>
      <c r="AC1630" s="229"/>
      <c r="AD1630" s="230"/>
      <c r="AE1630" s="230"/>
      <c r="AF1630" s="230"/>
      <c r="AG1630" s="227"/>
    </row>
    <row r="1631" spans="1:33" x14ac:dyDescent="0.25">
      <c r="A1631" s="32"/>
      <c r="B1631" s="306"/>
      <c r="C1631" s="307"/>
      <c r="D1631" s="312"/>
      <c r="E1631" s="301"/>
      <c r="F1631" s="232"/>
      <c r="J1631" s="306"/>
      <c r="K1631" s="306"/>
      <c r="L1631" s="313"/>
      <c r="M1631" s="219"/>
      <c r="N1631" s="218"/>
      <c r="S1631" s="224"/>
      <c r="T1631" s="228"/>
      <c r="U1631" s="226"/>
      <c r="V1631" s="226"/>
      <c r="W1631" s="303"/>
      <c r="X1631" s="220"/>
      <c r="Z1631" s="227"/>
      <c r="AA1631" s="220"/>
      <c r="AB1631" s="221"/>
      <c r="AC1631" s="229"/>
      <c r="AD1631" s="230"/>
      <c r="AE1631" s="230"/>
      <c r="AF1631" s="230"/>
      <c r="AG1631" s="227"/>
    </row>
    <row r="1632" spans="1:33" x14ac:dyDescent="0.25">
      <c r="A1632" s="32"/>
      <c r="B1632" s="306"/>
      <c r="C1632" s="307"/>
      <c r="D1632" s="312"/>
      <c r="E1632" s="301"/>
      <c r="F1632" s="232"/>
      <c r="J1632" s="306"/>
      <c r="K1632" s="306"/>
      <c r="L1632" s="313"/>
      <c r="M1632" s="219"/>
      <c r="N1632" s="218"/>
      <c r="S1632" s="224"/>
      <c r="T1632" s="228"/>
      <c r="U1632" s="226"/>
      <c r="V1632" s="226"/>
      <c r="W1632" s="303"/>
      <c r="X1632" s="220"/>
      <c r="Z1632" s="227"/>
      <c r="AA1632" s="220"/>
      <c r="AB1632" s="221"/>
      <c r="AC1632" s="229"/>
      <c r="AD1632" s="230"/>
      <c r="AE1632" s="230"/>
      <c r="AF1632" s="230"/>
      <c r="AG1632" s="227"/>
    </row>
    <row r="1633" spans="1:33" x14ac:dyDescent="0.25">
      <c r="A1633" s="32"/>
      <c r="B1633" s="306"/>
      <c r="C1633" s="307"/>
      <c r="D1633" s="312"/>
      <c r="E1633" s="301"/>
      <c r="F1633" s="232"/>
      <c r="J1633" s="306"/>
      <c r="K1633" s="306"/>
      <c r="L1633" s="313"/>
      <c r="M1633" s="219"/>
      <c r="N1633" s="218"/>
      <c r="S1633" s="224"/>
      <c r="T1633" s="228"/>
      <c r="U1633" s="226"/>
      <c r="V1633" s="226"/>
      <c r="W1633" s="303"/>
      <c r="X1633" s="220"/>
      <c r="Z1633" s="227"/>
      <c r="AA1633" s="220"/>
      <c r="AB1633" s="221"/>
      <c r="AC1633" s="229"/>
      <c r="AD1633" s="230"/>
      <c r="AE1633" s="230"/>
      <c r="AF1633" s="230"/>
      <c r="AG1633" s="227"/>
    </row>
    <row r="1634" spans="1:33" x14ac:dyDescent="0.25">
      <c r="A1634" s="32"/>
      <c r="B1634" s="306"/>
      <c r="C1634" s="307"/>
      <c r="D1634" s="312"/>
      <c r="E1634" s="301"/>
      <c r="F1634" s="232"/>
      <c r="J1634" s="306"/>
      <c r="K1634" s="306"/>
      <c r="L1634" s="313"/>
      <c r="M1634" s="219"/>
      <c r="N1634" s="218"/>
      <c r="S1634" s="224"/>
      <c r="T1634" s="228"/>
      <c r="U1634" s="226"/>
      <c r="V1634" s="226"/>
      <c r="W1634" s="303"/>
      <c r="X1634" s="220"/>
      <c r="Z1634" s="227"/>
      <c r="AA1634" s="220"/>
      <c r="AB1634" s="221"/>
      <c r="AC1634" s="229"/>
      <c r="AD1634" s="230"/>
      <c r="AE1634" s="230"/>
      <c r="AF1634" s="230"/>
      <c r="AG1634" s="227"/>
    </row>
    <row r="1635" spans="1:33" x14ac:dyDescent="0.25">
      <c r="A1635" s="32"/>
      <c r="B1635" s="306"/>
      <c r="C1635" s="307"/>
      <c r="D1635" s="312"/>
      <c r="E1635" s="301"/>
      <c r="F1635" s="232"/>
      <c r="J1635" s="306"/>
      <c r="K1635" s="306"/>
      <c r="L1635" s="313"/>
      <c r="M1635" s="219"/>
      <c r="N1635" s="218"/>
      <c r="S1635" s="224"/>
      <c r="T1635" s="228"/>
      <c r="U1635" s="226"/>
      <c r="V1635" s="226"/>
      <c r="W1635" s="303"/>
      <c r="X1635" s="220"/>
      <c r="Z1635" s="227"/>
      <c r="AA1635" s="220"/>
      <c r="AB1635" s="221"/>
      <c r="AC1635" s="229"/>
      <c r="AD1635" s="230"/>
      <c r="AE1635" s="230"/>
      <c r="AF1635" s="230"/>
      <c r="AG1635" s="227"/>
    </row>
    <row r="1636" spans="1:33" x14ac:dyDescent="0.25">
      <c r="A1636" s="32"/>
      <c r="B1636" s="306"/>
      <c r="C1636" s="307"/>
      <c r="D1636" s="312"/>
      <c r="E1636" s="301"/>
      <c r="F1636" s="232"/>
      <c r="J1636" s="306"/>
      <c r="K1636" s="306"/>
      <c r="L1636" s="313"/>
      <c r="M1636" s="219"/>
      <c r="N1636" s="218"/>
      <c r="S1636" s="224"/>
      <c r="T1636" s="228"/>
      <c r="U1636" s="226"/>
      <c r="V1636" s="226"/>
      <c r="W1636" s="303"/>
      <c r="X1636" s="220"/>
      <c r="Z1636" s="227"/>
      <c r="AA1636" s="220"/>
      <c r="AB1636" s="221"/>
      <c r="AC1636" s="229"/>
      <c r="AD1636" s="230"/>
      <c r="AE1636" s="230"/>
      <c r="AF1636" s="230"/>
      <c r="AG1636" s="227"/>
    </row>
    <row r="1637" spans="1:33" x14ac:dyDescent="0.25">
      <c r="A1637" s="32"/>
      <c r="B1637" s="306"/>
      <c r="C1637" s="307"/>
      <c r="D1637" s="312"/>
      <c r="E1637" s="301"/>
      <c r="F1637" s="232"/>
      <c r="J1637" s="306"/>
      <c r="K1637" s="306"/>
      <c r="L1637" s="313"/>
      <c r="M1637" s="219"/>
      <c r="N1637" s="218"/>
      <c r="S1637" s="224"/>
      <c r="T1637" s="228"/>
      <c r="U1637" s="226"/>
      <c r="V1637" s="226"/>
      <c r="W1637" s="303"/>
      <c r="X1637" s="220"/>
      <c r="Z1637" s="227"/>
      <c r="AA1637" s="220"/>
      <c r="AB1637" s="221"/>
      <c r="AC1637" s="229"/>
      <c r="AD1637" s="230"/>
      <c r="AE1637" s="230"/>
      <c r="AF1637" s="230"/>
      <c r="AG1637" s="227"/>
    </row>
    <row r="1638" spans="1:33" x14ac:dyDescent="0.25">
      <c r="A1638" s="32"/>
      <c r="B1638" s="306"/>
      <c r="C1638" s="307"/>
      <c r="D1638" s="312"/>
      <c r="E1638" s="301"/>
      <c r="F1638" s="232"/>
      <c r="J1638" s="306"/>
      <c r="K1638" s="306"/>
      <c r="L1638" s="313"/>
      <c r="M1638" s="219"/>
      <c r="N1638" s="218"/>
      <c r="S1638" s="224"/>
      <c r="T1638" s="228"/>
      <c r="U1638" s="226"/>
      <c r="V1638" s="226"/>
      <c r="W1638" s="303"/>
      <c r="X1638" s="220"/>
      <c r="Z1638" s="227"/>
      <c r="AA1638" s="220"/>
      <c r="AB1638" s="221"/>
      <c r="AC1638" s="229"/>
      <c r="AD1638" s="230"/>
      <c r="AE1638" s="230"/>
      <c r="AF1638" s="230"/>
      <c r="AG1638" s="227"/>
    </row>
    <row r="1639" spans="1:33" x14ac:dyDescent="0.25">
      <c r="A1639" s="32"/>
      <c r="B1639" s="306"/>
      <c r="C1639" s="307"/>
      <c r="D1639" s="312"/>
      <c r="E1639" s="301"/>
      <c r="F1639" s="232"/>
      <c r="J1639" s="306"/>
      <c r="K1639" s="306"/>
      <c r="L1639" s="313"/>
      <c r="M1639" s="219"/>
      <c r="N1639" s="218"/>
      <c r="S1639" s="224"/>
      <c r="T1639" s="228"/>
      <c r="U1639" s="226"/>
      <c r="V1639" s="226"/>
      <c r="W1639" s="303"/>
      <c r="X1639" s="220"/>
      <c r="Z1639" s="227"/>
      <c r="AA1639" s="220"/>
      <c r="AB1639" s="221"/>
      <c r="AC1639" s="229"/>
      <c r="AD1639" s="230"/>
      <c r="AE1639" s="230"/>
      <c r="AF1639" s="230"/>
      <c r="AG1639" s="227"/>
    </row>
    <row r="1640" spans="1:33" x14ac:dyDescent="0.25">
      <c r="A1640" s="32"/>
      <c r="B1640" s="306"/>
      <c r="C1640" s="307"/>
      <c r="D1640" s="312"/>
      <c r="E1640" s="301"/>
      <c r="F1640" s="232"/>
      <c r="J1640" s="306"/>
      <c r="K1640" s="306"/>
      <c r="L1640" s="313"/>
      <c r="M1640" s="219"/>
      <c r="N1640" s="218"/>
      <c r="S1640" s="224"/>
      <c r="T1640" s="228"/>
      <c r="U1640" s="226"/>
      <c r="V1640" s="226"/>
      <c r="W1640" s="303"/>
      <c r="X1640" s="220"/>
      <c r="Z1640" s="227"/>
      <c r="AA1640" s="220"/>
      <c r="AB1640" s="221"/>
      <c r="AC1640" s="229"/>
      <c r="AD1640" s="230"/>
      <c r="AE1640" s="230"/>
      <c r="AF1640" s="230"/>
      <c r="AG1640" s="227"/>
    </row>
    <row r="1641" spans="1:33" x14ac:dyDescent="0.25">
      <c r="A1641" s="32"/>
      <c r="B1641" s="306"/>
      <c r="C1641" s="307"/>
      <c r="D1641" s="312"/>
      <c r="E1641" s="301"/>
      <c r="F1641" s="232"/>
      <c r="J1641" s="306"/>
      <c r="K1641" s="306"/>
      <c r="L1641" s="313"/>
      <c r="M1641" s="219"/>
      <c r="N1641" s="218"/>
      <c r="S1641" s="224"/>
      <c r="T1641" s="228"/>
      <c r="U1641" s="226"/>
      <c r="V1641" s="226"/>
      <c r="W1641" s="303"/>
      <c r="X1641" s="220"/>
      <c r="Z1641" s="227"/>
      <c r="AA1641" s="220"/>
      <c r="AB1641" s="221"/>
      <c r="AC1641" s="229"/>
      <c r="AD1641" s="230"/>
      <c r="AE1641" s="230"/>
      <c r="AF1641" s="230"/>
      <c r="AG1641" s="227"/>
    </row>
    <row r="1642" spans="1:33" x14ac:dyDescent="0.25">
      <c r="A1642" s="32"/>
      <c r="B1642" s="306"/>
      <c r="C1642" s="307"/>
      <c r="D1642" s="312"/>
      <c r="E1642" s="301"/>
      <c r="F1642" s="232"/>
      <c r="J1642" s="306"/>
      <c r="K1642" s="306"/>
      <c r="L1642" s="313"/>
      <c r="M1642" s="219"/>
      <c r="N1642" s="218"/>
      <c r="S1642" s="224"/>
      <c r="T1642" s="228"/>
      <c r="U1642" s="226"/>
      <c r="V1642" s="226"/>
      <c r="W1642" s="303"/>
      <c r="X1642" s="220"/>
      <c r="Z1642" s="227"/>
      <c r="AA1642" s="220"/>
      <c r="AB1642" s="221"/>
      <c r="AC1642" s="229"/>
      <c r="AD1642" s="230"/>
      <c r="AE1642" s="230"/>
      <c r="AF1642" s="230"/>
      <c r="AG1642" s="227"/>
    </row>
    <row r="1643" spans="1:33" x14ac:dyDescent="0.25">
      <c r="A1643" s="32"/>
      <c r="B1643" s="306"/>
      <c r="C1643" s="307"/>
      <c r="D1643" s="312"/>
      <c r="E1643" s="301"/>
      <c r="F1643" s="232"/>
      <c r="J1643" s="306"/>
      <c r="K1643" s="306"/>
      <c r="L1643" s="313"/>
      <c r="M1643" s="219"/>
      <c r="N1643" s="218"/>
      <c r="S1643" s="224"/>
      <c r="T1643" s="228"/>
      <c r="U1643" s="226"/>
      <c r="V1643" s="226"/>
      <c r="W1643" s="303"/>
      <c r="X1643" s="220"/>
      <c r="Z1643" s="227"/>
      <c r="AA1643" s="220"/>
      <c r="AB1643" s="221"/>
      <c r="AC1643" s="229"/>
      <c r="AD1643" s="230"/>
      <c r="AE1643" s="230"/>
      <c r="AF1643" s="230"/>
      <c r="AG1643" s="227"/>
    </row>
    <row r="1644" spans="1:33" x14ac:dyDescent="0.25">
      <c r="A1644" s="32"/>
      <c r="B1644" s="306"/>
      <c r="C1644" s="307"/>
      <c r="D1644" s="312"/>
      <c r="E1644" s="301"/>
      <c r="F1644" s="232"/>
      <c r="J1644" s="306"/>
      <c r="K1644" s="306"/>
      <c r="L1644" s="313"/>
      <c r="M1644" s="219"/>
      <c r="N1644" s="218"/>
      <c r="S1644" s="224"/>
      <c r="T1644" s="228"/>
      <c r="U1644" s="226"/>
      <c r="V1644" s="226"/>
      <c r="W1644" s="303"/>
      <c r="X1644" s="220"/>
      <c r="Z1644" s="227"/>
      <c r="AA1644" s="220"/>
      <c r="AB1644" s="221"/>
      <c r="AC1644" s="229"/>
      <c r="AD1644" s="230"/>
      <c r="AE1644" s="230"/>
      <c r="AF1644" s="230"/>
      <c r="AG1644" s="227"/>
    </row>
    <row r="1645" spans="1:33" x14ac:dyDescent="0.25">
      <c r="A1645" s="32"/>
      <c r="B1645" s="306"/>
      <c r="C1645" s="307"/>
      <c r="D1645" s="312"/>
      <c r="E1645" s="301"/>
      <c r="F1645" s="232"/>
      <c r="J1645" s="306"/>
      <c r="K1645" s="306"/>
      <c r="L1645" s="313"/>
      <c r="M1645" s="219"/>
      <c r="N1645" s="218"/>
      <c r="S1645" s="224"/>
      <c r="T1645" s="228"/>
      <c r="U1645" s="226"/>
      <c r="V1645" s="226"/>
      <c r="W1645" s="303"/>
      <c r="X1645" s="220"/>
      <c r="Z1645" s="227"/>
      <c r="AA1645" s="220"/>
      <c r="AB1645" s="221"/>
      <c r="AC1645" s="229"/>
      <c r="AD1645" s="230"/>
      <c r="AE1645" s="230"/>
      <c r="AF1645" s="230"/>
      <c r="AG1645" s="227"/>
    </row>
    <row r="1646" spans="1:33" x14ac:dyDescent="0.25">
      <c r="A1646" s="32"/>
      <c r="B1646" s="306"/>
      <c r="C1646" s="307"/>
      <c r="D1646" s="312"/>
      <c r="E1646" s="301"/>
      <c r="F1646" s="232"/>
      <c r="J1646" s="306"/>
      <c r="K1646" s="306"/>
      <c r="L1646" s="313"/>
      <c r="M1646" s="219"/>
      <c r="N1646" s="218"/>
      <c r="S1646" s="224"/>
      <c r="T1646" s="228"/>
      <c r="U1646" s="226"/>
      <c r="V1646" s="226"/>
      <c r="W1646" s="303"/>
      <c r="X1646" s="220"/>
      <c r="Z1646" s="227"/>
      <c r="AA1646" s="220"/>
      <c r="AB1646" s="221"/>
      <c r="AC1646" s="229"/>
      <c r="AD1646" s="230"/>
      <c r="AE1646" s="230"/>
      <c r="AF1646" s="230"/>
      <c r="AG1646" s="227"/>
    </row>
    <row r="1647" spans="1:33" x14ac:dyDescent="0.25">
      <c r="A1647" s="32"/>
      <c r="B1647" s="306"/>
      <c r="C1647" s="307"/>
      <c r="D1647" s="312"/>
      <c r="E1647" s="301"/>
      <c r="F1647" s="232"/>
      <c r="J1647" s="306"/>
      <c r="K1647" s="306"/>
      <c r="L1647" s="313"/>
      <c r="M1647" s="219"/>
      <c r="N1647" s="218"/>
      <c r="S1647" s="224"/>
      <c r="T1647" s="228"/>
      <c r="U1647" s="226"/>
      <c r="V1647" s="226"/>
      <c r="W1647" s="303"/>
      <c r="X1647" s="220"/>
      <c r="Z1647" s="227"/>
      <c r="AA1647" s="220"/>
      <c r="AB1647" s="221"/>
      <c r="AC1647" s="229"/>
      <c r="AD1647" s="230"/>
      <c r="AE1647" s="230"/>
      <c r="AF1647" s="230"/>
      <c r="AG1647" s="227"/>
    </row>
    <row r="1648" spans="1:33" x14ac:dyDescent="0.25">
      <c r="A1648" s="32"/>
      <c r="B1648" s="306"/>
      <c r="C1648" s="307"/>
      <c r="D1648" s="312"/>
      <c r="E1648" s="301"/>
      <c r="F1648" s="232"/>
      <c r="J1648" s="306"/>
      <c r="K1648" s="306"/>
      <c r="L1648" s="313"/>
      <c r="M1648" s="219"/>
      <c r="N1648" s="218"/>
      <c r="S1648" s="224"/>
      <c r="T1648" s="228"/>
      <c r="U1648" s="226"/>
      <c r="V1648" s="226"/>
      <c r="W1648" s="303"/>
      <c r="X1648" s="220"/>
      <c r="Z1648" s="227"/>
      <c r="AA1648" s="220"/>
      <c r="AB1648" s="221"/>
      <c r="AC1648" s="229"/>
      <c r="AD1648" s="230"/>
      <c r="AE1648" s="230"/>
      <c r="AF1648" s="230"/>
      <c r="AG1648" s="227"/>
    </row>
    <row r="1649" spans="1:33" x14ac:dyDescent="0.25">
      <c r="A1649" s="32"/>
      <c r="B1649" s="306"/>
      <c r="C1649" s="307"/>
      <c r="D1649" s="312"/>
      <c r="E1649" s="301"/>
      <c r="F1649" s="232"/>
      <c r="J1649" s="306"/>
      <c r="K1649" s="306"/>
      <c r="L1649" s="313"/>
      <c r="M1649" s="219"/>
      <c r="N1649" s="218"/>
      <c r="S1649" s="224"/>
      <c r="T1649" s="228"/>
      <c r="U1649" s="226"/>
      <c r="V1649" s="226"/>
      <c r="W1649" s="303"/>
      <c r="X1649" s="220"/>
      <c r="Z1649" s="227"/>
      <c r="AA1649" s="220"/>
      <c r="AB1649" s="221"/>
      <c r="AC1649" s="229"/>
      <c r="AD1649" s="230"/>
      <c r="AE1649" s="230"/>
      <c r="AF1649" s="230"/>
      <c r="AG1649" s="227"/>
    </row>
    <row r="1650" spans="1:33" x14ac:dyDescent="0.25">
      <c r="A1650" s="32"/>
      <c r="B1650" s="306"/>
      <c r="C1650" s="307"/>
      <c r="D1650" s="312"/>
      <c r="E1650" s="301"/>
      <c r="F1650" s="232"/>
      <c r="J1650" s="306"/>
      <c r="K1650" s="306"/>
      <c r="L1650" s="313"/>
      <c r="M1650" s="219"/>
      <c r="N1650" s="218"/>
      <c r="S1650" s="224"/>
      <c r="T1650" s="228"/>
      <c r="U1650" s="226"/>
      <c r="V1650" s="226"/>
      <c r="W1650" s="303"/>
      <c r="X1650" s="220"/>
      <c r="Z1650" s="227"/>
      <c r="AA1650" s="220"/>
      <c r="AB1650" s="221"/>
      <c r="AC1650" s="229"/>
      <c r="AD1650" s="230"/>
      <c r="AE1650" s="230"/>
      <c r="AF1650" s="230"/>
      <c r="AG1650" s="227"/>
    </row>
    <row r="1651" spans="1:33" x14ac:dyDescent="0.25">
      <c r="A1651" s="32"/>
      <c r="B1651" s="306"/>
      <c r="C1651" s="307"/>
      <c r="D1651" s="312"/>
      <c r="E1651" s="301"/>
      <c r="F1651" s="232"/>
      <c r="J1651" s="306"/>
      <c r="K1651" s="306"/>
      <c r="L1651" s="313"/>
      <c r="M1651" s="219"/>
      <c r="N1651" s="218"/>
      <c r="S1651" s="224"/>
      <c r="T1651" s="228"/>
      <c r="U1651" s="226"/>
      <c r="V1651" s="226"/>
      <c r="W1651" s="303"/>
      <c r="X1651" s="220"/>
      <c r="Z1651" s="227"/>
      <c r="AA1651" s="220"/>
      <c r="AB1651" s="221"/>
      <c r="AC1651" s="229"/>
      <c r="AD1651" s="230"/>
      <c r="AE1651" s="230"/>
      <c r="AF1651" s="230"/>
      <c r="AG1651" s="227"/>
    </row>
    <row r="1652" spans="1:33" x14ac:dyDescent="0.25">
      <c r="A1652" s="32"/>
      <c r="B1652" s="306"/>
      <c r="C1652" s="307"/>
      <c r="D1652" s="312"/>
      <c r="E1652" s="301"/>
      <c r="F1652" s="232"/>
      <c r="J1652" s="306"/>
      <c r="K1652" s="306"/>
      <c r="L1652" s="313"/>
      <c r="M1652" s="219"/>
      <c r="N1652" s="218"/>
      <c r="S1652" s="224"/>
      <c r="T1652" s="228"/>
      <c r="U1652" s="226"/>
      <c r="V1652" s="226"/>
      <c r="W1652" s="303"/>
      <c r="X1652" s="220"/>
      <c r="Z1652" s="227"/>
      <c r="AA1652" s="220"/>
      <c r="AB1652" s="221"/>
      <c r="AC1652" s="229"/>
      <c r="AD1652" s="230"/>
      <c r="AE1652" s="230"/>
      <c r="AF1652" s="230"/>
      <c r="AG1652" s="227"/>
    </row>
    <row r="1653" spans="1:33" x14ac:dyDescent="0.25">
      <c r="A1653" s="32"/>
      <c r="B1653" s="306"/>
      <c r="C1653" s="307"/>
      <c r="D1653" s="312"/>
      <c r="E1653" s="301"/>
      <c r="F1653" s="232"/>
      <c r="J1653" s="306"/>
      <c r="K1653" s="306"/>
      <c r="L1653" s="313"/>
      <c r="M1653" s="219"/>
      <c r="N1653" s="218"/>
      <c r="S1653" s="224"/>
      <c r="T1653" s="228"/>
      <c r="U1653" s="226"/>
      <c r="V1653" s="226"/>
      <c r="W1653" s="303"/>
      <c r="X1653" s="220"/>
      <c r="Z1653" s="227"/>
      <c r="AA1653" s="220"/>
      <c r="AB1653" s="221"/>
      <c r="AC1653" s="229"/>
      <c r="AD1653" s="230"/>
      <c r="AE1653" s="230"/>
      <c r="AF1653" s="230"/>
      <c r="AG1653" s="227"/>
    </row>
    <row r="1654" spans="1:33" x14ac:dyDescent="0.25">
      <c r="A1654" s="32"/>
      <c r="B1654" s="306"/>
      <c r="C1654" s="307"/>
      <c r="D1654" s="312"/>
      <c r="E1654" s="301"/>
      <c r="F1654" s="232"/>
      <c r="J1654" s="306"/>
      <c r="K1654" s="306"/>
      <c r="L1654" s="313"/>
      <c r="M1654" s="219"/>
      <c r="N1654" s="218"/>
      <c r="S1654" s="224"/>
      <c r="T1654" s="228"/>
      <c r="U1654" s="226"/>
      <c r="V1654" s="226"/>
      <c r="W1654" s="303"/>
      <c r="X1654" s="220"/>
      <c r="Z1654" s="227"/>
      <c r="AA1654" s="220"/>
      <c r="AB1654" s="221"/>
      <c r="AC1654" s="229"/>
      <c r="AD1654" s="230"/>
      <c r="AE1654" s="230"/>
      <c r="AF1654" s="230"/>
      <c r="AG1654" s="227"/>
    </row>
    <row r="1655" spans="1:33" x14ac:dyDescent="0.25">
      <c r="A1655" s="32"/>
      <c r="B1655" s="306"/>
      <c r="C1655" s="307"/>
      <c r="D1655" s="312"/>
      <c r="E1655" s="301"/>
      <c r="F1655" s="232"/>
      <c r="J1655" s="306"/>
      <c r="K1655" s="306"/>
      <c r="L1655" s="313"/>
      <c r="M1655" s="219"/>
      <c r="N1655" s="218"/>
      <c r="S1655" s="224"/>
      <c r="T1655" s="228"/>
      <c r="U1655" s="226"/>
      <c r="V1655" s="226"/>
      <c r="W1655" s="303"/>
      <c r="X1655" s="220"/>
      <c r="Z1655" s="227"/>
      <c r="AA1655" s="220"/>
      <c r="AB1655" s="221"/>
      <c r="AC1655" s="229"/>
      <c r="AD1655" s="230"/>
      <c r="AE1655" s="230"/>
      <c r="AF1655" s="230"/>
      <c r="AG1655" s="227"/>
    </row>
    <row r="1656" spans="1:33" x14ac:dyDescent="0.25">
      <c r="A1656" s="32"/>
      <c r="B1656" s="306"/>
      <c r="C1656" s="307"/>
      <c r="D1656" s="312"/>
      <c r="E1656" s="301"/>
      <c r="F1656" s="232"/>
      <c r="J1656" s="306"/>
      <c r="K1656" s="306"/>
      <c r="L1656" s="313"/>
      <c r="M1656" s="219"/>
      <c r="N1656" s="218"/>
      <c r="S1656" s="224"/>
      <c r="T1656" s="228"/>
      <c r="U1656" s="226"/>
      <c r="V1656" s="226"/>
      <c r="W1656" s="303"/>
      <c r="X1656" s="220"/>
      <c r="Z1656" s="227"/>
      <c r="AA1656" s="220"/>
      <c r="AB1656" s="221"/>
      <c r="AC1656" s="229"/>
      <c r="AD1656" s="230"/>
      <c r="AE1656" s="230"/>
      <c r="AF1656" s="230"/>
      <c r="AG1656" s="227"/>
    </row>
    <row r="1657" spans="1:33" x14ac:dyDescent="0.25">
      <c r="A1657" s="32"/>
      <c r="B1657" s="306"/>
      <c r="C1657" s="307"/>
      <c r="D1657" s="312"/>
      <c r="E1657" s="301"/>
      <c r="F1657" s="232"/>
      <c r="J1657" s="306"/>
      <c r="K1657" s="306"/>
      <c r="L1657" s="313"/>
      <c r="M1657" s="219"/>
      <c r="N1657" s="218"/>
      <c r="S1657" s="224"/>
      <c r="T1657" s="228"/>
      <c r="U1657" s="226"/>
      <c r="V1657" s="226"/>
      <c r="W1657" s="303"/>
      <c r="X1657" s="220"/>
      <c r="Z1657" s="227"/>
      <c r="AA1657" s="220"/>
      <c r="AB1657" s="221"/>
      <c r="AC1657" s="229"/>
      <c r="AD1657" s="230"/>
      <c r="AE1657" s="230"/>
      <c r="AF1657" s="230"/>
      <c r="AG1657" s="227"/>
    </row>
    <row r="1658" spans="1:33" x14ac:dyDescent="0.25">
      <c r="A1658" s="32"/>
      <c r="B1658" s="306"/>
      <c r="C1658" s="307"/>
      <c r="D1658" s="312"/>
      <c r="E1658" s="301"/>
      <c r="F1658" s="232"/>
      <c r="J1658" s="306"/>
      <c r="K1658" s="306"/>
      <c r="L1658" s="313"/>
      <c r="M1658" s="219"/>
      <c r="N1658" s="218"/>
      <c r="S1658" s="224"/>
      <c r="T1658" s="228"/>
      <c r="U1658" s="226"/>
      <c r="V1658" s="226"/>
      <c r="W1658" s="303"/>
      <c r="X1658" s="220"/>
      <c r="Z1658" s="227"/>
      <c r="AA1658" s="220"/>
      <c r="AB1658" s="221"/>
      <c r="AC1658" s="229"/>
      <c r="AD1658" s="230"/>
      <c r="AE1658" s="230"/>
      <c r="AF1658" s="230"/>
      <c r="AG1658" s="227"/>
    </row>
    <row r="1659" spans="1:33" x14ac:dyDescent="0.25">
      <c r="A1659" s="32"/>
      <c r="B1659" s="306"/>
      <c r="C1659" s="307"/>
      <c r="D1659" s="312"/>
      <c r="E1659" s="301"/>
      <c r="F1659" s="232"/>
      <c r="J1659" s="306"/>
      <c r="K1659" s="306"/>
      <c r="L1659" s="313"/>
      <c r="M1659" s="219"/>
      <c r="N1659" s="218"/>
      <c r="S1659" s="224"/>
      <c r="T1659" s="228"/>
      <c r="U1659" s="226"/>
      <c r="V1659" s="226"/>
      <c r="W1659" s="303"/>
      <c r="X1659" s="220"/>
      <c r="Z1659" s="227"/>
      <c r="AA1659" s="220"/>
      <c r="AB1659" s="221"/>
      <c r="AC1659" s="229"/>
      <c r="AD1659" s="230"/>
      <c r="AE1659" s="230"/>
      <c r="AF1659" s="230"/>
      <c r="AG1659" s="227"/>
    </row>
    <row r="1660" spans="1:33" x14ac:dyDescent="0.25">
      <c r="A1660" s="32"/>
      <c r="B1660" s="306"/>
      <c r="C1660" s="307"/>
      <c r="D1660" s="312"/>
      <c r="E1660" s="301"/>
      <c r="F1660" s="232"/>
      <c r="J1660" s="306"/>
      <c r="K1660" s="306"/>
      <c r="L1660" s="313"/>
      <c r="M1660" s="219"/>
      <c r="N1660" s="218"/>
      <c r="S1660" s="224"/>
      <c r="T1660" s="228"/>
      <c r="U1660" s="226"/>
      <c r="V1660" s="226"/>
      <c r="W1660" s="303"/>
      <c r="X1660" s="220"/>
      <c r="Z1660" s="227"/>
      <c r="AA1660" s="220"/>
      <c r="AB1660" s="221"/>
      <c r="AC1660" s="229"/>
      <c r="AD1660" s="230"/>
      <c r="AE1660" s="230"/>
      <c r="AF1660" s="230"/>
      <c r="AG1660" s="227"/>
    </row>
    <row r="1661" spans="1:33" x14ac:dyDescent="0.25">
      <c r="A1661" s="32"/>
      <c r="B1661" s="306"/>
      <c r="C1661" s="307"/>
      <c r="D1661" s="312"/>
      <c r="E1661" s="301"/>
      <c r="F1661" s="232"/>
      <c r="J1661" s="306"/>
      <c r="K1661" s="306"/>
      <c r="L1661" s="313"/>
      <c r="M1661" s="219"/>
      <c r="N1661" s="218"/>
      <c r="S1661" s="224"/>
      <c r="T1661" s="228"/>
      <c r="U1661" s="226"/>
      <c r="V1661" s="226"/>
      <c r="W1661" s="303"/>
      <c r="X1661" s="220"/>
      <c r="Z1661" s="227"/>
      <c r="AA1661" s="220"/>
      <c r="AB1661" s="221"/>
      <c r="AC1661" s="229"/>
      <c r="AD1661" s="230"/>
      <c r="AE1661" s="230"/>
      <c r="AF1661" s="230"/>
      <c r="AG1661" s="227"/>
    </row>
    <row r="1662" spans="1:33" x14ac:dyDescent="0.25">
      <c r="A1662" s="32"/>
      <c r="B1662" s="306"/>
      <c r="C1662" s="307"/>
      <c r="D1662" s="312"/>
      <c r="E1662" s="301"/>
      <c r="F1662" s="232"/>
      <c r="J1662" s="306"/>
      <c r="K1662" s="306"/>
      <c r="L1662" s="313"/>
      <c r="M1662" s="219"/>
      <c r="N1662" s="218"/>
      <c r="S1662" s="224"/>
      <c r="T1662" s="228"/>
      <c r="U1662" s="226"/>
      <c r="V1662" s="226"/>
      <c r="W1662" s="303"/>
      <c r="X1662" s="220"/>
      <c r="Z1662" s="227"/>
      <c r="AA1662" s="220"/>
      <c r="AB1662" s="221"/>
      <c r="AC1662" s="229"/>
      <c r="AD1662" s="230"/>
      <c r="AE1662" s="230"/>
      <c r="AF1662" s="230"/>
      <c r="AG1662" s="227"/>
    </row>
    <row r="1663" spans="1:33" x14ac:dyDescent="0.25">
      <c r="A1663" s="32"/>
      <c r="B1663" s="306"/>
      <c r="C1663" s="307"/>
      <c r="D1663" s="312"/>
      <c r="E1663" s="301"/>
      <c r="F1663" s="232"/>
      <c r="J1663" s="306"/>
      <c r="K1663" s="306"/>
      <c r="L1663" s="313"/>
      <c r="M1663" s="219"/>
      <c r="N1663" s="218"/>
      <c r="S1663" s="224"/>
      <c r="T1663" s="228"/>
      <c r="U1663" s="226"/>
      <c r="V1663" s="226"/>
      <c r="W1663" s="303"/>
      <c r="X1663" s="220"/>
      <c r="Z1663" s="227"/>
      <c r="AA1663" s="220"/>
      <c r="AB1663" s="221"/>
      <c r="AC1663" s="229"/>
      <c r="AD1663" s="230"/>
      <c r="AE1663" s="230"/>
      <c r="AF1663" s="230"/>
      <c r="AG1663" s="227"/>
    </row>
    <row r="1664" spans="1:33" x14ac:dyDescent="0.25">
      <c r="A1664" s="32"/>
      <c r="B1664" s="306"/>
      <c r="C1664" s="307"/>
      <c r="D1664" s="312"/>
      <c r="E1664" s="301"/>
      <c r="F1664" s="232"/>
      <c r="J1664" s="306"/>
      <c r="K1664" s="306"/>
      <c r="L1664" s="313"/>
      <c r="M1664" s="219"/>
      <c r="N1664" s="218"/>
      <c r="S1664" s="224"/>
      <c r="T1664" s="228"/>
      <c r="U1664" s="226"/>
      <c r="V1664" s="226"/>
      <c r="W1664" s="303"/>
      <c r="X1664" s="220"/>
      <c r="Z1664" s="227"/>
      <c r="AA1664" s="220"/>
      <c r="AB1664" s="221"/>
      <c r="AC1664" s="229"/>
      <c r="AD1664" s="230"/>
      <c r="AE1664" s="230"/>
      <c r="AF1664" s="230"/>
      <c r="AG1664" s="227"/>
    </row>
    <row r="1665" spans="1:33" x14ac:dyDescent="0.25">
      <c r="A1665" s="32"/>
      <c r="B1665" s="306"/>
      <c r="C1665" s="307"/>
      <c r="D1665" s="312"/>
      <c r="E1665" s="301"/>
      <c r="F1665" s="232"/>
      <c r="J1665" s="306"/>
      <c r="K1665" s="306"/>
      <c r="L1665" s="313"/>
      <c r="M1665" s="219"/>
      <c r="N1665" s="218"/>
      <c r="S1665" s="224"/>
      <c r="T1665" s="228"/>
      <c r="U1665" s="226"/>
      <c r="V1665" s="226"/>
      <c r="W1665" s="303"/>
      <c r="X1665" s="220"/>
      <c r="Z1665" s="227"/>
      <c r="AA1665" s="220"/>
      <c r="AB1665" s="221"/>
      <c r="AC1665" s="229"/>
      <c r="AD1665" s="230"/>
      <c r="AE1665" s="230"/>
      <c r="AF1665" s="230"/>
      <c r="AG1665" s="227"/>
    </row>
    <row r="1666" spans="1:33" x14ac:dyDescent="0.25">
      <c r="A1666" s="32"/>
      <c r="B1666" s="306"/>
      <c r="C1666" s="307"/>
      <c r="D1666" s="312"/>
      <c r="E1666" s="301"/>
      <c r="F1666" s="232"/>
      <c r="J1666" s="306"/>
      <c r="K1666" s="306"/>
      <c r="L1666" s="313"/>
      <c r="M1666" s="219"/>
      <c r="N1666" s="218"/>
      <c r="S1666" s="224"/>
      <c r="T1666" s="228"/>
      <c r="U1666" s="226"/>
      <c r="V1666" s="226"/>
      <c r="W1666" s="303"/>
      <c r="X1666" s="220"/>
      <c r="Z1666" s="227"/>
      <c r="AA1666" s="220"/>
      <c r="AB1666" s="221"/>
      <c r="AC1666" s="229"/>
      <c r="AD1666" s="230"/>
      <c r="AE1666" s="230"/>
      <c r="AF1666" s="230"/>
      <c r="AG1666" s="227"/>
    </row>
    <row r="1667" spans="1:33" x14ac:dyDescent="0.25">
      <c r="A1667" s="32"/>
      <c r="B1667" s="306"/>
      <c r="C1667" s="307"/>
      <c r="D1667" s="312"/>
      <c r="E1667" s="301"/>
      <c r="F1667" s="232"/>
      <c r="J1667" s="306"/>
      <c r="K1667" s="306"/>
      <c r="L1667" s="313"/>
      <c r="M1667" s="219"/>
      <c r="N1667" s="218"/>
      <c r="S1667" s="224"/>
      <c r="T1667" s="228"/>
      <c r="U1667" s="226"/>
      <c r="V1667" s="226"/>
      <c r="W1667" s="303"/>
      <c r="X1667" s="220"/>
      <c r="Z1667" s="227"/>
      <c r="AA1667" s="220"/>
      <c r="AB1667" s="221"/>
      <c r="AC1667" s="229"/>
      <c r="AD1667" s="230"/>
      <c r="AE1667" s="230"/>
      <c r="AF1667" s="230"/>
      <c r="AG1667" s="227"/>
    </row>
    <row r="1668" spans="1:33" x14ac:dyDescent="0.25">
      <c r="A1668" s="32"/>
      <c r="B1668" s="306"/>
      <c r="C1668" s="307"/>
      <c r="D1668" s="312"/>
      <c r="E1668" s="301"/>
      <c r="F1668" s="232"/>
      <c r="J1668" s="306"/>
      <c r="K1668" s="306"/>
      <c r="L1668" s="313"/>
      <c r="M1668" s="219"/>
      <c r="N1668" s="218"/>
      <c r="S1668" s="224"/>
      <c r="T1668" s="228"/>
      <c r="U1668" s="226"/>
      <c r="V1668" s="226"/>
      <c r="W1668" s="303"/>
      <c r="X1668" s="220"/>
      <c r="Z1668" s="227"/>
      <c r="AA1668" s="220"/>
      <c r="AB1668" s="221"/>
      <c r="AC1668" s="229"/>
      <c r="AD1668" s="230"/>
      <c r="AE1668" s="230"/>
      <c r="AF1668" s="230"/>
      <c r="AG1668" s="227"/>
    </row>
    <row r="1669" spans="1:33" x14ac:dyDescent="0.25">
      <c r="A1669" s="32"/>
      <c r="B1669" s="306"/>
      <c r="C1669" s="307"/>
      <c r="D1669" s="312"/>
      <c r="E1669" s="301"/>
      <c r="F1669" s="232"/>
      <c r="J1669" s="306"/>
      <c r="K1669" s="306"/>
      <c r="L1669" s="313"/>
      <c r="M1669" s="219"/>
      <c r="N1669" s="218"/>
      <c r="S1669" s="224"/>
      <c r="T1669" s="228"/>
      <c r="U1669" s="226"/>
      <c r="V1669" s="226"/>
      <c r="W1669" s="303"/>
      <c r="X1669" s="220"/>
      <c r="Z1669" s="227"/>
      <c r="AA1669" s="220"/>
      <c r="AB1669" s="221"/>
      <c r="AC1669" s="229"/>
      <c r="AD1669" s="230"/>
      <c r="AE1669" s="230"/>
      <c r="AF1669" s="230"/>
      <c r="AG1669" s="227"/>
    </row>
    <row r="1670" spans="1:33" x14ac:dyDescent="0.25">
      <c r="A1670" s="32"/>
      <c r="B1670" s="306"/>
      <c r="C1670" s="307"/>
      <c r="D1670" s="312"/>
      <c r="E1670" s="301"/>
      <c r="F1670" s="232"/>
      <c r="J1670" s="306"/>
      <c r="K1670" s="306"/>
      <c r="L1670" s="313"/>
      <c r="M1670" s="219"/>
      <c r="N1670" s="218"/>
      <c r="S1670" s="224"/>
      <c r="T1670" s="228"/>
      <c r="U1670" s="226"/>
      <c r="V1670" s="226"/>
      <c r="W1670" s="303"/>
      <c r="X1670" s="220"/>
      <c r="Z1670" s="227"/>
      <c r="AA1670" s="220"/>
      <c r="AB1670" s="221"/>
      <c r="AC1670" s="229"/>
      <c r="AD1670" s="230"/>
      <c r="AE1670" s="230"/>
      <c r="AF1670" s="230"/>
      <c r="AG1670" s="227"/>
    </row>
    <row r="1671" spans="1:33" x14ac:dyDescent="0.25">
      <c r="A1671" s="32"/>
      <c r="B1671" s="306"/>
      <c r="C1671" s="307"/>
      <c r="D1671" s="312"/>
      <c r="E1671" s="301"/>
      <c r="F1671" s="232"/>
      <c r="J1671" s="306"/>
      <c r="K1671" s="306"/>
      <c r="L1671" s="313"/>
      <c r="M1671" s="219"/>
      <c r="N1671" s="218"/>
      <c r="S1671" s="224"/>
      <c r="T1671" s="228"/>
      <c r="U1671" s="226"/>
      <c r="V1671" s="226"/>
      <c r="W1671" s="303"/>
      <c r="X1671" s="220"/>
      <c r="Z1671" s="227"/>
      <c r="AA1671" s="220"/>
      <c r="AB1671" s="221"/>
      <c r="AC1671" s="229"/>
      <c r="AD1671" s="230"/>
      <c r="AE1671" s="230"/>
      <c r="AF1671" s="230"/>
      <c r="AG1671" s="227"/>
    </row>
    <row r="1672" spans="1:33" x14ac:dyDescent="0.25">
      <c r="A1672" s="32"/>
      <c r="B1672" s="306"/>
      <c r="C1672" s="307"/>
      <c r="D1672" s="312"/>
      <c r="E1672" s="301"/>
      <c r="F1672" s="232"/>
      <c r="J1672" s="306"/>
      <c r="K1672" s="306"/>
      <c r="L1672" s="313"/>
      <c r="M1672" s="219"/>
      <c r="N1672" s="218"/>
      <c r="S1672" s="224"/>
      <c r="T1672" s="228"/>
      <c r="U1672" s="226"/>
      <c r="V1672" s="226"/>
      <c r="W1672" s="303"/>
      <c r="X1672" s="220"/>
      <c r="Z1672" s="227"/>
      <c r="AA1672" s="220"/>
      <c r="AB1672" s="221"/>
      <c r="AC1672" s="229"/>
      <c r="AD1672" s="230"/>
      <c r="AE1672" s="230"/>
      <c r="AF1672" s="230"/>
      <c r="AG1672" s="227"/>
    </row>
    <row r="1673" spans="1:33" x14ac:dyDescent="0.25">
      <c r="A1673" s="32"/>
      <c r="B1673" s="306"/>
      <c r="C1673" s="307"/>
      <c r="D1673" s="312"/>
      <c r="E1673" s="301"/>
      <c r="F1673" s="232"/>
      <c r="J1673" s="306"/>
      <c r="K1673" s="306"/>
      <c r="L1673" s="313"/>
      <c r="M1673" s="219"/>
      <c r="N1673" s="218"/>
      <c r="S1673" s="224"/>
      <c r="T1673" s="228"/>
      <c r="U1673" s="226"/>
      <c r="V1673" s="226"/>
      <c r="W1673" s="303"/>
      <c r="X1673" s="220"/>
      <c r="Z1673" s="227"/>
      <c r="AA1673" s="220"/>
      <c r="AB1673" s="221"/>
      <c r="AC1673" s="229"/>
      <c r="AD1673" s="230"/>
      <c r="AE1673" s="230"/>
      <c r="AF1673" s="230"/>
      <c r="AG1673" s="227"/>
    </row>
    <row r="1674" spans="1:33" x14ac:dyDescent="0.25">
      <c r="A1674" s="32"/>
      <c r="B1674" s="306"/>
      <c r="C1674" s="307"/>
      <c r="D1674" s="312"/>
      <c r="E1674" s="301"/>
      <c r="F1674" s="232"/>
      <c r="J1674" s="306"/>
      <c r="K1674" s="306"/>
      <c r="L1674" s="313"/>
      <c r="M1674" s="219"/>
      <c r="N1674" s="218"/>
      <c r="S1674" s="224"/>
      <c r="T1674" s="228"/>
      <c r="U1674" s="226"/>
      <c r="V1674" s="226"/>
      <c r="W1674" s="303"/>
      <c r="X1674" s="220"/>
      <c r="Z1674" s="227"/>
      <c r="AA1674" s="220"/>
      <c r="AB1674" s="221"/>
      <c r="AC1674" s="229"/>
      <c r="AD1674" s="230"/>
      <c r="AE1674" s="230"/>
      <c r="AF1674" s="230"/>
      <c r="AG1674" s="227"/>
    </row>
    <row r="1675" spans="1:33" x14ac:dyDescent="0.25">
      <c r="A1675" s="32"/>
      <c r="B1675" s="306"/>
      <c r="C1675" s="307"/>
      <c r="D1675" s="312"/>
      <c r="E1675" s="301"/>
      <c r="F1675" s="232"/>
      <c r="J1675" s="306"/>
      <c r="K1675" s="306"/>
      <c r="L1675" s="313"/>
      <c r="M1675" s="219"/>
      <c r="N1675" s="218"/>
      <c r="S1675" s="224"/>
      <c r="T1675" s="228"/>
      <c r="U1675" s="226"/>
      <c r="V1675" s="226"/>
      <c r="W1675" s="303"/>
      <c r="X1675" s="220"/>
      <c r="Z1675" s="227"/>
      <c r="AA1675" s="220"/>
      <c r="AB1675" s="221"/>
      <c r="AC1675" s="229"/>
      <c r="AD1675" s="230"/>
      <c r="AE1675" s="230"/>
      <c r="AF1675" s="230"/>
      <c r="AG1675" s="227"/>
    </row>
    <row r="1676" spans="1:33" x14ac:dyDescent="0.25">
      <c r="A1676" s="32"/>
      <c r="B1676" s="306"/>
      <c r="C1676" s="307"/>
      <c r="D1676" s="312"/>
      <c r="E1676" s="301"/>
      <c r="F1676" s="232"/>
      <c r="J1676" s="306"/>
      <c r="K1676" s="306"/>
      <c r="L1676" s="313"/>
      <c r="M1676" s="219"/>
      <c r="N1676" s="218"/>
      <c r="S1676" s="224"/>
      <c r="T1676" s="228"/>
      <c r="U1676" s="226"/>
      <c r="V1676" s="226"/>
      <c r="W1676" s="303"/>
      <c r="X1676" s="220"/>
      <c r="Z1676" s="227"/>
      <c r="AA1676" s="220"/>
      <c r="AB1676" s="221"/>
      <c r="AC1676" s="229"/>
      <c r="AD1676" s="230"/>
      <c r="AE1676" s="230"/>
      <c r="AF1676" s="230"/>
      <c r="AG1676" s="227"/>
    </row>
    <row r="1677" spans="1:33" x14ac:dyDescent="0.25">
      <c r="A1677" s="32"/>
      <c r="B1677" s="306"/>
      <c r="C1677" s="307"/>
      <c r="D1677" s="312"/>
      <c r="E1677" s="301"/>
      <c r="F1677" s="232"/>
      <c r="J1677" s="306"/>
      <c r="K1677" s="306"/>
      <c r="L1677" s="313"/>
      <c r="M1677" s="219"/>
      <c r="N1677" s="218"/>
      <c r="S1677" s="224"/>
      <c r="T1677" s="228"/>
      <c r="U1677" s="226"/>
      <c r="V1677" s="226"/>
      <c r="W1677" s="303"/>
      <c r="X1677" s="220"/>
      <c r="Z1677" s="227"/>
      <c r="AA1677" s="220"/>
      <c r="AB1677" s="221"/>
      <c r="AC1677" s="229"/>
      <c r="AD1677" s="230"/>
      <c r="AE1677" s="230"/>
      <c r="AF1677" s="230"/>
      <c r="AG1677" s="227"/>
    </row>
    <row r="1678" spans="1:33" x14ac:dyDescent="0.25">
      <c r="A1678" s="32"/>
      <c r="B1678" s="306"/>
      <c r="C1678" s="307"/>
      <c r="D1678" s="312"/>
      <c r="E1678" s="301"/>
      <c r="F1678" s="232"/>
      <c r="J1678" s="306"/>
      <c r="K1678" s="306"/>
      <c r="L1678" s="313"/>
      <c r="M1678" s="219"/>
      <c r="N1678" s="218"/>
      <c r="S1678" s="224"/>
      <c r="T1678" s="228"/>
      <c r="U1678" s="226"/>
      <c r="V1678" s="226"/>
      <c r="W1678" s="303"/>
      <c r="X1678" s="220"/>
      <c r="Z1678" s="227"/>
      <c r="AA1678" s="220"/>
      <c r="AB1678" s="221"/>
      <c r="AC1678" s="229"/>
      <c r="AD1678" s="230"/>
      <c r="AE1678" s="230"/>
      <c r="AF1678" s="230"/>
      <c r="AG1678" s="227"/>
    </row>
    <row r="1679" spans="1:33" x14ac:dyDescent="0.25">
      <c r="A1679" s="32"/>
      <c r="B1679" s="306"/>
      <c r="C1679" s="307"/>
      <c r="D1679" s="312"/>
      <c r="E1679" s="301"/>
      <c r="F1679" s="232"/>
      <c r="J1679" s="306"/>
      <c r="K1679" s="306"/>
      <c r="L1679" s="313"/>
      <c r="M1679" s="219"/>
      <c r="N1679" s="218"/>
      <c r="S1679" s="224"/>
      <c r="T1679" s="228"/>
      <c r="U1679" s="226"/>
      <c r="V1679" s="226"/>
      <c r="W1679" s="303"/>
      <c r="X1679" s="220"/>
      <c r="Z1679" s="227"/>
      <c r="AA1679" s="220"/>
      <c r="AB1679" s="221"/>
      <c r="AC1679" s="229"/>
      <c r="AD1679" s="230"/>
      <c r="AE1679" s="230"/>
      <c r="AF1679" s="230"/>
      <c r="AG1679" s="227"/>
    </row>
    <row r="1680" spans="1:33" x14ac:dyDescent="0.25">
      <c r="A1680" s="32"/>
      <c r="B1680" s="306"/>
      <c r="C1680" s="307"/>
      <c r="D1680" s="312"/>
      <c r="E1680" s="301"/>
      <c r="F1680" s="232"/>
      <c r="J1680" s="306"/>
      <c r="K1680" s="306"/>
      <c r="L1680" s="313"/>
      <c r="M1680" s="219"/>
      <c r="N1680" s="218"/>
      <c r="S1680" s="224"/>
      <c r="T1680" s="228"/>
      <c r="U1680" s="226"/>
      <c r="V1680" s="226"/>
      <c r="W1680" s="303"/>
      <c r="X1680" s="220"/>
      <c r="Z1680" s="227"/>
      <c r="AA1680" s="220"/>
      <c r="AB1680" s="221"/>
      <c r="AC1680" s="229"/>
      <c r="AD1680" s="230"/>
      <c r="AE1680" s="230"/>
      <c r="AF1680" s="230"/>
      <c r="AG1680" s="227"/>
    </row>
    <row r="1681" spans="1:33" x14ac:dyDescent="0.25">
      <c r="A1681" s="32"/>
      <c r="B1681" s="306"/>
      <c r="C1681" s="307"/>
      <c r="D1681" s="312"/>
      <c r="E1681" s="301"/>
      <c r="F1681" s="232"/>
      <c r="J1681" s="306"/>
      <c r="K1681" s="306"/>
      <c r="L1681" s="313"/>
      <c r="M1681" s="219"/>
      <c r="N1681" s="218"/>
      <c r="S1681" s="224"/>
      <c r="T1681" s="228"/>
      <c r="U1681" s="226"/>
      <c r="V1681" s="226"/>
      <c r="W1681" s="303"/>
      <c r="X1681" s="220"/>
      <c r="Z1681" s="227"/>
      <c r="AA1681" s="220"/>
      <c r="AB1681" s="221"/>
      <c r="AC1681" s="229"/>
      <c r="AD1681" s="230"/>
      <c r="AE1681" s="230"/>
      <c r="AF1681" s="230"/>
      <c r="AG1681" s="227"/>
    </row>
    <row r="1682" spans="1:33" x14ac:dyDescent="0.25">
      <c r="A1682" s="32"/>
      <c r="B1682" s="306"/>
      <c r="C1682" s="307"/>
      <c r="D1682" s="312"/>
      <c r="E1682" s="301"/>
      <c r="F1682" s="232"/>
      <c r="J1682" s="306"/>
      <c r="K1682" s="306"/>
      <c r="L1682" s="313"/>
      <c r="M1682" s="219"/>
      <c r="N1682" s="218"/>
      <c r="S1682" s="224"/>
      <c r="T1682" s="228"/>
      <c r="U1682" s="226"/>
      <c r="V1682" s="226"/>
      <c r="W1682" s="303"/>
      <c r="X1682" s="220"/>
      <c r="Z1682" s="227"/>
      <c r="AA1682" s="220"/>
      <c r="AB1682" s="221"/>
      <c r="AC1682" s="229"/>
      <c r="AD1682" s="230"/>
      <c r="AE1682" s="230"/>
      <c r="AF1682" s="230"/>
      <c r="AG1682" s="227"/>
    </row>
    <row r="1683" spans="1:33" x14ac:dyDescent="0.25">
      <c r="A1683" s="32"/>
      <c r="B1683" s="306"/>
      <c r="C1683" s="307"/>
      <c r="D1683" s="312"/>
      <c r="E1683" s="301"/>
      <c r="F1683" s="232"/>
      <c r="J1683" s="306"/>
      <c r="K1683" s="306"/>
      <c r="L1683" s="313"/>
      <c r="M1683" s="219"/>
      <c r="N1683" s="218"/>
      <c r="S1683" s="224"/>
      <c r="T1683" s="228"/>
      <c r="U1683" s="226"/>
      <c r="V1683" s="226"/>
      <c r="W1683" s="303"/>
      <c r="X1683" s="220"/>
      <c r="Z1683" s="227"/>
      <c r="AA1683" s="220"/>
      <c r="AB1683" s="221"/>
      <c r="AC1683" s="229"/>
      <c r="AD1683" s="230"/>
      <c r="AE1683" s="230"/>
      <c r="AF1683" s="230"/>
      <c r="AG1683" s="227"/>
    </row>
    <row r="1684" spans="1:33" x14ac:dyDescent="0.25">
      <c r="A1684" s="32"/>
      <c r="B1684" s="306"/>
      <c r="C1684" s="307"/>
      <c r="D1684" s="312"/>
      <c r="E1684" s="301"/>
      <c r="F1684" s="232"/>
      <c r="J1684" s="306"/>
      <c r="K1684" s="306"/>
      <c r="L1684" s="313"/>
      <c r="M1684" s="219"/>
      <c r="N1684" s="218"/>
      <c r="S1684" s="224"/>
      <c r="T1684" s="228"/>
      <c r="U1684" s="226"/>
      <c r="V1684" s="226"/>
      <c r="W1684" s="303"/>
      <c r="X1684" s="220"/>
      <c r="Z1684" s="227"/>
      <c r="AA1684" s="220"/>
      <c r="AB1684" s="221"/>
      <c r="AC1684" s="229"/>
      <c r="AD1684" s="230"/>
      <c r="AE1684" s="230"/>
      <c r="AF1684" s="230"/>
      <c r="AG1684" s="227"/>
    </row>
    <row r="1685" spans="1:33" x14ac:dyDescent="0.25">
      <c r="A1685" s="32"/>
      <c r="B1685" s="306"/>
      <c r="C1685" s="307"/>
      <c r="D1685" s="312"/>
      <c r="E1685" s="301"/>
      <c r="F1685" s="232"/>
      <c r="J1685" s="306"/>
      <c r="K1685" s="306"/>
      <c r="L1685" s="313"/>
      <c r="M1685" s="219"/>
      <c r="N1685" s="218"/>
      <c r="S1685" s="224"/>
      <c r="T1685" s="228"/>
      <c r="U1685" s="226"/>
      <c r="V1685" s="226"/>
      <c r="W1685" s="303"/>
      <c r="X1685" s="220"/>
      <c r="Z1685" s="227"/>
      <c r="AA1685" s="220"/>
      <c r="AB1685" s="221"/>
      <c r="AC1685" s="229"/>
      <c r="AD1685" s="230"/>
      <c r="AE1685" s="230"/>
      <c r="AF1685" s="230"/>
      <c r="AG1685" s="227"/>
    </row>
    <row r="1686" spans="1:33" x14ac:dyDescent="0.25">
      <c r="A1686" s="32"/>
      <c r="B1686" s="306"/>
      <c r="C1686" s="307"/>
      <c r="D1686" s="312"/>
      <c r="E1686" s="301"/>
      <c r="F1686" s="232"/>
      <c r="J1686" s="306"/>
      <c r="K1686" s="306"/>
      <c r="L1686" s="313"/>
      <c r="M1686" s="219"/>
      <c r="N1686" s="218"/>
      <c r="S1686" s="224"/>
      <c r="T1686" s="228"/>
      <c r="U1686" s="226"/>
      <c r="V1686" s="226"/>
      <c r="W1686" s="303"/>
      <c r="X1686" s="220"/>
      <c r="Z1686" s="227"/>
      <c r="AA1686" s="220"/>
      <c r="AB1686" s="221"/>
      <c r="AC1686" s="229"/>
      <c r="AD1686" s="230"/>
      <c r="AE1686" s="230"/>
      <c r="AF1686" s="230"/>
      <c r="AG1686" s="227"/>
    </row>
    <row r="1687" spans="1:33" x14ac:dyDescent="0.25">
      <c r="A1687" s="32"/>
      <c r="B1687" s="306"/>
      <c r="C1687" s="307"/>
      <c r="D1687" s="312"/>
      <c r="E1687" s="301"/>
      <c r="F1687" s="232"/>
      <c r="J1687" s="306"/>
      <c r="K1687" s="306"/>
      <c r="L1687" s="313"/>
      <c r="M1687" s="219"/>
      <c r="N1687" s="218"/>
      <c r="S1687" s="224"/>
      <c r="T1687" s="228"/>
      <c r="U1687" s="226"/>
      <c r="V1687" s="226"/>
      <c r="W1687" s="303"/>
      <c r="X1687" s="220"/>
      <c r="Z1687" s="227"/>
      <c r="AA1687" s="220"/>
      <c r="AB1687" s="221"/>
      <c r="AC1687" s="229"/>
      <c r="AD1687" s="230"/>
      <c r="AE1687" s="230"/>
      <c r="AF1687" s="230"/>
      <c r="AG1687" s="227"/>
    </row>
    <row r="1688" spans="1:33" x14ac:dyDescent="0.25">
      <c r="A1688" s="32"/>
      <c r="B1688" s="306"/>
      <c r="C1688" s="307"/>
      <c r="D1688" s="312"/>
      <c r="E1688" s="301"/>
      <c r="F1688" s="232"/>
      <c r="J1688" s="306"/>
      <c r="K1688" s="306"/>
      <c r="L1688" s="313"/>
      <c r="M1688" s="219"/>
      <c r="N1688" s="218"/>
      <c r="S1688" s="224"/>
      <c r="T1688" s="228"/>
      <c r="U1688" s="226"/>
      <c r="V1688" s="226"/>
      <c r="W1688" s="303"/>
      <c r="X1688" s="220"/>
      <c r="Z1688" s="227"/>
      <c r="AA1688" s="220"/>
      <c r="AB1688" s="221"/>
      <c r="AC1688" s="229"/>
      <c r="AD1688" s="230"/>
      <c r="AE1688" s="230"/>
      <c r="AF1688" s="230"/>
      <c r="AG1688" s="227"/>
    </row>
    <row r="1689" spans="1:33" x14ac:dyDescent="0.25">
      <c r="A1689" s="32"/>
      <c r="B1689" s="306"/>
      <c r="C1689" s="307"/>
      <c r="D1689" s="312"/>
      <c r="E1689" s="301"/>
      <c r="F1689" s="232"/>
      <c r="J1689" s="306"/>
      <c r="K1689" s="306"/>
      <c r="L1689" s="313"/>
      <c r="M1689" s="219"/>
      <c r="N1689" s="218"/>
      <c r="S1689" s="224"/>
      <c r="T1689" s="228"/>
      <c r="U1689" s="226"/>
      <c r="V1689" s="226"/>
      <c r="W1689" s="303"/>
      <c r="X1689" s="220"/>
      <c r="Z1689" s="227"/>
      <c r="AA1689" s="220"/>
      <c r="AB1689" s="221"/>
      <c r="AC1689" s="229"/>
      <c r="AD1689" s="230"/>
      <c r="AE1689" s="230"/>
      <c r="AF1689" s="230"/>
      <c r="AG1689" s="227"/>
    </row>
    <row r="1690" spans="1:33" x14ac:dyDescent="0.25">
      <c r="A1690" s="32"/>
      <c r="B1690" s="306"/>
      <c r="C1690" s="307"/>
      <c r="D1690" s="312"/>
      <c r="E1690" s="301"/>
      <c r="F1690" s="232"/>
      <c r="J1690" s="306"/>
      <c r="K1690" s="306"/>
      <c r="L1690" s="313"/>
      <c r="M1690" s="219"/>
      <c r="N1690" s="218"/>
      <c r="S1690" s="224"/>
      <c r="T1690" s="228"/>
      <c r="U1690" s="226"/>
      <c r="V1690" s="226"/>
      <c r="W1690" s="303"/>
      <c r="X1690" s="220"/>
      <c r="Z1690" s="227"/>
      <c r="AA1690" s="220"/>
      <c r="AB1690" s="221"/>
      <c r="AC1690" s="229"/>
      <c r="AD1690" s="230"/>
      <c r="AE1690" s="230"/>
      <c r="AF1690" s="230"/>
      <c r="AG1690" s="227"/>
    </row>
    <row r="1691" spans="1:33" x14ac:dyDescent="0.25">
      <c r="A1691" s="32"/>
      <c r="B1691" s="306"/>
      <c r="C1691" s="307"/>
      <c r="D1691" s="312"/>
      <c r="E1691" s="301"/>
      <c r="F1691" s="232"/>
      <c r="J1691" s="306"/>
      <c r="K1691" s="306"/>
      <c r="L1691" s="313"/>
      <c r="M1691" s="219"/>
      <c r="N1691" s="218"/>
      <c r="S1691" s="224"/>
      <c r="T1691" s="228"/>
      <c r="U1691" s="226"/>
      <c r="V1691" s="226"/>
      <c r="W1691" s="303"/>
      <c r="X1691" s="220"/>
      <c r="Z1691" s="227"/>
      <c r="AA1691" s="220"/>
      <c r="AB1691" s="221"/>
      <c r="AC1691" s="229"/>
      <c r="AD1691" s="230"/>
      <c r="AE1691" s="230"/>
      <c r="AF1691" s="230"/>
      <c r="AG1691" s="227"/>
    </row>
    <row r="1692" spans="1:33" x14ac:dyDescent="0.25">
      <c r="A1692" s="32"/>
      <c r="B1692" s="306"/>
      <c r="C1692" s="307"/>
      <c r="D1692" s="312"/>
      <c r="E1692" s="301"/>
      <c r="F1692" s="232"/>
      <c r="J1692" s="306"/>
      <c r="K1692" s="306"/>
      <c r="L1692" s="313"/>
      <c r="M1692" s="219"/>
      <c r="N1692" s="218"/>
      <c r="S1692" s="224"/>
      <c r="T1692" s="228"/>
      <c r="U1692" s="226"/>
      <c r="V1692" s="226"/>
      <c r="W1692" s="303"/>
      <c r="X1692" s="220"/>
      <c r="Z1692" s="227"/>
      <c r="AA1692" s="220"/>
      <c r="AB1692" s="221"/>
      <c r="AC1692" s="229"/>
      <c r="AD1692" s="230"/>
      <c r="AE1692" s="230"/>
      <c r="AF1692" s="230"/>
      <c r="AG1692" s="227"/>
    </row>
    <row r="1693" spans="1:33" x14ac:dyDescent="0.25">
      <c r="A1693" s="32"/>
      <c r="B1693" s="306"/>
      <c r="C1693" s="307"/>
      <c r="D1693" s="312"/>
      <c r="E1693" s="301"/>
      <c r="F1693" s="232"/>
      <c r="J1693" s="306"/>
      <c r="K1693" s="306"/>
      <c r="L1693" s="313"/>
      <c r="M1693" s="219"/>
      <c r="N1693" s="218"/>
      <c r="S1693" s="224"/>
      <c r="T1693" s="228"/>
      <c r="U1693" s="226"/>
      <c r="V1693" s="226"/>
      <c r="W1693" s="303"/>
      <c r="X1693" s="220"/>
      <c r="Z1693" s="227"/>
      <c r="AA1693" s="220"/>
      <c r="AB1693" s="221"/>
      <c r="AC1693" s="229"/>
      <c r="AD1693" s="230"/>
      <c r="AE1693" s="230"/>
      <c r="AF1693" s="230"/>
      <c r="AG1693" s="227"/>
    </row>
    <row r="1694" spans="1:33" x14ac:dyDescent="0.25">
      <c r="A1694" s="32"/>
      <c r="B1694" s="306"/>
      <c r="C1694" s="307"/>
      <c r="D1694" s="312"/>
      <c r="E1694" s="301"/>
      <c r="F1694" s="232"/>
      <c r="J1694" s="306"/>
      <c r="K1694" s="306"/>
      <c r="L1694" s="313"/>
      <c r="M1694" s="219"/>
      <c r="N1694" s="218"/>
      <c r="S1694" s="224"/>
      <c r="T1694" s="228"/>
      <c r="U1694" s="226"/>
      <c r="V1694" s="226"/>
      <c r="W1694" s="303"/>
      <c r="X1694" s="220"/>
      <c r="Z1694" s="227"/>
      <c r="AA1694" s="220"/>
      <c r="AB1694" s="221"/>
      <c r="AC1694" s="229"/>
      <c r="AD1694" s="230"/>
      <c r="AE1694" s="230"/>
      <c r="AF1694" s="230"/>
      <c r="AG1694" s="227"/>
    </row>
    <row r="1695" spans="1:33" x14ac:dyDescent="0.25">
      <c r="A1695" s="32"/>
      <c r="B1695" s="306"/>
      <c r="C1695" s="307"/>
      <c r="D1695" s="312"/>
      <c r="E1695" s="301"/>
      <c r="F1695" s="232"/>
      <c r="J1695" s="306"/>
      <c r="K1695" s="306"/>
      <c r="L1695" s="313"/>
      <c r="M1695" s="219"/>
      <c r="N1695" s="218"/>
      <c r="S1695" s="224"/>
      <c r="T1695" s="228"/>
      <c r="U1695" s="226"/>
      <c r="V1695" s="226"/>
      <c r="W1695" s="303"/>
      <c r="X1695" s="220"/>
      <c r="Z1695" s="227"/>
      <c r="AA1695" s="220"/>
      <c r="AB1695" s="221"/>
      <c r="AC1695" s="229"/>
      <c r="AD1695" s="230"/>
      <c r="AE1695" s="230"/>
      <c r="AF1695" s="230"/>
      <c r="AG1695" s="227"/>
    </row>
    <row r="1696" spans="1:33" x14ac:dyDescent="0.25">
      <c r="A1696" s="32"/>
      <c r="B1696" s="306"/>
      <c r="C1696" s="307"/>
      <c r="D1696" s="312"/>
      <c r="E1696" s="301"/>
      <c r="F1696" s="232"/>
      <c r="J1696" s="306"/>
      <c r="K1696" s="306"/>
      <c r="L1696" s="313"/>
      <c r="M1696" s="219"/>
      <c r="N1696" s="218"/>
      <c r="S1696" s="224"/>
      <c r="T1696" s="228"/>
      <c r="U1696" s="226"/>
      <c r="V1696" s="226"/>
      <c r="W1696" s="303"/>
      <c r="X1696" s="220"/>
      <c r="Z1696" s="227"/>
      <c r="AA1696" s="220"/>
      <c r="AB1696" s="221"/>
      <c r="AC1696" s="229"/>
      <c r="AD1696" s="230"/>
      <c r="AE1696" s="230"/>
      <c r="AF1696" s="230"/>
      <c r="AG1696" s="227"/>
    </row>
    <row r="1697" spans="1:33" x14ac:dyDescent="0.25">
      <c r="A1697" s="32"/>
      <c r="B1697" s="306"/>
      <c r="C1697" s="307"/>
      <c r="D1697" s="312"/>
      <c r="E1697" s="301"/>
      <c r="F1697" s="232"/>
      <c r="J1697" s="306"/>
      <c r="K1697" s="306"/>
      <c r="L1697" s="313"/>
      <c r="M1697" s="219"/>
      <c r="N1697" s="218"/>
      <c r="S1697" s="224"/>
      <c r="T1697" s="228"/>
      <c r="U1697" s="226"/>
      <c r="V1697" s="226"/>
      <c r="W1697" s="303"/>
      <c r="X1697" s="220"/>
      <c r="Z1697" s="227"/>
      <c r="AA1697" s="220"/>
      <c r="AB1697" s="221"/>
      <c r="AC1697" s="229"/>
      <c r="AD1697" s="230"/>
      <c r="AE1697" s="230"/>
      <c r="AF1697" s="230"/>
      <c r="AG1697" s="227"/>
    </row>
    <row r="1698" spans="1:33" x14ac:dyDescent="0.25">
      <c r="A1698" s="32"/>
      <c r="B1698" s="306"/>
      <c r="C1698" s="307"/>
      <c r="D1698" s="312"/>
      <c r="E1698" s="301"/>
      <c r="F1698" s="232"/>
      <c r="J1698" s="306"/>
      <c r="K1698" s="306"/>
      <c r="L1698" s="313"/>
      <c r="M1698" s="219"/>
      <c r="N1698" s="218"/>
      <c r="S1698" s="224"/>
      <c r="T1698" s="228"/>
      <c r="U1698" s="226"/>
      <c r="V1698" s="226"/>
      <c r="W1698" s="303"/>
      <c r="X1698" s="220"/>
      <c r="Z1698" s="227"/>
      <c r="AA1698" s="220"/>
      <c r="AB1698" s="221"/>
      <c r="AC1698" s="229"/>
      <c r="AD1698" s="230"/>
      <c r="AE1698" s="230"/>
      <c r="AF1698" s="230"/>
      <c r="AG1698" s="227"/>
    </row>
    <row r="1699" spans="1:33" x14ac:dyDescent="0.25">
      <c r="A1699" s="32"/>
      <c r="B1699" s="306"/>
      <c r="C1699" s="307"/>
      <c r="D1699" s="312"/>
      <c r="E1699" s="301"/>
      <c r="F1699" s="232"/>
      <c r="J1699" s="306"/>
      <c r="K1699" s="306"/>
      <c r="L1699" s="313"/>
      <c r="M1699" s="219"/>
      <c r="N1699" s="218"/>
      <c r="S1699" s="224"/>
      <c r="T1699" s="228"/>
      <c r="U1699" s="226"/>
      <c r="V1699" s="226"/>
      <c r="W1699" s="303"/>
      <c r="X1699" s="220"/>
      <c r="Z1699" s="227"/>
      <c r="AA1699" s="220"/>
      <c r="AB1699" s="221"/>
      <c r="AC1699" s="229"/>
      <c r="AD1699" s="230"/>
      <c r="AE1699" s="230"/>
      <c r="AF1699" s="230"/>
      <c r="AG1699" s="227"/>
    </row>
    <row r="1700" spans="1:33" x14ac:dyDescent="0.25">
      <c r="A1700" s="32"/>
      <c r="B1700" s="306"/>
      <c r="C1700" s="307"/>
      <c r="D1700" s="312"/>
      <c r="E1700" s="301"/>
      <c r="F1700" s="232"/>
      <c r="J1700" s="306"/>
      <c r="K1700" s="306"/>
      <c r="L1700" s="313"/>
      <c r="M1700" s="219"/>
      <c r="N1700" s="218"/>
      <c r="S1700" s="224"/>
      <c r="T1700" s="228"/>
      <c r="U1700" s="226"/>
      <c r="V1700" s="226"/>
      <c r="W1700" s="303"/>
      <c r="X1700" s="220"/>
      <c r="Z1700" s="227"/>
      <c r="AA1700" s="220"/>
      <c r="AB1700" s="221"/>
      <c r="AC1700" s="229"/>
      <c r="AD1700" s="230"/>
      <c r="AE1700" s="230"/>
      <c r="AF1700" s="230"/>
      <c r="AG1700" s="227"/>
    </row>
    <row r="1701" spans="1:33" x14ac:dyDescent="0.25">
      <c r="A1701" s="32"/>
      <c r="B1701" s="306"/>
      <c r="C1701" s="307"/>
      <c r="D1701" s="312"/>
      <c r="E1701" s="301"/>
      <c r="F1701" s="232"/>
      <c r="J1701" s="306"/>
      <c r="K1701" s="306"/>
      <c r="L1701" s="313"/>
      <c r="M1701" s="219"/>
      <c r="N1701" s="218"/>
      <c r="S1701" s="224"/>
      <c r="T1701" s="228"/>
      <c r="U1701" s="226"/>
      <c r="V1701" s="226"/>
      <c r="W1701" s="303"/>
      <c r="X1701" s="220"/>
      <c r="Z1701" s="227"/>
      <c r="AA1701" s="220"/>
      <c r="AB1701" s="221"/>
      <c r="AC1701" s="229"/>
      <c r="AD1701" s="230"/>
      <c r="AE1701" s="230"/>
      <c r="AF1701" s="230"/>
      <c r="AG1701" s="227"/>
    </row>
    <row r="1702" spans="1:33" x14ac:dyDescent="0.25">
      <c r="A1702" s="32"/>
      <c r="B1702" s="306"/>
      <c r="C1702" s="307"/>
      <c r="D1702" s="312"/>
      <c r="E1702" s="301"/>
      <c r="F1702" s="232"/>
      <c r="J1702" s="306"/>
      <c r="K1702" s="306"/>
      <c r="L1702" s="313"/>
      <c r="M1702" s="219"/>
      <c r="N1702" s="218"/>
      <c r="S1702" s="224"/>
      <c r="T1702" s="228"/>
      <c r="U1702" s="226"/>
      <c r="V1702" s="226"/>
      <c r="W1702" s="303"/>
      <c r="X1702" s="220"/>
      <c r="Z1702" s="227"/>
      <c r="AA1702" s="220"/>
      <c r="AB1702" s="221"/>
      <c r="AC1702" s="229"/>
      <c r="AD1702" s="230"/>
      <c r="AE1702" s="230"/>
      <c r="AF1702" s="230"/>
      <c r="AG1702" s="227"/>
    </row>
    <row r="1703" spans="1:33" x14ac:dyDescent="0.25">
      <c r="A1703" s="32"/>
      <c r="B1703" s="306"/>
      <c r="C1703" s="307"/>
      <c r="D1703" s="312"/>
      <c r="E1703" s="301"/>
      <c r="F1703" s="232"/>
      <c r="J1703" s="306"/>
      <c r="K1703" s="306"/>
      <c r="L1703" s="313"/>
      <c r="M1703" s="219"/>
      <c r="N1703" s="218"/>
      <c r="S1703" s="224"/>
      <c r="T1703" s="228"/>
      <c r="U1703" s="226"/>
      <c r="V1703" s="226"/>
      <c r="W1703" s="303"/>
      <c r="X1703" s="220"/>
      <c r="Z1703" s="227"/>
      <c r="AA1703" s="220"/>
      <c r="AB1703" s="221"/>
      <c r="AC1703" s="229"/>
      <c r="AD1703" s="230"/>
      <c r="AE1703" s="230"/>
      <c r="AF1703" s="230"/>
      <c r="AG1703" s="227"/>
    </row>
    <row r="1704" spans="1:33" x14ac:dyDescent="0.25">
      <c r="A1704" s="32"/>
      <c r="B1704" s="306"/>
      <c r="C1704" s="307"/>
      <c r="D1704" s="312"/>
      <c r="E1704" s="301"/>
      <c r="F1704" s="232"/>
      <c r="J1704" s="306"/>
      <c r="K1704" s="306"/>
      <c r="L1704" s="313"/>
      <c r="M1704" s="219"/>
      <c r="N1704" s="218"/>
      <c r="S1704" s="224"/>
      <c r="T1704" s="228"/>
      <c r="U1704" s="226"/>
      <c r="V1704" s="226"/>
      <c r="W1704" s="303"/>
      <c r="X1704" s="220"/>
      <c r="Z1704" s="227"/>
      <c r="AA1704" s="220"/>
      <c r="AB1704" s="221"/>
      <c r="AC1704" s="229"/>
      <c r="AD1704" s="230"/>
      <c r="AE1704" s="230"/>
      <c r="AF1704" s="230"/>
      <c r="AG1704" s="227"/>
    </row>
    <row r="1705" spans="1:33" x14ac:dyDescent="0.25">
      <c r="A1705" s="32"/>
      <c r="B1705" s="306"/>
      <c r="C1705" s="307"/>
      <c r="D1705" s="312"/>
      <c r="E1705" s="301"/>
      <c r="F1705" s="232"/>
      <c r="J1705" s="306"/>
      <c r="K1705" s="306"/>
      <c r="L1705" s="313"/>
      <c r="M1705" s="219"/>
      <c r="N1705" s="218"/>
      <c r="S1705" s="224"/>
      <c r="T1705" s="228"/>
      <c r="U1705" s="226"/>
      <c r="V1705" s="226"/>
      <c r="W1705" s="303"/>
      <c r="X1705" s="220"/>
      <c r="Z1705" s="227"/>
      <c r="AA1705" s="220"/>
      <c r="AB1705" s="221"/>
      <c r="AC1705" s="229"/>
      <c r="AD1705" s="230"/>
      <c r="AE1705" s="230"/>
      <c r="AF1705" s="230"/>
      <c r="AG1705" s="227"/>
    </row>
    <row r="1706" spans="1:33" x14ac:dyDescent="0.25">
      <c r="A1706" s="32"/>
      <c r="B1706" s="306"/>
      <c r="C1706" s="307"/>
      <c r="D1706" s="312"/>
      <c r="E1706" s="301"/>
      <c r="F1706" s="232"/>
      <c r="J1706" s="306"/>
      <c r="K1706" s="306"/>
      <c r="L1706" s="313"/>
      <c r="M1706" s="219"/>
      <c r="N1706" s="218"/>
      <c r="S1706" s="224"/>
      <c r="T1706" s="228"/>
      <c r="U1706" s="226"/>
      <c r="V1706" s="226"/>
      <c r="W1706" s="303"/>
      <c r="X1706" s="220"/>
      <c r="Z1706" s="227"/>
      <c r="AA1706" s="220"/>
      <c r="AB1706" s="221"/>
      <c r="AC1706" s="229"/>
      <c r="AD1706" s="230"/>
      <c r="AE1706" s="230"/>
      <c r="AF1706" s="230"/>
      <c r="AG1706" s="227"/>
    </row>
    <row r="1707" spans="1:33" x14ac:dyDescent="0.25">
      <c r="A1707" s="32"/>
      <c r="B1707" s="306"/>
      <c r="C1707" s="307"/>
      <c r="D1707" s="312"/>
      <c r="E1707" s="301"/>
      <c r="F1707" s="232"/>
      <c r="J1707" s="306"/>
      <c r="K1707" s="306"/>
      <c r="L1707" s="313"/>
      <c r="M1707" s="219"/>
      <c r="N1707" s="218"/>
      <c r="S1707" s="224"/>
      <c r="T1707" s="228"/>
      <c r="U1707" s="226"/>
      <c r="V1707" s="226"/>
      <c r="W1707" s="303"/>
      <c r="X1707" s="220"/>
      <c r="Z1707" s="227"/>
      <c r="AA1707" s="220"/>
      <c r="AB1707" s="221"/>
      <c r="AC1707" s="229"/>
      <c r="AD1707" s="230"/>
      <c r="AE1707" s="230"/>
      <c r="AF1707" s="230"/>
      <c r="AG1707" s="227"/>
    </row>
    <row r="1708" spans="1:33" x14ac:dyDescent="0.25">
      <c r="A1708" s="32"/>
      <c r="B1708" s="306"/>
      <c r="C1708" s="307"/>
      <c r="D1708" s="312"/>
      <c r="E1708" s="301"/>
      <c r="F1708" s="232"/>
      <c r="J1708" s="306"/>
      <c r="K1708" s="306"/>
      <c r="L1708" s="313"/>
      <c r="M1708" s="219"/>
      <c r="N1708" s="218"/>
      <c r="S1708" s="224"/>
      <c r="T1708" s="228"/>
      <c r="U1708" s="226"/>
      <c r="V1708" s="226"/>
      <c r="W1708" s="303"/>
      <c r="X1708" s="220"/>
      <c r="Z1708" s="227"/>
      <c r="AA1708" s="220"/>
      <c r="AB1708" s="221"/>
      <c r="AC1708" s="229"/>
      <c r="AD1708" s="230"/>
      <c r="AE1708" s="230"/>
      <c r="AF1708" s="230"/>
      <c r="AG1708" s="227"/>
    </row>
    <row r="1709" spans="1:33" x14ac:dyDescent="0.25">
      <c r="A1709" s="32"/>
      <c r="B1709" s="306"/>
      <c r="C1709" s="307"/>
      <c r="D1709" s="312"/>
      <c r="E1709" s="301"/>
      <c r="F1709" s="232"/>
      <c r="J1709" s="306"/>
      <c r="K1709" s="306"/>
      <c r="L1709" s="313"/>
      <c r="M1709" s="219"/>
      <c r="N1709" s="218"/>
      <c r="S1709" s="224"/>
      <c r="T1709" s="228"/>
      <c r="U1709" s="226"/>
      <c r="V1709" s="226"/>
      <c r="W1709" s="303"/>
      <c r="X1709" s="220"/>
      <c r="Z1709" s="227"/>
      <c r="AA1709" s="220"/>
      <c r="AB1709" s="221"/>
      <c r="AC1709" s="229"/>
      <c r="AD1709" s="230"/>
      <c r="AE1709" s="230"/>
      <c r="AF1709" s="230"/>
      <c r="AG1709" s="227"/>
    </row>
    <row r="1710" spans="1:33" x14ac:dyDescent="0.25">
      <c r="A1710" s="32"/>
      <c r="B1710" s="306"/>
      <c r="C1710" s="307"/>
      <c r="D1710" s="312"/>
      <c r="E1710" s="301"/>
      <c r="F1710" s="232"/>
      <c r="J1710" s="306"/>
      <c r="K1710" s="306"/>
      <c r="L1710" s="313"/>
      <c r="M1710" s="219"/>
      <c r="N1710" s="218"/>
      <c r="S1710" s="224"/>
      <c r="T1710" s="228"/>
      <c r="U1710" s="226"/>
      <c r="V1710" s="226"/>
      <c r="W1710" s="303"/>
      <c r="X1710" s="220"/>
      <c r="Z1710" s="227"/>
      <c r="AA1710" s="220"/>
      <c r="AB1710" s="221"/>
      <c r="AC1710" s="229"/>
      <c r="AD1710" s="230"/>
      <c r="AE1710" s="230"/>
      <c r="AF1710" s="230"/>
      <c r="AG1710" s="227"/>
    </row>
    <row r="1711" spans="1:33" x14ac:dyDescent="0.25">
      <c r="A1711" s="32"/>
      <c r="B1711" s="306"/>
      <c r="C1711" s="307"/>
      <c r="D1711" s="312"/>
      <c r="E1711" s="301"/>
      <c r="F1711" s="232"/>
      <c r="J1711" s="306"/>
      <c r="K1711" s="306"/>
      <c r="L1711" s="313"/>
      <c r="M1711" s="219"/>
      <c r="N1711" s="218"/>
      <c r="S1711" s="224"/>
      <c r="T1711" s="228"/>
      <c r="U1711" s="226"/>
      <c r="V1711" s="226"/>
      <c r="W1711" s="303"/>
      <c r="X1711" s="220"/>
      <c r="Z1711" s="227"/>
      <c r="AA1711" s="220"/>
      <c r="AB1711" s="221"/>
      <c r="AC1711" s="229"/>
      <c r="AD1711" s="230"/>
      <c r="AE1711" s="230"/>
      <c r="AF1711" s="230"/>
      <c r="AG1711" s="227"/>
    </row>
    <row r="1712" spans="1:33" x14ac:dyDescent="0.25">
      <c r="A1712" s="32"/>
      <c r="B1712" s="306"/>
      <c r="C1712" s="307"/>
      <c r="D1712" s="312"/>
      <c r="E1712" s="301"/>
      <c r="F1712" s="232"/>
      <c r="J1712" s="306"/>
      <c r="K1712" s="306"/>
      <c r="L1712" s="313"/>
      <c r="M1712" s="219"/>
      <c r="N1712" s="218"/>
      <c r="S1712" s="224"/>
      <c r="T1712" s="228"/>
      <c r="U1712" s="226"/>
      <c r="V1712" s="226"/>
      <c r="W1712" s="303"/>
      <c r="X1712" s="220"/>
      <c r="Z1712" s="227"/>
      <c r="AA1712" s="220"/>
      <c r="AB1712" s="221"/>
      <c r="AC1712" s="229"/>
      <c r="AD1712" s="230"/>
      <c r="AE1712" s="230"/>
      <c r="AF1712" s="230"/>
      <c r="AG1712" s="227"/>
    </row>
    <row r="1713" spans="1:33" x14ac:dyDescent="0.25">
      <c r="A1713" s="32"/>
      <c r="B1713" s="306"/>
      <c r="C1713" s="307"/>
      <c r="D1713" s="312"/>
      <c r="E1713" s="301"/>
      <c r="F1713" s="232"/>
      <c r="J1713" s="306"/>
      <c r="K1713" s="306"/>
      <c r="L1713" s="313"/>
      <c r="M1713" s="219"/>
      <c r="N1713" s="218"/>
      <c r="S1713" s="224"/>
      <c r="T1713" s="228"/>
      <c r="U1713" s="226"/>
      <c r="V1713" s="226"/>
      <c r="W1713" s="303"/>
      <c r="X1713" s="220"/>
      <c r="Z1713" s="227"/>
      <c r="AA1713" s="220"/>
      <c r="AB1713" s="221"/>
      <c r="AC1713" s="229"/>
      <c r="AD1713" s="230"/>
      <c r="AE1713" s="230"/>
      <c r="AF1713" s="230"/>
      <c r="AG1713" s="227"/>
    </row>
    <row r="1714" spans="1:33" x14ac:dyDescent="0.25">
      <c r="A1714" s="32"/>
      <c r="B1714" s="306"/>
      <c r="C1714" s="307"/>
      <c r="D1714" s="312"/>
      <c r="E1714" s="301"/>
      <c r="F1714" s="232"/>
      <c r="J1714" s="306"/>
      <c r="K1714" s="306"/>
      <c r="L1714" s="313"/>
      <c r="M1714" s="219"/>
      <c r="N1714" s="218"/>
      <c r="S1714" s="224"/>
      <c r="T1714" s="228"/>
      <c r="U1714" s="226"/>
      <c r="V1714" s="226"/>
      <c r="W1714" s="303"/>
      <c r="X1714" s="220"/>
      <c r="Z1714" s="227"/>
      <c r="AA1714" s="220"/>
      <c r="AB1714" s="221"/>
      <c r="AC1714" s="229"/>
      <c r="AD1714" s="230"/>
      <c r="AE1714" s="230"/>
      <c r="AF1714" s="230"/>
      <c r="AG1714" s="227"/>
    </row>
    <row r="1715" spans="1:33" x14ac:dyDescent="0.25">
      <c r="A1715" s="32"/>
      <c r="B1715" s="306"/>
      <c r="C1715" s="307"/>
      <c r="D1715" s="312"/>
      <c r="E1715" s="301"/>
      <c r="F1715" s="232"/>
      <c r="J1715" s="306"/>
      <c r="K1715" s="306"/>
      <c r="L1715" s="313"/>
      <c r="M1715" s="219"/>
      <c r="N1715" s="218"/>
      <c r="S1715" s="224"/>
      <c r="T1715" s="228"/>
      <c r="U1715" s="226"/>
      <c r="V1715" s="226"/>
      <c r="W1715" s="303"/>
      <c r="X1715" s="220"/>
      <c r="Z1715" s="227"/>
      <c r="AA1715" s="220"/>
      <c r="AB1715" s="221"/>
      <c r="AC1715" s="229"/>
      <c r="AD1715" s="230"/>
      <c r="AE1715" s="230"/>
      <c r="AF1715" s="230"/>
      <c r="AG1715" s="227"/>
    </row>
    <row r="1716" spans="1:33" x14ac:dyDescent="0.25">
      <c r="A1716" s="32"/>
      <c r="B1716" s="306"/>
      <c r="C1716" s="307"/>
      <c r="D1716" s="312"/>
      <c r="E1716" s="301"/>
      <c r="F1716" s="232"/>
      <c r="J1716" s="306"/>
      <c r="K1716" s="306"/>
      <c r="L1716" s="313"/>
      <c r="M1716" s="219"/>
      <c r="N1716" s="218"/>
      <c r="S1716" s="224"/>
      <c r="T1716" s="228"/>
      <c r="U1716" s="226"/>
      <c r="V1716" s="226"/>
      <c r="W1716" s="303"/>
      <c r="X1716" s="220"/>
      <c r="Z1716" s="227"/>
      <c r="AA1716" s="220"/>
      <c r="AB1716" s="221"/>
      <c r="AC1716" s="229"/>
      <c r="AD1716" s="230"/>
      <c r="AE1716" s="230"/>
      <c r="AF1716" s="230"/>
      <c r="AG1716" s="227"/>
    </row>
    <row r="1717" spans="1:33" x14ac:dyDescent="0.25">
      <c r="A1717" s="32"/>
      <c r="B1717" s="306"/>
      <c r="C1717" s="307"/>
      <c r="D1717" s="312"/>
      <c r="E1717" s="301"/>
      <c r="F1717" s="232"/>
      <c r="J1717" s="306"/>
      <c r="K1717" s="306"/>
      <c r="L1717" s="313"/>
      <c r="M1717" s="219"/>
      <c r="N1717" s="218"/>
      <c r="S1717" s="224"/>
      <c r="T1717" s="228"/>
      <c r="U1717" s="226"/>
      <c r="V1717" s="226"/>
      <c r="W1717" s="303"/>
      <c r="X1717" s="220"/>
      <c r="Z1717" s="227"/>
      <c r="AA1717" s="220"/>
      <c r="AB1717" s="221"/>
      <c r="AC1717" s="229"/>
      <c r="AD1717" s="230"/>
      <c r="AE1717" s="230"/>
      <c r="AF1717" s="230"/>
      <c r="AG1717" s="227"/>
    </row>
    <row r="1718" spans="1:33" x14ac:dyDescent="0.25">
      <c r="A1718" s="32"/>
      <c r="B1718" s="306"/>
      <c r="C1718" s="307"/>
      <c r="D1718" s="312"/>
      <c r="E1718" s="301"/>
      <c r="F1718" s="232"/>
      <c r="J1718" s="306"/>
      <c r="K1718" s="306"/>
      <c r="L1718" s="313"/>
      <c r="M1718" s="219"/>
      <c r="N1718" s="218"/>
      <c r="S1718" s="224"/>
      <c r="T1718" s="228"/>
      <c r="U1718" s="226"/>
      <c r="V1718" s="226"/>
      <c r="W1718" s="303"/>
      <c r="X1718" s="220"/>
      <c r="Z1718" s="227"/>
      <c r="AA1718" s="220"/>
      <c r="AB1718" s="221"/>
      <c r="AC1718" s="229"/>
      <c r="AD1718" s="230"/>
      <c r="AE1718" s="230"/>
      <c r="AF1718" s="230"/>
      <c r="AG1718" s="227"/>
    </row>
    <row r="1719" spans="1:33" x14ac:dyDescent="0.25">
      <c r="A1719" s="32"/>
      <c r="B1719" s="306"/>
      <c r="C1719" s="307"/>
      <c r="D1719" s="312"/>
      <c r="E1719" s="301"/>
      <c r="F1719" s="232"/>
      <c r="J1719" s="306"/>
      <c r="K1719" s="306"/>
      <c r="L1719" s="313"/>
      <c r="M1719" s="219"/>
      <c r="N1719" s="218"/>
      <c r="S1719" s="224"/>
      <c r="T1719" s="228"/>
      <c r="U1719" s="226"/>
      <c r="V1719" s="226"/>
      <c r="W1719" s="303"/>
      <c r="X1719" s="220"/>
      <c r="Z1719" s="227"/>
      <c r="AA1719" s="220"/>
      <c r="AB1719" s="221"/>
      <c r="AC1719" s="229"/>
      <c r="AD1719" s="230"/>
      <c r="AE1719" s="230"/>
      <c r="AF1719" s="230"/>
      <c r="AG1719" s="227"/>
    </row>
    <row r="1720" spans="1:33" x14ac:dyDescent="0.25">
      <c r="A1720" s="32"/>
      <c r="B1720" s="306"/>
      <c r="C1720" s="307"/>
      <c r="D1720" s="312"/>
      <c r="E1720" s="301"/>
      <c r="F1720" s="232"/>
      <c r="J1720" s="306"/>
      <c r="K1720" s="306"/>
      <c r="L1720" s="313"/>
      <c r="M1720" s="219"/>
      <c r="N1720" s="218"/>
      <c r="S1720" s="224"/>
      <c r="T1720" s="228"/>
      <c r="U1720" s="226"/>
      <c r="V1720" s="226"/>
      <c r="W1720" s="303"/>
      <c r="X1720" s="220"/>
      <c r="Z1720" s="227"/>
      <c r="AA1720" s="220"/>
      <c r="AB1720" s="221"/>
      <c r="AC1720" s="229"/>
      <c r="AD1720" s="230"/>
      <c r="AE1720" s="230"/>
      <c r="AF1720" s="230"/>
      <c r="AG1720" s="227"/>
    </row>
    <row r="1721" spans="1:33" x14ac:dyDescent="0.25">
      <c r="A1721" s="32"/>
      <c r="B1721" s="306"/>
      <c r="C1721" s="307"/>
      <c r="D1721" s="312"/>
      <c r="E1721" s="301"/>
      <c r="F1721" s="232"/>
      <c r="J1721" s="306"/>
      <c r="K1721" s="306"/>
      <c r="L1721" s="313"/>
      <c r="M1721" s="219"/>
      <c r="N1721" s="218"/>
      <c r="S1721" s="224"/>
      <c r="T1721" s="228"/>
      <c r="U1721" s="226"/>
      <c r="V1721" s="226"/>
      <c r="W1721" s="303"/>
      <c r="X1721" s="220"/>
      <c r="Z1721" s="227"/>
      <c r="AA1721" s="220"/>
      <c r="AB1721" s="221"/>
      <c r="AC1721" s="229"/>
      <c r="AD1721" s="230"/>
      <c r="AE1721" s="230"/>
      <c r="AF1721" s="230"/>
      <c r="AG1721" s="227"/>
    </row>
    <row r="1722" spans="1:33" x14ac:dyDescent="0.25">
      <c r="A1722" s="32"/>
      <c r="B1722" s="306"/>
      <c r="C1722" s="307"/>
      <c r="D1722" s="312"/>
      <c r="E1722" s="301"/>
      <c r="F1722" s="232"/>
      <c r="J1722" s="306"/>
      <c r="K1722" s="306"/>
      <c r="L1722" s="313"/>
      <c r="M1722" s="219"/>
      <c r="N1722" s="218"/>
      <c r="S1722" s="224"/>
      <c r="T1722" s="228"/>
      <c r="U1722" s="226"/>
      <c r="V1722" s="226"/>
      <c r="W1722" s="303"/>
      <c r="X1722" s="220"/>
      <c r="Z1722" s="227"/>
      <c r="AA1722" s="220"/>
      <c r="AB1722" s="221"/>
      <c r="AC1722" s="229"/>
      <c r="AD1722" s="230"/>
      <c r="AE1722" s="230"/>
      <c r="AF1722" s="230"/>
      <c r="AG1722" s="227"/>
    </row>
    <row r="1723" spans="1:33" x14ac:dyDescent="0.25">
      <c r="A1723" s="32"/>
      <c r="B1723" s="306"/>
      <c r="C1723" s="307"/>
      <c r="D1723" s="312"/>
      <c r="E1723" s="301"/>
      <c r="F1723" s="232"/>
      <c r="J1723" s="306"/>
      <c r="K1723" s="306"/>
      <c r="L1723" s="313"/>
      <c r="M1723" s="219"/>
      <c r="N1723" s="218"/>
      <c r="S1723" s="224"/>
      <c r="T1723" s="228"/>
      <c r="U1723" s="226"/>
      <c r="V1723" s="226"/>
      <c r="W1723" s="303"/>
      <c r="X1723" s="220"/>
      <c r="Z1723" s="227"/>
      <c r="AA1723" s="220"/>
      <c r="AB1723" s="221"/>
      <c r="AC1723" s="229"/>
      <c r="AD1723" s="230"/>
      <c r="AE1723" s="230"/>
      <c r="AF1723" s="230"/>
      <c r="AG1723" s="227"/>
    </row>
    <row r="1724" spans="1:33" x14ac:dyDescent="0.25">
      <c r="A1724" s="32"/>
      <c r="B1724" s="306"/>
      <c r="C1724" s="307"/>
      <c r="D1724" s="312"/>
      <c r="E1724" s="301"/>
      <c r="F1724" s="232"/>
      <c r="J1724" s="306"/>
      <c r="K1724" s="306"/>
      <c r="L1724" s="313"/>
      <c r="M1724" s="219"/>
      <c r="N1724" s="218"/>
      <c r="S1724" s="224"/>
      <c r="T1724" s="228"/>
      <c r="U1724" s="226"/>
      <c r="V1724" s="226"/>
      <c r="W1724" s="303"/>
      <c r="X1724" s="220"/>
      <c r="Z1724" s="227"/>
      <c r="AA1724" s="220"/>
      <c r="AB1724" s="221"/>
      <c r="AC1724" s="229"/>
      <c r="AD1724" s="230"/>
      <c r="AE1724" s="230"/>
      <c r="AF1724" s="230"/>
      <c r="AG1724" s="227"/>
    </row>
    <row r="1725" spans="1:33" x14ac:dyDescent="0.25">
      <c r="A1725" s="32"/>
      <c r="B1725" s="306"/>
      <c r="C1725" s="307"/>
      <c r="D1725" s="312"/>
      <c r="E1725" s="301"/>
      <c r="F1725" s="232"/>
      <c r="J1725" s="306"/>
      <c r="K1725" s="306"/>
      <c r="L1725" s="313"/>
      <c r="M1725" s="219"/>
      <c r="N1725" s="218"/>
      <c r="S1725" s="224"/>
      <c r="T1725" s="228"/>
      <c r="U1725" s="226"/>
      <c r="V1725" s="226"/>
      <c r="W1725" s="303"/>
      <c r="X1725" s="220"/>
      <c r="Z1725" s="227"/>
      <c r="AA1725" s="220"/>
      <c r="AB1725" s="221"/>
      <c r="AC1725" s="229"/>
      <c r="AD1725" s="230"/>
      <c r="AE1725" s="230"/>
      <c r="AF1725" s="230"/>
      <c r="AG1725" s="227"/>
    </row>
    <row r="1726" spans="1:33" x14ac:dyDescent="0.25">
      <c r="A1726" s="32"/>
      <c r="B1726" s="306"/>
      <c r="C1726" s="307"/>
      <c r="D1726" s="312"/>
      <c r="E1726" s="301"/>
      <c r="F1726" s="232"/>
      <c r="J1726" s="306"/>
      <c r="K1726" s="306"/>
      <c r="L1726" s="313"/>
      <c r="M1726" s="219"/>
      <c r="N1726" s="218"/>
      <c r="S1726" s="224"/>
      <c r="T1726" s="228"/>
      <c r="U1726" s="226"/>
      <c r="V1726" s="226"/>
      <c r="W1726" s="303"/>
      <c r="X1726" s="220"/>
      <c r="Z1726" s="227"/>
      <c r="AA1726" s="220"/>
      <c r="AB1726" s="221"/>
      <c r="AC1726" s="229"/>
      <c r="AD1726" s="230"/>
      <c r="AE1726" s="230"/>
      <c r="AF1726" s="230"/>
      <c r="AG1726" s="227"/>
    </row>
    <row r="1727" spans="1:33" x14ac:dyDescent="0.25">
      <c r="A1727" s="32"/>
      <c r="B1727" s="306"/>
      <c r="C1727" s="307"/>
      <c r="D1727" s="312"/>
      <c r="E1727" s="301"/>
      <c r="F1727" s="232"/>
      <c r="J1727" s="306"/>
      <c r="K1727" s="306"/>
      <c r="L1727" s="313"/>
      <c r="M1727" s="219"/>
      <c r="N1727" s="218"/>
      <c r="S1727" s="224"/>
      <c r="T1727" s="228"/>
      <c r="U1727" s="226"/>
      <c r="V1727" s="226"/>
      <c r="W1727" s="303"/>
      <c r="X1727" s="220"/>
      <c r="Z1727" s="227"/>
      <c r="AA1727" s="220"/>
      <c r="AB1727" s="221"/>
      <c r="AC1727" s="229"/>
      <c r="AD1727" s="230"/>
      <c r="AE1727" s="230"/>
      <c r="AF1727" s="230"/>
      <c r="AG1727" s="227"/>
    </row>
    <row r="1728" spans="1:33" x14ac:dyDescent="0.25">
      <c r="A1728" s="32"/>
      <c r="B1728" s="306"/>
      <c r="C1728" s="307"/>
      <c r="D1728" s="312"/>
      <c r="E1728" s="301"/>
      <c r="F1728" s="232"/>
      <c r="J1728" s="306"/>
      <c r="K1728" s="306"/>
      <c r="L1728" s="313"/>
      <c r="M1728" s="219"/>
      <c r="N1728" s="218"/>
      <c r="S1728" s="224"/>
      <c r="T1728" s="228"/>
      <c r="U1728" s="226"/>
      <c r="V1728" s="226"/>
      <c r="W1728" s="303"/>
      <c r="X1728" s="220"/>
      <c r="Z1728" s="227"/>
      <c r="AA1728" s="220"/>
      <c r="AB1728" s="221"/>
      <c r="AC1728" s="229"/>
      <c r="AD1728" s="230"/>
      <c r="AE1728" s="230"/>
      <c r="AF1728" s="230"/>
      <c r="AG1728" s="227"/>
    </row>
    <row r="1729" spans="1:33" x14ac:dyDescent="0.25">
      <c r="A1729" s="32"/>
      <c r="B1729" s="306"/>
      <c r="C1729" s="307"/>
      <c r="D1729" s="312"/>
      <c r="E1729" s="301"/>
      <c r="F1729" s="232"/>
      <c r="J1729" s="306"/>
      <c r="K1729" s="306"/>
      <c r="L1729" s="313"/>
      <c r="M1729" s="219"/>
      <c r="N1729" s="218"/>
      <c r="S1729" s="224"/>
      <c r="T1729" s="228"/>
      <c r="U1729" s="226"/>
      <c r="V1729" s="226"/>
      <c r="W1729" s="303"/>
      <c r="X1729" s="220"/>
      <c r="Z1729" s="227"/>
      <c r="AA1729" s="220"/>
      <c r="AB1729" s="221"/>
      <c r="AC1729" s="229"/>
      <c r="AD1729" s="230"/>
      <c r="AE1729" s="230"/>
      <c r="AF1729" s="230"/>
      <c r="AG1729" s="227"/>
    </row>
    <row r="1730" spans="1:33" x14ac:dyDescent="0.25">
      <c r="A1730" s="32"/>
      <c r="B1730" s="306"/>
      <c r="C1730" s="307"/>
      <c r="D1730" s="312"/>
      <c r="E1730" s="301"/>
      <c r="F1730" s="232"/>
      <c r="J1730" s="306"/>
      <c r="K1730" s="306"/>
      <c r="L1730" s="313"/>
      <c r="M1730" s="219"/>
      <c r="N1730" s="218"/>
      <c r="S1730" s="224"/>
      <c r="T1730" s="228"/>
      <c r="U1730" s="226"/>
      <c r="V1730" s="226"/>
      <c r="W1730" s="303"/>
      <c r="X1730" s="220"/>
      <c r="Z1730" s="227"/>
      <c r="AA1730" s="220"/>
      <c r="AB1730" s="221"/>
      <c r="AC1730" s="229"/>
      <c r="AD1730" s="230"/>
      <c r="AE1730" s="230"/>
      <c r="AF1730" s="230"/>
      <c r="AG1730" s="227"/>
    </row>
    <row r="1731" spans="1:33" x14ac:dyDescent="0.25">
      <c r="A1731" s="32"/>
      <c r="B1731" s="306"/>
      <c r="C1731" s="307"/>
      <c r="D1731" s="312"/>
      <c r="E1731" s="301"/>
      <c r="F1731" s="232"/>
      <c r="J1731" s="306"/>
      <c r="K1731" s="306"/>
      <c r="L1731" s="313"/>
      <c r="M1731" s="219"/>
      <c r="N1731" s="218"/>
      <c r="S1731" s="224"/>
      <c r="T1731" s="228"/>
      <c r="U1731" s="226"/>
      <c r="V1731" s="226"/>
      <c r="W1731" s="303"/>
      <c r="X1731" s="220"/>
      <c r="Z1731" s="227"/>
      <c r="AA1731" s="220"/>
      <c r="AB1731" s="221"/>
      <c r="AC1731" s="229"/>
      <c r="AD1731" s="230"/>
      <c r="AE1731" s="230"/>
      <c r="AF1731" s="230"/>
      <c r="AG1731" s="227"/>
    </row>
    <row r="1732" spans="1:33" x14ac:dyDescent="0.25">
      <c r="A1732" s="32"/>
      <c r="B1732" s="306"/>
      <c r="C1732" s="307"/>
      <c r="D1732" s="312"/>
      <c r="E1732" s="301"/>
      <c r="F1732" s="232"/>
      <c r="J1732" s="306"/>
      <c r="K1732" s="306"/>
      <c r="L1732" s="313"/>
      <c r="M1732" s="219"/>
      <c r="N1732" s="218"/>
      <c r="S1732" s="224"/>
      <c r="T1732" s="228"/>
      <c r="U1732" s="226"/>
      <c r="V1732" s="226"/>
      <c r="W1732" s="303"/>
      <c r="X1732" s="220"/>
      <c r="Z1732" s="227"/>
      <c r="AA1732" s="220"/>
      <c r="AB1732" s="221"/>
      <c r="AC1732" s="229"/>
      <c r="AD1732" s="230"/>
      <c r="AE1732" s="230"/>
      <c r="AF1732" s="230"/>
      <c r="AG1732" s="227"/>
    </row>
    <row r="1733" spans="1:33" x14ac:dyDescent="0.25">
      <c r="A1733" s="32"/>
      <c r="B1733" s="306"/>
      <c r="C1733" s="307"/>
      <c r="D1733" s="312"/>
      <c r="E1733" s="301"/>
      <c r="F1733" s="232"/>
      <c r="J1733" s="306"/>
      <c r="K1733" s="306"/>
      <c r="L1733" s="313"/>
      <c r="M1733" s="219"/>
      <c r="N1733" s="218"/>
      <c r="S1733" s="224"/>
      <c r="T1733" s="228"/>
      <c r="U1733" s="226"/>
      <c r="V1733" s="226"/>
      <c r="W1733" s="303"/>
      <c r="X1733" s="220"/>
      <c r="Z1733" s="227"/>
      <c r="AA1733" s="220"/>
      <c r="AB1733" s="221"/>
      <c r="AC1733" s="229"/>
      <c r="AD1733" s="230"/>
      <c r="AE1733" s="230"/>
      <c r="AF1733" s="230"/>
      <c r="AG1733" s="227"/>
    </row>
    <row r="1734" spans="1:33" x14ac:dyDescent="0.25">
      <c r="A1734" s="32"/>
      <c r="B1734" s="306"/>
      <c r="C1734" s="307"/>
      <c r="D1734" s="312"/>
      <c r="E1734" s="301"/>
      <c r="F1734" s="232"/>
      <c r="J1734" s="306"/>
      <c r="K1734" s="306"/>
      <c r="L1734" s="313"/>
      <c r="M1734" s="219"/>
      <c r="N1734" s="218"/>
      <c r="S1734" s="224"/>
      <c r="T1734" s="228"/>
      <c r="U1734" s="226"/>
      <c r="V1734" s="226"/>
      <c r="W1734" s="303"/>
      <c r="X1734" s="220"/>
      <c r="Z1734" s="227"/>
      <c r="AA1734" s="220"/>
      <c r="AB1734" s="221"/>
      <c r="AC1734" s="229"/>
      <c r="AD1734" s="230"/>
      <c r="AE1734" s="230"/>
      <c r="AF1734" s="230"/>
      <c r="AG1734" s="227"/>
    </row>
    <row r="1735" spans="1:33" x14ac:dyDescent="0.25">
      <c r="A1735" s="32"/>
      <c r="B1735" s="306"/>
      <c r="C1735" s="307"/>
      <c r="D1735" s="312"/>
      <c r="E1735" s="301"/>
      <c r="F1735" s="232"/>
      <c r="J1735" s="306"/>
      <c r="K1735" s="306"/>
      <c r="L1735" s="313"/>
      <c r="M1735" s="219"/>
      <c r="N1735" s="218"/>
      <c r="S1735" s="224"/>
      <c r="T1735" s="228"/>
      <c r="U1735" s="226"/>
      <c r="V1735" s="226"/>
      <c r="W1735" s="303"/>
      <c r="X1735" s="220"/>
      <c r="Z1735" s="227"/>
      <c r="AA1735" s="220"/>
      <c r="AB1735" s="221"/>
      <c r="AC1735" s="229"/>
      <c r="AD1735" s="230"/>
      <c r="AE1735" s="230"/>
      <c r="AF1735" s="230"/>
      <c r="AG1735" s="227"/>
    </row>
    <row r="1736" spans="1:33" x14ac:dyDescent="0.25">
      <c r="A1736" s="32"/>
      <c r="B1736" s="306"/>
      <c r="C1736" s="307"/>
      <c r="D1736" s="312"/>
      <c r="E1736" s="301"/>
      <c r="F1736" s="232"/>
      <c r="J1736" s="306"/>
      <c r="K1736" s="306"/>
      <c r="L1736" s="313"/>
      <c r="M1736" s="219"/>
      <c r="N1736" s="218"/>
      <c r="S1736" s="224"/>
      <c r="T1736" s="228"/>
      <c r="U1736" s="226"/>
      <c r="V1736" s="226"/>
      <c r="W1736" s="303"/>
      <c r="X1736" s="220"/>
      <c r="Z1736" s="227"/>
      <c r="AA1736" s="220"/>
      <c r="AB1736" s="221"/>
      <c r="AC1736" s="229"/>
      <c r="AD1736" s="230"/>
      <c r="AE1736" s="230"/>
      <c r="AF1736" s="230"/>
      <c r="AG1736" s="227"/>
    </row>
    <row r="1737" spans="1:33" x14ac:dyDescent="0.25">
      <c r="A1737" s="32"/>
      <c r="B1737" s="306"/>
      <c r="C1737" s="307"/>
      <c r="D1737" s="312"/>
      <c r="E1737" s="301"/>
      <c r="F1737" s="232"/>
      <c r="J1737" s="306"/>
      <c r="K1737" s="306"/>
      <c r="L1737" s="313"/>
      <c r="M1737" s="219"/>
      <c r="N1737" s="218"/>
      <c r="S1737" s="224"/>
      <c r="T1737" s="228"/>
      <c r="U1737" s="226"/>
      <c r="V1737" s="226"/>
      <c r="W1737" s="303"/>
      <c r="X1737" s="220"/>
      <c r="Z1737" s="227"/>
      <c r="AA1737" s="220"/>
      <c r="AB1737" s="221"/>
      <c r="AC1737" s="229"/>
      <c r="AD1737" s="230"/>
      <c r="AE1737" s="230"/>
      <c r="AF1737" s="230"/>
      <c r="AG1737" s="227"/>
    </row>
    <row r="1738" spans="1:33" x14ac:dyDescent="0.25">
      <c r="A1738" s="32"/>
      <c r="B1738" s="306"/>
      <c r="C1738" s="307"/>
      <c r="D1738" s="312"/>
      <c r="E1738" s="301"/>
      <c r="F1738" s="232"/>
      <c r="J1738" s="306"/>
      <c r="K1738" s="306"/>
      <c r="L1738" s="313"/>
      <c r="M1738" s="219"/>
      <c r="N1738" s="218"/>
      <c r="S1738" s="224"/>
      <c r="T1738" s="228"/>
      <c r="U1738" s="226"/>
      <c r="V1738" s="226"/>
      <c r="W1738" s="303"/>
      <c r="X1738" s="220"/>
      <c r="Z1738" s="227"/>
      <c r="AA1738" s="220"/>
      <c r="AB1738" s="221"/>
      <c r="AC1738" s="229"/>
      <c r="AD1738" s="230"/>
      <c r="AE1738" s="230"/>
      <c r="AF1738" s="230"/>
      <c r="AG1738" s="227"/>
    </row>
    <row r="1739" spans="1:33" x14ac:dyDescent="0.25">
      <c r="A1739" s="32"/>
      <c r="B1739" s="306"/>
      <c r="C1739" s="307"/>
      <c r="D1739" s="312"/>
      <c r="E1739" s="301"/>
      <c r="F1739" s="232"/>
      <c r="J1739" s="306"/>
      <c r="K1739" s="306"/>
      <c r="L1739" s="313"/>
      <c r="M1739" s="219"/>
      <c r="N1739" s="218"/>
      <c r="S1739" s="224"/>
      <c r="T1739" s="228"/>
      <c r="U1739" s="226"/>
      <c r="V1739" s="226"/>
      <c r="W1739" s="303"/>
      <c r="X1739" s="220"/>
      <c r="Z1739" s="227"/>
      <c r="AA1739" s="220"/>
      <c r="AB1739" s="221"/>
      <c r="AC1739" s="229"/>
      <c r="AD1739" s="230"/>
      <c r="AE1739" s="230"/>
      <c r="AF1739" s="230"/>
      <c r="AG1739" s="227"/>
    </row>
    <row r="1740" spans="1:33" x14ac:dyDescent="0.25">
      <c r="A1740" s="32"/>
      <c r="B1740" s="306"/>
      <c r="C1740" s="307"/>
      <c r="D1740" s="312"/>
      <c r="E1740" s="301"/>
      <c r="F1740" s="232"/>
      <c r="J1740" s="306"/>
      <c r="K1740" s="306"/>
      <c r="L1740" s="313"/>
      <c r="M1740" s="219"/>
      <c r="N1740" s="218"/>
      <c r="S1740" s="224"/>
      <c r="T1740" s="228"/>
      <c r="U1740" s="226"/>
      <c r="V1740" s="226"/>
      <c r="W1740" s="303"/>
      <c r="X1740" s="220"/>
      <c r="Z1740" s="227"/>
      <c r="AA1740" s="220"/>
      <c r="AB1740" s="221"/>
      <c r="AC1740" s="229"/>
      <c r="AD1740" s="230"/>
      <c r="AE1740" s="230"/>
      <c r="AF1740" s="230"/>
      <c r="AG1740" s="227"/>
    </row>
    <row r="1741" spans="1:33" x14ac:dyDescent="0.25">
      <c r="A1741" s="32"/>
      <c r="B1741" s="306"/>
      <c r="C1741" s="307"/>
      <c r="D1741" s="312"/>
      <c r="E1741" s="301"/>
      <c r="F1741" s="232"/>
      <c r="J1741" s="306"/>
      <c r="K1741" s="306"/>
      <c r="L1741" s="313"/>
      <c r="M1741" s="219"/>
      <c r="N1741" s="218"/>
      <c r="S1741" s="224"/>
      <c r="T1741" s="228"/>
      <c r="U1741" s="226"/>
      <c r="V1741" s="226"/>
      <c r="W1741" s="303"/>
      <c r="X1741" s="220"/>
      <c r="Z1741" s="227"/>
      <c r="AA1741" s="220"/>
      <c r="AB1741" s="221"/>
      <c r="AC1741" s="229"/>
      <c r="AD1741" s="230"/>
      <c r="AE1741" s="230"/>
      <c r="AF1741" s="230"/>
      <c r="AG1741" s="227"/>
    </row>
    <row r="1742" spans="1:33" x14ac:dyDescent="0.25">
      <c r="A1742" s="32"/>
      <c r="B1742" s="306"/>
      <c r="C1742" s="307"/>
      <c r="D1742" s="312"/>
      <c r="E1742" s="301"/>
      <c r="F1742" s="232"/>
      <c r="J1742" s="306"/>
      <c r="K1742" s="306"/>
      <c r="L1742" s="313"/>
      <c r="M1742" s="219"/>
      <c r="N1742" s="218"/>
      <c r="S1742" s="224"/>
      <c r="T1742" s="228"/>
      <c r="U1742" s="226"/>
      <c r="V1742" s="226"/>
      <c r="W1742" s="303"/>
      <c r="X1742" s="220"/>
      <c r="Z1742" s="227"/>
      <c r="AA1742" s="220"/>
      <c r="AB1742" s="221"/>
      <c r="AC1742" s="229"/>
      <c r="AD1742" s="230"/>
      <c r="AE1742" s="230"/>
      <c r="AF1742" s="230"/>
      <c r="AG1742" s="227"/>
    </row>
    <row r="1743" spans="1:33" x14ac:dyDescent="0.25">
      <c r="A1743" s="32"/>
      <c r="B1743" s="306"/>
      <c r="C1743" s="307"/>
      <c r="D1743" s="312"/>
      <c r="E1743" s="301"/>
      <c r="F1743" s="232"/>
      <c r="J1743" s="306"/>
      <c r="K1743" s="306"/>
      <c r="L1743" s="313"/>
      <c r="M1743" s="219"/>
      <c r="N1743" s="218"/>
      <c r="S1743" s="224"/>
      <c r="T1743" s="228"/>
      <c r="U1743" s="226"/>
      <c r="V1743" s="226"/>
      <c r="W1743" s="303"/>
      <c r="X1743" s="220"/>
      <c r="Z1743" s="227"/>
      <c r="AA1743" s="220"/>
      <c r="AB1743" s="221"/>
      <c r="AC1743" s="229"/>
      <c r="AD1743" s="230"/>
      <c r="AE1743" s="230"/>
      <c r="AF1743" s="230"/>
      <c r="AG1743" s="227"/>
    </row>
    <row r="1744" spans="1:33" x14ac:dyDescent="0.25">
      <c r="A1744" s="32"/>
      <c r="B1744" s="306"/>
      <c r="C1744" s="307"/>
      <c r="D1744" s="312"/>
      <c r="E1744" s="301"/>
      <c r="F1744" s="232"/>
      <c r="J1744" s="306"/>
      <c r="K1744" s="306"/>
      <c r="L1744" s="313"/>
      <c r="M1744" s="219"/>
      <c r="N1744" s="218"/>
      <c r="S1744" s="224"/>
      <c r="T1744" s="228"/>
      <c r="U1744" s="226"/>
      <c r="V1744" s="226"/>
      <c r="W1744" s="303"/>
      <c r="X1744" s="220"/>
      <c r="Z1744" s="227"/>
      <c r="AA1744" s="220"/>
      <c r="AB1744" s="221"/>
      <c r="AC1744" s="229"/>
      <c r="AD1744" s="230"/>
      <c r="AE1744" s="230"/>
      <c r="AF1744" s="230"/>
      <c r="AG1744" s="227"/>
    </row>
    <row r="1745" spans="1:33" x14ac:dyDescent="0.25">
      <c r="A1745" s="32"/>
      <c r="B1745" s="306"/>
      <c r="C1745" s="307"/>
      <c r="D1745" s="312"/>
      <c r="E1745" s="301"/>
      <c r="F1745" s="232"/>
      <c r="J1745" s="306"/>
      <c r="K1745" s="306"/>
      <c r="L1745" s="313"/>
      <c r="M1745" s="219"/>
      <c r="N1745" s="218"/>
      <c r="S1745" s="224"/>
      <c r="T1745" s="228"/>
      <c r="U1745" s="226"/>
      <c r="V1745" s="226"/>
      <c r="W1745" s="303"/>
      <c r="X1745" s="220"/>
      <c r="Z1745" s="227"/>
      <c r="AA1745" s="220"/>
      <c r="AB1745" s="221"/>
      <c r="AC1745" s="229"/>
      <c r="AD1745" s="230"/>
      <c r="AE1745" s="230"/>
      <c r="AF1745" s="230"/>
      <c r="AG1745" s="227"/>
    </row>
    <row r="1746" spans="1:33" x14ac:dyDescent="0.25">
      <c r="A1746" s="32"/>
      <c r="B1746" s="306"/>
      <c r="C1746" s="307"/>
      <c r="D1746" s="312"/>
      <c r="E1746" s="301"/>
      <c r="F1746" s="232"/>
      <c r="J1746" s="306"/>
      <c r="K1746" s="306"/>
      <c r="L1746" s="313"/>
      <c r="M1746" s="219"/>
      <c r="N1746" s="218"/>
      <c r="S1746" s="224"/>
      <c r="T1746" s="228"/>
      <c r="U1746" s="226"/>
      <c r="V1746" s="226"/>
      <c r="W1746" s="303"/>
      <c r="X1746" s="220"/>
      <c r="Z1746" s="227"/>
      <c r="AA1746" s="220"/>
      <c r="AB1746" s="221"/>
      <c r="AC1746" s="229"/>
      <c r="AD1746" s="230"/>
      <c r="AE1746" s="230"/>
      <c r="AF1746" s="230"/>
      <c r="AG1746" s="227"/>
    </row>
    <row r="1747" spans="1:33" x14ac:dyDescent="0.25">
      <c r="A1747" s="32"/>
      <c r="B1747" s="306"/>
      <c r="C1747" s="307"/>
      <c r="D1747" s="312"/>
      <c r="E1747" s="301"/>
      <c r="F1747" s="232"/>
      <c r="J1747" s="306"/>
      <c r="K1747" s="306"/>
      <c r="L1747" s="313"/>
      <c r="M1747" s="219"/>
      <c r="N1747" s="218"/>
      <c r="S1747" s="224"/>
      <c r="T1747" s="228"/>
      <c r="U1747" s="226"/>
      <c r="V1747" s="226"/>
      <c r="W1747" s="303"/>
      <c r="X1747" s="220"/>
      <c r="Z1747" s="227"/>
      <c r="AA1747" s="220"/>
      <c r="AB1747" s="221"/>
      <c r="AC1747" s="229"/>
      <c r="AD1747" s="230"/>
      <c r="AE1747" s="230"/>
      <c r="AF1747" s="230"/>
      <c r="AG1747" s="227"/>
    </row>
    <row r="1748" spans="1:33" x14ac:dyDescent="0.25">
      <c r="A1748" s="32"/>
      <c r="B1748" s="306"/>
      <c r="C1748" s="307"/>
      <c r="D1748" s="312"/>
      <c r="E1748" s="301"/>
      <c r="F1748" s="232"/>
      <c r="J1748" s="306"/>
      <c r="K1748" s="306"/>
      <c r="L1748" s="313"/>
      <c r="M1748" s="219"/>
      <c r="N1748" s="218"/>
      <c r="S1748" s="224"/>
      <c r="T1748" s="228"/>
      <c r="U1748" s="226"/>
      <c r="V1748" s="226"/>
      <c r="W1748" s="303"/>
      <c r="X1748" s="220"/>
      <c r="Z1748" s="227"/>
      <c r="AA1748" s="220"/>
      <c r="AB1748" s="221"/>
      <c r="AC1748" s="229"/>
      <c r="AD1748" s="230"/>
      <c r="AE1748" s="230"/>
      <c r="AF1748" s="230"/>
      <c r="AG1748" s="227"/>
    </row>
    <row r="1749" spans="1:33" x14ac:dyDescent="0.25">
      <c r="A1749" s="32"/>
      <c r="B1749" s="306"/>
      <c r="C1749" s="307"/>
      <c r="D1749" s="312"/>
      <c r="E1749" s="301"/>
      <c r="F1749" s="232"/>
      <c r="J1749" s="306"/>
      <c r="K1749" s="306"/>
      <c r="L1749" s="313"/>
      <c r="M1749" s="219"/>
      <c r="N1749" s="218"/>
      <c r="S1749" s="224"/>
      <c r="T1749" s="228"/>
      <c r="U1749" s="226"/>
      <c r="V1749" s="226"/>
      <c r="W1749" s="303"/>
      <c r="X1749" s="220"/>
      <c r="Z1749" s="227"/>
      <c r="AA1749" s="220"/>
      <c r="AB1749" s="221"/>
      <c r="AC1749" s="229"/>
      <c r="AD1749" s="230"/>
      <c r="AE1749" s="230"/>
      <c r="AF1749" s="230"/>
      <c r="AG1749" s="227"/>
    </row>
    <row r="1750" spans="1:33" x14ac:dyDescent="0.25">
      <c r="A1750" s="32"/>
      <c r="B1750" s="306"/>
      <c r="C1750" s="307"/>
      <c r="D1750" s="312"/>
      <c r="E1750" s="301"/>
      <c r="F1750" s="232"/>
      <c r="J1750" s="306"/>
      <c r="K1750" s="306"/>
      <c r="L1750" s="313"/>
      <c r="M1750" s="219"/>
      <c r="N1750" s="218"/>
      <c r="S1750" s="224"/>
      <c r="T1750" s="228"/>
      <c r="U1750" s="226"/>
      <c r="V1750" s="226"/>
      <c r="W1750" s="303"/>
      <c r="X1750" s="220"/>
      <c r="Z1750" s="227"/>
      <c r="AA1750" s="220"/>
      <c r="AB1750" s="221"/>
      <c r="AC1750" s="229"/>
      <c r="AD1750" s="230"/>
      <c r="AE1750" s="230"/>
      <c r="AF1750" s="230"/>
      <c r="AG1750" s="227"/>
    </row>
    <row r="1751" spans="1:33" x14ac:dyDescent="0.25">
      <c r="A1751" s="32"/>
      <c r="B1751" s="306"/>
      <c r="C1751" s="307"/>
      <c r="D1751" s="312"/>
      <c r="E1751" s="301"/>
      <c r="F1751" s="232"/>
      <c r="J1751" s="306"/>
      <c r="K1751" s="306"/>
      <c r="L1751" s="313"/>
      <c r="M1751" s="219"/>
      <c r="N1751" s="218"/>
      <c r="S1751" s="224"/>
      <c r="T1751" s="228"/>
      <c r="U1751" s="226"/>
      <c r="V1751" s="226"/>
      <c r="W1751" s="303"/>
      <c r="X1751" s="220"/>
      <c r="Z1751" s="227"/>
      <c r="AA1751" s="220"/>
      <c r="AB1751" s="221"/>
      <c r="AC1751" s="229"/>
      <c r="AD1751" s="230"/>
      <c r="AE1751" s="230"/>
      <c r="AF1751" s="230"/>
      <c r="AG1751" s="227"/>
    </row>
    <row r="1752" spans="1:33" x14ac:dyDescent="0.25">
      <c r="A1752" s="32"/>
      <c r="B1752" s="306"/>
      <c r="C1752" s="307"/>
      <c r="D1752" s="312"/>
      <c r="E1752" s="301"/>
      <c r="F1752" s="232"/>
      <c r="J1752" s="306"/>
      <c r="K1752" s="306"/>
      <c r="L1752" s="313"/>
      <c r="M1752" s="219"/>
      <c r="N1752" s="218"/>
      <c r="S1752" s="224"/>
      <c r="T1752" s="228"/>
      <c r="U1752" s="226"/>
      <c r="V1752" s="226"/>
      <c r="W1752" s="303"/>
      <c r="X1752" s="220"/>
      <c r="Z1752" s="227"/>
      <c r="AA1752" s="220"/>
      <c r="AB1752" s="221"/>
      <c r="AC1752" s="229"/>
      <c r="AD1752" s="230"/>
      <c r="AE1752" s="230"/>
      <c r="AF1752" s="230"/>
      <c r="AG1752" s="227"/>
    </row>
    <row r="1753" spans="1:33" x14ac:dyDescent="0.25">
      <c r="A1753" s="32"/>
      <c r="B1753" s="306"/>
      <c r="C1753" s="307"/>
      <c r="D1753" s="312"/>
      <c r="E1753" s="301"/>
      <c r="F1753" s="232"/>
      <c r="J1753" s="306"/>
      <c r="K1753" s="306"/>
      <c r="L1753" s="313"/>
      <c r="M1753" s="219"/>
      <c r="N1753" s="218"/>
      <c r="S1753" s="224"/>
      <c r="T1753" s="228"/>
      <c r="U1753" s="226"/>
      <c r="V1753" s="226"/>
      <c r="W1753" s="303"/>
      <c r="X1753" s="220"/>
      <c r="Z1753" s="227"/>
      <c r="AA1753" s="220"/>
      <c r="AB1753" s="221"/>
      <c r="AC1753" s="229"/>
      <c r="AD1753" s="230"/>
      <c r="AE1753" s="230"/>
      <c r="AF1753" s="230"/>
      <c r="AG1753" s="227"/>
    </row>
    <row r="1754" spans="1:33" x14ac:dyDescent="0.25">
      <c r="A1754" s="32"/>
      <c r="B1754" s="306"/>
      <c r="C1754" s="307"/>
      <c r="D1754" s="312"/>
      <c r="E1754" s="301"/>
      <c r="F1754" s="232"/>
      <c r="J1754" s="306"/>
      <c r="K1754" s="306"/>
      <c r="L1754" s="313"/>
      <c r="M1754" s="219"/>
      <c r="N1754" s="218"/>
      <c r="S1754" s="224"/>
      <c r="T1754" s="228"/>
      <c r="U1754" s="226"/>
      <c r="V1754" s="226"/>
      <c r="W1754" s="303"/>
      <c r="X1754" s="220"/>
      <c r="Z1754" s="227"/>
      <c r="AA1754" s="220"/>
      <c r="AB1754" s="221"/>
      <c r="AC1754" s="229"/>
      <c r="AD1754" s="230"/>
      <c r="AE1754" s="230"/>
      <c r="AF1754" s="230"/>
      <c r="AG1754" s="227"/>
    </row>
    <row r="1755" spans="1:33" x14ac:dyDescent="0.25">
      <c r="A1755" s="32"/>
      <c r="B1755" s="306"/>
      <c r="C1755" s="307"/>
      <c r="D1755" s="312"/>
      <c r="E1755" s="301"/>
      <c r="F1755" s="232"/>
      <c r="J1755" s="306"/>
      <c r="K1755" s="306"/>
      <c r="L1755" s="313"/>
      <c r="M1755" s="219"/>
      <c r="N1755" s="218"/>
      <c r="S1755" s="224"/>
      <c r="T1755" s="228"/>
      <c r="U1755" s="226"/>
      <c r="V1755" s="226"/>
      <c r="W1755" s="303"/>
      <c r="X1755" s="220"/>
      <c r="Z1755" s="227"/>
      <c r="AA1755" s="220"/>
      <c r="AB1755" s="221"/>
      <c r="AC1755" s="229"/>
      <c r="AD1755" s="230"/>
      <c r="AE1755" s="230"/>
      <c r="AF1755" s="230"/>
      <c r="AG1755" s="227"/>
    </row>
    <row r="1756" spans="1:33" x14ac:dyDescent="0.25">
      <c r="A1756" s="32"/>
      <c r="B1756" s="306"/>
      <c r="C1756" s="307"/>
      <c r="D1756" s="312"/>
      <c r="E1756" s="301"/>
      <c r="F1756" s="232"/>
      <c r="J1756" s="306"/>
      <c r="K1756" s="306"/>
      <c r="L1756" s="313"/>
      <c r="M1756" s="219"/>
      <c r="N1756" s="218"/>
      <c r="S1756" s="224"/>
      <c r="T1756" s="228"/>
      <c r="U1756" s="226"/>
      <c r="V1756" s="226"/>
      <c r="W1756" s="303"/>
      <c r="X1756" s="220"/>
      <c r="Z1756" s="227"/>
      <c r="AA1756" s="220"/>
      <c r="AB1756" s="221"/>
      <c r="AC1756" s="229"/>
      <c r="AD1756" s="230"/>
      <c r="AE1756" s="230"/>
      <c r="AF1756" s="230"/>
      <c r="AG1756" s="227"/>
    </row>
    <row r="1757" spans="1:33" x14ac:dyDescent="0.25">
      <c r="A1757" s="32"/>
      <c r="B1757" s="306"/>
      <c r="C1757" s="307"/>
      <c r="D1757" s="312"/>
      <c r="E1757" s="301"/>
      <c r="F1757" s="232"/>
      <c r="J1757" s="306"/>
      <c r="K1757" s="306"/>
      <c r="L1757" s="313"/>
      <c r="M1757" s="219"/>
      <c r="N1757" s="218"/>
      <c r="S1757" s="224"/>
      <c r="T1757" s="228"/>
      <c r="U1757" s="226"/>
      <c r="V1757" s="226"/>
      <c r="W1757" s="303"/>
      <c r="X1757" s="220"/>
      <c r="Z1757" s="227"/>
      <c r="AA1757" s="220"/>
      <c r="AB1757" s="221"/>
      <c r="AC1757" s="229"/>
      <c r="AD1757" s="230"/>
      <c r="AE1757" s="230"/>
      <c r="AF1757" s="230"/>
      <c r="AG1757" s="227"/>
    </row>
    <row r="1758" spans="1:33" x14ac:dyDescent="0.25">
      <c r="A1758" s="32"/>
      <c r="B1758" s="306"/>
      <c r="C1758" s="307"/>
      <c r="D1758" s="312"/>
      <c r="E1758" s="301"/>
      <c r="F1758" s="232"/>
      <c r="J1758" s="306"/>
      <c r="K1758" s="306"/>
      <c r="L1758" s="313"/>
      <c r="M1758" s="219"/>
      <c r="N1758" s="218"/>
      <c r="S1758" s="224"/>
      <c r="T1758" s="228"/>
      <c r="U1758" s="226"/>
      <c r="V1758" s="226"/>
      <c r="W1758" s="303"/>
      <c r="X1758" s="220"/>
      <c r="Z1758" s="227"/>
      <c r="AA1758" s="220"/>
      <c r="AB1758" s="221"/>
      <c r="AC1758" s="229"/>
      <c r="AD1758" s="230"/>
      <c r="AE1758" s="230"/>
      <c r="AF1758" s="230"/>
      <c r="AG1758" s="227"/>
    </row>
    <row r="1759" spans="1:33" x14ac:dyDescent="0.25">
      <c r="A1759" s="32"/>
      <c r="B1759" s="306"/>
      <c r="C1759" s="307"/>
      <c r="D1759" s="312"/>
      <c r="E1759" s="301"/>
      <c r="F1759" s="232"/>
      <c r="J1759" s="306"/>
      <c r="K1759" s="306"/>
      <c r="L1759" s="313"/>
      <c r="M1759" s="219"/>
      <c r="N1759" s="218"/>
      <c r="S1759" s="224"/>
      <c r="T1759" s="228"/>
      <c r="U1759" s="226"/>
      <c r="V1759" s="226"/>
      <c r="W1759" s="303"/>
      <c r="X1759" s="220"/>
      <c r="Z1759" s="227"/>
      <c r="AA1759" s="220"/>
      <c r="AB1759" s="221"/>
      <c r="AC1759" s="229"/>
      <c r="AD1759" s="230"/>
      <c r="AE1759" s="230"/>
      <c r="AF1759" s="230"/>
      <c r="AG1759" s="227"/>
    </row>
    <row r="1760" spans="1:33" x14ac:dyDescent="0.25">
      <c r="A1760" s="32"/>
      <c r="B1760" s="306"/>
      <c r="C1760" s="307"/>
      <c r="D1760" s="312"/>
      <c r="E1760" s="301"/>
      <c r="F1760" s="232"/>
      <c r="J1760" s="306"/>
      <c r="K1760" s="306"/>
      <c r="L1760" s="313"/>
      <c r="M1760" s="219"/>
      <c r="N1760" s="218"/>
      <c r="S1760" s="224"/>
      <c r="T1760" s="228"/>
      <c r="U1760" s="226"/>
      <c r="V1760" s="226"/>
      <c r="W1760" s="303"/>
      <c r="X1760" s="220"/>
      <c r="Z1760" s="227"/>
      <c r="AA1760" s="220"/>
      <c r="AB1760" s="221"/>
      <c r="AC1760" s="229"/>
      <c r="AD1760" s="230"/>
      <c r="AE1760" s="230"/>
      <c r="AF1760" s="230"/>
      <c r="AG1760" s="227"/>
    </row>
    <row r="1761" spans="1:33" x14ac:dyDescent="0.25">
      <c r="A1761" s="32"/>
      <c r="B1761" s="306"/>
      <c r="C1761" s="307"/>
      <c r="D1761" s="312"/>
      <c r="E1761" s="301"/>
      <c r="F1761" s="232"/>
      <c r="J1761" s="306"/>
      <c r="K1761" s="306"/>
      <c r="L1761" s="313"/>
      <c r="M1761" s="219"/>
      <c r="N1761" s="218"/>
      <c r="S1761" s="224"/>
      <c r="T1761" s="228"/>
      <c r="U1761" s="226"/>
      <c r="V1761" s="226"/>
      <c r="W1761" s="303"/>
      <c r="X1761" s="220"/>
      <c r="Z1761" s="227"/>
      <c r="AA1761" s="220"/>
      <c r="AB1761" s="221"/>
      <c r="AC1761" s="229"/>
      <c r="AD1761" s="230"/>
      <c r="AE1761" s="230"/>
      <c r="AF1761" s="230"/>
      <c r="AG1761" s="227"/>
    </row>
    <row r="1762" spans="1:33" x14ac:dyDescent="0.25">
      <c r="A1762" s="32"/>
      <c r="B1762" s="306"/>
      <c r="C1762" s="307"/>
      <c r="D1762" s="312"/>
      <c r="E1762" s="301"/>
      <c r="F1762" s="232"/>
      <c r="J1762" s="306"/>
      <c r="K1762" s="306"/>
      <c r="L1762" s="313"/>
      <c r="M1762" s="219"/>
      <c r="N1762" s="218"/>
      <c r="S1762" s="224"/>
      <c r="T1762" s="228"/>
      <c r="U1762" s="226"/>
      <c r="V1762" s="226"/>
      <c r="W1762" s="303"/>
      <c r="X1762" s="220"/>
      <c r="Z1762" s="227"/>
      <c r="AA1762" s="220"/>
      <c r="AB1762" s="221"/>
      <c r="AC1762" s="229"/>
      <c r="AD1762" s="230"/>
      <c r="AE1762" s="230"/>
      <c r="AF1762" s="230"/>
      <c r="AG1762" s="227"/>
    </row>
    <row r="1763" spans="1:33" x14ac:dyDescent="0.25">
      <c r="A1763" s="32"/>
      <c r="B1763" s="306"/>
      <c r="C1763" s="307"/>
      <c r="D1763" s="312"/>
      <c r="E1763" s="301"/>
      <c r="F1763" s="232"/>
      <c r="J1763" s="306"/>
      <c r="K1763" s="306"/>
      <c r="L1763" s="313"/>
      <c r="M1763" s="219"/>
      <c r="N1763" s="218"/>
      <c r="S1763" s="224"/>
      <c r="T1763" s="228"/>
      <c r="U1763" s="226"/>
      <c r="V1763" s="226"/>
      <c r="W1763" s="303"/>
      <c r="X1763" s="220"/>
      <c r="Z1763" s="227"/>
      <c r="AA1763" s="220"/>
      <c r="AB1763" s="221"/>
      <c r="AC1763" s="229"/>
      <c r="AD1763" s="230"/>
      <c r="AE1763" s="230"/>
      <c r="AF1763" s="230"/>
      <c r="AG1763" s="227"/>
    </row>
    <row r="1764" spans="1:33" x14ac:dyDescent="0.25">
      <c r="A1764" s="32"/>
      <c r="B1764" s="306"/>
      <c r="C1764" s="307"/>
      <c r="D1764" s="312"/>
      <c r="E1764" s="301"/>
      <c r="F1764" s="232"/>
      <c r="J1764" s="306"/>
      <c r="K1764" s="306"/>
      <c r="L1764" s="313"/>
      <c r="M1764" s="219"/>
      <c r="N1764" s="218"/>
      <c r="S1764" s="224"/>
      <c r="T1764" s="228"/>
      <c r="U1764" s="226"/>
      <c r="V1764" s="226"/>
      <c r="W1764" s="303"/>
      <c r="X1764" s="220"/>
      <c r="Z1764" s="227"/>
      <c r="AA1764" s="220"/>
      <c r="AB1764" s="221"/>
      <c r="AC1764" s="229"/>
      <c r="AD1764" s="230"/>
      <c r="AE1764" s="230"/>
      <c r="AF1764" s="230"/>
      <c r="AG1764" s="227"/>
    </row>
    <row r="1765" spans="1:33" x14ac:dyDescent="0.25">
      <c r="A1765" s="32"/>
      <c r="B1765" s="306"/>
      <c r="C1765" s="307"/>
      <c r="D1765" s="312"/>
      <c r="E1765" s="301"/>
      <c r="F1765" s="232"/>
      <c r="J1765" s="306"/>
      <c r="K1765" s="306"/>
      <c r="L1765" s="313"/>
      <c r="M1765" s="219"/>
      <c r="N1765" s="218"/>
      <c r="S1765" s="224"/>
      <c r="T1765" s="228"/>
      <c r="U1765" s="226"/>
      <c r="V1765" s="226"/>
      <c r="W1765" s="303"/>
      <c r="X1765" s="220"/>
      <c r="Z1765" s="227"/>
      <c r="AA1765" s="220"/>
      <c r="AB1765" s="221"/>
      <c r="AC1765" s="229"/>
      <c r="AD1765" s="230"/>
      <c r="AE1765" s="230"/>
      <c r="AF1765" s="230"/>
      <c r="AG1765" s="227"/>
    </row>
    <row r="1766" spans="1:33" x14ac:dyDescent="0.25">
      <c r="A1766" s="32"/>
      <c r="B1766" s="306"/>
      <c r="C1766" s="307"/>
      <c r="D1766" s="312"/>
      <c r="E1766" s="301"/>
      <c r="F1766" s="232"/>
      <c r="J1766" s="306"/>
      <c r="K1766" s="306"/>
      <c r="L1766" s="313"/>
      <c r="M1766" s="219"/>
      <c r="N1766" s="218"/>
      <c r="S1766" s="224"/>
      <c r="T1766" s="228"/>
      <c r="U1766" s="226"/>
      <c r="V1766" s="226"/>
      <c r="W1766" s="303"/>
      <c r="X1766" s="220"/>
      <c r="Z1766" s="227"/>
      <c r="AA1766" s="220"/>
      <c r="AB1766" s="221"/>
      <c r="AC1766" s="229"/>
      <c r="AD1766" s="230"/>
      <c r="AE1766" s="230"/>
      <c r="AF1766" s="230"/>
      <c r="AG1766" s="227"/>
    </row>
    <row r="1767" spans="1:33" x14ac:dyDescent="0.25">
      <c r="A1767" s="32"/>
      <c r="B1767" s="306"/>
      <c r="C1767" s="307"/>
      <c r="D1767" s="312"/>
      <c r="E1767" s="301"/>
      <c r="F1767" s="232"/>
      <c r="J1767" s="306"/>
      <c r="K1767" s="306"/>
      <c r="L1767" s="313"/>
      <c r="M1767" s="219"/>
      <c r="N1767" s="218"/>
      <c r="S1767" s="224"/>
      <c r="T1767" s="228"/>
      <c r="U1767" s="226"/>
      <c r="V1767" s="226"/>
      <c r="W1767" s="303"/>
      <c r="X1767" s="220"/>
      <c r="Z1767" s="227"/>
      <c r="AA1767" s="220"/>
      <c r="AB1767" s="221"/>
      <c r="AC1767" s="229"/>
      <c r="AD1767" s="230"/>
      <c r="AE1767" s="230"/>
      <c r="AF1767" s="230"/>
      <c r="AG1767" s="227"/>
    </row>
    <row r="1768" spans="1:33" x14ac:dyDescent="0.25">
      <c r="A1768" s="32"/>
      <c r="B1768" s="306"/>
      <c r="C1768" s="307"/>
      <c r="D1768" s="312"/>
      <c r="E1768" s="301"/>
      <c r="F1768" s="232"/>
      <c r="J1768" s="306"/>
      <c r="K1768" s="306"/>
      <c r="L1768" s="313"/>
      <c r="M1768" s="219"/>
      <c r="N1768" s="218"/>
      <c r="S1768" s="224"/>
      <c r="T1768" s="228"/>
      <c r="U1768" s="226"/>
      <c r="V1768" s="226"/>
      <c r="W1768" s="303"/>
      <c r="X1768" s="220"/>
      <c r="Z1768" s="227"/>
      <c r="AA1768" s="220"/>
      <c r="AB1768" s="221"/>
      <c r="AC1768" s="229"/>
      <c r="AD1768" s="230"/>
      <c r="AE1768" s="230"/>
      <c r="AF1768" s="230"/>
      <c r="AG1768" s="227"/>
    </row>
    <row r="1769" spans="1:33" x14ac:dyDescent="0.25">
      <c r="A1769" s="32"/>
      <c r="B1769" s="306"/>
      <c r="C1769" s="307"/>
      <c r="D1769" s="312"/>
      <c r="E1769" s="301"/>
      <c r="F1769" s="232"/>
      <c r="J1769" s="306"/>
      <c r="K1769" s="306"/>
      <c r="L1769" s="313"/>
      <c r="M1769" s="219"/>
      <c r="N1769" s="218"/>
      <c r="S1769" s="224"/>
      <c r="T1769" s="228"/>
      <c r="U1769" s="226"/>
      <c r="V1769" s="226"/>
      <c r="W1769" s="303"/>
      <c r="X1769" s="220"/>
      <c r="Z1769" s="227"/>
      <c r="AA1769" s="220"/>
      <c r="AB1769" s="221"/>
      <c r="AC1769" s="229"/>
      <c r="AD1769" s="230"/>
      <c r="AE1769" s="230"/>
      <c r="AF1769" s="230"/>
      <c r="AG1769" s="227"/>
    </row>
    <row r="1770" spans="1:33" x14ac:dyDescent="0.25">
      <c r="A1770" s="32"/>
      <c r="B1770" s="306"/>
      <c r="C1770" s="307"/>
      <c r="D1770" s="312"/>
      <c r="E1770" s="301"/>
      <c r="F1770" s="232"/>
      <c r="J1770" s="306"/>
      <c r="K1770" s="306"/>
      <c r="L1770" s="313"/>
      <c r="M1770" s="219"/>
      <c r="N1770" s="218"/>
      <c r="S1770" s="224"/>
      <c r="T1770" s="228"/>
      <c r="U1770" s="226"/>
      <c r="V1770" s="226"/>
      <c r="W1770" s="303"/>
      <c r="X1770" s="220"/>
      <c r="Z1770" s="227"/>
      <c r="AA1770" s="220"/>
      <c r="AB1770" s="221"/>
      <c r="AC1770" s="229"/>
      <c r="AD1770" s="230"/>
      <c r="AE1770" s="230"/>
      <c r="AF1770" s="230"/>
      <c r="AG1770" s="227"/>
    </row>
    <row r="1771" spans="1:33" x14ac:dyDescent="0.25">
      <c r="A1771" s="32"/>
      <c r="B1771" s="306"/>
      <c r="C1771" s="307"/>
      <c r="D1771" s="312"/>
      <c r="E1771" s="301"/>
      <c r="F1771" s="232"/>
      <c r="J1771" s="306"/>
      <c r="K1771" s="306"/>
      <c r="L1771" s="313"/>
      <c r="M1771" s="219"/>
      <c r="N1771" s="218"/>
      <c r="S1771" s="224"/>
      <c r="T1771" s="228"/>
      <c r="U1771" s="226"/>
      <c r="V1771" s="226"/>
      <c r="W1771" s="303"/>
      <c r="X1771" s="220"/>
      <c r="Z1771" s="227"/>
      <c r="AA1771" s="220"/>
      <c r="AB1771" s="221"/>
      <c r="AC1771" s="229"/>
      <c r="AD1771" s="230"/>
      <c r="AE1771" s="230"/>
      <c r="AF1771" s="230"/>
      <c r="AG1771" s="227"/>
    </row>
    <row r="1772" spans="1:33" x14ac:dyDescent="0.25">
      <c r="A1772" s="32"/>
      <c r="B1772" s="306"/>
      <c r="C1772" s="307"/>
      <c r="D1772" s="312"/>
      <c r="E1772" s="301"/>
      <c r="F1772" s="232"/>
      <c r="J1772" s="306"/>
      <c r="K1772" s="306"/>
      <c r="L1772" s="313"/>
      <c r="M1772" s="219"/>
      <c r="N1772" s="218"/>
      <c r="S1772" s="224"/>
      <c r="T1772" s="228"/>
      <c r="U1772" s="226"/>
      <c r="V1772" s="226"/>
      <c r="W1772" s="303"/>
      <c r="X1772" s="220"/>
      <c r="Z1772" s="227"/>
      <c r="AA1772" s="220"/>
      <c r="AB1772" s="221"/>
      <c r="AC1772" s="229"/>
      <c r="AD1772" s="230"/>
      <c r="AE1772" s="230"/>
      <c r="AF1772" s="230"/>
      <c r="AG1772" s="227"/>
    </row>
    <row r="1773" spans="1:33" x14ac:dyDescent="0.25">
      <c r="A1773" s="32"/>
      <c r="B1773" s="306"/>
      <c r="C1773" s="307"/>
      <c r="D1773" s="312"/>
      <c r="E1773" s="301"/>
      <c r="F1773" s="232"/>
      <c r="J1773" s="306"/>
      <c r="K1773" s="306"/>
      <c r="L1773" s="313"/>
      <c r="M1773" s="219"/>
      <c r="N1773" s="218"/>
      <c r="S1773" s="224"/>
      <c r="T1773" s="228"/>
      <c r="U1773" s="226"/>
      <c r="V1773" s="226"/>
      <c r="W1773" s="303"/>
      <c r="X1773" s="220"/>
      <c r="Z1773" s="227"/>
      <c r="AA1773" s="220"/>
      <c r="AB1773" s="221"/>
      <c r="AC1773" s="229"/>
      <c r="AD1773" s="230"/>
      <c r="AE1773" s="230"/>
      <c r="AF1773" s="230"/>
      <c r="AG1773" s="227"/>
    </row>
    <row r="1774" spans="1:33" x14ac:dyDescent="0.25">
      <c r="A1774" s="32"/>
      <c r="B1774" s="306"/>
      <c r="C1774" s="307"/>
      <c r="D1774" s="312"/>
      <c r="E1774" s="301"/>
      <c r="F1774" s="232"/>
      <c r="J1774" s="306"/>
      <c r="K1774" s="306"/>
      <c r="L1774" s="313"/>
      <c r="M1774" s="219"/>
      <c r="N1774" s="218"/>
      <c r="S1774" s="224"/>
      <c r="T1774" s="228"/>
      <c r="U1774" s="226"/>
      <c r="V1774" s="226"/>
      <c r="W1774" s="303"/>
      <c r="X1774" s="220"/>
      <c r="Z1774" s="227"/>
      <c r="AA1774" s="220"/>
      <c r="AB1774" s="221"/>
      <c r="AC1774" s="229"/>
      <c r="AD1774" s="230"/>
      <c r="AE1774" s="230"/>
      <c r="AF1774" s="230"/>
      <c r="AG1774" s="227"/>
    </row>
    <row r="1775" spans="1:33" x14ac:dyDescent="0.25">
      <c r="A1775" s="32"/>
      <c r="B1775" s="306"/>
      <c r="C1775" s="307"/>
      <c r="D1775" s="312"/>
      <c r="E1775" s="301"/>
      <c r="F1775" s="232"/>
      <c r="J1775" s="306"/>
      <c r="K1775" s="306"/>
      <c r="L1775" s="313"/>
      <c r="M1775" s="219"/>
      <c r="N1775" s="218"/>
      <c r="S1775" s="224"/>
      <c r="T1775" s="228"/>
      <c r="U1775" s="226"/>
      <c r="V1775" s="226"/>
      <c r="W1775" s="303"/>
      <c r="X1775" s="220"/>
      <c r="Z1775" s="227"/>
      <c r="AA1775" s="220"/>
      <c r="AB1775" s="221"/>
      <c r="AC1775" s="229"/>
      <c r="AD1775" s="230"/>
      <c r="AE1775" s="230"/>
      <c r="AF1775" s="230"/>
      <c r="AG1775" s="227"/>
    </row>
    <row r="1776" spans="1:33" x14ac:dyDescent="0.25">
      <c r="A1776" s="32"/>
      <c r="B1776" s="306"/>
      <c r="C1776" s="307"/>
      <c r="D1776" s="312"/>
      <c r="E1776" s="301"/>
      <c r="F1776" s="232"/>
      <c r="J1776" s="306"/>
      <c r="K1776" s="306"/>
      <c r="L1776" s="313"/>
      <c r="M1776" s="219"/>
      <c r="N1776" s="218"/>
      <c r="S1776" s="224"/>
      <c r="T1776" s="228"/>
      <c r="U1776" s="226"/>
      <c r="V1776" s="226"/>
      <c r="W1776" s="303"/>
      <c r="X1776" s="220"/>
      <c r="Z1776" s="227"/>
      <c r="AA1776" s="220"/>
      <c r="AB1776" s="221"/>
      <c r="AC1776" s="229"/>
      <c r="AD1776" s="230"/>
      <c r="AE1776" s="230"/>
      <c r="AF1776" s="230"/>
      <c r="AG1776" s="227"/>
    </row>
    <row r="1777" spans="1:33" x14ac:dyDescent="0.25">
      <c r="A1777" s="32"/>
      <c r="B1777" s="306"/>
      <c r="C1777" s="307"/>
      <c r="D1777" s="312"/>
      <c r="E1777" s="301"/>
      <c r="F1777" s="232"/>
      <c r="J1777" s="306"/>
      <c r="K1777" s="306"/>
      <c r="L1777" s="313"/>
      <c r="M1777" s="219"/>
      <c r="N1777" s="218"/>
      <c r="S1777" s="224"/>
      <c r="T1777" s="228"/>
      <c r="U1777" s="226"/>
      <c r="V1777" s="226"/>
      <c r="W1777" s="303"/>
      <c r="X1777" s="220"/>
      <c r="Z1777" s="227"/>
      <c r="AA1777" s="220"/>
      <c r="AB1777" s="221"/>
      <c r="AC1777" s="229"/>
      <c r="AD1777" s="230"/>
      <c r="AE1777" s="230"/>
      <c r="AF1777" s="230"/>
      <c r="AG1777" s="227"/>
    </row>
    <row r="1778" spans="1:33" x14ac:dyDescent="0.25">
      <c r="A1778" s="32"/>
      <c r="B1778" s="306"/>
      <c r="C1778" s="307"/>
      <c r="D1778" s="312"/>
      <c r="E1778" s="301"/>
      <c r="F1778" s="232"/>
      <c r="J1778" s="306"/>
      <c r="K1778" s="306"/>
      <c r="L1778" s="313"/>
      <c r="M1778" s="219"/>
      <c r="N1778" s="218"/>
      <c r="S1778" s="224"/>
      <c r="T1778" s="228"/>
      <c r="U1778" s="226"/>
      <c r="V1778" s="226"/>
      <c r="W1778" s="303"/>
      <c r="X1778" s="220"/>
      <c r="Z1778" s="227"/>
      <c r="AA1778" s="220"/>
      <c r="AB1778" s="221"/>
      <c r="AC1778" s="229"/>
      <c r="AD1778" s="230"/>
      <c r="AE1778" s="230"/>
      <c r="AF1778" s="230"/>
      <c r="AG1778" s="227"/>
    </row>
    <row r="1779" spans="1:33" x14ac:dyDescent="0.25">
      <c r="A1779" s="32"/>
      <c r="B1779" s="306"/>
      <c r="C1779" s="307"/>
      <c r="D1779" s="312"/>
      <c r="E1779" s="301"/>
      <c r="F1779" s="232"/>
      <c r="J1779" s="306"/>
      <c r="K1779" s="306"/>
      <c r="L1779" s="313"/>
      <c r="M1779" s="219"/>
      <c r="N1779" s="218"/>
      <c r="S1779" s="224"/>
      <c r="T1779" s="228"/>
      <c r="U1779" s="226"/>
      <c r="V1779" s="226"/>
      <c r="W1779" s="303"/>
      <c r="X1779" s="220"/>
      <c r="Z1779" s="227"/>
      <c r="AA1779" s="220"/>
      <c r="AB1779" s="221"/>
      <c r="AC1779" s="229"/>
      <c r="AD1779" s="230"/>
      <c r="AE1779" s="230"/>
      <c r="AF1779" s="230"/>
      <c r="AG1779" s="227"/>
    </row>
    <row r="1780" spans="1:33" x14ac:dyDescent="0.25">
      <c r="A1780" s="32"/>
      <c r="B1780" s="306"/>
      <c r="C1780" s="307"/>
      <c r="D1780" s="312"/>
      <c r="E1780" s="301"/>
      <c r="F1780" s="232"/>
      <c r="J1780" s="306"/>
      <c r="K1780" s="306"/>
      <c r="L1780" s="313"/>
      <c r="M1780" s="219"/>
      <c r="N1780" s="218"/>
      <c r="S1780" s="224"/>
      <c r="T1780" s="228"/>
      <c r="U1780" s="226"/>
      <c r="V1780" s="226"/>
      <c r="W1780" s="303"/>
      <c r="X1780" s="220"/>
      <c r="Z1780" s="227"/>
      <c r="AA1780" s="220"/>
      <c r="AB1780" s="221"/>
      <c r="AC1780" s="229"/>
      <c r="AD1780" s="230"/>
      <c r="AE1780" s="230"/>
      <c r="AF1780" s="230"/>
      <c r="AG1780" s="227"/>
    </row>
    <row r="1781" spans="1:33" x14ac:dyDescent="0.25">
      <c r="A1781" s="32"/>
      <c r="B1781" s="306"/>
      <c r="C1781" s="307"/>
      <c r="D1781" s="312"/>
      <c r="E1781" s="301"/>
      <c r="F1781" s="232"/>
      <c r="J1781" s="306"/>
      <c r="K1781" s="306"/>
      <c r="L1781" s="313"/>
      <c r="M1781" s="219"/>
      <c r="N1781" s="218"/>
      <c r="S1781" s="224"/>
      <c r="T1781" s="228"/>
      <c r="U1781" s="226"/>
      <c r="V1781" s="226"/>
      <c r="W1781" s="303"/>
      <c r="X1781" s="220"/>
      <c r="Z1781" s="227"/>
      <c r="AA1781" s="220"/>
      <c r="AB1781" s="221"/>
      <c r="AC1781" s="229"/>
      <c r="AD1781" s="230"/>
      <c r="AE1781" s="230"/>
      <c r="AF1781" s="230"/>
      <c r="AG1781" s="227"/>
    </row>
    <row r="1782" spans="1:33" x14ac:dyDescent="0.25">
      <c r="A1782" s="32"/>
      <c r="B1782" s="306"/>
      <c r="C1782" s="307"/>
      <c r="D1782" s="312"/>
      <c r="E1782" s="301"/>
      <c r="F1782" s="232"/>
      <c r="J1782" s="306"/>
      <c r="K1782" s="306"/>
      <c r="L1782" s="313"/>
      <c r="M1782" s="219"/>
      <c r="N1782" s="218"/>
      <c r="S1782" s="224"/>
      <c r="T1782" s="228"/>
      <c r="U1782" s="226"/>
      <c r="V1782" s="226"/>
      <c r="W1782" s="303"/>
      <c r="X1782" s="220"/>
      <c r="Z1782" s="227"/>
      <c r="AA1782" s="220"/>
      <c r="AB1782" s="221"/>
      <c r="AC1782" s="229"/>
      <c r="AD1782" s="230"/>
      <c r="AE1782" s="230"/>
      <c r="AF1782" s="230"/>
      <c r="AG1782" s="227"/>
    </row>
    <row r="1783" spans="1:33" x14ac:dyDescent="0.25">
      <c r="A1783" s="32"/>
      <c r="B1783" s="306"/>
      <c r="C1783" s="307"/>
      <c r="D1783" s="312"/>
      <c r="E1783" s="301"/>
      <c r="F1783" s="232"/>
      <c r="J1783" s="306"/>
      <c r="K1783" s="306"/>
      <c r="L1783" s="313"/>
      <c r="M1783" s="219"/>
      <c r="N1783" s="218"/>
      <c r="S1783" s="224"/>
      <c r="T1783" s="228"/>
      <c r="U1783" s="226"/>
      <c r="V1783" s="226"/>
      <c r="W1783" s="303"/>
      <c r="X1783" s="220"/>
      <c r="Z1783" s="227"/>
      <c r="AA1783" s="220"/>
      <c r="AB1783" s="221"/>
      <c r="AC1783" s="229"/>
      <c r="AD1783" s="230"/>
      <c r="AE1783" s="230"/>
      <c r="AF1783" s="230"/>
      <c r="AG1783" s="227"/>
    </row>
    <row r="1784" spans="1:33" x14ac:dyDescent="0.25">
      <c r="A1784" s="32"/>
      <c r="B1784" s="306"/>
      <c r="C1784" s="307"/>
      <c r="D1784" s="312"/>
      <c r="E1784" s="301"/>
      <c r="F1784" s="232"/>
      <c r="J1784" s="306"/>
      <c r="K1784" s="306"/>
      <c r="L1784" s="313"/>
      <c r="M1784" s="219"/>
      <c r="N1784" s="218"/>
      <c r="S1784" s="224"/>
      <c r="T1784" s="228"/>
      <c r="U1784" s="226"/>
      <c r="V1784" s="226"/>
      <c r="W1784" s="303"/>
      <c r="X1784" s="220"/>
      <c r="Z1784" s="227"/>
      <c r="AA1784" s="220"/>
      <c r="AB1784" s="221"/>
      <c r="AC1784" s="229"/>
      <c r="AD1784" s="230"/>
      <c r="AE1784" s="230"/>
      <c r="AF1784" s="230"/>
      <c r="AG1784" s="227"/>
    </row>
    <row r="1785" spans="1:33" x14ac:dyDescent="0.25">
      <c r="A1785" s="32"/>
      <c r="B1785" s="306"/>
      <c r="C1785" s="307"/>
      <c r="D1785" s="312"/>
      <c r="E1785" s="301"/>
      <c r="F1785" s="232"/>
      <c r="J1785" s="306"/>
      <c r="K1785" s="306"/>
      <c r="L1785" s="313"/>
      <c r="M1785" s="219"/>
      <c r="N1785" s="218"/>
      <c r="S1785" s="224"/>
      <c r="T1785" s="228"/>
      <c r="U1785" s="226"/>
      <c r="V1785" s="226"/>
      <c r="W1785" s="303"/>
      <c r="X1785" s="220"/>
      <c r="Z1785" s="227"/>
      <c r="AA1785" s="220"/>
      <c r="AB1785" s="221"/>
      <c r="AC1785" s="229"/>
      <c r="AD1785" s="230"/>
      <c r="AE1785" s="230"/>
      <c r="AF1785" s="230"/>
      <c r="AG1785" s="227"/>
    </row>
    <row r="1786" spans="1:33" x14ac:dyDescent="0.25">
      <c r="A1786" s="32"/>
      <c r="B1786" s="306"/>
      <c r="C1786" s="307"/>
      <c r="D1786" s="312"/>
      <c r="E1786" s="301"/>
      <c r="F1786" s="232"/>
      <c r="J1786" s="306"/>
      <c r="K1786" s="306"/>
      <c r="L1786" s="313"/>
      <c r="M1786" s="219"/>
      <c r="N1786" s="218"/>
      <c r="S1786" s="224"/>
      <c r="T1786" s="228"/>
      <c r="U1786" s="226"/>
      <c r="V1786" s="226"/>
      <c r="W1786" s="303"/>
      <c r="X1786" s="220"/>
      <c r="Z1786" s="227"/>
      <c r="AA1786" s="220"/>
      <c r="AB1786" s="221"/>
      <c r="AC1786" s="229"/>
      <c r="AD1786" s="230"/>
      <c r="AE1786" s="230"/>
      <c r="AF1786" s="230"/>
      <c r="AG1786" s="227"/>
    </row>
    <row r="1787" spans="1:33" x14ac:dyDescent="0.25">
      <c r="A1787" s="32"/>
      <c r="B1787" s="306"/>
      <c r="C1787" s="307"/>
      <c r="D1787" s="312"/>
      <c r="E1787" s="301"/>
      <c r="F1787" s="232"/>
      <c r="J1787" s="306"/>
      <c r="K1787" s="306"/>
      <c r="L1787" s="313"/>
      <c r="M1787" s="219"/>
      <c r="N1787" s="218"/>
      <c r="S1787" s="224"/>
      <c r="T1787" s="228"/>
      <c r="U1787" s="226"/>
      <c r="V1787" s="226"/>
      <c r="W1787" s="303"/>
      <c r="X1787" s="220"/>
      <c r="Z1787" s="227"/>
      <c r="AA1787" s="220"/>
      <c r="AB1787" s="221"/>
      <c r="AC1787" s="229"/>
      <c r="AD1787" s="230"/>
      <c r="AE1787" s="230"/>
      <c r="AF1787" s="230"/>
      <c r="AG1787" s="227"/>
    </row>
    <row r="1788" spans="1:33" x14ac:dyDescent="0.25">
      <c r="A1788" s="32"/>
      <c r="B1788" s="306"/>
      <c r="C1788" s="307"/>
      <c r="D1788" s="312"/>
      <c r="E1788" s="301"/>
      <c r="F1788" s="232"/>
      <c r="J1788" s="306"/>
      <c r="K1788" s="306"/>
      <c r="L1788" s="313"/>
      <c r="M1788" s="219"/>
      <c r="N1788" s="218"/>
      <c r="S1788" s="224"/>
      <c r="T1788" s="228"/>
      <c r="U1788" s="226"/>
      <c r="V1788" s="226"/>
      <c r="W1788" s="303"/>
      <c r="X1788" s="220"/>
      <c r="Z1788" s="227"/>
      <c r="AA1788" s="220"/>
      <c r="AB1788" s="221"/>
      <c r="AC1788" s="229"/>
      <c r="AD1788" s="230"/>
      <c r="AE1788" s="230"/>
      <c r="AF1788" s="230"/>
      <c r="AG1788" s="227"/>
    </row>
    <row r="1789" spans="1:33" x14ac:dyDescent="0.25">
      <c r="A1789" s="32"/>
      <c r="B1789" s="306"/>
      <c r="C1789" s="307"/>
      <c r="D1789" s="312"/>
      <c r="E1789" s="301"/>
      <c r="F1789" s="232"/>
      <c r="J1789" s="306"/>
      <c r="K1789" s="306"/>
      <c r="L1789" s="313"/>
      <c r="M1789" s="219"/>
      <c r="N1789" s="218"/>
      <c r="S1789" s="224"/>
      <c r="T1789" s="228"/>
      <c r="U1789" s="226"/>
      <c r="V1789" s="226"/>
      <c r="W1789" s="303"/>
      <c r="X1789" s="220"/>
      <c r="Z1789" s="227"/>
      <c r="AA1789" s="220"/>
      <c r="AB1789" s="221"/>
      <c r="AC1789" s="229"/>
      <c r="AD1789" s="230"/>
      <c r="AE1789" s="230"/>
      <c r="AF1789" s="230"/>
      <c r="AG1789" s="227"/>
    </row>
    <row r="1790" spans="1:33" x14ac:dyDescent="0.25">
      <c r="A1790" s="32"/>
      <c r="B1790" s="306"/>
      <c r="C1790" s="307"/>
      <c r="D1790" s="312"/>
      <c r="E1790" s="301"/>
      <c r="F1790" s="232"/>
      <c r="J1790" s="306"/>
      <c r="K1790" s="306"/>
      <c r="L1790" s="313"/>
      <c r="M1790" s="219"/>
      <c r="N1790" s="218"/>
      <c r="S1790" s="224"/>
      <c r="T1790" s="228"/>
      <c r="U1790" s="226"/>
      <c r="V1790" s="226"/>
      <c r="W1790" s="303"/>
      <c r="X1790" s="220"/>
      <c r="Z1790" s="227"/>
      <c r="AA1790" s="220"/>
      <c r="AB1790" s="221"/>
      <c r="AC1790" s="229"/>
      <c r="AD1790" s="230"/>
      <c r="AE1790" s="230"/>
      <c r="AF1790" s="230"/>
      <c r="AG1790" s="227"/>
    </row>
    <row r="1791" spans="1:33" x14ac:dyDescent="0.25">
      <c r="A1791" s="32"/>
      <c r="B1791" s="306"/>
      <c r="C1791" s="307"/>
      <c r="D1791" s="312"/>
      <c r="E1791" s="301"/>
      <c r="F1791" s="232"/>
      <c r="J1791" s="306"/>
      <c r="K1791" s="306"/>
      <c r="L1791" s="313"/>
      <c r="M1791" s="219"/>
      <c r="N1791" s="218"/>
      <c r="S1791" s="224"/>
      <c r="T1791" s="228"/>
      <c r="U1791" s="226"/>
      <c r="V1791" s="226"/>
      <c r="W1791" s="303"/>
      <c r="X1791" s="220"/>
      <c r="Z1791" s="227"/>
      <c r="AA1791" s="220"/>
      <c r="AB1791" s="221"/>
      <c r="AC1791" s="229"/>
      <c r="AD1791" s="230"/>
      <c r="AE1791" s="230"/>
      <c r="AF1791" s="230"/>
      <c r="AG1791" s="227"/>
    </row>
    <row r="1792" spans="1:33" x14ac:dyDescent="0.25">
      <c r="A1792" s="32"/>
      <c r="B1792" s="306"/>
      <c r="C1792" s="307"/>
      <c r="D1792" s="312"/>
      <c r="E1792" s="301"/>
      <c r="F1792" s="232"/>
      <c r="J1792" s="306"/>
      <c r="K1792" s="306"/>
      <c r="L1792" s="313"/>
      <c r="M1792" s="219"/>
      <c r="N1792" s="218"/>
      <c r="S1792" s="224"/>
      <c r="T1792" s="228"/>
      <c r="U1792" s="226"/>
      <c r="V1792" s="226"/>
      <c r="W1792" s="303"/>
      <c r="X1792" s="220"/>
      <c r="Z1792" s="227"/>
      <c r="AA1792" s="220"/>
      <c r="AB1792" s="221"/>
      <c r="AC1792" s="229"/>
      <c r="AD1792" s="230"/>
      <c r="AE1792" s="230"/>
      <c r="AF1792" s="230"/>
      <c r="AG1792" s="227"/>
    </row>
    <row r="1793" spans="1:33" x14ac:dyDescent="0.25">
      <c r="A1793" s="32"/>
      <c r="B1793" s="306"/>
      <c r="C1793" s="307"/>
      <c r="D1793" s="312"/>
      <c r="E1793" s="301"/>
      <c r="F1793" s="232"/>
      <c r="J1793" s="306"/>
      <c r="K1793" s="306"/>
      <c r="L1793" s="313"/>
      <c r="M1793" s="219"/>
      <c r="N1793" s="218"/>
      <c r="S1793" s="224"/>
      <c r="T1793" s="228"/>
      <c r="U1793" s="226"/>
      <c r="V1793" s="226"/>
      <c r="W1793" s="303"/>
      <c r="X1793" s="220"/>
      <c r="Z1793" s="227"/>
      <c r="AA1793" s="220"/>
      <c r="AB1793" s="221"/>
      <c r="AC1793" s="229"/>
      <c r="AD1793" s="230"/>
      <c r="AE1793" s="230"/>
      <c r="AF1793" s="230"/>
      <c r="AG1793" s="227"/>
    </row>
    <row r="1794" spans="1:33" x14ac:dyDescent="0.25">
      <c r="A1794" s="32"/>
      <c r="B1794" s="306"/>
      <c r="C1794" s="307"/>
      <c r="D1794" s="312"/>
      <c r="E1794" s="301"/>
      <c r="F1794" s="232"/>
      <c r="J1794" s="306"/>
      <c r="K1794" s="306"/>
      <c r="L1794" s="313"/>
      <c r="M1794" s="219"/>
      <c r="N1794" s="218"/>
      <c r="S1794" s="224"/>
      <c r="T1794" s="228"/>
      <c r="U1794" s="226"/>
      <c r="V1794" s="226"/>
      <c r="W1794" s="303"/>
      <c r="X1794" s="220"/>
      <c r="Z1794" s="227"/>
      <c r="AA1794" s="220"/>
      <c r="AB1794" s="221"/>
      <c r="AC1794" s="229"/>
      <c r="AD1794" s="230"/>
      <c r="AE1794" s="230"/>
      <c r="AF1794" s="230"/>
      <c r="AG1794" s="227"/>
    </row>
    <row r="1795" spans="1:33" x14ac:dyDescent="0.25">
      <c r="A1795" s="32"/>
      <c r="B1795" s="306"/>
      <c r="C1795" s="307"/>
      <c r="D1795" s="312"/>
      <c r="E1795" s="301"/>
      <c r="F1795" s="232"/>
      <c r="J1795" s="306"/>
      <c r="K1795" s="306"/>
      <c r="L1795" s="313"/>
      <c r="M1795" s="219"/>
      <c r="N1795" s="218"/>
      <c r="S1795" s="224"/>
      <c r="T1795" s="228"/>
      <c r="U1795" s="226"/>
      <c r="V1795" s="226"/>
      <c r="W1795" s="303"/>
      <c r="X1795" s="220"/>
      <c r="Z1795" s="227"/>
      <c r="AA1795" s="220"/>
      <c r="AB1795" s="221"/>
      <c r="AC1795" s="229"/>
      <c r="AD1795" s="230"/>
      <c r="AE1795" s="230"/>
      <c r="AF1795" s="230"/>
      <c r="AG1795" s="227"/>
    </row>
    <row r="1796" spans="1:33" x14ac:dyDescent="0.25">
      <c r="A1796" s="32"/>
      <c r="B1796" s="306"/>
      <c r="C1796" s="307"/>
      <c r="D1796" s="312"/>
      <c r="E1796" s="301"/>
      <c r="F1796" s="232"/>
      <c r="J1796" s="306"/>
      <c r="K1796" s="306"/>
      <c r="L1796" s="313"/>
      <c r="M1796" s="219"/>
      <c r="N1796" s="218"/>
      <c r="S1796" s="224"/>
      <c r="T1796" s="228"/>
      <c r="U1796" s="226"/>
      <c r="V1796" s="226"/>
      <c r="W1796" s="303"/>
      <c r="X1796" s="220"/>
      <c r="Z1796" s="227"/>
      <c r="AA1796" s="220"/>
      <c r="AB1796" s="221"/>
      <c r="AC1796" s="229"/>
      <c r="AD1796" s="230"/>
      <c r="AE1796" s="230"/>
      <c r="AF1796" s="230"/>
      <c r="AG1796" s="227"/>
    </row>
    <row r="1797" spans="1:33" x14ac:dyDescent="0.25">
      <c r="A1797" s="32"/>
      <c r="B1797" s="306"/>
      <c r="C1797" s="307"/>
      <c r="D1797" s="312"/>
      <c r="E1797" s="301"/>
      <c r="F1797" s="232"/>
      <c r="J1797" s="306"/>
      <c r="K1797" s="306"/>
      <c r="L1797" s="313"/>
      <c r="M1797" s="219"/>
      <c r="N1797" s="218"/>
      <c r="S1797" s="224"/>
      <c r="T1797" s="228"/>
      <c r="U1797" s="226"/>
      <c r="V1797" s="226"/>
      <c r="W1797" s="303"/>
      <c r="X1797" s="220"/>
      <c r="Z1797" s="227"/>
      <c r="AA1797" s="220"/>
      <c r="AB1797" s="221"/>
      <c r="AC1797" s="229"/>
      <c r="AD1797" s="230"/>
      <c r="AE1797" s="230"/>
      <c r="AF1797" s="230"/>
      <c r="AG1797" s="227"/>
    </row>
    <row r="1798" spans="1:33" x14ac:dyDescent="0.25">
      <c r="A1798" s="32"/>
      <c r="B1798" s="306"/>
      <c r="C1798" s="307"/>
      <c r="D1798" s="312"/>
      <c r="E1798" s="301"/>
      <c r="F1798" s="232"/>
      <c r="J1798" s="306"/>
      <c r="K1798" s="306"/>
      <c r="L1798" s="313"/>
      <c r="M1798" s="219"/>
      <c r="N1798" s="218"/>
      <c r="S1798" s="224"/>
      <c r="T1798" s="228"/>
      <c r="U1798" s="226"/>
      <c r="V1798" s="226"/>
      <c r="W1798" s="303"/>
      <c r="X1798" s="220"/>
      <c r="Z1798" s="227"/>
      <c r="AA1798" s="220"/>
      <c r="AB1798" s="221"/>
      <c r="AC1798" s="229"/>
      <c r="AD1798" s="230"/>
      <c r="AE1798" s="230"/>
      <c r="AF1798" s="230"/>
      <c r="AG1798" s="227"/>
    </row>
    <row r="1799" spans="1:33" x14ac:dyDescent="0.25">
      <c r="A1799" s="32"/>
      <c r="B1799" s="306"/>
      <c r="C1799" s="307"/>
      <c r="D1799" s="312"/>
      <c r="E1799" s="301"/>
      <c r="F1799" s="232"/>
      <c r="J1799" s="306"/>
      <c r="K1799" s="306"/>
      <c r="L1799" s="313"/>
      <c r="M1799" s="219"/>
      <c r="N1799" s="218"/>
      <c r="S1799" s="224"/>
      <c r="T1799" s="228"/>
      <c r="U1799" s="226"/>
      <c r="V1799" s="226"/>
      <c r="W1799" s="303"/>
      <c r="X1799" s="220"/>
      <c r="Z1799" s="227"/>
      <c r="AA1799" s="220"/>
      <c r="AB1799" s="221"/>
      <c r="AC1799" s="229"/>
      <c r="AD1799" s="230"/>
      <c r="AE1799" s="230"/>
      <c r="AF1799" s="230"/>
      <c r="AG1799" s="227"/>
    </row>
    <row r="1800" spans="1:33" x14ac:dyDescent="0.25">
      <c r="A1800" s="32"/>
      <c r="B1800" s="306"/>
      <c r="C1800" s="307"/>
      <c r="D1800" s="312"/>
      <c r="E1800" s="301"/>
      <c r="F1800" s="232"/>
      <c r="J1800" s="306"/>
      <c r="K1800" s="306"/>
      <c r="L1800" s="313"/>
      <c r="M1800" s="219"/>
      <c r="N1800" s="218"/>
      <c r="S1800" s="224"/>
      <c r="T1800" s="228"/>
      <c r="U1800" s="226"/>
      <c r="V1800" s="226"/>
      <c r="W1800" s="303"/>
      <c r="X1800" s="220"/>
      <c r="Z1800" s="227"/>
      <c r="AA1800" s="220"/>
      <c r="AB1800" s="221"/>
      <c r="AC1800" s="229"/>
      <c r="AD1800" s="230"/>
      <c r="AE1800" s="230"/>
      <c r="AF1800" s="230"/>
      <c r="AG1800" s="227"/>
    </row>
    <row r="1801" spans="1:33" x14ac:dyDescent="0.25">
      <c r="A1801" s="32"/>
      <c r="B1801" s="306"/>
      <c r="C1801" s="307"/>
      <c r="D1801" s="312"/>
      <c r="E1801" s="301"/>
      <c r="F1801" s="232"/>
      <c r="J1801" s="306"/>
      <c r="K1801" s="306"/>
      <c r="L1801" s="313"/>
      <c r="M1801" s="219"/>
      <c r="N1801" s="218"/>
      <c r="S1801" s="224"/>
      <c r="T1801" s="228"/>
      <c r="U1801" s="226"/>
      <c r="V1801" s="226"/>
      <c r="W1801" s="303"/>
      <c r="X1801" s="220"/>
      <c r="Z1801" s="227"/>
      <c r="AA1801" s="220"/>
      <c r="AB1801" s="221"/>
      <c r="AC1801" s="229"/>
      <c r="AD1801" s="230"/>
      <c r="AE1801" s="230"/>
      <c r="AF1801" s="230"/>
      <c r="AG1801" s="227"/>
    </row>
    <row r="1802" spans="1:33" x14ac:dyDescent="0.25">
      <c r="A1802" s="32"/>
      <c r="B1802" s="306"/>
      <c r="C1802" s="307"/>
      <c r="D1802" s="312"/>
      <c r="E1802" s="301"/>
      <c r="F1802" s="232"/>
      <c r="J1802" s="306"/>
      <c r="K1802" s="306"/>
      <c r="L1802" s="313"/>
      <c r="M1802" s="219"/>
      <c r="N1802" s="218"/>
      <c r="S1802" s="224"/>
      <c r="T1802" s="228"/>
      <c r="U1802" s="226"/>
      <c r="V1802" s="226"/>
      <c r="W1802" s="303"/>
      <c r="X1802" s="220"/>
      <c r="Z1802" s="227"/>
      <c r="AA1802" s="220"/>
      <c r="AB1802" s="221"/>
      <c r="AC1802" s="229"/>
      <c r="AD1802" s="230"/>
      <c r="AE1802" s="230"/>
      <c r="AF1802" s="230"/>
      <c r="AG1802" s="227"/>
    </row>
    <row r="1803" spans="1:33" x14ac:dyDescent="0.25">
      <c r="A1803" s="32"/>
      <c r="B1803" s="306"/>
      <c r="C1803" s="307"/>
      <c r="D1803" s="312"/>
      <c r="E1803" s="301"/>
      <c r="F1803" s="232"/>
      <c r="J1803" s="306"/>
      <c r="K1803" s="306"/>
      <c r="L1803" s="313"/>
      <c r="M1803" s="219"/>
      <c r="N1803" s="218"/>
      <c r="S1803" s="224"/>
      <c r="T1803" s="228"/>
      <c r="U1803" s="226"/>
      <c r="V1803" s="226"/>
      <c r="W1803" s="303"/>
      <c r="X1803" s="220"/>
      <c r="Z1803" s="227"/>
      <c r="AA1803" s="220"/>
      <c r="AB1803" s="221"/>
      <c r="AC1803" s="229"/>
      <c r="AD1803" s="230"/>
      <c r="AE1803" s="230"/>
      <c r="AF1803" s="230"/>
      <c r="AG1803" s="227"/>
    </row>
    <row r="1804" spans="1:33" x14ac:dyDescent="0.25">
      <c r="A1804" s="32"/>
      <c r="B1804" s="306"/>
      <c r="C1804" s="307"/>
      <c r="D1804" s="312"/>
      <c r="E1804" s="301"/>
      <c r="F1804" s="232"/>
      <c r="J1804" s="306"/>
      <c r="K1804" s="306"/>
      <c r="L1804" s="313"/>
      <c r="M1804" s="219"/>
      <c r="N1804" s="218"/>
      <c r="S1804" s="224"/>
      <c r="T1804" s="228"/>
      <c r="U1804" s="226"/>
      <c r="V1804" s="226"/>
      <c r="W1804" s="303"/>
      <c r="X1804" s="220"/>
      <c r="Z1804" s="227"/>
      <c r="AA1804" s="220"/>
      <c r="AB1804" s="221"/>
      <c r="AC1804" s="229"/>
      <c r="AD1804" s="230"/>
      <c r="AE1804" s="230"/>
      <c r="AF1804" s="230"/>
      <c r="AG1804" s="227"/>
    </row>
    <row r="1805" spans="1:33" x14ac:dyDescent="0.25">
      <c r="A1805" s="32"/>
      <c r="B1805" s="306"/>
      <c r="C1805" s="307"/>
      <c r="D1805" s="312"/>
      <c r="E1805" s="301"/>
      <c r="F1805" s="232"/>
      <c r="J1805" s="306"/>
      <c r="K1805" s="306"/>
      <c r="L1805" s="313"/>
      <c r="M1805" s="219"/>
      <c r="N1805" s="218"/>
      <c r="S1805" s="224"/>
      <c r="T1805" s="228"/>
      <c r="U1805" s="226"/>
      <c r="V1805" s="226"/>
      <c r="W1805" s="303"/>
      <c r="X1805" s="220"/>
      <c r="Z1805" s="227"/>
      <c r="AA1805" s="220"/>
      <c r="AB1805" s="221"/>
      <c r="AC1805" s="229"/>
      <c r="AD1805" s="230"/>
      <c r="AE1805" s="230"/>
      <c r="AF1805" s="230"/>
      <c r="AG1805" s="227"/>
    </row>
    <row r="1806" spans="1:33" x14ac:dyDescent="0.25">
      <c r="A1806" s="32"/>
      <c r="B1806" s="306"/>
      <c r="C1806" s="307"/>
      <c r="D1806" s="312"/>
      <c r="E1806" s="301"/>
      <c r="F1806" s="232"/>
      <c r="J1806" s="306"/>
      <c r="K1806" s="306"/>
      <c r="L1806" s="313"/>
      <c r="M1806" s="219"/>
      <c r="N1806" s="218"/>
      <c r="S1806" s="224"/>
      <c r="T1806" s="228"/>
      <c r="U1806" s="226"/>
      <c r="V1806" s="226"/>
      <c r="W1806" s="303"/>
      <c r="X1806" s="220"/>
      <c r="Z1806" s="227"/>
      <c r="AA1806" s="220"/>
      <c r="AB1806" s="221"/>
      <c r="AC1806" s="229"/>
      <c r="AD1806" s="230"/>
      <c r="AE1806" s="230"/>
      <c r="AF1806" s="230"/>
      <c r="AG1806" s="227"/>
    </row>
    <row r="1807" spans="1:33" x14ac:dyDescent="0.25">
      <c r="A1807" s="32"/>
      <c r="B1807" s="306"/>
      <c r="C1807" s="307"/>
      <c r="D1807" s="312"/>
      <c r="E1807" s="301"/>
      <c r="F1807" s="232"/>
      <c r="J1807" s="306"/>
      <c r="K1807" s="306"/>
      <c r="L1807" s="313"/>
      <c r="M1807" s="219"/>
      <c r="N1807" s="218"/>
      <c r="S1807" s="224"/>
      <c r="T1807" s="228"/>
      <c r="U1807" s="226"/>
      <c r="V1807" s="226"/>
      <c r="W1807" s="303"/>
      <c r="X1807" s="220"/>
      <c r="Z1807" s="227"/>
      <c r="AA1807" s="220"/>
      <c r="AB1807" s="221"/>
      <c r="AC1807" s="229"/>
      <c r="AD1807" s="230"/>
      <c r="AE1807" s="230"/>
      <c r="AF1807" s="230"/>
      <c r="AG1807" s="227"/>
    </row>
    <row r="1808" spans="1:33" x14ac:dyDescent="0.25">
      <c r="A1808" s="32"/>
      <c r="B1808" s="306"/>
      <c r="C1808" s="307"/>
      <c r="D1808" s="312"/>
      <c r="E1808" s="301"/>
      <c r="F1808" s="232"/>
      <c r="J1808" s="306"/>
      <c r="K1808" s="306"/>
      <c r="L1808" s="313"/>
      <c r="M1808" s="219"/>
      <c r="N1808" s="218"/>
      <c r="S1808" s="224"/>
      <c r="T1808" s="228"/>
      <c r="U1808" s="226"/>
      <c r="V1808" s="226"/>
      <c r="W1808" s="303"/>
      <c r="X1808" s="220"/>
      <c r="Z1808" s="227"/>
      <c r="AA1808" s="220"/>
      <c r="AB1808" s="221"/>
      <c r="AC1808" s="229"/>
      <c r="AD1808" s="230"/>
      <c r="AE1808" s="230"/>
      <c r="AF1808" s="230"/>
      <c r="AG1808" s="227"/>
    </row>
    <row r="1809" spans="1:33" x14ac:dyDescent="0.25">
      <c r="A1809" s="32"/>
      <c r="B1809" s="306"/>
      <c r="C1809" s="307"/>
      <c r="D1809" s="312"/>
      <c r="E1809" s="301"/>
      <c r="F1809" s="232"/>
      <c r="J1809" s="306"/>
      <c r="K1809" s="306"/>
      <c r="L1809" s="313"/>
      <c r="M1809" s="219"/>
      <c r="N1809" s="218"/>
      <c r="S1809" s="224"/>
      <c r="T1809" s="228"/>
      <c r="U1809" s="226"/>
      <c r="V1809" s="226"/>
      <c r="W1809" s="303"/>
      <c r="X1809" s="220"/>
      <c r="Z1809" s="227"/>
      <c r="AA1809" s="220"/>
      <c r="AB1809" s="221"/>
      <c r="AC1809" s="229"/>
      <c r="AD1809" s="230"/>
      <c r="AE1809" s="230"/>
      <c r="AF1809" s="230"/>
      <c r="AG1809" s="227"/>
    </row>
    <row r="1810" spans="1:33" x14ac:dyDescent="0.25">
      <c r="A1810" s="32"/>
      <c r="B1810" s="306"/>
      <c r="C1810" s="307"/>
      <c r="D1810" s="312"/>
      <c r="E1810" s="301"/>
      <c r="F1810" s="232"/>
      <c r="J1810" s="306"/>
      <c r="K1810" s="306"/>
      <c r="L1810" s="313"/>
      <c r="M1810" s="219"/>
      <c r="N1810" s="218"/>
      <c r="S1810" s="224"/>
      <c r="T1810" s="228"/>
      <c r="U1810" s="226"/>
      <c r="V1810" s="226"/>
      <c r="W1810" s="303"/>
      <c r="X1810" s="220"/>
      <c r="Z1810" s="227"/>
      <c r="AA1810" s="220"/>
      <c r="AB1810" s="221"/>
      <c r="AC1810" s="229"/>
      <c r="AD1810" s="230"/>
      <c r="AE1810" s="230"/>
      <c r="AF1810" s="230"/>
      <c r="AG1810" s="227"/>
    </row>
    <row r="1811" spans="1:33" x14ac:dyDescent="0.25">
      <c r="A1811" s="32"/>
      <c r="B1811" s="306"/>
      <c r="C1811" s="307"/>
      <c r="D1811" s="312"/>
      <c r="E1811" s="301"/>
      <c r="F1811" s="232"/>
      <c r="J1811" s="306"/>
      <c r="K1811" s="306"/>
      <c r="L1811" s="313"/>
      <c r="M1811" s="219"/>
      <c r="N1811" s="218"/>
      <c r="S1811" s="224"/>
      <c r="T1811" s="228"/>
      <c r="U1811" s="226"/>
      <c r="V1811" s="226"/>
      <c r="W1811" s="303"/>
      <c r="X1811" s="220"/>
      <c r="Z1811" s="227"/>
      <c r="AA1811" s="220"/>
      <c r="AB1811" s="221"/>
      <c r="AC1811" s="229"/>
      <c r="AD1811" s="230"/>
      <c r="AE1811" s="230"/>
      <c r="AF1811" s="230"/>
      <c r="AG1811" s="227"/>
    </row>
    <row r="1812" spans="1:33" x14ac:dyDescent="0.25">
      <c r="A1812" s="32"/>
      <c r="B1812" s="306"/>
      <c r="C1812" s="307"/>
      <c r="D1812" s="312"/>
      <c r="E1812" s="301"/>
      <c r="F1812" s="232"/>
      <c r="J1812" s="306"/>
      <c r="K1812" s="306"/>
      <c r="L1812" s="313"/>
      <c r="M1812" s="219"/>
      <c r="N1812" s="218"/>
      <c r="S1812" s="224"/>
      <c r="T1812" s="228"/>
      <c r="U1812" s="226"/>
      <c r="V1812" s="226"/>
      <c r="W1812" s="303"/>
      <c r="X1812" s="220"/>
      <c r="Z1812" s="227"/>
      <c r="AA1812" s="220"/>
      <c r="AB1812" s="221"/>
      <c r="AC1812" s="229"/>
      <c r="AD1812" s="230"/>
      <c r="AE1812" s="230"/>
      <c r="AF1812" s="230"/>
      <c r="AG1812" s="227"/>
    </row>
    <row r="1813" spans="1:33" x14ac:dyDescent="0.25">
      <c r="A1813" s="32"/>
      <c r="B1813" s="306"/>
      <c r="C1813" s="307"/>
      <c r="D1813" s="312"/>
      <c r="E1813" s="301"/>
      <c r="F1813" s="232"/>
      <c r="J1813" s="306"/>
      <c r="K1813" s="306"/>
      <c r="L1813" s="313"/>
      <c r="M1813" s="219"/>
      <c r="N1813" s="218"/>
      <c r="S1813" s="224"/>
      <c r="T1813" s="228"/>
      <c r="U1813" s="226"/>
      <c r="V1813" s="226"/>
      <c r="W1813" s="303"/>
      <c r="X1813" s="220"/>
      <c r="Z1813" s="227"/>
      <c r="AA1813" s="220"/>
      <c r="AB1813" s="221"/>
      <c r="AC1813" s="229"/>
      <c r="AD1813" s="230"/>
      <c r="AE1813" s="230"/>
      <c r="AF1813" s="230"/>
      <c r="AG1813" s="227"/>
    </row>
    <row r="1814" spans="1:33" x14ac:dyDescent="0.25">
      <c r="A1814" s="32"/>
      <c r="B1814" s="306"/>
      <c r="C1814" s="307"/>
      <c r="D1814" s="312"/>
      <c r="E1814" s="301"/>
      <c r="F1814" s="232"/>
      <c r="J1814" s="306"/>
      <c r="K1814" s="306"/>
      <c r="L1814" s="313"/>
      <c r="M1814" s="219"/>
      <c r="N1814" s="218"/>
      <c r="S1814" s="224"/>
      <c r="T1814" s="228"/>
      <c r="U1814" s="226"/>
      <c r="V1814" s="226"/>
      <c r="W1814" s="303"/>
      <c r="X1814" s="220"/>
      <c r="Z1814" s="227"/>
      <c r="AA1814" s="220"/>
      <c r="AB1814" s="221"/>
      <c r="AC1814" s="229"/>
      <c r="AD1814" s="230"/>
      <c r="AE1814" s="230"/>
      <c r="AF1814" s="230"/>
      <c r="AG1814" s="227"/>
    </row>
    <row r="1815" spans="1:33" x14ac:dyDescent="0.25">
      <c r="A1815" s="32"/>
      <c r="B1815" s="306"/>
      <c r="C1815" s="307"/>
      <c r="D1815" s="312"/>
      <c r="E1815" s="301"/>
      <c r="F1815" s="232"/>
      <c r="J1815" s="306"/>
      <c r="K1815" s="306"/>
      <c r="L1815" s="313"/>
      <c r="M1815" s="219"/>
      <c r="N1815" s="218"/>
      <c r="S1815" s="224"/>
      <c r="T1815" s="228"/>
      <c r="U1815" s="226"/>
      <c r="V1815" s="226"/>
      <c r="W1815" s="303"/>
      <c r="X1815" s="220"/>
      <c r="Z1815" s="227"/>
      <c r="AA1815" s="220"/>
      <c r="AB1815" s="221"/>
      <c r="AC1815" s="229"/>
      <c r="AD1815" s="230"/>
      <c r="AE1815" s="230"/>
      <c r="AF1815" s="230"/>
      <c r="AG1815" s="227"/>
    </row>
    <row r="1816" spans="1:33" x14ac:dyDescent="0.25">
      <c r="A1816" s="32"/>
      <c r="B1816" s="306"/>
      <c r="C1816" s="307"/>
      <c r="D1816" s="312"/>
      <c r="E1816" s="301"/>
      <c r="F1816" s="232"/>
      <c r="J1816" s="306"/>
      <c r="K1816" s="306"/>
      <c r="L1816" s="313"/>
      <c r="M1816" s="219"/>
      <c r="N1816" s="218"/>
      <c r="S1816" s="224"/>
      <c r="T1816" s="228"/>
      <c r="U1816" s="226"/>
      <c r="V1816" s="226"/>
      <c r="W1816" s="303"/>
      <c r="X1816" s="220"/>
      <c r="Z1816" s="227"/>
      <c r="AA1816" s="220"/>
      <c r="AB1816" s="221"/>
      <c r="AC1816" s="229"/>
      <c r="AD1816" s="230"/>
      <c r="AE1816" s="230"/>
      <c r="AF1816" s="230"/>
      <c r="AG1816" s="227"/>
    </row>
    <row r="1817" spans="1:33" x14ac:dyDescent="0.25">
      <c r="A1817" s="32"/>
      <c r="B1817" s="306"/>
      <c r="C1817" s="307"/>
      <c r="D1817" s="312"/>
      <c r="E1817" s="301"/>
      <c r="F1817" s="232"/>
      <c r="J1817" s="306"/>
      <c r="K1817" s="306"/>
      <c r="L1817" s="313"/>
      <c r="M1817" s="219"/>
      <c r="N1817" s="218"/>
      <c r="S1817" s="224"/>
      <c r="T1817" s="228"/>
      <c r="U1817" s="226"/>
      <c r="V1817" s="226"/>
      <c r="W1817" s="303"/>
      <c r="X1817" s="220"/>
      <c r="Z1817" s="227"/>
      <c r="AA1817" s="220"/>
      <c r="AB1817" s="221"/>
      <c r="AC1817" s="229"/>
      <c r="AD1817" s="230"/>
      <c r="AE1817" s="230"/>
      <c r="AF1817" s="230"/>
      <c r="AG1817" s="227"/>
    </row>
    <row r="1818" spans="1:33" x14ac:dyDescent="0.25">
      <c r="A1818" s="32"/>
      <c r="B1818" s="306"/>
      <c r="C1818" s="307"/>
      <c r="D1818" s="312"/>
      <c r="E1818" s="301"/>
      <c r="F1818" s="232"/>
      <c r="J1818" s="306"/>
      <c r="K1818" s="306"/>
      <c r="L1818" s="313"/>
      <c r="M1818" s="219"/>
      <c r="N1818" s="218"/>
      <c r="S1818" s="224"/>
      <c r="T1818" s="228"/>
      <c r="U1818" s="226"/>
      <c r="V1818" s="226"/>
      <c r="W1818" s="303"/>
      <c r="X1818" s="220"/>
      <c r="Z1818" s="227"/>
      <c r="AA1818" s="220"/>
      <c r="AB1818" s="221"/>
      <c r="AC1818" s="229"/>
      <c r="AD1818" s="230"/>
      <c r="AE1818" s="230"/>
      <c r="AF1818" s="230"/>
      <c r="AG1818" s="227"/>
    </row>
    <row r="1819" spans="1:33" x14ac:dyDescent="0.25">
      <c r="A1819" s="32"/>
      <c r="B1819" s="306"/>
      <c r="C1819" s="307"/>
      <c r="D1819" s="312"/>
      <c r="E1819" s="301"/>
      <c r="F1819" s="232"/>
      <c r="J1819" s="306"/>
      <c r="K1819" s="306"/>
      <c r="L1819" s="313"/>
      <c r="M1819" s="219"/>
      <c r="N1819" s="218"/>
      <c r="S1819" s="224"/>
      <c r="T1819" s="228"/>
      <c r="U1819" s="226"/>
      <c r="V1819" s="226"/>
      <c r="W1819" s="303"/>
      <c r="X1819" s="220"/>
      <c r="Z1819" s="227"/>
      <c r="AA1819" s="220"/>
      <c r="AB1819" s="221"/>
      <c r="AC1819" s="229"/>
      <c r="AD1819" s="230"/>
      <c r="AE1819" s="230"/>
      <c r="AF1819" s="230"/>
      <c r="AG1819" s="227"/>
    </row>
    <row r="1820" spans="1:33" x14ac:dyDescent="0.25">
      <c r="A1820" s="32"/>
      <c r="B1820" s="306"/>
      <c r="C1820" s="307"/>
      <c r="D1820" s="312"/>
      <c r="E1820" s="301"/>
      <c r="F1820" s="232"/>
      <c r="J1820" s="306"/>
      <c r="K1820" s="306"/>
      <c r="L1820" s="313"/>
      <c r="M1820" s="219"/>
      <c r="N1820" s="218"/>
      <c r="S1820" s="224"/>
      <c r="T1820" s="228"/>
      <c r="U1820" s="226"/>
      <c r="V1820" s="226"/>
      <c r="W1820" s="303"/>
      <c r="X1820" s="220"/>
      <c r="Z1820" s="227"/>
      <c r="AA1820" s="220"/>
      <c r="AB1820" s="221"/>
      <c r="AC1820" s="229"/>
      <c r="AD1820" s="230"/>
      <c r="AE1820" s="230"/>
      <c r="AF1820" s="230"/>
      <c r="AG1820" s="227"/>
    </row>
    <row r="1821" spans="1:33" x14ac:dyDescent="0.25">
      <c r="A1821" s="32"/>
      <c r="B1821" s="306"/>
      <c r="C1821" s="307"/>
      <c r="D1821" s="312"/>
      <c r="E1821" s="301"/>
      <c r="F1821" s="232"/>
      <c r="J1821" s="306"/>
      <c r="K1821" s="306"/>
      <c r="L1821" s="313"/>
      <c r="M1821" s="219"/>
      <c r="N1821" s="218"/>
      <c r="S1821" s="224"/>
      <c r="T1821" s="228"/>
      <c r="U1821" s="226"/>
      <c r="V1821" s="226"/>
      <c r="W1821" s="303"/>
      <c r="X1821" s="220"/>
      <c r="Z1821" s="227"/>
      <c r="AA1821" s="220"/>
      <c r="AB1821" s="221"/>
      <c r="AC1821" s="229"/>
      <c r="AD1821" s="230"/>
      <c r="AE1821" s="230"/>
      <c r="AF1821" s="230"/>
      <c r="AG1821" s="227"/>
    </row>
    <row r="1822" spans="1:33" x14ac:dyDescent="0.25">
      <c r="A1822" s="32"/>
      <c r="B1822" s="306"/>
      <c r="C1822" s="307"/>
      <c r="D1822" s="312"/>
      <c r="E1822" s="301"/>
      <c r="F1822" s="232"/>
      <c r="J1822" s="306"/>
      <c r="K1822" s="306"/>
      <c r="L1822" s="313"/>
      <c r="M1822" s="219"/>
      <c r="N1822" s="218"/>
      <c r="S1822" s="224"/>
      <c r="T1822" s="228"/>
      <c r="U1822" s="226"/>
      <c r="V1822" s="226"/>
      <c r="W1822" s="303"/>
      <c r="X1822" s="220"/>
      <c r="Z1822" s="227"/>
      <c r="AA1822" s="220"/>
      <c r="AB1822" s="221"/>
      <c r="AC1822" s="229"/>
      <c r="AD1822" s="230"/>
      <c r="AE1822" s="230"/>
      <c r="AF1822" s="230"/>
      <c r="AG1822" s="227"/>
    </row>
    <row r="1823" spans="1:33" x14ac:dyDescent="0.25">
      <c r="A1823" s="32"/>
      <c r="B1823" s="306"/>
      <c r="C1823" s="307"/>
      <c r="D1823" s="312"/>
      <c r="E1823" s="301"/>
      <c r="F1823" s="232"/>
      <c r="J1823" s="306"/>
      <c r="K1823" s="306"/>
      <c r="L1823" s="313"/>
      <c r="M1823" s="219"/>
      <c r="N1823" s="218"/>
      <c r="S1823" s="224"/>
      <c r="T1823" s="228"/>
      <c r="U1823" s="226"/>
      <c r="V1823" s="226"/>
      <c r="W1823" s="303"/>
      <c r="X1823" s="220"/>
      <c r="Z1823" s="227"/>
      <c r="AA1823" s="220"/>
      <c r="AB1823" s="221"/>
      <c r="AC1823" s="229"/>
      <c r="AD1823" s="230"/>
      <c r="AE1823" s="230"/>
      <c r="AF1823" s="230"/>
      <c r="AG1823" s="227"/>
    </row>
    <row r="1824" spans="1:33" x14ac:dyDescent="0.25">
      <c r="A1824" s="32"/>
      <c r="B1824" s="306"/>
      <c r="C1824" s="307"/>
      <c r="D1824" s="312"/>
      <c r="E1824" s="301"/>
      <c r="F1824" s="232"/>
      <c r="J1824" s="306"/>
      <c r="K1824" s="306"/>
      <c r="L1824" s="313"/>
      <c r="M1824" s="219"/>
      <c r="N1824" s="218"/>
      <c r="S1824" s="224"/>
      <c r="T1824" s="228"/>
      <c r="U1824" s="226"/>
      <c r="V1824" s="226"/>
      <c r="W1824" s="303"/>
      <c r="X1824" s="220"/>
      <c r="Z1824" s="227"/>
      <c r="AA1824" s="220"/>
      <c r="AB1824" s="221"/>
      <c r="AC1824" s="229"/>
      <c r="AD1824" s="230"/>
      <c r="AE1824" s="230"/>
      <c r="AF1824" s="230"/>
      <c r="AG1824" s="227"/>
    </row>
    <row r="1825" spans="1:33" x14ac:dyDescent="0.25">
      <c r="A1825" s="32"/>
      <c r="B1825" s="306"/>
      <c r="C1825" s="307"/>
      <c r="D1825" s="312"/>
      <c r="E1825" s="301"/>
      <c r="F1825" s="232"/>
      <c r="J1825" s="306"/>
      <c r="K1825" s="306"/>
      <c r="L1825" s="313"/>
      <c r="M1825" s="219"/>
      <c r="N1825" s="218"/>
      <c r="S1825" s="224"/>
      <c r="T1825" s="228"/>
      <c r="U1825" s="226"/>
      <c r="V1825" s="226"/>
      <c r="W1825" s="303"/>
      <c r="X1825" s="220"/>
      <c r="Z1825" s="227"/>
      <c r="AA1825" s="220"/>
      <c r="AB1825" s="221"/>
      <c r="AC1825" s="229"/>
      <c r="AD1825" s="230"/>
      <c r="AE1825" s="230"/>
      <c r="AF1825" s="230"/>
      <c r="AG1825" s="227"/>
    </row>
    <row r="1826" spans="1:33" x14ac:dyDescent="0.25">
      <c r="A1826" s="32"/>
      <c r="B1826" s="306"/>
      <c r="C1826" s="307"/>
      <c r="D1826" s="312"/>
      <c r="E1826" s="301"/>
      <c r="F1826" s="232"/>
      <c r="J1826" s="306"/>
      <c r="K1826" s="306"/>
      <c r="L1826" s="313"/>
      <c r="M1826" s="219"/>
      <c r="N1826" s="218"/>
      <c r="S1826" s="224"/>
      <c r="T1826" s="228"/>
      <c r="U1826" s="226"/>
      <c r="V1826" s="226"/>
      <c r="W1826" s="303"/>
      <c r="X1826" s="220"/>
      <c r="Z1826" s="227"/>
      <c r="AA1826" s="220"/>
      <c r="AB1826" s="221"/>
      <c r="AC1826" s="229"/>
      <c r="AD1826" s="230"/>
      <c r="AE1826" s="230"/>
      <c r="AF1826" s="230"/>
      <c r="AG1826" s="227"/>
    </row>
    <row r="1827" spans="1:33" x14ac:dyDescent="0.25">
      <c r="A1827" s="32"/>
      <c r="B1827" s="306"/>
      <c r="C1827" s="307"/>
      <c r="D1827" s="312"/>
      <c r="E1827" s="301"/>
      <c r="F1827" s="232"/>
      <c r="J1827" s="306"/>
      <c r="K1827" s="306"/>
      <c r="L1827" s="313"/>
      <c r="M1827" s="219"/>
      <c r="N1827" s="218"/>
      <c r="S1827" s="224"/>
      <c r="T1827" s="228"/>
      <c r="U1827" s="226"/>
      <c r="V1827" s="226"/>
      <c r="W1827" s="303"/>
      <c r="X1827" s="220"/>
      <c r="Z1827" s="227"/>
      <c r="AA1827" s="220"/>
      <c r="AB1827" s="221"/>
      <c r="AC1827" s="229"/>
      <c r="AD1827" s="230"/>
      <c r="AE1827" s="230"/>
      <c r="AF1827" s="230"/>
      <c r="AG1827" s="227"/>
    </row>
    <row r="1828" spans="1:33" x14ac:dyDescent="0.25">
      <c r="A1828" s="32"/>
      <c r="B1828" s="306"/>
      <c r="C1828" s="307"/>
      <c r="D1828" s="312"/>
      <c r="E1828" s="301"/>
      <c r="F1828" s="232"/>
      <c r="J1828" s="306"/>
      <c r="K1828" s="306"/>
      <c r="L1828" s="313"/>
      <c r="M1828" s="219"/>
      <c r="N1828" s="218"/>
      <c r="S1828" s="224"/>
      <c r="T1828" s="228"/>
      <c r="U1828" s="226"/>
      <c r="V1828" s="226"/>
      <c r="W1828" s="303"/>
      <c r="X1828" s="220"/>
      <c r="Z1828" s="227"/>
      <c r="AA1828" s="220"/>
      <c r="AB1828" s="221"/>
      <c r="AC1828" s="229"/>
      <c r="AD1828" s="230"/>
      <c r="AE1828" s="230"/>
      <c r="AF1828" s="230"/>
      <c r="AG1828" s="227"/>
    </row>
    <row r="1829" spans="1:33" x14ac:dyDescent="0.25">
      <c r="A1829" s="32"/>
      <c r="B1829" s="306"/>
      <c r="C1829" s="307"/>
      <c r="D1829" s="312"/>
      <c r="E1829" s="301"/>
      <c r="F1829" s="232"/>
      <c r="J1829" s="306"/>
      <c r="K1829" s="306"/>
      <c r="L1829" s="313"/>
      <c r="M1829" s="219"/>
      <c r="N1829" s="218"/>
      <c r="S1829" s="224"/>
      <c r="T1829" s="228"/>
      <c r="U1829" s="226"/>
      <c r="V1829" s="226"/>
      <c r="W1829" s="303"/>
      <c r="X1829" s="220"/>
      <c r="Z1829" s="227"/>
      <c r="AA1829" s="220"/>
      <c r="AB1829" s="221"/>
      <c r="AC1829" s="229"/>
      <c r="AD1829" s="230"/>
      <c r="AE1829" s="230"/>
      <c r="AF1829" s="230"/>
      <c r="AG1829" s="227"/>
    </row>
    <row r="1830" spans="1:33" x14ac:dyDescent="0.25">
      <c r="A1830" s="32"/>
      <c r="B1830" s="306"/>
      <c r="C1830" s="307"/>
      <c r="D1830" s="312"/>
      <c r="E1830" s="301"/>
      <c r="F1830" s="232"/>
      <c r="J1830" s="306"/>
      <c r="K1830" s="306"/>
      <c r="L1830" s="313"/>
      <c r="M1830" s="219"/>
      <c r="N1830" s="218"/>
      <c r="S1830" s="224"/>
      <c r="T1830" s="228"/>
      <c r="U1830" s="226"/>
      <c r="V1830" s="226"/>
      <c r="W1830" s="303"/>
      <c r="X1830" s="220"/>
      <c r="Z1830" s="227"/>
      <c r="AA1830" s="220"/>
      <c r="AB1830" s="221"/>
      <c r="AC1830" s="229"/>
      <c r="AD1830" s="230"/>
      <c r="AE1830" s="230"/>
      <c r="AF1830" s="230"/>
      <c r="AG1830" s="227"/>
    </row>
    <row r="1831" spans="1:33" x14ac:dyDescent="0.25">
      <c r="A1831" s="32"/>
      <c r="B1831" s="306"/>
      <c r="C1831" s="307"/>
      <c r="D1831" s="312"/>
      <c r="E1831" s="301"/>
      <c r="F1831" s="232"/>
      <c r="J1831" s="306"/>
      <c r="K1831" s="306"/>
      <c r="L1831" s="313"/>
      <c r="M1831" s="219"/>
      <c r="N1831" s="218"/>
      <c r="S1831" s="224"/>
      <c r="T1831" s="228"/>
      <c r="U1831" s="226"/>
      <c r="V1831" s="226"/>
      <c r="W1831" s="303"/>
      <c r="X1831" s="220"/>
      <c r="Z1831" s="227"/>
      <c r="AA1831" s="220"/>
      <c r="AB1831" s="221"/>
      <c r="AC1831" s="229"/>
      <c r="AD1831" s="230"/>
      <c r="AE1831" s="230"/>
      <c r="AF1831" s="230"/>
      <c r="AG1831" s="227"/>
    </row>
    <row r="1832" spans="1:33" x14ac:dyDescent="0.25">
      <c r="A1832" s="32"/>
      <c r="B1832" s="306"/>
      <c r="C1832" s="307"/>
      <c r="D1832" s="312"/>
      <c r="E1832" s="301"/>
      <c r="F1832" s="232"/>
      <c r="J1832" s="306"/>
      <c r="K1832" s="306"/>
      <c r="L1832" s="313"/>
      <c r="M1832" s="219"/>
      <c r="N1832" s="218"/>
      <c r="S1832" s="224"/>
      <c r="T1832" s="228"/>
      <c r="U1832" s="226"/>
      <c r="V1832" s="226"/>
      <c r="W1832" s="303"/>
      <c r="X1832" s="220"/>
      <c r="Z1832" s="227"/>
      <c r="AA1832" s="220"/>
      <c r="AB1832" s="221"/>
      <c r="AC1832" s="229"/>
      <c r="AD1832" s="230"/>
      <c r="AE1832" s="230"/>
      <c r="AF1832" s="230"/>
      <c r="AG1832" s="227"/>
    </row>
    <row r="1833" spans="1:33" x14ac:dyDescent="0.25">
      <c r="A1833" s="32"/>
      <c r="B1833" s="306"/>
      <c r="C1833" s="307"/>
      <c r="D1833" s="312"/>
      <c r="E1833" s="301"/>
      <c r="F1833" s="232"/>
      <c r="J1833" s="306"/>
      <c r="K1833" s="306"/>
      <c r="L1833" s="313"/>
      <c r="M1833" s="219"/>
      <c r="N1833" s="218"/>
      <c r="S1833" s="224"/>
      <c r="T1833" s="228"/>
      <c r="U1833" s="226"/>
      <c r="V1833" s="226"/>
      <c r="W1833" s="303"/>
      <c r="X1833" s="220"/>
      <c r="Z1833" s="227"/>
      <c r="AA1833" s="220"/>
      <c r="AB1833" s="221"/>
      <c r="AC1833" s="229"/>
      <c r="AD1833" s="230"/>
      <c r="AE1833" s="230"/>
      <c r="AF1833" s="230"/>
      <c r="AG1833" s="227"/>
    </row>
    <row r="1834" spans="1:33" x14ac:dyDescent="0.25">
      <c r="A1834" s="32"/>
      <c r="B1834" s="306"/>
      <c r="C1834" s="307"/>
      <c r="D1834" s="312"/>
      <c r="E1834" s="301"/>
      <c r="F1834" s="232"/>
      <c r="J1834" s="306"/>
      <c r="K1834" s="306"/>
      <c r="L1834" s="313"/>
      <c r="M1834" s="219"/>
      <c r="N1834" s="218"/>
      <c r="S1834" s="224"/>
      <c r="T1834" s="228"/>
      <c r="U1834" s="226"/>
      <c r="V1834" s="226"/>
      <c r="W1834" s="303"/>
      <c r="X1834" s="220"/>
      <c r="Z1834" s="227"/>
      <c r="AA1834" s="220"/>
      <c r="AB1834" s="221"/>
      <c r="AC1834" s="229"/>
      <c r="AD1834" s="230"/>
      <c r="AE1834" s="230"/>
      <c r="AF1834" s="230"/>
      <c r="AG1834" s="227"/>
    </row>
    <row r="1835" spans="1:33" x14ac:dyDescent="0.25">
      <c r="A1835" s="32"/>
      <c r="B1835" s="306"/>
      <c r="C1835" s="307"/>
      <c r="D1835" s="312"/>
      <c r="E1835" s="301"/>
      <c r="F1835" s="232"/>
      <c r="J1835" s="306"/>
      <c r="K1835" s="306"/>
      <c r="L1835" s="313"/>
      <c r="M1835" s="219"/>
      <c r="N1835" s="218"/>
      <c r="S1835" s="224"/>
      <c r="T1835" s="228"/>
      <c r="U1835" s="226"/>
      <c r="V1835" s="226"/>
      <c r="W1835" s="303"/>
      <c r="X1835" s="220"/>
      <c r="Z1835" s="227"/>
      <c r="AA1835" s="220"/>
      <c r="AB1835" s="221"/>
      <c r="AC1835" s="229"/>
      <c r="AD1835" s="230"/>
      <c r="AE1835" s="230"/>
      <c r="AF1835" s="230"/>
      <c r="AG1835" s="227"/>
    </row>
    <row r="1836" spans="1:33" x14ac:dyDescent="0.25">
      <c r="A1836" s="32"/>
      <c r="B1836" s="306"/>
      <c r="C1836" s="307"/>
      <c r="D1836" s="312"/>
      <c r="E1836" s="301"/>
      <c r="F1836" s="232"/>
      <c r="J1836" s="306"/>
      <c r="K1836" s="306"/>
      <c r="L1836" s="313"/>
      <c r="M1836" s="219"/>
      <c r="N1836" s="218"/>
      <c r="S1836" s="224"/>
      <c r="T1836" s="228"/>
      <c r="U1836" s="226"/>
      <c r="V1836" s="226"/>
      <c r="W1836" s="303"/>
      <c r="X1836" s="220"/>
      <c r="Z1836" s="227"/>
      <c r="AA1836" s="220"/>
      <c r="AB1836" s="221"/>
      <c r="AC1836" s="229"/>
      <c r="AD1836" s="230"/>
      <c r="AE1836" s="230"/>
      <c r="AF1836" s="230"/>
      <c r="AG1836" s="227"/>
    </row>
    <row r="1837" spans="1:33" x14ac:dyDescent="0.25">
      <c r="A1837" s="32"/>
      <c r="B1837" s="306"/>
      <c r="C1837" s="307"/>
      <c r="D1837" s="312"/>
      <c r="E1837" s="301"/>
      <c r="F1837" s="232"/>
      <c r="J1837" s="306"/>
      <c r="K1837" s="306"/>
      <c r="L1837" s="313"/>
      <c r="M1837" s="219"/>
      <c r="N1837" s="218"/>
      <c r="S1837" s="224"/>
      <c r="T1837" s="228"/>
      <c r="U1837" s="226"/>
      <c r="V1837" s="226"/>
      <c r="W1837" s="303"/>
      <c r="X1837" s="220"/>
      <c r="Z1837" s="227"/>
      <c r="AA1837" s="220"/>
      <c r="AB1837" s="221"/>
      <c r="AC1837" s="229"/>
      <c r="AD1837" s="230"/>
      <c r="AE1837" s="230"/>
      <c r="AF1837" s="230"/>
      <c r="AG1837" s="227"/>
    </row>
    <row r="1838" spans="1:33" x14ac:dyDescent="0.25">
      <c r="A1838" s="32"/>
      <c r="B1838" s="306"/>
      <c r="C1838" s="307"/>
      <c r="D1838" s="312"/>
      <c r="E1838" s="301"/>
      <c r="F1838" s="232"/>
      <c r="J1838" s="306"/>
      <c r="K1838" s="306"/>
      <c r="L1838" s="313"/>
      <c r="M1838" s="219"/>
      <c r="N1838" s="218"/>
      <c r="S1838" s="224"/>
      <c r="T1838" s="228"/>
      <c r="U1838" s="226"/>
      <c r="V1838" s="226"/>
      <c r="W1838" s="303"/>
      <c r="X1838" s="220"/>
      <c r="Z1838" s="227"/>
      <c r="AA1838" s="220"/>
      <c r="AB1838" s="221"/>
      <c r="AC1838" s="229"/>
      <c r="AD1838" s="230"/>
      <c r="AE1838" s="230"/>
      <c r="AF1838" s="230"/>
      <c r="AG1838" s="227"/>
    </row>
    <row r="1839" spans="1:33" x14ac:dyDescent="0.25">
      <c r="A1839" s="32"/>
      <c r="B1839" s="306"/>
      <c r="C1839" s="307"/>
      <c r="D1839" s="312"/>
      <c r="E1839" s="301"/>
      <c r="F1839" s="232"/>
      <c r="J1839" s="306"/>
      <c r="K1839" s="306"/>
      <c r="L1839" s="313"/>
      <c r="M1839" s="219"/>
      <c r="N1839" s="218"/>
      <c r="S1839" s="224"/>
      <c r="T1839" s="228"/>
      <c r="U1839" s="226"/>
      <c r="V1839" s="226"/>
      <c r="W1839" s="303"/>
      <c r="X1839" s="220"/>
      <c r="Z1839" s="227"/>
      <c r="AA1839" s="220"/>
      <c r="AB1839" s="221"/>
      <c r="AC1839" s="229"/>
      <c r="AD1839" s="230"/>
      <c r="AE1839" s="230"/>
      <c r="AF1839" s="230"/>
      <c r="AG1839" s="227"/>
    </row>
    <row r="1840" spans="1:33" x14ac:dyDescent="0.25">
      <c r="A1840" s="32"/>
      <c r="B1840" s="306"/>
      <c r="C1840" s="307"/>
      <c r="D1840" s="312"/>
      <c r="E1840" s="301"/>
      <c r="F1840" s="232"/>
      <c r="J1840" s="306"/>
      <c r="K1840" s="306"/>
      <c r="L1840" s="313"/>
      <c r="M1840" s="219"/>
      <c r="N1840" s="218"/>
      <c r="S1840" s="224"/>
      <c r="T1840" s="228"/>
      <c r="U1840" s="226"/>
      <c r="V1840" s="226"/>
      <c r="W1840" s="303"/>
      <c r="X1840" s="220"/>
      <c r="Z1840" s="227"/>
      <c r="AA1840" s="220"/>
      <c r="AB1840" s="221"/>
      <c r="AC1840" s="229"/>
      <c r="AD1840" s="230"/>
      <c r="AE1840" s="230"/>
      <c r="AF1840" s="230"/>
      <c r="AG1840" s="227"/>
    </row>
    <row r="1841" spans="1:33" x14ac:dyDescent="0.25">
      <c r="A1841" s="32"/>
      <c r="B1841" s="306"/>
      <c r="C1841" s="307"/>
      <c r="D1841" s="312"/>
      <c r="E1841" s="301"/>
      <c r="F1841" s="232"/>
      <c r="J1841" s="306"/>
      <c r="K1841" s="306"/>
      <c r="L1841" s="313"/>
      <c r="M1841" s="219"/>
      <c r="N1841" s="218"/>
      <c r="S1841" s="224"/>
      <c r="T1841" s="228"/>
      <c r="U1841" s="226"/>
      <c r="V1841" s="226"/>
      <c r="W1841" s="303"/>
      <c r="X1841" s="220"/>
      <c r="Z1841" s="227"/>
      <c r="AA1841" s="220"/>
      <c r="AB1841" s="221"/>
      <c r="AC1841" s="229"/>
      <c r="AD1841" s="230"/>
      <c r="AE1841" s="230"/>
      <c r="AF1841" s="230"/>
      <c r="AG1841" s="227"/>
    </row>
    <row r="1842" spans="1:33" x14ac:dyDescent="0.25">
      <c r="A1842" s="32"/>
      <c r="B1842" s="306"/>
      <c r="C1842" s="307"/>
      <c r="D1842" s="312"/>
      <c r="E1842" s="301"/>
      <c r="F1842" s="232"/>
      <c r="J1842" s="306"/>
      <c r="K1842" s="306"/>
      <c r="L1842" s="313"/>
      <c r="M1842" s="219"/>
      <c r="N1842" s="218"/>
      <c r="S1842" s="224"/>
      <c r="T1842" s="228"/>
      <c r="U1842" s="226"/>
      <c r="V1842" s="226"/>
      <c r="W1842" s="303"/>
      <c r="X1842" s="220"/>
      <c r="Z1842" s="227"/>
      <c r="AA1842" s="220"/>
      <c r="AB1842" s="221"/>
      <c r="AC1842" s="229"/>
      <c r="AD1842" s="230"/>
      <c r="AE1842" s="230"/>
      <c r="AF1842" s="230"/>
      <c r="AG1842" s="227"/>
    </row>
    <row r="1843" spans="1:33" x14ac:dyDescent="0.25">
      <c r="A1843" s="32"/>
      <c r="B1843" s="306"/>
      <c r="C1843" s="307"/>
      <c r="D1843" s="312"/>
      <c r="E1843" s="301"/>
      <c r="F1843" s="232"/>
      <c r="J1843" s="306"/>
      <c r="K1843" s="306"/>
      <c r="L1843" s="313"/>
      <c r="M1843" s="219"/>
      <c r="N1843" s="218"/>
      <c r="S1843" s="224"/>
      <c r="T1843" s="228"/>
      <c r="U1843" s="226"/>
      <c r="V1843" s="226"/>
      <c r="W1843" s="303"/>
      <c r="X1843" s="220"/>
      <c r="Z1843" s="227"/>
      <c r="AA1843" s="220"/>
      <c r="AB1843" s="221"/>
      <c r="AC1843" s="229"/>
      <c r="AD1843" s="230"/>
      <c r="AE1843" s="230"/>
      <c r="AF1843" s="230"/>
      <c r="AG1843" s="227"/>
    </row>
    <row r="1844" spans="1:33" x14ac:dyDescent="0.25">
      <c r="A1844" s="32"/>
      <c r="B1844" s="306"/>
      <c r="C1844" s="307"/>
      <c r="D1844" s="312"/>
      <c r="E1844" s="301"/>
      <c r="F1844" s="232"/>
      <c r="J1844" s="306"/>
      <c r="K1844" s="306"/>
      <c r="L1844" s="313"/>
      <c r="M1844" s="219"/>
      <c r="N1844" s="218"/>
      <c r="S1844" s="224"/>
      <c r="T1844" s="228"/>
      <c r="U1844" s="226"/>
      <c r="V1844" s="226"/>
      <c r="W1844" s="303"/>
      <c r="X1844" s="220"/>
      <c r="Z1844" s="227"/>
      <c r="AA1844" s="220"/>
      <c r="AB1844" s="221"/>
      <c r="AC1844" s="229"/>
      <c r="AD1844" s="230"/>
      <c r="AE1844" s="230"/>
      <c r="AF1844" s="230"/>
      <c r="AG1844" s="227"/>
    </row>
    <row r="1845" spans="1:33" x14ac:dyDescent="0.25">
      <c r="A1845" s="32"/>
      <c r="B1845" s="306"/>
      <c r="C1845" s="307"/>
      <c r="D1845" s="312"/>
      <c r="E1845" s="301"/>
      <c r="F1845" s="232"/>
      <c r="J1845" s="306"/>
      <c r="K1845" s="306"/>
      <c r="L1845" s="313"/>
      <c r="M1845" s="219"/>
      <c r="N1845" s="218"/>
      <c r="S1845" s="224"/>
      <c r="T1845" s="228"/>
      <c r="U1845" s="226"/>
      <c r="V1845" s="226"/>
      <c r="W1845" s="303"/>
      <c r="X1845" s="220"/>
      <c r="Z1845" s="227"/>
      <c r="AA1845" s="220"/>
      <c r="AB1845" s="221"/>
      <c r="AC1845" s="229"/>
      <c r="AD1845" s="230"/>
      <c r="AE1845" s="230"/>
      <c r="AF1845" s="230"/>
      <c r="AG1845" s="227"/>
    </row>
    <row r="1846" spans="1:33" x14ac:dyDescent="0.25">
      <c r="A1846" s="32"/>
      <c r="B1846" s="306"/>
      <c r="C1846" s="307"/>
      <c r="D1846" s="312"/>
      <c r="E1846" s="301"/>
      <c r="F1846" s="232"/>
      <c r="J1846" s="306"/>
      <c r="K1846" s="306"/>
      <c r="L1846" s="313"/>
      <c r="M1846" s="219"/>
      <c r="N1846" s="218"/>
      <c r="S1846" s="224"/>
      <c r="T1846" s="228"/>
      <c r="U1846" s="226"/>
      <c r="V1846" s="226"/>
      <c r="W1846" s="303"/>
      <c r="X1846" s="220"/>
      <c r="Z1846" s="227"/>
      <c r="AA1846" s="220"/>
      <c r="AB1846" s="221"/>
      <c r="AC1846" s="229"/>
      <c r="AD1846" s="230"/>
      <c r="AE1846" s="230"/>
      <c r="AF1846" s="230"/>
      <c r="AG1846" s="227"/>
    </row>
    <row r="1847" spans="1:33" x14ac:dyDescent="0.25">
      <c r="A1847" s="32"/>
      <c r="B1847" s="306"/>
      <c r="C1847" s="307"/>
      <c r="D1847" s="312"/>
      <c r="E1847" s="301"/>
      <c r="F1847" s="232"/>
      <c r="J1847" s="306"/>
      <c r="K1847" s="306"/>
      <c r="L1847" s="313"/>
      <c r="M1847" s="219"/>
      <c r="N1847" s="218"/>
      <c r="S1847" s="224"/>
      <c r="T1847" s="228"/>
      <c r="U1847" s="226"/>
      <c r="V1847" s="226"/>
      <c r="W1847" s="303"/>
      <c r="X1847" s="220"/>
      <c r="Z1847" s="227"/>
      <c r="AA1847" s="220"/>
      <c r="AB1847" s="221"/>
      <c r="AC1847" s="229"/>
      <c r="AD1847" s="230"/>
      <c r="AE1847" s="230"/>
      <c r="AF1847" s="230"/>
      <c r="AG1847" s="227"/>
    </row>
    <row r="1848" spans="1:33" x14ac:dyDescent="0.25">
      <c r="A1848" s="32"/>
      <c r="B1848" s="306"/>
      <c r="C1848" s="307"/>
      <c r="D1848" s="312"/>
      <c r="E1848" s="301"/>
      <c r="F1848" s="232"/>
      <c r="J1848" s="306"/>
      <c r="K1848" s="306"/>
      <c r="L1848" s="313"/>
      <c r="M1848" s="219"/>
      <c r="N1848" s="218"/>
      <c r="S1848" s="224"/>
      <c r="T1848" s="228"/>
      <c r="U1848" s="226"/>
      <c r="V1848" s="226"/>
      <c r="W1848" s="303"/>
      <c r="X1848" s="220"/>
      <c r="Z1848" s="227"/>
      <c r="AA1848" s="220"/>
      <c r="AB1848" s="221"/>
      <c r="AC1848" s="229"/>
      <c r="AD1848" s="230"/>
      <c r="AE1848" s="230"/>
      <c r="AF1848" s="230"/>
      <c r="AG1848" s="227"/>
    </row>
    <row r="1849" spans="1:33" x14ac:dyDescent="0.25">
      <c r="A1849" s="32"/>
      <c r="B1849" s="306"/>
      <c r="C1849" s="307"/>
      <c r="D1849" s="312"/>
      <c r="E1849" s="301"/>
      <c r="F1849" s="232"/>
      <c r="J1849" s="306"/>
      <c r="K1849" s="306"/>
      <c r="L1849" s="313"/>
      <c r="M1849" s="219"/>
      <c r="N1849" s="218"/>
      <c r="S1849" s="224"/>
      <c r="T1849" s="228"/>
      <c r="U1849" s="226"/>
      <c r="V1849" s="226"/>
      <c r="W1849" s="303"/>
      <c r="X1849" s="220"/>
      <c r="Z1849" s="227"/>
      <c r="AA1849" s="220"/>
      <c r="AB1849" s="221"/>
      <c r="AC1849" s="229"/>
      <c r="AD1849" s="230"/>
      <c r="AE1849" s="230"/>
      <c r="AF1849" s="230"/>
      <c r="AG1849" s="227"/>
    </row>
    <row r="1850" spans="1:33" x14ac:dyDescent="0.25">
      <c r="A1850" s="32"/>
      <c r="B1850" s="306"/>
      <c r="C1850" s="307"/>
      <c r="D1850" s="312"/>
      <c r="E1850" s="301"/>
      <c r="F1850" s="232"/>
      <c r="J1850" s="306"/>
      <c r="K1850" s="306"/>
      <c r="L1850" s="313"/>
      <c r="M1850" s="219"/>
      <c r="N1850" s="218"/>
      <c r="S1850" s="224"/>
      <c r="T1850" s="228"/>
      <c r="U1850" s="226"/>
      <c r="V1850" s="226"/>
      <c r="W1850" s="303"/>
      <c r="X1850" s="220"/>
      <c r="Z1850" s="227"/>
      <c r="AA1850" s="220"/>
      <c r="AB1850" s="221"/>
      <c r="AC1850" s="229"/>
      <c r="AD1850" s="230"/>
      <c r="AE1850" s="230"/>
      <c r="AF1850" s="230"/>
      <c r="AG1850" s="227"/>
    </row>
    <row r="1851" spans="1:33" x14ac:dyDescent="0.25">
      <c r="A1851" s="32"/>
      <c r="B1851" s="306"/>
      <c r="C1851" s="307"/>
      <c r="D1851" s="312"/>
      <c r="E1851" s="301"/>
      <c r="F1851" s="232"/>
      <c r="J1851" s="306"/>
      <c r="K1851" s="306"/>
      <c r="L1851" s="313"/>
      <c r="M1851" s="219"/>
      <c r="N1851" s="218"/>
      <c r="S1851" s="224"/>
      <c r="T1851" s="228"/>
      <c r="U1851" s="226"/>
      <c r="V1851" s="226"/>
      <c r="W1851" s="303"/>
      <c r="X1851" s="220"/>
      <c r="Z1851" s="227"/>
      <c r="AA1851" s="220"/>
      <c r="AB1851" s="221"/>
      <c r="AC1851" s="229"/>
      <c r="AD1851" s="230"/>
      <c r="AE1851" s="230"/>
      <c r="AF1851" s="230"/>
      <c r="AG1851" s="227"/>
    </row>
    <row r="1852" spans="1:33" x14ac:dyDescent="0.25">
      <c r="A1852" s="32"/>
      <c r="B1852" s="306"/>
      <c r="C1852" s="307"/>
      <c r="D1852" s="312"/>
      <c r="E1852" s="301"/>
      <c r="F1852" s="232"/>
      <c r="J1852" s="306"/>
      <c r="K1852" s="306"/>
      <c r="L1852" s="313"/>
      <c r="M1852" s="219"/>
      <c r="N1852" s="218"/>
      <c r="S1852" s="224"/>
      <c r="T1852" s="228"/>
      <c r="U1852" s="226"/>
      <c r="V1852" s="226"/>
      <c r="W1852" s="303"/>
      <c r="X1852" s="220"/>
      <c r="Z1852" s="227"/>
      <c r="AA1852" s="220"/>
      <c r="AB1852" s="221"/>
      <c r="AC1852" s="229"/>
      <c r="AD1852" s="230"/>
      <c r="AE1852" s="230"/>
      <c r="AF1852" s="230"/>
      <c r="AG1852" s="227"/>
    </row>
    <row r="1853" spans="1:33" x14ac:dyDescent="0.25">
      <c r="A1853" s="32"/>
      <c r="B1853" s="306"/>
      <c r="C1853" s="307"/>
      <c r="D1853" s="312"/>
      <c r="E1853" s="301"/>
      <c r="F1853" s="232"/>
      <c r="J1853" s="306"/>
      <c r="K1853" s="306"/>
      <c r="L1853" s="313"/>
      <c r="M1853" s="219"/>
      <c r="N1853" s="218"/>
      <c r="S1853" s="224"/>
      <c r="T1853" s="228"/>
      <c r="U1853" s="226"/>
      <c r="V1853" s="226"/>
      <c r="W1853" s="303"/>
      <c r="X1853" s="220"/>
      <c r="Z1853" s="227"/>
      <c r="AA1853" s="220"/>
      <c r="AB1853" s="221"/>
      <c r="AC1853" s="229"/>
      <c r="AD1853" s="230"/>
      <c r="AE1853" s="230"/>
      <c r="AF1853" s="230"/>
      <c r="AG1853" s="227"/>
    </row>
    <row r="1854" spans="1:33" x14ac:dyDescent="0.25">
      <c r="A1854" s="32"/>
      <c r="B1854" s="306"/>
      <c r="C1854" s="307"/>
      <c r="D1854" s="312"/>
      <c r="E1854" s="301"/>
      <c r="F1854" s="232"/>
      <c r="J1854" s="306"/>
      <c r="K1854" s="306"/>
      <c r="L1854" s="313"/>
      <c r="M1854" s="219"/>
      <c r="N1854" s="218"/>
      <c r="S1854" s="224"/>
      <c r="T1854" s="228"/>
      <c r="U1854" s="226"/>
      <c r="V1854" s="226"/>
      <c r="W1854" s="303"/>
      <c r="X1854" s="220"/>
      <c r="Z1854" s="227"/>
      <c r="AA1854" s="220"/>
      <c r="AB1854" s="221"/>
      <c r="AC1854" s="229"/>
      <c r="AD1854" s="230"/>
      <c r="AE1854" s="230"/>
      <c r="AF1854" s="230"/>
      <c r="AG1854" s="227"/>
    </row>
    <row r="1855" spans="1:33" x14ac:dyDescent="0.25">
      <c r="A1855" s="32"/>
      <c r="B1855" s="306"/>
      <c r="C1855" s="307"/>
      <c r="D1855" s="312"/>
      <c r="E1855" s="301"/>
      <c r="F1855" s="232"/>
      <c r="J1855" s="306"/>
      <c r="K1855" s="306"/>
      <c r="L1855" s="313"/>
      <c r="M1855" s="219"/>
      <c r="N1855" s="218"/>
      <c r="S1855" s="224"/>
      <c r="T1855" s="228"/>
      <c r="U1855" s="226"/>
      <c r="V1855" s="226"/>
      <c r="W1855" s="303"/>
      <c r="X1855" s="220"/>
      <c r="Z1855" s="227"/>
      <c r="AA1855" s="220"/>
      <c r="AB1855" s="221"/>
      <c r="AC1855" s="229"/>
      <c r="AD1855" s="230"/>
      <c r="AE1855" s="230"/>
      <c r="AF1855" s="230"/>
      <c r="AG1855" s="227"/>
    </row>
    <row r="1856" spans="1:33" x14ac:dyDescent="0.25">
      <c r="A1856" s="32"/>
      <c r="B1856" s="306"/>
      <c r="C1856" s="307"/>
      <c r="D1856" s="312"/>
      <c r="E1856" s="301"/>
      <c r="F1856" s="232"/>
      <c r="J1856" s="306"/>
      <c r="K1856" s="306"/>
      <c r="L1856" s="313"/>
      <c r="M1856" s="219"/>
      <c r="N1856" s="218"/>
      <c r="S1856" s="224"/>
      <c r="T1856" s="228"/>
      <c r="U1856" s="226"/>
      <c r="V1856" s="226"/>
      <c r="W1856" s="303"/>
      <c r="X1856" s="220"/>
      <c r="Z1856" s="227"/>
      <c r="AA1856" s="220"/>
      <c r="AB1856" s="221"/>
      <c r="AC1856" s="229"/>
      <c r="AD1856" s="230"/>
      <c r="AE1856" s="230"/>
      <c r="AF1856" s="230"/>
      <c r="AG1856" s="227"/>
    </row>
    <row r="1857" spans="1:33" x14ac:dyDescent="0.25">
      <c r="A1857" s="32"/>
      <c r="B1857" s="306"/>
      <c r="C1857" s="307"/>
      <c r="D1857" s="312"/>
      <c r="E1857" s="301"/>
      <c r="F1857" s="232"/>
      <c r="J1857" s="306"/>
      <c r="K1857" s="306"/>
      <c r="L1857" s="313"/>
      <c r="M1857" s="219"/>
      <c r="N1857" s="218"/>
      <c r="S1857" s="224"/>
      <c r="T1857" s="228"/>
      <c r="U1857" s="226"/>
      <c r="V1857" s="226"/>
      <c r="W1857" s="303"/>
      <c r="X1857" s="220"/>
      <c r="Z1857" s="227"/>
      <c r="AA1857" s="220"/>
      <c r="AB1857" s="221"/>
      <c r="AC1857" s="229"/>
      <c r="AD1857" s="230"/>
      <c r="AE1857" s="230"/>
      <c r="AF1857" s="230"/>
      <c r="AG1857" s="227"/>
    </row>
    <row r="1858" spans="1:33" x14ac:dyDescent="0.25">
      <c r="A1858" s="32"/>
      <c r="B1858" s="306"/>
      <c r="C1858" s="307"/>
      <c r="D1858" s="312"/>
      <c r="E1858" s="301"/>
      <c r="F1858" s="232"/>
      <c r="J1858" s="306"/>
      <c r="K1858" s="306"/>
      <c r="L1858" s="313"/>
      <c r="M1858" s="219"/>
      <c r="N1858" s="218"/>
      <c r="S1858" s="224"/>
      <c r="T1858" s="228"/>
      <c r="U1858" s="226"/>
      <c r="V1858" s="226"/>
      <c r="W1858" s="303"/>
      <c r="X1858" s="220"/>
      <c r="Z1858" s="227"/>
      <c r="AA1858" s="220"/>
      <c r="AB1858" s="221"/>
      <c r="AC1858" s="229"/>
      <c r="AD1858" s="230"/>
      <c r="AE1858" s="230"/>
      <c r="AF1858" s="230"/>
      <c r="AG1858" s="227"/>
    </row>
    <row r="1859" spans="1:33" x14ac:dyDescent="0.25">
      <c r="A1859" s="32"/>
      <c r="B1859" s="306"/>
      <c r="C1859" s="307"/>
      <c r="D1859" s="312"/>
      <c r="E1859" s="301"/>
      <c r="F1859" s="232"/>
      <c r="J1859" s="306"/>
      <c r="K1859" s="306"/>
      <c r="L1859" s="313"/>
      <c r="M1859" s="219"/>
      <c r="N1859" s="218"/>
      <c r="S1859" s="224"/>
      <c r="T1859" s="228"/>
      <c r="U1859" s="226"/>
      <c r="V1859" s="226"/>
      <c r="W1859" s="303"/>
      <c r="X1859" s="220"/>
      <c r="Z1859" s="227"/>
      <c r="AA1859" s="220"/>
      <c r="AB1859" s="221"/>
      <c r="AC1859" s="229"/>
      <c r="AD1859" s="230"/>
      <c r="AE1859" s="230"/>
      <c r="AF1859" s="230"/>
      <c r="AG1859" s="227"/>
    </row>
    <row r="1860" spans="1:33" x14ac:dyDescent="0.25">
      <c r="A1860" s="32"/>
      <c r="B1860" s="306"/>
      <c r="C1860" s="307"/>
      <c r="D1860" s="312"/>
      <c r="E1860" s="301"/>
      <c r="F1860" s="232"/>
      <c r="J1860" s="306"/>
      <c r="K1860" s="306"/>
      <c r="L1860" s="313"/>
      <c r="M1860" s="219"/>
      <c r="N1860" s="218"/>
      <c r="S1860" s="224"/>
      <c r="T1860" s="228"/>
      <c r="U1860" s="226"/>
      <c r="V1860" s="226"/>
      <c r="W1860" s="303"/>
      <c r="X1860" s="220"/>
      <c r="Z1860" s="227"/>
      <c r="AA1860" s="220"/>
      <c r="AB1860" s="221"/>
      <c r="AC1860" s="229"/>
      <c r="AD1860" s="230"/>
      <c r="AE1860" s="230"/>
      <c r="AF1860" s="230"/>
      <c r="AG1860" s="227"/>
    </row>
    <row r="1861" spans="1:33" x14ac:dyDescent="0.25">
      <c r="A1861" s="32"/>
      <c r="B1861" s="306"/>
      <c r="C1861" s="307"/>
      <c r="D1861" s="312"/>
      <c r="E1861" s="301"/>
      <c r="F1861" s="232"/>
      <c r="J1861" s="306"/>
      <c r="K1861" s="306"/>
      <c r="L1861" s="313"/>
      <c r="M1861" s="219"/>
      <c r="N1861" s="218"/>
      <c r="S1861" s="224"/>
      <c r="T1861" s="228"/>
      <c r="U1861" s="226"/>
      <c r="V1861" s="226"/>
      <c r="W1861" s="303"/>
      <c r="X1861" s="220"/>
      <c r="Z1861" s="227"/>
      <c r="AA1861" s="220"/>
      <c r="AB1861" s="221"/>
      <c r="AC1861" s="229"/>
      <c r="AD1861" s="230"/>
      <c r="AE1861" s="230"/>
      <c r="AF1861" s="230"/>
      <c r="AG1861" s="227"/>
    </row>
    <row r="1862" spans="1:33" x14ac:dyDescent="0.25">
      <c r="A1862" s="32"/>
      <c r="B1862" s="306"/>
      <c r="C1862" s="307"/>
      <c r="D1862" s="312"/>
      <c r="E1862" s="301"/>
      <c r="F1862" s="232"/>
      <c r="J1862" s="306"/>
      <c r="K1862" s="306"/>
      <c r="L1862" s="313"/>
      <c r="M1862" s="219"/>
      <c r="N1862" s="218"/>
      <c r="S1862" s="224"/>
      <c r="T1862" s="228"/>
      <c r="U1862" s="226"/>
      <c r="V1862" s="226"/>
      <c r="W1862" s="303"/>
      <c r="X1862" s="220"/>
      <c r="Z1862" s="227"/>
      <c r="AA1862" s="220"/>
      <c r="AB1862" s="221"/>
      <c r="AC1862" s="229"/>
      <c r="AD1862" s="230"/>
      <c r="AE1862" s="230"/>
      <c r="AF1862" s="230"/>
      <c r="AG1862" s="227"/>
    </row>
    <row r="1863" spans="1:33" x14ac:dyDescent="0.25">
      <c r="A1863" s="32"/>
      <c r="B1863" s="306"/>
      <c r="C1863" s="307"/>
      <c r="D1863" s="312"/>
      <c r="E1863" s="301"/>
      <c r="F1863" s="232"/>
      <c r="J1863" s="306"/>
      <c r="K1863" s="306"/>
      <c r="L1863" s="313"/>
      <c r="M1863" s="219"/>
      <c r="N1863" s="218"/>
      <c r="S1863" s="224"/>
      <c r="T1863" s="228"/>
      <c r="U1863" s="226"/>
      <c r="V1863" s="226"/>
      <c r="W1863" s="303"/>
      <c r="X1863" s="220"/>
      <c r="Z1863" s="227"/>
      <c r="AA1863" s="220"/>
      <c r="AB1863" s="221"/>
      <c r="AC1863" s="229"/>
      <c r="AD1863" s="230"/>
      <c r="AE1863" s="230"/>
      <c r="AF1863" s="230"/>
      <c r="AG1863" s="227"/>
    </row>
    <row r="1864" spans="1:33" x14ac:dyDescent="0.25">
      <c r="A1864" s="32"/>
      <c r="B1864" s="306"/>
      <c r="C1864" s="307"/>
      <c r="D1864" s="312"/>
      <c r="E1864" s="301"/>
      <c r="F1864" s="232"/>
      <c r="J1864" s="306"/>
      <c r="K1864" s="306"/>
      <c r="L1864" s="313"/>
      <c r="M1864" s="219"/>
      <c r="N1864" s="218"/>
      <c r="S1864" s="224"/>
      <c r="T1864" s="228"/>
      <c r="U1864" s="226"/>
      <c r="V1864" s="226"/>
      <c r="W1864" s="303"/>
      <c r="X1864" s="220"/>
      <c r="Z1864" s="227"/>
      <c r="AA1864" s="220"/>
      <c r="AB1864" s="221"/>
      <c r="AC1864" s="229"/>
      <c r="AD1864" s="230"/>
      <c r="AE1864" s="230"/>
      <c r="AF1864" s="230"/>
      <c r="AG1864" s="227"/>
    </row>
    <row r="1865" spans="1:33" x14ac:dyDescent="0.25">
      <c r="A1865" s="32"/>
      <c r="B1865" s="306"/>
      <c r="C1865" s="307"/>
      <c r="D1865" s="312"/>
      <c r="E1865" s="301"/>
      <c r="F1865" s="232"/>
      <c r="J1865" s="306"/>
      <c r="K1865" s="306"/>
      <c r="L1865" s="313"/>
      <c r="M1865" s="219"/>
      <c r="N1865" s="218"/>
      <c r="S1865" s="224"/>
      <c r="T1865" s="228"/>
      <c r="U1865" s="226"/>
      <c r="V1865" s="226"/>
      <c r="W1865" s="303"/>
      <c r="X1865" s="220"/>
      <c r="Z1865" s="227"/>
      <c r="AA1865" s="220"/>
      <c r="AB1865" s="221"/>
      <c r="AC1865" s="229"/>
      <c r="AD1865" s="230"/>
      <c r="AE1865" s="230"/>
      <c r="AF1865" s="230"/>
      <c r="AG1865" s="227"/>
    </row>
    <row r="1866" spans="1:33" x14ac:dyDescent="0.25">
      <c r="A1866" s="32"/>
      <c r="B1866" s="306"/>
      <c r="C1866" s="307"/>
      <c r="D1866" s="312"/>
      <c r="E1866" s="301"/>
      <c r="F1866" s="232"/>
      <c r="J1866" s="306"/>
      <c r="K1866" s="306"/>
      <c r="L1866" s="313"/>
      <c r="M1866" s="219"/>
      <c r="N1866" s="218"/>
      <c r="S1866" s="224"/>
      <c r="T1866" s="228"/>
      <c r="U1866" s="226"/>
      <c r="V1866" s="226"/>
      <c r="W1866" s="303"/>
      <c r="X1866" s="220"/>
      <c r="Z1866" s="227"/>
      <c r="AA1866" s="220"/>
      <c r="AB1866" s="221"/>
      <c r="AC1866" s="229"/>
      <c r="AD1866" s="230"/>
      <c r="AE1866" s="230"/>
      <c r="AF1866" s="230"/>
      <c r="AG1866" s="227"/>
    </row>
    <row r="1867" spans="1:33" x14ac:dyDescent="0.25">
      <c r="A1867" s="32"/>
      <c r="B1867" s="306"/>
      <c r="C1867" s="307"/>
      <c r="D1867" s="312"/>
      <c r="E1867" s="301"/>
      <c r="F1867" s="232"/>
      <c r="J1867" s="306"/>
      <c r="K1867" s="306"/>
      <c r="L1867" s="313"/>
      <c r="M1867" s="219"/>
      <c r="N1867" s="218"/>
      <c r="S1867" s="224"/>
      <c r="T1867" s="228"/>
      <c r="U1867" s="226"/>
      <c r="V1867" s="226"/>
      <c r="W1867" s="303"/>
      <c r="X1867" s="220"/>
      <c r="Z1867" s="227"/>
      <c r="AA1867" s="220"/>
      <c r="AB1867" s="221"/>
      <c r="AC1867" s="229"/>
      <c r="AD1867" s="230"/>
      <c r="AE1867" s="230"/>
      <c r="AF1867" s="230"/>
      <c r="AG1867" s="227"/>
    </row>
    <row r="1868" spans="1:33" x14ac:dyDescent="0.25">
      <c r="A1868" s="32"/>
      <c r="B1868" s="306"/>
      <c r="C1868" s="307"/>
      <c r="D1868" s="312"/>
      <c r="E1868" s="301"/>
      <c r="F1868" s="232"/>
      <c r="J1868" s="306"/>
      <c r="K1868" s="306"/>
      <c r="L1868" s="313"/>
      <c r="M1868" s="219"/>
      <c r="N1868" s="218"/>
      <c r="S1868" s="224"/>
      <c r="T1868" s="228"/>
      <c r="U1868" s="226"/>
      <c r="V1868" s="226"/>
      <c r="W1868" s="303"/>
      <c r="X1868" s="220"/>
      <c r="Z1868" s="227"/>
      <c r="AA1868" s="220"/>
      <c r="AB1868" s="221"/>
      <c r="AC1868" s="229"/>
      <c r="AD1868" s="230"/>
      <c r="AE1868" s="230"/>
      <c r="AF1868" s="230"/>
      <c r="AG1868" s="227"/>
    </row>
    <row r="1869" spans="1:33" x14ac:dyDescent="0.25">
      <c r="A1869" s="32"/>
      <c r="B1869" s="306"/>
      <c r="C1869" s="307"/>
      <c r="D1869" s="312"/>
      <c r="E1869" s="301"/>
      <c r="F1869" s="232"/>
      <c r="J1869" s="306"/>
      <c r="K1869" s="306"/>
      <c r="L1869" s="313"/>
      <c r="M1869" s="219"/>
      <c r="N1869" s="218"/>
      <c r="S1869" s="224"/>
      <c r="T1869" s="228"/>
      <c r="U1869" s="226"/>
      <c r="V1869" s="226"/>
      <c r="W1869" s="303"/>
      <c r="X1869" s="220"/>
      <c r="Z1869" s="227"/>
      <c r="AA1869" s="220"/>
      <c r="AB1869" s="221"/>
      <c r="AC1869" s="229"/>
      <c r="AD1869" s="230"/>
      <c r="AE1869" s="230"/>
      <c r="AF1869" s="230"/>
      <c r="AG1869" s="227"/>
    </row>
    <row r="1870" spans="1:33" x14ac:dyDescent="0.25">
      <c r="A1870" s="32"/>
      <c r="B1870" s="306"/>
      <c r="C1870" s="307"/>
      <c r="D1870" s="312"/>
      <c r="E1870" s="301"/>
      <c r="F1870" s="232"/>
      <c r="J1870" s="306"/>
      <c r="K1870" s="306"/>
      <c r="L1870" s="313"/>
      <c r="M1870" s="219"/>
      <c r="N1870" s="218"/>
      <c r="S1870" s="224"/>
      <c r="T1870" s="228"/>
      <c r="U1870" s="226"/>
      <c r="V1870" s="226"/>
      <c r="W1870" s="303"/>
      <c r="X1870" s="220"/>
      <c r="Z1870" s="227"/>
      <c r="AA1870" s="220"/>
      <c r="AB1870" s="221"/>
      <c r="AC1870" s="229"/>
      <c r="AD1870" s="230"/>
      <c r="AE1870" s="230"/>
      <c r="AF1870" s="230"/>
      <c r="AG1870" s="227"/>
    </row>
    <row r="1871" spans="1:33" x14ac:dyDescent="0.25">
      <c r="A1871" s="32"/>
      <c r="B1871" s="306"/>
      <c r="C1871" s="307"/>
      <c r="D1871" s="312"/>
      <c r="E1871" s="301"/>
      <c r="F1871" s="232"/>
      <c r="J1871" s="306"/>
      <c r="K1871" s="306"/>
      <c r="L1871" s="313"/>
      <c r="M1871" s="219"/>
      <c r="N1871" s="218"/>
      <c r="S1871" s="224"/>
      <c r="T1871" s="228"/>
      <c r="U1871" s="226"/>
      <c r="V1871" s="226"/>
      <c r="W1871" s="303"/>
      <c r="X1871" s="220"/>
      <c r="Z1871" s="227"/>
      <c r="AA1871" s="220"/>
      <c r="AB1871" s="221"/>
      <c r="AC1871" s="229"/>
      <c r="AD1871" s="230"/>
      <c r="AE1871" s="230"/>
      <c r="AF1871" s="230"/>
      <c r="AG1871" s="227"/>
    </row>
    <row r="1872" spans="1:33" x14ac:dyDescent="0.25">
      <c r="A1872" s="32"/>
      <c r="B1872" s="306"/>
      <c r="C1872" s="307"/>
      <c r="D1872" s="312"/>
      <c r="E1872" s="301"/>
      <c r="F1872" s="232"/>
      <c r="J1872" s="306"/>
      <c r="K1872" s="306"/>
      <c r="L1872" s="313"/>
      <c r="M1872" s="219"/>
      <c r="N1872" s="218"/>
      <c r="S1872" s="224"/>
      <c r="T1872" s="228"/>
      <c r="U1872" s="226"/>
      <c r="V1872" s="226"/>
      <c r="W1872" s="303"/>
      <c r="X1872" s="220"/>
      <c r="Z1872" s="227"/>
      <c r="AA1872" s="220"/>
      <c r="AB1872" s="221"/>
      <c r="AC1872" s="229"/>
      <c r="AD1872" s="230"/>
      <c r="AE1872" s="230"/>
      <c r="AF1872" s="230"/>
      <c r="AG1872" s="227"/>
    </row>
    <row r="1873" spans="1:33" x14ac:dyDescent="0.25">
      <c r="A1873" s="32"/>
      <c r="B1873" s="306"/>
      <c r="C1873" s="307"/>
      <c r="D1873" s="312"/>
      <c r="E1873" s="301"/>
      <c r="F1873" s="232"/>
      <c r="J1873" s="306"/>
      <c r="K1873" s="306"/>
      <c r="L1873" s="313"/>
      <c r="M1873" s="219"/>
      <c r="N1873" s="218"/>
      <c r="S1873" s="224"/>
      <c r="T1873" s="228"/>
      <c r="U1873" s="226"/>
      <c r="V1873" s="226"/>
      <c r="W1873" s="303"/>
      <c r="X1873" s="220"/>
      <c r="Z1873" s="227"/>
      <c r="AA1873" s="220"/>
      <c r="AB1873" s="221"/>
      <c r="AC1873" s="229"/>
      <c r="AD1873" s="230"/>
      <c r="AE1873" s="230"/>
      <c r="AF1873" s="230"/>
      <c r="AG1873" s="227"/>
    </row>
    <row r="1874" spans="1:33" x14ac:dyDescent="0.25">
      <c r="A1874" s="32"/>
      <c r="B1874" s="306"/>
      <c r="C1874" s="307"/>
      <c r="D1874" s="312"/>
      <c r="E1874" s="301"/>
      <c r="F1874" s="232"/>
      <c r="J1874" s="306"/>
      <c r="K1874" s="306"/>
      <c r="L1874" s="313"/>
      <c r="M1874" s="219"/>
      <c r="N1874" s="218"/>
      <c r="S1874" s="224"/>
      <c r="T1874" s="228"/>
      <c r="U1874" s="226"/>
      <c r="V1874" s="226"/>
      <c r="W1874" s="303"/>
      <c r="X1874" s="220"/>
      <c r="Z1874" s="227"/>
      <c r="AA1874" s="220"/>
      <c r="AB1874" s="221"/>
      <c r="AC1874" s="229"/>
      <c r="AD1874" s="230"/>
      <c r="AE1874" s="230"/>
      <c r="AF1874" s="230"/>
      <c r="AG1874" s="227"/>
    </row>
    <row r="1875" spans="1:33" x14ac:dyDescent="0.25">
      <c r="A1875" s="32"/>
      <c r="B1875" s="306"/>
      <c r="C1875" s="307"/>
      <c r="D1875" s="312"/>
      <c r="E1875" s="301"/>
      <c r="F1875" s="232"/>
      <c r="J1875" s="306"/>
      <c r="K1875" s="306"/>
      <c r="L1875" s="313"/>
      <c r="M1875" s="219"/>
      <c r="N1875" s="218"/>
      <c r="S1875" s="224"/>
      <c r="T1875" s="228"/>
      <c r="U1875" s="226"/>
      <c r="V1875" s="226"/>
      <c r="W1875" s="303"/>
      <c r="X1875" s="220"/>
      <c r="Z1875" s="227"/>
      <c r="AA1875" s="220"/>
      <c r="AB1875" s="221"/>
      <c r="AC1875" s="229"/>
      <c r="AD1875" s="230"/>
      <c r="AE1875" s="230"/>
      <c r="AF1875" s="230"/>
      <c r="AG1875" s="227"/>
    </row>
    <row r="1876" spans="1:33" x14ac:dyDescent="0.25">
      <c r="A1876" s="32"/>
      <c r="B1876" s="306"/>
      <c r="C1876" s="307"/>
      <c r="D1876" s="312"/>
      <c r="E1876" s="301"/>
      <c r="F1876" s="232"/>
      <c r="J1876" s="306"/>
      <c r="K1876" s="306"/>
      <c r="L1876" s="313"/>
      <c r="M1876" s="219"/>
      <c r="N1876" s="218"/>
      <c r="S1876" s="224"/>
      <c r="T1876" s="228"/>
      <c r="U1876" s="226"/>
      <c r="V1876" s="226"/>
      <c r="W1876" s="303"/>
      <c r="X1876" s="220"/>
      <c r="Z1876" s="227"/>
      <c r="AA1876" s="220"/>
      <c r="AB1876" s="221"/>
      <c r="AC1876" s="229"/>
      <c r="AD1876" s="230"/>
      <c r="AE1876" s="230"/>
      <c r="AF1876" s="230"/>
      <c r="AG1876" s="227"/>
    </row>
    <row r="1877" spans="1:33" x14ac:dyDescent="0.25">
      <c r="A1877" s="32"/>
      <c r="B1877" s="306"/>
      <c r="C1877" s="307"/>
      <c r="D1877" s="312"/>
      <c r="E1877" s="301"/>
      <c r="F1877" s="232"/>
      <c r="J1877" s="306"/>
      <c r="K1877" s="306"/>
      <c r="L1877" s="313"/>
      <c r="M1877" s="219"/>
      <c r="N1877" s="218"/>
      <c r="S1877" s="224"/>
      <c r="T1877" s="228"/>
      <c r="U1877" s="226"/>
      <c r="V1877" s="226"/>
      <c r="W1877" s="303"/>
      <c r="X1877" s="220"/>
      <c r="Z1877" s="227"/>
      <c r="AA1877" s="220"/>
      <c r="AB1877" s="221"/>
      <c r="AC1877" s="229"/>
      <c r="AD1877" s="230"/>
      <c r="AE1877" s="230"/>
      <c r="AF1877" s="230"/>
      <c r="AG1877" s="227"/>
    </row>
    <row r="1878" spans="1:33" x14ac:dyDescent="0.25">
      <c r="A1878" s="32"/>
      <c r="B1878" s="306"/>
      <c r="C1878" s="307"/>
      <c r="D1878" s="312"/>
      <c r="E1878" s="301"/>
      <c r="F1878" s="232"/>
      <c r="J1878" s="306"/>
      <c r="K1878" s="306"/>
      <c r="L1878" s="313"/>
      <c r="M1878" s="219"/>
      <c r="N1878" s="218"/>
      <c r="S1878" s="224"/>
      <c r="T1878" s="228"/>
      <c r="U1878" s="226"/>
      <c r="V1878" s="226"/>
      <c r="W1878" s="303"/>
      <c r="X1878" s="220"/>
      <c r="Z1878" s="227"/>
      <c r="AA1878" s="220"/>
      <c r="AB1878" s="221"/>
      <c r="AC1878" s="229"/>
      <c r="AD1878" s="230"/>
      <c r="AE1878" s="230"/>
      <c r="AF1878" s="230"/>
      <c r="AG1878" s="227"/>
    </row>
    <row r="1879" spans="1:33" x14ac:dyDescent="0.25">
      <c r="A1879" s="32"/>
      <c r="B1879" s="306"/>
      <c r="C1879" s="307"/>
      <c r="D1879" s="312"/>
      <c r="E1879" s="301"/>
      <c r="F1879" s="232"/>
      <c r="J1879" s="306"/>
      <c r="K1879" s="306"/>
      <c r="L1879" s="313"/>
      <c r="M1879" s="219"/>
      <c r="N1879" s="218"/>
      <c r="S1879" s="224"/>
      <c r="T1879" s="228"/>
      <c r="U1879" s="226"/>
      <c r="V1879" s="226"/>
      <c r="W1879" s="303"/>
      <c r="X1879" s="220"/>
      <c r="Z1879" s="227"/>
      <c r="AA1879" s="220"/>
      <c r="AB1879" s="221"/>
      <c r="AC1879" s="229"/>
      <c r="AD1879" s="230"/>
      <c r="AE1879" s="230"/>
      <c r="AF1879" s="230"/>
      <c r="AG1879" s="227"/>
    </row>
    <row r="1880" spans="1:33" x14ac:dyDescent="0.25">
      <c r="A1880" s="32"/>
      <c r="B1880" s="306"/>
      <c r="C1880" s="307"/>
      <c r="D1880" s="312"/>
      <c r="E1880" s="301"/>
      <c r="F1880" s="232"/>
      <c r="J1880" s="306"/>
      <c r="K1880" s="306"/>
      <c r="L1880" s="313"/>
      <c r="M1880" s="219"/>
      <c r="N1880" s="218"/>
      <c r="S1880" s="224"/>
      <c r="T1880" s="228"/>
      <c r="U1880" s="226"/>
      <c r="V1880" s="226"/>
      <c r="W1880" s="303"/>
      <c r="X1880" s="220"/>
      <c r="Z1880" s="227"/>
      <c r="AA1880" s="220"/>
      <c r="AB1880" s="221"/>
      <c r="AC1880" s="229"/>
      <c r="AD1880" s="230"/>
      <c r="AE1880" s="230"/>
      <c r="AF1880" s="230"/>
      <c r="AG1880" s="227"/>
    </row>
    <row r="1881" spans="1:33" x14ac:dyDescent="0.25">
      <c r="A1881" s="32"/>
      <c r="B1881" s="306"/>
      <c r="C1881" s="307"/>
      <c r="D1881" s="312"/>
      <c r="E1881" s="301"/>
      <c r="F1881" s="232"/>
      <c r="J1881" s="306"/>
      <c r="K1881" s="306"/>
      <c r="L1881" s="313"/>
      <c r="M1881" s="219"/>
      <c r="N1881" s="218"/>
      <c r="S1881" s="224"/>
      <c r="T1881" s="228"/>
      <c r="U1881" s="226"/>
      <c r="V1881" s="226"/>
      <c r="W1881" s="303"/>
      <c r="X1881" s="220"/>
      <c r="Z1881" s="227"/>
      <c r="AA1881" s="220"/>
      <c r="AB1881" s="221"/>
      <c r="AC1881" s="229"/>
      <c r="AD1881" s="230"/>
      <c r="AE1881" s="230"/>
      <c r="AF1881" s="230"/>
      <c r="AG1881" s="227"/>
    </row>
    <row r="1882" spans="1:33" x14ac:dyDescent="0.25">
      <c r="A1882" s="32"/>
      <c r="B1882" s="306"/>
      <c r="C1882" s="307"/>
      <c r="D1882" s="312"/>
      <c r="E1882" s="301"/>
      <c r="F1882" s="232"/>
      <c r="J1882" s="306"/>
      <c r="K1882" s="306"/>
      <c r="L1882" s="313"/>
      <c r="M1882" s="219"/>
      <c r="N1882" s="218"/>
      <c r="S1882" s="224"/>
      <c r="T1882" s="228"/>
      <c r="U1882" s="226"/>
      <c r="V1882" s="226"/>
      <c r="W1882" s="303"/>
      <c r="X1882" s="220"/>
      <c r="Z1882" s="227"/>
      <c r="AA1882" s="220"/>
      <c r="AB1882" s="221"/>
      <c r="AC1882" s="229"/>
      <c r="AD1882" s="230"/>
      <c r="AE1882" s="230"/>
      <c r="AF1882" s="230"/>
      <c r="AG1882" s="227"/>
    </row>
    <row r="1883" spans="1:33" x14ac:dyDescent="0.25">
      <c r="A1883" s="32"/>
      <c r="B1883" s="306"/>
      <c r="C1883" s="307"/>
      <c r="D1883" s="312"/>
      <c r="E1883" s="301"/>
      <c r="F1883" s="232"/>
      <c r="J1883" s="306"/>
      <c r="K1883" s="306"/>
      <c r="L1883" s="313"/>
      <c r="M1883" s="219"/>
      <c r="N1883" s="218"/>
      <c r="S1883" s="224"/>
      <c r="T1883" s="228"/>
      <c r="U1883" s="226"/>
      <c r="V1883" s="226"/>
      <c r="W1883" s="303"/>
      <c r="X1883" s="220"/>
      <c r="Z1883" s="227"/>
      <c r="AA1883" s="220"/>
      <c r="AB1883" s="221"/>
      <c r="AC1883" s="229"/>
      <c r="AD1883" s="230"/>
      <c r="AE1883" s="230"/>
      <c r="AF1883" s="230"/>
      <c r="AG1883" s="227"/>
    </row>
    <row r="1884" spans="1:33" x14ac:dyDescent="0.25">
      <c r="A1884" s="32"/>
      <c r="B1884" s="306"/>
      <c r="C1884" s="307"/>
      <c r="D1884" s="312"/>
      <c r="E1884" s="301"/>
      <c r="F1884" s="232"/>
      <c r="J1884" s="306"/>
      <c r="K1884" s="306"/>
      <c r="L1884" s="313"/>
      <c r="M1884" s="219"/>
      <c r="N1884" s="218"/>
      <c r="S1884" s="224"/>
      <c r="T1884" s="228"/>
      <c r="U1884" s="226"/>
      <c r="V1884" s="226"/>
      <c r="W1884" s="303"/>
      <c r="X1884" s="220"/>
      <c r="Z1884" s="227"/>
      <c r="AA1884" s="220"/>
      <c r="AB1884" s="221"/>
      <c r="AC1884" s="229"/>
      <c r="AD1884" s="230"/>
      <c r="AE1884" s="230"/>
      <c r="AF1884" s="230"/>
      <c r="AG1884" s="227"/>
    </row>
    <row r="1885" spans="1:33" x14ac:dyDescent="0.25">
      <c r="A1885" s="32"/>
      <c r="B1885" s="306"/>
      <c r="C1885" s="307"/>
      <c r="D1885" s="312"/>
      <c r="E1885" s="301"/>
      <c r="F1885" s="232"/>
      <c r="J1885" s="306"/>
      <c r="K1885" s="306"/>
      <c r="L1885" s="313"/>
      <c r="M1885" s="219"/>
      <c r="N1885" s="218"/>
      <c r="S1885" s="224"/>
      <c r="T1885" s="228"/>
      <c r="U1885" s="226"/>
      <c r="V1885" s="226"/>
      <c r="W1885" s="303"/>
      <c r="X1885" s="220"/>
      <c r="Z1885" s="227"/>
      <c r="AA1885" s="220"/>
      <c r="AB1885" s="221"/>
      <c r="AC1885" s="229"/>
      <c r="AD1885" s="230"/>
      <c r="AE1885" s="230"/>
      <c r="AF1885" s="230"/>
      <c r="AG1885" s="227"/>
    </row>
    <row r="1886" spans="1:33" x14ac:dyDescent="0.25">
      <c r="A1886" s="32"/>
      <c r="B1886" s="306"/>
      <c r="C1886" s="307"/>
      <c r="D1886" s="312"/>
      <c r="E1886" s="301"/>
      <c r="F1886" s="232"/>
      <c r="J1886" s="306"/>
      <c r="K1886" s="306"/>
      <c r="L1886" s="313"/>
      <c r="M1886" s="219"/>
      <c r="N1886" s="218"/>
      <c r="S1886" s="224"/>
      <c r="T1886" s="228"/>
      <c r="U1886" s="226"/>
      <c r="V1886" s="226"/>
      <c r="W1886" s="303"/>
      <c r="X1886" s="220"/>
      <c r="Z1886" s="227"/>
      <c r="AA1886" s="220"/>
      <c r="AB1886" s="221"/>
      <c r="AC1886" s="229"/>
      <c r="AD1886" s="230"/>
      <c r="AE1886" s="230"/>
      <c r="AF1886" s="230"/>
      <c r="AG1886" s="227"/>
    </row>
    <row r="1887" spans="1:33" x14ac:dyDescent="0.25">
      <c r="A1887" s="32"/>
      <c r="B1887" s="306"/>
      <c r="C1887" s="307"/>
      <c r="D1887" s="312"/>
      <c r="E1887" s="301"/>
      <c r="F1887" s="232"/>
      <c r="J1887" s="306"/>
      <c r="K1887" s="306"/>
      <c r="L1887" s="313"/>
      <c r="M1887" s="219"/>
      <c r="N1887" s="218"/>
      <c r="S1887" s="224"/>
      <c r="T1887" s="228"/>
      <c r="U1887" s="226"/>
      <c r="V1887" s="226"/>
      <c r="W1887" s="303"/>
      <c r="X1887" s="220"/>
      <c r="Z1887" s="227"/>
      <c r="AA1887" s="220"/>
      <c r="AB1887" s="221"/>
      <c r="AC1887" s="229"/>
      <c r="AD1887" s="230"/>
      <c r="AE1887" s="230"/>
      <c r="AF1887" s="230"/>
      <c r="AG1887" s="227"/>
    </row>
    <row r="1888" spans="1:33" x14ac:dyDescent="0.25">
      <c r="A1888" s="32"/>
      <c r="B1888" s="306"/>
      <c r="C1888" s="307"/>
      <c r="D1888" s="312"/>
      <c r="E1888" s="301"/>
      <c r="F1888" s="232"/>
      <c r="J1888" s="306"/>
      <c r="K1888" s="306"/>
      <c r="L1888" s="313"/>
      <c r="M1888" s="219"/>
      <c r="N1888" s="218"/>
      <c r="S1888" s="224"/>
      <c r="T1888" s="228"/>
      <c r="U1888" s="226"/>
      <c r="V1888" s="226"/>
      <c r="W1888" s="303"/>
      <c r="X1888" s="220"/>
      <c r="Z1888" s="227"/>
      <c r="AA1888" s="220"/>
      <c r="AB1888" s="221"/>
      <c r="AC1888" s="229"/>
      <c r="AD1888" s="230"/>
      <c r="AE1888" s="230"/>
      <c r="AF1888" s="230"/>
      <c r="AG1888" s="227"/>
    </row>
    <row r="1889" spans="1:33" x14ac:dyDescent="0.25">
      <c r="A1889" s="32"/>
      <c r="B1889" s="306"/>
      <c r="C1889" s="307"/>
      <c r="D1889" s="312"/>
      <c r="E1889" s="301"/>
      <c r="F1889" s="232"/>
      <c r="J1889" s="306"/>
      <c r="K1889" s="306"/>
      <c r="L1889" s="313"/>
      <c r="M1889" s="219"/>
      <c r="N1889" s="218"/>
      <c r="S1889" s="224"/>
      <c r="T1889" s="228"/>
      <c r="U1889" s="226"/>
      <c r="V1889" s="226"/>
      <c r="W1889" s="303"/>
      <c r="X1889" s="220"/>
      <c r="Z1889" s="227"/>
      <c r="AA1889" s="220"/>
      <c r="AB1889" s="221"/>
      <c r="AC1889" s="229"/>
      <c r="AD1889" s="230"/>
      <c r="AE1889" s="230"/>
      <c r="AF1889" s="230"/>
      <c r="AG1889" s="227"/>
    </row>
    <row r="1890" spans="1:33" x14ac:dyDescent="0.25">
      <c r="A1890" s="32"/>
      <c r="B1890" s="306"/>
      <c r="C1890" s="307"/>
      <c r="D1890" s="312"/>
      <c r="E1890" s="301"/>
      <c r="F1890" s="232"/>
      <c r="J1890" s="306"/>
      <c r="K1890" s="306"/>
      <c r="L1890" s="313"/>
      <c r="M1890" s="219"/>
      <c r="N1890" s="218"/>
      <c r="S1890" s="224"/>
      <c r="T1890" s="228"/>
      <c r="U1890" s="226"/>
      <c r="V1890" s="226"/>
      <c r="W1890" s="303"/>
      <c r="X1890" s="220"/>
      <c r="Z1890" s="227"/>
      <c r="AA1890" s="220"/>
      <c r="AB1890" s="221"/>
      <c r="AC1890" s="229"/>
      <c r="AD1890" s="230"/>
      <c r="AE1890" s="230"/>
      <c r="AF1890" s="230"/>
      <c r="AG1890" s="227"/>
    </row>
    <row r="1891" spans="1:33" x14ac:dyDescent="0.25">
      <c r="A1891" s="32"/>
      <c r="B1891" s="306"/>
      <c r="C1891" s="307"/>
      <c r="D1891" s="312"/>
      <c r="E1891" s="301"/>
      <c r="F1891" s="232"/>
      <c r="J1891" s="306"/>
      <c r="K1891" s="306"/>
      <c r="L1891" s="313"/>
      <c r="M1891" s="219"/>
      <c r="N1891" s="218"/>
      <c r="S1891" s="224"/>
      <c r="T1891" s="228"/>
      <c r="U1891" s="226"/>
      <c r="V1891" s="226"/>
      <c r="W1891" s="303"/>
      <c r="X1891" s="220"/>
      <c r="Z1891" s="227"/>
      <c r="AA1891" s="220"/>
      <c r="AB1891" s="221"/>
      <c r="AC1891" s="229"/>
      <c r="AD1891" s="230"/>
      <c r="AE1891" s="230"/>
      <c r="AF1891" s="230"/>
      <c r="AG1891" s="227"/>
    </row>
    <row r="1892" spans="1:33" x14ac:dyDescent="0.25">
      <c r="A1892" s="32"/>
      <c r="B1892" s="306"/>
      <c r="C1892" s="307"/>
      <c r="D1892" s="312"/>
      <c r="E1892" s="301"/>
      <c r="F1892" s="232"/>
      <c r="J1892" s="306"/>
      <c r="K1892" s="306"/>
      <c r="L1892" s="313"/>
      <c r="M1892" s="219"/>
      <c r="N1892" s="218"/>
      <c r="S1892" s="224"/>
      <c r="T1892" s="228"/>
      <c r="U1892" s="226"/>
      <c r="V1892" s="226"/>
      <c r="W1892" s="303"/>
      <c r="X1892" s="220"/>
      <c r="Z1892" s="227"/>
      <c r="AA1892" s="220"/>
      <c r="AB1892" s="221"/>
      <c r="AC1892" s="229"/>
      <c r="AD1892" s="230"/>
      <c r="AE1892" s="230"/>
      <c r="AF1892" s="230"/>
      <c r="AG1892" s="227"/>
    </row>
    <row r="1893" spans="1:33" x14ac:dyDescent="0.25">
      <c r="A1893" s="32"/>
      <c r="B1893" s="306"/>
      <c r="C1893" s="307"/>
      <c r="D1893" s="312"/>
      <c r="E1893" s="301"/>
      <c r="F1893" s="232"/>
      <c r="J1893" s="306"/>
      <c r="K1893" s="306"/>
      <c r="L1893" s="313"/>
      <c r="M1893" s="219"/>
      <c r="N1893" s="218"/>
      <c r="S1893" s="224"/>
      <c r="T1893" s="228"/>
      <c r="U1893" s="226"/>
      <c r="V1893" s="226"/>
      <c r="W1893" s="303"/>
      <c r="X1893" s="220"/>
      <c r="Z1893" s="227"/>
      <c r="AA1893" s="220"/>
      <c r="AB1893" s="221"/>
      <c r="AC1893" s="229"/>
      <c r="AD1893" s="230"/>
      <c r="AE1893" s="230"/>
      <c r="AF1893" s="230"/>
      <c r="AG1893" s="227"/>
    </row>
    <row r="1894" spans="1:33" x14ac:dyDescent="0.25">
      <c r="A1894" s="32"/>
      <c r="B1894" s="306"/>
      <c r="C1894" s="307"/>
      <c r="D1894" s="312"/>
      <c r="E1894" s="301"/>
      <c r="F1894" s="232"/>
      <c r="J1894" s="306"/>
      <c r="K1894" s="306"/>
      <c r="L1894" s="313"/>
      <c r="M1894" s="219"/>
      <c r="N1894" s="218"/>
      <c r="S1894" s="224"/>
      <c r="T1894" s="228"/>
      <c r="U1894" s="226"/>
      <c r="V1894" s="226"/>
      <c r="W1894" s="303"/>
      <c r="X1894" s="220"/>
      <c r="Z1894" s="227"/>
      <c r="AA1894" s="220"/>
      <c r="AB1894" s="221"/>
      <c r="AC1894" s="229"/>
      <c r="AD1894" s="230"/>
      <c r="AE1894" s="230"/>
      <c r="AF1894" s="230"/>
      <c r="AG1894" s="227"/>
    </row>
    <row r="1895" spans="1:33" x14ac:dyDescent="0.25">
      <c r="A1895" s="32"/>
      <c r="B1895" s="306"/>
      <c r="C1895" s="307"/>
      <c r="D1895" s="312"/>
      <c r="E1895" s="301"/>
      <c r="F1895" s="232"/>
      <c r="J1895" s="306"/>
      <c r="K1895" s="306"/>
      <c r="L1895" s="313"/>
      <c r="M1895" s="219"/>
      <c r="N1895" s="218"/>
      <c r="S1895" s="224"/>
      <c r="T1895" s="228"/>
      <c r="U1895" s="226"/>
      <c r="V1895" s="226"/>
      <c r="W1895" s="303"/>
      <c r="X1895" s="220"/>
      <c r="Z1895" s="227"/>
      <c r="AA1895" s="220"/>
      <c r="AB1895" s="221"/>
      <c r="AC1895" s="229"/>
      <c r="AD1895" s="230"/>
      <c r="AE1895" s="230"/>
      <c r="AF1895" s="230"/>
      <c r="AG1895" s="227"/>
    </row>
    <row r="1896" spans="1:33" x14ac:dyDescent="0.25">
      <c r="A1896" s="32"/>
      <c r="B1896" s="306"/>
      <c r="C1896" s="307"/>
      <c r="D1896" s="312"/>
      <c r="E1896" s="301"/>
      <c r="F1896" s="232"/>
      <c r="J1896" s="306"/>
      <c r="K1896" s="306"/>
      <c r="L1896" s="313"/>
      <c r="M1896" s="219"/>
      <c r="N1896" s="218"/>
      <c r="S1896" s="224"/>
      <c r="T1896" s="228"/>
      <c r="U1896" s="226"/>
      <c r="V1896" s="226"/>
      <c r="W1896" s="303"/>
      <c r="X1896" s="220"/>
      <c r="Z1896" s="227"/>
      <c r="AA1896" s="220"/>
      <c r="AB1896" s="221"/>
      <c r="AC1896" s="229"/>
      <c r="AD1896" s="230"/>
      <c r="AE1896" s="230"/>
      <c r="AF1896" s="230"/>
      <c r="AG1896" s="227"/>
    </row>
    <row r="1897" spans="1:33" x14ac:dyDescent="0.25">
      <c r="A1897" s="32"/>
      <c r="B1897" s="306"/>
      <c r="C1897" s="307"/>
      <c r="D1897" s="312"/>
      <c r="E1897" s="301"/>
      <c r="F1897" s="232"/>
      <c r="J1897" s="306"/>
      <c r="K1897" s="306"/>
      <c r="L1897" s="313"/>
      <c r="M1897" s="219"/>
      <c r="N1897" s="218"/>
      <c r="S1897" s="224"/>
      <c r="T1897" s="228"/>
      <c r="U1897" s="226"/>
      <c r="V1897" s="226"/>
      <c r="W1897" s="303"/>
      <c r="X1897" s="220"/>
      <c r="Z1897" s="227"/>
      <c r="AA1897" s="220"/>
      <c r="AB1897" s="221"/>
      <c r="AC1897" s="229"/>
      <c r="AD1897" s="230"/>
      <c r="AE1897" s="230"/>
      <c r="AF1897" s="230"/>
      <c r="AG1897" s="227"/>
    </row>
    <row r="1898" spans="1:33" x14ac:dyDescent="0.25">
      <c r="A1898" s="32"/>
      <c r="B1898" s="306"/>
      <c r="C1898" s="307"/>
      <c r="D1898" s="312"/>
      <c r="E1898" s="301"/>
      <c r="F1898" s="232"/>
      <c r="J1898" s="306"/>
      <c r="K1898" s="306"/>
      <c r="L1898" s="313"/>
      <c r="M1898" s="219"/>
      <c r="N1898" s="218"/>
      <c r="S1898" s="224"/>
      <c r="T1898" s="228"/>
      <c r="U1898" s="226"/>
      <c r="V1898" s="226"/>
      <c r="W1898" s="303"/>
      <c r="X1898" s="220"/>
      <c r="Z1898" s="227"/>
      <c r="AA1898" s="220"/>
      <c r="AB1898" s="221"/>
      <c r="AC1898" s="229"/>
      <c r="AD1898" s="230"/>
      <c r="AE1898" s="230"/>
      <c r="AF1898" s="230"/>
      <c r="AG1898" s="227"/>
    </row>
    <row r="1899" spans="1:33" x14ac:dyDescent="0.25">
      <c r="A1899" s="32"/>
      <c r="B1899" s="306"/>
      <c r="C1899" s="307"/>
      <c r="D1899" s="312"/>
      <c r="E1899" s="301"/>
      <c r="F1899" s="232"/>
      <c r="J1899" s="306"/>
      <c r="K1899" s="306"/>
      <c r="L1899" s="313"/>
      <c r="M1899" s="219"/>
      <c r="N1899" s="218"/>
      <c r="S1899" s="224"/>
      <c r="T1899" s="228"/>
      <c r="U1899" s="226"/>
      <c r="V1899" s="226"/>
      <c r="W1899" s="303"/>
      <c r="X1899" s="220"/>
      <c r="Z1899" s="227"/>
      <c r="AA1899" s="220"/>
      <c r="AB1899" s="221"/>
      <c r="AC1899" s="229"/>
      <c r="AD1899" s="230"/>
      <c r="AE1899" s="230"/>
      <c r="AF1899" s="230"/>
      <c r="AG1899" s="227"/>
    </row>
    <row r="1900" spans="1:33" x14ac:dyDescent="0.25">
      <c r="A1900" s="32"/>
      <c r="B1900" s="306"/>
      <c r="C1900" s="307"/>
      <c r="D1900" s="312"/>
      <c r="E1900" s="301"/>
      <c r="F1900" s="232"/>
      <c r="J1900" s="306"/>
      <c r="K1900" s="306"/>
      <c r="L1900" s="313"/>
      <c r="M1900" s="219"/>
      <c r="N1900" s="218"/>
      <c r="S1900" s="224"/>
      <c r="T1900" s="228"/>
      <c r="U1900" s="226"/>
      <c r="V1900" s="226"/>
      <c r="W1900" s="303"/>
      <c r="X1900" s="220"/>
      <c r="Z1900" s="227"/>
      <c r="AA1900" s="220"/>
      <c r="AB1900" s="221"/>
      <c r="AC1900" s="229"/>
      <c r="AD1900" s="230"/>
      <c r="AE1900" s="230"/>
      <c r="AF1900" s="230"/>
      <c r="AG1900" s="227"/>
    </row>
    <row r="1901" spans="1:33" x14ac:dyDescent="0.25">
      <c r="A1901" s="32"/>
      <c r="B1901" s="306"/>
      <c r="C1901" s="307"/>
      <c r="D1901" s="312"/>
      <c r="E1901" s="301"/>
      <c r="F1901" s="232"/>
      <c r="J1901" s="306"/>
      <c r="K1901" s="306"/>
      <c r="L1901" s="313"/>
      <c r="M1901" s="219"/>
      <c r="N1901" s="218"/>
      <c r="S1901" s="224"/>
      <c r="T1901" s="228"/>
      <c r="U1901" s="226"/>
      <c r="V1901" s="226"/>
      <c r="W1901" s="303"/>
      <c r="X1901" s="220"/>
      <c r="Z1901" s="227"/>
      <c r="AA1901" s="220"/>
      <c r="AB1901" s="221"/>
      <c r="AC1901" s="229"/>
      <c r="AD1901" s="230"/>
      <c r="AE1901" s="230"/>
      <c r="AF1901" s="230"/>
      <c r="AG1901" s="227"/>
    </row>
    <row r="1902" spans="1:33" x14ac:dyDescent="0.25">
      <c r="A1902" s="32"/>
      <c r="B1902" s="306"/>
      <c r="C1902" s="307"/>
      <c r="D1902" s="312"/>
      <c r="E1902" s="301"/>
      <c r="F1902" s="232"/>
      <c r="J1902" s="306"/>
      <c r="K1902" s="306"/>
      <c r="L1902" s="313"/>
      <c r="M1902" s="219"/>
      <c r="N1902" s="218"/>
      <c r="S1902" s="224"/>
      <c r="T1902" s="228"/>
      <c r="U1902" s="226"/>
      <c r="V1902" s="226"/>
      <c r="W1902" s="303"/>
      <c r="X1902" s="220"/>
      <c r="Z1902" s="227"/>
      <c r="AA1902" s="220"/>
      <c r="AB1902" s="221"/>
      <c r="AC1902" s="229"/>
      <c r="AD1902" s="230"/>
      <c r="AE1902" s="230"/>
      <c r="AF1902" s="230"/>
      <c r="AG1902" s="227"/>
    </row>
    <row r="1903" spans="1:33" x14ac:dyDescent="0.25">
      <c r="A1903" s="32"/>
      <c r="B1903" s="306"/>
      <c r="C1903" s="307"/>
      <c r="D1903" s="312"/>
      <c r="E1903" s="301"/>
      <c r="F1903" s="232"/>
      <c r="J1903" s="306"/>
      <c r="K1903" s="306"/>
      <c r="L1903" s="313"/>
      <c r="M1903" s="219"/>
      <c r="N1903" s="218"/>
      <c r="S1903" s="224"/>
      <c r="T1903" s="228"/>
      <c r="U1903" s="226"/>
      <c r="V1903" s="226"/>
      <c r="W1903" s="303"/>
      <c r="X1903" s="220"/>
      <c r="Z1903" s="227"/>
      <c r="AA1903" s="220"/>
      <c r="AB1903" s="221"/>
      <c r="AC1903" s="229"/>
      <c r="AD1903" s="230"/>
      <c r="AE1903" s="230"/>
      <c r="AF1903" s="230"/>
      <c r="AG1903" s="227"/>
    </row>
    <row r="1904" spans="1:33" x14ac:dyDescent="0.25">
      <c r="A1904" s="32"/>
      <c r="B1904" s="306"/>
      <c r="C1904" s="307"/>
      <c r="D1904" s="312"/>
      <c r="E1904" s="301"/>
      <c r="F1904" s="232"/>
      <c r="J1904" s="306"/>
      <c r="K1904" s="306"/>
      <c r="L1904" s="313"/>
      <c r="M1904" s="219"/>
      <c r="N1904" s="218"/>
      <c r="S1904" s="224"/>
      <c r="T1904" s="228"/>
      <c r="U1904" s="226"/>
      <c r="V1904" s="226"/>
      <c r="W1904" s="303"/>
      <c r="X1904" s="220"/>
      <c r="Z1904" s="227"/>
      <c r="AA1904" s="220"/>
      <c r="AB1904" s="221"/>
      <c r="AC1904" s="229"/>
      <c r="AD1904" s="230"/>
      <c r="AE1904" s="230"/>
      <c r="AF1904" s="230"/>
      <c r="AG1904" s="227"/>
    </row>
    <row r="1905" spans="1:33" x14ac:dyDescent="0.25">
      <c r="A1905" s="32"/>
      <c r="B1905" s="306"/>
      <c r="C1905" s="307"/>
      <c r="D1905" s="312"/>
      <c r="E1905" s="301"/>
      <c r="F1905" s="232"/>
      <c r="J1905" s="306"/>
      <c r="K1905" s="306"/>
      <c r="L1905" s="313"/>
      <c r="M1905" s="219"/>
      <c r="N1905" s="218"/>
      <c r="S1905" s="224"/>
      <c r="T1905" s="228"/>
      <c r="U1905" s="226"/>
      <c r="V1905" s="226"/>
      <c r="W1905" s="303"/>
      <c r="X1905" s="220"/>
      <c r="Z1905" s="227"/>
      <c r="AA1905" s="220"/>
      <c r="AB1905" s="221"/>
      <c r="AC1905" s="229"/>
      <c r="AD1905" s="230"/>
      <c r="AE1905" s="230"/>
      <c r="AF1905" s="230"/>
      <c r="AG1905" s="227"/>
    </row>
    <row r="1906" spans="1:33" x14ac:dyDescent="0.25">
      <c r="A1906" s="32"/>
      <c r="B1906" s="306"/>
      <c r="C1906" s="307"/>
      <c r="D1906" s="312"/>
      <c r="E1906" s="301"/>
      <c r="F1906" s="232"/>
      <c r="J1906" s="306"/>
      <c r="K1906" s="306"/>
      <c r="L1906" s="313"/>
      <c r="M1906" s="219"/>
      <c r="N1906" s="218"/>
      <c r="S1906" s="224"/>
      <c r="T1906" s="228"/>
      <c r="U1906" s="226"/>
      <c r="V1906" s="226"/>
      <c r="W1906" s="303"/>
      <c r="X1906" s="220"/>
      <c r="Z1906" s="227"/>
      <c r="AA1906" s="220"/>
      <c r="AB1906" s="221"/>
      <c r="AC1906" s="229"/>
      <c r="AD1906" s="230"/>
      <c r="AE1906" s="230"/>
      <c r="AF1906" s="230"/>
      <c r="AG1906" s="227"/>
    </row>
    <row r="1907" spans="1:33" x14ac:dyDescent="0.25">
      <c r="A1907" s="32"/>
      <c r="B1907" s="306"/>
      <c r="C1907" s="307"/>
      <c r="D1907" s="312"/>
      <c r="E1907" s="301"/>
      <c r="F1907" s="232"/>
      <c r="J1907" s="306"/>
      <c r="K1907" s="306"/>
      <c r="L1907" s="313"/>
      <c r="M1907" s="219"/>
      <c r="N1907" s="218"/>
      <c r="S1907" s="224"/>
      <c r="T1907" s="228"/>
      <c r="U1907" s="226"/>
      <c r="V1907" s="226"/>
      <c r="W1907" s="303"/>
      <c r="X1907" s="220"/>
      <c r="Z1907" s="227"/>
      <c r="AA1907" s="220"/>
      <c r="AB1907" s="221"/>
      <c r="AC1907" s="229"/>
      <c r="AD1907" s="230"/>
      <c r="AE1907" s="230"/>
      <c r="AF1907" s="230"/>
      <c r="AG1907" s="227"/>
    </row>
    <row r="1908" spans="1:33" x14ac:dyDescent="0.25">
      <c r="A1908" s="32"/>
      <c r="B1908" s="306"/>
      <c r="C1908" s="307"/>
      <c r="D1908" s="312"/>
      <c r="E1908" s="301"/>
      <c r="F1908" s="232"/>
      <c r="J1908" s="306"/>
      <c r="K1908" s="306"/>
      <c r="L1908" s="313"/>
      <c r="M1908" s="219"/>
      <c r="N1908" s="218"/>
      <c r="S1908" s="224"/>
      <c r="T1908" s="228"/>
      <c r="U1908" s="226"/>
      <c r="V1908" s="226"/>
      <c r="W1908" s="303"/>
      <c r="X1908" s="220"/>
      <c r="Z1908" s="227"/>
      <c r="AA1908" s="220"/>
      <c r="AB1908" s="221"/>
      <c r="AC1908" s="229"/>
      <c r="AD1908" s="230"/>
      <c r="AE1908" s="230"/>
      <c r="AF1908" s="230"/>
      <c r="AG1908" s="227"/>
    </row>
    <row r="1909" spans="1:33" x14ac:dyDescent="0.25">
      <c r="A1909" s="32"/>
      <c r="B1909" s="306"/>
      <c r="C1909" s="307"/>
      <c r="D1909" s="312"/>
      <c r="E1909" s="301"/>
      <c r="F1909" s="232"/>
      <c r="J1909" s="306"/>
      <c r="K1909" s="306"/>
      <c r="L1909" s="313"/>
      <c r="M1909" s="219"/>
      <c r="N1909" s="218"/>
      <c r="S1909" s="224"/>
      <c r="T1909" s="228"/>
      <c r="U1909" s="226"/>
      <c r="V1909" s="226"/>
      <c r="W1909" s="303"/>
      <c r="X1909" s="220"/>
      <c r="Z1909" s="227"/>
      <c r="AA1909" s="220"/>
      <c r="AB1909" s="221"/>
      <c r="AC1909" s="229"/>
      <c r="AD1909" s="230"/>
      <c r="AE1909" s="230"/>
      <c r="AF1909" s="230"/>
      <c r="AG1909" s="227"/>
    </row>
    <row r="1910" spans="1:33" x14ac:dyDescent="0.25">
      <c r="A1910" s="32"/>
      <c r="B1910" s="306"/>
      <c r="C1910" s="307"/>
      <c r="D1910" s="312"/>
      <c r="E1910" s="301"/>
      <c r="F1910" s="232"/>
      <c r="J1910" s="306"/>
      <c r="K1910" s="306"/>
      <c r="L1910" s="313"/>
      <c r="M1910" s="219"/>
      <c r="N1910" s="218"/>
      <c r="S1910" s="224"/>
      <c r="T1910" s="228"/>
      <c r="U1910" s="226"/>
      <c r="V1910" s="226"/>
      <c r="W1910" s="303"/>
      <c r="X1910" s="220"/>
      <c r="Z1910" s="227"/>
      <c r="AA1910" s="220"/>
      <c r="AB1910" s="221"/>
      <c r="AC1910" s="229"/>
      <c r="AD1910" s="230"/>
      <c r="AE1910" s="230"/>
      <c r="AF1910" s="230"/>
      <c r="AG1910" s="227"/>
    </row>
    <row r="1911" spans="1:33" x14ac:dyDescent="0.25">
      <c r="A1911" s="32"/>
      <c r="B1911" s="306"/>
      <c r="C1911" s="307"/>
      <c r="D1911" s="312"/>
      <c r="E1911" s="301"/>
      <c r="F1911" s="232"/>
      <c r="J1911" s="306"/>
      <c r="K1911" s="306"/>
      <c r="L1911" s="313"/>
      <c r="M1911" s="219"/>
      <c r="N1911" s="218"/>
      <c r="S1911" s="224"/>
      <c r="T1911" s="228"/>
      <c r="U1911" s="226"/>
      <c r="V1911" s="226"/>
      <c r="W1911" s="303"/>
      <c r="X1911" s="220"/>
      <c r="Z1911" s="227"/>
      <c r="AA1911" s="220"/>
      <c r="AB1911" s="221"/>
      <c r="AC1911" s="229"/>
      <c r="AD1911" s="230"/>
      <c r="AE1911" s="230"/>
      <c r="AF1911" s="230"/>
      <c r="AG1911" s="227"/>
    </row>
    <row r="1912" spans="1:33" x14ac:dyDescent="0.25">
      <c r="A1912" s="32"/>
      <c r="B1912" s="306"/>
      <c r="C1912" s="307"/>
      <c r="D1912" s="312"/>
      <c r="E1912" s="301"/>
      <c r="F1912" s="232"/>
      <c r="J1912" s="306"/>
      <c r="K1912" s="306"/>
      <c r="L1912" s="313"/>
      <c r="M1912" s="219"/>
      <c r="N1912" s="218"/>
      <c r="S1912" s="224"/>
      <c r="T1912" s="228"/>
      <c r="U1912" s="226"/>
      <c r="V1912" s="226"/>
      <c r="W1912" s="303"/>
      <c r="X1912" s="220"/>
      <c r="Z1912" s="227"/>
      <c r="AA1912" s="220"/>
      <c r="AB1912" s="221"/>
      <c r="AC1912" s="229"/>
      <c r="AD1912" s="230"/>
      <c r="AE1912" s="230"/>
      <c r="AF1912" s="230"/>
      <c r="AG1912" s="227"/>
    </row>
    <row r="1913" spans="1:33" x14ac:dyDescent="0.25">
      <c r="A1913" s="32"/>
      <c r="B1913" s="306"/>
      <c r="C1913" s="307"/>
      <c r="D1913" s="312"/>
      <c r="E1913" s="301"/>
      <c r="F1913" s="232"/>
      <c r="J1913" s="306"/>
      <c r="K1913" s="306"/>
      <c r="L1913" s="313"/>
      <c r="M1913" s="219"/>
      <c r="N1913" s="218"/>
      <c r="S1913" s="224"/>
      <c r="T1913" s="228"/>
      <c r="U1913" s="226"/>
      <c r="V1913" s="226"/>
      <c r="W1913" s="303"/>
      <c r="X1913" s="220"/>
      <c r="Z1913" s="227"/>
      <c r="AA1913" s="220"/>
      <c r="AB1913" s="221"/>
      <c r="AC1913" s="229"/>
      <c r="AD1913" s="230"/>
      <c r="AE1913" s="230"/>
      <c r="AF1913" s="230"/>
      <c r="AG1913" s="227"/>
    </row>
    <row r="1914" spans="1:33" x14ac:dyDescent="0.25">
      <c r="A1914" s="32"/>
      <c r="B1914" s="306"/>
      <c r="C1914" s="307"/>
      <c r="D1914" s="312"/>
      <c r="E1914" s="301"/>
      <c r="F1914" s="232"/>
      <c r="J1914" s="306"/>
      <c r="K1914" s="306"/>
      <c r="L1914" s="313"/>
      <c r="M1914" s="219"/>
      <c r="N1914" s="218"/>
      <c r="S1914" s="224"/>
      <c r="T1914" s="228"/>
      <c r="U1914" s="226"/>
      <c r="V1914" s="226"/>
      <c r="W1914" s="303"/>
      <c r="X1914" s="220"/>
      <c r="Z1914" s="227"/>
      <c r="AA1914" s="220"/>
      <c r="AB1914" s="221"/>
      <c r="AC1914" s="229"/>
      <c r="AD1914" s="230"/>
      <c r="AE1914" s="230"/>
      <c r="AF1914" s="230"/>
      <c r="AG1914" s="227"/>
    </row>
    <row r="1915" spans="1:33" x14ac:dyDescent="0.25">
      <c r="A1915" s="32"/>
      <c r="B1915" s="306"/>
      <c r="C1915" s="307"/>
      <c r="D1915" s="312"/>
      <c r="E1915" s="301"/>
      <c r="F1915" s="232"/>
      <c r="J1915" s="306"/>
      <c r="K1915" s="306"/>
      <c r="L1915" s="313"/>
      <c r="M1915" s="219"/>
      <c r="N1915" s="218"/>
      <c r="S1915" s="224"/>
      <c r="T1915" s="228"/>
      <c r="U1915" s="226"/>
      <c r="V1915" s="226"/>
      <c r="W1915" s="303"/>
      <c r="X1915" s="220"/>
      <c r="Z1915" s="227"/>
      <c r="AA1915" s="220"/>
      <c r="AB1915" s="221"/>
      <c r="AC1915" s="229"/>
      <c r="AD1915" s="230"/>
      <c r="AE1915" s="230"/>
      <c r="AF1915" s="230"/>
      <c r="AG1915" s="227"/>
    </row>
    <row r="1916" spans="1:33" x14ac:dyDescent="0.25">
      <c r="A1916" s="32"/>
      <c r="B1916" s="306"/>
      <c r="C1916" s="307"/>
      <c r="D1916" s="312"/>
      <c r="E1916" s="301"/>
      <c r="F1916" s="232"/>
      <c r="J1916" s="306"/>
      <c r="K1916" s="306"/>
      <c r="L1916" s="313"/>
      <c r="M1916" s="219"/>
      <c r="N1916" s="218"/>
      <c r="S1916" s="224"/>
      <c r="T1916" s="228"/>
      <c r="U1916" s="226"/>
      <c r="V1916" s="226"/>
      <c r="W1916" s="303"/>
      <c r="X1916" s="220"/>
      <c r="Z1916" s="227"/>
      <c r="AA1916" s="220"/>
      <c r="AB1916" s="221"/>
      <c r="AC1916" s="229"/>
      <c r="AD1916" s="230"/>
      <c r="AE1916" s="230"/>
      <c r="AF1916" s="230"/>
      <c r="AG1916" s="227"/>
    </row>
    <row r="1917" spans="1:33" x14ac:dyDescent="0.25">
      <c r="A1917" s="32"/>
      <c r="B1917" s="306"/>
      <c r="C1917" s="307"/>
      <c r="D1917" s="312"/>
      <c r="E1917" s="301"/>
      <c r="F1917" s="232"/>
      <c r="J1917" s="306"/>
      <c r="K1917" s="306"/>
      <c r="L1917" s="313"/>
      <c r="M1917" s="219"/>
      <c r="N1917" s="218"/>
      <c r="S1917" s="224"/>
      <c r="T1917" s="228"/>
      <c r="U1917" s="226"/>
      <c r="V1917" s="226"/>
      <c r="W1917" s="303"/>
      <c r="X1917" s="220"/>
      <c r="Z1917" s="227"/>
      <c r="AA1917" s="220"/>
      <c r="AB1917" s="221"/>
      <c r="AC1917" s="229"/>
      <c r="AD1917" s="230"/>
      <c r="AE1917" s="230"/>
      <c r="AF1917" s="230"/>
      <c r="AG1917" s="227"/>
    </row>
    <row r="1918" spans="1:33" x14ac:dyDescent="0.25">
      <c r="A1918" s="32"/>
      <c r="B1918" s="306"/>
      <c r="C1918" s="307"/>
      <c r="D1918" s="312"/>
      <c r="E1918" s="301"/>
      <c r="F1918" s="232"/>
      <c r="J1918" s="306"/>
      <c r="K1918" s="306"/>
      <c r="L1918" s="313"/>
      <c r="M1918" s="219"/>
      <c r="N1918" s="218"/>
      <c r="S1918" s="224"/>
      <c r="T1918" s="228"/>
      <c r="U1918" s="226"/>
      <c r="V1918" s="226"/>
      <c r="W1918" s="303"/>
      <c r="X1918" s="220"/>
      <c r="Z1918" s="227"/>
      <c r="AA1918" s="220"/>
      <c r="AB1918" s="221"/>
      <c r="AC1918" s="229"/>
      <c r="AD1918" s="230"/>
      <c r="AE1918" s="230"/>
      <c r="AF1918" s="230"/>
      <c r="AG1918" s="227"/>
    </row>
    <row r="1919" spans="1:33" x14ac:dyDescent="0.25">
      <c r="A1919" s="32"/>
      <c r="B1919" s="306"/>
      <c r="C1919" s="307"/>
      <c r="D1919" s="312"/>
      <c r="E1919" s="301"/>
      <c r="F1919" s="232"/>
      <c r="J1919" s="306"/>
      <c r="K1919" s="306"/>
      <c r="L1919" s="313"/>
      <c r="M1919" s="219"/>
      <c r="N1919" s="218"/>
      <c r="S1919" s="224"/>
      <c r="T1919" s="228"/>
      <c r="U1919" s="226"/>
      <c r="V1919" s="226"/>
      <c r="W1919" s="303"/>
      <c r="X1919" s="220"/>
      <c r="Z1919" s="227"/>
      <c r="AA1919" s="220"/>
      <c r="AB1919" s="221"/>
      <c r="AC1919" s="229"/>
      <c r="AD1919" s="230"/>
      <c r="AE1919" s="230"/>
      <c r="AF1919" s="230"/>
      <c r="AG1919" s="227"/>
    </row>
    <row r="1920" spans="1:33" x14ac:dyDescent="0.25">
      <c r="A1920" s="32"/>
      <c r="B1920" s="306"/>
      <c r="C1920" s="307"/>
      <c r="D1920" s="312"/>
      <c r="E1920" s="301"/>
      <c r="F1920" s="232"/>
      <c r="J1920" s="306"/>
      <c r="K1920" s="306"/>
      <c r="L1920" s="313"/>
      <c r="M1920" s="219"/>
      <c r="N1920" s="218"/>
      <c r="S1920" s="224"/>
      <c r="T1920" s="228"/>
      <c r="U1920" s="226"/>
      <c r="V1920" s="226"/>
      <c r="W1920" s="303"/>
      <c r="X1920" s="220"/>
      <c r="Z1920" s="227"/>
      <c r="AA1920" s="220"/>
      <c r="AB1920" s="221"/>
      <c r="AC1920" s="229"/>
      <c r="AD1920" s="230"/>
      <c r="AE1920" s="230"/>
      <c r="AF1920" s="230"/>
      <c r="AG1920" s="227"/>
    </row>
    <row r="1921" spans="1:33" x14ac:dyDescent="0.25">
      <c r="A1921" s="32"/>
      <c r="B1921" s="306"/>
      <c r="C1921" s="307"/>
      <c r="D1921" s="312"/>
      <c r="E1921" s="301"/>
      <c r="F1921" s="232"/>
      <c r="J1921" s="306"/>
      <c r="K1921" s="306"/>
      <c r="L1921" s="313"/>
      <c r="M1921" s="219"/>
      <c r="N1921" s="218"/>
      <c r="S1921" s="224"/>
      <c r="T1921" s="228"/>
      <c r="U1921" s="226"/>
      <c r="V1921" s="226"/>
      <c r="W1921" s="303"/>
      <c r="X1921" s="220"/>
      <c r="Z1921" s="227"/>
      <c r="AA1921" s="220"/>
      <c r="AB1921" s="221"/>
      <c r="AC1921" s="229"/>
      <c r="AD1921" s="230"/>
      <c r="AE1921" s="230"/>
      <c r="AF1921" s="230"/>
      <c r="AG1921" s="227"/>
    </row>
    <row r="1922" spans="1:33" x14ac:dyDescent="0.25">
      <c r="A1922" s="32"/>
      <c r="B1922" s="306"/>
      <c r="C1922" s="307"/>
      <c r="D1922" s="312"/>
      <c r="E1922" s="301"/>
      <c r="F1922" s="232"/>
      <c r="J1922" s="306"/>
      <c r="K1922" s="306"/>
      <c r="L1922" s="313"/>
      <c r="M1922" s="219"/>
      <c r="N1922" s="218"/>
      <c r="S1922" s="224"/>
      <c r="T1922" s="228"/>
      <c r="U1922" s="226"/>
      <c r="V1922" s="226"/>
      <c r="W1922" s="303"/>
      <c r="X1922" s="220"/>
      <c r="Z1922" s="227"/>
      <c r="AA1922" s="220"/>
      <c r="AB1922" s="221"/>
      <c r="AC1922" s="229"/>
      <c r="AD1922" s="230"/>
      <c r="AE1922" s="230"/>
      <c r="AF1922" s="230"/>
      <c r="AG1922" s="227"/>
    </row>
    <row r="1923" spans="1:33" x14ac:dyDescent="0.25">
      <c r="A1923" s="32"/>
      <c r="B1923" s="306"/>
      <c r="C1923" s="307"/>
      <c r="D1923" s="312"/>
      <c r="E1923" s="301"/>
      <c r="F1923" s="232"/>
      <c r="J1923" s="306"/>
      <c r="K1923" s="306"/>
      <c r="L1923" s="313"/>
      <c r="M1923" s="219"/>
      <c r="N1923" s="218"/>
      <c r="S1923" s="224"/>
      <c r="T1923" s="228"/>
      <c r="U1923" s="226"/>
      <c r="V1923" s="226"/>
      <c r="W1923" s="303"/>
      <c r="X1923" s="220"/>
      <c r="Z1923" s="227"/>
      <c r="AA1923" s="220"/>
      <c r="AB1923" s="221"/>
      <c r="AC1923" s="229"/>
      <c r="AD1923" s="230"/>
      <c r="AE1923" s="230"/>
      <c r="AF1923" s="230"/>
      <c r="AG1923" s="227"/>
    </row>
    <row r="1924" spans="1:33" x14ac:dyDescent="0.25">
      <c r="A1924" s="32"/>
      <c r="B1924" s="306"/>
      <c r="C1924" s="307"/>
      <c r="D1924" s="312"/>
      <c r="E1924" s="301"/>
      <c r="F1924" s="232"/>
      <c r="J1924" s="306"/>
      <c r="K1924" s="306"/>
      <c r="L1924" s="313"/>
      <c r="M1924" s="219"/>
      <c r="N1924" s="218"/>
      <c r="S1924" s="224"/>
      <c r="T1924" s="228"/>
      <c r="U1924" s="226"/>
      <c r="V1924" s="226"/>
      <c r="W1924" s="303"/>
      <c r="X1924" s="220"/>
      <c r="Z1924" s="227"/>
      <c r="AA1924" s="220"/>
      <c r="AB1924" s="221"/>
      <c r="AC1924" s="229"/>
      <c r="AD1924" s="230"/>
      <c r="AE1924" s="230"/>
      <c r="AF1924" s="230"/>
      <c r="AG1924" s="227"/>
    </row>
    <row r="1925" spans="1:33" x14ac:dyDescent="0.25">
      <c r="A1925" s="32"/>
      <c r="B1925" s="306"/>
      <c r="C1925" s="307"/>
      <c r="D1925" s="312"/>
      <c r="E1925" s="301"/>
      <c r="F1925" s="232"/>
      <c r="J1925" s="306"/>
      <c r="K1925" s="306"/>
      <c r="L1925" s="313"/>
      <c r="M1925" s="219"/>
      <c r="N1925" s="218"/>
      <c r="S1925" s="224"/>
      <c r="T1925" s="228"/>
      <c r="U1925" s="226"/>
      <c r="V1925" s="226"/>
      <c r="W1925" s="303"/>
      <c r="X1925" s="220"/>
      <c r="Z1925" s="227"/>
      <c r="AA1925" s="220"/>
      <c r="AB1925" s="221"/>
      <c r="AC1925" s="229"/>
      <c r="AD1925" s="230"/>
      <c r="AE1925" s="230"/>
      <c r="AF1925" s="230"/>
      <c r="AG1925" s="227"/>
    </row>
    <row r="1926" spans="1:33" x14ac:dyDescent="0.25">
      <c r="A1926" s="32"/>
      <c r="B1926" s="306"/>
      <c r="C1926" s="307"/>
      <c r="D1926" s="312"/>
      <c r="E1926" s="301"/>
      <c r="F1926" s="232"/>
      <c r="J1926" s="306"/>
      <c r="K1926" s="306"/>
      <c r="L1926" s="313"/>
      <c r="M1926" s="219"/>
      <c r="N1926" s="218"/>
      <c r="S1926" s="224"/>
      <c r="T1926" s="228"/>
      <c r="U1926" s="226"/>
      <c r="V1926" s="226"/>
      <c r="W1926" s="303"/>
      <c r="X1926" s="220"/>
      <c r="Z1926" s="227"/>
      <c r="AA1926" s="220"/>
      <c r="AB1926" s="221"/>
      <c r="AC1926" s="229"/>
      <c r="AD1926" s="230"/>
      <c r="AE1926" s="230"/>
      <c r="AF1926" s="230"/>
      <c r="AG1926" s="227"/>
    </row>
    <row r="1927" spans="1:33" x14ac:dyDescent="0.25">
      <c r="A1927" s="32"/>
      <c r="B1927" s="306"/>
      <c r="C1927" s="307"/>
      <c r="D1927" s="312"/>
      <c r="E1927" s="301"/>
      <c r="F1927" s="232"/>
      <c r="J1927" s="306"/>
      <c r="K1927" s="306"/>
      <c r="L1927" s="313"/>
      <c r="M1927" s="219"/>
      <c r="N1927" s="218"/>
      <c r="S1927" s="224"/>
      <c r="T1927" s="228"/>
      <c r="U1927" s="226"/>
      <c r="V1927" s="226"/>
      <c r="W1927" s="303"/>
      <c r="X1927" s="220"/>
      <c r="Z1927" s="227"/>
      <c r="AA1927" s="220"/>
      <c r="AB1927" s="221"/>
      <c r="AC1927" s="229"/>
      <c r="AD1927" s="230"/>
      <c r="AE1927" s="230"/>
      <c r="AF1927" s="230"/>
      <c r="AG1927" s="227"/>
    </row>
    <row r="1928" spans="1:33" x14ac:dyDescent="0.25">
      <c r="A1928" s="32"/>
      <c r="B1928" s="306"/>
      <c r="C1928" s="307"/>
      <c r="D1928" s="312"/>
      <c r="E1928" s="301"/>
      <c r="F1928" s="232"/>
      <c r="J1928" s="306"/>
      <c r="K1928" s="306"/>
      <c r="L1928" s="313"/>
      <c r="M1928" s="219"/>
      <c r="N1928" s="218"/>
      <c r="S1928" s="224"/>
      <c r="T1928" s="228"/>
      <c r="U1928" s="226"/>
      <c r="V1928" s="226"/>
      <c r="W1928" s="303"/>
      <c r="X1928" s="220"/>
      <c r="Z1928" s="227"/>
      <c r="AA1928" s="220"/>
      <c r="AB1928" s="221"/>
      <c r="AC1928" s="229"/>
      <c r="AD1928" s="230"/>
      <c r="AE1928" s="230"/>
      <c r="AF1928" s="230"/>
      <c r="AG1928" s="227"/>
    </row>
    <row r="1929" spans="1:33" x14ac:dyDescent="0.25">
      <c r="A1929" s="32"/>
      <c r="B1929" s="306"/>
      <c r="C1929" s="307"/>
      <c r="D1929" s="312"/>
      <c r="E1929" s="301"/>
      <c r="F1929" s="232"/>
      <c r="J1929" s="306"/>
      <c r="K1929" s="306"/>
      <c r="L1929" s="313"/>
      <c r="M1929" s="219"/>
      <c r="N1929" s="218"/>
      <c r="S1929" s="224"/>
      <c r="T1929" s="228"/>
      <c r="U1929" s="226"/>
      <c r="V1929" s="226"/>
      <c r="W1929" s="303"/>
      <c r="X1929" s="220"/>
      <c r="Z1929" s="227"/>
      <c r="AA1929" s="220"/>
      <c r="AB1929" s="221"/>
      <c r="AC1929" s="229"/>
      <c r="AD1929" s="230"/>
      <c r="AE1929" s="230"/>
      <c r="AF1929" s="230"/>
      <c r="AG1929" s="227"/>
    </row>
    <row r="1930" spans="1:33" x14ac:dyDescent="0.25">
      <c r="A1930" s="32"/>
      <c r="B1930" s="306"/>
      <c r="C1930" s="307"/>
      <c r="D1930" s="312"/>
      <c r="E1930" s="301"/>
      <c r="F1930" s="232"/>
      <c r="J1930" s="306"/>
      <c r="K1930" s="306"/>
      <c r="L1930" s="313"/>
      <c r="M1930" s="219"/>
      <c r="N1930" s="218"/>
      <c r="S1930" s="224"/>
      <c r="T1930" s="228"/>
      <c r="U1930" s="226"/>
      <c r="V1930" s="226"/>
      <c r="W1930" s="303"/>
      <c r="X1930" s="220"/>
      <c r="Z1930" s="227"/>
      <c r="AA1930" s="220"/>
      <c r="AB1930" s="221"/>
      <c r="AC1930" s="229"/>
      <c r="AD1930" s="230"/>
      <c r="AE1930" s="230"/>
      <c r="AF1930" s="230"/>
      <c r="AG1930" s="227"/>
    </row>
    <row r="1931" spans="1:33" x14ac:dyDescent="0.25">
      <c r="A1931" s="32"/>
      <c r="B1931" s="306"/>
      <c r="C1931" s="307"/>
      <c r="D1931" s="312"/>
      <c r="E1931" s="301"/>
      <c r="F1931" s="232"/>
      <c r="J1931" s="306"/>
      <c r="K1931" s="306"/>
      <c r="L1931" s="313"/>
      <c r="M1931" s="219"/>
      <c r="N1931" s="218"/>
      <c r="S1931" s="224"/>
      <c r="T1931" s="228"/>
      <c r="U1931" s="226"/>
      <c r="V1931" s="226"/>
      <c r="W1931" s="303"/>
      <c r="X1931" s="220"/>
      <c r="Z1931" s="227"/>
      <c r="AA1931" s="220"/>
      <c r="AB1931" s="221"/>
      <c r="AC1931" s="229"/>
      <c r="AD1931" s="230"/>
      <c r="AE1931" s="230"/>
      <c r="AF1931" s="230"/>
      <c r="AG1931" s="227"/>
    </row>
    <row r="1932" spans="1:33" x14ac:dyDescent="0.25">
      <c r="A1932" s="32"/>
      <c r="B1932" s="306"/>
      <c r="C1932" s="307"/>
      <c r="D1932" s="312"/>
      <c r="E1932" s="301"/>
      <c r="F1932" s="232"/>
      <c r="J1932" s="306"/>
      <c r="K1932" s="306"/>
      <c r="L1932" s="313"/>
      <c r="M1932" s="219"/>
      <c r="N1932" s="218"/>
      <c r="S1932" s="224"/>
      <c r="T1932" s="228"/>
      <c r="U1932" s="226"/>
      <c r="V1932" s="226"/>
      <c r="W1932" s="303"/>
      <c r="X1932" s="220"/>
      <c r="Z1932" s="227"/>
      <c r="AA1932" s="220"/>
      <c r="AB1932" s="221"/>
      <c r="AC1932" s="229"/>
      <c r="AD1932" s="230"/>
      <c r="AE1932" s="230"/>
      <c r="AF1932" s="230"/>
      <c r="AG1932" s="227"/>
    </row>
    <row r="1933" spans="1:33" x14ac:dyDescent="0.25">
      <c r="A1933" s="32"/>
      <c r="B1933" s="306"/>
      <c r="C1933" s="307"/>
      <c r="D1933" s="312"/>
      <c r="E1933" s="301"/>
      <c r="F1933" s="232"/>
      <c r="J1933" s="306"/>
      <c r="K1933" s="306"/>
      <c r="L1933" s="313"/>
      <c r="M1933" s="219"/>
      <c r="N1933" s="218"/>
      <c r="S1933" s="224"/>
      <c r="T1933" s="228"/>
      <c r="U1933" s="226"/>
      <c r="V1933" s="226"/>
      <c r="W1933" s="303"/>
      <c r="X1933" s="220"/>
      <c r="Z1933" s="227"/>
      <c r="AA1933" s="220"/>
      <c r="AB1933" s="221"/>
      <c r="AC1933" s="229"/>
      <c r="AD1933" s="230"/>
      <c r="AE1933" s="230"/>
      <c r="AF1933" s="230"/>
      <c r="AG1933" s="227"/>
    </row>
    <row r="1934" spans="1:33" x14ac:dyDescent="0.25">
      <c r="A1934" s="32"/>
      <c r="B1934" s="306"/>
      <c r="C1934" s="307"/>
      <c r="D1934" s="312"/>
      <c r="E1934" s="301"/>
      <c r="F1934" s="232"/>
      <c r="J1934" s="306"/>
      <c r="K1934" s="306"/>
      <c r="L1934" s="313"/>
      <c r="M1934" s="219"/>
      <c r="N1934" s="218"/>
      <c r="S1934" s="224"/>
      <c r="T1934" s="228"/>
      <c r="U1934" s="226"/>
      <c r="V1934" s="226"/>
      <c r="W1934" s="303"/>
      <c r="X1934" s="220"/>
      <c r="Z1934" s="227"/>
      <c r="AA1934" s="220"/>
      <c r="AB1934" s="221"/>
      <c r="AC1934" s="229"/>
      <c r="AD1934" s="230"/>
      <c r="AE1934" s="230"/>
      <c r="AF1934" s="230"/>
      <c r="AG1934" s="227"/>
    </row>
    <row r="1935" spans="1:33" x14ac:dyDescent="0.25">
      <c r="A1935" s="32"/>
      <c r="B1935" s="306"/>
      <c r="C1935" s="307"/>
      <c r="D1935" s="312"/>
      <c r="E1935" s="301"/>
      <c r="F1935" s="232"/>
      <c r="J1935" s="306"/>
      <c r="K1935" s="306"/>
      <c r="L1935" s="313"/>
      <c r="M1935" s="219"/>
      <c r="N1935" s="218"/>
      <c r="S1935" s="224"/>
      <c r="T1935" s="228"/>
      <c r="U1935" s="226"/>
      <c r="V1935" s="226"/>
      <c r="W1935" s="303"/>
      <c r="X1935" s="220"/>
      <c r="Z1935" s="227"/>
      <c r="AA1935" s="220"/>
      <c r="AB1935" s="221"/>
      <c r="AC1935" s="229"/>
      <c r="AD1935" s="230"/>
      <c r="AE1935" s="230"/>
      <c r="AF1935" s="230"/>
      <c r="AG1935" s="227"/>
    </row>
    <row r="1936" spans="1:33" x14ac:dyDescent="0.25">
      <c r="A1936" s="32"/>
      <c r="B1936" s="306"/>
      <c r="C1936" s="307"/>
      <c r="D1936" s="312"/>
      <c r="E1936" s="301"/>
      <c r="F1936" s="232"/>
      <c r="J1936" s="306"/>
      <c r="K1936" s="306"/>
      <c r="L1936" s="313"/>
      <c r="M1936" s="219"/>
      <c r="N1936" s="218"/>
      <c r="S1936" s="224"/>
      <c r="T1936" s="228"/>
      <c r="U1936" s="226"/>
      <c r="V1936" s="226"/>
      <c r="W1936" s="303"/>
      <c r="X1936" s="220"/>
      <c r="Z1936" s="227"/>
      <c r="AA1936" s="220"/>
      <c r="AB1936" s="221"/>
      <c r="AC1936" s="229"/>
      <c r="AD1936" s="230"/>
      <c r="AE1936" s="230"/>
      <c r="AF1936" s="230"/>
      <c r="AG1936" s="227"/>
    </row>
    <row r="1937" spans="1:33" x14ac:dyDescent="0.25">
      <c r="A1937" s="32"/>
      <c r="B1937" s="306"/>
      <c r="C1937" s="307"/>
      <c r="D1937" s="312"/>
      <c r="E1937" s="301"/>
      <c r="F1937" s="232"/>
      <c r="J1937" s="306"/>
      <c r="K1937" s="306"/>
      <c r="L1937" s="313"/>
      <c r="M1937" s="219"/>
      <c r="N1937" s="218"/>
      <c r="S1937" s="224"/>
      <c r="T1937" s="228"/>
      <c r="U1937" s="226"/>
      <c r="V1937" s="226"/>
      <c r="W1937" s="303"/>
      <c r="X1937" s="220"/>
      <c r="Z1937" s="227"/>
      <c r="AA1937" s="220"/>
      <c r="AB1937" s="221"/>
      <c r="AC1937" s="229"/>
      <c r="AD1937" s="230"/>
      <c r="AE1937" s="230"/>
      <c r="AF1937" s="230"/>
      <c r="AG1937" s="227"/>
    </row>
    <row r="1938" spans="1:33" x14ac:dyDescent="0.25">
      <c r="A1938" s="32"/>
      <c r="B1938" s="306"/>
      <c r="C1938" s="307"/>
      <c r="D1938" s="312"/>
      <c r="E1938" s="301"/>
      <c r="F1938" s="232"/>
      <c r="J1938" s="306"/>
      <c r="K1938" s="306"/>
      <c r="L1938" s="313"/>
      <c r="M1938" s="219"/>
      <c r="N1938" s="218"/>
      <c r="S1938" s="224"/>
      <c r="T1938" s="228"/>
      <c r="U1938" s="226"/>
      <c r="V1938" s="226"/>
      <c r="W1938" s="303"/>
      <c r="X1938" s="220"/>
      <c r="Z1938" s="227"/>
      <c r="AA1938" s="220"/>
      <c r="AB1938" s="221"/>
      <c r="AC1938" s="229"/>
      <c r="AD1938" s="230"/>
      <c r="AE1938" s="230"/>
      <c r="AF1938" s="230"/>
      <c r="AG1938" s="227"/>
    </row>
    <row r="1939" spans="1:33" x14ac:dyDescent="0.25">
      <c r="A1939" s="32"/>
      <c r="B1939" s="306"/>
      <c r="C1939" s="307"/>
      <c r="D1939" s="312"/>
      <c r="E1939" s="301"/>
      <c r="F1939" s="232"/>
      <c r="J1939" s="306"/>
      <c r="K1939" s="306"/>
      <c r="L1939" s="313"/>
      <c r="M1939" s="219"/>
      <c r="N1939" s="218"/>
      <c r="S1939" s="224"/>
      <c r="T1939" s="228"/>
      <c r="U1939" s="226"/>
      <c r="V1939" s="226"/>
      <c r="W1939" s="303"/>
      <c r="X1939" s="220"/>
      <c r="Z1939" s="227"/>
      <c r="AA1939" s="220"/>
      <c r="AB1939" s="221"/>
      <c r="AC1939" s="229"/>
      <c r="AD1939" s="230"/>
      <c r="AE1939" s="230"/>
      <c r="AF1939" s="230"/>
      <c r="AG1939" s="227"/>
    </row>
    <row r="1940" spans="1:33" x14ac:dyDescent="0.25">
      <c r="A1940" s="32"/>
      <c r="B1940" s="306"/>
      <c r="C1940" s="307"/>
      <c r="D1940" s="312"/>
      <c r="E1940" s="301"/>
      <c r="F1940" s="232"/>
      <c r="J1940" s="306"/>
      <c r="K1940" s="306"/>
      <c r="L1940" s="313"/>
      <c r="M1940" s="219"/>
      <c r="N1940" s="218"/>
      <c r="S1940" s="224"/>
      <c r="T1940" s="228"/>
      <c r="U1940" s="226"/>
      <c r="V1940" s="226"/>
      <c r="W1940" s="303"/>
      <c r="X1940" s="220"/>
      <c r="Z1940" s="227"/>
      <c r="AA1940" s="220"/>
      <c r="AB1940" s="221"/>
      <c r="AC1940" s="229"/>
      <c r="AD1940" s="230"/>
      <c r="AE1940" s="230"/>
      <c r="AF1940" s="230"/>
      <c r="AG1940" s="227"/>
    </row>
    <row r="1941" spans="1:33" x14ac:dyDescent="0.25">
      <c r="A1941" s="32"/>
      <c r="B1941" s="306"/>
      <c r="C1941" s="307"/>
      <c r="D1941" s="312"/>
      <c r="E1941" s="301"/>
      <c r="F1941" s="232"/>
      <c r="J1941" s="306"/>
      <c r="K1941" s="306"/>
      <c r="L1941" s="313"/>
      <c r="M1941" s="219"/>
      <c r="N1941" s="218"/>
      <c r="S1941" s="224"/>
      <c r="T1941" s="228"/>
      <c r="U1941" s="226"/>
      <c r="V1941" s="226"/>
      <c r="W1941" s="303"/>
      <c r="X1941" s="220"/>
      <c r="Z1941" s="227"/>
      <c r="AA1941" s="220"/>
      <c r="AB1941" s="221"/>
      <c r="AC1941" s="229"/>
      <c r="AD1941" s="230"/>
      <c r="AE1941" s="230"/>
      <c r="AF1941" s="230"/>
      <c r="AG1941" s="227"/>
    </row>
    <row r="1942" spans="1:33" x14ac:dyDescent="0.25">
      <c r="A1942" s="32"/>
      <c r="B1942" s="306"/>
      <c r="C1942" s="307"/>
      <c r="D1942" s="312"/>
      <c r="E1942" s="301"/>
      <c r="F1942" s="232"/>
      <c r="J1942" s="306"/>
      <c r="K1942" s="306"/>
      <c r="L1942" s="313"/>
      <c r="M1942" s="219"/>
      <c r="N1942" s="218"/>
      <c r="S1942" s="224"/>
      <c r="T1942" s="228"/>
      <c r="U1942" s="226"/>
      <c r="V1942" s="226"/>
      <c r="W1942" s="303"/>
      <c r="X1942" s="220"/>
      <c r="Z1942" s="227"/>
      <c r="AA1942" s="220"/>
      <c r="AB1942" s="221"/>
      <c r="AC1942" s="229"/>
      <c r="AD1942" s="230"/>
      <c r="AE1942" s="230"/>
      <c r="AF1942" s="230"/>
      <c r="AG1942" s="227"/>
    </row>
    <row r="1943" spans="1:33" x14ac:dyDescent="0.25">
      <c r="A1943" s="32"/>
      <c r="B1943" s="306"/>
      <c r="C1943" s="307"/>
      <c r="D1943" s="312"/>
      <c r="E1943" s="301"/>
      <c r="F1943" s="232"/>
      <c r="J1943" s="306"/>
      <c r="K1943" s="306"/>
      <c r="L1943" s="313"/>
      <c r="M1943" s="219"/>
      <c r="N1943" s="218"/>
      <c r="S1943" s="224"/>
      <c r="T1943" s="228"/>
      <c r="U1943" s="226"/>
      <c r="V1943" s="226"/>
      <c r="W1943" s="303"/>
      <c r="X1943" s="220"/>
      <c r="Z1943" s="227"/>
      <c r="AA1943" s="220"/>
      <c r="AB1943" s="221"/>
      <c r="AC1943" s="229"/>
      <c r="AD1943" s="230"/>
      <c r="AE1943" s="230"/>
      <c r="AF1943" s="230"/>
      <c r="AG1943" s="227"/>
    </row>
    <row r="1944" spans="1:33" x14ac:dyDescent="0.25">
      <c r="A1944" s="32"/>
      <c r="B1944" s="306"/>
      <c r="C1944" s="307"/>
      <c r="D1944" s="312"/>
      <c r="E1944" s="301"/>
      <c r="F1944" s="232"/>
      <c r="J1944" s="306"/>
      <c r="K1944" s="306"/>
      <c r="L1944" s="313"/>
      <c r="M1944" s="219"/>
      <c r="N1944" s="218"/>
      <c r="S1944" s="224"/>
      <c r="T1944" s="228"/>
      <c r="U1944" s="226"/>
      <c r="V1944" s="226"/>
      <c r="W1944" s="303"/>
      <c r="X1944" s="220"/>
      <c r="Z1944" s="227"/>
      <c r="AA1944" s="220"/>
      <c r="AB1944" s="221"/>
      <c r="AC1944" s="229"/>
      <c r="AD1944" s="230"/>
      <c r="AE1944" s="230"/>
      <c r="AF1944" s="230"/>
      <c r="AG1944" s="227"/>
    </row>
    <row r="1945" spans="1:33" x14ac:dyDescent="0.25">
      <c r="A1945" s="32"/>
      <c r="B1945" s="306"/>
      <c r="C1945" s="307"/>
      <c r="D1945" s="312"/>
      <c r="E1945" s="301"/>
      <c r="F1945" s="232"/>
      <c r="J1945" s="306"/>
      <c r="K1945" s="306"/>
      <c r="L1945" s="313"/>
      <c r="M1945" s="219"/>
      <c r="N1945" s="218"/>
      <c r="S1945" s="224"/>
      <c r="T1945" s="228"/>
      <c r="U1945" s="226"/>
      <c r="V1945" s="226"/>
      <c r="W1945" s="303"/>
      <c r="X1945" s="220"/>
      <c r="Z1945" s="227"/>
      <c r="AA1945" s="220"/>
      <c r="AB1945" s="221"/>
      <c r="AC1945" s="229"/>
      <c r="AD1945" s="230"/>
      <c r="AE1945" s="230"/>
      <c r="AF1945" s="230"/>
      <c r="AG1945" s="227"/>
    </row>
    <row r="1946" spans="1:33" x14ac:dyDescent="0.25">
      <c r="A1946" s="32"/>
      <c r="B1946" s="306"/>
      <c r="C1946" s="307"/>
      <c r="D1946" s="312"/>
      <c r="E1946" s="301"/>
      <c r="F1946" s="232"/>
      <c r="J1946" s="306"/>
      <c r="K1946" s="306"/>
      <c r="L1946" s="313"/>
      <c r="M1946" s="219"/>
      <c r="N1946" s="218"/>
      <c r="S1946" s="224"/>
      <c r="T1946" s="228"/>
      <c r="U1946" s="226"/>
      <c r="V1946" s="226"/>
      <c r="W1946" s="303"/>
      <c r="X1946" s="220"/>
      <c r="Z1946" s="227"/>
      <c r="AA1946" s="220"/>
      <c r="AB1946" s="221"/>
      <c r="AC1946" s="229"/>
      <c r="AD1946" s="230"/>
      <c r="AE1946" s="230"/>
      <c r="AF1946" s="230"/>
      <c r="AG1946" s="227"/>
    </row>
    <row r="1947" spans="1:33" x14ac:dyDescent="0.25">
      <c r="A1947" s="32"/>
      <c r="B1947" s="306"/>
      <c r="C1947" s="307"/>
      <c r="D1947" s="312"/>
      <c r="E1947" s="301"/>
      <c r="F1947" s="232"/>
      <c r="J1947" s="306"/>
      <c r="K1947" s="306"/>
      <c r="L1947" s="313"/>
      <c r="M1947" s="219"/>
      <c r="N1947" s="218"/>
      <c r="S1947" s="224"/>
      <c r="T1947" s="228"/>
      <c r="U1947" s="226"/>
      <c r="V1947" s="226"/>
      <c r="W1947" s="303"/>
      <c r="X1947" s="220"/>
      <c r="Z1947" s="227"/>
      <c r="AA1947" s="220"/>
      <c r="AB1947" s="221"/>
      <c r="AC1947" s="229"/>
      <c r="AD1947" s="230"/>
      <c r="AE1947" s="230"/>
      <c r="AF1947" s="230"/>
      <c r="AG1947" s="227"/>
    </row>
    <row r="1948" spans="1:33" x14ac:dyDescent="0.25">
      <c r="A1948" s="32"/>
      <c r="B1948" s="306"/>
      <c r="C1948" s="307"/>
      <c r="D1948" s="312"/>
      <c r="E1948" s="301"/>
      <c r="F1948" s="232"/>
      <c r="J1948" s="306"/>
      <c r="K1948" s="306"/>
      <c r="L1948" s="313"/>
      <c r="M1948" s="219"/>
      <c r="N1948" s="218"/>
      <c r="S1948" s="224"/>
      <c r="T1948" s="228"/>
      <c r="U1948" s="226"/>
      <c r="V1948" s="226"/>
      <c r="W1948" s="303"/>
      <c r="X1948" s="220"/>
      <c r="Z1948" s="227"/>
      <c r="AA1948" s="220"/>
      <c r="AB1948" s="221"/>
      <c r="AC1948" s="229"/>
      <c r="AD1948" s="230"/>
      <c r="AE1948" s="230"/>
      <c r="AF1948" s="230"/>
      <c r="AG1948" s="227"/>
    </row>
    <row r="1949" spans="1:33" x14ac:dyDescent="0.25">
      <c r="A1949" s="32"/>
      <c r="B1949" s="306"/>
      <c r="C1949" s="307"/>
      <c r="D1949" s="312"/>
      <c r="E1949" s="301"/>
      <c r="F1949" s="232"/>
      <c r="J1949" s="306"/>
      <c r="K1949" s="306"/>
      <c r="L1949" s="313"/>
      <c r="M1949" s="219"/>
      <c r="N1949" s="218"/>
      <c r="S1949" s="224"/>
      <c r="T1949" s="228"/>
      <c r="U1949" s="226"/>
      <c r="V1949" s="226"/>
      <c r="W1949" s="303"/>
      <c r="X1949" s="220"/>
      <c r="Z1949" s="227"/>
      <c r="AA1949" s="220"/>
      <c r="AB1949" s="221"/>
      <c r="AC1949" s="229"/>
      <c r="AD1949" s="230"/>
      <c r="AE1949" s="230"/>
      <c r="AF1949" s="230"/>
      <c r="AG1949" s="227"/>
    </row>
    <row r="1950" spans="1:33" x14ac:dyDescent="0.25">
      <c r="A1950" s="32"/>
      <c r="B1950" s="306"/>
      <c r="C1950" s="307"/>
      <c r="D1950" s="312"/>
      <c r="E1950" s="301"/>
      <c r="F1950" s="232"/>
      <c r="J1950" s="306"/>
      <c r="K1950" s="306"/>
      <c r="L1950" s="313"/>
      <c r="M1950" s="219"/>
      <c r="N1950" s="218"/>
      <c r="S1950" s="224"/>
      <c r="T1950" s="228"/>
      <c r="U1950" s="226"/>
      <c r="V1950" s="226"/>
      <c r="W1950" s="303"/>
      <c r="X1950" s="220"/>
      <c r="Z1950" s="227"/>
      <c r="AA1950" s="220"/>
      <c r="AB1950" s="221"/>
      <c r="AC1950" s="229"/>
      <c r="AD1950" s="230"/>
      <c r="AE1950" s="230"/>
      <c r="AF1950" s="230"/>
      <c r="AG1950" s="227"/>
    </row>
    <row r="1951" spans="1:33" x14ac:dyDescent="0.25">
      <c r="A1951" s="32"/>
      <c r="B1951" s="306"/>
      <c r="C1951" s="307"/>
      <c r="D1951" s="312"/>
      <c r="E1951" s="301"/>
      <c r="F1951" s="232"/>
      <c r="J1951" s="306"/>
      <c r="K1951" s="306"/>
      <c r="L1951" s="313"/>
      <c r="M1951" s="219"/>
      <c r="N1951" s="218"/>
      <c r="S1951" s="224"/>
      <c r="T1951" s="228"/>
      <c r="U1951" s="226"/>
      <c r="V1951" s="226"/>
      <c r="W1951" s="303"/>
      <c r="X1951" s="220"/>
      <c r="Z1951" s="227"/>
      <c r="AA1951" s="220"/>
      <c r="AB1951" s="221"/>
      <c r="AC1951" s="229"/>
      <c r="AD1951" s="230"/>
      <c r="AE1951" s="230"/>
      <c r="AF1951" s="230"/>
      <c r="AG1951" s="227"/>
    </row>
    <row r="1952" spans="1:33" x14ac:dyDescent="0.25">
      <c r="A1952" s="32"/>
      <c r="B1952" s="306"/>
      <c r="C1952" s="307"/>
      <c r="D1952" s="312"/>
      <c r="E1952" s="301"/>
      <c r="F1952" s="232"/>
      <c r="J1952" s="306"/>
      <c r="K1952" s="306"/>
      <c r="L1952" s="313"/>
      <c r="M1952" s="219"/>
      <c r="N1952" s="218"/>
      <c r="S1952" s="224"/>
      <c r="T1952" s="228"/>
      <c r="U1952" s="226"/>
      <c r="V1952" s="226"/>
      <c r="W1952" s="303"/>
      <c r="X1952" s="220"/>
      <c r="Z1952" s="227"/>
      <c r="AA1952" s="220"/>
      <c r="AB1952" s="221"/>
      <c r="AC1952" s="229"/>
      <c r="AD1952" s="230"/>
      <c r="AE1952" s="230"/>
      <c r="AF1952" s="230"/>
      <c r="AG1952" s="227"/>
    </row>
    <row r="1953" spans="1:33" x14ac:dyDescent="0.25">
      <c r="A1953" s="32"/>
      <c r="B1953" s="306"/>
      <c r="C1953" s="307"/>
      <c r="D1953" s="312"/>
      <c r="E1953" s="301"/>
      <c r="F1953" s="232"/>
      <c r="J1953" s="306"/>
      <c r="K1953" s="306"/>
      <c r="L1953" s="313"/>
      <c r="M1953" s="219"/>
      <c r="N1953" s="218"/>
      <c r="S1953" s="224"/>
      <c r="T1953" s="228"/>
      <c r="U1953" s="226"/>
      <c r="V1953" s="226"/>
      <c r="W1953" s="303"/>
      <c r="X1953" s="220"/>
      <c r="Z1953" s="227"/>
      <c r="AA1953" s="220"/>
      <c r="AB1953" s="221"/>
      <c r="AC1953" s="229"/>
      <c r="AD1953" s="230"/>
      <c r="AE1953" s="230"/>
      <c r="AF1953" s="230"/>
      <c r="AG1953" s="227"/>
    </row>
    <row r="1954" spans="1:33" x14ac:dyDescent="0.25">
      <c r="A1954" s="32"/>
      <c r="B1954" s="306"/>
      <c r="C1954" s="307"/>
      <c r="D1954" s="312"/>
      <c r="E1954" s="301"/>
      <c r="F1954" s="232"/>
      <c r="J1954" s="306"/>
      <c r="K1954" s="306"/>
      <c r="L1954" s="313"/>
      <c r="M1954" s="219"/>
      <c r="N1954" s="218"/>
      <c r="S1954" s="224"/>
      <c r="T1954" s="228"/>
      <c r="U1954" s="226"/>
      <c r="V1954" s="226"/>
      <c r="W1954" s="303"/>
      <c r="X1954" s="220"/>
      <c r="Z1954" s="227"/>
      <c r="AA1954" s="220"/>
      <c r="AB1954" s="221"/>
      <c r="AC1954" s="229"/>
      <c r="AD1954" s="230"/>
      <c r="AE1954" s="230"/>
      <c r="AF1954" s="230"/>
      <c r="AG1954" s="227"/>
    </row>
    <row r="1955" spans="1:33" x14ac:dyDescent="0.25">
      <c r="A1955" s="32"/>
      <c r="B1955" s="306"/>
      <c r="C1955" s="307"/>
      <c r="D1955" s="312"/>
      <c r="E1955" s="301"/>
      <c r="F1955" s="232"/>
      <c r="J1955" s="306"/>
      <c r="K1955" s="306"/>
      <c r="L1955" s="313"/>
      <c r="M1955" s="219"/>
      <c r="N1955" s="218"/>
      <c r="S1955" s="224"/>
      <c r="T1955" s="228"/>
      <c r="U1955" s="226"/>
      <c r="V1955" s="226"/>
      <c r="W1955" s="303"/>
      <c r="X1955" s="220"/>
      <c r="Z1955" s="227"/>
      <c r="AA1955" s="220"/>
      <c r="AB1955" s="221"/>
      <c r="AC1955" s="229"/>
      <c r="AD1955" s="230"/>
      <c r="AE1955" s="230"/>
      <c r="AF1955" s="230"/>
      <c r="AG1955" s="227"/>
    </row>
    <row r="1956" spans="1:33" x14ac:dyDescent="0.25">
      <c r="A1956" s="32"/>
      <c r="B1956" s="306"/>
      <c r="C1956" s="307"/>
      <c r="D1956" s="312"/>
      <c r="E1956" s="301"/>
      <c r="F1956" s="232"/>
      <c r="J1956" s="306"/>
      <c r="K1956" s="306"/>
      <c r="L1956" s="313"/>
      <c r="M1956" s="219"/>
      <c r="N1956" s="218"/>
      <c r="S1956" s="224"/>
      <c r="T1956" s="228"/>
      <c r="U1956" s="226"/>
      <c r="V1956" s="226"/>
      <c r="W1956" s="303"/>
      <c r="X1956" s="220"/>
      <c r="Z1956" s="227"/>
      <c r="AA1956" s="220"/>
      <c r="AB1956" s="221"/>
      <c r="AC1956" s="229"/>
      <c r="AD1956" s="230"/>
      <c r="AE1956" s="230"/>
      <c r="AF1956" s="230"/>
      <c r="AG1956" s="227"/>
    </row>
    <row r="1957" spans="1:33" x14ac:dyDescent="0.25">
      <c r="A1957" s="32"/>
      <c r="B1957" s="306"/>
      <c r="C1957" s="307"/>
      <c r="D1957" s="312"/>
      <c r="E1957" s="301"/>
      <c r="F1957" s="232"/>
      <c r="J1957" s="306"/>
      <c r="K1957" s="306"/>
      <c r="L1957" s="313"/>
      <c r="M1957" s="219"/>
      <c r="N1957" s="218"/>
      <c r="S1957" s="224"/>
      <c r="T1957" s="228"/>
      <c r="U1957" s="226"/>
      <c r="V1957" s="226"/>
      <c r="W1957" s="303"/>
      <c r="X1957" s="220"/>
      <c r="Z1957" s="227"/>
      <c r="AA1957" s="220"/>
      <c r="AB1957" s="221"/>
      <c r="AC1957" s="229"/>
      <c r="AD1957" s="230"/>
      <c r="AE1957" s="230"/>
      <c r="AF1957" s="230"/>
      <c r="AG1957" s="227"/>
    </row>
    <row r="1958" spans="1:33" x14ac:dyDescent="0.25">
      <c r="A1958" s="32"/>
      <c r="B1958" s="306"/>
      <c r="C1958" s="307"/>
      <c r="D1958" s="312"/>
      <c r="E1958" s="301"/>
      <c r="F1958" s="232"/>
      <c r="J1958" s="306"/>
      <c r="K1958" s="306"/>
      <c r="L1958" s="313"/>
      <c r="M1958" s="219"/>
      <c r="N1958" s="218"/>
      <c r="S1958" s="224"/>
      <c r="T1958" s="228"/>
      <c r="U1958" s="226"/>
      <c r="V1958" s="226"/>
      <c r="W1958" s="303"/>
      <c r="X1958" s="220"/>
      <c r="Z1958" s="227"/>
      <c r="AA1958" s="220"/>
      <c r="AB1958" s="221"/>
      <c r="AC1958" s="229"/>
      <c r="AD1958" s="230"/>
      <c r="AE1958" s="230"/>
      <c r="AF1958" s="230"/>
      <c r="AG1958" s="227"/>
    </row>
    <row r="1959" spans="1:33" x14ac:dyDescent="0.25">
      <c r="A1959" s="32"/>
      <c r="B1959" s="306"/>
      <c r="C1959" s="307"/>
      <c r="D1959" s="312"/>
      <c r="E1959" s="301"/>
      <c r="F1959" s="232"/>
      <c r="J1959" s="306"/>
      <c r="K1959" s="306"/>
      <c r="L1959" s="313"/>
      <c r="M1959" s="219"/>
      <c r="N1959" s="218"/>
      <c r="S1959" s="224"/>
      <c r="T1959" s="228"/>
      <c r="U1959" s="226"/>
      <c r="V1959" s="226"/>
      <c r="W1959" s="303"/>
      <c r="X1959" s="220"/>
      <c r="Z1959" s="227"/>
      <c r="AA1959" s="220"/>
      <c r="AB1959" s="221"/>
      <c r="AC1959" s="229"/>
      <c r="AD1959" s="230"/>
      <c r="AE1959" s="230"/>
      <c r="AF1959" s="230"/>
      <c r="AG1959" s="227"/>
    </row>
    <row r="1960" spans="1:33" x14ac:dyDescent="0.25">
      <c r="A1960" s="32"/>
      <c r="B1960" s="306"/>
      <c r="C1960" s="307"/>
      <c r="D1960" s="312"/>
      <c r="E1960" s="301"/>
      <c r="F1960" s="232"/>
      <c r="J1960" s="306"/>
      <c r="K1960" s="306"/>
      <c r="L1960" s="313"/>
      <c r="M1960" s="219"/>
      <c r="N1960" s="218"/>
      <c r="S1960" s="224"/>
      <c r="T1960" s="228"/>
      <c r="U1960" s="226"/>
      <c r="V1960" s="226"/>
      <c r="W1960" s="303"/>
      <c r="X1960" s="220"/>
      <c r="Z1960" s="227"/>
      <c r="AA1960" s="220"/>
      <c r="AB1960" s="221"/>
      <c r="AC1960" s="229"/>
      <c r="AD1960" s="230"/>
      <c r="AE1960" s="230"/>
      <c r="AF1960" s="230"/>
      <c r="AG1960" s="227"/>
    </row>
    <row r="1961" spans="1:33" x14ac:dyDescent="0.25">
      <c r="A1961" s="32"/>
      <c r="B1961" s="306"/>
      <c r="C1961" s="307"/>
      <c r="D1961" s="312"/>
      <c r="E1961" s="301"/>
      <c r="F1961" s="232"/>
      <c r="J1961" s="306"/>
      <c r="K1961" s="306"/>
      <c r="L1961" s="313"/>
      <c r="M1961" s="219"/>
      <c r="N1961" s="218"/>
      <c r="S1961" s="224"/>
      <c r="T1961" s="228"/>
      <c r="U1961" s="226"/>
      <c r="V1961" s="226"/>
      <c r="W1961" s="303"/>
      <c r="X1961" s="220"/>
      <c r="Z1961" s="227"/>
      <c r="AA1961" s="220"/>
      <c r="AB1961" s="221"/>
      <c r="AC1961" s="229"/>
      <c r="AD1961" s="230"/>
      <c r="AE1961" s="230"/>
      <c r="AF1961" s="230"/>
      <c r="AG1961" s="227"/>
    </row>
    <row r="1962" spans="1:33" x14ac:dyDescent="0.25">
      <c r="A1962" s="32"/>
      <c r="B1962" s="306"/>
      <c r="C1962" s="307"/>
      <c r="D1962" s="312"/>
      <c r="E1962" s="301"/>
      <c r="F1962" s="232"/>
      <c r="J1962" s="306"/>
      <c r="K1962" s="306"/>
      <c r="L1962" s="313"/>
      <c r="M1962" s="219"/>
      <c r="N1962" s="218"/>
      <c r="S1962" s="224"/>
      <c r="T1962" s="228"/>
      <c r="U1962" s="226"/>
      <c r="V1962" s="226"/>
      <c r="W1962" s="303"/>
      <c r="X1962" s="220"/>
      <c r="Z1962" s="227"/>
      <c r="AA1962" s="220"/>
      <c r="AB1962" s="221"/>
      <c r="AC1962" s="229"/>
      <c r="AD1962" s="230"/>
      <c r="AE1962" s="230"/>
      <c r="AF1962" s="230"/>
      <c r="AG1962" s="227"/>
    </row>
    <row r="1963" spans="1:33" x14ac:dyDescent="0.25">
      <c r="A1963" s="32"/>
      <c r="B1963" s="306"/>
      <c r="C1963" s="307"/>
      <c r="D1963" s="312"/>
      <c r="E1963" s="301"/>
      <c r="F1963" s="232"/>
      <c r="J1963" s="306"/>
      <c r="K1963" s="306"/>
      <c r="L1963" s="313"/>
      <c r="M1963" s="219"/>
      <c r="N1963" s="218"/>
      <c r="S1963" s="224"/>
      <c r="T1963" s="228"/>
      <c r="U1963" s="226"/>
      <c r="V1963" s="226"/>
      <c r="W1963" s="303"/>
      <c r="X1963" s="220"/>
      <c r="Z1963" s="227"/>
      <c r="AA1963" s="220"/>
      <c r="AB1963" s="221"/>
      <c r="AC1963" s="229"/>
      <c r="AD1963" s="230"/>
      <c r="AE1963" s="230"/>
      <c r="AF1963" s="230"/>
      <c r="AG1963" s="227"/>
    </row>
    <row r="1964" spans="1:33" x14ac:dyDescent="0.25">
      <c r="A1964" s="32"/>
      <c r="B1964" s="306"/>
      <c r="C1964" s="307"/>
      <c r="D1964" s="312"/>
      <c r="E1964" s="301"/>
      <c r="F1964" s="232"/>
      <c r="J1964" s="306"/>
      <c r="K1964" s="306"/>
      <c r="L1964" s="313"/>
      <c r="M1964" s="219"/>
      <c r="N1964" s="218"/>
      <c r="S1964" s="224"/>
      <c r="T1964" s="228"/>
      <c r="U1964" s="226"/>
      <c r="V1964" s="226"/>
      <c r="W1964" s="303"/>
      <c r="X1964" s="220"/>
      <c r="Z1964" s="227"/>
      <c r="AA1964" s="220"/>
      <c r="AB1964" s="221"/>
      <c r="AC1964" s="229"/>
      <c r="AD1964" s="230"/>
      <c r="AE1964" s="230"/>
      <c r="AF1964" s="230"/>
      <c r="AG1964" s="227"/>
    </row>
    <row r="1965" spans="1:33" x14ac:dyDescent="0.25">
      <c r="A1965" s="32"/>
      <c r="B1965" s="306"/>
      <c r="C1965" s="307"/>
      <c r="D1965" s="312"/>
      <c r="E1965" s="301"/>
      <c r="F1965" s="232"/>
      <c r="J1965" s="306"/>
      <c r="K1965" s="306"/>
      <c r="L1965" s="313"/>
      <c r="M1965" s="219"/>
      <c r="N1965" s="218"/>
      <c r="S1965" s="224"/>
      <c r="T1965" s="228"/>
      <c r="U1965" s="226"/>
      <c r="V1965" s="226"/>
      <c r="W1965" s="303"/>
      <c r="X1965" s="220"/>
      <c r="Z1965" s="227"/>
      <c r="AA1965" s="220"/>
      <c r="AB1965" s="221"/>
      <c r="AC1965" s="229"/>
      <c r="AD1965" s="230"/>
      <c r="AE1965" s="230"/>
      <c r="AF1965" s="230"/>
      <c r="AG1965" s="227"/>
    </row>
    <row r="1966" spans="1:33" x14ac:dyDescent="0.25">
      <c r="A1966" s="32"/>
      <c r="B1966" s="306"/>
      <c r="C1966" s="307"/>
      <c r="D1966" s="312"/>
      <c r="E1966" s="301"/>
      <c r="F1966" s="232"/>
      <c r="J1966" s="306"/>
      <c r="K1966" s="306"/>
      <c r="L1966" s="313"/>
      <c r="M1966" s="219"/>
      <c r="N1966" s="218"/>
      <c r="S1966" s="224"/>
      <c r="T1966" s="228"/>
      <c r="U1966" s="226"/>
      <c r="V1966" s="226"/>
      <c r="W1966" s="303"/>
      <c r="X1966" s="220"/>
      <c r="Z1966" s="227"/>
      <c r="AA1966" s="220"/>
      <c r="AB1966" s="221"/>
      <c r="AC1966" s="229"/>
      <c r="AD1966" s="230"/>
      <c r="AE1966" s="230"/>
      <c r="AF1966" s="230"/>
      <c r="AG1966" s="227"/>
    </row>
    <row r="1967" spans="1:33" x14ac:dyDescent="0.25">
      <c r="A1967" s="32"/>
      <c r="B1967" s="306"/>
      <c r="C1967" s="307"/>
      <c r="D1967" s="312"/>
      <c r="E1967" s="301"/>
      <c r="F1967" s="232"/>
      <c r="J1967" s="306"/>
      <c r="K1967" s="306"/>
      <c r="L1967" s="313"/>
      <c r="M1967" s="219"/>
      <c r="N1967" s="218"/>
      <c r="S1967" s="224"/>
      <c r="T1967" s="228"/>
      <c r="U1967" s="226"/>
      <c r="V1967" s="226"/>
      <c r="W1967" s="303"/>
      <c r="X1967" s="220"/>
      <c r="Z1967" s="227"/>
      <c r="AA1967" s="220"/>
      <c r="AB1967" s="221"/>
      <c r="AC1967" s="229"/>
      <c r="AD1967" s="230"/>
      <c r="AE1967" s="230"/>
      <c r="AF1967" s="230"/>
      <c r="AG1967" s="227"/>
    </row>
    <row r="1968" spans="1:33" x14ac:dyDescent="0.25">
      <c r="A1968" s="32"/>
      <c r="B1968" s="306"/>
      <c r="C1968" s="307"/>
      <c r="D1968" s="312"/>
      <c r="E1968" s="301"/>
      <c r="F1968" s="232"/>
      <c r="J1968" s="306"/>
      <c r="K1968" s="306"/>
      <c r="L1968" s="313"/>
      <c r="M1968" s="219"/>
      <c r="N1968" s="218"/>
      <c r="S1968" s="224"/>
      <c r="T1968" s="228"/>
      <c r="U1968" s="226"/>
      <c r="V1968" s="226"/>
      <c r="W1968" s="303"/>
      <c r="X1968" s="220"/>
      <c r="Z1968" s="227"/>
      <c r="AA1968" s="220"/>
      <c r="AB1968" s="221"/>
      <c r="AC1968" s="229"/>
      <c r="AD1968" s="230"/>
      <c r="AE1968" s="230"/>
      <c r="AF1968" s="230"/>
      <c r="AG1968" s="227"/>
    </row>
    <row r="1969" spans="1:33" x14ac:dyDescent="0.25">
      <c r="A1969" s="32"/>
      <c r="B1969" s="306"/>
      <c r="C1969" s="307"/>
      <c r="D1969" s="312"/>
      <c r="E1969" s="301"/>
      <c r="F1969" s="232"/>
      <c r="J1969" s="306"/>
      <c r="K1969" s="306"/>
      <c r="L1969" s="313"/>
      <c r="M1969" s="219"/>
      <c r="N1969" s="218"/>
      <c r="S1969" s="224"/>
      <c r="T1969" s="228"/>
      <c r="U1969" s="226"/>
      <c r="V1969" s="226"/>
      <c r="W1969" s="303"/>
      <c r="X1969" s="220"/>
      <c r="Z1969" s="227"/>
      <c r="AA1969" s="220"/>
      <c r="AB1969" s="221"/>
      <c r="AC1969" s="229"/>
      <c r="AD1969" s="230"/>
      <c r="AE1969" s="230"/>
      <c r="AF1969" s="230"/>
      <c r="AG1969" s="227"/>
    </row>
    <row r="1970" spans="1:33" x14ac:dyDescent="0.25">
      <c r="A1970" s="32"/>
      <c r="B1970" s="306"/>
      <c r="C1970" s="307"/>
      <c r="D1970" s="312"/>
      <c r="E1970" s="301"/>
      <c r="F1970" s="232"/>
      <c r="J1970" s="306"/>
      <c r="K1970" s="306"/>
      <c r="L1970" s="313"/>
      <c r="M1970" s="219"/>
      <c r="N1970" s="218"/>
      <c r="S1970" s="224"/>
      <c r="T1970" s="228"/>
      <c r="U1970" s="226"/>
      <c r="V1970" s="226"/>
      <c r="W1970" s="303"/>
      <c r="X1970" s="220"/>
      <c r="Z1970" s="227"/>
      <c r="AA1970" s="220"/>
      <c r="AB1970" s="221"/>
      <c r="AC1970" s="229"/>
      <c r="AD1970" s="230"/>
      <c r="AE1970" s="230"/>
      <c r="AF1970" s="230"/>
      <c r="AG1970" s="227"/>
    </row>
    <row r="1971" spans="1:33" x14ac:dyDescent="0.25">
      <c r="A1971" s="32"/>
      <c r="B1971" s="306"/>
      <c r="C1971" s="307"/>
      <c r="D1971" s="312"/>
      <c r="E1971" s="301"/>
      <c r="F1971" s="232"/>
      <c r="J1971" s="306"/>
      <c r="K1971" s="306"/>
      <c r="L1971" s="313"/>
      <c r="M1971" s="219"/>
      <c r="N1971" s="218"/>
      <c r="S1971" s="224"/>
      <c r="T1971" s="228"/>
      <c r="U1971" s="226"/>
      <c r="V1971" s="226"/>
      <c r="W1971" s="303"/>
      <c r="X1971" s="220"/>
      <c r="Z1971" s="227"/>
      <c r="AA1971" s="220"/>
      <c r="AB1971" s="221"/>
      <c r="AC1971" s="229"/>
      <c r="AD1971" s="230"/>
      <c r="AE1971" s="230"/>
      <c r="AF1971" s="230"/>
      <c r="AG1971" s="227"/>
    </row>
    <row r="1972" spans="1:33" x14ac:dyDescent="0.25">
      <c r="A1972" s="32"/>
      <c r="B1972" s="306"/>
      <c r="C1972" s="307"/>
      <c r="D1972" s="312"/>
      <c r="E1972" s="301"/>
      <c r="F1972" s="232"/>
      <c r="J1972" s="306"/>
      <c r="K1972" s="306"/>
      <c r="L1972" s="313"/>
      <c r="M1972" s="219"/>
      <c r="N1972" s="218"/>
      <c r="S1972" s="224"/>
      <c r="T1972" s="228"/>
      <c r="U1972" s="226"/>
      <c r="V1972" s="226"/>
      <c r="W1972" s="303"/>
      <c r="X1972" s="220"/>
      <c r="Z1972" s="227"/>
      <c r="AA1972" s="220"/>
      <c r="AB1972" s="221"/>
      <c r="AC1972" s="229"/>
      <c r="AD1972" s="230"/>
      <c r="AE1972" s="230"/>
      <c r="AF1972" s="230"/>
      <c r="AG1972" s="227"/>
    </row>
    <row r="1973" spans="1:33" x14ac:dyDescent="0.25">
      <c r="A1973" s="32"/>
      <c r="B1973" s="306"/>
      <c r="C1973" s="307"/>
      <c r="D1973" s="312"/>
      <c r="E1973" s="301"/>
      <c r="F1973" s="232"/>
      <c r="J1973" s="306"/>
      <c r="K1973" s="306"/>
      <c r="L1973" s="313"/>
      <c r="M1973" s="219"/>
      <c r="N1973" s="218"/>
      <c r="S1973" s="224"/>
      <c r="T1973" s="228"/>
      <c r="U1973" s="226"/>
      <c r="V1973" s="226"/>
      <c r="W1973" s="303"/>
      <c r="X1973" s="220"/>
      <c r="Z1973" s="227"/>
      <c r="AA1973" s="220"/>
      <c r="AB1973" s="221"/>
      <c r="AC1973" s="229"/>
      <c r="AD1973" s="230"/>
      <c r="AE1973" s="230"/>
      <c r="AF1973" s="230"/>
      <c r="AG1973" s="227"/>
    </row>
    <row r="1974" spans="1:33" x14ac:dyDescent="0.25">
      <c r="A1974" s="32"/>
      <c r="B1974" s="306"/>
      <c r="C1974" s="307"/>
      <c r="D1974" s="312"/>
      <c r="E1974" s="301"/>
      <c r="F1974" s="232"/>
      <c r="J1974" s="306"/>
      <c r="K1974" s="306"/>
      <c r="L1974" s="313"/>
      <c r="M1974" s="219"/>
      <c r="N1974" s="218"/>
      <c r="S1974" s="224"/>
      <c r="T1974" s="228"/>
      <c r="U1974" s="226"/>
      <c r="V1974" s="226"/>
      <c r="W1974" s="303"/>
      <c r="X1974" s="220"/>
      <c r="Z1974" s="227"/>
      <c r="AA1974" s="220"/>
      <c r="AB1974" s="221"/>
      <c r="AC1974" s="229"/>
      <c r="AD1974" s="230"/>
      <c r="AE1974" s="230"/>
      <c r="AF1974" s="230"/>
      <c r="AG1974" s="227"/>
    </row>
    <row r="1975" spans="1:33" x14ac:dyDescent="0.25">
      <c r="A1975" s="32"/>
      <c r="B1975" s="306"/>
      <c r="C1975" s="307"/>
      <c r="D1975" s="312"/>
      <c r="E1975" s="301"/>
      <c r="F1975" s="232"/>
      <c r="J1975" s="306"/>
      <c r="K1975" s="306"/>
      <c r="L1975" s="313"/>
      <c r="M1975" s="219"/>
      <c r="N1975" s="218"/>
      <c r="S1975" s="224"/>
      <c r="T1975" s="228"/>
      <c r="U1975" s="226"/>
      <c r="V1975" s="226"/>
      <c r="W1975" s="303"/>
      <c r="X1975" s="220"/>
      <c r="Z1975" s="227"/>
      <c r="AA1975" s="220"/>
      <c r="AB1975" s="221"/>
      <c r="AC1975" s="229"/>
      <c r="AD1975" s="230"/>
      <c r="AE1975" s="230"/>
      <c r="AF1975" s="230"/>
      <c r="AG1975" s="227"/>
    </row>
    <row r="1976" spans="1:33" x14ac:dyDescent="0.25">
      <c r="A1976" s="32"/>
      <c r="B1976" s="306"/>
      <c r="C1976" s="307"/>
      <c r="D1976" s="312"/>
      <c r="E1976" s="301"/>
      <c r="F1976" s="232"/>
      <c r="J1976" s="306"/>
      <c r="K1976" s="306"/>
      <c r="L1976" s="313"/>
      <c r="M1976" s="219"/>
      <c r="N1976" s="218"/>
      <c r="S1976" s="224"/>
      <c r="T1976" s="228"/>
      <c r="U1976" s="226"/>
      <c r="V1976" s="226"/>
      <c r="W1976" s="303"/>
      <c r="X1976" s="220"/>
      <c r="Z1976" s="227"/>
      <c r="AA1976" s="220"/>
      <c r="AB1976" s="221"/>
      <c r="AC1976" s="229"/>
      <c r="AD1976" s="230"/>
      <c r="AE1976" s="230"/>
      <c r="AF1976" s="230"/>
      <c r="AG1976" s="227"/>
    </row>
    <row r="1977" spans="1:33" x14ac:dyDescent="0.25">
      <c r="A1977" s="32"/>
      <c r="B1977" s="306"/>
      <c r="C1977" s="307"/>
      <c r="D1977" s="312"/>
      <c r="E1977" s="301"/>
      <c r="F1977" s="232"/>
      <c r="J1977" s="306"/>
      <c r="K1977" s="306"/>
      <c r="L1977" s="313"/>
      <c r="M1977" s="219"/>
      <c r="N1977" s="218"/>
      <c r="S1977" s="224"/>
      <c r="T1977" s="228"/>
      <c r="U1977" s="226"/>
      <c r="V1977" s="226"/>
      <c r="W1977" s="303"/>
      <c r="X1977" s="220"/>
      <c r="Z1977" s="227"/>
      <c r="AA1977" s="220"/>
      <c r="AB1977" s="221"/>
      <c r="AC1977" s="229"/>
      <c r="AD1977" s="230"/>
      <c r="AE1977" s="230"/>
      <c r="AF1977" s="230"/>
      <c r="AG1977" s="227"/>
    </row>
    <row r="1978" spans="1:33" x14ac:dyDescent="0.25">
      <c r="A1978" s="32"/>
      <c r="B1978" s="306"/>
      <c r="C1978" s="307"/>
      <c r="D1978" s="312"/>
      <c r="E1978" s="301"/>
      <c r="F1978" s="232"/>
      <c r="J1978" s="306"/>
      <c r="K1978" s="306"/>
      <c r="L1978" s="313"/>
      <c r="M1978" s="219"/>
      <c r="N1978" s="218"/>
      <c r="S1978" s="224"/>
      <c r="T1978" s="228"/>
      <c r="U1978" s="226"/>
      <c r="V1978" s="226"/>
      <c r="W1978" s="303"/>
      <c r="X1978" s="220"/>
      <c r="Z1978" s="227"/>
      <c r="AA1978" s="220"/>
      <c r="AB1978" s="221"/>
      <c r="AC1978" s="229"/>
      <c r="AD1978" s="230"/>
      <c r="AE1978" s="230"/>
      <c r="AF1978" s="230"/>
      <c r="AG1978" s="227"/>
    </row>
    <row r="1979" spans="1:33" x14ac:dyDescent="0.25">
      <c r="A1979" s="32"/>
      <c r="B1979" s="306"/>
      <c r="C1979" s="307"/>
      <c r="D1979" s="312"/>
      <c r="E1979" s="301"/>
      <c r="F1979" s="232"/>
      <c r="J1979" s="306"/>
      <c r="K1979" s="306"/>
      <c r="L1979" s="313"/>
      <c r="M1979" s="219"/>
      <c r="N1979" s="218"/>
      <c r="S1979" s="224"/>
      <c r="T1979" s="228"/>
      <c r="U1979" s="226"/>
      <c r="V1979" s="226"/>
      <c r="W1979" s="303"/>
      <c r="X1979" s="220"/>
      <c r="Z1979" s="227"/>
      <c r="AA1979" s="220"/>
      <c r="AB1979" s="221"/>
      <c r="AC1979" s="229"/>
      <c r="AD1979" s="230"/>
      <c r="AE1979" s="230"/>
      <c r="AF1979" s="230"/>
      <c r="AG1979" s="227"/>
    </row>
    <row r="1980" spans="1:33" x14ac:dyDescent="0.25">
      <c r="A1980" s="32"/>
      <c r="B1980" s="306"/>
      <c r="C1980" s="307"/>
      <c r="D1980" s="312"/>
      <c r="E1980" s="301"/>
      <c r="F1980" s="232"/>
      <c r="J1980" s="306"/>
      <c r="K1980" s="306"/>
      <c r="L1980" s="313"/>
      <c r="M1980" s="219"/>
      <c r="N1980" s="218"/>
      <c r="S1980" s="224"/>
      <c r="T1980" s="228"/>
      <c r="U1980" s="226"/>
      <c r="V1980" s="226"/>
      <c r="W1980" s="303"/>
      <c r="X1980" s="220"/>
      <c r="Z1980" s="227"/>
      <c r="AA1980" s="220"/>
      <c r="AB1980" s="221"/>
      <c r="AC1980" s="229"/>
      <c r="AD1980" s="230"/>
      <c r="AE1980" s="230"/>
      <c r="AF1980" s="230"/>
      <c r="AG1980" s="227"/>
    </row>
    <row r="1981" spans="1:33" x14ac:dyDescent="0.25">
      <c r="A1981" s="32"/>
      <c r="B1981" s="306"/>
      <c r="C1981" s="307"/>
      <c r="D1981" s="312"/>
      <c r="E1981" s="301"/>
      <c r="F1981" s="232"/>
      <c r="J1981" s="306"/>
      <c r="K1981" s="306"/>
      <c r="L1981" s="313"/>
      <c r="M1981" s="219"/>
      <c r="N1981" s="218"/>
      <c r="S1981" s="224"/>
      <c r="T1981" s="228"/>
      <c r="U1981" s="226"/>
      <c r="V1981" s="226"/>
      <c r="W1981" s="303"/>
      <c r="X1981" s="220"/>
      <c r="Z1981" s="227"/>
      <c r="AA1981" s="220"/>
      <c r="AB1981" s="221"/>
      <c r="AC1981" s="229"/>
      <c r="AD1981" s="230"/>
      <c r="AE1981" s="230"/>
      <c r="AF1981" s="230"/>
      <c r="AG1981" s="227"/>
    </row>
    <row r="1982" spans="1:33" x14ac:dyDescent="0.25">
      <c r="A1982" s="32"/>
      <c r="B1982" s="306"/>
      <c r="C1982" s="307"/>
      <c r="D1982" s="312"/>
      <c r="E1982" s="301"/>
      <c r="F1982" s="232"/>
      <c r="J1982" s="306"/>
      <c r="K1982" s="306"/>
      <c r="L1982" s="313"/>
      <c r="M1982" s="219"/>
      <c r="N1982" s="218"/>
      <c r="S1982" s="224"/>
      <c r="T1982" s="228"/>
      <c r="U1982" s="226"/>
      <c r="V1982" s="226"/>
      <c r="W1982" s="303"/>
      <c r="X1982" s="220"/>
      <c r="Z1982" s="227"/>
      <c r="AA1982" s="220"/>
      <c r="AB1982" s="221"/>
      <c r="AC1982" s="229"/>
      <c r="AD1982" s="230"/>
      <c r="AE1982" s="230"/>
      <c r="AF1982" s="230"/>
      <c r="AG1982" s="227"/>
    </row>
    <row r="1983" spans="1:33" x14ac:dyDescent="0.25">
      <c r="A1983" s="32"/>
      <c r="B1983" s="306"/>
      <c r="C1983" s="307"/>
      <c r="D1983" s="312"/>
      <c r="E1983" s="301"/>
      <c r="F1983" s="232"/>
      <c r="J1983" s="306"/>
      <c r="K1983" s="306"/>
      <c r="L1983" s="313"/>
      <c r="M1983" s="219"/>
      <c r="N1983" s="218"/>
      <c r="S1983" s="224"/>
      <c r="T1983" s="228"/>
      <c r="U1983" s="226"/>
      <c r="V1983" s="226"/>
      <c r="W1983" s="303"/>
      <c r="X1983" s="220"/>
      <c r="Z1983" s="227"/>
      <c r="AA1983" s="220"/>
      <c r="AB1983" s="221"/>
      <c r="AC1983" s="229"/>
      <c r="AD1983" s="230"/>
      <c r="AE1983" s="230"/>
      <c r="AF1983" s="230"/>
      <c r="AG1983" s="227"/>
    </row>
    <row r="1984" spans="1:33" x14ac:dyDescent="0.25">
      <c r="A1984" s="32"/>
      <c r="B1984" s="306"/>
      <c r="C1984" s="307"/>
      <c r="D1984" s="312"/>
      <c r="E1984" s="301"/>
      <c r="F1984" s="232"/>
      <c r="J1984" s="306"/>
      <c r="K1984" s="306"/>
      <c r="L1984" s="313"/>
      <c r="M1984" s="219"/>
      <c r="N1984" s="218"/>
      <c r="S1984" s="224"/>
      <c r="T1984" s="228"/>
      <c r="U1984" s="226"/>
      <c r="V1984" s="226"/>
      <c r="W1984" s="303"/>
      <c r="X1984" s="220"/>
      <c r="Z1984" s="227"/>
      <c r="AA1984" s="220"/>
      <c r="AB1984" s="221"/>
      <c r="AC1984" s="229"/>
      <c r="AD1984" s="230"/>
      <c r="AE1984" s="230"/>
      <c r="AF1984" s="230"/>
      <c r="AG1984" s="227"/>
    </row>
    <row r="1985" spans="1:33" x14ac:dyDescent="0.25">
      <c r="A1985" s="32"/>
      <c r="B1985" s="306"/>
      <c r="C1985" s="307"/>
      <c r="D1985" s="312"/>
      <c r="E1985" s="301"/>
      <c r="F1985" s="232"/>
      <c r="J1985" s="306"/>
      <c r="K1985" s="306"/>
      <c r="L1985" s="313"/>
      <c r="M1985" s="219"/>
      <c r="N1985" s="218"/>
      <c r="S1985" s="224"/>
      <c r="T1985" s="228"/>
      <c r="U1985" s="226"/>
      <c r="V1985" s="226"/>
      <c r="W1985" s="303"/>
      <c r="X1985" s="220"/>
      <c r="Z1985" s="227"/>
      <c r="AA1985" s="220"/>
      <c r="AB1985" s="221"/>
      <c r="AC1985" s="229"/>
      <c r="AD1985" s="230"/>
      <c r="AE1985" s="230"/>
      <c r="AF1985" s="230"/>
      <c r="AG1985" s="227"/>
    </row>
    <row r="1986" spans="1:33" x14ac:dyDescent="0.25">
      <c r="A1986" s="32"/>
      <c r="B1986" s="306"/>
      <c r="C1986" s="307"/>
      <c r="D1986" s="312"/>
      <c r="E1986" s="301"/>
      <c r="F1986" s="232"/>
      <c r="J1986" s="306"/>
      <c r="K1986" s="306"/>
      <c r="L1986" s="313"/>
      <c r="M1986" s="219"/>
      <c r="N1986" s="218"/>
      <c r="S1986" s="224"/>
      <c r="T1986" s="228"/>
      <c r="U1986" s="226"/>
      <c r="V1986" s="226"/>
      <c r="W1986" s="303"/>
      <c r="X1986" s="220"/>
      <c r="Z1986" s="227"/>
      <c r="AA1986" s="220"/>
      <c r="AB1986" s="221"/>
      <c r="AC1986" s="229"/>
      <c r="AD1986" s="230"/>
      <c r="AE1986" s="230"/>
      <c r="AF1986" s="230"/>
      <c r="AG1986" s="227"/>
    </row>
    <row r="1987" spans="1:33" x14ac:dyDescent="0.25">
      <c r="A1987" s="32"/>
      <c r="B1987" s="306"/>
      <c r="C1987" s="307"/>
      <c r="D1987" s="312"/>
      <c r="E1987" s="301"/>
      <c r="F1987" s="232"/>
      <c r="J1987" s="306"/>
      <c r="K1987" s="306"/>
      <c r="L1987" s="313"/>
      <c r="M1987" s="219"/>
      <c r="N1987" s="218"/>
      <c r="S1987" s="224"/>
      <c r="T1987" s="228"/>
      <c r="U1987" s="226"/>
      <c r="V1987" s="226"/>
      <c r="W1987" s="303"/>
      <c r="X1987" s="220"/>
      <c r="Z1987" s="227"/>
      <c r="AA1987" s="220"/>
      <c r="AB1987" s="221"/>
      <c r="AC1987" s="229"/>
      <c r="AD1987" s="230"/>
      <c r="AE1987" s="230"/>
      <c r="AF1987" s="230"/>
      <c r="AG1987" s="227"/>
    </row>
    <row r="1988" spans="1:33" x14ac:dyDescent="0.25">
      <c r="A1988" s="32"/>
      <c r="B1988" s="306"/>
      <c r="C1988" s="307"/>
      <c r="D1988" s="312"/>
      <c r="E1988" s="301"/>
      <c r="F1988" s="232"/>
      <c r="J1988" s="306"/>
      <c r="K1988" s="306"/>
      <c r="L1988" s="313"/>
      <c r="M1988" s="219"/>
      <c r="N1988" s="218"/>
      <c r="S1988" s="224"/>
      <c r="T1988" s="228"/>
      <c r="U1988" s="226"/>
      <c r="V1988" s="226"/>
      <c r="W1988" s="303"/>
      <c r="X1988" s="220"/>
      <c r="Z1988" s="227"/>
      <c r="AA1988" s="220"/>
      <c r="AB1988" s="221"/>
      <c r="AC1988" s="229"/>
      <c r="AD1988" s="230"/>
      <c r="AE1988" s="230"/>
      <c r="AF1988" s="230"/>
      <c r="AG1988" s="227"/>
    </row>
    <row r="1989" spans="1:33" x14ac:dyDescent="0.25">
      <c r="A1989" s="32"/>
      <c r="B1989" s="306"/>
      <c r="C1989" s="307"/>
      <c r="D1989" s="312"/>
      <c r="E1989" s="301"/>
      <c r="F1989" s="232"/>
      <c r="J1989" s="306"/>
      <c r="K1989" s="306"/>
      <c r="L1989" s="313"/>
      <c r="M1989" s="219"/>
      <c r="N1989" s="218"/>
      <c r="S1989" s="224"/>
      <c r="T1989" s="228"/>
      <c r="U1989" s="226"/>
      <c r="V1989" s="226"/>
      <c r="W1989" s="303"/>
      <c r="X1989" s="220"/>
      <c r="Z1989" s="227"/>
      <c r="AA1989" s="220"/>
      <c r="AB1989" s="221"/>
      <c r="AC1989" s="229"/>
      <c r="AD1989" s="230"/>
      <c r="AE1989" s="230"/>
      <c r="AF1989" s="230"/>
      <c r="AG1989" s="227"/>
    </row>
    <row r="1990" spans="1:33" x14ac:dyDescent="0.25">
      <c r="A1990" s="32"/>
      <c r="B1990" s="306"/>
      <c r="C1990" s="307"/>
      <c r="D1990" s="312"/>
      <c r="E1990" s="301"/>
      <c r="F1990" s="232"/>
      <c r="J1990" s="306"/>
      <c r="K1990" s="306"/>
      <c r="L1990" s="313"/>
      <c r="M1990" s="219"/>
      <c r="N1990" s="218"/>
      <c r="S1990" s="224"/>
      <c r="T1990" s="228"/>
      <c r="U1990" s="226"/>
      <c r="V1990" s="226"/>
      <c r="W1990" s="303"/>
      <c r="X1990" s="220"/>
      <c r="Z1990" s="227"/>
      <c r="AA1990" s="220"/>
      <c r="AB1990" s="221"/>
      <c r="AC1990" s="229"/>
      <c r="AD1990" s="230"/>
      <c r="AE1990" s="230"/>
      <c r="AF1990" s="230"/>
      <c r="AG1990" s="227"/>
    </row>
    <row r="1991" spans="1:33" x14ac:dyDescent="0.25">
      <c r="A1991" s="32"/>
      <c r="B1991" s="306"/>
      <c r="C1991" s="307"/>
      <c r="D1991" s="312"/>
      <c r="E1991" s="301"/>
      <c r="F1991" s="232"/>
      <c r="J1991" s="306"/>
      <c r="K1991" s="306"/>
      <c r="L1991" s="313"/>
      <c r="M1991" s="219"/>
      <c r="N1991" s="218"/>
      <c r="S1991" s="224"/>
      <c r="T1991" s="228"/>
      <c r="U1991" s="226"/>
      <c r="V1991" s="226"/>
      <c r="W1991" s="303"/>
      <c r="X1991" s="220"/>
      <c r="Z1991" s="227"/>
      <c r="AA1991" s="220"/>
      <c r="AB1991" s="221"/>
      <c r="AC1991" s="229"/>
      <c r="AD1991" s="230"/>
      <c r="AE1991" s="230"/>
      <c r="AF1991" s="230"/>
      <c r="AG1991" s="227"/>
    </row>
    <row r="1992" spans="1:33" x14ac:dyDescent="0.25">
      <c r="A1992" s="32"/>
      <c r="B1992" s="306"/>
      <c r="C1992" s="307"/>
      <c r="D1992" s="312"/>
      <c r="E1992" s="301"/>
      <c r="F1992" s="232"/>
      <c r="J1992" s="306"/>
      <c r="K1992" s="306"/>
      <c r="L1992" s="313"/>
      <c r="M1992" s="219"/>
      <c r="N1992" s="218"/>
      <c r="S1992" s="224"/>
      <c r="T1992" s="228"/>
      <c r="U1992" s="226"/>
      <c r="V1992" s="226"/>
      <c r="W1992" s="303"/>
      <c r="X1992" s="220"/>
      <c r="Z1992" s="227"/>
      <c r="AA1992" s="220"/>
      <c r="AB1992" s="221"/>
      <c r="AC1992" s="229"/>
      <c r="AD1992" s="230"/>
      <c r="AE1992" s="230"/>
      <c r="AF1992" s="230"/>
      <c r="AG1992" s="227"/>
    </row>
    <row r="1993" spans="1:33" x14ac:dyDescent="0.25">
      <c r="A1993" s="32"/>
      <c r="B1993" s="306"/>
      <c r="C1993" s="307"/>
      <c r="D1993" s="312"/>
      <c r="E1993" s="301"/>
      <c r="F1993" s="232"/>
      <c r="J1993" s="306"/>
      <c r="K1993" s="306"/>
      <c r="L1993" s="313"/>
      <c r="M1993" s="219"/>
      <c r="N1993" s="218"/>
      <c r="S1993" s="224"/>
      <c r="T1993" s="228"/>
      <c r="U1993" s="226"/>
      <c r="V1993" s="226"/>
      <c r="W1993" s="303"/>
      <c r="X1993" s="220"/>
      <c r="Z1993" s="227"/>
      <c r="AA1993" s="220"/>
      <c r="AB1993" s="221"/>
      <c r="AC1993" s="229"/>
      <c r="AD1993" s="230"/>
      <c r="AE1993" s="230"/>
      <c r="AF1993" s="230"/>
      <c r="AG1993" s="227"/>
    </row>
    <row r="1994" spans="1:33" x14ac:dyDescent="0.25">
      <c r="A1994" s="32"/>
      <c r="B1994" s="306"/>
      <c r="C1994" s="307"/>
      <c r="D1994" s="312"/>
      <c r="E1994" s="301"/>
      <c r="F1994" s="232"/>
      <c r="J1994" s="306"/>
      <c r="K1994" s="306"/>
      <c r="L1994" s="313"/>
      <c r="M1994" s="219"/>
      <c r="N1994" s="218"/>
      <c r="S1994" s="224"/>
      <c r="T1994" s="228"/>
      <c r="U1994" s="226"/>
      <c r="V1994" s="226"/>
      <c r="W1994" s="303"/>
      <c r="X1994" s="220"/>
      <c r="Z1994" s="227"/>
      <c r="AA1994" s="220"/>
      <c r="AB1994" s="221"/>
      <c r="AC1994" s="229"/>
      <c r="AD1994" s="230"/>
      <c r="AE1994" s="230"/>
      <c r="AF1994" s="230"/>
      <c r="AG1994" s="227"/>
    </row>
    <row r="1995" spans="1:33" x14ac:dyDescent="0.25">
      <c r="A1995" s="32"/>
      <c r="B1995" s="306"/>
      <c r="C1995" s="307"/>
      <c r="D1995" s="312"/>
      <c r="E1995" s="301"/>
      <c r="F1995" s="232"/>
      <c r="J1995" s="306"/>
      <c r="K1995" s="306"/>
      <c r="L1995" s="313"/>
      <c r="M1995" s="219"/>
      <c r="N1995" s="218"/>
      <c r="S1995" s="224"/>
      <c r="T1995" s="228"/>
      <c r="U1995" s="226"/>
      <c r="V1995" s="226"/>
      <c r="W1995" s="303"/>
      <c r="X1995" s="220"/>
      <c r="Z1995" s="227"/>
      <c r="AA1995" s="220"/>
      <c r="AB1995" s="221"/>
      <c r="AC1995" s="229"/>
      <c r="AD1995" s="230"/>
      <c r="AE1995" s="230"/>
      <c r="AF1995" s="230"/>
      <c r="AG1995" s="227"/>
    </row>
    <row r="1996" spans="1:33" x14ac:dyDescent="0.25">
      <c r="A1996" s="32"/>
      <c r="B1996" s="306"/>
      <c r="C1996" s="307"/>
      <c r="D1996" s="312"/>
      <c r="E1996" s="301"/>
      <c r="F1996" s="232"/>
      <c r="J1996" s="306"/>
      <c r="K1996" s="306"/>
      <c r="L1996" s="313"/>
      <c r="M1996" s="219"/>
      <c r="N1996" s="218"/>
      <c r="S1996" s="224"/>
      <c r="T1996" s="228"/>
      <c r="U1996" s="226"/>
      <c r="V1996" s="226"/>
      <c r="W1996" s="303"/>
      <c r="X1996" s="220"/>
      <c r="Z1996" s="227"/>
      <c r="AA1996" s="220"/>
      <c r="AB1996" s="221"/>
      <c r="AC1996" s="229"/>
      <c r="AD1996" s="230"/>
      <c r="AE1996" s="230"/>
      <c r="AF1996" s="230"/>
      <c r="AG1996" s="227"/>
    </row>
    <row r="1997" spans="1:33" x14ac:dyDescent="0.25">
      <c r="A1997" s="32"/>
      <c r="B1997" s="306"/>
      <c r="C1997" s="307"/>
      <c r="D1997" s="312"/>
      <c r="E1997" s="301"/>
      <c r="F1997" s="232"/>
      <c r="J1997" s="306"/>
      <c r="K1997" s="306"/>
      <c r="L1997" s="313"/>
      <c r="M1997" s="219"/>
      <c r="N1997" s="218"/>
      <c r="S1997" s="224"/>
      <c r="T1997" s="228"/>
      <c r="U1997" s="226"/>
      <c r="V1997" s="226"/>
      <c r="W1997" s="303"/>
      <c r="X1997" s="220"/>
      <c r="Z1997" s="227"/>
      <c r="AA1997" s="220"/>
      <c r="AB1997" s="221"/>
      <c r="AC1997" s="229"/>
      <c r="AD1997" s="230"/>
      <c r="AE1997" s="230"/>
      <c r="AF1997" s="230"/>
      <c r="AG1997" s="227"/>
    </row>
    <row r="1998" spans="1:33" x14ac:dyDescent="0.25">
      <c r="A1998" s="32"/>
      <c r="B1998" s="306"/>
      <c r="C1998" s="307"/>
      <c r="D1998" s="312"/>
      <c r="E1998" s="301"/>
      <c r="F1998" s="232"/>
      <c r="J1998" s="306"/>
      <c r="K1998" s="306"/>
      <c r="L1998" s="313"/>
      <c r="M1998" s="219"/>
      <c r="N1998" s="218"/>
      <c r="S1998" s="224"/>
      <c r="T1998" s="228"/>
      <c r="U1998" s="226"/>
      <c r="V1998" s="226"/>
      <c r="W1998" s="303"/>
      <c r="X1998" s="220"/>
      <c r="Z1998" s="227"/>
      <c r="AA1998" s="220"/>
      <c r="AB1998" s="221"/>
      <c r="AC1998" s="229"/>
      <c r="AD1998" s="230"/>
      <c r="AE1998" s="230"/>
      <c r="AF1998" s="230"/>
      <c r="AG1998" s="227"/>
    </row>
    <row r="1999" spans="1:33" x14ac:dyDescent="0.25">
      <c r="A1999" s="32"/>
      <c r="B1999" s="306"/>
      <c r="C1999" s="307"/>
      <c r="D1999" s="312"/>
      <c r="E1999" s="301"/>
      <c r="F1999" s="232"/>
      <c r="J1999" s="306"/>
      <c r="K1999" s="306"/>
      <c r="L1999" s="313"/>
      <c r="M1999" s="219"/>
      <c r="N1999" s="218"/>
      <c r="S1999" s="224"/>
      <c r="T1999" s="228"/>
      <c r="U1999" s="226"/>
      <c r="V1999" s="226"/>
      <c r="W1999" s="303"/>
      <c r="X1999" s="220"/>
      <c r="Z1999" s="227"/>
      <c r="AA1999" s="220"/>
      <c r="AB1999" s="221"/>
      <c r="AC1999" s="229"/>
      <c r="AD1999" s="230"/>
      <c r="AE1999" s="230"/>
      <c r="AF1999" s="230"/>
      <c r="AG1999" s="227"/>
    </row>
    <row r="2000" spans="1:33" x14ac:dyDescent="0.25">
      <c r="A2000" s="32"/>
      <c r="B2000" s="306"/>
      <c r="C2000" s="307"/>
      <c r="D2000" s="312"/>
      <c r="E2000" s="301"/>
      <c r="F2000" s="232"/>
      <c r="J2000" s="306"/>
      <c r="K2000" s="306"/>
      <c r="L2000" s="313"/>
      <c r="M2000" s="219"/>
      <c r="N2000" s="218"/>
      <c r="S2000" s="224"/>
      <c r="T2000" s="228"/>
      <c r="U2000" s="226"/>
      <c r="V2000" s="226"/>
      <c r="W2000" s="303"/>
      <c r="X2000" s="220"/>
      <c r="Z2000" s="227"/>
      <c r="AA2000" s="220"/>
      <c r="AB2000" s="221"/>
      <c r="AC2000" s="229"/>
      <c r="AD2000" s="230"/>
      <c r="AE2000" s="230"/>
      <c r="AF2000" s="230"/>
      <c r="AG2000" s="227"/>
    </row>
    <row r="2001" spans="1:33" x14ac:dyDescent="0.25">
      <c r="A2001" s="32"/>
      <c r="B2001" s="306"/>
      <c r="C2001" s="307"/>
      <c r="D2001" s="312"/>
      <c r="E2001" s="301"/>
      <c r="F2001" s="232"/>
      <c r="J2001" s="306"/>
      <c r="K2001" s="306"/>
      <c r="L2001" s="313"/>
      <c r="M2001" s="219"/>
      <c r="N2001" s="218"/>
      <c r="S2001" s="224"/>
      <c r="T2001" s="228"/>
      <c r="U2001" s="226"/>
      <c r="V2001" s="226"/>
      <c r="W2001" s="303"/>
      <c r="X2001" s="220"/>
      <c r="Z2001" s="227"/>
      <c r="AA2001" s="220"/>
      <c r="AB2001" s="221"/>
      <c r="AC2001" s="229"/>
      <c r="AD2001" s="230"/>
      <c r="AE2001" s="230"/>
      <c r="AF2001" s="230"/>
      <c r="AG2001" s="227"/>
    </row>
    <row r="2002" spans="1:33" x14ac:dyDescent="0.25">
      <c r="A2002" s="32"/>
      <c r="B2002" s="306"/>
      <c r="C2002" s="307"/>
      <c r="D2002" s="312"/>
      <c r="E2002" s="301"/>
      <c r="F2002" s="232"/>
      <c r="J2002" s="306"/>
      <c r="K2002" s="306"/>
      <c r="L2002" s="313"/>
      <c r="M2002" s="219"/>
      <c r="N2002" s="218"/>
      <c r="S2002" s="224"/>
      <c r="T2002" s="228"/>
      <c r="U2002" s="226"/>
      <c r="V2002" s="226"/>
      <c r="W2002" s="303"/>
      <c r="X2002" s="220"/>
      <c r="Z2002" s="227"/>
      <c r="AA2002" s="220"/>
      <c r="AB2002" s="221"/>
      <c r="AC2002" s="229"/>
      <c r="AD2002" s="230"/>
      <c r="AE2002" s="230"/>
      <c r="AF2002" s="230"/>
      <c r="AG2002" s="227"/>
    </row>
    <row r="2003" spans="1:33" x14ac:dyDescent="0.25">
      <c r="A2003" s="32"/>
      <c r="B2003" s="306"/>
      <c r="C2003" s="307"/>
      <c r="D2003" s="312"/>
      <c r="E2003" s="301"/>
      <c r="F2003" s="232"/>
      <c r="J2003" s="306"/>
      <c r="K2003" s="306"/>
      <c r="L2003" s="313"/>
      <c r="M2003" s="219"/>
      <c r="N2003" s="218"/>
      <c r="S2003" s="224"/>
      <c r="T2003" s="228"/>
      <c r="U2003" s="226"/>
      <c r="V2003" s="226"/>
      <c r="W2003" s="303"/>
      <c r="X2003" s="220"/>
      <c r="Z2003" s="227"/>
      <c r="AA2003" s="220"/>
      <c r="AB2003" s="221"/>
      <c r="AC2003" s="229"/>
      <c r="AD2003" s="230"/>
      <c r="AE2003" s="230"/>
      <c r="AF2003" s="230"/>
      <c r="AG2003" s="227"/>
    </row>
    <row r="2004" spans="1:33" x14ac:dyDescent="0.25">
      <c r="A2004" s="32"/>
      <c r="B2004" s="306"/>
      <c r="C2004" s="307"/>
      <c r="D2004" s="312"/>
      <c r="E2004" s="301"/>
      <c r="F2004" s="232"/>
      <c r="J2004" s="306"/>
      <c r="K2004" s="306"/>
      <c r="L2004" s="313"/>
      <c r="M2004" s="219"/>
      <c r="N2004" s="218"/>
      <c r="S2004" s="224"/>
      <c r="T2004" s="228"/>
      <c r="U2004" s="226"/>
      <c r="V2004" s="226"/>
      <c r="W2004" s="303"/>
      <c r="X2004" s="220"/>
      <c r="Z2004" s="227"/>
      <c r="AA2004" s="220"/>
      <c r="AB2004" s="221"/>
      <c r="AC2004" s="229"/>
      <c r="AD2004" s="230"/>
      <c r="AE2004" s="230"/>
      <c r="AF2004" s="230"/>
      <c r="AG2004" s="227"/>
    </row>
    <row r="2005" spans="1:33" x14ac:dyDescent="0.25">
      <c r="A2005" s="32"/>
      <c r="B2005" s="306"/>
      <c r="C2005" s="307"/>
      <c r="D2005" s="312"/>
      <c r="E2005" s="301"/>
      <c r="F2005" s="232"/>
      <c r="J2005" s="306"/>
      <c r="K2005" s="306"/>
      <c r="L2005" s="313"/>
      <c r="M2005" s="219"/>
      <c r="N2005" s="218"/>
      <c r="S2005" s="224"/>
      <c r="T2005" s="228"/>
      <c r="U2005" s="226"/>
      <c r="V2005" s="226"/>
      <c r="W2005" s="303"/>
      <c r="X2005" s="220"/>
      <c r="Z2005" s="227"/>
      <c r="AA2005" s="220"/>
      <c r="AB2005" s="221"/>
      <c r="AC2005" s="229"/>
      <c r="AD2005" s="230"/>
      <c r="AE2005" s="230"/>
      <c r="AF2005" s="230"/>
      <c r="AG2005" s="227"/>
    </row>
    <row r="2006" spans="1:33" x14ac:dyDescent="0.25">
      <c r="A2006" s="32"/>
      <c r="B2006" s="306"/>
      <c r="C2006" s="307"/>
      <c r="D2006" s="312"/>
      <c r="E2006" s="301"/>
      <c r="F2006" s="232"/>
      <c r="J2006" s="306"/>
      <c r="K2006" s="306"/>
      <c r="L2006" s="313"/>
      <c r="M2006" s="219"/>
      <c r="N2006" s="218"/>
      <c r="S2006" s="224"/>
      <c r="T2006" s="228"/>
      <c r="U2006" s="226"/>
      <c r="V2006" s="226"/>
      <c r="W2006" s="303"/>
      <c r="X2006" s="220"/>
      <c r="Z2006" s="227"/>
      <c r="AA2006" s="220"/>
      <c r="AB2006" s="221"/>
      <c r="AC2006" s="229"/>
      <c r="AD2006" s="230"/>
      <c r="AE2006" s="230"/>
      <c r="AF2006" s="230"/>
      <c r="AG2006" s="227"/>
    </row>
    <row r="2007" spans="1:33" x14ac:dyDescent="0.25">
      <c r="A2007" s="32"/>
      <c r="B2007" s="306"/>
      <c r="C2007" s="307"/>
      <c r="D2007" s="312"/>
      <c r="E2007" s="301"/>
      <c r="F2007" s="232"/>
      <c r="J2007" s="306"/>
      <c r="K2007" s="306"/>
      <c r="L2007" s="313"/>
      <c r="M2007" s="219"/>
      <c r="N2007" s="218"/>
      <c r="S2007" s="224"/>
      <c r="T2007" s="228"/>
      <c r="U2007" s="226"/>
      <c r="V2007" s="226"/>
      <c r="W2007" s="303"/>
      <c r="X2007" s="220"/>
      <c r="Z2007" s="227"/>
      <c r="AA2007" s="220"/>
      <c r="AB2007" s="221"/>
      <c r="AC2007" s="229"/>
      <c r="AD2007" s="230"/>
      <c r="AE2007" s="230"/>
      <c r="AF2007" s="230"/>
      <c r="AG2007" s="227"/>
    </row>
    <row r="2008" spans="1:33" x14ac:dyDescent="0.25">
      <c r="A2008" s="32"/>
      <c r="B2008" s="306"/>
      <c r="C2008" s="307"/>
      <c r="D2008" s="312"/>
      <c r="E2008" s="301"/>
      <c r="F2008" s="232"/>
      <c r="J2008" s="306"/>
      <c r="K2008" s="306"/>
      <c r="L2008" s="313"/>
      <c r="M2008" s="219"/>
      <c r="N2008" s="218"/>
      <c r="S2008" s="224"/>
      <c r="T2008" s="228"/>
      <c r="U2008" s="226"/>
      <c r="V2008" s="226"/>
      <c r="W2008" s="303"/>
      <c r="X2008" s="220"/>
      <c r="Z2008" s="227"/>
      <c r="AA2008" s="220"/>
      <c r="AB2008" s="221"/>
      <c r="AC2008" s="229"/>
      <c r="AD2008" s="230"/>
      <c r="AE2008" s="230"/>
      <c r="AF2008" s="230"/>
      <c r="AG2008" s="227"/>
    </row>
    <row r="2009" spans="1:33" x14ac:dyDescent="0.25">
      <c r="A2009" s="32"/>
      <c r="B2009" s="306"/>
      <c r="C2009" s="307"/>
      <c r="D2009" s="312"/>
      <c r="E2009" s="301"/>
      <c r="F2009" s="232"/>
      <c r="J2009" s="306"/>
      <c r="K2009" s="306"/>
      <c r="L2009" s="313"/>
      <c r="M2009" s="219"/>
      <c r="N2009" s="218"/>
      <c r="S2009" s="224"/>
      <c r="T2009" s="228"/>
      <c r="U2009" s="226"/>
      <c r="V2009" s="226"/>
      <c r="W2009" s="303"/>
      <c r="X2009" s="220"/>
      <c r="Z2009" s="227"/>
      <c r="AA2009" s="220"/>
      <c r="AB2009" s="221"/>
      <c r="AC2009" s="229"/>
      <c r="AD2009" s="230"/>
      <c r="AE2009" s="230"/>
      <c r="AF2009" s="230"/>
      <c r="AG2009" s="227"/>
    </row>
    <row r="2010" spans="1:33" x14ac:dyDescent="0.25">
      <c r="A2010" s="32"/>
      <c r="B2010" s="306"/>
      <c r="C2010" s="307"/>
      <c r="D2010" s="312"/>
      <c r="E2010" s="301"/>
      <c r="F2010" s="232"/>
      <c r="J2010" s="306"/>
      <c r="K2010" s="306"/>
      <c r="L2010" s="313"/>
      <c r="M2010" s="219"/>
      <c r="N2010" s="218"/>
      <c r="S2010" s="224"/>
      <c r="T2010" s="228"/>
      <c r="U2010" s="226"/>
      <c r="V2010" s="226"/>
      <c r="W2010" s="303"/>
      <c r="X2010" s="220"/>
      <c r="Z2010" s="227"/>
      <c r="AA2010" s="220"/>
      <c r="AB2010" s="221"/>
      <c r="AC2010" s="229"/>
      <c r="AD2010" s="230"/>
      <c r="AE2010" s="230"/>
      <c r="AF2010" s="230"/>
      <c r="AG2010" s="227"/>
    </row>
    <row r="2011" spans="1:33" x14ac:dyDescent="0.25">
      <c r="A2011" s="32"/>
      <c r="B2011" s="306"/>
      <c r="C2011" s="307"/>
      <c r="D2011" s="312"/>
      <c r="E2011" s="301"/>
      <c r="F2011" s="232"/>
      <c r="J2011" s="306"/>
      <c r="K2011" s="306"/>
      <c r="L2011" s="313"/>
      <c r="M2011" s="219"/>
      <c r="N2011" s="218"/>
      <c r="S2011" s="224"/>
      <c r="T2011" s="228"/>
      <c r="U2011" s="226"/>
      <c r="V2011" s="226"/>
      <c r="W2011" s="303"/>
      <c r="X2011" s="220"/>
      <c r="Z2011" s="227"/>
      <c r="AA2011" s="220"/>
      <c r="AB2011" s="221"/>
      <c r="AC2011" s="229"/>
      <c r="AD2011" s="230"/>
      <c r="AE2011" s="230"/>
      <c r="AF2011" s="230"/>
      <c r="AG2011" s="227"/>
    </row>
    <row r="2012" spans="1:33" x14ac:dyDescent="0.25">
      <c r="A2012" s="32"/>
      <c r="B2012" s="306"/>
      <c r="C2012" s="307"/>
      <c r="D2012" s="312"/>
      <c r="E2012" s="301"/>
      <c r="F2012" s="232"/>
      <c r="J2012" s="306"/>
      <c r="K2012" s="306"/>
      <c r="L2012" s="313"/>
      <c r="M2012" s="219"/>
      <c r="N2012" s="218"/>
      <c r="S2012" s="224"/>
      <c r="T2012" s="228"/>
      <c r="U2012" s="226"/>
      <c r="V2012" s="226"/>
      <c r="W2012" s="303"/>
      <c r="X2012" s="220"/>
      <c r="Z2012" s="227"/>
      <c r="AA2012" s="220"/>
      <c r="AB2012" s="221"/>
      <c r="AC2012" s="229"/>
      <c r="AD2012" s="230"/>
      <c r="AE2012" s="230"/>
      <c r="AF2012" s="230"/>
      <c r="AG2012" s="227"/>
    </row>
    <row r="2013" spans="1:33" x14ac:dyDescent="0.25">
      <c r="A2013" s="32"/>
      <c r="B2013" s="306"/>
      <c r="C2013" s="307"/>
      <c r="D2013" s="312"/>
      <c r="E2013" s="301"/>
      <c r="F2013" s="232"/>
      <c r="J2013" s="306"/>
      <c r="K2013" s="306"/>
      <c r="L2013" s="313"/>
      <c r="M2013" s="219"/>
      <c r="N2013" s="218"/>
      <c r="S2013" s="224"/>
      <c r="T2013" s="228"/>
      <c r="U2013" s="226"/>
      <c r="V2013" s="226"/>
      <c r="W2013" s="303"/>
      <c r="X2013" s="220"/>
      <c r="Z2013" s="227"/>
      <c r="AA2013" s="220"/>
      <c r="AB2013" s="221"/>
      <c r="AC2013" s="229"/>
      <c r="AD2013" s="230"/>
      <c r="AE2013" s="230"/>
      <c r="AF2013" s="230"/>
      <c r="AG2013" s="227"/>
    </row>
    <row r="2014" spans="1:33" x14ac:dyDescent="0.25">
      <c r="A2014" s="32"/>
      <c r="B2014" s="306"/>
      <c r="C2014" s="307"/>
      <c r="D2014" s="312"/>
      <c r="E2014" s="301"/>
      <c r="F2014" s="232"/>
      <c r="J2014" s="306"/>
      <c r="K2014" s="306"/>
      <c r="L2014" s="313"/>
      <c r="M2014" s="219"/>
      <c r="N2014" s="218"/>
      <c r="S2014" s="224"/>
      <c r="T2014" s="228"/>
      <c r="U2014" s="226"/>
      <c r="V2014" s="226"/>
      <c r="W2014" s="303"/>
      <c r="X2014" s="220"/>
      <c r="Z2014" s="227"/>
      <c r="AA2014" s="220"/>
      <c r="AB2014" s="221"/>
      <c r="AC2014" s="229"/>
      <c r="AD2014" s="230"/>
      <c r="AE2014" s="230"/>
      <c r="AF2014" s="230"/>
      <c r="AG2014" s="227"/>
    </row>
    <row r="2015" spans="1:33" x14ac:dyDescent="0.25">
      <c r="A2015" s="32"/>
      <c r="B2015" s="306"/>
      <c r="C2015" s="307"/>
      <c r="D2015" s="312"/>
      <c r="E2015" s="301"/>
      <c r="F2015" s="232"/>
      <c r="J2015" s="306"/>
      <c r="K2015" s="306"/>
      <c r="L2015" s="313"/>
      <c r="M2015" s="219"/>
      <c r="N2015" s="218"/>
      <c r="S2015" s="224"/>
      <c r="T2015" s="228"/>
      <c r="U2015" s="226"/>
      <c r="V2015" s="226"/>
      <c r="W2015" s="303"/>
      <c r="X2015" s="220"/>
      <c r="Z2015" s="227"/>
      <c r="AA2015" s="220"/>
      <c r="AB2015" s="221"/>
      <c r="AC2015" s="229"/>
      <c r="AD2015" s="230"/>
      <c r="AE2015" s="230"/>
      <c r="AF2015" s="230"/>
      <c r="AG2015" s="227"/>
    </row>
    <row r="2016" spans="1:33" x14ac:dyDescent="0.25">
      <c r="A2016" s="32"/>
      <c r="B2016" s="306"/>
      <c r="C2016" s="307"/>
      <c r="D2016" s="312"/>
      <c r="E2016" s="301"/>
      <c r="F2016" s="232"/>
      <c r="J2016" s="306"/>
      <c r="K2016" s="306"/>
      <c r="L2016" s="313"/>
      <c r="M2016" s="219"/>
      <c r="N2016" s="218"/>
      <c r="S2016" s="224"/>
      <c r="T2016" s="228"/>
      <c r="U2016" s="226"/>
      <c r="V2016" s="226"/>
      <c r="W2016" s="303"/>
      <c r="X2016" s="220"/>
      <c r="Z2016" s="227"/>
      <c r="AA2016" s="220"/>
      <c r="AB2016" s="221"/>
      <c r="AC2016" s="229"/>
      <c r="AD2016" s="230"/>
      <c r="AE2016" s="230"/>
      <c r="AF2016" s="230"/>
      <c r="AG2016" s="227"/>
    </row>
    <row r="2017" spans="1:33" x14ac:dyDescent="0.25">
      <c r="A2017" s="32"/>
      <c r="B2017" s="306"/>
      <c r="C2017" s="307"/>
      <c r="D2017" s="312"/>
      <c r="E2017" s="301"/>
      <c r="F2017" s="232"/>
      <c r="J2017" s="306"/>
      <c r="K2017" s="306"/>
      <c r="L2017" s="313"/>
      <c r="M2017" s="219"/>
      <c r="N2017" s="218"/>
      <c r="S2017" s="224"/>
      <c r="T2017" s="228"/>
      <c r="U2017" s="226"/>
      <c r="V2017" s="226"/>
      <c r="W2017" s="303"/>
      <c r="X2017" s="220"/>
      <c r="Z2017" s="227"/>
      <c r="AA2017" s="220"/>
      <c r="AB2017" s="221"/>
      <c r="AC2017" s="229"/>
      <c r="AD2017" s="230"/>
      <c r="AE2017" s="230"/>
      <c r="AF2017" s="230"/>
      <c r="AG2017" s="227"/>
    </row>
    <row r="2018" spans="1:33" x14ac:dyDescent="0.25">
      <c r="A2018" s="32"/>
      <c r="B2018" s="306"/>
      <c r="C2018" s="307"/>
      <c r="D2018" s="312"/>
      <c r="E2018" s="301"/>
      <c r="F2018" s="232"/>
      <c r="J2018" s="306"/>
      <c r="K2018" s="306"/>
      <c r="L2018" s="313"/>
      <c r="M2018" s="219"/>
      <c r="N2018" s="218"/>
      <c r="S2018" s="224"/>
      <c r="T2018" s="228"/>
      <c r="U2018" s="226"/>
      <c r="V2018" s="226"/>
      <c r="W2018" s="303"/>
      <c r="X2018" s="220"/>
      <c r="Z2018" s="227"/>
      <c r="AA2018" s="220"/>
      <c r="AB2018" s="221"/>
      <c r="AC2018" s="229"/>
      <c r="AD2018" s="230"/>
      <c r="AE2018" s="230"/>
      <c r="AF2018" s="230"/>
      <c r="AG2018" s="227"/>
    </row>
    <row r="2019" spans="1:33" x14ac:dyDescent="0.25">
      <c r="A2019" s="32"/>
      <c r="B2019" s="306"/>
      <c r="C2019" s="307"/>
      <c r="D2019" s="312"/>
      <c r="E2019" s="301"/>
      <c r="F2019" s="232"/>
      <c r="J2019" s="306"/>
      <c r="K2019" s="306"/>
      <c r="L2019" s="313"/>
      <c r="M2019" s="219"/>
      <c r="N2019" s="218"/>
      <c r="S2019" s="224"/>
      <c r="T2019" s="228"/>
      <c r="U2019" s="226"/>
      <c r="V2019" s="226"/>
      <c r="W2019" s="303"/>
      <c r="X2019" s="220"/>
      <c r="Z2019" s="227"/>
      <c r="AA2019" s="220"/>
      <c r="AB2019" s="221"/>
      <c r="AC2019" s="229"/>
      <c r="AD2019" s="230"/>
      <c r="AE2019" s="230"/>
      <c r="AF2019" s="230"/>
      <c r="AG2019" s="227"/>
    </row>
    <row r="2020" spans="1:33" x14ac:dyDescent="0.25">
      <c r="A2020" s="32"/>
      <c r="B2020" s="306"/>
      <c r="C2020" s="307"/>
      <c r="D2020" s="312"/>
      <c r="E2020" s="301"/>
      <c r="F2020" s="232"/>
      <c r="J2020" s="306"/>
      <c r="K2020" s="306"/>
      <c r="L2020" s="313"/>
      <c r="M2020" s="219"/>
      <c r="N2020" s="218"/>
      <c r="S2020" s="224"/>
      <c r="T2020" s="228"/>
      <c r="U2020" s="226"/>
      <c r="V2020" s="226"/>
      <c r="W2020" s="303"/>
      <c r="X2020" s="220"/>
      <c r="Z2020" s="227"/>
      <c r="AA2020" s="220"/>
      <c r="AB2020" s="221"/>
      <c r="AC2020" s="229"/>
      <c r="AD2020" s="230"/>
      <c r="AE2020" s="230"/>
      <c r="AF2020" s="230"/>
      <c r="AG2020" s="227"/>
    </row>
    <row r="2021" spans="1:33" x14ac:dyDescent="0.25">
      <c r="A2021" s="32"/>
      <c r="B2021" s="306"/>
      <c r="C2021" s="307"/>
      <c r="D2021" s="312"/>
      <c r="E2021" s="301"/>
      <c r="F2021" s="232"/>
      <c r="J2021" s="306"/>
      <c r="K2021" s="306"/>
      <c r="L2021" s="313"/>
      <c r="M2021" s="219"/>
      <c r="N2021" s="218"/>
      <c r="S2021" s="224"/>
      <c r="T2021" s="228"/>
      <c r="U2021" s="226"/>
      <c r="V2021" s="226"/>
      <c r="W2021" s="303"/>
      <c r="X2021" s="220"/>
      <c r="Z2021" s="227"/>
      <c r="AA2021" s="220"/>
      <c r="AB2021" s="221"/>
      <c r="AC2021" s="229"/>
      <c r="AD2021" s="230"/>
      <c r="AE2021" s="230"/>
      <c r="AF2021" s="230"/>
      <c r="AG2021" s="227"/>
    </row>
    <row r="2022" spans="1:33" x14ac:dyDescent="0.25">
      <c r="A2022" s="32"/>
      <c r="B2022" s="306"/>
      <c r="C2022" s="307"/>
      <c r="D2022" s="312"/>
      <c r="E2022" s="301"/>
      <c r="F2022" s="232"/>
      <c r="J2022" s="306"/>
      <c r="K2022" s="306"/>
      <c r="L2022" s="313"/>
      <c r="M2022" s="219"/>
      <c r="N2022" s="218"/>
      <c r="S2022" s="224"/>
      <c r="T2022" s="228"/>
      <c r="U2022" s="226"/>
      <c r="V2022" s="226"/>
      <c r="W2022" s="303"/>
      <c r="X2022" s="220"/>
      <c r="Z2022" s="227"/>
      <c r="AA2022" s="220"/>
      <c r="AB2022" s="221"/>
      <c r="AC2022" s="229"/>
      <c r="AD2022" s="230"/>
      <c r="AE2022" s="230"/>
      <c r="AF2022" s="230"/>
      <c r="AG2022" s="227"/>
    </row>
    <row r="2023" spans="1:33" x14ac:dyDescent="0.25">
      <c r="A2023" s="32"/>
      <c r="B2023" s="306"/>
      <c r="C2023" s="307"/>
      <c r="D2023" s="312"/>
      <c r="E2023" s="301"/>
      <c r="F2023" s="232"/>
      <c r="J2023" s="306"/>
      <c r="K2023" s="306"/>
      <c r="L2023" s="313"/>
      <c r="M2023" s="219"/>
      <c r="N2023" s="218"/>
      <c r="S2023" s="224"/>
      <c r="T2023" s="228"/>
      <c r="U2023" s="226"/>
      <c r="V2023" s="226"/>
      <c r="W2023" s="303"/>
      <c r="X2023" s="220"/>
      <c r="Z2023" s="227"/>
      <c r="AA2023" s="220"/>
      <c r="AB2023" s="221"/>
      <c r="AC2023" s="229"/>
      <c r="AD2023" s="230"/>
      <c r="AE2023" s="230"/>
      <c r="AF2023" s="230"/>
      <c r="AG2023" s="227"/>
    </row>
    <row r="2024" spans="1:33" x14ac:dyDescent="0.25">
      <c r="A2024" s="32"/>
      <c r="B2024" s="306"/>
      <c r="C2024" s="307"/>
      <c r="D2024" s="312"/>
      <c r="E2024" s="301"/>
      <c r="F2024" s="232"/>
      <c r="J2024" s="306"/>
      <c r="K2024" s="306"/>
      <c r="L2024" s="313"/>
      <c r="M2024" s="219"/>
      <c r="N2024" s="218"/>
      <c r="S2024" s="224"/>
      <c r="T2024" s="228"/>
      <c r="U2024" s="226"/>
      <c r="V2024" s="226"/>
      <c r="W2024" s="303"/>
      <c r="X2024" s="220"/>
      <c r="Z2024" s="227"/>
      <c r="AA2024" s="220"/>
      <c r="AB2024" s="221"/>
      <c r="AC2024" s="229"/>
      <c r="AD2024" s="230"/>
      <c r="AE2024" s="230"/>
      <c r="AF2024" s="230"/>
      <c r="AG2024" s="227"/>
    </row>
    <row r="2025" spans="1:33" x14ac:dyDescent="0.25">
      <c r="A2025" s="32"/>
      <c r="B2025" s="306"/>
      <c r="C2025" s="307"/>
      <c r="D2025" s="312"/>
      <c r="E2025" s="301"/>
      <c r="F2025" s="232"/>
      <c r="J2025" s="306"/>
      <c r="K2025" s="306"/>
      <c r="L2025" s="313"/>
      <c r="M2025" s="219"/>
      <c r="N2025" s="218"/>
      <c r="S2025" s="224"/>
      <c r="T2025" s="228"/>
      <c r="U2025" s="226"/>
      <c r="V2025" s="226"/>
      <c r="W2025" s="303"/>
      <c r="X2025" s="220"/>
      <c r="Z2025" s="227"/>
      <c r="AA2025" s="220"/>
      <c r="AB2025" s="221"/>
      <c r="AC2025" s="229"/>
      <c r="AD2025" s="230"/>
      <c r="AE2025" s="230"/>
      <c r="AF2025" s="230"/>
      <c r="AG2025" s="227"/>
    </row>
    <row r="2026" spans="1:33" x14ac:dyDescent="0.25">
      <c r="A2026" s="32"/>
      <c r="B2026" s="306"/>
      <c r="C2026" s="307"/>
      <c r="D2026" s="312"/>
      <c r="E2026" s="301"/>
      <c r="F2026" s="232"/>
      <c r="J2026" s="306"/>
      <c r="K2026" s="306"/>
      <c r="L2026" s="313"/>
      <c r="M2026" s="219"/>
      <c r="N2026" s="218"/>
      <c r="S2026" s="224"/>
      <c r="T2026" s="228"/>
      <c r="U2026" s="226"/>
      <c r="V2026" s="226"/>
      <c r="W2026" s="303"/>
      <c r="X2026" s="220"/>
      <c r="Z2026" s="227"/>
      <c r="AA2026" s="220"/>
      <c r="AB2026" s="221"/>
      <c r="AC2026" s="229"/>
      <c r="AD2026" s="230"/>
      <c r="AE2026" s="230"/>
      <c r="AF2026" s="230"/>
      <c r="AG2026" s="227"/>
    </row>
    <row r="2027" spans="1:33" x14ac:dyDescent="0.25">
      <c r="A2027" s="32"/>
      <c r="B2027" s="306"/>
      <c r="C2027" s="307"/>
      <c r="D2027" s="312"/>
      <c r="E2027" s="301"/>
      <c r="F2027" s="232"/>
      <c r="J2027" s="306"/>
      <c r="K2027" s="306"/>
      <c r="L2027" s="313"/>
      <c r="M2027" s="219"/>
      <c r="N2027" s="218"/>
      <c r="S2027" s="224"/>
      <c r="T2027" s="228"/>
      <c r="U2027" s="226"/>
      <c r="V2027" s="226"/>
      <c r="W2027" s="303"/>
      <c r="X2027" s="220"/>
      <c r="Z2027" s="227"/>
      <c r="AA2027" s="220"/>
      <c r="AB2027" s="221"/>
      <c r="AC2027" s="229"/>
      <c r="AD2027" s="230"/>
      <c r="AE2027" s="230"/>
      <c r="AF2027" s="230"/>
      <c r="AG2027" s="227"/>
    </row>
    <row r="2028" spans="1:33" x14ac:dyDescent="0.25">
      <c r="A2028" s="32"/>
      <c r="B2028" s="306"/>
      <c r="C2028" s="307"/>
      <c r="D2028" s="312"/>
      <c r="E2028" s="301"/>
      <c r="F2028" s="232"/>
      <c r="J2028" s="306"/>
      <c r="K2028" s="306"/>
      <c r="L2028" s="313"/>
      <c r="M2028" s="219"/>
      <c r="N2028" s="218"/>
      <c r="S2028" s="224"/>
      <c r="T2028" s="228"/>
      <c r="U2028" s="226"/>
      <c r="V2028" s="226"/>
      <c r="W2028" s="303"/>
      <c r="X2028" s="220"/>
      <c r="Z2028" s="227"/>
      <c r="AA2028" s="220"/>
      <c r="AB2028" s="221"/>
      <c r="AC2028" s="229"/>
      <c r="AD2028" s="230"/>
      <c r="AE2028" s="230"/>
      <c r="AF2028" s="230"/>
      <c r="AG2028" s="227"/>
    </row>
    <row r="2029" spans="1:33" x14ac:dyDescent="0.25">
      <c r="A2029" s="32"/>
      <c r="B2029" s="306"/>
      <c r="C2029" s="307"/>
      <c r="D2029" s="312"/>
      <c r="E2029" s="301"/>
      <c r="F2029" s="232"/>
      <c r="J2029" s="306"/>
      <c r="K2029" s="306"/>
      <c r="L2029" s="313"/>
      <c r="M2029" s="219"/>
      <c r="N2029" s="218"/>
      <c r="S2029" s="224"/>
      <c r="T2029" s="228"/>
      <c r="U2029" s="226"/>
      <c r="V2029" s="226"/>
      <c r="W2029" s="303"/>
      <c r="X2029" s="220"/>
      <c r="Z2029" s="227"/>
      <c r="AA2029" s="220"/>
      <c r="AB2029" s="221"/>
      <c r="AC2029" s="229"/>
      <c r="AD2029" s="230"/>
      <c r="AE2029" s="230"/>
      <c r="AF2029" s="230"/>
      <c r="AG2029" s="227"/>
    </row>
    <row r="2030" spans="1:33" x14ac:dyDescent="0.25">
      <c r="A2030" s="32"/>
      <c r="B2030" s="306"/>
      <c r="C2030" s="307"/>
      <c r="D2030" s="312"/>
      <c r="E2030" s="301"/>
      <c r="F2030" s="232"/>
      <c r="J2030" s="306"/>
      <c r="K2030" s="306"/>
      <c r="L2030" s="313"/>
      <c r="M2030" s="219"/>
      <c r="N2030" s="218"/>
      <c r="S2030" s="224"/>
      <c r="T2030" s="228"/>
      <c r="U2030" s="226"/>
      <c r="V2030" s="226"/>
      <c r="W2030" s="303"/>
      <c r="X2030" s="220"/>
      <c r="Z2030" s="227"/>
      <c r="AA2030" s="220"/>
      <c r="AB2030" s="221"/>
      <c r="AC2030" s="229"/>
      <c r="AD2030" s="230"/>
      <c r="AE2030" s="230"/>
      <c r="AF2030" s="230"/>
      <c r="AG2030" s="227"/>
    </row>
    <row r="2031" spans="1:33" x14ac:dyDescent="0.25">
      <c r="A2031" s="32"/>
      <c r="B2031" s="306"/>
      <c r="C2031" s="307"/>
      <c r="D2031" s="312"/>
      <c r="E2031" s="301"/>
      <c r="F2031" s="232"/>
      <c r="J2031" s="306"/>
      <c r="K2031" s="306"/>
      <c r="L2031" s="313"/>
      <c r="M2031" s="219"/>
      <c r="N2031" s="218"/>
      <c r="S2031" s="224"/>
      <c r="T2031" s="228"/>
      <c r="U2031" s="226"/>
      <c r="V2031" s="226"/>
      <c r="W2031" s="303"/>
      <c r="X2031" s="220"/>
      <c r="Z2031" s="227"/>
      <c r="AA2031" s="220"/>
      <c r="AB2031" s="221"/>
      <c r="AC2031" s="229"/>
      <c r="AD2031" s="230"/>
      <c r="AE2031" s="230"/>
      <c r="AF2031" s="230"/>
      <c r="AG2031" s="227"/>
    </row>
    <row r="2032" spans="1:33" x14ac:dyDescent="0.25">
      <c r="A2032" s="32"/>
      <c r="B2032" s="306"/>
      <c r="C2032" s="307"/>
      <c r="D2032" s="312"/>
      <c r="E2032" s="301"/>
      <c r="F2032" s="232"/>
      <c r="J2032" s="306"/>
      <c r="K2032" s="306"/>
      <c r="L2032" s="313"/>
      <c r="M2032" s="219"/>
      <c r="N2032" s="218"/>
      <c r="S2032" s="224"/>
      <c r="T2032" s="228"/>
      <c r="U2032" s="226"/>
      <c r="V2032" s="226"/>
      <c r="W2032" s="303"/>
      <c r="X2032" s="220"/>
      <c r="Z2032" s="227"/>
      <c r="AA2032" s="220"/>
      <c r="AB2032" s="221"/>
      <c r="AC2032" s="229"/>
      <c r="AD2032" s="230"/>
      <c r="AE2032" s="230"/>
      <c r="AF2032" s="230"/>
      <c r="AG2032" s="227"/>
    </row>
    <row r="2033" spans="1:33" x14ac:dyDescent="0.25">
      <c r="A2033" s="32"/>
      <c r="B2033" s="306"/>
      <c r="C2033" s="307"/>
      <c r="D2033" s="312"/>
      <c r="E2033" s="301"/>
      <c r="F2033" s="232"/>
      <c r="J2033" s="306"/>
      <c r="K2033" s="306"/>
      <c r="L2033" s="313"/>
      <c r="M2033" s="219"/>
      <c r="N2033" s="218"/>
      <c r="S2033" s="224"/>
      <c r="T2033" s="228"/>
      <c r="U2033" s="226"/>
      <c r="V2033" s="226"/>
      <c r="W2033" s="303"/>
      <c r="X2033" s="220"/>
      <c r="Z2033" s="227"/>
      <c r="AA2033" s="220"/>
      <c r="AB2033" s="221"/>
      <c r="AC2033" s="229"/>
      <c r="AD2033" s="230"/>
      <c r="AE2033" s="230"/>
      <c r="AF2033" s="230"/>
      <c r="AG2033" s="227"/>
    </row>
    <row r="2034" spans="1:33" x14ac:dyDescent="0.25">
      <c r="A2034" s="32"/>
      <c r="B2034" s="306"/>
      <c r="C2034" s="307"/>
      <c r="D2034" s="312"/>
      <c r="E2034" s="301"/>
      <c r="F2034" s="232"/>
      <c r="J2034" s="306"/>
      <c r="K2034" s="306"/>
      <c r="L2034" s="313"/>
      <c r="M2034" s="219"/>
      <c r="N2034" s="218"/>
      <c r="S2034" s="224"/>
      <c r="T2034" s="228"/>
      <c r="U2034" s="226"/>
      <c r="V2034" s="226"/>
      <c r="W2034" s="303"/>
      <c r="X2034" s="220"/>
      <c r="Z2034" s="227"/>
      <c r="AA2034" s="220"/>
      <c r="AB2034" s="221"/>
      <c r="AC2034" s="229"/>
      <c r="AD2034" s="230"/>
      <c r="AE2034" s="230"/>
      <c r="AF2034" s="230"/>
      <c r="AG2034" s="227"/>
    </row>
    <row r="2035" spans="1:33" x14ac:dyDescent="0.25">
      <c r="A2035" s="32"/>
      <c r="B2035" s="306"/>
      <c r="C2035" s="307"/>
      <c r="D2035" s="312"/>
      <c r="E2035" s="301"/>
      <c r="F2035" s="232"/>
      <c r="J2035" s="306"/>
      <c r="K2035" s="306"/>
      <c r="L2035" s="313"/>
      <c r="M2035" s="219"/>
      <c r="N2035" s="218"/>
      <c r="S2035" s="224"/>
      <c r="T2035" s="228"/>
      <c r="U2035" s="226"/>
      <c r="V2035" s="226"/>
      <c r="W2035" s="303"/>
      <c r="X2035" s="220"/>
      <c r="Z2035" s="227"/>
      <c r="AA2035" s="220"/>
      <c r="AB2035" s="221"/>
      <c r="AC2035" s="229"/>
      <c r="AD2035" s="230"/>
      <c r="AE2035" s="230"/>
      <c r="AF2035" s="230"/>
      <c r="AG2035" s="227"/>
    </row>
    <row r="2036" spans="1:33" x14ac:dyDescent="0.25">
      <c r="A2036" s="32"/>
      <c r="B2036" s="306"/>
      <c r="C2036" s="307"/>
      <c r="D2036" s="312"/>
      <c r="E2036" s="301"/>
      <c r="F2036" s="232"/>
      <c r="J2036" s="306"/>
      <c r="K2036" s="306"/>
      <c r="L2036" s="313"/>
      <c r="M2036" s="219"/>
      <c r="N2036" s="218"/>
      <c r="S2036" s="224"/>
      <c r="T2036" s="228"/>
      <c r="U2036" s="226"/>
      <c r="V2036" s="226"/>
      <c r="W2036" s="303"/>
      <c r="X2036" s="220"/>
      <c r="Z2036" s="227"/>
      <c r="AA2036" s="220"/>
      <c r="AB2036" s="221"/>
      <c r="AC2036" s="229"/>
      <c r="AD2036" s="230"/>
      <c r="AE2036" s="230"/>
      <c r="AF2036" s="230"/>
      <c r="AG2036" s="227"/>
    </row>
    <row r="2037" spans="1:33" x14ac:dyDescent="0.25">
      <c r="A2037" s="32"/>
      <c r="B2037" s="306"/>
      <c r="C2037" s="307"/>
      <c r="D2037" s="312"/>
      <c r="E2037" s="301"/>
      <c r="F2037" s="232"/>
      <c r="J2037" s="306"/>
      <c r="K2037" s="306"/>
      <c r="L2037" s="313"/>
      <c r="M2037" s="219"/>
      <c r="N2037" s="218"/>
      <c r="S2037" s="224"/>
      <c r="T2037" s="228"/>
      <c r="U2037" s="226"/>
      <c r="V2037" s="226"/>
      <c r="W2037" s="303"/>
      <c r="X2037" s="220"/>
      <c r="Z2037" s="227"/>
      <c r="AA2037" s="220"/>
      <c r="AB2037" s="221"/>
      <c r="AC2037" s="229"/>
      <c r="AD2037" s="230"/>
      <c r="AE2037" s="230"/>
      <c r="AF2037" s="230"/>
      <c r="AG2037" s="227"/>
    </row>
    <row r="2038" spans="1:33" x14ac:dyDescent="0.25">
      <c r="A2038" s="32"/>
      <c r="B2038" s="306"/>
      <c r="C2038" s="307"/>
      <c r="D2038" s="312"/>
      <c r="E2038" s="301"/>
      <c r="F2038" s="232"/>
      <c r="J2038" s="306"/>
      <c r="K2038" s="306"/>
      <c r="L2038" s="313"/>
      <c r="M2038" s="219"/>
      <c r="N2038" s="218"/>
      <c r="S2038" s="224"/>
      <c r="T2038" s="228"/>
      <c r="U2038" s="226"/>
      <c r="V2038" s="226"/>
      <c r="W2038" s="303"/>
      <c r="X2038" s="220"/>
      <c r="Z2038" s="227"/>
      <c r="AA2038" s="220"/>
      <c r="AB2038" s="221"/>
      <c r="AC2038" s="229"/>
      <c r="AD2038" s="230"/>
      <c r="AE2038" s="230"/>
      <c r="AF2038" s="230"/>
      <c r="AG2038" s="227"/>
    </row>
    <row r="2039" spans="1:33" x14ac:dyDescent="0.25">
      <c r="A2039" s="32"/>
      <c r="B2039" s="306"/>
      <c r="C2039" s="307"/>
      <c r="D2039" s="312"/>
      <c r="E2039" s="301"/>
      <c r="F2039" s="232"/>
      <c r="J2039" s="306"/>
      <c r="K2039" s="306"/>
      <c r="L2039" s="313"/>
      <c r="M2039" s="219"/>
      <c r="N2039" s="218"/>
      <c r="S2039" s="224"/>
      <c r="T2039" s="228"/>
      <c r="U2039" s="226"/>
      <c r="V2039" s="226"/>
      <c r="W2039" s="303"/>
      <c r="X2039" s="220"/>
      <c r="Z2039" s="227"/>
      <c r="AA2039" s="220"/>
      <c r="AB2039" s="221"/>
      <c r="AC2039" s="229"/>
      <c r="AD2039" s="230"/>
      <c r="AE2039" s="230"/>
      <c r="AF2039" s="230"/>
      <c r="AG2039" s="227"/>
    </row>
    <row r="2040" spans="1:33" x14ac:dyDescent="0.25">
      <c r="A2040" s="32"/>
      <c r="B2040" s="306"/>
      <c r="C2040" s="307"/>
      <c r="D2040" s="312"/>
      <c r="E2040" s="301"/>
      <c r="F2040" s="232"/>
      <c r="J2040" s="306"/>
      <c r="K2040" s="306"/>
      <c r="L2040" s="313"/>
      <c r="M2040" s="219"/>
      <c r="N2040" s="218"/>
      <c r="S2040" s="224"/>
      <c r="T2040" s="228"/>
      <c r="U2040" s="226"/>
      <c r="V2040" s="226"/>
      <c r="W2040" s="303"/>
      <c r="X2040" s="220"/>
      <c r="Z2040" s="227"/>
      <c r="AA2040" s="220"/>
      <c r="AB2040" s="221"/>
      <c r="AC2040" s="229"/>
      <c r="AD2040" s="230"/>
      <c r="AE2040" s="230"/>
      <c r="AF2040" s="230"/>
      <c r="AG2040" s="227"/>
    </row>
    <row r="2041" spans="1:33" x14ac:dyDescent="0.25">
      <c r="A2041" s="32"/>
      <c r="B2041" s="306"/>
      <c r="C2041" s="307"/>
      <c r="D2041" s="312"/>
      <c r="E2041" s="301"/>
      <c r="F2041" s="232"/>
      <c r="J2041" s="306"/>
      <c r="K2041" s="306"/>
      <c r="L2041" s="313"/>
      <c r="M2041" s="219"/>
      <c r="N2041" s="218"/>
      <c r="S2041" s="224"/>
      <c r="T2041" s="228"/>
      <c r="U2041" s="226"/>
      <c r="V2041" s="226"/>
      <c r="W2041" s="303"/>
      <c r="X2041" s="220"/>
      <c r="Z2041" s="227"/>
      <c r="AA2041" s="220"/>
      <c r="AB2041" s="221"/>
      <c r="AC2041" s="229"/>
      <c r="AD2041" s="230"/>
      <c r="AE2041" s="230"/>
      <c r="AF2041" s="230"/>
      <c r="AG2041" s="227"/>
    </row>
    <row r="2042" spans="1:33" x14ac:dyDescent="0.25">
      <c r="A2042" s="32"/>
      <c r="B2042" s="306"/>
      <c r="C2042" s="307"/>
      <c r="D2042" s="312"/>
      <c r="E2042" s="301"/>
      <c r="F2042" s="232"/>
      <c r="J2042" s="306"/>
      <c r="K2042" s="306"/>
      <c r="L2042" s="313"/>
      <c r="M2042" s="219"/>
      <c r="N2042" s="218"/>
      <c r="S2042" s="224"/>
      <c r="T2042" s="228"/>
      <c r="U2042" s="226"/>
      <c r="V2042" s="226"/>
      <c r="W2042" s="303"/>
      <c r="X2042" s="220"/>
      <c r="Z2042" s="227"/>
      <c r="AA2042" s="220"/>
      <c r="AB2042" s="221"/>
      <c r="AC2042" s="229"/>
      <c r="AD2042" s="230"/>
      <c r="AE2042" s="230"/>
      <c r="AF2042" s="230"/>
      <c r="AG2042" s="227"/>
    </row>
    <row r="2043" spans="1:33" x14ac:dyDescent="0.25">
      <c r="A2043" s="32"/>
      <c r="B2043" s="306"/>
      <c r="C2043" s="307"/>
      <c r="D2043" s="312"/>
      <c r="E2043" s="301"/>
      <c r="F2043" s="232"/>
      <c r="J2043" s="306"/>
      <c r="K2043" s="306"/>
      <c r="L2043" s="313"/>
      <c r="M2043" s="219"/>
      <c r="N2043" s="218"/>
      <c r="S2043" s="224"/>
      <c r="T2043" s="228"/>
      <c r="U2043" s="226"/>
      <c r="V2043" s="226"/>
      <c r="W2043" s="303"/>
      <c r="X2043" s="220"/>
      <c r="Z2043" s="227"/>
      <c r="AA2043" s="220"/>
      <c r="AB2043" s="221"/>
      <c r="AC2043" s="229"/>
      <c r="AD2043" s="230"/>
      <c r="AE2043" s="230"/>
      <c r="AF2043" s="230"/>
      <c r="AG2043" s="227"/>
    </row>
    <row r="2044" spans="1:33" x14ac:dyDescent="0.25">
      <c r="A2044" s="32"/>
      <c r="B2044" s="306"/>
      <c r="C2044" s="307"/>
      <c r="D2044" s="312"/>
      <c r="E2044" s="301"/>
      <c r="F2044" s="232"/>
      <c r="J2044" s="306"/>
      <c r="K2044" s="306"/>
      <c r="L2044" s="313"/>
      <c r="M2044" s="219"/>
      <c r="N2044" s="218"/>
      <c r="S2044" s="224"/>
      <c r="T2044" s="228"/>
      <c r="U2044" s="226"/>
      <c r="V2044" s="226"/>
      <c r="W2044" s="303"/>
      <c r="X2044" s="220"/>
      <c r="Z2044" s="227"/>
      <c r="AA2044" s="220"/>
      <c r="AB2044" s="221"/>
      <c r="AC2044" s="229"/>
      <c r="AD2044" s="230"/>
      <c r="AE2044" s="230"/>
      <c r="AF2044" s="230"/>
      <c r="AG2044" s="227"/>
    </row>
    <row r="2045" spans="1:33" x14ac:dyDescent="0.25">
      <c r="A2045" s="32"/>
      <c r="B2045" s="306"/>
      <c r="C2045" s="307"/>
      <c r="D2045" s="312"/>
      <c r="E2045" s="301"/>
      <c r="F2045" s="232"/>
      <c r="J2045" s="306"/>
      <c r="K2045" s="306"/>
      <c r="L2045" s="313"/>
      <c r="M2045" s="219"/>
      <c r="N2045" s="218"/>
      <c r="S2045" s="224"/>
      <c r="T2045" s="228"/>
      <c r="U2045" s="226"/>
      <c r="V2045" s="226"/>
      <c r="W2045" s="303"/>
      <c r="X2045" s="220"/>
      <c r="Z2045" s="227"/>
      <c r="AA2045" s="220"/>
      <c r="AB2045" s="221"/>
      <c r="AC2045" s="229"/>
      <c r="AD2045" s="230"/>
      <c r="AE2045" s="230"/>
      <c r="AF2045" s="230"/>
      <c r="AG2045" s="227"/>
    </row>
    <row r="2046" spans="1:33" x14ac:dyDescent="0.25">
      <c r="A2046" s="32"/>
      <c r="B2046" s="306"/>
      <c r="C2046" s="307"/>
      <c r="D2046" s="312"/>
      <c r="E2046" s="301"/>
      <c r="F2046" s="232"/>
      <c r="J2046" s="306"/>
      <c r="K2046" s="306"/>
      <c r="L2046" s="313"/>
      <c r="M2046" s="219"/>
      <c r="N2046" s="218"/>
      <c r="S2046" s="224"/>
      <c r="T2046" s="228"/>
      <c r="U2046" s="226"/>
      <c r="V2046" s="226"/>
      <c r="W2046" s="303"/>
      <c r="X2046" s="220"/>
      <c r="Z2046" s="227"/>
      <c r="AA2046" s="220"/>
      <c r="AB2046" s="221"/>
      <c r="AC2046" s="229"/>
      <c r="AD2046" s="230"/>
      <c r="AE2046" s="230"/>
      <c r="AF2046" s="230"/>
      <c r="AG2046" s="227"/>
    </row>
    <row r="2047" spans="1:33" x14ac:dyDescent="0.25">
      <c r="A2047" s="32"/>
      <c r="B2047" s="306"/>
      <c r="C2047" s="307"/>
      <c r="D2047" s="312"/>
      <c r="E2047" s="301"/>
      <c r="F2047" s="232"/>
      <c r="J2047" s="306"/>
      <c r="K2047" s="306"/>
      <c r="L2047" s="313"/>
      <c r="M2047" s="219"/>
      <c r="N2047" s="218"/>
      <c r="S2047" s="224"/>
      <c r="T2047" s="228"/>
      <c r="U2047" s="226"/>
      <c r="V2047" s="226"/>
      <c r="W2047" s="303"/>
      <c r="X2047" s="220"/>
      <c r="Z2047" s="227"/>
      <c r="AA2047" s="220"/>
      <c r="AB2047" s="221"/>
      <c r="AC2047" s="229"/>
      <c r="AD2047" s="230"/>
      <c r="AE2047" s="230"/>
      <c r="AF2047" s="230"/>
      <c r="AG2047" s="227"/>
    </row>
    <row r="2048" spans="1:33" x14ac:dyDescent="0.25">
      <c r="A2048" s="32"/>
      <c r="B2048" s="306"/>
      <c r="C2048" s="307"/>
      <c r="D2048" s="312"/>
      <c r="E2048" s="301"/>
      <c r="F2048" s="232"/>
      <c r="J2048" s="306"/>
      <c r="K2048" s="306"/>
      <c r="L2048" s="313"/>
      <c r="M2048" s="219"/>
      <c r="N2048" s="218"/>
      <c r="S2048" s="224"/>
      <c r="T2048" s="228"/>
      <c r="U2048" s="226"/>
      <c r="V2048" s="226"/>
      <c r="W2048" s="303"/>
      <c r="X2048" s="220"/>
      <c r="Z2048" s="227"/>
      <c r="AA2048" s="220"/>
      <c r="AB2048" s="221"/>
      <c r="AC2048" s="229"/>
      <c r="AD2048" s="230"/>
      <c r="AE2048" s="230"/>
      <c r="AF2048" s="230"/>
      <c r="AG2048" s="227"/>
    </row>
    <row r="2049" spans="1:33" x14ac:dyDescent="0.25">
      <c r="A2049" s="32"/>
      <c r="B2049" s="306"/>
      <c r="C2049" s="307"/>
      <c r="D2049" s="312"/>
      <c r="E2049" s="301"/>
      <c r="F2049" s="232"/>
      <c r="J2049" s="306"/>
      <c r="K2049" s="306"/>
      <c r="L2049" s="313"/>
      <c r="M2049" s="219"/>
      <c r="N2049" s="218"/>
      <c r="S2049" s="224"/>
      <c r="T2049" s="228"/>
      <c r="U2049" s="226"/>
      <c r="V2049" s="226"/>
      <c r="W2049" s="303"/>
      <c r="X2049" s="220"/>
      <c r="Z2049" s="227"/>
      <c r="AA2049" s="220"/>
      <c r="AB2049" s="221"/>
      <c r="AC2049" s="229"/>
      <c r="AD2049" s="230"/>
      <c r="AE2049" s="230"/>
      <c r="AF2049" s="230"/>
      <c r="AG2049" s="227"/>
    </row>
    <row r="2050" spans="1:33" x14ac:dyDescent="0.25">
      <c r="A2050" s="32"/>
      <c r="B2050" s="306"/>
      <c r="C2050" s="307"/>
      <c r="D2050" s="312"/>
      <c r="E2050" s="301"/>
      <c r="F2050" s="232"/>
      <c r="J2050" s="306"/>
      <c r="K2050" s="306"/>
      <c r="L2050" s="313"/>
      <c r="M2050" s="219"/>
      <c r="N2050" s="218"/>
      <c r="S2050" s="224"/>
      <c r="T2050" s="228"/>
      <c r="U2050" s="226"/>
      <c r="V2050" s="226"/>
      <c r="W2050" s="303"/>
      <c r="X2050" s="220"/>
      <c r="Z2050" s="227"/>
      <c r="AA2050" s="220"/>
      <c r="AB2050" s="221"/>
      <c r="AC2050" s="229"/>
      <c r="AD2050" s="230"/>
      <c r="AE2050" s="230"/>
      <c r="AF2050" s="230"/>
      <c r="AG2050" s="227"/>
    </row>
    <row r="2051" spans="1:33" x14ac:dyDescent="0.25">
      <c r="A2051" s="32"/>
      <c r="B2051" s="306"/>
      <c r="C2051" s="307"/>
      <c r="D2051" s="312"/>
      <c r="E2051" s="301"/>
      <c r="F2051" s="232"/>
      <c r="J2051" s="306"/>
      <c r="K2051" s="306"/>
      <c r="L2051" s="313"/>
      <c r="M2051" s="219"/>
      <c r="N2051" s="218"/>
      <c r="S2051" s="224"/>
      <c r="T2051" s="228"/>
      <c r="U2051" s="226"/>
      <c r="V2051" s="226"/>
      <c r="W2051" s="303"/>
      <c r="X2051" s="220"/>
      <c r="Z2051" s="227"/>
      <c r="AA2051" s="220"/>
      <c r="AB2051" s="221"/>
      <c r="AC2051" s="229"/>
      <c r="AD2051" s="230"/>
      <c r="AE2051" s="230"/>
      <c r="AF2051" s="230"/>
      <c r="AG2051" s="227"/>
    </row>
    <row r="2052" spans="1:33" x14ac:dyDescent="0.25">
      <c r="A2052" s="32"/>
      <c r="B2052" s="306"/>
      <c r="C2052" s="307"/>
      <c r="D2052" s="312"/>
      <c r="E2052" s="301"/>
      <c r="F2052" s="232"/>
      <c r="J2052" s="306"/>
      <c r="K2052" s="306"/>
      <c r="L2052" s="313"/>
      <c r="M2052" s="219"/>
      <c r="N2052" s="218"/>
      <c r="S2052" s="224"/>
      <c r="T2052" s="228"/>
      <c r="U2052" s="226"/>
      <c r="V2052" s="226"/>
      <c r="W2052" s="303"/>
      <c r="X2052" s="220"/>
      <c r="Z2052" s="227"/>
      <c r="AA2052" s="220"/>
      <c r="AB2052" s="221"/>
      <c r="AC2052" s="229"/>
      <c r="AD2052" s="230"/>
      <c r="AE2052" s="230"/>
      <c r="AF2052" s="230"/>
      <c r="AG2052" s="227"/>
    </row>
    <row r="2053" spans="1:33" x14ac:dyDescent="0.25">
      <c r="A2053" s="32"/>
      <c r="B2053" s="306"/>
      <c r="C2053" s="307"/>
      <c r="D2053" s="312"/>
      <c r="E2053" s="301"/>
      <c r="F2053" s="232"/>
      <c r="J2053" s="306"/>
      <c r="K2053" s="306"/>
      <c r="L2053" s="313"/>
      <c r="M2053" s="219"/>
      <c r="N2053" s="218"/>
      <c r="S2053" s="224"/>
      <c r="T2053" s="228"/>
      <c r="U2053" s="226"/>
      <c r="V2053" s="226"/>
      <c r="W2053" s="303"/>
      <c r="X2053" s="220"/>
      <c r="Z2053" s="227"/>
      <c r="AA2053" s="220"/>
      <c r="AB2053" s="221"/>
      <c r="AC2053" s="229"/>
      <c r="AD2053" s="230"/>
      <c r="AE2053" s="230"/>
      <c r="AF2053" s="230"/>
      <c r="AG2053" s="227"/>
    </row>
    <row r="2054" spans="1:33" x14ac:dyDescent="0.25">
      <c r="A2054" s="32"/>
      <c r="B2054" s="306"/>
      <c r="C2054" s="307"/>
      <c r="D2054" s="312"/>
      <c r="E2054" s="301"/>
      <c r="F2054" s="232"/>
      <c r="J2054" s="306"/>
      <c r="K2054" s="306"/>
      <c r="L2054" s="313"/>
      <c r="M2054" s="219"/>
      <c r="N2054" s="218"/>
      <c r="S2054" s="224"/>
      <c r="T2054" s="228"/>
      <c r="U2054" s="226"/>
      <c r="V2054" s="226"/>
      <c r="W2054" s="303"/>
      <c r="X2054" s="220"/>
      <c r="Z2054" s="227"/>
      <c r="AA2054" s="220"/>
      <c r="AB2054" s="221"/>
      <c r="AC2054" s="229"/>
      <c r="AD2054" s="230"/>
      <c r="AE2054" s="230"/>
      <c r="AF2054" s="230"/>
      <c r="AG2054" s="227"/>
    </row>
    <row r="2055" spans="1:33" x14ac:dyDescent="0.25">
      <c r="A2055" s="32"/>
      <c r="B2055" s="306"/>
      <c r="C2055" s="307"/>
      <c r="D2055" s="312"/>
      <c r="E2055" s="301"/>
      <c r="F2055" s="232"/>
      <c r="J2055" s="306"/>
      <c r="K2055" s="306"/>
      <c r="L2055" s="313"/>
      <c r="M2055" s="219"/>
      <c r="N2055" s="218"/>
      <c r="S2055" s="224"/>
      <c r="T2055" s="228"/>
      <c r="U2055" s="226"/>
      <c r="V2055" s="226"/>
      <c r="W2055" s="303"/>
      <c r="X2055" s="220"/>
      <c r="Z2055" s="227"/>
      <c r="AA2055" s="220"/>
      <c r="AB2055" s="221"/>
      <c r="AC2055" s="229"/>
      <c r="AD2055" s="230"/>
      <c r="AE2055" s="230"/>
      <c r="AF2055" s="230"/>
      <c r="AG2055" s="227"/>
    </row>
    <row r="2056" spans="1:33" x14ac:dyDescent="0.25">
      <c r="A2056" s="32"/>
      <c r="B2056" s="306"/>
      <c r="C2056" s="307"/>
      <c r="D2056" s="312"/>
      <c r="E2056" s="301"/>
      <c r="F2056" s="232"/>
      <c r="J2056" s="306"/>
      <c r="K2056" s="306"/>
      <c r="L2056" s="313"/>
      <c r="M2056" s="219"/>
      <c r="N2056" s="218"/>
      <c r="S2056" s="224"/>
      <c r="T2056" s="228"/>
      <c r="U2056" s="226"/>
      <c r="V2056" s="226"/>
      <c r="W2056" s="303"/>
      <c r="X2056" s="220"/>
      <c r="Z2056" s="227"/>
      <c r="AA2056" s="220"/>
      <c r="AB2056" s="221"/>
      <c r="AC2056" s="229"/>
      <c r="AD2056" s="230"/>
      <c r="AE2056" s="230"/>
      <c r="AF2056" s="230"/>
      <c r="AG2056" s="227"/>
    </row>
    <row r="2057" spans="1:33" x14ac:dyDescent="0.25">
      <c r="A2057" s="32"/>
      <c r="B2057" s="306"/>
      <c r="C2057" s="307"/>
      <c r="D2057" s="312"/>
      <c r="E2057" s="301"/>
      <c r="F2057" s="232"/>
      <c r="J2057" s="306"/>
      <c r="K2057" s="306"/>
      <c r="L2057" s="313"/>
      <c r="M2057" s="219"/>
      <c r="N2057" s="218"/>
      <c r="S2057" s="224"/>
      <c r="T2057" s="228"/>
      <c r="U2057" s="226"/>
      <c r="V2057" s="226"/>
      <c r="W2057" s="303"/>
      <c r="X2057" s="220"/>
      <c r="Z2057" s="227"/>
      <c r="AA2057" s="220"/>
      <c r="AB2057" s="221"/>
      <c r="AC2057" s="229"/>
      <c r="AD2057" s="230"/>
      <c r="AE2057" s="230"/>
      <c r="AF2057" s="230"/>
      <c r="AG2057" s="227"/>
    </row>
    <row r="2058" spans="1:33" x14ac:dyDescent="0.25">
      <c r="A2058" s="32"/>
      <c r="B2058" s="306"/>
      <c r="C2058" s="307"/>
      <c r="D2058" s="312"/>
      <c r="E2058" s="301"/>
      <c r="F2058" s="232"/>
      <c r="J2058" s="306"/>
      <c r="K2058" s="306"/>
      <c r="L2058" s="313"/>
      <c r="M2058" s="219"/>
      <c r="N2058" s="218"/>
      <c r="S2058" s="224"/>
      <c r="T2058" s="228"/>
      <c r="U2058" s="226"/>
      <c r="V2058" s="226"/>
      <c r="W2058" s="303"/>
      <c r="X2058" s="220"/>
      <c r="Z2058" s="227"/>
      <c r="AA2058" s="220"/>
      <c r="AB2058" s="221"/>
      <c r="AC2058" s="229"/>
      <c r="AD2058" s="230"/>
      <c r="AE2058" s="230"/>
      <c r="AF2058" s="230"/>
      <c r="AG2058" s="227"/>
    </row>
    <row r="2059" spans="1:33" x14ac:dyDescent="0.25">
      <c r="A2059" s="32"/>
      <c r="B2059" s="306"/>
      <c r="C2059" s="307"/>
      <c r="D2059" s="312"/>
      <c r="E2059" s="301"/>
      <c r="F2059" s="232"/>
      <c r="J2059" s="306"/>
      <c r="K2059" s="306"/>
      <c r="L2059" s="313"/>
      <c r="M2059" s="219"/>
      <c r="N2059" s="218"/>
      <c r="S2059" s="224"/>
      <c r="T2059" s="228"/>
      <c r="U2059" s="226"/>
      <c r="V2059" s="226"/>
      <c r="W2059" s="303"/>
      <c r="X2059" s="220"/>
      <c r="Z2059" s="227"/>
      <c r="AA2059" s="220"/>
      <c r="AB2059" s="221"/>
      <c r="AC2059" s="229"/>
      <c r="AD2059" s="230"/>
      <c r="AE2059" s="230"/>
      <c r="AF2059" s="230"/>
      <c r="AG2059" s="227"/>
    </row>
    <row r="2060" spans="1:33" x14ac:dyDescent="0.25">
      <c r="A2060" s="32"/>
      <c r="B2060" s="306"/>
      <c r="C2060" s="307"/>
      <c r="D2060" s="312"/>
      <c r="E2060" s="301"/>
      <c r="F2060" s="232"/>
      <c r="J2060" s="306"/>
      <c r="K2060" s="306"/>
      <c r="L2060" s="313"/>
      <c r="M2060" s="219"/>
      <c r="N2060" s="218"/>
      <c r="S2060" s="224"/>
      <c r="T2060" s="228"/>
      <c r="U2060" s="226"/>
      <c r="V2060" s="226"/>
      <c r="W2060" s="303"/>
      <c r="X2060" s="220"/>
      <c r="Z2060" s="227"/>
      <c r="AA2060" s="220"/>
      <c r="AB2060" s="221"/>
      <c r="AC2060" s="229"/>
      <c r="AD2060" s="230"/>
      <c r="AE2060" s="230"/>
      <c r="AF2060" s="230"/>
      <c r="AG2060" s="227"/>
    </row>
    <row r="2061" spans="1:33" x14ac:dyDescent="0.25">
      <c r="A2061" s="32"/>
      <c r="B2061" s="306"/>
      <c r="C2061" s="307"/>
      <c r="D2061" s="312"/>
      <c r="E2061" s="301"/>
      <c r="F2061" s="232"/>
      <c r="J2061" s="306"/>
      <c r="K2061" s="306"/>
      <c r="L2061" s="313"/>
      <c r="M2061" s="219"/>
      <c r="N2061" s="218"/>
      <c r="S2061" s="224"/>
      <c r="T2061" s="228"/>
      <c r="U2061" s="226"/>
      <c r="V2061" s="226"/>
      <c r="W2061" s="303"/>
      <c r="X2061" s="220"/>
      <c r="Z2061" s="227"/>
      <c r="AA2061" s="220"/>
      <c r="AB2061" s="221"/>
      <c r="AC2061" s="229"/>
      <c r="AD2061" s="230"/>
      <c r="AE2061" s="230"/>
      <c r="AF2061" s="230"/>
      <c r="AG2061" s="227"/>
    </row>
    <row r="2062" spans="1:33" x14ac:dyDescent="0.25">
      <c r="A2062" s="32"/>
      <c r="B2062" s="306"/>
      <c r="C2062" s="307"/>
      <c r="D2062" s="312"/>
      <c r="E2062" s="301"/>
      <c r="F2062" s="232"/>
      <c r="J2062" s="306"/>
      <c r="K2062" s="306"/>
      <c r="L2062" s="313"/>
      <c r="M2062" s="219"/>
      <c r="N2062" s="218"/>
      <c r="S2062" s="224"/>
      <c r="T2062" s="228"/>
      <c r="U2062" s="226"/>
      <c r="V2062" s="226"/>
      <c r="W2062" s="303"/>
      <c r="X2062" s="220"/>
      <c r="Z2062" s="227"/>
      <c r="AA2062" s="220"/>
      <c r="AB2062" s="221"/>
      <c r="AC2062" s="229"/>
      <c r="AD2062" s="230"/>
      <c r="AE2062" s="230"/>
      <c r="AF2062" s="230"/>
      <c r="AG2062" s="227"/>
    </row>
    <row r="2063" spans="1:33" x14ac:dyDescent="0.25">
      <c r="A2063" s="32"/>
      <c r="B2063" s="306"/>
      <c r="C2063" s="307"/>
      <c r="D2063" s="312"/>
      <c r="E2063" s="301"/>
      <c r="F2063" s="232"/>
      <c r="J2063" s="306"/>
      <c r="K2063" s="306"/>
      <c r="L2063" s="313"/>
      <c r="M2063" s="219"/>
      <c r="N2063" s="218"/>
      <c r="S2063" s="224"/>
      <c r="T2063" s="228"/>
      <c r="U2063" s="226"/>
      <c r="V2063" s="226"/>
      <c r="W2063" s="303"/>
      <c r="X2063" s="220"/>
      <c r="Z2063" s="227"/>
      <c r="AA2063" s="220"/>
      <c r="AB2063" s="221"/>
      <c r="AC2063" s="229"/>
      <c r="AD2063" s="230"/>
      <c r="AE2063" s="230"/>
      <c r="AF2063" s="230"/>
      <c r="AG2063" s="227"/>
    </row>
    <row r="2064" spans="1:33" x14ac:dyDescent="0.25">
      <c r="A2064" s="32"/>
      <c r="B2064" s="306"/>
      <c r="C2064" s="307"/>
      <c r="D2064" s="312"/>
      <c r="E2064" s="301"/>
      <c r="F2064" s="232"/>
      <c r="J2064" s="306"/>
      <c r="K2064" s="306"/>
      <c r="L2064" s="313"/>
      <c r="M2064" s="219"/>
      <c r="N2064" s="218"/>
      <c r="S2064" s="224"/>
      <c r="T2064" s="228"/>
      <c r="U2064" s="226"/>
      <c r="V2064" s="226"/>
      <c r="W2064" s="303"/>
      <c r="X2064" s="220"/>
      <c r="Z2064" s="227"/>
      <c r="AA2064" s="220"/>
      <c r="AB2064" s="221"/>
      <c r="AC2064" s="229"/>
      <c r="AD2064" s="230"/>
      <c r="AE2064" s="230"/>
      <c r="AF2064" s="230"/>
      <c r="AG2064" s="227"/>
    </row>
    <row r="2065" spans="1:33" x14ac:dyDescent="0.25">
      <c r="A2065" s="32"/>
      <c r="B2065" s="306"/>
      <c r="C2065" s="307"/>
      <c r="D2065" s="312"/>
      <c r="E2065" s="301"/>
      <c r="F2065" s="232"/>
      <c r="J2065" s="306"/>
      <c r="K2065" s="306"/>
      <c r="L2065" s="313"/>
      <c r="M2065" s="219"/>
      <c r="N2065" s="218"/>
      <c r="S2065" s="224"/>
      <c r="T2065" s="228"/>
      <c r="U2065" s="226"/>
      <c r="V2065" s="226"/>
      <c r="W2065" s="303"/>
      <c r="X2065" s="220"/>
      <c r="Z2065" s="227"/>
      <c r="AA2065" s="220"/>
      <c r="AB2065" s="221"/>
      <c r="AC2065" s="229"/>
      <c r="AD2065" s="230"/>
      <c r="AE2065" s="230"/>
      <c r="AF2065" s="230"/>
      <c r="AG2065" s="227"/>
    </row>
    <row r="2066" spans="1:33" x14ac:dyDescent="0.25">
      <c r="A2066" s="32"/>
      <c r="B2066" s="306"/>
      <c r="C2066" s="307"/>
      <c r="D2066" s="312"/>
      <c r="E2066" s="301"/>
      <c r="F2066" s="232"/>
      <c r="J2066" s="306"/>
      <c r="K2066" s="306"/>
      <c r="L2066" s="313"/>
      <c r="M2066" s="219"/>
      <c r="N2066" s="218"/>
      <c r="S2066" s="224"/>
      <c r="T2066" s="228"/>
      <c r="U2066" s="226"/>
      <c r="V2066" s="226"/>
      <c r="W2066" s="303"/>
      <c r="X2066" s="220"/>
      <c r="Z2066" s="227"/>
      <c r="AA2066" s="220"/>
      <c r="AB2066" s="221"/>
      <c r="AC2066" s="229"/>
      <c r="AD2066" s="230"/>
      <c r="AE2066" s="230"/>
      <c r="AF2066" s="230"/>
      <c r="AG2066" s="227"/>
    </row>
    <row r="2067" spans="1:33" x14ac:dyDescent="0.25">
      <c r="A2067" s="32"/>
      <c r="B2067" s="306"/>
      <c r="C2067" s="307"/>
      <c r="D2067" s="312"/>
      <c r="E2067" s="301"/>
      <c r="F2067" s="232"/>
      <c r="J2067" s="306"/>
      <c r="K2067" s="306"/>
      <c r="L2067" s="313"/>
      <c r="M2067" s="219"/>
      <c r="N2067" s="218"/>
      <c r="S2067" s="224"/>
      <c r="T2067" s="228"/>
      <c r="U2067" s="226"/>
      <c r="V2067" s="226"/>
      <c r="W2067" s="303"/>
      <c r="X2067" s="220"/>
      <c r="Z2067" s="227"/>
      <c r="AA2067" s="220"/>
      <c r="AB2067" s="221"/>
      <c r="AC2067" s="229"/>
      <c r="AD2067" s="230"/>
      <c r="AE2067" s="230"/>
      <c r="AF2067" s="230"/>
      <c r="AG2067" s="227"/>
    </row>
    <row r="2068" spans="1:33" x14ac:dyDescent="0.25">
      <c r="A2068" s="32"/>
      <c r="B2068" s="306"/>
      <c r="C2068" s="307"/>
      <c r="D2068" s="312"/>
      <c r="E2068" s="301"/>
      <c r="F2068" s="232"/>
      <c r="J2068" s="306"/>
      <c r="K2068" s="306"/>
      <c r="L2068" s="313"/>
      <c r="M2068" s="219"/>
      <c r="N2068" s="218"/>
      <c r="S2068" s="224"/>
      <c r="T2068" s="228"/>
      <c r="U2068" s="226"/>
      <c r="V2068" s="226"/>
      <c r="W2068" s="303"/>
      <c r="X2068" s="220"/>
      <c r="Z2068" s="227"/>
      <c r="AA2068" s="220"/>
      <c r="AB2068" s="221"/>
      <c r="AC2068" s="229"/>
      <c r="AD2068" s="230"/>
      <c r="AE2068" s="230"/>
      <c r="AF2068" s="230"/>
      <c r="AG2068" s="227"/>
    </row>
    <row r="2069" spans="1:33" x14ac:dyDescent="0.25">
      <c r="A2069" s="32"/>
      <c r="B2069" s="306"/>
      <c r="C2069" s="307"/>
      <c r="D2069" s="312"/>
      <c r="E2069" s="301"/>
      <c r="F2069" s="232"/>
      <c r="J2069" s="306"/>
      <c r="K2069" s="306"/>
      <c r="L2069" s="313"/>
      <c r="M2069" s="219"/>
      <c r="N2069" s="218"/>
      <c r="S2069" s="224"/>
      <c r="T2069" s="228"/>
      <c r="U2069" s="226"/>
      <c r="V2069" s="226"/>
      <c r="W2069" s="303"/>
      <c r="X2069" s="220"/>
      <c r="Z2069" s="227"/>
      <c r="AA2069" s="220"/>
      <c r="AB2069" s="221"/>
      <c r="AC2069" s="229"/>
      <c r="AD2069" s="230"/>
      <c r="AE2069" s="230"/>
      <c r="AF2069" s="230"/>
      <c r="AG2069" s="227"/>
    </row>
    <row r="2070" spans="1:33" x14ac:dyDescent="0.25">
      <c r="A2070" s="32"/>
      <c r="B2070" s="306"/>
      <c r="C2070" s="307"/>
      <c r="D2070" s="312"/>
      <c r="E2070" s="301"/>
      <c r="F2070" s="232"/>
      <c r="J2070" s="306"/>
      <c r="K2070" s="306"/>
      <c r="L2070" s="313"/>
      <c r="M2070" s="219"/>
      <c r="N2070" s="218"/>
      <c r="S2070" s="224"/>
      <c r="T2070" s="228"/>
      <c r="U2070" s="226"/>
      <c r="V2070" s="226"/>
      <c r="W2070" s="303"/>
      <c r="X2070" s="220"/>
      <c r="Z2070" s="227"/>
      <c r="AA2070" s="220"/>
      <c r="AB2070" s="221"/>
      <c r="AC2070" s="229"/>
      <c r="AD2070" s="230"/>
      <c r="AE2070" s="230"/>
      <c r="AF2070" s="230"/>
      <c r="AG2070" s="227"/>
    </row>
    <row r="2071" spans="1:33" x14ac:dyDescent="0.25">
      <c r="A2071" s="32"/>
      <c r="B2071" s="306"/>
      <c r="C2071" s="307"/>
      <c r="D2071" s="312"/>
      <c r="E2071" s="301"/>
      <c r="F2071" s="232"/>
      <c r="J2071" s="306"/>
      <c r="K2071" s="306"/>
      <c r="L2071" s="313"/>
      <c r="M2071" s="219"/>
      <c r="N2071" s="218"/>
      <c r="S2071" s="224"/>
      <c r="T2071" s="228"/>
      <c r="U2071" s="226"/>
      <c r="V2071" s="226"/>
      <c r="W2071" s="303"/>
      <c r="X2071" s="220"/>
      <c r="Z2071" s="227"/>
      <c r="AA2071" s="220"/>
      <c r="AB2071" s="221"/>
      <c r="AC2071" s="229"/>
      <c r="AD2071" s="230"/>
      <c r="AE2071" s="230"/>
      <c r="AF2071" s="230"/>
      <c r="AG2071" s="227"/>
    </row>
    <row r="2072" spans="1:33" x14ac:dyDescent="0.25">
      <c r="A2072" s="32"/>
      <c r="B2072" s="306"/>
      <c r="C2072" s="307"/>
      <c r="D2072" s="312"/>
      <c r="E2072" s="301"/>
      <c r="F2072" s="232"/>
      <c r="J2072" s="306"/>
      <c r="K2072" s="306"/>
      <c r="L2072" s="313"/>
      <c r="M2072" s="219"/>
      <c r="N2072" s="218"/>
      <c r="S2072" s="224"/>
      <c r="T2072" s="228"/>
      <c r="U2072" s="226"/>
      <c r="V2072" s="226"/>
      <c r="W2072" s="303"/>
      <c r="X2072" s="220"/>
      <c r="Z2072" s="227"/>
      <c r="AA2072" s="220"/>
      <c r="AB2072" s="221"/>
      <c r="AC2072" s="229"/>
      <c r="AD2072" s="230"/>
      <c r="AE2072" s="230"/>
      <c r="AF2072" s="230"/>
      <c r="AG2072" s="227"/>
    </row>
    <row r="2073" spans="1:33" x14ac:dyDescent="0.25">
      <c r="A2073" s="32"/>
      <c r="B2073" s="306"/>
      <c r="C2073" s="307"/>
      <c r="D2073" s="312"/>
      <c r="E2073" s="301"/>
      <c r="F2073" s="232"/>
      <c r="J2073" s="306"/>
      <c r="K2073" s="306"/>
      <c r="L2073" s="313"/>
      <c r="M2073" s="219"/>
      <c r="N2073" s="218"/>
      <c r="S2073" s="224"/>
      <c r="T2073" s="228"/>
      <c r="U2073" s="226"/>
      <c r="V2073" s="226"/>
      <c r="W2073" s="303"/>
      <c r="X2073" s="220"/>
      <c r="Z2073" s="227"/>
      <c r="AA2073" s="220"/>
      <c r="AB2073" s="221"/>
      <c r="AC2073" s="229"/>
      <c r="AD2073" s="230"/>
      <c r="AE2073" s="230"/>
      <c r="AF2073" s="230"/>
      <c r="AG2073" s="227"/>
    </row>
    <row r="2074" spans="1:33" x14ac:dyDescent="0.25">
      <c r="A2074" s="32"/>
      <c r="B2074" s="306"/>
      <c r="C2074" s="307"/>
      <c r="D2074" s="312"/>
      <c r="E2074" s="301"/>
      <c r="F2074" s="232"/>
      <c r="J2074" s="306"/>
      <c r="K2074" s="306"/>
      <c r="L2074" s="313"/>
      <c r="M2074" s="219"/>
      <c r="N2074" s="218"/>
      <c r="S2074" s="224"/>
      <c r="T2074" s="228"/>
      <c r="U2074" s="226"/>
      <c r="V2074" s="226"/>
      <c r="W2074" s="303"/>
      <c r="X2074" s="220"/>
      <c r="Z2074" s="227"/>
      <c r="AA2074" s="220"/>
      <c r="AB2074" s="221"/>
      <c r="AC2074" s="229"/>
      <c r="AD2074" s="230"/>
      <c r="AE2074" s="230"/>
      <c r="AF2074" s="230"/>
      <c r="AG2074" s="227"/>
    </row>
    <row r="2075" spans="1:33" x14ac:dyDescent="0.25">
      <c r="A2075" s="32"/>
      <c r="B2075" s="306"/>
      <c r="C2075" s="307"/>
      <c r="D2075" s="312"/>
      <c r="E2075" s="301"/>
      <c r="F2075" s="232"/>
      <c r="J2075" s="306"/>
      <c r="K2075" s="306"/>
      <c r="L2075" s="313"/>
      <c r="M2075" s="219"/>
      <c r="N2075" s="218"/>
      <c r="S2075" s="224"/>
      <c r="T2075" s="228"/>
      <c r="U2075" s="226"/>
      <c r="V2075" s="226"/>
      <c r="W2075" s="303"/>
      <c r="X2075" s="220"/>
      <c r="Z2075" s="227"/>
      <c r="AA2075" s="220"/>
      <c r="AB2075" s="221"/>
      <c r="AC2075" s="229"/>
      <c r="AD2075" s="230"/>
      <c r="AE2075" s="230"/>
      <c r="AF2075" s="230"/>
      <c r="AG2075" s="227"/>
    </row>
    <row r="2076" spans="1:33" x14ac:dyDescent="0.25">
      <c r="A2076" s="32"/>
      <c r="B2076" s="306"/>
      <c r="C2076" s="307"/>
      <c r="D2076" s="312"/>
      <c r="E2076" s="301"/>
      <c r="F2076" s="232"/>
      <c r="J2076" s="306"/>
      <c r="K2076" s="306"/>
      <c r="L2076" s="313"/>
      <c r="M2076" s="219"/>
      <c r="N2076" s="218"/>
      <c r="S2076" s="224"/>
      <c r="T2076" s="228"/>
      <c r="U2076" s="226"/>
      <c r="V2076" s="226"/>
      <c r="W2076" s="303"/>
      <c r="X2076" s="220"/>
      <c r="Z2076" s="227"/>
      <c r="AA2076" s="220"/>
      <c r="AB2076" s="221"/>
      <c r="AC2076" s="229"/>
      <c r="AD2076" s="230"/>
      <c r="AE2076" s="230"/>
      <c r="AF2076" s="230"/>
      <c r="AG2076" s="227"/>
    </row>
    <row r="2077" spans="1:33" x14ac:dyDescent="0.25">
      <c r="A2077" s="32"/>
      <c r="B2077" s="306"/>
      <c r="C2077" s="307"/>
      <c r="D2077" s="312"/>
      <c r="E2077" s="301"/>
      <c r="F2077" s="232"/>
      <c r="J2077" s="306"/>
      <c r="K2077" s="306"/>
      <c r="L2077" s="313"/>
      <c r="M2077" s="219"/>
      <c r="N2077" s="218"/>
      <c r="S2077" s="224"/>
      <c r="T2077" s="228"/>
      <c r="U2077" s="226"/>
      <c r="V2077" s="226"/>
      <c r="W2077" s="303"/>
      <c r="X2077" s="220"/>
      <c r="Z2077" s="227"/>
      <c r="AA2077" s="220"/>
      <c r="AB2077" s="221"/>
      <c r="AC2077" s="229"/>
      <c r="AD2077" s="230"/>
      <c r="AE2077" s="230"/>
      <c r="AF2077" s="230"/>
      <c r="AG2077" s="227"/>
    </row>
    <row r="2078" spans="1:33" x14ac:dyDescent="0.25">
      <c r="A2078" s="32"/>
      <c r="B2078" s="306"/>
      <c r="C2078" s="307"/>
      <c r="D2078" s="312"/>
      <c r="E2078" s="301"/>
      <c r="F2078" s="232"/>
      <c r="J2078" s="306"/>
      <c r="K2078" s="306"/>
      <c r="L2078" s="313"/>
      <c r="M2078" s="219"/>
      <c r="N2078" s="218"/>
      <c r="S2078" s="224"/>
      <c r="T2078" s="228"/>
      <c r="U2078" s="226"/>
      <c r="V2078" s="226"/>
      <c r="W2078" s="303"/>
      <c r="X2078" s="220"/>
      <c r="Z2078" s="227"/>
      <c r="AA2078" s="220"/>
      <c r="AB2078" s="221"/>
      <c r="AC2078" s="229"/>
      <c r="AD2078" s="230"/>
      <c r="AE2078" s="230"/>
      <c r="AF2078" s="230"/>
      <c r="AG2078" s="227"/>
    </row>
    <row r="2079" spans="1:33" x14ac:dyDescent="0.25">
      <c r="A2079" s="32"/>
      <c r="B2079" s="306"/>
      <c r="C2079" s="307"/>
      <c r="D2079" s="312"/>
      <c r="E2079" s="301"/>
      <c r="F2079" s="232"/>
      <c r="J2079" s="306"/>
      <c r="K2079" s="306"/>
      <c r="L2079" s="313"/>
      <c r="M2079" s="219"/>
      <c r="N2079" s="218"/>
      <c r="S2079" s="224"/>
      <c r="T2079" s="228"/>
      <c r="U2079" s="226"/>
      <c r="V2079" s="226"/>
      <c r="W2079" s="303"/>
      <c r="X2079" s="220"/>
      <c r="Z2079" s="227"/>
      <c r="AA2079" s="220"/>
      <c r="AB2079" s="221"/>
      <c r="AC2079" s="229"/>
      <c r="AD2079" s="230"/>
      <c r="AE2079" s="230"/>
      <c r="AF2079" s="230"/>
      <c r="AG2079" s="227"/>
    </row>
    <row r="2080" spans="1:33" x14ac:dyDescent="0.25">
      <c r="A2080" s="32"/>
      <c r="B2080" s="306"/>
      <c r="C2080" s="307"/>
      <c r="D2080" s="312"/>
      <c r="E2080" s="301"/>
      <c r="F2080" s="232"/>
      <c r="J2080" s="306"/>
      <c r="K2080" s="306"/>
      <c r="L2080" s="313"/>
      <c r="M2080" s="219"/>
      <c r="N2080" s="218"/>
      <c r="S2080" s="224"/>
      <c r="T2080" s="228"/>
      <c r="U2080" s="226"/>
      <c r="V2080" s="226"/>
      <c r="W2080" s="303"/>
      <c r="X2080" s="220"/>
      <c r="Z2080" s="227"/>
      <c r="AA2080" s="220"/>
      <c r="AB2080" s="221"/>
      <c r="AC2080" s="229"/>
      <c r="AD2080" s="230"/>
      <c r="AE2080" s="230"/>
      <c r="AF2080" s="230"/>
      <c r="AG2080" s="227"/>
    </row>
    <row r="2081" spans="1:33" x14ac:dyDescent="0.25">
      <c r="A2081" s="32"/>
      <c r="B2081" s="306"/>
      <c r="C2081" s="307"/>
      <c r="D2081" s="312"/>
      <c r="E2081" s="301"/>
      <c r="F2081" s="232"/>
      <c r="J2081" s="306"/>
      <c r="K2081" s="306"/>
      <c r="L2081" s="313"/>
      <c r="M2081" s="219"/>
      <c r="N2081" s="218"/>
      <c r="S2081" s="224"/>
      <c r="T2081" s="228"/>
      <c r="U2081" s="226"/>
      <c r="V2081" s="226"/>
      <c r="W2081" s="303"/>
      <c r="X2081" s="220"/>
      <c r="Z2081" s="227"/>
      <c r="AA2081" s="220"/>
      <c r="AB2081" s="221"/>
      <c r="AC2081" s="229"/>
      <c r="AD2081" s="230"/>
      <c r="AE2081" s="230"/>
      <c r="AF2081" s="230"/>
      <c r="AG2081" s="227"/>
    </row>
    <row r="2082" spans="1:33" x14ac:dyDescent="0.25">
      <c r="A2082" s="32"/>
      <c r="B2082" s="306"/>
      <c r="C2082" s="307"/>
      <c r="D2082" s="312"/>
      <c r="E2082" s="301"/>
      <c r="F2082" s="232"/>
      <c r="J2082" s="306"/>
      <c r="K2082" s="306"/>
      <c r="L2082" s="313"/>
      <c r="M2082" s="219"/>
      <c r="N2082" s="218"/>
      <c r="S2082" s="224"/>
      <c r="T2082" s="228"/>
      <c r="U2082" s="226"/>
      <c r="V2082" s="226"/>
      <c r="W2082" s="303"/>
      <c r="X2082" s="220"/>
      <c r="Z2082" s="227"/>
      <c r="AA2082" s="220"/>
      <c r="AB2082" s="221"/>
      <c r="AC2082" s="229"/>
      <c r="AD2082" s="230"/>
      <c r="AE2082" s="230"/>
      <c r="AF2082" s="230"/>
      <c r="AG2082" s="227"/>
    </row>
    <row r="2083" spans="1:33" x14ac:dyDescent="0.25">
      <c r="A2083" s="32"/>
      <c r="B2083" s="306"/>
      <c r="C2083" s="307"/>
      <c r="D2083" s="312"/>
      <c r="E2083" s="301"/>
      <c r="F2083" s="232"/>
      <c r="J2083" s="306"/>
      <c r="K2083" s="306"/>
      <c r="L2083" s="313"/>
      <c r="M2083" s="219"/>
      <c r="N2083" s="218"/>
      <c r="S2083" s="224"/>
      <c r="T2083" s="228"/>
      <c r="U2083" s="226"/>
      <c r="V2083" s="226"/>
      <c r="W2083" s="303"/>
      <c r="X2083" s="220"/>
      <c r="Z2083" s="227"/>
      <c r="AA2083" s="220"/>
      <c r="AB2083" s="221"/>
      <c r="AC2083" s="229"/>
      <c r="AD2083" s="230"/>
      <c r="AE2083" s="230"/>
      <c r="AF2083" s="230"/>
      <c r="AG2083" s="227"/>
    </row>
    <row r="2084" spans="1:33" x14ac:dyDescent="0.25">
      <c r="A2084" s="32"/>
      <c r="B2084" s="306"/>
      <c r="C2084" s="307"/>
      <c r="D2084" s="312"/>
      <c r="E2084" s="301"/>
      <c r="F2084" s="232"/>
      <c r="J2084" s="306"/>
      <c r="K2084" s="306"/>
      <c r="L2084" s="313"/>
      <c r="M2084" s="219"/>
      <c r="N2084" s="218"/>
      <c r="S2084" s="224"/>
      <c r="T2084" s="228"/>
      <c r="U2084" s="226"/>
      <c r="V2084" s="226"/>
      <c r="W2084" s="303"/>
      <c r="X2084" s="220"/>
      <c r="Z2084" s="227"/>
      <c r="AA2084" s="220"/>
      <c r="AB2084" s="221"/>
      <c r="AC2084" s="229"/>
      <c r="AD2084" s="230"/>
      <c r="AE2084" s="230"/>
      <c r="AF2084" s="230"/>
      <c r="AG2084" s="227"/>
    </row>
    <row r="2085" spans="1:33" x14ac:dyDescent="0.25">
      <c r="A2085" s="32"/>
      <c r="B2085" s="306"/>
      <c r="C2085" s="307"/>
      <c r="D2085" s="312"/>
      <c r="E2085" s="301"/>
      <c r="F2085" s="232"/>
      <c r="J2085" s="306"/>
      <c r="K2085" s="306"/>
      <c r="L2085" s="313"/>
      <c r="M2085" s="219"/>
      <c r="N2085" s="218"/>
      <c r="S2085" s="224"/>
      <c r="T2085" s="228"/>
      <c r="U2085" s="226"/>
      <c r="V2085" s="226"/>
      <c r="W2085" s="303"/>
      <c r="X2085" s="220"/>
      <c r="Z2085" s="227"/>
      <c r="AA2085" s="220"/>
      <c r="AB2085" s="221"/>
      <c r="AC2085" s="229"/>
      <c r="AD2085" s="230"/>
      <c r="AE2085" s="230"/>
      <c r="AF2085" s="230"/>
      <c r="AG2085" s="227"/>
    </row>
    <row r="2086" spans="1:33" x14ac:dyDescent="0.25">
      <c r="A2086" s="32"/>
      <c r="B2086" s="306"/>
      <c r="C2086" s="307"/>
      <c r="D2086" s="312"/>
      <c r="E2086" s="301"/>
      <c r="F2086" s="232"/>
      <c r="J2086" s="306"/>
      <c r="K2086" s="306"/>
      <c r="L2086" s="313"/>
      <c r="M2086" s="219"/>
      <c r="N2086" s="218"/>
      <c r="S2086" s="224"/>
      <c r="T2086" s="228"/>
      <c r="U2086" s="226"/>
      <c r="V2086" s="226"/>
      <c r="W2086" s="303"/>
      <c r="X2086" s="220"/>
      <c r="Z2086" s="227"/>
      <c r="AA2086" s="220"/>
      <c r="AB2086" s="221"/>
      <c r="AC2086" s="229"/>
      <c r="AD2086" s="230"/>
      <c r="AE2086" s="230"/>
      <c r="AF2086" s="230"/>
      <c r="AG2086" s="227"/>
    </row>
    <row r="2087" spans="1:33" x14ac:dyDescent="0.25">
      <c r="A2087" s="32"/>
      <c r="B2087" s="306"/>
      <c r="C2087" s="307"/>
      <c r="D2087" s="312"/>
      <c r="E2087" s="301"/>
      <c r="F2087" s="232"/>
      <c r="J2087" s="306"/>
      <c r="K2087" s="306"/>
      <c r="L2087" s="313"/>
      <c r="M2087" s="219"/>
      <c r="N2087" s="218"/>
      <c r="S2087" s="224"/>
      <c r="T2087" s="228"/>
      <c r="U2087" s="226"/>
      <c r="V2087" s="226"/>
      <c r="W2087" s="303"/>
      <c r="X2087" s="220"/>
      <c r="Z2087" s="227"/>
      <c r="AA2087" s="220"/>
      <c r="AB2087" s="221"/>
      <c r="AC2087" s="229"/>
      <c r="AD2087" s="230"/>
      <c r="AE2087" s="230"/>
      <c r="AF2087" s="230"/>
      <c r="AG2087" s="227"/>
    </row>
    <row r="2088" spans="1:33" x14ac:dyDescent="0.25">
      <c r="A2088" s="32"/>
      <c r="B2088" s="306"/>
      <c r="C2088" s="307"/>
      <c r="D2088" s="312"/>
      <c r="E2088" s="301"/>
      <c r="F2088" s="232"/>
      <c r="J2088" s="306"/>
      <c r="K2088" s="306"/>
      <c r="L2088" s="313"/>
      <c r="M2088" s="219"/>
      <c r="N2088" s="218"/>
      <c r="S2088" s="224"/>
      <c r="T2088" s="228"/>
      <c r="U2088" s="226"/>
      <c r="V2088" s="226"/>
      <c r="W2088" s="303"/>
      <c r="X2088" s="220"/>
      <c r="Z2088" s="227"/>
      <c r="AA2088" s="220"/>
      <c r="AB2088" s="221"/>
      <c r="AC2088" s="229"/>
      <c r="AD2088" s="230"/>
      <c r="AE2088" s="230"/>
      <c r="AF2088" s="230"/>
      <c r="AG2088" s="227"/>
    </row>
    <row r="2089" spans="1:33" x14ac:dyDescent="0.25">
      <c r="A2089" s="32"/>
      <c r="B2089" s="306"/>
      <c r="C2089" s="307"/>
      <c r="D2089" s="312"/>
      <c r="E2089" s="301"/>
      <c r="F2089" s="232"/>
      <c r="J2089" s="306"/>
      <c r="K2089" s="306"/>
      <c r="L2089" s="313"/>
      <c r="M2089" s="219"/>
      <c r="N2089" s="218"/>
      <c r="S2089" s="224"/>
      <c r="T2089" s="228"/>
      <c r="U2089" s="226"/>
      <c r="V2089" s="226"/>
      <c r="W2089" s="303"/>
      <c r="X2089" s="220"/>
      <c r="Z2089" s="227"/>
      <c r="AA2089" s="220"/>
      <c r="AB2089" s="221"/>
      <c r="AC2089" s="229"/>
      <c r="AD2089" s="230"/>
      <c r="AE2089" s="230"/>
      <c r="AF2089" s="230"/>
      <c r="AG2089" s="227"/>
    </row>
    <row r="2090" spans="1:33" x14ac:dyDescent="0.25">
      <c r="A2090" s="32"/>
      <c r="B2090" s="306"/>
      <c r="C2090" s="307"/>
      <c r="D2090" s="312"/>
      <c r="E2090" s="301"/>
      <c r="F2090" s="232"/>
      <c r="J2090" s="306"/>
      <c r="K2090" s="306"/>
      <c r="L2090" s="313"/>
      <c r="M2090" s="219"/>
      <c r="N2090" s="218"/>
      <c r="S2090" s="224"/>
      <c r="T2090" s="228"/>
      <c r="U2090" s="226"/>
      <c r="V2090" s="226"/>
      <c r="W2090" s="303"/>
      <c r="X2090" s="220"/>
      <c r="Z2090" s="227"/>
      <c r="AA2090" s="220"/>
      <c r="AB2090" s="221"/>
      <c r="AC2090" s="229"/>
      <c r="AD2090" s="230"/>
      <c r="AE2090" s="230"/>
      <c r="AF2090" s="230"/>
      <c r="AG2090" s="227"/>
    </row>
    <row r="2091" spans="1:33" x14ac:dyDescent="0.25">
      <c r="A2091" s="32"/>
      <c r="B2091" s="306"/>
      <c r="C2091" s="307"/>
      <c r="D2091" s="312"/>
      <c r="E2091" s="301"/>
      <c r="F2091" s="232"/>
      <c r="J2091" s="306"/>
      <c r="K2091" s="306"/>
      <c r="L2091" s="313"/>
      <c r="M2091" s="219"/>
      <c r="N2091" s="218"/>
      <c r="S2091" s="224"/>
      <c r="T2091" s="228"/>
      <c r="U2091" s="226"/>
      <c r="V2091" s="226"/>
      <c r="W2091" s="303"/>
      <c r="X2091" s="220"/>
      <c r="Z2091" s="227"/>
      <c r="AA2091" s="220"/>
      <c r="AB2091" s="221"/>
      <c r="AC2091" s="229"/>
      <c r="AD2091" s="230"/>
      <c r="AE2091" s="230"/>
      <c r="AF2091" s="230"/>
      <c r="AG2091" s="227"/>
    </row>
    <row r="2092" spans="1:33" x14ac:dyDescent="0.25">
      <c r="A2092" s="32"/>
      <c r="B2092" s="306"/>
      <c r="C2092" s="307"/>
      <c r="D2092" s="312"/>
      <c r="E2092" s="301"/>
      <c r="F2092" s="232"/>
      <c r="J2092" s="306"/>
      <c r="K2092" s="306"/>
      <c r="L2092" s="313"/>
      <c r="M2092" s="219"/>
      <c r="N2092" s="218"/>
      <c r="S2092" s="224"/>
      <c r="T2092" s="228"/>
      <c r="U2092" s="226"/>
      <c r="V2092" s="226"/>
      <c r="W2092" s="303"/>
      <c r="X2092" s="220"/>
      <c r="Z2092" s="227"/>
      <c r="AA2092" s="220"/>
      <c r="AB2092" s="221"/>
      <c r="AC2092" s="229"/>
      <c r="AD2092" s="230"/>
      <c r="AE2092" s="230"/>
      <c r="AF2092" s="230"/>
      <c r="AG2092" s="227"/>
    </row>
    <row r="2093" spans="1:33" x14ac:dyDescent="0.25">
      <c r="A2093" s="32"/>
      <c r="B2093" s="306"/>
      <c r="C2093" s="307"/>
      <c r="D2093" s="312"/>
      <c r="E2093" s="301"/>
      <c r="F2093" s="232"/>
      <c r="J2093" s="306"/>
      <c r="K2093" s="306"/>
      <c r="L2093" s="313"/>
      <c r="M2093" s="219"/>
      <c r="N2093" s="218"/>
      <c r="S2093" s="224"/>
      <c r="T2093" s="228"/>
      <c r="U2093" s="226"/>
      <c r="V2093" s="226"/>
      <c r="W2093" s="303"/>
      <c r="X2093" s="220"/>
      <c r="Z2093" s="227"/>
      <c r="AA2093" s="220"/>
      <c r="AB2093" s="221"/>
      <c r="AC2093" s="229"/>
      <c r="AD2093" s="230"/>
      <c r="AE2093" s="230"/>
      <c r="AF2093" s="230"/>
      <c r="AG2093" s="227"/>
    </row>
    <row r="2094" spans="1:33" x14ac:dyDescent="0.25">
      <c r="A2094" s="32"/>
      <c r="B2094" s="306"/>
      <c r="C2094" s="307"/>
      <c r="D2094" s="312"/>
      <c r="E2094" s="301"/>
      <c r="F2094" s="232"/>
      <c r="J2094" s="306"/>
      <c r="K2094" s="306"/>
      <c r="L2094" s="313"/>
      <c r="M2094" s="219"/>
      <c r="N2094" s="218"/>
      <c r="S2094" s="224"/>
      <c r="T2094" s="228"/>
      <c r="U2094" s="226"/>
      <c r="V2094" s="226"/>
      <c r="W2094" s="303"/>
      <c r="X2094" s="220"/>
      <c r="Z2094" s="227"/>
      <c r="AA2094" s="220"/>
      <c r="AB2094" s="221"/>
      <c r="AC2094" s="229"/>
      <c r="AD2094" s="230"/>
      <c r="AE2094" s="230"/>
      <c r="AF2094" s="230"/>
      <c r="AG2094" s="227"/>
    </row>
    <row r="2095" spans="1:33" x14ac:dyDescent="0.25">
      <c r="A2095" s="32"/>
      <c r="B2095" s="306"/>
      <c r="C2095" s="307"/>
      <c r="D2095" s="312"/>
      <c r="E2095" s="301"/>
      <c r="F2095" s="232"/>
      <c r="J2095" s="306"/>
      <c r="K2095" s="306"/>
      <c r="L2095" s="313"/>
      <c r="M2095" s="219"/>
      <c r="N2095" s="218"/>
      <c r="S2095" s="224"/>
      <c r="T2095" s="228"/>
      <c r="U2095" s="226"/>
      <c r="V2095" s="226"/>
      <c r="W2095" s="303"/>
      <c r="X2095" s="220"/>
      <c r="Z2095" s="227"/>
      <c r="AA2095" s="220"/>
      <c r="AB2095" s="221"/>
      <c r="AC2095" s="229"/>
      <c r="AD2095" s="230"/>
      <c r="AE2095" s="230"/>
      <c r="AF2095" s="230"/>
      <c r="AG2095" s="227"/>
    </row>
    <row r="2096" spans="1:33" x14ac:dyDescent="0.25">
      <c r="A2096" s="32"/>
      <c r="B2096" s="306"/>
      <c r="C2096" s="307"/>
      <c r="D2096" s="312"/>
      <c r="E2096" s="301"/>
      <c r="F2096" s="232"/>
      <c r="J2096" s="306"/>
      <c r="K2096" s="306"/>
      <c r="L2096" s="313"/>
      <c r="M2096" s="219"/>
      <c r="N2096" s="218"/>
      <c r="S2096" s="224"/>
      <c r="T2096" s="228"/>
      <c r="U2096" s="226"/>
      <c r="V2096" s="226"/>
      <c r="W2096" s="303"/>
      <c r="X2096" s="220"/>
      <c r="Z2096" s="227"/>
      <c r="AA2096" s="220"/>
      <c r="AB2096" s="221"/>
      <c r="AC2096" s="229"/>
      <c r="AD2096" s="230"/>
      <c r="AE2096" s="230"/>
      <c r="AF2096" s="230"/>
      <c r="AG2096" s="227"/>
    </row>
    <row r="2097" spans="1:33" x14ac:dyDescent="0.25">
      <c r="A2097" s="32"/>
      <c r="B2097" s="306"/>
      <c r="C2097" s="307"/>
      <c r="D2097" s="312"/>
      <c r="E2097" s="301"/>
      <c r="F2097" s="232"/>
      <c r="J2097" s="306"/>
      <c r="K2097" s="306"/>
      <c r="L2097" s="313"/>
      <c r="M2097" s="219"/>
      <c r="N2097" s="218"/>
      <c r="S2097" s="224"/>
      <c r="T2097" s="228"/>
      <c r="U2097" s="226"/>
      <c r="V2097" s="226"/>
      <c r="W2097" s="303"/>
      <c r="X2097" s="220"/>
      <c r="Z2097" s="227"/>
      <c r="AA2097" s="220"/>
      <c r="AB2097" s="221"/>
      <c r="AC2097" s="229"/>
      <c r="AD2097" s="230"/>
      <c r="AE2097" s="230"/>
      <c r="AF2097" s="230"/>
      <c r="AG2097" s="227"/>
    </row>
    <row r="2098" spans="1:33" x14ac:dyDescent="0.25">
      <c r="A2098" s="32"/>
      <c r="B2098" s="306"/>
      <c r="C2098" s="307"/>
      <c r="D2098" s="312"/>
      <c r="E2098" s="301"/>
      <c r="F2098" s="232"/>
      <c r="J2098" s="306"/>
      <c r="K2098" s="306"/>
      <c r="L2098" s="313"/>
      <c r="M2098" s="219"/>
      <c r="N2098" s="218"/>
      <c r="S2098" s="224"/>
      <c r="T2098" s="228"/>
      <c r="U2098" s="226"/>
      <c r="V2098" s="226"/>
      <c r="W2098" s="303"/>
      <c r="X2098" s="220"/>
      <c r="Z2098" s="227"/>
      <c r="AA2098" s="220"/>
      <c r="AB2098" s="221"/>
      <c r="AC2098" s="229"/>
      <c r="AD2098" s="230"/>
      <c r="AE2098" s="230"/>
      <c r="AF2098" s="230"/>
      <c r="AG2098" s="227"/>
    </row>
    <row r="2099" spans="1:33" x14ac:dyDescent="0.25">
      <c r="A2099" s="32"/>
      <c r="B2099" s="306"/>
      <c r="C2099" s="307"/>
      <c r="D2099" s="312"/>
      <c r="E2099" s="301"/>
      <c r="F2099" s="232"/>
      <c r="J2099" s="306"/>
      <c r="K2099" s="306"/>
      <c r="L2099" s="313"/>
      <c r="M2099" s="219"/>
      <c r="N2099" s="218"/>
      <c r="S2099" s="224"/>
      <c r="T2099" s="228"/>
      <c r="U2099" s="226"/>
      <c r="V2099" s="226"/>
      <c r="W2099" s="303"/>
      <c r="X2099" s="220"/>
      <c r="Z2099" s="227"/>
      <c r="AA2099" s="220"/>
      <c r="AB2099" s="221"/>
      <c r="AC2099" s="229"/>
      <c r="AD2099" s="230"/>
      <c r="AE2099" s="230"/>
      <c r="AF2099" s="230"/>
      <c r="AG2099" s="227"/>
    </row>
    <row r="2100" spans="1:33" x14ac:dyDescent="0.25">
      <c r="A2100" s="32"/>
      <c r="B2100" s="306"/>
      <c r="C2100" s="307"/>
      <c r="D2100" s="312"/>
      <c r="E2100" s="301"/>
      <c r="F2100" s="232"/>
      <c r="J2100" s="306"/>
      <c r="K2100" s="306"/>
      <c r="L2100" s="313"/>
      <c r="M2100" s="219"/>
      <c r="N2100" s="218"/>
      <c r="S2100" s="224"/>
      <c r="T2100" s="228"/>
      <c r="U2100" s="226"/>
      <c r="V2100" s="226"/>
      <c r="W2100" s="303"/>
      <c r="X2100" s="220"/>
      <c r="Z2100" s="227"/>
      <c r="AA2100" s="220"/>
      <c r="AB2100" s="221"/>
      <c r="AC2100" s="229"/>
      <c r="AD2100" s="230"/>
      <c r="AE2100" s="230"/>
      <c r="AF2100" s="230"/>
      <c r="AG2100" s="227"/>
    </row>
    <row r="2101" spans="1:33" x14ac:dyDescent="0.25">
      <c r="A2101" s="32"/>
      <c r="B2101" s="306"/>
      <c r="C2101" s="307"/>
      <c r="D2101" s="312"/>
      <c r="E2101" s="301"/>
      <c r="F2101" s="232"/>
      <c r="J2101" s="306"/>
      <c r="K2101" s="306"/>
      <c r="L2101" s="313"/>
      <c r="M2101" s="219"/>
      <c r="N2101" s="218"/>
      <c r="S2101" s="224"/>
      <c r="T2101" s="228"/>
      <c r="U2101" s="226"/>
      <c r="V2101" s="226"/>
      <c r="W2101" s="303"/>
      <c r="X2101" s="220"/>
      <c r="Z2101" s="227"/>
      <c r="AA2101" s="220"/>
      <c r="AB2101" s="221"/>
      <c r="AC2101" s="229"/>
      <c r="AD2101" s="230"/>
      <c r="AE2101" s="230"/>
      <c r="AF2101" s="230"/>
      <c r="AG2101" s="227"/>
    </row>
    <row r="2102" spans="1:33" x14ac:dyDescent="0.25">
      <c r="A2102" s="32"/>
      <c r="B2102" s="306"/>
      <c r="C2102" s="307"/>
      <c r="D2102" s="312"/>
      <c r="E2102" s="301"/>
      <c r="F2102" s="232"/>
      <c r="J2102" s="306"/>
      <c r="K2102" s="306"/>
      <c r="L2102" s="313"/>
      <c r="M2102" s="219"/>
      <c r="N2102" s="218"/>
      <c r="S2102" s="224"/>
      <c r="T2102" s="228"/>
      <c r="U2102" s="226"/>
      <c r="V2102" s="226"/>
      <c r="W2102" s="303"/>
      <c r="X2102" s="220"/>
      <c r="Z2102" s="227"/>
      <c r="AA2102" s="220"/>
      <c r="AB2102" s="221"/>
      <c r="AC2102" s="229"/>
      <c r="AD2102" s="230"/>
      <c r="AE2102" s="230"/>
      <c r="AF2102" s="230"/>
      <c r="AG2102" s="227"/>
    </row>
    <row r="2103" spans="1:33" x14ac:dyDescent="0.25">
      <c r="A2103" s="32"/>
      <c r="B2103" s="306"/>
      <c r="C2103" s="307"/>
      <c r="D2103" s="312"/>
      <c r="E2103" s="301"/>
      <c r="F2103" s="232"/>
      <c r="J2103" s="306"/>
      <c r="K2103" s="306"/>
      <c r="L2103" s="313"/>
      <c r="M2103" s="219"/>
      <c r="N2103" s="218"/>
      <c r="S2103" s="224"/>
      <c r="T2103" s="228"/>
      <c r="U2103" s="226"/>
      <c r="V2103" s="226"/>
      <c r="W2103" s="303"/>
      <c r="X2103" s="220"/>
      <c r="Z2103" s="227"/>
      <c r="AA2103" s="220"/>
      <c r="AB2103" s="221"/>
      <c r="AC2103" s="229"/>
      <c r="AD2103" s="230"/>
      <c r="AE2103" s="230"/>
      <c r="AF2103" s="230"/>
      <c r="AG2103" s="227"/>
    </row>
    <row r="2104" spans="1:33" x14ac:dyDescent="0.25">
      <c r="A2104" s="32"/>
      <c r="B2104" s="306"/>
      <c r="C2104" s="307"/>
      <c r="D2104" s="312"/>
      <c r="E2104" s="301"/>
      <c r="F2104" s="232"/>
      <c r="J2104" s="306"/>
      <c r="K2104" s="306"/>
      <c r="L2104" s="313"/>
      <c r="M2104" s="219"/>
      <c r="N2104" s="218"/>
      <c r="S2104" s="224"/>
      <c r="T2104" s="228"/>
      <c r="U2104" s="226"/>
      <c r="V2104" s="226"/>
      <c r="W2104" s="303"/>
      <c r="X2104" s="220"/>
      <c r="Z2104" s="227"/>
      <c r="AA2104" s="220"/>
      <c r="AB2104" s="221"/>
      <c r="AC2104" s="229"/>
      <c r="AD2104" s="230"/>
      <c r="AE2104" s="230"/>
      <c r="AF2104" s="230"/>
      <c r="AG2104" s="227"/>
    </row>
    <row r="2105" spans="1:33" x14ac:dyDescent="0.25">
      <c r="A2105" s="32"/>
      <c r="B2105" s="306"/>
      <c r="C2105" s="307"/>
      <c r="D2105" s="312"/>
      <c r="E2105" s="301"/>
      <c r="F2105" s="232"/>
      <c r="J2105" s="306"/>
      <c r="K2105" s="306"/>
      <c r="L2105" s="313"/>
      <c r="M2105" s="219"/>
      <c r="N2105" s="218"/>
      <c r="S2105" s="224"/>
      <c r="T2105" s="228"/>
      <c r="U2105" s="226"/>
      <c r="V2105" s="226"/>
      <c r="W2105" s="303"/>
      <c r="X2105" s="220"/>
      <c r="Z2105" s="227"/>
      <c r="AA2105" s="220"/>
      <c r="AB2105" s="221"/>
      <c r="AC2105" s="229"/>
      <c r="AD2105" s="230"/>
      <c r="AE2105" s="230"/>
      <c r="AF2105" s="230"/>
      <c r="AG2105" s="227"/>
    </row>
    <row r="2106" spans="1:33" x14ac:dyDescent="0.25">
      <c r="A2106" s="32"/>
      <c r="B2106" s="306"/>
      <c r="C2106" s="307"/>
      <c r="D2106" s="312"/>
      <c r="E2106" s="301"/>
      <c r="F2106" s="232"/>
      <c r="J2106" s="306"/>
      <c r="K2106" s="306"/>
      <c r="L2106" s="313"/>
      <c r="M2106" s="219"/>
      <c r="N2106" s="218"/>
      <c r="S2106" s="224"/>
      <c r="T2106" s="228"/>
      <c r="U2106" s="226"/>
      <c r="V2106" s="226"/>
      <c r="W2106" s="303"/>
      <c r="X2106" s="220"/>
      <c r="Z2106" s="227"/>
      <c r="AA2106" s="220"/>
      <c r="AB2106" s="221"/>
      <c r="AC2106" s="229"/>
      <c r="AD2106" s="230"/>
      <c r="AE2106" s="230"/>
      <c r="AF2106" s="230"/>
      <c r="AG2106" s="227"/>
    </row>
    <row r="2107" spans="1:33" x14ac:dyDescent="0.25">
      <c r="A2107" s="32"/>
      <c r="B2107" s="306"/>
      <c r="C2107" s="307"/>
      <c r="D2107" s="312"/>
      <c r="E2107" s="301"/>
      <c r="F2107" s="232"/>
      <c r="J2107" s="306"/>
      <c r="K2107" s="306"/>
      <c r="L2107" s="313"/>
      <c r="M2107" s="219"/>
      <c r="N2107" s="218"/>
      <c r="S2107" s="224"/>
      <c r="T2107" s="228"/>
      <c r="U2107" s="226"/>
      <c r="V2107" s="226"/>
      <c r="W2107" s="303"/>
      <c r="X2107" s="220"/>
      <c r="Z2107" s="227"/>
      <c r="AA2107" s="220"/>
      <c r="AB2107" s="221"/>
      <c r="AC2107" s="229"/>
      <c r="AD2107" s="230"/>
      <c r="AE2107" s="230"/>
      <c r="AF2107" s="230"/>
      <c r="AG2107" s="227"/>
    </row>
    <row r="2108" spans="1:33" x14ac:dyDescent="0.25">
      <c r="A2108" s="32"/>
      <c r="B2108" s="306"/>
      <c r="C2108" s="307"/>
      <c r="D2108" s="312"/>
      <c r="E2108" s="301"/>
      <c r="F2108" s="232"/>
      <c r="J2108" s="306"/>
      <c r="K2108" s="306"/>
      <c r="L2108" s="313"/>
      <c r="M2108" s="219"/>
      <c r="N2108" s="218"/>
      <c r="S2108" s="224"/>
      <c r="T2108" s="228"/>
      <c r="U2108" s="226"/>
      <c r="V2108" s="226"/>
      <c r="W2108" s="303"/>
      <c r="X2108" s="220"/>
      <c r="Z2108" s="227"/>
      <c r="AA2108" s="220"/>
      <c r="AB2108" s="221"/>
      <c r="AC2108" s="229"/>
      <c r="AD2108" s="230"/>
      <c r="AE2108" s="230"/>
      <c r="AF2108" s="230"/>
      <c r="AG2108" s="227"/>
    </row>
    <row r="2109" spans="1:33" x14ac:dyDescent="0.25">
      <c r="A2109" s="32"/>
      <c r="B2109" s="306"/>
      <c r="C2109" s="307"/>
      <c r="D2109" s="312"/>
      <c r="E2109" s="301"/>
      <c r="F2109" s="232"/>
      <c r="J2109" s="306"/>
      <c r="K2109" s="306"/>
      <c r="L2109" s="313"/>
      <c r="M2109" s="219"/>
      <c r="N2109" s="218"/>
      <c r="S2109" s="224"/>
      <c r="T2109" s="228"/>
      <c r="U2109" s="226"/>
      <c r="V2109" s="226"/>
      <c r="W2109" s="303"/>
      <c r="X2109" s="220"/>
      <c r="Z2109" s="227"/>
      <c r="AA2109" s="220"/>
      <c r="AB2109" s="221"/>
      <c r="AC2109" s="229"/>
      <c r="AD2109" s="230"/>
      <c r="AE2109" s="230"/>
      <c r="AF2109" s="230"/>
      <c r="AG2109" s="227"/>
    </row>
    <row r="2110" spans="1:33" x14ac:dyDescent="0.25">
      <c r="A2110" s="32"/>
      <c r="B2110" s="306"/>
      <c r="C2110" s="307"/>
      <c r="D2110" s="312"/>
      <c r="E2110" s="301"/>
      <c r="F2110" s="232"/>
      <c r="J2110" s="306"/>
      <c r="K2110" s="306"/>
      <c r="L2110" s="313"/>
      <c r="M2110" s="219"/>
      <c r="N2110" s="218"/>
      <c r="S2110" s="224"/>
      <c r="T2110" s="228"/>
      <c r="U2110" s="226"/>
      <c r="V2110" s="226"/>
      <c r="W2110" s="303"/>
      <c r="X2110" s="220"/>
      <c r="Z2110" s="227"/>
      <c r="AA2110" s="220"/>
      <c r="AB2110" s="221"/>
      <c r="AC2110" s="229"/>
      <c r="AD2110" s="230"/>
      <c r="AE2110" s="230"/>
      <c r="AF2110" s="230"/>
      <c r="AG2110" s="227"/>
    </row>
    <row r="2111" spans="1:33" x14ac:dyDescent="0.25">
      <c r="A2111" s="32"/>
      <c r="B2111" s="306"/>
      <c r="C2111" s="307"/>
      <c r="D2111" s="312"/>
      <c r="E2111" s="301"/>
      <c r="F2111" s="232"/>
      <c r="J2111" s="306"/>
      <c r="K2111" s="306"/>
      <c r="L2111" s="313"/>
      <c r="M2111" s="219"/>
      <c r="N2111" s="218"/>
      <c r="S2111" s="224"/>
      <c r="T2111" s="228"/>
      <c r="U2111" s="226"/>
      <c r="V2111" s="226"/>
      <c r="W2111" s="303"/>
      <c r="X2111" s="220"/>
      <c r="Z2111" s="227"/>
      <c r="AA2111" s="220"/>
      <c r="AB2111" s="221"/>
      <c r="AC2111" s="229"/>
      <c r="AD2111" s="230"/>
      <c r="AE2111" s="230"/>
      <c r="AF2111" s="230"/>
      <c r="AG2111" s="227"/>
    </row>
    <row r="2112" spans="1:33" x14ac:dyDescent="0.25">
      <c r="A2112" s="32"/>
      <c r="B2112" s="306"/>
      <c r="C2112" s="307"/>
      <c r="D2112" s="312"/>
      <c r="E2112" s="301"/>
      <c r="F2112" s="232"/>
      <c r="J2112" s="306"/>
      <c r="K2112" s="306"/>
      <c r="L2112" s="313"/>
      <c r="M2112" s="219"/>
      <c r="N2112" s="218"/>
      <c r="S2112" s="224"/>
      <c r="T2112" s="228"/>
      <c r="U2112" s="226"/>
      <c r="V2112" s="226"/>
      <c r="W2112" s="303"/>
      <c r="X2112" s="220"/>
      <c r="Z2112" s="227"/>
      <c r="AA2112" s="220"/>
      <c r="AB2112" s="221"/>
      <c r="AC2112" s="229"/>
      <c r="AD2112" s="230"/>
      <c r="AE2112" s="230"/>
      <c r="AF2112" s="230"/>
      <c r="AG2112" s="227"/>
    </row>
    <row r="2113" spans="1:33" x14ac:dyDescent="0.25">
      <c r="A2113" s="32"/>
      <c r="B2113" s="306"/>
      <c r="C2113" s="307"/>
      <c r="D2113" s="312"/>
      <c r="E2113" s="301"/>
      <c r="F2113" s="232"/>
      <c r="J2113" s="306"/>
      <c r="K2113" s="306"/>
      <c r="L2113" s="313"/>
      <c r="M2113" s="219"/>
      <c r="N2113" s="218"/>
      <c r="S2113" s="224"/>
      <c r="T2113" s="228"/>
      <c r="U2113" s="226"/>
      <c r="V2113" s="226"/>
      <c r="W2113" s="303"/>
      <c r="X2113" s="220"/>
      <c r="Z2113" s="227"/>
      <c r="AA2113" s="220"/>
      <c r="AB2113" s="221"/>
      <c r="AC2113" s="229"/>
      <c r="AD2113" s="230"/>
      <c r="AE2113" s="230"/>
      <c r="AF2113" s="230"/>
      <c r="AG2113" s="227"/>
    </row>
    <row r="2114" spans="1:33" x14ac:dyDescent="0.25">
      <c r="A2114" s="32"/>
      <c r="B2114" s="306"/>
      <c r="C2114" s="307"/>
      <c r="D2114" s="312"/>
      <c r="E2114" s="301"/>
      <c r="F2114" s="232"/>
      <c r="J2114" s="306"/>
      <c r="K2114" s="306"/>
      <c r="L2114" s="313"/>
      <c r="M2114" s="219"/>
      <c r="N2114" s="218"/>
      <c r="S2114" s="224"/>
      <c r="T2114" s="228"/>
      <c r="U2114" s="226"/>
      <c r="V2114" s="226"/>
      <c r="W2114" s="303"/>
      <c r="X2114" s="220"/>
      <c r="Z2114" s="227"/>
      <c r="AA2114" s="220"/>
      <c r="AB2114" s="221"/>
      <c r="AC2114" s="229"/>
      <c r="AD2114" s="230"/>
      <c r="AE2114" s="230"/>
      <c r="AF2114" s="230"/>
      <c r="AG2114" s="227"/>
    </row>
    <row r="2115" spans="1:33" x14ac:dyDescent="0.25">
      <c r="A2115" s="32"/>
      <c r="B2115" s="306"/>
      <c r="C2115" s="307"/>
      <c r="D2115" s="312"/>
      <c r="E2115" s="301"/>
      <c r="F2115" s="232"/>
      <c r="J2115" s="306"/>
      <c r="K2115" s="306"/>
      <c r="L2115" s="313"/>
      <c r="M2115" s="219"/>
      <c r="N2115" s="218"/>
      <c r="S2115" s="224"/>
      <c r="T2115" s="228"/>
      <c r="U2115" s="226"/>
      <c r="V2115" s="226"/>
      <c r="W2115" s="303"/>
      <c r="X2115" s="220"/>
      <c r="Z2115" s="227"/>
      <c r="AA2115" s="220"/>
      <c r="AB2115" s="221"/>
      <c r="AC2115" s="229"/>
      <c r="AD2115" s="230"/>
      <c r="AE2115" s="230"/>
      <c r="AF2115" s="230"/>
      <c r="AG2115" s="227"/>
    </row>
    <row r="2116" spans="1:33" x14ac:dyDescent="0.25">
      <c r="A2116" s="32"/>
      <c r="B2116" s="306"/>
      <c r="C2116" s="307"/>
      <c r="D2116" s="312"/>
      <c r="E2116" s="301"/>
      <c r="F2116" s="232"/>
      <c r="J2116" s="306"/>
      <c r="K2116" s="306"/>
      <c r="L2116" s="313"/>
      <c r="M2116" s="219"/>
      <c r="N2116" s="218"/>
      <c r="S2116" s="224"/>
      <c r="T2116" s="228"/>
      <c r="U2116" s="226"/>
      <c r="V2116" s="226"/>
      <c r="W2116" s="303"/>
      <c r="X2116" s="220"/>
      <c r="Z2116" s="227"/>
      <c r="AA2116" s="220"/>
      <c r="AB2116" s="221"/>
      <c r="AC2116" s="229"/>
      <c r="AD2116" s="230"/>
      <c r="AE2116" s="230"/>
      <c r="AF2116" s="230"/>
      <c r="AG2116" s="227"/>
    </row>
    <row r="2117" spans="1:33" x14ac:dyDescent="0.25">
      <c r="A2117" s="32"/>
      <c r="B2117" s="306"/>
      <c r="C2117" s="307"/>
      <c r="D2117" s="312"/>
      <c r="E2117" s="301"/>
      <c r="F2117" s="232"/>
      <c r="J2117" s="306"/>
      <c r="K2117" s="306"/>
      <c r="L2117" s="313"/>
      <c r="M2117" s="219"/>
      <c r="N2117" s="218"/>
      <c r="S2117" s="224"/>
      <c r="T2117" s="228"/>
      <c r="U2117" s="226"/>
      <c r="V2117" s="226"/>
      <c r="W2117" s="303"/>
      <c r="X2117" s="220"/>
      <c r="Z2117" s="227"/>
      <c r="AA2117" s="220"/>
      <c r="AB2117" s="221"/>
      <c r="AC2117" s="229"/>
      <c r="AD2117" s="230"/>
      <c r="AE2117" s="230"/>
      <c r="AF2117" s="230"/>
      <c r="AG2117" s="227"/>
    </row>
    <row r="2118" spans="1:33" x14ac:dyDescent="0.25">
      <c r="A2118" s="32"/>
      <c r="B2118" s="306"/>
      <c r="C2118" s="307"/>
      <c r="D2118" s="312"/>
      <c r="E2118" s="301"/>
      <c r="F2118" s="232"/>
      <c r="J2118" s="306"/>
      <c r="K2118" s="306"/>
      <c r="L2118" s="313"/>
      <c r="M2118" s="219"/>
      <c r="N2118" s="218"/>
      <c r="S2118" s="224"/>
      <c r="T2118" s="228"/>
      <c r="U2118" s="226"/>
      <c r="V2118" s="226"/>
      <c r="W2118" s="303"/>
      <c r="X2118" s="220"/>
      <c r="Z2118" s="227"/>
      <c r="AA2118" s="220"/>
      <c r="AB2118" s="221"/>
      <c r="AC2118" s="229"/>
      <c r="AD2118" s="230"/>
      <c r="AE2118" s="230"/>
      <c r="AF2118" s="230"/>
      <c r="AG2118" s="227"/>
    </row>
    <row r="2119" spans="1:33" x14ac:dyDescent="0.25">
      <c r="A2119" s="32"/>
      <c r="B2119" s="306"/>
      <c r="C2119" s="307"/>
      <c r="D2119" s="312"/>
      <c r="E2119" s="301"/>
      <c r="F2119" s="232"/>
      <c r="J2119" s="306"/>
      <c r="K2119" s="306"/>
      <c r="L2119" s="313"/>
      <c r="M2119" s="219"/>
      <c r="N2119" s="218"/>
      <c r="S2119" s="224"/>
      <c r="T2119" s="228"/>
      <c r="U2119" s="226"/>
      <c r="V2119" s="226"/>
      <c r="W2119" s="303"/>
      <c r="X2119" s="220"/>
      <c r="Z2119" s="227"/>
      <c r="AA2119" s="220"/>
      <c r="AB2119" s="221"/>
      <c r="AC2119" s="229"/>
      <c r="AD2119" s="230"/>
      <c r="AE2119" s="230"/>
      <c r="AF2119" s="230"/>
      <c r="AG2119" s="227"/>
    </row>
    <row r="2120" spans="1:33" x14ac:dyDescent="0.25">
      <c r="A2120" s="32"/>
      <c r="B2120" s="306"/>
      <c r="C2120" s="307"/>
      <c r="D2120" s="312"/>
      <c r="E2120" s="301"/>
      <c r="F2120" s="232"/>
      <c r="J2120" s="306"/>
      <c r="K2120" s="306"/>
      <c r="L2120" s="313"/>
      <c r="M2120" s="219"/>
      <c r="N2120" s="218"/>
      <c r="S2120" s="224"/>
      <c r="T2120" s="228"/>
      <c r="U2120" s="226"/>
      <c r="V2120" s="226"/>
      <c r="W2120" s="303"/>
      <c r="X2120" s="220"/>
      <c r="Z2120" s="227"/>
      <c r="AA2120" s="220"/>
      <c r="AB2120" s="221"/>
      <c r="AC2120" s="229"/>
      <c r="AD2120" s="230"/>
      <c r="AE2120" s="230"/>
      <c r="AF2120" s="230"/>
      <c r="AG2120" s="227"/>
    </row>
    <row r="2121" spans="1:33" x14ac:dyDescent="0.25">
      <c r="A2121" s="32"/>
      <c r="B2121" s="306"/>
      <c r="C2121" s="307"/>
      <c r="D2121" s="312"/>
      <c r="E2121" s="301"/>
      <c r="F2121" s="232"/>
      <c r="J2121" s="306"/>
      <c r="K2121" s="306"/>
      <c r="L2121" s="313"/>
      <c r="M2121" s="219"/>
      <c r="N2121" s="218"/>
      <c r="S2121" s="224"/>
      <c r="T2121" s="228"/>
      <c r="U2121" s="226"/>
      <c r="V2121" s="226"/>
      <c r="W2121" s="303"/>
      <c r="X2121" s="220"/>
      <c r="Z2121" s="227"/>
      <c r="AA2121" s="220"/>
      <c r="AB2121" s="221"/>
      <c r="AC2121" s="229"/>
      <c r="AD2121" s="230"/>
      <c r="AE2121" s="230"/>
      <c r="AF2121" s="230"/>
      <c r="AG2121" s="227"/>
    </row>
    <row r="2122" spans="1:33" x14ac:dyDescent="0.25">
      <c r="A2122" s="32"/>
      <c r="B2122" s="306"/>
      <c r="C2122" s="307"/>
      <c r="D2122" s="312"/>
      <c r="E2122" s="301"/>
      <c r="F2122" s="232"/>
      <c r="J2122" s="306"/>
      <c r="K2122" s="306"/>
      <c r="L2122" s="313"/>
      <c r="M2122" s="219"/>
      <c r="N2122" s="218"/>
      <c r="S2122" s="224"/>
      <c r="T2122" s="228"/>
      <c r="U2122" s="226"/>
      <c r="V2122" s="226"/>
      <c r="W2122" s="303"/>
      <c r="X2122" s="220"/>
      <c r="Z2122" s="227"/>
      <c r="AA2122" s="220"/>
      <c r="AB2122" s="221"/>
      <c r="AC2122" s="229"/>
      <c r="AD2122" s="230"/>
      <c r="AE2122" s="230"/>
      <c r="AF2122" s="230"/>
      <c r="AG2122" s="227"/>
    </row>
    <row r="2123" spans="1:33" x14ac:dyDescent="0.25">
      <c r="A2123" s="32"/>
      <c r="B2123" s="306"/>
      <c r="C2123" s="307"/>
      <c r="D2123" s="312"/>
      <c r="E2123" s="301"/>
      <c r="F2123" s="232"/>
      <c r="J2123" s="306"/>
      <c r="K2123" s="306"/>
      <c r="L2123" s="313"/>
      <c r="M2123" s="219"/>
      <c r="N2123" s="218"/>
      <c r="S2123" s="224"/>
      <c r="T2123" s="228"/>
      <c r="U2123" s="226"/>
      <c r="V2123" s="226"/>
      <c r="W2123" s="303"/>
      <c r="X2123" s="220"/>
      <c r="Z2123" s="227"/>
      <c r="AA2123" s="220"/>
      <c r="AB2123" s="221"/>
      <c r="AC2123" s="229"/>
      <c r="AD2123" s="230"/>
      <c r="AE2123" s="230"/>
      <c r="AF2123" s="230"/>
      <c r="AG2123" s="227"/>
    </row>
    <row r="2124" spans="1:33" x14ac:dyDescent="0.25">
      <c r="A2124" s="32"/>
      <c r="B2124" s="306"/>
      <c r="C2124" s="307"/>
      <c r="D2124" s="312"/>
      <c r="E2124" s="301"/>
      <c r="F2124" s="232"/>
      <c r="J2124" s="306"/>
      <c r="K2124" s="306"/>
      <c r="L2124" s="313"/>
      <c r="M2124" s="219"/>
      <c r="N2124" s="218"/>
      <c r="S2124" s="224"/>
      <c r="T2124" s="228"/>
      <c r="U2124" s="226"/>
      <c r="V2124" s="226"/>
      <c r="W2124" s="303"/>
      <c r="X2124" s="220"/>
      <c r="Z2124" s="227"/>
      <c r="AA2124" s="220"/>
      <c r="AB2124" s="221"/>
      <c r="AC2124" s="229"/>
      <c r="AD2124" s="230"/>
      <c r="AE2124" s="230"/>
      <c r="AF2124" s="230"/>
      <c r="AG2124" s="227"/>
    </row>
    <row r="2125" spans="1:33" x14ac:dyDescent="0.25">
      <c r="A2125" s="32"/>
      <c r="B2125" s="306"/>
      <c r="C2125" s="307"/>
      <c r="D2125" s="312"/>
      <c r="E2125" s="301"/>
      <c r="F2125" s="232"/>
      <c r="J2125" s="306"/>
      <c r="K2125" s="306"/>
      <c r="L2125" s="313"/>
      <c r="M2125" s="219"/>
      <c r="N2125" s="218"/>
      <c r="S2125" s="224"/>
      <c r="T2125" s="228"/>
      <c r="U2125" s="226"/>
      <c r="V2125" s="226"/>
      <c r="W2125" s="303"/>
      <c r="X2125" s="220"/>
      <c r="Z2125" s="227"/>
      <c r="AA2125" s="220"/>
      <c r="AB2125" s="221"/>
      <c r="AC2125" s="229"/>
      <c r="AD2125" s="230"/>
      <c r="AE2125" s="230"/>
      <c r="AF2125" s="230"/>
      <c r="AG2125" s="227"/>
    </row>
    <row r="2126" spans="1:33" x14ac:dyDescent="0.25">
      <c r="A2126" s="32"/>
      <c r="B2126" s="306"/>
      <c r="C2126" s="307"/>
      <c r="D2126" s="312"/>
      <c r="E2126" s="301"/>
      <c r="F2126" s="232"/>
      <c r="J2126" s="306"/>
      <c r="K2126" s="306"/>
      <c r="L2126" s="313"/>
      <c r="M2126" s="219"/>
      <c r="N2126" s="218"/>
      <c r="S2126" s="224"/>
      <c r="T2126" s="228"/>
      <c r="U2126" s="226"/>
      <c r="V2126" s="226"/>
      <c r="W2126" s="303"/>
      <c r="X2126" s="220"/>
      <c r="Z2126" s="227"/>
      <c r="AA2126" s="220"/>
      <c r="AB2126" s="221"/>
      <c r="AC2126" s="229"/>
      <c r="AD2126" s="230"/>
      <c r="AE2126" s="230"/>
      <c r="AF2126" s="230"/>
      <c r="AG2126" s="227"/>
    </row>
    <row r="2127" spans="1:33" x14ac:dyDescent="0.25">
      <c r="A2127" s="32"/>
      <c r="B2127" s="306"/>
      <c r="C2127" s="307"/>
      <c r="D2127" s="312"/>
      <c r="E2127" s="301"/>
      <c r="F2127" s="232"/>
      <c r="J2127" s="306"/>
      <c r="K2127" s="306"/>
      <c r="L2127" s="313"/>
      <c r="M2127" s="219"/>
      <c r="N2127" s="218"/>
      <c r="S2127" s="224"/>
      <c r="T2127" s="228"/>
      <c r="U2127" s="226"/>
      <c r="V2127" s="226"/>
      <c r="W2127" s="303"/>
      <c r="X2127" s="220"/>
      <c r="Z2127" s="227"/>
      <c r="AA2127" s="220"/>
      <c r="AB2127" s="221"/>
      <c r="AC2127" s="229"/>
      <c r="AD2127" s="230"/>
      <c r="AE2127" s="230"/>
      <c r="AF2127" s="230"/>
      <c r="AG2127" s="227"/>
    </row>
    <row r="2128" spans="1:33" x14ac:dyDescent="0.25">
      <c r="A2128" s="32"/>
      <c r="B2128" s="306"/>
      <c r="C2128" s="307"/>
      <c r="D2128" s="312"/>
      <c r="E2128" s="301"/>
      <c r="F2128" s="232"/>
      <c r="J2128" s="306"/>
      <c r="K2128" s="306"/>
      <c r="L2128" s="313"/>
      <c r="M2128" s="219"/>
      <c r="N2128" s="218"/>
      <c r="S2128" s="224"/>
      <c r="T2128" s="228"/>
      <c r="U2128" s="226"/>
      <c r="V2128" s="226"/>
      <c r="W2128" s="303"/>
      <c r="X2128" s="220"/>
      <c r="Z2128" s="227"/>
      <c r="AA2128" s="220"/>
      <c r="AB2128" s="221"/>
      <c r="AC2128" s="229"/>
      <c r="AD2128" s="230"/>
      <c r="AE2128" s="230"/>
      <c r="AF2128" s="230"/>
      <c r="AG2128" s="227"/>
    </row>
    <row r="2129" spans="1:33" x14ac:dyDescent="0.25">
      <c r="A2129" s="32"/>
      <c r="B2129" s="306"/>
      <c r="C2129" s="307"/>
      <c r="D2129" s="312"/>
      <c r="E2129" s="301"/>
      <c r="F2129" s="232"/>
      <c r="J2129" s="306"/>
      <c r="K2129" s="306"/>
      <c r="L2129" s="313"/>
      <c r="M2129" s="219"/>
      <c r="N2129" s="218"/>
      <c r="S2129" s="224"/>
      <c r="T2129" s="228"/>
      <c r="U2129" s="226"/>
      <c r="V2129" s="226"/>
      <c r="W2129" s="303"/>
      <c r="X2129" s="220"/>
      <c r="Z2129" s="227"/>
      <c r="AA2129" s="220"/>
      <c r="AB2129" s="221"/>
      <c r="AC2129" s="229"/>
      <c r="AD2129" s="230"/>
      <c r="AE2129" s="230"/>
      <c r="AF2129" s="230"/>
      <c r="AG2129" s="227"/>
    </row>
    <row r="2130" spans="1:33" x14ac:dyDescent="0.25">
      <c r="A2130" s="32"/>
      <c r="B2130" s="306"/>
      <c r="C2130" s="307"/>
      <c r="D2130" s="312"/>
      <c r="E2130" s="301"/>
      <c r="F2130" s="232"/>
      <c r="J2130" s="306"/>
      <c r="K2130" s="306"/>
      <c r="L2130" s="313"/>
      <c r="M2130" s="219"/>
      <c r="N2130" s="218"/>
      <c r="S2130" s="224"/>
      <c r="T2130" s="228"/>
      <c r="U2130" s="226"/>
      <c r="V2130" s="226"/>
      <c r="W2130" s="303"/>
      <c r="X2130" s="220"/>
      <c r="Z2130" s="227"/>
      <c r="AA2130" s="220"/>
      <c r="AB2130" s="221"/>
      <c r="AC2130" s="229"/>
      <c r="AD2130" s="230"/>
      <c r="AE2130" s="230"/>
      <c r="AF2130" s="230"/>
      <c r="AG2130" s="227"/>
    </row>
    <row r="2131" spans="1:33" x14ac:dyDescent="0.25">
      <c r="A2131" s="32"/>
      <c r="B2131" s="306"/>
      <c r="C2131" s="307"/>
      <c r="D2131" s="312"/>
      <c r="E2131" s="301"/>
      <c r="F2131" s="232"/>
      <c r="J2131" s="306"/>
      <c r="K2131" s="306"/>
      <c r="L2131" s="313"/>
      <c r="M2131" s="219"/>
      <c r="N2131" s="218"/>
      <c r="S2131" s="224"/>
      <c r="T2131" s="228"/>
      <c r="U2131" s="226"/>
      <c r="V2131" s="226"/>
      <c r="W2131" s="303"/>
      <c r="X2131" s="220"/>
      <c r="Z2131" s="227"/>
      <c r="AA2131" s="220"/>
      <c r="AB2131" s="221"/>
      <c r="AC2131" s="229"/>
      <c r="AD2131" s="230"/>
      <c r="AE2131" s="230"/>
      <c r="AF2131" s="230"/>
      <c r="AG2131" s="227"/>
    </row>
    <row r="2132" spans="1:33" x14ac:dyDescent="0.25">
      <c r="A2132" s="32"/>
      <c r="B2132" s="306"/>
      <c r="C2132" s="307"/>
      <c r="D2132" s="312"/>
      <c r="E2132" s="301"/>
      <c r="F2132" s="232"/>
      <c r="J2132" s="306"/>
      <c r="K2132" s="306"/>
      <c r="L2132" s="313"/>
      <c r="M2132" s="219"/>
      <c r="N2132" s="218"/>
      <c r="S2132" s="224"/>
      <c r="T2132" s="228"/>
      <c r="U2132" s="226"/>
      <c r="V2132" s="226"/>
      <c r="W2132" s="303"/>
      <c r="X2132" s="220"/>
      <c r="Z2132" s="227"/>
      <c r="AA2132" s="220"/>
      <c r="AB2132" s="221"/>
      <c r="AC2132" s="229"/>
      <c r="AD2132" s="230"/>
      <c r="AE2132" s="230"/>
      <c r="AF2132" s="230"/>
      <c r="AG2132" s="227"/>
    </row>
    <row r="2133" spans="1:33" x14ac:dyDescent="0.25">
      <c r="A2133" s="32"/>
      <c r="B2133" s="306"/>
      <c r="C2133" s="307"/>
      <c r="D2133" s="312"/>
      <c r="E2133" s="301"/>
      <c r="F2133" s="232"/>
      <c r="J2133" s="306"/>
      <c r="K2133" s="306"/>
      <c r="L2133" s="313"/>
      <c r="M2133" s="219"/>
      <c r="N2133" s="218"/>
      <c r="S2133" s="224"/>
      <c r="T2133" s="228"/>
      <c r="U2133" s="226"/>
      <c r="V2133" s="226"/>
      <c r="W2133" s="303"/>
      <c r="X2133" s="220"/>
      <c r="Z2133" s="227"/>
      <c r="AA2133" s="220"/>
      <c r="AB2133" s="221"/>
      <c r="AC2133" s="229"/>
      <c r="AD2133" s="230"/>
      <c r="AE2133" s="230"/>
      <c r="AF2133" s="230"/>
      <c r="AG2133" s="227"/>
    </row>
    <row r="2134" spans="1:33" x14ac:dyDescent="0.25">
      <c r="A2134" s="32"/>
      <c r="B2134" s="306"/>
      <c r="C2134" s="307"/>
      <c r="D2134" s="312"/>
      <c r="E2134" s="301"/>
      <c r="F2134" s="232"/>
      <c r="J2134" s="306"/>
      <c r="K2134" s="306"/>
      <c r="L2134" s="313"/>
      <c r="M2134" s="219"/>
      <c r="N2134" s="218"/>
      <c r="S2134" s="224"/>
      <c r="T2134" s="228"/>
      <c r="U2134" s="226"/>
      <c r="V2134" s="226"/>
      <c r="W2134" s="303"/>
      <c r="X2134" s="220"/>
      <c r="Z2134" s="227"/>
      <c r="AA2134" s="220"/>
      <c r="AB2134" s="221"/>
      <c r="AC2134" s="229"/>
      <c r="AD2134" s="230"/>
      <c r="AE2134" s="230"/>
      <c r="AF2134" s="230"/>
      <c r="AG2134" s="227"/>
    </row>
    <row r="2135" spans="1:33" x14ac:dyDescent="0.25">
      <c r="A2135" s="32"/>
      <c r="B2135" s="306"/>
      <c r="C2135" s="307"/>
      <c r="D2135" s="312"/>
      <c r="E2135" s="301"/>
      <c r="F2135" s="232"/>
      <c r="J2135" s="306"/>
      <c r="K2135" s="306"/>
      <c r="L2135" s="313"/>
      <c r="M2135" s="219"/>
      <c r="N2135" s="218"/>
      <c r="S2135" s="224"/>
      <c r="T2135" s="228"/>
      <c r="U2135" s="226"/>
      <c r="V2135" s="226"/>
      <c r="W2135" s="303"/>
      <c r="X2135" s="220"/>
      <c r="Z2135" s="227"/>
      <c r="AA2135" s="220"/>
      <c r="AB2135" s="221"/>
      <c r="AC2135" s="229"/>
      <c r="AD2135" s="230"/>
      <c r="AE2135" s="230"/>
      <c r="AF2135" s="230"/>
      <c r="AG2135" s="227"/>
    </row>
    <row r="2136" spans="1:33" x14ac:dyDescent="0.25">
      <c r="A2136" s="32"/>
      <c r="B2136" s="306"/>
      <c r="C2136" s="307"/>
      <c r="D2136" s="312"/>
      <c r="E2136" s="301"/>
      <c r="F2136" s="232"/>
      <c r="J2136" s="306"/>
      <c r="K2136" s="306"/>
      <c r="L2136" s="313"/>
      <c r="M2136" s="219"/>
      <c r="N2136" s="218"/>
      <c r="S2136" s="224"/>
      <c r="T2136" s="228"/>
      <c r="U2136" s="226"/>
      <c r="V2136" s="226"/>
      <c r="W2136" s="303"/>
      <c r="X2136" s="220"/>
      <c r="Z2136" s="227"/>
      <c r="AA2136" s="220"/>
      <c r="AB2136" s="221"/>
      <c r="AC2136" s="229"/>
      <c r="AD2136" s="230"/>
      <c r="AE2136" s="230"/>
      <c r="AF2136" s="230"/>
      <c r="AG2136" s="227"/>
    </row>
    <row r="2137" spans="1:33" x14ac:dyDescent="0.25">
      <c r="A2137" s="32"/>
      <c r="B2137" s="306"/>
      <c r="C2137" s="307"/>
      <c r="D2137" s="312"/>
      <c r="E2137" s="301"/>
      <c r="F2137" s="232"/>
      <c r="J2137" s="306"/>
      <c r="K2137" s="306"/>
      <c r="L2137" s="313"/>
      <c r="M2137" s="219"/>
      <c r="N2137" s="218"/>
      <c r="S2137" s="224"/>
      <c r="T2137" s="228"/>
      <c r="U2137" s="226"/>
      <c r="V2137" s="226"/>
      <c r="W2137" s="303"/>
      <c r="X2137" s="220"/>
      <c r="Z2137" s="227"/>
      <c r="AA2137" s="220"/>
      <c r="AB2137" s="221"/>
      <c r="AC2137" s="229"/>
      <c r="AD2137" s="230"/>
      <c r="AE2137" s="230"/>
      <c r="AF2137" s="230"/>
      <c r="AG2137" s="227"/>
    </row>
    <row r="2138" spans="1:33" x14ac:dyDescent="0.25">
      <c r="A2138" s="32"/>
      <c r="B2138" s="306"/>
      <c r="C2138" s="307"/>
      <c r="D2138" s="312"/>
      <c r="E2138" s="301"/>
      <c r="F2138" s="232"/>
      <c r="J2138" s="306"/>
      <c r="K2138" s="306"/>
      <c r="L2138" s="313"/>
      <c r="M2138" s="219"/>
      <c r="N2138" s="218"/>
      <c r="S2138" s="224"/>
      <c r="T2138" s="228"/>
      <c r="U2138" s="226"/>
      <c r="V2138" s="226"/>
      <c r="W2138" s="303"/>
      <c r="X2138" s="220"/>
      <c r="Z2138" s="227"/>
      <c r="AA2138" s="220"/>
      <c r="AB2138" s="221"/>
      <c r="AC2138" s="229"/>
      <c r="AD2138" s="230"/>
      <c r="AE2138" s="230"/>
      <c r="AF2138" s="230"/>
      <c r="AG2138" s="227"/>
    </row>
    <row r="2139" spans="1:33" x14ac:dyDescent="0.25">
      <c r="A2139" s="32"/>
      <c r="B2139" s="306"/>
      <c r="C2139" s="307"/>
      <c r="D2139" s="312"/>
      <c r="E2139" s="301"/>
      <c r="F2139" s="232"/>
      <c r="J2139" s="306"/>
      <c r="K2139" s="306"/>
      <c r="L2139" s="313"/>
      <c r="M2139" s="219"/>
      <c r="N2139" s="218"/>
      <c r="S2139" s="224"/>
      <c r="T2139" s="228"/>
      <c r="U2139" s="226"/>
      <c r="V2139" s="226"/>
      <c r="W2139" s="303"/>
      <c r="X2139" s="220"/>
      <c r="Z2139" s="227"/>
      <c r="AA2139" s="220"/>
      <c r="AB2139" s="221"/>
      <c r="AC2139" s="229"/>
      <c r="AD2139" s="230"/>
      <c r="AE2139" s="230"/>
      <c r="AF2139" s="230"/>
      <c r="AG2139" s="227"/>
    </row>
    <row r="2140" spans="1:33" x14ac:dyDescent="0.25">
      <c r="A2140" s="32"/>
      <c r="B2140" s="306"/>
      <c r="C2140" s="307"/>
      <c r="D2140" s="312"/>
      <c r="E2140" s="301"/>
      <c r="F2140" s="232"/>
      <c r="J2140" s="306"/>
      <c r="K2140" s="306"/>
      <c r="L2140" s="313"/>
      <c r="M2140" s="219"/>
      <c r="N2140" s="218"/>
      <c r="S2140" s="224"/>
      <c r="T2140" s="228"/>
      <c r="U2140" s="226"/>
      <c r="V2140" s="226"/>
      <c r="W2140" s="303"/>
      <c r="X2140" s="220"/>
      <c r="Z2140" s="227"/>
      <c r="AA2140" s="220"/>
      <c r="AB2140" s="221"/>
      <c r="AC2140" s="229"/>
      <c r="AD2140" s="230"/>
      <c r="AE2140" s="230"/>
      <c r="AF2140" s="230"/>
      <c r="AG2140" s="227"/>
    </row>
    <row r="2141" spans="1:33" x14ac:dyDescent="0.25">
      <c r="A2141" s="32"/>
      <c r="B2141" s="306"/>
      <c r="C2141" s="307"/>
      <c r="D2141" s="312"/>
      <c r="E2141" s="301"/>
      <c r="F2141" s="232"/>
      <c r="J2141" s="306"/>
      <c r="K2141" s="306"/>
      <c r="L2141" s="313"/>
      <c r="M2141" s="219"/>
      <c r="N2141" s="218"/>
      <c r="S2141" s="224"/>
      <c r="T2141" s="228"/>
      <c r="U2141" s="226"/>
      <c r="V2141" s="226"/>
      <c r="W2141" s="303"/>
      <c r="X2141" s="220"/>
      <c r="Z2141" s="227"/>
      <c r="AA2141" s="220"/>
      <c r="AB2141" s="221"/>
      <c r="AC2141" s="229"/>
      <c r="AD2141" s="230"/>
      <c r="AE2141" s="230"/>
      <c r="AF2141" s="230"/>
      <c r="AG2141" s="227"/>
    </row>
    <row r="2142" spans="1:33" x14ac:dyDescent="0.25">
      <c r="A2142" s="32"/>
      <c r="B2142" s="306"/>
      <c r="C2142" s="307"/>
      <c r="D2142" s="312"/>
      <c r="E2142" s="301"/>
      <c r="F2142" s="232"/>
      <c r="J2142" s="306"/>
      <c r="K2142" s="306"/>
      <c r="L2142" s="313"/>
      <c r="M2142" s="219"/>
      <c r="N2142" s="218"/>
      <c r="S2142" s="224"/>
      <c r="T2142" s="228"/>
      <c r="U2142" s="226"/>
      <c r="V2142" s="226"/>
      <c r="W2142" s="303"/>
      <c r="X2142" s="220"/>
      <c r="Z2142" s="227"/>
      <c r="AA2142" s="220"/>
      <c r="AB2142" s="221"/>
      <c r="AC2142" s="229"/>
      <c r="AD2142" s="230"/>
      <c r="AE2142" s="230"/>
      <c r="AF2142" s="230"/>
      <c r="AG2142" s="227"/>
    </row>
    <row r="2143" spans="1:33" x14ac:dyDescent="0.25">
      <c r="A2143" s="32"/>
      <c r="B2143" s="306"/>
      <c r="C2143" s="307"/>
      <c r="D2143" s="312"/>
      <c r="E2143" s="301"/>
      <c r="F2143" s="232"/>
      <c r="J2143" s="306"/>
      <c r="K2143" s="306"/>
      <c r="L2143" s="313"/>
      <c r="M2143" s="219"/>
      <c r="N2143" s="218"/>
      <c r="S2143" s="224"/>
      <c r="T2143" s="228"/>
      <c r="U2143" s="226"/>
      <c r="V2143" s="226"/>
      <c r="W2143" s="303"/>
      <c r="X2143" s="220"/>
      <c r="Z2143" s="227"/>
      <c r="AA2143" s="220"/>
      <c r="AB2143" s="221"/>
      <c r="AC2143" s="229"/>
      <c r="AD2143" s="230"/>
      <c r="AE2143" s="230"/>
      <c r="AF2143" s="230"/>
      <c r="AG2143" s="227"/>
    </row>
    <row r="2144" spans="1:33" x14ac:dyDescent="0.25">
      <c r="A2144" s="32"/>
      <c r="B2144" s="306"/>
      <c r="C2144" s="307"/>
      <c r="D2144" s="312"/>
      <c r="E2144" s="301"/>
      <c r="F2144" s="232"/>
      <c r="J2144" s="306"/>
      <c r="K2144" s="306"/>
      <c r="L2144" s="313"/>
      <c r="M2144" s="219"/>
      <c r="N2144" s="218"/>
      <c r="S2144" s="224"/>
      <c r="T2144" s="228"/>
      <c r="U2144" s="226"/>
      <c r="V2144" s="226"/>
      <c r="W2144" s="303"/>
      <c r="X2144" s="220"/>
      <c r="Z2144" s="227"/>
      <c r="AA2144" s="220"/>
      <c r="AB2144" s="221"/>
      <c r="AC2144" s="229"/>
      <c r="AD2144" s="230"/>
      <c r="AE2144" s="230"/>
      <c r="AF2144" s="230"/>
      <c r="AG2144" s="227"/>
    </row>
    <row r="2145" spans="1:33" x14ac:dyDescent="0.25">
      <c r="A2145" s="32"/>
      <c r="B2145" s="306"/>
      <c r="C2145" s="307"/>
      <c r="D2145" s="312"/>
      <c r="E2145" s="301"/>
      <c r="F2145" s="232"/>
      <c r="J2145" s="306"/>
      <c r="K2145" s="306"/>
      <c r="L2145" s="313"/>
      <c r="M2145" s="219"/>
      <c r="N2145" s="218"/>
      <c r="S2145" s="224"/>
      <c r="T2145" s="228"/>
      <c r="U2145" s="226"/>
      <c r="V2145" s="226"/>
      <c r="W2145" s="303"/>
      <c r="X2145" s="220"/>
      <c r="Z2145" s="227"/>
      <c r="AA2145" s="220"/>
      <c r="AB2145" s="221"/>
      <c r="AC2145" s="229"/>
      <c r="AD2145" s="230"/>
      <c r="AE2145" s="230"/>
      <c r="AF2145" s="230"/>
      <c r="AG2145" s="227"/>
    </row>
    <row r="2146" spans="1:33" x14ac:dyDescent="0.25">
      <c r="A2146" s="32"/>
      <c r="B2146" s="306"/>
      <c r="C2146" s="307"/>
      <c r="D2146" s="312"/>
      <c r="E2146" s="301"/>
      <c r="F2146" s="232"/>
      <c r="J2146" s="306"/>
      <c r="K2146" s="306"/>
      <c r="L2146" s="313"/>
      <c r="M2146" s="219"/>
      <c r="N2146" s="218"/>
      <c r="S2146" s="224"/>
      <c r="T2146" s="228"/>
      <c r="U2146" s="226"/>
      <c r="V2146" s="226"/>
      <c r="W2146" s="303"/>
      <c r="X2146" s="220"/>
      <c r="Z2146" s="227"/>
      <c r="AA2146" s="220"/>
      <c r="AB2146" s="221"/>
      <c r="AC2146" s="229"/>
      <c r="AD2146" s="230"/>
      <c r="AE2146" s="230"/>
      <c r="AF2146" s="230"/>
      <c r="AG2146" s="227"/>
    </row>
    <row r="2147" spans="1:33" x14ac:dyDescent="0.25">
      <c r="A2147" s="32"/>
      <c r="B2147" s="306"/>
      <c r="C2147" s="307"/>
      <c r="D2147" s="312"/>
      <c r="E2147" s="301"/>
      <c r="F2147" s="232"/>
      <c r="J2147" s="306"/>
      <c r="K2147" s="306"/>
      <c r="L2147" s="313"/>
      <c r="M2147" s="219"/>
      <c r="N2147" s="218"/>
      <c r="S2147" s="224"/>
      <c r="T2147" s="228"/>
      <c r="U2147" s="226"/>
      <c r="V2147" s="226"/>
      <c r="W2147" s="303"/>
      <c r="X2147" s="220"/>
      <c r="Z2147" s="227"/>
      <c r="AA2147" s="220"/>
      <c r="AB2147" s="221"/>
      <c r="AC2147" s="229"/>
      <c r="AD2147" s="230"/>
      <c r="AE2147" s="230"/>
      <c r="AF2147" s="230"/>
      <c r="AG2147" s="227"/>
    </row>
    <row r="2148" spans="1:33" x14ac:dyDescent="0.25">
      <c r="A2148" s="32"/>
      <c r="B2148" s="306"/>
      <c r="C2148" s="307"/>
      <c r="D2148" s="312"/>
      <c r="E2148" s="301"/>
      <c r="F2148" s="232"/>
      <c r="J2148" s="306"/>
      <c r="K2148" s="306"/>
      <c r="L2148" s="313"/>
      <c r="M2148" s="219"/>
      <c r="N2148" s="218"/>
      <c r="S2148" s="224"/>
      <c r="T2148" s="228"/>
      <c r="U2148" s="226"/>
      <c r="V2148" s="226"/>
      <c r="W2148" s="303"/>
      <c r="X2148" s="220"/>
      <c r="Z2148" s="227"/>
      <c r="AA2148" s="220"/>
      <c r="AB2148" s="221"/>
      <c r="AC2148" s="229"/>
      <c r="AD2148" s="230"/>
      <c r="AE2148" s="230"/>
      <c r="AF2148" s="230"/>
      <c r="AG2148" s="227"/>
    </row>
    <row r="2149" spans="1:33" x14ac:dyDescent="0.25">
      <c r="A2149" s="32"/>
      <c r="B2149" s="306"/>
      <c r="C2149" s="307"/>
      <c r="D2149" s="312"/>
      <c r="E2149" s="301"/>
      <c r="F2149" s="232"/>
      <c r="J2149" s="306"/>
      <c r="K2149" s="306"/>
      <c r="L2149" s="313"/>
      <c r="M2149" s="219"/>
      <c r="N2149" s="218"/>
      <c r="S2149" s="224"/>
      <c r="T2149" s="228"/>
      <c r="U2149" s="226"/>
      <c r="V2149" s="226"/>
      <c r="W2149" s="303"/>
      <c r="X2149" s="220"/>
      <c r="Z2149" s="227"/>
      <c r="AA2149" s="220"/>
      <c r="AB2149" s="221"/>
      <c r="AC2149" s="229"/>
      <c r="AD2149" s="230"/>
      <c r="AE2149" s="230"/>
      <c r="AF2149" s="230"/>
      <c r="AG2149" s="227"/>
    </row>
    <row r="2150" spans="1:33" x14ac:dyDescent="0.25">
      <c r="A2150" s="32"/>
      <c r="B2150" s="306"/>
      <c r="C2150" s="307"/>
      <c r="D2150" s="312"/>
      <c r="E2150" s="301"/>
      <c r="F2150" s="232"/>
      <c r="J2150" s="306"/>
      <c r="K2150" s="306"/>
      <c r="L2150" s="313"/>
      <c r="M2150" s="219"/>
      <c r="N2150" s="218"/>
      <c r="S2150" s="224"/>
      <c r="T2150" s="228"/>
      <c r="U2150" s="226"/>
      <c r="V2150" s="226"/>
      <c r="W2150" s="303"/>
      <c r="X2150" s="220"/>
      <c r="Z2150" s="227"/>
      <c r="AA2150" s="220"/>
      <c r="AB2150" s="221"/>
      <c r="AC2150" s="229"/>
      <c r="AD2150" s="230"/>
      <c r="AE2150" s="230"/>
      <c r="AF2150" s="230"/>
      <c r="AG2150" s="227"/>
    </row>
    <row r="2151" spans="1:33" x14ac:dyDescent="0.25">
      <c r="A2151" s="32"/>
      <c r="B2151" s="306"/>
      <c r="C2151" s="307"/>
      <c r="D2151" s="312"/>
      <c r="E2151" s="301"/>
      <c r="F2151" s="232"/>
      <c r="J2151" s="306"/>
      <c r="K2151" s="306"/>
      <c r="L2151" s="313"/>
      <c r="M2151" s="219"/>
      <c r="N2151" s="218"/>
      <c r="S2151" s="224"/>
      <c r="T2151" s="228"/>
      <c r="U2151" s="226"/>
      <c r="V2151" s="226"/>
      <c r="W2151" s="303"/>
      <c r="X2151" s="220"/>
      <c r="Z2151" s="227"/>
      <c r="AA2151" s="220"/>
      <c r="AB2151" s="221"/>
      <c r="AC2151" s="229"/>
      <c r="AD2151" s="230"/>
      <c r="AE2151" s="230"/>
      <c r="AF2151" s="230"/>
      <c r="AG2151" s="227"/>
    </row>
    <row r="2152" spans="1:33" x14ac:dyDescent="0.25">
      <c r="A2152" s="32"/>
      <c r="B2152" s="306"/>
      <c r="C2152" s="307"/>
      <c r="D2152" s="312"/>
      <c r="E2152" s="301"/>
      <c r="F2152" s="232"/>
      <c r="J2152" s="306"/>
      <c r="K2152" s="306"/>
      <c r="L2152" s="313"/>
      <c r="M2152" s="219"/>
      <c r="N2152" s="218"/>
      <c r="S2152" s="224"/>
      <c r="T2152" s="228"/>
      <c r="U2152" s="226"/>
      <c r="V2152" s="226"/>
      <c r="W2152" s="303"/>
      <c r="X2152" s="220"/>
      <c r="Z2152" s="227"/>
      <c r="AA2152" s="220"/>
      <c r="AB2152" s="221"/>
      <c r="AC2152" s="229"/>
      <c r="AD2152" s="230"/>
      <c r="AE2152" s="230"/>
      <c r="AF2152" s="230"/>
      <c r="AG2152" s="227"/>
    </row>
    <row r="2153" spans="1:33" x14ac:dyDescent="0.25">
      <c r="A2153" s="32"/>
      <c r="B2153" s="306"/>
      <c r="C2153" s="307"/>
      <c r="D2153" s="312"/>
      <c r="E2153" s="301"/>
      <c r="F2153" s="232"/>
      <c r="J2153" s="306"/>
      <c r="K2153" s="306"/>
      <c r="L2153" s="313"/>
      <c r="M2153" s="219"/>
      <c r="N2153" s="218"/>
      <c r="S2153" s="224"/>
      <c r="T2153" s="228"/>
      <c r="U2153" s="226"/>
      <c r="V2153" s="226"/>
      <c r="W2153" s="303"/>
      <c r="X2153" s="220"/>
      <c r="Z2153" s="227"/>
      <c r="AA2153" s="220"/>
      <c r="AB2153" s="221"/>
      <c r="AC2153" s="229"/>
      <c r="AD2153" s="230"/>
      <c r="AE2153" s="230"/>
      <c r="AF2153" s="230"/>
      <c r="AG2153" s="227"/>
    </row>
    <row r="2154" spans="1:33" x14ac:dyDescent="0.25">
      <c r="A2154" s="32"/>
      <c r="B2154" s="306"/>
      <c r="C2154" s="307"/>
      <c r="D2154" s="312"/>
      <c r="E2154" s="301"/>
      <c r="F2154" s="232"/>
      <c r="J2154" s="306"/>
      <c r="K2154" s="306"/>
      <c r="L2154" s="313"/>
      <c r="M2154" s="219"/>
      <c r="N2154" s="218"/>
      <c r="S2154" s="224"/>
      <c r="T2154" s="228"/>
      <c r="U2154" s="226"/>
      <c r="V2154" s="226"/>
      <c r="W2154" s="303"/>
      <c r="X2154" s="220"/>
      <c r="Z2154" s="227"/>
      <c r="AA2154" s="220"/>
      <c r="AB2154" s="221"/>
      <c r="AC2154" s="229"/>
      <c r="AD2154" s="230"/>
      <c r="AE2154" s="230"/>
      <c r="AF2154" s="230"/>
      <c r="AG2154" s="227"/>
    </row>
    <row r="2155" spans="1:33" x14ac:dyDescent="0.25">
      <c r="A2155" s="32"/>
      <c r="B2155" s="306"/>
      <c r="C2155" s="307"/>
      <c r="D2155" s="312"/>
      <c r="E2155" s="301"/>
      <c r="F2155" s="232"/>
      <c r="J2155" s="306"/>
      <c r="K2155" s="306"/>
      <c r="L2155" s="313"/>
      <c r="M2155" s="219"/>
      <c r="N2155" s="218"/>
      <c r="S2155" s="224"/>
      <c r="T2155" s="228"/>
      <c r="U2155" s="226"/>
      <c r="V2155" s="226"/>
      <c r="W2155" s="303"/>
      <c r="X2155" s="220"/>
      <c r="Z2155" s="227"/>
      <c r="AA2155" s="220"/>
      <c r="AB2155" s="221"/>
      <c r="AC2155" s="229"/>
      <c r="AD2155" s="230"/>
      <c r="AE2155" s="230"/>
      <c r="AF2155" s="230"/>
      <c r="AG2155" s="227"/>
    </row>
    <row r="2156" spans="1:33" x14ac:dyDescent="0.25">
      <c r="A2156" s="32"/>
      <c r="B2156" s="306"/>
      <c r="C2156" s="307"/>
      <c r="D2156" s="312"/>
      <c r="E2156" s="301"/>
      <c r="F2156" s="232"/>
      <c r="J2156" s="306"/>
      <c r="K2156" s="306"/>
      <c r="L2156" s="313"/>
      <c r="M2156" s="219"/>
      <c r="N2156" s="218"/>
      <c r="S2156" s="224"/>
      <c r="T2156" s="228"/>
      <c r="U2156" s="226"/>
      <c r="V2156" s="226"/>
      <c r="W2156" s="303"/>
      <c r="X2156" s="220"/>
      <c r="Z2156" s="227"/>
      <c r="AA2156" s="220"/>
      <c r="AB2156" s="221"/>
      <c r="AC2156" s="229"/>
      <c r="AD2156" s="230"/>
      <c r="AE2156" s="230"/>
      <c r="AF2156" s="230"/>
      <c r="AG2156" s="227"/>
    </row>
    <row r="2157" spans="1:33" x14ac:dyDescent="0.25">
      <c r="A2157" s="32"/>
      <c r="B2157" s="306"/>
      <c r="C2157" s="307"/>
      <c r="D2157" s="312"/>
      <c r="E2157" s="301"/>
      <c r="F2157" s="232"/>
      <c r="J2157" s="306"/>
      <c r="K2157" s="306"/>
      <c r="L2157" s="313"/>
      <c r="M2157" s="219"/>
      <c r="N2157" s="218"/>
      <c r="S2157" s="224"/>
      <c r="T2157" s="228"/>
      <c r="U2157" s="226"/>
      <c r="V2157" s="226"/>
      <c r="W2157" s="303"/>
      <c r="X2157" s="220"/>
      <c r="Z2157" s="227"/>
      <c r="AA2157" s="220"/>
      <c r="AB2157" s="221"/>
      <c r="AC2157" s="229"/>
      <c r="AD2157" s="230"/>
      <c r="AE2157" s="230"/>
      <c r="AF2157" s="230"/>
      <c r="AG2157" s="227"/>
    </row>
    <row r="2158" spans="1:33" x14ac:dyDescent="0.25">
      <c r="A2158" s="32"/>
      <c r="B2158" s="306"/>
      <c r="C2158" s="307"/>
      <c r="D2158" s="312"/>
      <c r="E2158" s="301"/>
      <c r="F2158" s="232"/>
      <c r="J2158" s="306"/>
      <c r="K2158" s="306"/>
      <c r="L2158" s="313"/>
      <c r="M2158" s="219"/>
      <c r="N2158" s="218"/>
      <c r="S2158" s="224"/>
      <c r="T2158" s="228"/>
      <c r="U2158" s="226"/>
      <c r="V2158" s="226"/>
      <c r="W2158" s="303"/>
      <c r="X2158" s="220"/>
      <c r="Z2158" s="227"/>
      <c r="AA2158" s="220"/>
      <c r="AB2158" s="221"/>
      <c r="AC2158" s="229"/>
      <c r="AD2158" s="230"/>
      <c r="AE2158" s="230"/>
      <c r="AF2158" s="230"/>
      <c r="AG2158" s="227"/>
    </row>
    <row r="2159" spans="1:33" x14ac:dyDescent="0.25">
      <c r="A2159" s="32"/>
      <c r="B2159" s="306"/>
      <c r="C2159" s="307"/>
      <c r="D2159" s="312"/>
      <c r="E2159" s="301"/>
      <c r="F2159" s="232"/>
      <c r="J2159" s="306"/>
      <c r="K2159" s="306"/>
      <c r="L2159" s="313"/>
      <c r="M2159" s="219"/>
      <c r="N2159" s="218"/>
      <c r="S2159" s="224"/>
      <c r="T2159" s="228"/>
      <c r="U2159" s="226"/>
      <c r="V2159" s="226"/>
      <c r="W2159" s="303"/>
      <c r="X2159" s="220"/>
      <c r="Z2159" s="227"/>
      <c r="AA2159" s="220"/>
      <c r="AB2159" s="221"/>
      <c r="AC2159" s="229"/>
      <c r="AD2159" s="230"/>
      <c r="AE2159" s="230"/>
      <c r="AF2159" s="230"/>
      <c r="AG2159" s="227"/>
    </row>
    <row r="2160" spans="1:33" x14ac:dyDescent="0.25">
      <c r="A2160" s="32"/>
      <c r="B2160" s="306"/>
      <c r="C2160" s="307"/>
      <c r="D2160" s="312"/>
      <c r="E2160" s="301"/>
      <c r="F2160" s="232"/>
      <c r="J2160" s="306"/>
      <c r="K2160" s="306"/>
      <c r="L2160" s="313"/>
      <c r="M2160" s="219"/>
      <c r="N2160" s="218"/>
      <c r="S2160" s="224"/>
      <c r="T2160" s="228"/>
      <c r="U2160" s="226"/>
      <c r="V2160" s="226"/>
      <c r="W2160" s="303"/>
      <c r="X2160" s="220"/>
      <c r="Z2160" s="227"/>
      <c r="AA2160" s="220"/>
      <c r="AB2160" s="221"/>
      <c r="AC2160" s="229"/>
      <c r="AD2160" s="230"/>
      <c r="AE2160" s="230"/>
      <c r="AF2160" s="230"/>
      <c r="AG2160" s="227"/>
    </row>
    <row r="2161" spans="1:33" x14ac:dyDescent="0.25">
      <c r="A2161" s="32"/>
      <c r="B2161" s="306"/>
      <c r="C2161" s="307"/>
      <c r="D2161" s="312"/>
      <c r="E2161" s="301"/>
      <c r="F2161" s="232"/>
      <c r="J2161" s="306"/>
      <c r="K2161" s="306"/>
      <c r="L2161" s="313"/>
      <c r="M2161" s="219"/>
      <c r="N2161" s="218"/>
      <c r="S2161" s="224"/>
      <c r="T2161" s="228"/>
      <c r="U2161" s="226"/>
      <c r="V2161" s="226"/>
      <c r="W2161" s="303"/>
      <c r="X2161" s="220"/>
      <c r="Z2161" s="227"/>
      <c r="AA2161" s="220"/>
      <c r="AB2161" s="221"/>
      <c r="AC2161" s="229"/>
      <c r="AD2161" s="230"/>
      <c r="AE2161" s="230"/>
      <c r="AF2161" s="230"/>
      <c r="AG2161" s="227"/>
    </row>
    <row r="2162" spans="1:33" x14ac:dyDescent="0.25">
      <c r="A2162" s="32"/>
      <c r="B2162" s="306"/>
      <c r="C2162" s="307"/>
      <c r="D2162" s="312"/>
      <c r="E2162" s="301"/>
      <c r="F2162" s="232"/>
      <c r="J2162" s="306"/>
      <c r="K2162" s="306"/>
      <c r="L2162" s="313"/>
      <c r="M2162" s="219"/>
      <c r="N2162" s="218"/>
      <c r="S2162" s="224"/>
      <c r="T2162" s="228"/>
      <c r="U2162" s="226"/>
      <c r="V2162" s="226"/>
      <c r="W2162" s="303"/>
      <c r="X2162" s="220"/>
      <c r="Z2162" s="227"/>
      <c r="AA2162" s="220"/>
      <c r="AB2162" s="221"/>
      <c r="AC2162" s="229"/>
      <c r="AD2162" s="230"/>
      <c r="AE2162" s="230"/>
      <c r="AF2162" s="230"/>
      <c r="AG2162" s="227"/>
    </row>
    <row r="2163" spans="1:33" x14ac:dyDescent="0.25">
      <c r="A2163" s="32"/>
      <c r="B2163" s="306"/>
      <c r="C2163" s="307"/>
      <c r="D2163" s="312"/>
      <c r="E2163" s="301"/>
      <c r="F2163" s="232"/>
      <c r="J2163" s="306"/>
      <c r="K2163" s="306"/>
      <c r="L2163" s="313"/>
      <c r="M2163" s="219"/>
      <c r="N2163" s="218"/>
      <c r="S2163" s="224"/>
      <c r="T2163" s="228"/>
      <c r="U2163" s="226"/>
      <c r="V2163" s="226"/>
      <c r="W2163" s="303"/>
      <c r="X2163" s="220"/>
      <c r="Z2163" s="227"/>
      <c r="AA2163" s="220"/>
      <c r="AB2163" s="221"/>
      <c r="AC2163" s="229"/>
      <c r="AD2163" s="230"/>
      <c r="AE2163" s="230"/>
      <c r="AF2163" s="230"/>
      <c r="AG2163" s="227"/>
    </row>
    <row r="2164" spans="1:33" x14ac:dyDescent="0.25">
      <c r="A2164" s="32"/>
      <c r="B2164" s="306"/>
      <c r="C2164" s="307"/>
      <c r="D2164" s="312"/>
      <c r="E2164" s="301"/>
      <c r="F2164" s="232"/>
      <c r="J2164" s="306"/>
      <c r="K2164" s="306"/>
      <c r="L2164" s="313"/>
      <c r="M2164" s="219"/>
      <c r="N2164" s="218"/>
      <c r="S2164" s="224"/>
      <c r="T2164" s="228"/>
      <c r="U2164" s="226"/>
      <c r="V2164" s="226"/>
      <c r="W2164" s="303"/>
      <c r="X2164" s="220"/>
      <c r="Z2164" s="227"/>
      <c r="AA2164" s="220"/>
      <c r="AB2164" s="221"/>
      <c r="AC2164" s="229"/>
      <c r="AD2164" s="230"/>
      <c r="AE2164" s="230"/>
      <c r="AF2164" s="230"/>
      <c r="AG2164" s="227"/>
    </row>
    <row r="2165" spans="1:33" x14ac:dyDescent="0.25">
      <c r="A2165" s="32"/>
      <c r="B2165" s="306"/>
      <c r="C2165" s="307"/>
      <c r="D2165" s="312"/>
      <c r="E2165" s="301"/>
      <c r="F2165" s="232"/>
      <c r="J2165" s="306"/>
      <c r="K2165" s="306"/>
      <c r="L2165" s="313"/>
      <c r="M2165" s="219"/>
      <c r="N2165" s="218"/>
      <c r="S2165" s="224"/>
      <c r="T2165" s="228"/>
      <c r="U2165" s="226"/>
      <c r="V2165" s="226"/>
      <c r="W2165" s="303"/>
      <c r="X2165" s="220"/>
      <c r="Z2165" s="227"/>
      <c r="AA2165" s="220"/>
      <c r="AB2165" s="221"/>
      <c r="AC2165" s="229"/>
      <c r="AD2165" s="230"/>
      <c r="AE2165" s="230"/>
      <c r="AF2165" s="230"/>
      <c r="AG2165" s="227"/>
    </row>
    <row r="2166" spans="1:33" x14ac:dyDescent="0.25">
      <c r="A2166" s="32"/>
      <c r="B2166" s="306"/>
      <c r="C2166" s="307"/>
      <c r="D2166" s="312"/>
      <c r="E2166" s="301"/>
      <c r="F2166" s="232"/>
      <c r="J2166" s="306"/>
      <c r="K2166" s="306"/>
      <c r="L2166" s="313"/>
      <c r="M2166" s="219"/>
      <c r="N2166" s="218"/>
      <c r="S2166" s="224"/>
      <c r="T2166" s="228"/>
      <c r="U2166" s="226"/>
      <c r="V2166" s="226"/>
      <c r="W2166" s="303"/>
      <c r="X2166" s="220"/>
      <c r="Z2166" s="227"/>
      <c r="AA2166" s="220"/>
      <c r="AB2166" s="221"/>
      <c r="AC2166" s="229"/>
      <c r="AD2166" s="230"/>
      <c r="AE2166" s="230"/>
      <c r="AF2166" s="230"/>
      <c r="AG2166" s="227"/>
    </row>
    <row r="2167" spans="1:33" x14ac:dyDescent="0.25">
      <c r="A2167" s="32"/>
      <c r="B2167" s="306"/>
      <c r="C2167" s="307"/>
      <c r="D2167" s="312"/>
      <c r="E2167" s="301"/>
      <c r="F2167" s="232"/>
      <c r="J2167" s="306"/>
      <c r="K2167" s="306"/>
      <c r="L2167" s="313"/>
      <c r="M2167" s="219"/>
      <c r="N2167" s="218"/>
      <c r="S2167" s="224"/>
      <c r="T2167" s="228"/>
      <c r="U2167" s="226"/>
      <c r="V2167" s="226"/>
      <c r="W2167" s="303"/>
      <c r="X2167" s="220"/>
      <c r="Z2167" s="227"/>
      <c r="AA2167" s="220"/>
      <c r="AB2167" s="221"/>
      <c r="AC2167" s="229"/>
      <c r="AD2167" s="230"/>
      <c r="AE2167" s="230"/>
      <c r="AF2167" s="230"/>
      <c r="AG2167" s="227"/>
    </row>
    <row r="2168" spans="1:33" x14ac:dyDescent="0.25">
      <c r="A2168" s="32"/>
      <c r="B2168" s="306"/>
      <c r="C2168" s="307"/>
      <c r="D2168" s="312"/>
      <c r="E2168" s="301"/>
      <c r="F2168" s="232"/>
      <c r="J2168" s="306"/>
      <c r="K2168" s="306"/>
      <c r="L2168" s="313"/>
      <c r="M2168" s="219"/>
      <c r="N2168" s="218"/>
      <c r="S2168" s="224"/>
      <c r="T2168" s="228"/>
      <c r="U2168" s="226"/>
      <c r="V2168" s="226"/>
      <c r="W2168" s="303"/>
      <c r="X2168" s="220"/>
      <c r="Z2168" s="227"/>
      <c r="AA2168" s="220"/>
      <c r="AB2168" s="221"/>
      <c r="AC2168" s="229"/>
      <c r="AD2168" s="230"/>
      <c r="AE2168" s="230"/>
      <c r="AF2168" s="230"/>
      <c r="AG2168" s="227"/>
    </row>
    <row r="2169" spans="1:33" x14ac:dyDescent="0.25">
      <c r="A2169" s="32"/>
      <c r="B2169" s="306"/>
      <c r="C2169" s="307"/>
      <c r="D2169" s="312"/>
      <c r="E2169" s="301"/>
      <c r="F2169" s="232"/>
      <c r="J2169" s="306"/>
      <c r="K2169" s="306"/>
      <c r="L2169" s="313"/>
      <c r="M2169" s="219"/>
      <c r="N2169" s="218"/>
      <c r="S2169" s="224"/>
      <c r="T2169" s="228"/>
      <c r="U2169" s="226"/>
      <c r="V2169" s="226"/>
      <c r="W2169" s="303"/>
      <c r="X2169" s="220"/>
      <c r="Z2169" s="227"/>
      <c r="AA2169" s="220"/>
      <c r="AB2169" s="221"/>
      <c r="AC2169" s="229"/>
      <c r="AD2169" s="230"/>
      <c r="AE2169" s="230"/>
      <c r="AF2169" s="230"/>
      <c r="AG2169" s="227"/>
    </row>
    <row r="2170" spans="1:33" x14ac:dyDescent="0.25">
      <c r="A2170" s="32"/>
      <c r="B2170" s="306"/>
      <c r="C2170" s="307"/>
      <c r="D2170" s="312"/>
      <c r="E2170" s="301"/>
      <c r="F2170" s="232"/>
      <c r="J2170" s="306"/>
      <c r="K2170" s="306"/>
      <c r="L2170" s="313"/>
      <c r="M2170" s="219"/>
      <c r="N2170" s="218"/>
      <c r="S2170" s="224"/>
      <c r="T2170" s="228"/>
      <c r="U2170" s="226"/>
      <c r="V2170" s="226"/>
      <c r="W2170" s="303"/>
      <c r="X2170" s="220"/>
      <c r="Z2170" s="227"/>
      <c r="AA2170" s="220"/>
      <c r="AB2170" s="221"/>
      <c r="AC2170" s="229"/>
      <c r="AD2170" s="230"/>
      <c r="AE2170" s="230"/>
      <c r="AF2170" s="230"/>
      <c r="AG2170" s="227"/>
    </row>
    <row r="2171" spans="1:33" x14ac:dyDescent="0.25">
      <c r="A2171" s="32"/>
      <c r="B2171" s="306"/>
      <c r="C2171" s="307"/>
      <c r="D2171" s="312"/>
      <c r="E2171" s="301"/>
      <c r="F2171" s="232"/>
      <c r="J2171" s="306"/>
      <c r="K2171" s="306"/>
      <c r="L2171" s="313"/>
      <c r="M2171" s="219"/>
      <c r="N2171" s="218"/>
      <c r="S2171" s="224"/>
      <c r="T2171" s="228"/>
      <c r="U2171" s="226"/>
      <c r="V2171" s="226"/>
      <c r="W2171" s="303"/>
      <c r="X2171" s="220"/>
      <c r="Z2171" s="227"/>
      <c r="AA2171" s="220"/>
      <c r="AB2171" s="221"/>
      <c r="AC2171" s="229"/>
      <c r="AD2171" s="230"/>
      <c r="AE2171" s="230"/>
      <c r="AF2171" s="230"/>
      <c r="AG2171" s="227"/>
    </row>
    <row r="2172" spans="1:33" x14ac:dyDescent="0.25">
      <c r="A2172" s="32"/>
      <c r="B2172" s="306"/>
      <c r="C2172" s="307"/>
      <c r="D2172" s="312"/>
      <c r="E2172" s="301"/>
      <c r="F2172" s="232"/>
      <c r="J2172" s="306"/>
      <c r="K2172" s="306"/>
      <c r="L2172" s="313"/>
      <c r="M2172" s="219"/>
      <c r="N2172" s="218"/>
      <c r="S2172" s="224"/>
      <c r="T2172" s="228"/>
      <c r="U2172" s="226"/>
      <c r="V2172" s="226"/>
      <c r="W2172" s="303"/>
      <c r="X2172" s="220"/>
      <c r="Z2172" s="227"/>
      <c r="AA2172" s="220"/>
      <c r="AB2172" s="221"/>
      <c r="AC2172" s="229"/>
      <c r="AD2172" s="230"/>
      <c r="AE2172" s="230"/>
      <c r="AF2172" s="230"/>
      <c r="AG2172" s="227"/>
    </row>
    <row r="2173" spans="1:33" x14ac:dyDescent="0.25">
      <c r="A2173" s="32"/>
      <c r="B2173" s="306"/>
      <c r="C2173" s="307"/>
      <c r="D2173" s="312"/>
      <c r="E2173" s="301"/>
      <c r="F2173" s="232"/>
      <c r="J2173" s="306"/>
      <c r="K2173" s="306"/>
      <c r="L2173" s="313"/>
      <c r="M2173" s="219"/>
      <c r="N2173" s="218"/>
      <c r="S2173" s="224"/>
      <c r="T2173" s="228"/>
      <c r="U2173" s="226"/>
      <c r="V2173" s="226"/>
      <c r="W2173" s="303"/>
      <c r="X2173" s="220"/>
      <c r="Z2173" s="227"/>
      <c r="AA2173" s="220"/>
      <c r="AB2173" s="221"/>
      <c r="AC2173" s="229"/>
      <c r="AD2173" s="230"/>
      <c r="AE2173" s="230"/>
      <c r="AF2173" s="230"/>
      <c r="AG2173" s="227"/>
    </row>
    <row r="2174" spans="1:33" x14ac:dyDescent="0.25">
      <c r="A2174" s="32"/>
      <c r="B2174" s="306"/>
      <c r="C2174" s="307"/>
      <c r="D2174" s="312"/>
      <c r="E2174" s="301"/>
      <c r="F2174" s="232"/>
      <c r="J2174" s="306"/>
      <c r="K2174" s="306"/>
      <c r="L2174" s="313"/>
      <c r="M2174" s="219"/>
      <c r="N2174" s="218"/>
      <c r="S2174" s="224"/>
      <c r="T2174" s="228"/>
      <c r="U2174" s="226"/>
      <c r="V2174" s="226"/>
      <c r="W2174" s="303"/>
      <c r="X2174" s="220"/>
      <c r="Z2174" s="227"/>
      <c r="AA2174" s="220"/>
      <c r="AB2174" s="221"/>
      <c r="AC2174" s="229"/>
      <c r="AD2174" s="230"/>
      <c r="AE2174" s="230"/>
      <c r="AF2174" s="230"/>
      <c r="AG2174" s="227"/>
    </row>
    <row r="2175" spans="1:33" x14ac:dyDescent="0.25">
      <c r="A2175" s="32"/>
      <c r="B2175" s="306"/>
      <c r="C2175" s="307"/>
      <c r="D2175" s="312"/>
      <c r="E2175" s="301"/>
      <c r="F2175" s="232"/>
      <c r="J2175" s="306"/>
      <c r="K2175" s="306"/>
      <c r="L2175" s="313"/>
      <c r="M2175" s="219"/>
      <c r="N2175" s="218"/>
      <c r="S2175" s="224"/>
      <c r="T2175" s="228"/>
      <c r="U2175" s="226"/>
      <c r="V2175" s="226"/>
      <c r="W2175" s="303"/>
      <c r="X2175" s="220"/>
      <c r="Z2175" s="227"/>
      <c r="AA2175" s="220"/>
      <c r="AB2175" s="221"/>
      <c r="AC2175" s="229"/>
      <c r="AD2175" s="230"/>
      <c r="AE2175" s="230"/>
      <c r="AF2175" s="230"/>
      <c r="AG2175" s="227"/>
    </row>
    <row r="2176" spans="1:33" x14ac:dyDescent="0.25">
      <c r="A2176" s="32"/>
      <c r="B2176" s="306"/>
      <c r="C2176" s="307"/>
      <c r="D2176" s="312"/>
      <c r="E2176" s="301"/>
      <c r="F2176" s="232"/>
      <c r="J2176" s="306"/>
      <c r="K2176" s="306"/>
      <c r="L2176" s="313"/>
      <c r="M2176" s="219"/>
      <c r="N2176" s="218"/>
      <c r="S2176" s="224"/>
      <c r="T2176" s="228"/>
      <c r="U2176" s="226"/>
      <c r="V2176" s="226"/>
      <c r="W2176" s="303"/>
      <c r="X2176" s="220"/>
      <c r="Z2176" s="227"/>
      <c r="AA2176" s="220"/>
      <c r="AB2176" s="221"/>
      <c r="AC2176" s="229"/>
      <c r="AD2176" s="230"/>
      <c r="AE2176" s="230"/>
      <c r="AF2176" s="230"/>
      <c r="AG2176" s="227"/>
    </row>
    <row r="2177" spans="1:33" x14ac:dyDescent="0.25">
      <c r="A2177" s="32"/>
      <c r="B2177" s="306"/>
      <c r="C2177" s="307"/>
      <c r="D2177" s="312"/>
      <c r="E2177" s="301"/>
      <c r="F2177" s="232"/>
      <c r="J2177" s="306"/>
      <c r="K2177" s="306"/>
      <c r="L2177" s="313"/>
      <c r="M2177" s="219"/>
      <c r="N2177" s="218"/>
      <c r="S2177" s="224"/>
      <c r="T2177" s="228"/>
      <c r="U2177" s="226"/>
      <c r="V2177" s="226"/>
      <c r="W2177" s="303"/>
      <c r="X2177" s="220"/>
      <c r="Z2177" s="227"/>
      <c r="AA2177" s="220"/>
      <c r="AB2177" s="221"/>
      <c r="AC2177" s="229"/>
      <c r="AD2177" s="230"/>
      <c r="AE2177" s="230"/>
      <c r="AF2177" s="230"/>
      <c r="AG2177" s="227"/>
    </row>
    <row r="2178" spans="1:33" x14ac:dyDescent="0.25">
      <c r="A2178" s="32"/>
      <c r="B2178" s="306"/>
      <c r="C2178" s="307"/>
      <c r="D2178" s="312"/>
      <c r="E2178" s="301"/>
      <c r="F2178" s="232"/>
      <c r="J2178" s="306"/>
      <c r="K2178" s="306"/>
      <c r="L2178" s="313"/>
      <c r="M2178" s="219"/>
      <c r="N2178" s="218"/>
      <c r="S2178" s="224"/>
      <c r="T2178" s="228"/>
      <c r="U2178" s="226"/>
      <c r="V2178" s="226"/>
      <c r="W2178" s="303"/>
      <c r="X2178" s="220"/>
      <c r="Z2178" s="227"/>
      <c r="AA2178" s="220"/>
      <c r="AB2178" s="221"/>
      <c r="AC2178" s="229"/>
      <c r="AD2178" s="230"/>
      <c r="AE2178" s="230"/>
      <c r="AF2178" s="230"/>
      <c r="AG2178" s="227"/>
    </row>
    <row r="2179" spans="1:33" x14ac:dyDescent="0.25">
      <c r="A2179" s="32"/>
      <c r="B2179" s="306"/>
      <c r="C2179" s="307"/>
      <c r="D2179" s="312"/>
      <c r="E2179" s="301"/>
      <c r="F2179" s="232"/>
      <c r="J2179" s="306"/>
      <c r="K2179" s="306"/>
      <c r="L2179" s="313"/>
      <c r="M2179" s="219"/>
      <c r="N2179" s="218"/>
      <c r="S2179" s="224"/>
      <c r="T2179" s="228"/>
      <c r="U2179" s="226"/>
      <c r="V2179" s="226"/>
      <c r="W2179" s="303"/>
      <c r="X2179" s="220"/>
      <c r="Z2179" s="227"/>
      <c r="AA2179" s="220"/>
      <c r="AB2179" s="221"/>
      <c r="AC2179" s="229"/>
      <c r="AD2179" s="230"/>
      <c r="AE2179" s="230"/>
      <c r="AF2179" s="230"/>
      <c r="AG2179" s="227"/>
    </row>
    <row r="2180" spans="1:33" x14ac:dyDescent="0.25">
      <c r="A2180" s="32"/>
      <c r="B2180" s="306"/>
      <c r="C2180" s="307"/>
      <c r="D2180" s="312"/>
      <c r="E2180" s="301"/>
      <c r="F2180" s="232"/>
      <c r="J2180" s="306"/>
      <c r="K2180" s="306"/>
      <c r="L2180" s="313"/>
      <c r="M2180" s="219"/>
      <c r="N2180" s="218"/>
      <c r="S2180" s="224"/>
      <c r="T2180" s="228"/>
      <c r="U2180" s="226"/>
      <c r="V2180" s="226"/>
      <c r="W2180" s="303"/>
      <c r="X2180" s="220"/>
      <c r="Z2180" s="227"/>
      <c r="AA2180" s="220"/>
      <c r="AB2180" s="221"/>
      <c r="AC2180" s="229"/>
      <c r="AD2180" s="230"/>
      <c r="AE2180" s="230"/>
      <c r="AF2180" s="230"/>
      <c r="AG2180" s="227"/>
    </row>
    <row r="2181" spans="1:33" x14ac:dyDescent="0.25">
      <c r="A2181" s="32"/>
      <c r="B2181" s="306"/>
      <c r="C2181" s="307"/>
      <c r="D2181" s="312"/>
      <c r="E2181" s="301"/>
      <c r="F2181" s="232"/>
      <c r="J2181" s="306"/>
      <c r="K2181" s="306"/>
      <c r="L2181" s="313"/>
      <c r="M2181" s="219"/>
      <c r="N2181" s="218"/>
      <c r="S2181" s="224"/>
      <c r="T2181" s="228"/>
      <c r="U2181" s="226"/>
      <c r="V2181" s="226"/>
      <c r="W2181" s="303"/>
      <c r="X2181" s="220"/>
      <c r="Z2181" s="227"/>
      <c r="AA2181" s="220"/>
      <c r="AB2181" s="221"/>
      <c r="AC2181" s="229"/>
      <c r="AD2181" s="230"/>
      <c r="AE2181" s="230"/>
      <c r="AF2181" s="230"/>
      <c r="AG2181" s="227"/>
    </row>
    <row r="2182" spans="1:33" x14ac:dyDescent="0.25">
      <c r="A2182" s="32"/>
      <c r="B2182" s="306"/>
      <c r="C2182" s="307"/>
      <c r="D2182" s="312"/>
      <c r="E2182" s="301"/>
      <c r="F2182" s="232"/>
      <c r="J2182" s="306"/>
      <c r="K2182" s="306"/>
      <c r="L2182" s="313"/>
      <c r="M2182" s="219"/>
      <c r="N2182" s="218"/>
      <c r="S2182" s="224"/>
      <c r="T2182" s="228"/>
      <c r="U2182" s="226"/>
      <c r="V2182" s="226"/>
      <c r="W2182" s="303"/>
      <c r="X2182" s="220"/>
      <c r="Z2182" s="227"/>
      <c r="AA2182" s="220"/>
      <c r="AB2182" s="221"/>
      <c r="AC2182" s="229"/>
      <c r="AD2182" s="230"/>
      <c r="AE2182" s="230"/>
      <c r="AF2182" s="230"/>
      <c r="AG2182" s="227"/>
    </row>
    <row r="2183" spans="1:33" x14ac:dyDescent="0.25">
      <c r="A2183" s="32"/>
      <c r="B2183" s="306"/>
      <c r="C2183" s="307"/>
      <c r="D2183" s="312"/>
      <c r="E2183" s="301"/>
      <c r="F2183" s="232"/>
      <c r="J2183" s="306"/>
      <c r="K2183" s="306"/>
      <c r="L2183" s="313"/>
      <c r="M2183" s="219"/>
      <c r="N2183" s="218"/>
      <c r="S2183" s="224"/>
      <c r="T2183" s="228"/>
      <c r="U2183" s="226"/>
      <c r="V2183" s="226"/>
      <c r="W2183" s="303"/>
      <c r="X2183" s="220"/>
      <c r="Z2183" s="227"/>
      <c r="AA2183" s="220"/>
      <c r="AB2183" s="221"/>
      <c r="AC2183" s="229"/>
      <c r="AD2183" s="230"/>
      <c r="AE2183" s="230"/>
      <c r="AF2183" s="230"/>
      <c r="AG2183" s="227"/>
    </row>
    <row r="2184" spans="1:33" x14ac:dyDescent="0.25">
      <c r="A2184" s="32"/>
      <c r="B2184" s="306"/>
      <c r="C2184" s="307"/>
      <c r="D2184" s="312"/>
      <c r="E2184" s="301"/>
      <c r="F2184" s="232"/>
      <c r="J2184" s="306"/>
      <c r="K2184" s="306"/>
      <c r="L2184" s="313"/>
      <c r="M2184" s="219"/>
      <c r="N2184" s="218"/>
      <c r="S2184" s="224"/>
      <c r="T2184" s="228"/>
      <c r="U2184" s="226"/>
      <c r="V2184" s="226"/>
      <c r="W2184" s="303"/>
      <c r="X2184" s="220"/>
      <c r="Z2184" s="227"/>
      <c r="AA2184" s="220"/>
      <c r="AB2184" s="221"/>
      <c r="AC2184" s="229"/>
      <c r="AD2184" s="230"/>
      <c r="AE2184" s="230"/>
      <c r="AF2184" s="230"/>
      <c r="AG2184" s="227"/>
    </row>
    <row r="2185" spans="1:33" x14ac:dyDescent="0.25">
      <c r="A2185" s="32"/>
      <c r="B2185" s="306"/>
      <c r="C2185" s="307"/>
      <c r="D2185" s="312"/>
      <c r="E2185" s="301"/>
      <c r="F2185" s="232"/>
      <c r="J2185" s="306"/>
      <c r="K2185" s="306"/>
      <c r="L2185" s="313"/>
      <c r="M2185" s="219"/>
      <c r="N2185" s="218"/>
      <c r="S2185" s="224"/>
      <c r="T2185" s="228"/>
      <c r="U2185" s="226"/>
      <c r="V2185" s="226"/>
      <c r="W2185" s="303"/>
      <c r="X2185" s="220"/>
      <c r="Z2185" s="227"/>
      <c r="AA2185" s="220"/>
      <c r="AB2185" s="221"/>
      <c r="AC2185" s="229"/>
      <c r="AD2185" s="230"/>
      <c r="AE2185" s="230"/>
      <c r="AF2185" s="230"/>
      <c r="AG2185" s="227"/>
    </row>
    <row r="2186" spans="1:33" x14ac:dyDescent="0.25">
      <c r="A2186" s="32"/>
      <c r="B2186" s="306"/>
      <c r="C2186" s="307"/>
      <c r="D2186" s="312"/>
      <c r="E2186" s="301"/>
      <c r="F2186" s="232"/>
      <c r="J2186" s="306"/>
      <c r="K2186" s="306"/>
      <c r="L2186" s="313"/>
      <c r="M2186" s="219"/>
      <c r="N2186" s="218"/>
      <c r="S2186" s="224"/>
      <c r="T2186" s="228"/>
      <c r="U2186" s="226"/>
      <c r="V2186" s="226"/>
      <c r="W2186" s="303"/>
      <c r="X2186" s="220"/>
      <c r="Z2186" s="227"/>
      <c r="AA2186" s="220"/>
      <c r="AB2186" s="221"/>
      <c r="AC2186" s="229"/>
      <c r="AD2186" s="230"/>
      <c r="AE2186" s="230"/>
      <c r="AF2186" s="230"/>
      <c r="AG2186" s="227"/>
    </row>
    <row r="2187" spans="1:33" x14ac:dyDescent="0.25">
      <c r="A2187" s="32"/>
      <c r="B2187" s="306"/>
      <c r="C2187" s="307"/>
      <c r="D2187" s="312"/>
      <c r="E2187" s="301"/>
      <c r="F2187" s="232"/>
      <c r="J2187" s="306"/>
      <c r="K2187" s="306"/>
      <c r="L2187" s="313"/>
      <c r="M2187" s="219"/>
      <c r="N2187" s="218"/>
      <c r="S2187" s="224"/>
      <c r="T2187" s="228"/>
      <c r="U2187" s="226"/>
      <c r="V2187" s="226"/>
      <c r="W2187" s="303"/>
      <c r="X2187" s="220"/>
      <c r="Z2187" s="227"/>
      <c r="AA2187" s="220"/>
      <c r="AB2187" s="221"/>
      <c r="AC2187" s="229"/>
      <c r="AD2187" s="230"/>
      <c r="AE2187" s="230"/>
      <c r="AF2187" s="230"/>
      <c r="AG2187" s="227"/>
    </row>
    <row r="2188" spans="1:33" x14ac:dyDescent="0.25">
      <c r="A2188" s="32"/>
      <c r="B2188" s="306"/>
      <c r="C2188" s="307"/>
      <c r="D2188" s="312"/>
      <c r="E2188" s="301"/>
      <c r="F2188" s="232"/>
      <c r="J2188" s="306"/>
      <c r="K2188" s="306"/>
      <c r="L2188" s="313"/>
      <c r="M2188" s="219"/>
      <c r="N2188" s="218"/>
      <c r="S2188" s="224"/>
      <c r="T2188" s="228"/>
      <c r="U2188" s="226"/>
      <c r="V2188" s="226"/>
      <c r="W2188" s="303"/>
      <c r="X2188" s="220"/>
      <c r="Z2188" s="227"/>
      <c r="AA2188" s="220"/>
      <c r="AB2188" s="221"/>
      <c r="AC2188" s="229"/>
      <c r="AD2188" s="230"/>
      <c r="AE2188" s="230"/>
      <c r="AF2188" s="230"/>
      <c r="AG2188" s="227"/>
    </row>
    <row r="2189" spans="1:33" x14ac:dyDescent="0.25">
      <c r="A2189" s="32"/>
      <c r="B2189" s="306"/>
      <c r="C2189" s="307"/>
      <c r="D2189" s="312"/>
      <c r="E2189" s="301"/>
      <c r="F2189" s="232"/>
      <c r="J2189" s="306"/>
      <c r="K2189" s="306"/>
      <c r="L2189" s="313"/>
      <c r="M2189" s="219"/>
      <c r="N2189" s="218"/>
      <c r="S2189" s="224"/>
      <c r="T2189" s="228"/>
      <c r="U2189" s="226"/>
      <c r="V2189" s="226"/>
      <c r="W2189" s="303"/>
      <c r="X2189" s="220"/>
      <c r="Z2189" s="227"/>
      <c r="AA2189" s="220"/>
      <c r="AB2189" s="221"/>
      <c r="AC2189" s="229"/>
      <c r="AD2189" s="230"/>
      <c r="AE2189" s="230"/>
      <c r="AF2189" s="230"/>
      <c r="AG2189" s="227"/>
    </row>
    <row r="2190" spans="1:33" x14ac:dyDescent="0.25">
      <c r="A2190" s="32"/>
      <c r="B2190" s="306"/>
      <c r="C2190" s="307"/>
      <c r="D2190" s="312"/>
      <c r="E2190" s="301"/>
      <c r="F2190" s="232"/>
      <c r="J2190" s="306"/>
      <c r="K2190" s="306"/>
      <c r="L2190" s="313"/>
      <c r="M2190" s="219"/>
      <c r="N2190" s="218"/>
      <c r="S2190" s="224"/>
      <c r="T2190" s="228"/>
      <c r="U2190" s="226"/>
      <c r="V2190" s="226"/>
      <c r="W2190" s="303"/>
      <c r="X2190" s="220"/>
      <c r="Z2190" s="227"/>
      <c r="AA2190" s="220"/>
      <c r="AB2190" s="221"/>
      <c r="AC2190" s="229"/>
      <c r="AD2190" s="230"/>
      <c r="AE2190" s="230"/>
      <c r="AF2190" s="230"/>
      <c r="AG2190" s="227"/>
    </row>
    <row r="2191" spans="1:33" x14ac:dyDescent="0.25">
      <c r="A2191" s="32"/>
      <c r="B2191" s="306"/>
      <c r="C2191" s="307"/>
      <c r="D2191" s="312"/>
      <c r="E2191" s="301"/>
      <c r="F2191" s="232"/>
      <c r="J2191" s="306"/>
      <c r="K2191" s="306"/>
      <c r="L2191" s="313"/>
      <c r="M2191" s="219"/>
      <c r="N2191" s="218"/>
      <c r="S2191" s="224"/>
      <c r="T2191" s="228"/>
      <c r="U2191" s="226"/>
      <c r="V2191" s="226"/>
      <c r="W2191" s="303"/>
      <c r="X2191" s="220"/>
      <c r="Z2191" s="227"/>
      <c r="AA2191" s="220"/>
      <c r="AB2191" s="221"/>
      <c r="AC2191" s="229"/>
      <c r="AD2191" s="230"/>
      <c r="AE2191" s="230"/>
      <c r="AF2191" s="230"/>
      <c r="AG2191" s="227"/>
    </row>
    <row r="2192" spans="1:33" x14ac:dyDescent="0.25">
      <c r="A2192" s="32"/>
      <c r="B2192" s="306"/>
      <c r="C2192" s="307"/>
      <c r="D2192" s="312"/>
      <c r="E2192" s="301"/>
      <c r="F2192" s="232"/>
      <c r="J2192" s="306"/>
      <c r="K2192" s="306"/>
      <c r="L2192" s="313"/>
      <c r="M2192" s="219"/>
      <c r="N2192" s="218"/>
      <c r="S2192" s="224"/>
      <c r="T2192" s="228"/>
      <c r="U2192" s="226"/>
      <c r="V2192" s="226"/>
      <c r="W2192" s="303"/>
      <c r="X2192" s="220"/>
      <c r="Z2192" s="227"/>
      <c r="AA2192" s="220"/>
      <c r="AB2192" s="221"/>
      <c r="AC2192" s="229"/>
      <c r="AD2192" s="230"/>
      <c r="AE2192" s="230"/>
      <c r="AF2192" s="230"/>
      <c r="AG2192" s="227"/>
    </row>
    <row r="2193" spans="1:33" x14ac:dyDescent="0.25">
      <c r="A2193" s="32"/>
      <c r="B2193" s="306"/>
      <c r="C2193" s="307"/>
      <c r="D2193" s="312"/>
      <c r="E2193" s="301"/>
      <c r="F2193" s="232"/>
      <c r="J2193" s="306"/>
      <c r="K2193" s="306"/>
      <c r="L2193" s="313"/>
      <c r="M2193" s="219"/>
      <c r="N2193" s="218"/>
      <c r="S2193" s="224"/>
      <c r="T2193" s="228"/>
      <c r="U2193" s="226"/>
      <c r="V2193" s="226"/>
      <c r="W2193" s="303"/>
      <c r="X2193" s="220"/>
      <c r="Z2193" s="227"/>
      <c r="AA2193" s="220"/>
      <c r="AB2193" s="221"/>
      <c r="AC2193" s="229"/>
      <c r="AD2193" s="230"/>
      <c r="AE2193" s="230"/>
      <c r="AF2193" s="230"/>
      <c r="AG2193" s="227"/>
    </row>
    <row r="2194" spans="1:33" x14ac:dyDescent="0.25">
      <c r="A2194" s="32"/>
      <c r="B2194" s="306"/>
      <c r="C2194" s="307"/>
      <c r="D2194" s="312"/>
      <c r="E2194" s="301"/>
      <c r="F2194" s="232"/>
      <c r="J2194" s="306"/>
      <c r="K2194" s="306"/>
      <c r="L2194" s="313"/>
      <c r="M2194" s="219"/>
      <c r="N2194" s="218"/>
      <c r="S2194" s="224"/>
      <c r="T2194" s="228"/>
      <c r="U2194" s="226"/>
      <c r="V2194" s="226"/>
      <c r="W2194" s="303"/>
      <c r="X2194" s="220"/>
      <c r="Z2194" s="227"/>
      <c r="AA2194" s="220"/>
      <c r="AB2194" s="221"/>
      <c r="AC2194" s="229"/>
      <c r="AD2194" s="230"/>
      <c r="AE2194" s="230"/>
      <c r="AF2194" s="230"/>
      <c r="AG2194" s="227"/>
    </row>
    <row r="2195" spans="1:33" x14ac:dyDescent="0.25">
      <c r="A2195" s="32"/>
      <c r="B2195" s="306"/>
      <c r="C2195" s="307"/>
      <c r="D2195" s="312"/>
      <c r="E2195" s="301"/>
      <c r="F2195" s="232"/>
      <c r="J2195" s="306"/>
      <c r="K2195" s="306"/>
      <c r="L2195" s="313"/>
      <c r="M2195" s="219"/>
      <c r="N2195" s="218"/>
      <c r="S2195" s="224"/>
      <c r="T2195" s="228"/>
      <c r="U2195" s="226"/>
      <c r="V2195" s="226"/>
      <c r="W2195" s="303"/>
      <c r="X2195" s="220"/>
      <c r="Z2195" s="227"/>
      <c r="AA2195" s="220"/>
      <c r="AB2195" s="221"/>
      <c r="AC2195" s="229"/>
      <c r="AD2195" s="230"/>
      <c r="AE2195" s="230"/>
      <c r="AF2195" s="230"/>
      <c r="AG2195" s="227"/>
    </row>
    <row r="2196" spans="1:33" x14ac:dyDescent="0.25">
      <c r="A2196" s="32"/>
      <c r="B2196" s="306"/>
      <c r="C2196" s="307"/>
      <c r="D2196" s="312"/>
      <c r="E2196" s="301"/>
      <c r="F2196" s="232"/>
      <c r="J2196" s="306"/>
      <c r="K2196" s="306"/>
      <c r="L2196" s="313"/>
      <c r="M2196" s="219"/>
      <c r="N2196" s="218"/>
      <c r="S2196" s="224"/>
      <c r="T2196" s="228"/>
      <c r="U2196" s="226"/>
      <c r="V2196" s="226"/>
      <c r="W2196" s="303"/>
      <c r="X2196" s="220"/>
      <c r="Z2196" s="227"/>
      <c r="AA2196" s="220"/>
      <c r="AB2196" s="221"/>
      <c r="AC2196" s="229"/>
      <c r="AD2196" s="230"/>
      <c r="AE2196" s="230"/>
      <c r="AF2196" s="230"/>
      <c r="AG2196" s="227"/>
    </row>
    <row r="2197" spans="1:33" x14ac:dyDescent="0.25">
      <c r="A2197" s="32"/>
      <c r="B2197" s="306"/>
      <c r="C2197" s="307"/>
      <c r="D2197" s="312"/>
      <c r="E2197" s="301"/>
      <c r="F2197" s="232"/>
      <c r="J2197" s="306"/>
      <c r="K2197" s="306"/>
      <c r="L2197" s="313"/>
      <c r="M2197" s="219"/>
      <c r="N2197" s="218"/>
      <c r="S2197" s="224"/>
      <c r="T2197" s="228"/>
      <c r="U2197" s="226"/>
      <c r="V2197" s="226"/>
      <c r="W2197" s="303"/>
      <c r="X2197" s="220"/>
      <c r="Z2197" s="227"/>
      <c r="AA2197" s="220"/>
      <c r="AB2197" s="221"/>
      <c r="AC2197" s="229"/>
      <c r="AD2197" s="230"/>
      <c r="AE2197" s="230"/>
      <c r="AF2197" s="230"/>
      <c r="AG2197" s="227"/>
    </row>
    <row r="2198" spans="1:33" x14ac:dyDescent="0.25">
      <c r="A2198" s="32"/>
      <c r="B2198" s="306"/>
      <c r="C2198" s="307"/>
      <c r="D2198" s="312"/>
      <c r="E2198" s="301"/>
      <c r="F2198" s="232"/>
      <c r="J2198" s="306"/>
      <c r="K2198" s="306"/>
      <c r="L2198" s="313"/>
      <c r="M2198" s="219"/>
      <c r="N2198" s="218"/>
      <c r="S2198" s="224"/>
      <c r="T2198" s="228"/>
      <c r="U2198" s="226"/>
      <c r="V2198" s="226"/>
      <c r="W2198" s="303"/>
      <c r="X2198" s="220"/>
      <c r="Z2198" s="227"/>
      <c r="AA2198" s="220"/>
      <c r="AB2198" s="221"/>
      <c r="AC2198" s="229"/>
      <c r="AD2198" s="230"/>
      <c r="AE2198" s="230"/>
      <c r="AF2198" s="230"/>
      <c r="AG2198" s="227"/>
    </row>
    <row r="2199" spans="1:33" x14ac:dyDescent="0.25">
      <c r="A2199" s="32"/>
      <c r="B2199" s="306"/>
      <c r="C2199" s="307"/>
      <c r="D2199" s="312"/>
      <c r="E2199" s="301"/>
      <c r="F2199" s="232"/>
      <c r="J2199" s="306"/>
      <c r="K2199" s="306"/>
      <c r="L2199" s="313"/>
      <c r="M2199" s="219"/>
      <c r="N2199" s="218"/>
      <c r="S2199" s="224"/>
      <c r="T2199" s="228"/>
      <c r="U2199" s="226"/>
      <c r="V2199" s="226"/>
      <c r="W2199" s="303"/>
      <c r="X2199" s="220"/>
      <c r="Z2199" s="227"/>
      <c r="AA2199" s="220"/>
      <c r="AB2199" s="221"/>
      <c r="AC2199" s="229"/>
      <c r="AD2199" s="230"/>
      <c r="AE2199" s="230"/>
      <c r="AF2199" s="230"/>
      <c r="AG2199" s="227"/>
    </row>
    <row r="2200" spans="1:33" x14ac:dyDescent="0.25">
      <c r="A2200" s="32"/>
      <c r="B2200" s="306"/>
      <c r="C2200" s="307"/>
      <c r="D2200" s="312"/>
      <c r="E2200" s="301"/>
      <c r="F2200" s="232"/>
      <c r="J2200" s="306"/>
      <c r="K2200" s="306"/>
      <c r="L2200" s="313"/>
      <c r="M2200" s="219"/>
      <c r="N2200" s="218"/>
      <c r="S2200" s="224"/>
      <c r="T2200" s="228"/>
      <c r="U2200" s="226"/>
      <c r="V2200" s="226"/>
      <c r="W2200" s="303"/>
      <c r="X2200" s="220"/>
      <c r="Z2200" s="227"/>
      <c r="AA2200" s="220"/>
      <c r="AB2200" s="221"/>
      <c r="AC2200" s="229"/>
      <c r="AD2200" s="230"/>
      <c r="AE2200" s="230"/>
      <c r="AF2200" s="230"/>
      <c r="AG2200" s="227"/>
    </row>
    <row r="2201" spans="1:33" x14ac:dyDescent="0.25">
      <c r="A2201" s="32"/>
      <c r="B2201" s="306"/>
      <c r="C2201" s="307"/>
      <c r="D2201" s="312"/>
      <c r="E2201" s="301"/>
      <c r="F2201" s="232"/>
      <c r="J2201" s="306"/>
      <c r="K2201" s="306"/>
      <c r="L2201" s="313"/>
      <c r="M2201" s="219"/>
      <c r="N2201" s="218"/>
      <c r="S2201" s="224"/>
      <c r="T2201" s="228"/>
      <c r="U2201" s="226"/>
      <c r="V2201" s="226"/>
      <c r="W2201" s="303"/>
      <c r="X2201" s="220"/>
      <c r="Z2201" s="227"/>
      <c r="AA2201" s="220"/>
      <c r="AB2201" s="221"/>
      <c r="AC2201" s="229"/>
      <c r="AD2201" s="230"/>
      <c r="AE2201" s="230"/>
      <c r="AF2201" s="230"/>
      <c r="AG2201" s="227"/>
    </row>
    <row r="2202" spans="1:33" x14ac:dyDescent="0.25">
      <c r="A2202" s="32"/>
      <c r="B2202" s="306"/>
      <c r="C2202" s="307"/>
      <c r="D2202" s="312"/>
      <c r="E2202" s="301"/>
      <c r="F2202" s="232"/>
      <c r="J2202" s="306"/>
      <c r="K2202" s="306"/>
      <c r="L2202" s="313"/>
      <c r="M2202" s="219"/>
      <c r="N2202" s="218"/>
      <c r="S2202" s="224"/>
      <c r="T2202" s="228"/>
      <c r="U2202" s="226"/>
      <c r="V2202" s="226"/>
      <c r="W2202" s="303"/>
      <c r="X2202" s="220"/>
      <c r="Z2202" s="227"/>
      <c r="AA2202" s="220"/>
      <c r="AB2202" s="221"/>
      <c r="AC2202" s="229"/>
      <c r="AD2202" s="230"/>
      <c r="AE2202" s="230"/>
      <c r="AF2202" s="230"/>
      <c r="AG2202" s="227"/>
    </row>
    <row r="2203" spans="1:33" x14ac:dyDescent="0.25">
      <c r="A2203" s="32"/>
      <c r="B2203" s="306"/>
      <c r="C2203" s="307"/>
      <c r="D2203" s="312"/>
      <c r="E2203" s="301"/>
      <c r="F2203" s="232"/>
      <c r="J2203" s="306"/>
      <c r="K2203" s="306"/>
      <c r="L2203" s="313"/>
      <c r="M2203" s="219"/>
      <c r="N2203" s="218"/>
      <c r="S2203" s="224"/>
      <c r="T2203" s="228"/>
      <c r="U2203" s="226"/>
      <c r="V2203" s="226"/>
      <c r="W2203" s="303"/>
      <c r="X2203" s="220"/>
      <c r="Z2203" s="227"/>
      <c r="AA2203" s="220"/>
      <c r="AB2203" s="221"/>
      <c r="AC2203" s="229"/>
      <c r="AD2203" s="230"/>
      <c r="AE2203" s="230"/>
      <c r="AF2203" s="230"/>
      <c r="AG2203" s="227"/>
    </row>
    <row r="2204" spans="1:33" x14ac:dyDescent="0.25">
      <c r="A2204" s="32"/>
      <c r="B2204" s="306"/>
      <c r="C2204" s="307"/>
      <c r="D2204" s="312"/>
      <c r="E2204" s="301"/>
      <c r="F2204" s="232"/>
      <c r="J2204" s="306"/>
      <c r="K2204" s="306"/>
      <c r="L2204" s="313"/>
      <c r="M2204" s="219"/>
      <c r="N2204" s="218"/>
      <c r="S2204" s="224"/>
      <c r="T2204" s="228"/>
      <c r="U2204" s="226"/>
      <c r="V2204" s="226"/>
      <c r="W2204" s="303"/>
      <c r="X2204" s="220"/>
      <c r="Z2204" s="227"/>
      <c r="AA2204" s="220"/>
      <c r="AB2204" s="221"/>
      <c r="AC2204" s="229"/>
      <c r="AD2204" s="230"/>
      <c r="AE2204" s="230"/>
      <c r="AF2204" s="230"/>
      <c r="AG2204" s="227"/>
    </row>
    <row r="2205" spans="1:33" x14ac:dyDescent="0.25">
      <c r="A2205" s="32"/>
      <c r="B2205" s="306"/>
      <c r="C2205" s="307"/>
      <c r="D2205" s="312"/>
      <c r="E2205" s="301"/>
      <c r="F2205" s="232"/>
      <c r="J2205" s="306"/>
      <c r="K2205" s="306"/>
      <c r="L2205" s="313"/>
      <c r="M2205" s="219"/>
      <c r="N2205" s="218"/>
      <c r="S2205" s="224"/>
      <c r="T2205" s="228"/>
      <c r="U2205" s="226"/>
      <c r="V2205" s="226"/>
      <c r="W2205" s="303"/>
      <c r="X2205" s="220"/>
      <c r="Z2205" s="227"/>
      <c r="AA2205" s="220"/>
      <c r="AB2205" s="221"/>
      <c r="AC2205" s="229"/>
      <c r="AD2205" s="230"/>
      <c r="AE2205" s="230"/>
      <c r="AF2205" s="230"/>
      <c r="AG2205" s="227"/>
    </row>
    <row r="2206" spans="1:33" x14ac:dyDescent="0.25">
      <c r="A2206" s="32"/>
      <c r="B2206" s="306"/>
      <c r="C2206" s="307"/>
      <c r="D2206" s="312"/>
      <c r="E2206" s="301"/>
      <c r="F2206" s="232"/>
      <c r="J2206" s="306"/>
      <c r="K2206" s="306"/>
      <c r="L2206" s="313"/>
      <c r="M2206" s="219"/>
      <c r="N2206" s="218"/>
      <c r="S2206" s="224"/>
      <c r="T2206" s="228"/>
      <c r="U2206" s="226"/>
      <c r="V2206" s="226"/>
      <c r="W2206" s="303"/>
      <c r="X2206" s="220"/>
      <c r="Z2206" s="227"/>
      <c r="AA2206" s="220"/>
      <c r="AB2206" s="221"/>
      <c r="AC2206" s="229"/>
      <c r="AD2206" s="230"/>
      <c r="AE2206" s="230"/>
      <c r="AF2206" s="230"/>
      <c r="AG2206" s="227"/>
    </row>
    <row r="2207" spans="1:33" x14ac:dyDescent="0.25">
      <c r="A2207" s="32"/>
      <c r="B2207" s="306"/>
      <c r="C2207" s="307"/>
      <c r="D2207" s="312"/>
      <c r="E2207" s="301"/>
      <c r="F2207" s="232"/>
      <c r="J2207" s="306"/>
      <c r="K2207" s="306"/>
      <c r="L2207" s="313"/>
      <c r="M2207" s="219"/>
      <c r="N2207" s="218"/>
      <c r="S2207" s="224"/>
      <c r="T2207" s="228"/>
      <c r="U2207" s="226"/>
      <c r="V2207" s="226"/>
      <c r="W2207" s="303"/>
      <c r="X2207" s="220"/>
      <c r="Z2207" s="227"/>
      <c r="AA2207" s="220"/>
      <c r="AB2207" s="221"/>
      <c r="AC2207" s="229"/>
      <c r="AD2207" s="230"/>
      <c r="AE2207" s="230"/>
      <c r="AF2207" s="230"/>
      <c r="AG2207" s="227"/>
    </row>
    <row r="2208" spans="1:33" x14ac:dyDescent="0.25">
      <c r="A2208" s="32"/>
      <c r="B2208" s="306"/>
      <c r="C2208" s="307"/>
      <c r="D2208" s="312"/>
      <c r="E2208" s="301"/>
      <c r="F2208" s="232"/>
      <c r="J2208" s="306"/>
      <c r="K2208" s="306"/>
      <c r="L2208" s="313"/>
      <c r="M2208" s="219"/>
      <c r="N2208" s="218"/>
      <c r="S2208" s="224"/>
      <c r="T2208" s="228"/>
      <c r="U2208" s="226"/>
      <c r="V2208" s="226"/>
      <c r="W2208" s="303"/>
      <c r="X2208" s="220"/>
      <c r="Z2208" s="227"/>
      <c r="AA2208" s="220"/>
      <c r="AB2208" s="221"/>
      <c r="AC2208" s="229"/>
      <c r="AD2208" s="230"/>
      <c r="AE2208" s="230"/>
      <c r="AF2208" s="230"/>
      <c r="AG2208" s="227"/>
    </row>
    <row r="2209" spans="1:33" x14ac:dyDescent="0.25">
      <c r="A2209" s="32"/>
      <c r="B2209" s="306"/>
      <c r="C2209" s="307"/>
      <c r="D2209" s="312"/>
      <c r="E2209" s="301"/>
      <c r="F2209" s="232"/>
      <c r="J2209" s="306"/>
      <c r="K2209" s="306"/>
      <c r="L2209" s="313"/>
      <c r="M2209" s="219"/>
      <c r="N2209" s="218"/>
      <c r="S2209" s="224"/>
      <c r="T2209" s="228"/>
      <c r="U2209" s="226"/>
      <c r="V2209" s="226"/>
      <c r="W2209" s="303"/>
      <c r="X2209" s="220"/>
      <c r="Z2209" s="227"/>
      <c r="AA2209" s="220"/>
      <c r="AB2209" s="221"/>
      <c r="AC2209" s="229"/>
      <c r="AD2209" s="230"/>
      <c r="AE2209" s="230"/>
      <c r="AF2209" s="230"/>
      <c r="AG2209" s="227"/>
    </row>
    <row r="2210" spans="1:33" x14ac:dyDescent="0.25">
      <c r="A2210" s="32"/>
      <c r="B2210" s="306"/>
      <c r="C2210" s="307"/>
      <c r="D2210" s="312"/>
      <c r="E2210" s="301"/>
      <c r="F2210" s="232"/>
      <c r="J2210" s="306"/>
      <c r="K2210" s="306"/>
      <c r="L2210" s="313"/>
      <c r="M2210" s="219"/>
      <c r="N2210" s="218"/>
      <c r="S2210" s="224"/>
      <c r="T2210" s="228"/>
      <c r="U2210" s="226"/>
      <c r="V2210" s="226"/>
      <c r="W2210" s="303"/>
      <c r="X2210" s="220"/>
      <c r="Z2210" s="227"/>
      <c r="AA2210" s="220"/>
      <c r="AB2210" s="221"/>
      <c r="AC2210" s="229"/>
      <c r="AD2210" s="230"/>
      <c r="AE2210" s="230"/>
      <c r="AF2210" s="230"/>
      <c r="AG2210" s="227"/>
    </row>
    <row r="2211" spans="1:33" x14ac:dyDescent="0.25">
      <c r="A2211" s="32"/>
      <c r="B2211" s="306"/>
      <c r="C2211" s="307"/>
      <c r="D2211" s="312"/>
      <c r="E2211" s="301"/>
      <c r="F2211" s="232"/>
      <c r="J2211" s="306"/>
      <c r="K2211" s="306"/>
      <c r="L2211" s="313"/>
      <c r="M2211" s="219"/>
      <c r="N2211" s="218"/>
      <c r="S2211" s="224"/>
      <c r="T2211" s="228"/>
      <c r="U2211" s="226"/>
      <c r="V2211" s="226"/>
      <c r="W2211" s="303"/>
      <c r="X2211" s="220"/>
      <c r="Z2211" s="227"/>
      <c r="AA2211" s="220"/>
      <c r="AB2211" s="221"/>
      <c r="AC2211" s="229"/>
      <c r="AD2211" s="230"/>
      <c r="AE2211" s="230"/>
      <c r="AF2211" s="230"/>
      <c r="AG2211" s="227"/>
    </row>
    <row r="2212" spans="1:33" x14ac:dyDescent="0.25">
      <c r="A2212" s="32"/>
      <c r="B2212" s="306"/>
      <c r="C2212" s="307"/>
      <c r="D2212" s="312"/>
      <c r="E2212" s="301"/>
      <c r="F2212" s="232"/>
      <c r="J2212" s="306"/>
      <c r="K2212" s="306"/>
      <c r="L2212" s="313"/>
      <c r="M2212" s="219"/>
      <c r="N2212" s="218"/>
      <c r="S2212" s="224"/>
      <c r="T2212" s="228"/>
      <c r="U2212" s="226"/>
      <c r="V2212" s="226"/>
      <c r="W2212" s="303"/>
      <c r="X2212" s="220"/>
      <c r="Z2212" s="227"/>
      <c r="AA2212" s="220"/>
      <c r="AB2212" s="221"/>
      <c r="AC2212" s="229"/>
      <c r="AD2212" s="230"/>
      <c r="AE2212" s="230"/>
      <c r="AF2212" s="230"/>
      <c r="AG2212" s="227"/>
    </row>
    <row r="2213" spans="1:33" x14ac:dyDescent="0.25">
      <c r="A2213" s="32"/>
      <c r="B2213" s="306"/>
      <c r="C2213" s="307"/>
      <c r="D2213" s="312"/>
      <c r="E2213" s="301"/>
      <c r="F2213" s="232"/>
      <c r="J2213" s="306"/>
      <c r="K2213" s="306"/>
      <c r="L2213" s="313"/>
      <c r="M2213" s="219"/>
      <c r="N2213" s="218"/>
      <c r="S2213" s="224"/>
      <c r="T2213" s="228"/>
      <c r="U2213" s="226"/>
      <c r="V2213" s="226"/>
      <c r="W2213" s="303"/>
      <c r="X2213" s="220"/>
      <c r="Z2213" s="227"/>
      <c r="AA2213" s="220"/>
      <c r="AB2213" s="221"/>
      <c r="AC2213" s="229"/>
      <c r="AD2213" s="230"/>
      <c r="AE2213" s="230"/>
      <c r="AF2213" s="230"/>
      <c r="AG2213" s="227"/>
    </row>
    <row r="2214" spans="1:33" x14ac:dyDescent="0.25">
      <c r="A2214" s="32"/>
      <c r="B2214" s="306"/>
      <c r="C2214" s="307"/>
      <c r="D2214" s="312"/>
      <c r="E2214" s="301"/>
      <c r="F2214" s="232"/>
      <c r="J2214" s="306"/>
      <c r="K2214" s="306"/>
      <c r="L2214" s="313"/>
      <c r="M2214" s="219"/>
      <c r="N2214" s="218"/>
      <c r="S2214" s="224"/>
      <c r="T2214" s="228"/>
      <c r="U2214" s="226"/>
      <c r="V2214" s="226"/>
      <c r="W2214" s="303"/>
      <c r="X2214" s="220"/>
      <c r="Z2214" s="227"/>
      <c r="AA2214" s="220"/>
      <c r="AB2214" s="221"/>
      <c r="AC2214" s="229"/>
      <c r="AD2214" s="230"/>
      <c r="AE2214" s="230"/>
      <c r="AF2214" s="230"/>
      <c r="AG2214" s="227"/>
    </row>
    <row r="2215" spans="1:33" x14ac:dyDescent="0.25">
      <c r="A2215" s="32"/>
      <c r="B2215" s="306"/>
      <c r="C2215" s="307"/>
      <c r="D2215" s="312"/>
      <c r="E2215" s="301"/>
      <c r="F2215" s="232"/>
      <c r="J2215" s="306"/>
      <c r="K2215" s="306"/>
      <c r="L2215" s="313"/>
      <c r="M2215" s="219"/>
      <c r="N2215" s="218"/>
      <c r="S2215" s="224"/>
      <c r="T2215" s="228"/>
      <c r="U2215" s="226"/>
      <c r="V2215" s="226"/>
      <c r="W2215" s="303"/>
      <c r="X2215" s="220"/>
      <c r="Z2215" s="227"/>
      <c r="AA2215" s="220"/>
      <c r="AB2215" s="221"/>
      <c r="AC2215" s="229"/>
      <c r="AD2215" s="230"/>
      <c r="AE2215" s="230"/>
      <c r="AF2215" s="230"/>
      <c r="AG2215" s="227"/>
    </row>
    <row r="2216" spans="1:33" x14ac:dyDescent="0.25">
      <c r="A2216" s="32"/>
      <c r="B2216" s="306"/>
      <c r="C2216" s="307"/>
      <c r="D2216" s="312"/>
      <c r="E2216" s="301"/>
      <c r="F2216" s="232"/>
      <c r="J2216" s="306"/>
      <c r="K2216" s="306"/>
      <c r="L2216" s="313"/>
      <c r="M2216" s="219"/>
      <c r="N2216" s="218"/>
      <c r="S2216" s="224"/>
      <c r="T2216" s="228"/>
      <c r="U2216" s="226"/>
      <c r="V2216" s="226"/>
      <c r="W2216" s="303"/>
      <c r="X2216" s="220"/>
      <c r="Z2216" s="227"/>
      <c r="AA2216" s="220"/>
      <c r="AB2216" s="221"/>
      <c r="AC2216" s="229"/>
      <c r="AD2216" s="230"/>
      <c r="AE2216" s="230"/>
      <c r="AF2216" s="230"/>
      <c r="AG2216" s="227"/>
    </row>
    <row r="2217" spans="1:33" x14ac:dyDescent="0.25">
      <c r="A2217" s="32"/>
      <c r="B2217" s="306"/>
      <c r="C2217" s="307"/>
      <c r="D2217" s="312"/>
      <c r="E2217" s="301"/>
      <c r="F2217" s="232"/>
      <c r="J2217" s="306"/>
      <c r="K2217" s="306"/>
      <c r="L2217" s="313"/>
      <c r="M2217" s="219"/>
      <c r="N2217" s="218"/>
      <c r="S2217" s="224"/>
      <c r="T2217" s="228"/>
      <c r="U2217" s="226"/>
      <c r="V2217" s="226"/>
      <c r="W2217" s="303"/>
      <c r="X2217" s="220"/>
      <c r="Z2217" s="227"/>
      <c r="AA2217" s="220"/>
      <c r="AB2217" s="221"/>
      <c r="AC2217" s="229"/>
      <c r="AD2217" s="230"/>
      <c r="AE2217" s="230"/>
      <c r="AF2217" s="230"/>
      <c r="AG2217" s="227"/>
    </row>
    <row r="2218" spans="1:33" x14ac:dyDescent="0.25">
      <c r="A2218" s="32"/>
      <c r="B2218" s="306"/>
      <c r="C2218" s="307"/>
      <c r="D2218" s="312"/>
      <c r="E2218" s="301"/>
      <c r="F2218" s="232"/>
      <c r="J2218" s="306"/>
      <c r="K2218" s="306"/>
      <c r="L2218" s="313"/>
      <c r="M2218" s="219"/>
      <c r="N2218" s="218"/>
      <c r="S2218" s="224"/>
      <c r="T2218" s="228"/>
      <c r="U2218" s="226"/>
      <c r="V2218" s="226"/>
      <c r="W2218" s="303"/>
      <c r="X2218" s="220"/>
      <c r="Z2218" s="227"/>
      <c r="AA2218" s="220"/>
      <c r="AB2218" s="221"/>
      <c r="AC2218" s="229"/>
      <c r="AD2218" s="230"/>
      <c r="AE2218" s="230"/>
      <c r="AF2218" s="230"/>
      <c r="AG2218" s="227"/>
    </row>
    <row r="2219" spans="1:33" x14ac:dyDescent="0.25">
      <c r="A2219" s="32"/>
      <c r="B2219" s="306"/>
      <c r="C2219" s="307"/>
      <c r="D2219" s="312"/>
      <c r="E2219" s="301"/>
      <c r="F2219" s="232"/>
      <c r="J2219" s="306"/>
      <c r="K2219" s="306"/>
      <c r="L2219" s="313"/>
      <c r="M2219" s="219"/>
      <c r="N2219" s="218"/>
      <c r="S2219" s="224"/>
      <c r="T2219" s="228"/>
      <c r="U2219" s="226"/>
      <c r="V2219" s="226"/>
      <c r="W2219" s="303"/>
      <c r="X2219" s="220"/>
      <c r="Z2219" s="227"/>
      <c r="AA2219" s="220"/>
      <c r="AB2219" s="221"/>
      <c r="AC2219" s="229"/>
      <c r="AD2219" s="230"/>
      <c r="AE2219" s="230"/>
      <c r="AF2219" s="230"/>
      <c r="AG2219" s="227"/>
    </row>
    <row r="2220" spans="1:33" x14ac:dyDescent="0.25">
      <c r="A2220" s="32"/>
      <c r="B2220" s="306"/>
      <c r="C2220" s="307"/>
      <c r="D2220" s="312"/>
      <c r="E2220" s="301"/>
      <c r="F2220" s="232"/>
      <c r="J2220" s="306"/>
      <c r="K2220" s="306"/>
      <c r="L2220" s="313"/>
      <c r="M2220" s="219"/>
      <c r="N2220" s="218"/>
      <c r="S2220" s="224"/>
      <c r="T2220" s="228"/>
      <c r="U2220" s="226"/>
      <c r="V2220" s="226"/>
      <c r="W2220" s="303"/>
      <c r="X2220" s="220"/>
      <c r="Z2220" s="227"/>
      <c r="AA2220" s="220"/>
      <c r="AB2220" s="221"/>
      <c r="AC2220" s="229"/>
      <c r="AD2220" s="230"/>
      <c r="AE2220" s="230"/>
      <c r="AF2220" s="230"/>
      <c r="AG2220" s="227"/>
    </row>
    <row r="2221" spans="1:33" x14ac:dyDescent="0.25">
      <c r="A2221" s="32"/>
      <c r="B2221" s="306"/>
      <c r="C2221" s="307"/>
      <c r="D2221" s="312"/>
      <c r="E2221" s="301"/>
      <c r="F2221" s="232"/>
      <c r="J2221" s="306"/>
      <c r="K2221" s="306"/>
      <c r="L2221" s="313"/>
      <c r="M2221" s="219"/>
      <c r="N2221" s="218"/>
      <c r="S2221" s="224"/>
      <c r="T2221" s="228"/>
      <c r="U2221" s="226"/>
      <c r="V2221" s="226"/>
      <c r="W2221" s="303"/>
      <c r="X2221" s="220"/>
      <c r="Z2221" s="227"/>
      <c r="AA2221" s="220"/>
      <c r="AB2221" s="221"/>
      <c r="AC2221" s="229"/>
      <c r="AD2221" s="230"/>
      <c r="AE2221" s="230"/>
      <c r="AF2221" s="230"/>
      <c r="AG2221" s="227"/>
    </row>
    <row r="2222" spans="1:33" x14ac:dyDescent="0.25">
      <c r="A2222" s="32"/>
      <c r="B2222" s="306"/>
      <c r="C2222" s="307"/>
      <c r="D2222" s="312"/>
      <c r="E2222" s="301"/>
      <c r="F2222" s="232"/>
      <c r="J2222" s="306"/>
      <c r="K2222" s="306"/>
      <c r="L2222" s="313"/>
      <c r="M2222" s="219"/>
      <c r="N2222" s="218"/>
      <c r="S2222" s="224"/>
      <c r="T2222" s="228"/>
      <c r="U2222" s="226"/>
      <c r="V2222" s="226"/>
      <c r="W2222" s="303"/>
      <c r="X2222" s="220"/>
      <c r="Z2222" s="227"/>
      <c r="AA2222" s="220"/>
      <c r="AB2222" s="221"/>
      <c r="AC2222" s="229"/>
      <c r="AD2222" s="230"/>
      <c r="AE2222" s="230"/>
      <c r="AF2222" s="230"/>
      <c r="AG2222" s="227"/>
    </row>
    <row r="2223" spans="1:33" x14ac:dyDescent="0.25">
      <c r="A2223" s="32"/>
      <c r="B2223" s="306"/>
      <c r="C2223" s="307"/>
      <c r="D2223" s="312"/>
      <c r="E2223" s="301"/>
      <c r="F2223" s="232"/>
      <c r="J2223" s="306"/>
      <c r="K2223" s="306"/>
      <c r="L2223" s="313"/>
      <c r="M2223" s="219"/>
      <c r="N2223" s="218"/>
      <c r="S2223" s="224"/>
      <c r="T2223" s="228"/>
      <c r="U2223" s="226"/>
      <c r="V2223" s="226"/>
      <c r="W2223" s="303"/>
      <c r="X2223" s="220"/>
      <c r="Z2223" s="227"/>
      <c r="AA2223" s="220"/>
      <c r="AB2223" s="221"/>
      <c r="AC2223" s="229"/>
      <c r="AD2223" s="230"/>
      <c r="AE2223" s="230"/>
      <c r="AF2223" s="230"/>
      <c r="AG2223" s="227"/>
    </row>
    <row r="2224" spans="1:33" x14ac:dyDescent="0.25">
      <c r="A2224" s="32"/>
      <c r="B2224" s="306"/>
      <c r="C2224" s="307"/>
      <c r="D2224" s="312"/>
      <c r="E2224" s="301"/>
      <c r="F2224" s="232"/>
      <c r="J2224" s="306"/>
      <c r="K2224" s="306"/>
      <c r="L2224" s="313"/>
      <c r="M2224" s="219"/>
      <c r="N2224" s="218"/>
      <c r="S2224" s="224"/>
      <c r="T2224" s="228"/>
      <c r="U2224" s="226"/>
      <c r="V2224" s="226"/>
      <c r="W2224" s="303"/>
      <c r="X2224" s="220"/>
      <c r="Z2224" s="227"/>
      <c r="AA2224" s="220"/>
      <c r="AB2224" s="221"/>
      <c r="AC2224" s="229"/>
      <c r="AD2224" s="230"/>
      <c r="AE2224" s="230"/>
      <c r="AF2224" s="230"/>
      <c r="AG2224" s="227"/>
    </row>
    <row r="2225" spans="1:33" x14ac:dyDescent="0.25">
      <c r="A2225" s="32"/>
      <c r="B2225" s="306"/>
      <c r="C2225" s="307"/>
      <c r="D2225" s="312"/>
      <c r="E2225" s="301"/>
      <c r="F2225" s="232"/>
      <c r="J2225" s="306"/>
      <c r="K2225" s="306"/>
      <c r="L2225" s="313"/>
      <c r="M2225" s="219"/>
      <c r="N2225" s="218"/>
      <c r="S2225" s="224"/>
      <c r="T2225" s="228"/>
      <c r="U2225" s="226"/>
      <c r="V2225" s="226"/>
      <c r="W2225" s="303"/>
      <c r="X2225" s="220"/>
      <c r="Z2225" s="227"/>
      <c r="AA2225" s="220"/>
      <c r="AB2225" s="221"/>
      <c r="AC2225" s="229"/>
      <c r="AD2225" s="230"/>
      <c r="AE2225" s="230"/>
      <c r="AF2225" s="230"/>
      <c r="AG2225" s="227"/>
    </row>
    <row r="2226" spans="1:33" x14ac:dyDescent="0.25">
      <c r="A2226" s="32"/>
      <c r="B2226" s="306"/>
      <c r="C2226" s="307"/>
      <c r="D2226" s="312"/>
      <c r="E2226" s="301"/>
      <c r="F2226" s="232"/>
      <c r="J2226" s="306"/>
      <c r="K2226" s="306"/>
      <c r="L2226" s="313"/>
      <c r="M2226" s="219"/>
      <c r="N2226" s="218"/>
      <c r="S2226" s="224"/>
      <c r="T2226" s="228"/>
      <c r="U2226" s="226"/>
      <c r="V2226" s="226"/>
      <c r="W2226" s="303"/>
      <c r="X2226" s="220"/>
      <c r="Z2226" s="227"/>
      <c r="AA2226" s="220"/>
      <c r="AB2226" s="221"/>
      <c r="AC2226" s="229"/>
      <c r="AD2226" s="230"/>
      <c r="AE2226" s="230"/>
      <c r="AF2226" s="230"/>
      <c r="AG2226" s="227"/>
    </row>
    <row r="2227" spans="1:33" x14ac:dyDescent="0.25">
      <c r="A2227" s="32"/>
      <c r="B2227" s="306"/>
      <c r="C2227" s="307"/>
      <c r="D2227" s="312"/>
      <c r="E2227" s="301"/>
      <c r="F2227" s="232"/>
      <c r="J2227" s="306"/>
      <c r="K2227" s="306"/>
      <c r="L2227" s="313"/>
      <c r="M2227" s="219"/>
      <c r="N2227" s="218"/>
      <c r="S2227" s="224"/>
      <c r="T2227" s="228"/>
      <c r="U2227" s="226"/>
      <c r="V2227" s="226"/>
      <c r="W2227" s="303"/>
      <c r="X2227" s="220"/>
      <c r="Z2227" s="227"/>
      <c r="AA2227" s="220"/>
      <c r="AB2227" s="221"/>
      <c r="AC2227" s="229"/>
      <c r="AD2227" s="230"/>
      <c r="AE2227" s="230"/>
      <c r="AF2227" s="230"/>
      <c r="AG2227" s="227"/>
    </row>
    <row r="2228" spans="1:33" x14ac:dyDescent="0.25">
      <c r="A2228" s="32"/>
      <c r="B2228" s="306"/>
      <c r="C2228" s="307"/>
      <c r="D2228" s="312"/>
      <c r="E2228" s="301"/>
      <c r="F2228" s="232"/>
      <c r="J2228" s="306"/>
      <c r="K2228" s="306"/>
      <c r="L2228" s="313"/>
      <c r="M2228" s="219"/>
      <c r="N2228" s="218"/>
      <c r="S2228" s="224"/>
      <c r="T2228" s="228"/>
      <c r="U2228" s="226"/>
      <c r="V2228" s="226"/>
      <c r="W2228" s="303"/>
      <c r="X2228" s="220"/>
      <c r="Z2228" s="227"/>
      <c r="AA2228" s="220"/>
      <c r="AB2228" s="221"/>
      <c r="AC2228" s="229"/>
      <c r="AD2228" s="230"/>
      <c r="AE2228" s="230"/>
      <c r="AF2228" s="230"/>
      <c r="AG2228" s="227"/>
    </row>
    <row r="2229" spans="1:33" x14ac:dyDescent="0.25">
      <c r="A2229" s="32"/>
      <c r="B2229" s="306"/>
      <c r="C2229" s="307"/>
      <c r="D2229" s="312"/>
      <c r="E2229" s="301"/>
      <c r="F2229" s="232"/>
      <c r="J2229" s="306"/>
      <c r="K2229" s="306"/>
      <c r="L2229" s="313"/>
      <c r="M2229" s="219"/>
      <c r="N2229" s="218"/>
      <c r="S2229" s="224"/>
      <c r="T2229" s="228"/>
      <c r="U2229" s="226"/>
      <c r="V2229" s="226"/>
      <c r="W2229" s="303"/>
      <c r="X2229" s="220"/>
      <c r="Z2229" s="227"/>
      <c r="AA2229" s="220"/>
      <c r="AB2229" s="221"/>
      <c r="AC2229" s="229"/>
      <c r="AD2229" s="230"/>
      <c r="AE2229" s="230"/>
      <c r="AF2229" s="230"/>
      <c r="AG2229" s="227"/>
    </row>
    <row r="2230" spans="1:33" x14ac:dyDescent="0.25">
      <c r="A2230" s="32"/>
      <c r="B2230" s="306"/>
      <c r="C2230" s="307"/>
      <c r="D2230" s="312"/>
      <c r="E2230" s="301"/>
      <c r="F2230" s="232"/>
      <c r="J2230" s="306"/>
      <c r="K2230" s="306"/>
      <c r="L2230" s="313"/>
      <c r="M2230" s="219"/>
      <c r="N2230" s="218"/>
      <c r="S2230" s="224"/>
      <c r="T2230" s="228"/>
      <c r="U2230" s="226"/>
      <c r="V2230" s="226"/>
      <c r="W2230" s="303"/>
      <c r="X2230" s="220"/>
      <c r="Z2230" s="227"/>
      <c r="AA2230" s="220"/>
      <c r="AB2230" s="221"/>
      <c r="AC2230" s="229"/>
      <c r="AD2230" s="230"/>
      <c r="AE2230" s="230"/>
      <c r="AF2230" s="230"/>
      <c r="AG2230" s="227"/>
    </row>
    <row r="2231" spans="1:33" x14ac:dyDescent="0.25">
      <c r="A2231" s="32"/>
      <c r="B2231" s="306"/>
      <c r="C2231" s="307"/>
      <c r="D2231" s="312"/>
      <c r="E2231" s="301"/>
      <c r="F2231" s="232"/>
      <c r="J2231" s="306"/>
      <c r="K2231" s="306"/>
      <c r="L2231" s="313"/>
      <c r="M2231" s="219"/>
      <c r="N2231" s="218"/>
      <c r="S2231" s="224"/>
      <c r="T2231" s="228"/>
      <c r="U2231" s="226"/>
      <c r="V2231" s="226"/>
      <c r="W2231" s="303"/>
      <c r="X2231" s="220"/>
      <c r="Z2231" s="227"/>
      <c r="AA2231" s="220"/>
      <c r="AB2231" s="221"/>
      <c r="AC2231" s="229"/>
      <c r="AD2231" s="230"/>
      <c r="AE2231" s="230"/>
      <c r="AF2231" s="230"/>
      <c r="AG2231" s="227"/>
    </row>
    <row r="2232" spans="1:33" x14ac:dyDescent="0.25">
      <c r="A2232" s="32"/>
      <c r="B2232" s="306"/>
      <c r="C2232" s="307"/>
      <c r="D2232" s="312"/>
      <c r="E2232" s="301"/>
      <c r="F2232" s="232"/>
      <c r="J2232" s="306"/>
      <c r="K2232" s="306"/>
      <c r="L2232" s="313"/>
      <c r="M2232" s="219"/>
      <c r="N2232" s="218"/>
      <c r="S2232" s="224"/>
      <c r="T2232" s="228"/>
      <c r="U2232" s="226"/>
      <c r="V2232" s="226"/>
      <c r="W2232" s="303"/>
      <c r="X2232" s="220"/>
      <c r="Z2232" s="227"/>
      <c r="AA2232" s="220"/>
      <c r="AB2232" s="221"/>
      <c r="AC2232" s="229"/>
      <c r="AD2232" s="230"/>
      <c r="AE2232" s="230"/>
      <c r="AF2232" s="230"/>
      <c r="AG2232" s="227"/>
    </row>
    <row r="2233" spans="1:33" x14ac:dyDescent="0.25">
      <c r="A2233" s="32"/>
      <c r="B2233" s="306"/>
      <c r="C2233" s="307"/>
      <c r="D2233" s="312"/>
      <c r="E2233" s="301"/>
      <c r="F2233" s="232"/>
      <c r="J2233" s="306"/>
      <c r="K2233" s="306"/>
      <c r="L2233" s="313"/>
      <c r="M2233" s="219"/>
      <c r="N2233" s="218"/>
      <c r="S2233" s="224"/>
      <c r="T2233" s="228"/>
      <c r="U2233" s="226"/>
      <c r="V2233" s="226"/>
      <c r="W2233" s="303"/>
      <c r="X2233" s="220"/>
      <c r="Z2233" s="227"/>
      <c r="AA2233" s="220"/>
      <c r="AB2233" s="221"/>
      <c r="AC2233" s="229"/>
      <c r="AD2233" s="230"/>
      <c r="AE2233" s="230"/>
      <c r="AF2233" s="230"/>
      <c r="AG2233" s="227"/>
    </row>
    <row r="2234" spans="1:33" x14ac:dyDescent="0.25">
      <c r="A2234" s="32"/>
      <c r="B2234" s="306"/>
      <c r="C2234" s="307"/>
      <c r="D2234" s="312"/>
      <c r="E2234" s="301"/>
      <c r="F2234" s="232"/>
      <c r="J2234" s="306"/>
      <c r="K2234" s="306"/>
      <c r="L2234" s="313"/>
      <c r="M2234" s="219"/>
      <c r="N2234" s="218"/>
      <c r="S2234" s="224"/>
      <c r="T2234" s="228"/>
      <c r="U2234" s="226"/>
      <c r="V2234" s="226"/>
      <c r="W2234" s="303"/>
      <c r="X2234" s="220"/>
      <c r="Z2234" s="227"/>
      <c r="AA2234" s="220"/>
      <c r="AB2234" s="221"/>
      <c r="AC2234" s="229"/>
      <c r="AD2234" s="230"/>
      <c r="AE2234" s="230"/>
      <c r="AF2234" s="230"/>
      <c r="AG2234" s="227"/>
    </row>
    <row r="2235" spans="1:33" x14ac:dyDescent="0.25">
      <c r="A2235" s="32"/>
      <c r="B2235" s="306"/>
      <c r="C2235" s="307"/>
      <c r="D2235" s="312"/>
      <c r="E2235" s="301"/>
      <c r="F2235" s="232"/>
      <c r="J2235" s="306"/>
      <c r="K2235" s="306"/>
      <c r="L2235" s="313"/>
      <c r="M2235" s="219"/>
      <c r="N2235" s="218"/>
      <c r="S2235" s="224"/>
      <c r="T2235" s="228"/>
      <c r="U2235" s="226"/>
      <c r="V2235" s="226"/>
      <c r="W2235" s="303"/>
      <c r="X2235" s="220"/>
      <c r="Z2235" s="227"/>
      <c r="AA2235" s="220"/>
      <c r="AB2235" s="221"/>
      <c r="AC2235" s="229"/>
      <c r="AD2235" s="230"/>
      <c r="AE2235" s="230"/>
      <c r="AF2235" s="230"/>
      <c r="AG2235" s="227"/>
    </row>
    <row r="2236" spans="1:33" x14ac:dyDescent="0.25">
      <c r="A2236" s="32"/>
      <c r="B2236" s="306"/>
      <c r="C2236" s="307"/>
      <c r="D2236" s="312"/>
      <c r="E2236" s="301"/>
      <c r="F2236" s="232"/>
      <c r="J2236" s="306"/>
      <c r="K2236" s="306"/>
      <c r="L2236" s="313"/>
      <c r="M2236" s="219"/>
      <c r="N2236" s="218"/>
      <c r="S2236" s="224"/>
      <c r="T2236" s="228"/>
      <c r="U2236" s="226"/>
      <c r="V2236" s="226"/>
      <c r="W2236" s="303"/>
      <c r="X2236" s="220"/>
      <c r="Z2236" s="227"/>
      <c r="AA2236" s="220"/>
      <c r="AB2236" s="221"/>
      <c r="AC2236" s="229"/>
      <c r="AD2236" s="230"/>
      <c r="AE2236" s="230"/>
      <c r="AF2236" s="230"/>
      <c r="AG2236" s="227"/>
    </row>
    <row r="2237" spans="1:33" x14ac:dyDescent="0.25">
      <c r="A2237" s="32"/>
      <c r="B2237" s="306"/>
      <c r="C2237" s="307"/>
      <c r="D2237" s="312"/>
      <c r="E2237" s="301"/>
      <c r="F2237" s="232"/>
      <c r="J2237" s="306"/>
      <c r="K2237" s="306"/>
      <c r="L2237" s="313"/>
      <c r="M2237" s="219"/>
      <c r="N2237" s="218"/>
      <c r="S2237" s="224"/>
      <c r="T2237" s="228"/>
      <c r="U2237" s="226"/>
      <c r="V2237" s="226"/>
      <c r="W2237" s="303"/>
      <c r="X2237" s="220"/>
      <c r="Z2237" s="227"/>
      <c r="AA2237" s="220"/>
      <c r="AB2237" s="221"/>
      <c r="AC2237" s="229"/>
      <c r="AD2237" s="230"/>
      <c r="AE2237" s="230"/>
      <c r="AF2237" s="230"/>
      <c r="AG2237" s="227"/>
    </row>
    <row r="2238" spans="1:33" x14ac:dyDescent="0.25">
      <c r="A2238" s="32"/>
      <c r="B2238" s="306"/>
      <c r="C2238" s="307"/>
      <c r="D2238" s="312"/>
      <c r="E2238" s="301"/>
      <c r="F2238" s="232"/>
      <c r="J2238" s="306"/>
      <c r="K2238" s="306"/>
      <c r="L2238" s="313"/>
      <c r="M2238" s="219"/>
      <c r="N2238" s="218"/>
      <c r="S2238" s="224"/>
      <c r="T2238" s="228"/>
      <c r="U2238" s="226"/>
      <c r="V2238" s="226"/>
      <c r="W2238" s="303"/>
      <c r="X2238" s="220"/>
      <c r="Z2238" s="227"/>
      <c r="AA2238" s="220"/>
      <c r="AB2238" s="221"/>
      <c r="AC2238" s="229"/>
      <c r="AD2238" s="230"/>
      <c r="AE2238" s="230"/>
      <c r="AF2238" s="230"/>
      <c r="AG2238" s="227"/>
    </row>
    <row r="2239" spans="1:33" x14ac:dyDescent="0.25">
      <c r="A2239" s="32"/>
      <c r="B2239" s="306"/>
      <c r="C2239" s="307"/>
      <c r="D2239" s="312"/>
      <c r="E2239" s="301"/>
      <c r="F2239" s="232"/>
      <c r="J2239" s="306"/>
      <c r="K2239" s="306"/>
      <c r="L2239" s="313"/>
      <c r="M2239" s="219"/>
      <c r="N2239" s="218"/>
      <c r="S2239" s="224"/>
      <c r="T2239" s="228"/>
      <c r="U2239" s="226"/>
      <c r="V2239" s="226"/>
      <c r="W2239" s="303"/>
      <c r="X2239" s="220"/>
      <c r="Z2239" s="227"/>
      <c r="AA2239" s="220"/>
      <c r="AB2239" s="221"/>
      <c r="AC2239" s="229"/>
      <c r="AD2239" s="230"/>
      <c r="AE2239" s="230"/>
      <c r="AF2239" s="230"/>
      <c r="AG2239" s="227"/>
    </row>
    <row r="2240" spans="1:33" x14ac:dyDescent="0.25">
      <c r="A2240" s="32"/>
      <c r="B2240" s="306"/>
      <c r="C2240" s="307"/>
      <c r="D2240" s="312"/>
      <c r="E2240" s="301"/>
      <c r="F2240" s="232"/>
      <c r="J2240" s="306"/>
      <c r="K2240" s="306"/>
      <c r="L2240" s="313"/>
      <c r="M2240" s="219"/>
      <c r="N2240" s="218"/>
      <c r="S2240" s="224"/>
      <c r="T2240" s="228"/>
      <c r="U2240" s="226"/>
      <c r="V2240" s="226"/>
      <c r="W2240" s="303"/>
      <c r="X2240" s="220"/>
      <c r="Z2240" s="227"/>
      <c r="AA2240" s="220"/>
      <c r="AB2240" s="221"/>
      <c r="AC2240" s="229"/>
      <c r="AD2240" s="230"/>
      <c r="AE2240" s="230"/>
      <c r="AF2240" s="230"/>
      <c r="AG2240" s="227"/>
    </row>
    <row r="2241" spans="1:33" x14ac:dyDescent="0.25">
      <c r="A2241" s="32"/>
      <c r="B2241" s="306"/>
      <c r="C2241" s="307"/>
      <c r="D2241" s="312"/>
      <c r="E2241" s="301"/>
      <c r="F2241" s="232"/>
      <c r="J2241" s="306"/>
      <c r="K2241" s="306"/>
      <c r="L2241" s="313"/>
      <c r="M2241" s="219"/>
      <c r="N2241" s="218"/>
      <c r="S2241" s="224"/>
      <c r="T2241" s="228"/>
      <c r="U2241" s="226"/>
      <c r="V2241" s="226"/>
      <c r="W2241" s="303"/>
      <c r="X2241" s="220"/>
      <c r="Z2241" s="227"/>
      <c r="AA2241" s="220"/>
      <c r="AB2241" s="221"/>
      <c r="AC2241" s="229"/>
      <c r="AD2241" s="230"/>
      <c r="AE2241" s="230"/>
      <c r="AF2241" s="230"/>
      <c r="AG2241" s="227"/>
    </row>
    <row r="2242" spans="1:33" x14ac:dyDescent="0.25">
      <c r="A2242" s="32"/>
      <c r="B2242" s="306"/>
      <c r="C2242" s="307"/>
      <c r="D2242" s="312"/>
      <c r="E2242" s="301"/>
      <c r="F2242" s="232"/>
      <c r="J2242" s="306"/>
      <c r="K2242" s="306"/>
      <c r="L2242" s="313"/>
      <c r="M2242" s="219"/>
      <c r="N2242" s="218"/>
      <c r="S2242" s="224"/>
      <c r="T2242" s="228"/>
      <c r="U2242" s="226"/>
      <c r="V2242" s="226"/>
      <c r="W2242" s="303"/>
      <c r="X2242" s="220"/>
      <c r="Z2242" s="227"/>
      <c r="AA2242" s="220"/>
      <c r="AB2242" s="221"/>
      <c r="AC2242" s="229"/>
      <c r="AD2242" s="230"/>
      <c r="AE2242" s="230"/>
      <c r="AF2242" s="230"/>
      <c r="AG2242" s="227"/>
    </row>
    <row r="2243" spans="1:33" x14ac:dyDescent="0.25">
      <c r="A2243" s="32"/>
      <c r="B2243" s="306"/>
      <c r="C2243" s="307"/>
      <c r="D2243" s="312"/>
      <c r="E2243" s="301"/>
      <c r="F2243" s="232"/>
      <c r="J2243" s="306"/>
      <c r="K2243" s="306"/>
      <c r="L2243" s="313"/>
      <c r="M2243" s="219"/>
      <c r="N2243" s="218"/>
      <c r="S2243" s="224"/>
      <c r="T2243" s="228"/>
      <c r="U2243" s="226"/>
      <c r="V2243" s="226"/>
      <c r="W2243" s="303"/>
      <c r="X2243" s="220"/>
      <c r="Z2243" s="227"/>
      <c r="AA2243" s="220"/>
      <c r="AB2243" s="221"/>
      <c r="AC2243" s="229"/>
      <c r="AD2243" s="230"/>
      <c r="AE2243" s="230"/>
      <c r="AF2243" s="230"/>
      <c r="AG2243" s="227"/>
    </row>
    <row r="2244" spans="1:33" x14ac:dyDescent="0.25">
      <c r="A2244" s="32"/>
      <c r="B2244" s="306"/>
      <c r="C2244" s="307"/>
      <c r="D2244" s="312"/>
      <c r="E2244" s="301"/>
      <c r="F2244" s="232"/>
      <c r="J2244" s="306"/>
      <c r="K2244" s="306"/>
      <c r="L2244" s="313"/>
      <c r="M2244" s="219"/>
      <c r="N2244" s="218"/>
      <c r="S2244" s="224"/>
      <c r="T2244" s="228"/>
      <c r="U2244" s="226"/>
      <c r="V2244" s="226"/>
      <c r="W2244" s="303"/>
      <c r="X2244" s="220"/>
      <c r="Z2244" s="227"/>
      <c r="AA2244" s="220"/>
      <c r="AB2244" s="221"/>
      <c r="AC2244" s="229"/>
      <c r="AD2244" s="230"/>
      <c r="AE2244" s="230"/>
      <c r="AF2244" s="230"/>
      <c r="AG2244" s="227"/>
    </row>
    <row r="2245" spans="1:33" x14ac:dyDescent="0.25">
      <c r="A2245" s="32"/>
      <c r="B2245" s="306"/>
      <c r="C2245" s="307"/>
      <c r="D2245" s="312"/>
      <c r="E2245" s="301"/>
      <c r="F2245" s="232"/>
      <c r="J2245" s="306"/>
      <c r="K2245" s="306"/>
      <c r="L2245" s="313"/>
      <c r="M2245" s="219"/>
      <c r="N2245" s="218"/>
      <c r="S2245" s="224"/>
      <c r="T2245" s="228"/>
      <c r="U2245" s="226"/>
      <c r="V2245" s="226"/>
      <c r="W2245" s="303"/>
      <c r="X2245" s="220"/>
      <c r="Z2245" s="227"/>
      <c r="AA2245" s="220"/>
      <c r="AB2245" s="221"/>
      <c r="AC2245" s="229"/>
      <c r="AD2245" s="230"/>
      <c r="AE2245" s="230"/>
      <c r="AF2245" s="230"/>
      <c r="AG2245" s="227"/>
    </row>
    <row r="2246" spans="1:33" x14ac:dyDescent="0.25">
      <c r="A2246" s="32"/>
      <c r="B2246" s="306"/>
      <c r="C2246" s="307"/>
      <c r="D2246" s="312"/>
      <c r="E2246" s="301"/>
      <c r="F2246" s="232"/>
      <c r="J2246" s="306"/>
      <c r="K2246" s="306"/>
      <c r="L2246" s="313"/>
      <c r="M2246" s="219"/>
      <c r="N2246" s="218"/>
      <c r="S2246" s="224"/>
      <c r="T2246" s="228"/>
      <c r="U2246" s="226"/>
      <c r="V2246" s="226"/>
      <c r="W2246" s="303"/>
      <c r="X2246" s="220"/>
      <c r="Z2246" s="227"/>
      <c r="AA2246" s="220"/>
      <c r="AB2246" s="221"/>
      <c r="AC2246" s="229"/>
      <c r="AD2246" s="230"/>
      <c r="AE2246" s="230"/>
      <c r="AF2246" s="230"/>
      <c r="AG2246" s="227"/>
    </row>
    <row r="2247" spans="1:33" x14ac:dyDescent="0.25">
      <c r="A2247" s="32"/>
      <c r="B2247" s="306"/>
      <c r="C2247" s="307"/>
      <c r="D2247" s="312"/>
      <c r="E2247" s="301"/>
      <c r="F2247" s="232"/>
      <c r="J2247" s="306"/>
      <c r="K2247" s="306"/>
      <c r="L2247" s="313"/>
      <c r="M2247" s="219"/>
      <c r="N2247" s="218"/>
      <c r="S2247" s="224"/>
      <c r="T2247" s="228"/>
      <c r="U2247" s="226"/>
      <c r="V2247" s="226"/>
      <c r="W2247" s="303"/>
      <c r="X2247" s="220"/>
      <c r="Z2247" s="227"/>
      <c r="AA2247" s="220"/>
      <c r="AB2247" s="221"/>
      <c r="AC2247" s="229"/>
      <c r="AD2247" s="230"/>
      <c r="AE2247" s="230"/>
      <c r="AF2247" s="230"/>
      <c r="AG2247" s="227"/>
    </row>
    <row r="2248" spans="1:33" x14ac:dyDescent="0.25">
      <c r="A2248" s="32"/>
      <c r="B2248" s="306"/>
      <c r="C2248" s="307"/>
      <c r="D2248" s="312"/>
      <c r="E2248" s="301"/>
      <c r="F2248" s="232"/>
      <c r="J2248" s="306"/>
      <c r="K2248" s="306"/>
      <c r="L2248" s="313"/>
      <c r="M2248" s="219"/>
      <c r="N2248" s="218"/>
      <c r="S2248" s="224"/>
      <c r="T2248" s="228"/>
      <c r="U2248" s="226"/>
      <c r="V2248" s="226"/>
      <c r="W2248" s="303"/>
      <c r="X2248" s="220"/>
      <c r="Z2248" s="227"/>
      <c r="AA2248" s="220"/>
      <c r="AB2248" s="221"/>
      <c r="AC2248" s="229"/>
      <c r="AD2248" s="230"/>
      <c r="AE2248" s="230"/>
      <c r="AF2248" s="230"/>
      <c r="AG2248" s="227"/>
    </row>
    <row r="2249" spans="1:33" x14ac:dyDescent="0.25">
      <c r="A2249" s="32"/>
      <c r="B2249" s="306"/>
      <c r="C2249" s="307"/>
      <c r="D2249" s="312"/>
      <c r="E2249" s="301"/>
      <c r="F2249" s="232"/>
      <c r="J2249" s="306"/>
      <c r="K2249" s="306"/>
      <c r="L2249" s="313"/>
      <c r="M2249" s="219"/>
      <c r="N2249" s="218"/>
      <c r="S2249" s="224"/>
      <c r="T2249" s="228"/>
      <c r="U2249" s="226"/>
      <c r="V2249" s="226"/>
      <c r="W2249" s="303"/>
      <c r="X2249" s="220"/>
      <c r="Z2249" s="227"/>
      <c r="AA2249" s="220"/>
      <c r="AB2249" s="221"/>
      <c r="AC2249" s="229"/>
      <c r="AD2249" s="230"/>
      <c r="AE2249" s="230"/>
      <c r="AF2249" s="230"/>
      <c r="AG2249" s="227"/>
    </row>
    <row r="2250" spans="1:33" x14ac:dyDescent="0.25">
      <c r="A2250" s="32"/>
      <c r="B2250" s="306"/>
      <c r="C2250" s="307"/>
      <c r="D2250" s="312"/>
      <c r="E2250" s="301"/>
      <c r="F2250" s="232"/>
      <c r="J2250" s="306"/>
      <c r="K2250" s="306"/>
      <c r="L2250" s="313"/>
      <c r="M2250" s="219"/>
      <c r="N2250" s="218"/>
      <c r="S2250" s="224"/>
      <c r="T2250" s="228"/>
      <c r="U2250" s="226"/>
      <c r="V2250" s="226"/>
      <c r="W2250" s="303"/>
      <c r="X2250" s="220"/>
      <c r="Z2250" s="227"/>
      <c r="AA2250" s="220"/>
      <c r="AB2250" s="221"/>
      <c r="AC2250" s="229"/>
      <c r="AD2250" s="230"/>
      <c r="AE2250" s="230"/>
      <c r="AF2250" s="230"/>
      <c r="AG2250" s="227"/>
    </row>
    <row r="2251" spans="1:33" x14ac:dyDescent="0.25">
      <c r="A2251" s="32"/>
      <c r="B2251" s="306"/>
      <c r="C2251" s="307"/>
      <c r="D2251" s="312"/>
      <c r="E2251" s="301"/>
      <c r="F2251" s="232"/>
      <c r="J2251" s="306"/>
      <c r="K2251" s="306"/>
      <c r="L2251" s="313"/>
      <c r="M2251" s="219"/>
      <c r="N2251" s="218"/>
      <c r="S2251" s="224"/>
      <c r="T2251" s="228"/>
      <c r="U2251" s="226"/>
      <c r="V2251" s="226"/>
      <c r="W2251" s="303"/>
      <c r="X2251" s="220"/>
      <c r="Z2251" s="227"/>
      <c r="AA2251" s="220"/>
      <c r="AB2251" s="221"/>
      <c r="AC2251" s="229"/>
      <c r="AD2251" s="230"/>
      <c r="AE2251" s="230"/>
      <c r="AF2251" s="230"/>
      <c r="AG2251" s="227"/>
    </row>
    <row r="2252" spans="1:33" x14ac:dyDescent="0.25">
      <c r="A2252" s="32"/>
      <c r="B2252" s="306"/>
      <c r="C2252" s="307"/>
      <c r="D2252" s="312"/>
      <c r="E2252" s="301"/>
      <c r="F2252" s="232"/>
      <c r="J2252" s="306"/>
      <c r="K2252" s="306"/>
      <c r="L2252" s="313"/>
      <c r="M2252" s="219"/>
      <c r="N2252" s="218"/>
      <c r="S2252" s="224"/>
      <c r="T2252" s="228"/>
      <c r="U2252" s="226"/>
      <c r="V2252" s="226"/>
      <c r="W2252" s="303"/>
      <c r="X2252" s="220"/>
      <c r="Z2252" s="227"/>
      <c r="AA2252" s="220"/>
      <c r="AB2252" s="221"/>
      <c r="AC2252" s="229"/>
      <c r="AD2252" s="230"/>
      <c r="AE2252" s="230"/>
      <c r="AF2252" s="230"/>
      <c r="AG2252" s="227"/>
    </row>
    <row r="2253" spans="1:33" x14ac:dyDescent="0.25">
      <c r="A2253" s="32"/>
      <c r="B2253" s="306"/>
      <c r="C2253" s="307"/>
      <c r="D2253" s="312"/>
      <c r="E2253" s="301"/>
      <c r="F2253" s="232"/>
      <c r="J2253" s="306"/>
      <c r="K2253" s="306"/>
      <c r="L2253" s="313"/>
      <c r="M2253" s="219"/>
      <c r="N2253" s="218"/>
      <c r="S2253" s="224"/>
      <c r="T2253" s="228"/>
      <c r="U2253" s="226"/>
      <c r="V2253" s="226"/>
      <c r="W2253" s="303"/>
      <c r="X2253" s="220"/>
      <c r="Z2253" s="227"/>
      <c r="AA2253" s="220"/>
      <c r="AB2253" s="221"/>
      <c r="AC2253" s="229"/>
      <c r="AD2253" s="230"/>
      <c r="AE2253" s="230"/>
      <c r="AF2253" s="230"/>
      <c r="AG2253" s="227"/>
    </row>
    <row r="2254" spans="1:33" x14ac:dyDescent="0.25">
      <c r="A2254" s="32"/>
      <c r="B2254" s="306"/>
      <c r="C2254" s="307"/>
      <c r="D2254" s="312"/>
      <c r="E2254" s="301"/>
      <c r="F2254" s="232"/>
      <c r="J2254" s="306"/>
      <c r="K2254" s="306"/>
      <c r="L2254" s="313"/>
      <c r="M2254" s="219"/>
      <c r="N2254" s="218"/>
      <c r="S2254" s="224"/>
      <c r="T2254" s="228"/>
      <c r="U2254" s="226"/>
      <c r="V2254" s="226"/>
      <c r="W2254" s="303"/>
      <c r="X2254" s="220"/>
      <c r="Z2254" s="227"/>
      <c r="AA2254" s="220"/>
      <c r="AB2254" s="221"/>
      <c r="AC2254" s="229"/>
      <c r="AD2254" s="230"/>
      <c r="AE2254" s="230"/>
      <c r="AF2254" s="230"/>
      <c r="AG2254" s="227"/>
    </row>
    <row r="2255" spans="1:33" x14ac:dyDescent="0.25">
      <c r="A2255" s="32"/>
      <c r="B2255" s="306"/>
      <c r="C2255" s="307"/>
      <c r="D2255" s="312"/>
      <c r="E2255" s="301"/>
      <c r="F2255" s="232"/>
      <c r="J2255" s="306"/>
      <c r="K2255" s="306"/>
      <c r="L2255" s="313"/>
      <c r="M2255" s="219"/>
      <c r="N2255" s="218"/>
      <c r="S2255" s="224"/>
      <c r="T2255" s="228"/>
      <c r="U2255" s="226"/>
      <c r="V2255" s="226"/>
      <c r="W2255" s="303"/>
      <c r="X2255" s="220"/>
      <c r="Z2255" s="227"/>
      <c r="AA2255" s="220"/>
      <c r="AB2255" s="221"/>
      <c r="AC2255" s="229"/>
      <c r="AD2255" s="230"/>
      <c r="AE2255" s="230"/>
      <c r="AF2255" s="230"/>
      <c r="AG2255" s="227"/>
    </row>
    <row r="2256" spans="1:33" x14ac:dyDescent="0.25">
      <c r="A2256" s="32"/>
      <c r="B2256" s="306"/>
      <c r="C2256" s="307"/>
      <c r="D2256" s="312"/>
      <c r="E2256" s="301"/>
      <c r="F2256" s="232"/>
      <c r="J2256" s="306"/>
      <c r="K2256" s="306"/>
      <c r="L2256" s="313"/>
      <c r="M2256" s="219"/>
      <c r="N2256" s="218"/>
      <c r="S2256" s="224"/>
      <c r="T2256" s="228"/>
      <c r="U2256" s="226"/>
      <c r="V2256" s="226"/>
      <c r="W2256" s="303"/>
      <c r="X2256" s="220"/>
      <c r="Z2256" s="227"/>
      <c r="AA2256" s="220"/>
      <c r="AB2256" s="221"/>
      <c r="AC2256" s="229"/>
      <c r="AD2256" s="230"/>
      <c r="AE2256" s="230"/>
      <c r="AF2256" s="230"/>
      <c r="AG2256" s="227"/>
    </row>
    <row r="2257" spans="1:33" x14ac:dyDescent="0.25">
      <c r="A2257" s="32"/>
      <c r="B2257" s="306"/>
      <c r="C2257" s="307"/>
      <c r="D2257" s="312"/>
      <c r="E2257" s="301"/>
      <c r="F2257" s="232"/>
      <c r="J2257" s="306"/>
      <c r="K2257" s="306"/>
      <c r="L2257" s="313"/>
      <c r="M2257" s="219"/>
      <c r="N2257" s="218"/>
      <c r="S2257" s="224"/>
      <c r="T2257" s="228"/>
      <c r="U2257" s="226"/>
      <c r="V2257" s="226"/>
      <c r="W2257" s="303"/>
      <c r="X2257" s="220"/>
      <c r="Z2257" s="227"/>
      <c r="AA2257" s="220"/>
      <c r="AB2257" s="221"/>
      <c r="AC2257" s="229"/>
      <c r="AD2257" s="230"/>
      <c r="AE2257" s="230"/>
      <c r="AF2257" s="230"/>
      <c r="AG2257" s="227"/>
    </row>
    <row r="2258" spans="1:33" x14ac:dyDescent="0.25">
      <c r="A2258" s="32"/>
      <c r="B2258" s="306"/>
      <c r="C2258" s="307"/>
      <c r="D2258" s="312"/>
      <c r="E2258" s="301"/>
      <c r="F2258" s="232"/>
      <c r="J2258" s="306"/>
      <c r="K2258" s="306"/>
      <c r="L2258" s="313"/>
      <c r="M2258" s="219"/>
      <c r="N2258" s="218"/>
      <c r="S2258" s="224"/>
      <c r="T2258" s="228"/>
      <c r="U2258" s="226"/>
      <c r="V2258" s="226"/>
      <c r="W2258" s="303"/>
      <c r="X2258" s="220"/>
      <c r="Z2258" s="227"/>
      <c r="AA2258" s="220"/>
      <c r="AB2258" s="221"/>
      <c r="AC2258" s="229"/>
      <c r="AD2258" s="230"/>
      <c r="AE2258" s="230"/>
      <c r="AF2258" s="230"/>
      <c r="AG2258" s="227"/>
    </row>
    <row r="2259" spans="1:33" x14ac:dyDescent="0.25">
      <c r="A2259" s="32"/>
      <c r="B2259" s="306"/>
      <c r="C2259" s="307"/>
      <c r="D2259" s="312"/>
      <c r="E2259" s="301"/>
      <c r="F2259" s="232"/>
      <c r="J2259" s="306"/>
      <c r="K2259" s="306"/>
      <c r="L2259" s="313"/>
      <c r="M2259" s="219"/>
      <c r="N2259" s="218"/>
      <c r="S2259" s="224"/>
      <c r="T2259" s="228"/>
      <c r="U2259" s="226"/>
      <c r="V2259" s="226"/>
      <c r="W2259" s="303"/>
      <c r="X2259" s="220"/>
      <c r="Z2259" s="227"/>
      <c r="AA2259" s="220"/>
      <c r="AB2259" s="221"/>
      <c r="AC2259" s="229"/>
      <c r="AD2259" s="230"/>
      <c r="AE2259" s="230"/>
      <c r="AF2259" s="230"/>
      <c r="AG2259" s="227"/>
    </row>
    <row r="2260" spans="1:33" x14ac:dyDescent="0.25">
      <c r="A2260" s="32"/>
      <c r="B2260" s="306"/>
      <c r="C2260" s="307"/>
      <c r="D2260" s="312"/>
      <c r="E2260" s="301"/>
      <c r="F2260" s="232"/>
      <c r="J2260" s="306"/>
      <c r="K2260" s="306"/>
      <c r="L2260" s="313"/>
      <c r="M2260" s="219"/>
      <c r="N2260" s="218"/>
      <c r="S2260" s="224"/>
      <c r="T2260" s="228"/>
      <c r="U2260" s="226"/>
      <c r="V2260" s="226"/>
      <c r="W2260" s="303"/>
      <c r="X2260" s="220"/>
      <c r="Z2260" s="227"/>
      <c r="AA2260" s="220"/>
      <c r="AB2260" s="221"/>
      <c r="AC2260" s="229"/>
      <c r="AD2260" s="230"/>
      <c r="AE2260" s="230"/>
      <c r="AF2260" s="230"/>
      <c r="AG2260" s="227"/>
    </row>
    <row r="2261" spans="1:33" x14ac:dyDescent="0.25">
      <c r="A2261" s="32"/>
      <c r="B2261" s="306"/>
      <c r="C2261" s="307"/>
      <c r="D2261" s="312"/>
      <c r="E2261" s="301"/>
      <c r="F2261" s="232"/>
      <c r="J2261" s="306"/>
      <c r="K2261" s="306"/>
      <c r="L2261" s="313"/>
      <c r="M2261" s="219"/>
      <c r="N2261" s="218"/>
      <c r="S2261" s="224"/>
      <c r="T2261" s="228"/>
      <c r="U2261" s="226"/>
      <c r="V2261" s="226"/>
      <c r="W2261" s="303"/>
      <c r="X2261" s="220"/>
      <c r="Z2261" s="227"/>
      <c r="AA2261" s="220"/>
      <c r="AB2261" s="221"/>
      <c r="AC2261" s="229"/>
      <c r="AD2261" s="230"/>
      <c r="AE2261" s="230"/>
      <c r="AF2261" s="230"/>
      <c r="AG2261" s="227"/>
    </row>
    <row r="2262" spans="1:33" x14ac:dyDescent="0.25">
      <c r="A2262" s="32"/>
      <c r="B2262" s="306"/>
      <c r="C2262" s="307"/>
      <c r="D2262" s="312"/>
      <c r="E2262" s="301"/>
      <c r="F2262" s="232"/>
      <c r="J2262" s="306"/>
      <c r="K2262" s="306"/>
      <c r="L2262" s="313"/>
      <c r="M2262" s="219"/>
      <c r="N2262" s="218"/>
      <c r="S2262" s="224"/>
      <c r="T2262" s="228"/>
      <c r="U2262" s="226"/>
      <c r="V2262" s="226"/>
      <c r="W2262" s="303"/>
      <c r="X2262" s="220"/>
      <c r="Z2262" s="227"/>
      <c r="AA2262" s="220"/>
      <c r="AB2262" s="221"/>
      <c r="AC2262" s="229"/>
      <c r="AD2262" s="230"/>
      <c r="AE2262" s="230"/>
      <c r="AF2262" s="230"/>
      <c r="AG2262" s="227"/>
    </row>
    <row r="2263" spans="1:33" x14ac:dyDescent="0.25">
      <c r="A2263" s="32"/>
      <c r="B2263" s="306"/>
      <c r="C2263" s="307"/>
      <c r="D2263" s="312"/>
      <c r="E2263" s="301"/>
      <c r="F2263" s="232"/>
      <c r="J2263" s="306"/>
      <c r="K2263" s="306"/>
      <c r="L2263" s="313"/>
      <c r="M2263" s="219"/>
      <c r="N2263" s="218"/>
      <c r="S2263" s="224"/>
      <c r="T2263" s="228"/>
      <c r="U2263" s="226"/>
      <c r="V2263" s="226"/>
      <c r="W2263" s="303"/>
      <c r="X2263" s="220"/>
      <c r="Z2263" s="227"/>
      <c r="AA2263" s="220"/>
      <c r="AB2263" s="221"/>
      <c r="AC2263" s="229"/>
      <c r="AD2263" s="230"/>
      <c r="AE2263" s="230"/>
      <c r="AF2263" s="230"/>
      <c r="AG2263" s="227"/>
    </row>
    <row r="2264" spans="1:33" x14ac:dyDescent="0.25">
      <c r="A2264" s="32"/>
      <c r="B2264" s="306"/>
      <c r="C2264" s="307"/>
      <c r="D2264" s="312"/>
      <c r="E2264" s="301"/>
      <c r="F2264" s="232"/>
      <c r="J2264" s="306"/>
      <c r="K2264" s="306"/>
      <c r="L2264" s="313"/>
      <c r="M2264" s="219"/>
      <c r="N2264" s="218"/>
      <c r="S2264" s="224"/>
      <c r="T2264" s="228"/>
      <c r="U2264" s="226"/>
      <c r="V2264" s="226"/>
      <c r="W2264" s="303"/>
      <c r="X2264" s="220"/>
      <c r="Z2264" s="227"/>
      <c r="AA2264" s="220"/>
      <c r="AB2264" s="221"/>
      <c r="AC2264" s="229"/>
      <c r="AD2264" s="230"/>
      <c r="AE2264" s="230"/>
      <c r="AF2264" s="230"/>
      <c r="AG2264" s="227"/>
    </row>
    <row r="2265" spans="1:33" x14ac:dyDescent="0.25">
      <c r="A2265" s="32"/>
      <c r="B2265" s="306"/>
      <c r="C2265" s="307"/>
      <c r="D2265" s="312"/>
      <c r="E2265" s="301"/>
      <c r="F2265" s="232"/>
      <c r="J2265" s="306"/>
      <c r="K2265" s="306"/>
      <c r="L2265" s="313"/>
      <c r="M2265" s="219"/>
      <c r="N2265" s="218"/>
      <c r="S2265" s="224"/>
      <c r="T2265" s="228"/>
      <c r="U2265" s="226"/>
      <c r="V2265" s="226"/>
      <c r="W2265" s="303"/>
      <c r="X2265" s="220"/>
      <c r="Z2265" s="227"/>
      <c r="AA2265" s="220"/>
      <c r="AB2265" s="221"/>
      <c r="AC2265" s="229"/>
      <c r="AD2265" s="230"/>
      <c r="AE2265" s="230"/>
      <c r="AF2265" s="230"/>
      <c r="AG2265" s="227"/>
    </row>
    <row r="2266" spans="1:33" x14ac:dyDescent="0.25">
      <c r="A2266" s="32"/>
      <c r="B2266" s="306"/>
      <c r="C2266" s="307"/>
      <c r="D2266" s="312"/>
      <c r="E2266" s="301"/>
      <c r="F2266" s="232"/>
      <c r="J2266" s="306"/>
      <c r="K2266" s="306"/>
      <c r="L2266" s="313"/>
      <c r="M2266" s="219"/>
      <c r="N2266" s="218"/>
      <c r="S2266" s="224"/>
      <c r="T2266" s="228"/>
      <c r="U2266" s="226"/>
      <c r="V2266" s="226"/>
      <c r="W2266" s="303"/>
      <c r="X2266" s="220"/>
      <c r="Z2266" s="227"/>
      <c r="AA2266" s="220"/>
      <c r="AB2266" s="221"/>
      <c r="AC2266" s="229"/>
      <c r="AD2266" s="230"/>
      <c r="AE2266" s="230"/>
      <c r="AF2266" s="230"/>
      <c r="AG2266" s="227"/>
    </row>
    <row r="2267" spans="1:33" x14ac:dyDescent="0.25">
      <c r="A2267" s="32"/>
      <c r="B2267" s="306"/>
      <c r="C2267" s="307"/>
      <c r="D2267" s="312"/>
      <c r="E2267" s="301"/>
      <c r="F2267" s="232"/>
      <c r="J2267" s="306"/>
      <c r="K2267" s="306"/>
      <c r="L2267" s="313"/>
      <c r="M2267" s="219"/>
      <c r="N2267" s="218"/>
      <c r="S2267" s="224"/>
      <c r="T2267" s="228"/>
      <c r="U2267" s="226"/>
      <c r="V2267" s="226"/>
      <c r="W2267" s="303"/>
      <c r="X2267" s="220"/>
      <c r="Z2267" s="227"/>
      <c r="AA2267" s="220"/>
      <c r="AB2267" s="221"/>
      <c r="AC2267" s="229"/>
      <c r="AD2267" s="230"/>
      <c r="AE2267" s="230"/>
      <c r="AF2267" s="230"/>
      <c r="AG2267" s="227"/>
    </row>
    <row r="2268" spans="1:33" x14ac:dyDescent="0.25">
      <c r="A2268" s="32"/>
      <c r="B2268" s="306"/>
      <c r="C2268" s="307"/>
      <c r="D2268" s="312"/>
      <c r="E2268" s="301"/>
      <c r="F2268" s="232"/>
      <c r="J2268" s="306"/>
      <c r="K2268" s="306"/>
      <c r="L2268" s="313"/>
      <c r="M2268" s="219"/>
      <c r="N2268" s="218"/>
      <c r="S2268" s="224"/>
      <c r="T2268" s="228"/>
      <c r="U2268" s="226"/>
      <c r="V2268" s="226"/>
      <c r="W2268" s="303"/>
      <c r="X2268" s="220"/>
      <c r="Z2268" s="227"/>
      <c r="AA2268" s="220"/>
      <c r="AB2268" s="221"/>
      <c r="AC2268" s="229"/>
      <c r="AD2268" s="230"/>
      <c r="AE2268" s="230"/>
      <c r="AF2268" s="230"/>
      <c r="AG2268" s="227"/>
    </row>
    <row r="2269" spans="1:33" x14ac:dyDescent="0.25">
      <c r="A2269" s="32"/>
      <c r="B2269" s="306"/>
      <c r="C2269" s="307"/>
      <c r="D2269" s="312"/>
      <c r="E2269" s="301"/>
      <c r="F2269" s="232"/>
      <c r="J2269" s="306"/>
      <c r="K2269" s="306"/>
      <c r="L2269" s="313"/>
      <c r="M2269" s="219"/>
      <c r="N2269" s="218"/>
      <c r="S2269" s="224"/>
      <c r="T2269" s="228"/>
      <c r="U2269" s="226"/>
      <c r="V2269" s="226"/>
      <c r="W2269" s="303"/>
      <c r="X2269" s="220"/>
      <c r="Z2269" s="227"/>
      <c r="AA2269" s="220"/>
      <c r="AB2269" s="221"/>
      <c r="AC2269" s="229"/>
      <c r="AD2269" s="230"/>
      <c r="AE2269" s="230"/>
      <c r="AF2269" s="230"/>
      <c r="AG2269" s="227"/>
    </row>
    <row r="2270" spans="1:33" x14ac:dyDescent="0.25">
      <c r="A2270" s="32"/>
      <c r="B2270" s="306"/>
      <c r="C2270" s="307"/>
      <c r="D2270" s="312"/>
      <c r="E2270" s="301"/>
      <c r="F2270" s="232"/>
      <c r="J2270" s="306"/>
      <c r="K2270" s="306"/>
      <c r="L2270" s="313"/>
      <c r="M2270" s="219"/>
      <c r="N2270" s="218"/>
      <c r="S2270" s="224"/>
      <c r="T2270" s="228"/>
      <c r="U2270" s="226"/>
      <c r="V2270" s="226"/>
      <c r="W2270" s="303"/>
      <c r="X2270" s="220"/>
      <c r="Z2270" s="227"/>
      <c r="AA2270" s="220"/>
      <c r="AB2270" s="221"/>
      <c r="AC2270" s="229"/>
      <c r="AD2270" s="230"/>
      <c r="AE2270" s="230"/>
      <c r="AF2270" s="230"/>
      <c r="AG2270" s="227"/>
    </row>
    <row r="2271" spans="1:33" x14ac:dyDescent="0.25">
      <c r="A2271" s="32"/>
      <c r="B2271" s="306"/>
      <c r="C2271" s="307"/>
      <c r="D2271" s="312"/>
      <c r="E2271" s="301"/>
      <c r="F2271" s="232"/>
      <c r="J2271" s="306"/>
      <c r="K2271" s="306"/>
      <c r="L2271" s="313"/>
      <c r="M2271" s="219"/>
      <c r="N2271" s="218"/>
      <c r="S2271" s="224"/>
      <c r="T2271" s="228"/>
      <c r="U2271" s="226"/>
      <c r="V2271" s="226"/>
      <c r="W2271" s="303"/>
      <c r="X2271" s="220"/>
      <c r="Z2271" s="227"/>
      <c r="AA2271" s="220"/>
      <c r="AB2271" s="221"/>
      <c r="AC2271" s="229"/>
      <c r="AD2271" s="230"/>
      <c r="AE2271" s="230"/>
      <c r="AF2271" s="230"/>
      <c r="AG2271" s="227"/>
    </row>
    <row r="2272" spans="1:33" x14ac:dyDescent="0.25">
      <c r="A2272" s="32"/>
      <c r="B2272" s="306"/>
      <c r="C2272" s="307"/>
      <c r="D2272" s="312"/>
      <c r="E2272" s="301"/>
      <c r="F2272" s="232"/>
      <c r="J2272" s="306"/>
      <c r="K2272" s="306"/>
      <c r="L2272" s="313"/>
      <c r="M2272" s="219"/>
      <c r="N2272" s="218"/>
      <c r="S2272" s="224"/>
      <c r="T2272" s="228"/>
      <c r="U2272" s="226"/>
      <c r="V2272" s="226"/>
      <c r="W2272" s="303"/>
      <c r="X2272" s="220"/>
      <c r="Z2272" s="227"/>
      <c r="AA2272" s="220"/>
      <c r="AB2272" s="221"/>
      <c r="AC2272" s="229"/>
      <c r="AD2272" s="230"/>
      <c r="AE2272" s="230"/>
      <c r="AF2272" s="230"/>
      <c r="AG2272" s="227"/>
    </row>
    <row r="2273" spans="1:33" x14ac:dyDescent="0.25">
      <c r="A2273" s="32"/>
      <c r="B2273" s="306"/>
      <c r="C2273" s="307"/>
      <c r="D2273" s="312"/>
      <c r="E2273" s="301"/>
      <c r="F2273" s="232"/>
      <c r="J2273" s="306"/>
      <c r="K2273" s="306"/>
      <c r="L2273" s="313"/>
      <c r="M2273" s="219"/>
      <c r="N2273" s="218"/>
      <c r="S2273" s="224"/>
      <c r="T2273" s="228"/>
      <c r="U2273" s="226"/>
      <c r="V2273" s="226"/>
      <c r="W2273" s="303"/>
      <c r="X2273" s="220"/>
      <c r="Z2273" s="227"/>
      <c r="AA2273" s="220"/>
      <c r="AB2273" s="221"/>
      <c r="AC2273" s="229"/>
      <c r="AD2273" s="230"/>
      <c r="AE2273" s="230"/>
      <c r="AF2273" s="230"/>
      <c r="AG2273" s="227"/>
    </row>
    <row r="2274" spans="1:33" x14ac:dyDescent="0.25">
      <c r="A2274" s="32"/>
      <c r="B2274" s="306"/>
      <c r="C2274" s="307"/>
      <c r="D2274" s="312"/>
      <c r="E2274" s="301"/>
      <c r="F2274" s="232"/>
      <c r="J2274" s="306"/>
      <c r="K2274" s="306"/>
      <c r="L2274" s="313"/>
      <c r="M2274" s="219"/>
      <c r="N2274" s="218"/>
      <c r="S2274" s="224"/>
      <c r="T2274" s="228"/>
      <c r="U2274" s="226"/>
      <c r="V2274" s="226"/>
      <c r="W2274" s="303"/>
      <c r="X2274" s="220"/>
      <c r="Z2274" s="227"/>
      <c r="AA2274" s="220"/>
      <c r="AB2274" s="221"/>
      <c r="AC2274" s="229"/>
      <c r="AD2274" s="230"/>
      <c r="AE2274" s="230"/>
      <c r="AF2274" s="230"/>
      <c r="AG2274" s="227"/>
    </row>
    <row r="2275" spans="1:33" x14ac:dyDescent="0.25">
      <c r="A2275" s="32"/>
      <c r="B2275" s="306"/>
      <c r="C2275" s="307"/>
      <c r="D2275" s="312"/>
      <c r="E2275" s="301"/>
      <c r="F2275" s="232"/>
      <c r="J2275" s="306"/>
      <c r="K2275" s="306"/>
      <c r="L2275" s="313"/>
      <c r="M2275" s="219"/>
      <c r="N2275" s="218"/>
      <c r="S2275" s="224"/>
      <c r="T2275" s="228"/>
      <c r="U2275" s="226"/>
      <c r="V2275" s="226"/>
      <c r="W2275" s="303"/>
      <c r="X2275" s="220"/>
      <c r="Z2275" s="227"/>
      <c r="AA2275" s="220"/>
      <c r="AB2275" s="221"/>
      <c r="AC2275" s="229"/>
      <c r="AD2275" s="230"/>
      <c r="AE2275" s="230"/>
      <c r="AF2275" s="230"/>
      <c r="AG2275" s="227"/>
    </row>
    <row r="2276" spans="1:33" x14ac:dyDescent="0.25">
      <c r="A2276" s="32"/>
      <c r="B2276" s="306"/>
      <c r="C2276" s="307"/>
      <c r="D2276" s="312"/>
      <c r="E2276" s="301"/>
      <c r="F2276" s="232"/>
      <c r="J2276" s="306"/>
      <c r="K2276" s="306"/>
      <c r="L2276" s="313"/>
      <c r="M2276" s="219"/>
      <c r="N2276" s="218"/>
      <c r="S2276" s="224"/>
      <c r="T2276" s="228"/>
      <c r="U2276" s="226"/>
      <c r="V2276" s="226"/>
      <c r="W2276" s="303"/>
      <c r="X2276" s="220"/>
      <c r="Z2276" s="227"/>
      <c r="AA2276" s="220"/>
      <c r="AB2276" s="221"/>
      <c r="AC2276" s="229"/>
      <c r="AD2276" s="230"/>
      <c r="AE2276" s="230"/>
      <c r="AF2276" s="230"/>
      <c r="AG2276" s="227"/>
    </row>
    <row r="2277" spans="1:33" x14ac:dyDescent="0.25">
      <c r="A2277" s="32"/>
      <c r="B2277" s="306"/>
      <c r="C2277" s="307"/>
      <c r="D2277" s="312"/>
      <c r="E2277" s="301"/>
      <c r="F2277" s="232"/>
      <c r="J2277" s="306"/>
      <c r="K2277" s="306"/>
      <c r="L2277" s="313"/>
      <c r="M2277" s="219"/>
      <c r="N2277" s="218"/>
      <c r="S2277" s="224"/>
      <c r="T2277" s="228"/>
      <c r="U2277" s="226"/>
      <c r="V2277" s="226"/>
      <c r="W2277" s="303"/>
      <c r="X2277" s="220"/>
      <c r="Z2277" s="227"/>
      <c r="AA2277" s="220"/>
      <c r="AB2277" s="221"/>
      <c r="AC2277" s="229"/>
      <c r="AD2277" s="230"/>
      <c r="AE2277" s="230"/>
      <c r="AF2277" s="230"/>
      <c r="AG2277" s="227"/>
    </row>
    <row r="2278" spans="1:33" x14ac:dyDescent="0.25">
      <c r="A2278" s="32"/>
      <c r="B2278" s="306"/>
      <c r="C2278" s="307"/>
      <c r="D2278" s="312"/>
      <c r="E2278" s="301"/>
      <c r="F2278" s="232"/>
      <c r="J2278" s="306"/>
      <c r="K2278" s="306"/>
      <c r="L2278" s="313"/>
      <c r="M2278" s="219"/>
      <c r="N2278" s="218"/>
      <c r="S2278" s="224"/>
      <c r="T2278" s="228"/>
      <c r="U2278" s="226"/>
      <c r="V2278" s="226"/>
      <c r="W2278" s="303"/>
      <c r="X2278" s="220"/>
      <c r="Z2278" s="227"/>
      <c r="AA2278" s="220"/>
      <c r="AB2278" s="221"/>
      <c r="AC2278" s="229"/>
      <c r="AD2278" s="230"/>
      <c r="AE2278" s="230"/>
      <c r="AF2278" s="230"/>
      <c r="AG2278" s="227"/>
    </row>
    <row r="2279" spans="1:33" x14ac:dyDescent="0.25">
      <c r="A2279" s="32"/>
      <c r="B2279" s="306"/>
      <c r="C2279" s="307"/>
      <c r="D2279" s="312"/>
      <c r="E2279" s="301"/>
      <c r="F2279" s="232"/>
      <c r="J2279" s="306"/>
      <c r="K2279" s="306"/>
      <c r="L2279" s="313"/>
      <c r="M2279" s="219"/>
      <c r="N2279" s="218"/>
      <c r="S2279" s="224"/>
      <c r="T2279" s="228"/>
      <c r="U2279" s="226"/>
      <c r="V2279" s="226"/>
      <c r="W2279" s="303"/>
      <c r="X2279" s="220"/>
      <c r="Z2279" s="227"/>
      <c r="AA2279" s="220"/>
      <c r="AB2279" s="221"/>
      <c r="AC2279" s="229"/>
      <c r="AD2279" s="230"/>
      <c r="AE2279" s="230"/>
      <c r="AF2279" s="230"/>
      <c r="AG2279" s="227"/>
    </row>
    <row r="2280" spans="1:33" x14ac:dyDescent="0.25">
      <c r="A2280" s="32"/>
      <c r="B2280" s="306"/>
      <c r="C2280" s="307"/>
      <c r="D2280" s="312"/>
      <c r="E2280" s="301"/>
      <c r="F2280" s="232"/>
      <c r="J2280" s="306"/>
      <c r="K2280" s="306"/>
      <c r="L2280" s="313"/>
      <c r="M2280" s="219"/>
      <c r="N2280" s="218"/>
      <c r="S2280" s="224"/>
      <c r="T2280" s="228"/>
      <c r="U2280" s="226"/>
      <c r="V2280" s="226"/>
      <c r="W2280" s="303"/>
      <c r="X2280" s="220"/>
      <c r="Z2280" s="227"/>
      <c r="AA2280" s="220"/>
      <c r="AB2280" s="221"/>
      <c r="AC2280" s="229"/>
      <c r="AD2280" s="230"/>
      <c r="AE2280" s="230"/>
      <c r="AF2280" s="230"/>
      <c r="AG2280" s="227"/>
    </row>
    <row r="2281" spans="1:33" x14ac:dyDescent="0.25">
      <c r="A2281" s="32"/>
      <c r="B2281" s="306"/>
      <c r="C2281" s="307"/>
      <c r="D2281" s="312"/>
      <c r="E2281" s="301"/>
      <c r="F2281" s="232"/>
      <c r="J2281" s="306"/>
      <c r="K2281" s="306"/>
      <c r="L2281" s="313"/>
      <c r="M2281" s="219"/>
      <c r="N2281" s="218"/>
      <c r="S2281" s="224"/>
      <c r="T2281" s="228"/>
      <c r="U2281" s="226"/>
      <c r="V2281" s="226"/>
      <c r="W2281" s="303"/>
      <c r="X2281" s="220"/>
      <c r="Z2281" s="227"/>
      <c r="AA2281" s="220"/>
      <c r="AB2281" s="221"/>
      <c r="AC2281" s="229"/>
      <c r="AD2281" s="230"/>
      <c r="AE2281" s="230"/>
      <c r="AF2281" s="230"/>
      <c r="AG2281" s="227"/>
    </row>
    <row r="2282" spans="1:33" x14ac:dyDescent="0.25">
      <c r="A2282" s="32"/>
      <c r="B2282" s="306"/>
      <c r="C2282" s="307"/>
      <c r="D2282" s="312"/>
      <c r="E2282" s="301"/>
      <c r="F2282" s="232"/>
      <c r="J2282" s="306"/>
      <c r="K2282" s="306"/>
      <c r="L2282" s="313"/>
      <c r="M2282" s="219"/>
      <c r="N2282" s="218"/>
      <c r="S2282" s="224"/>
      <c r="T2282" s="228"/>
      <c r="U2282" s="226"/>
      <c r="V2282" s="226"/>
      <c r="W2282" s="303"/>
      <c r="X2282" s="220"/>
      <c r="Z2282" s="227"/>
      <c r="AA2282" s="220"/>
      <c r="AB2282" s="221"/>
      <c r="AC2282" s="229"/>
      <c r="AD2282" s="230"/>
      <c r="AE2282" s="230"/>
      <c r="AF2282" s="230"/>
      <c r="AG2282" s="227"/>
    </row>
    <row r="2283" spans="1:33" x14ac:dyDescent="0.25">
      <c r="A2283" s="32"/>
      <c r="B2283" s="306"/>
      <c r="C2283" s="307"/>
      <c r="D2283" s="312"/>
      <c r="E2283" s="301"/>
      <c r="F2283" s="232"/>
      <c r="J2283" s="306"/>
      <c r="K2283" s="306"/>
      <c r="L2283" s="313"/>
      <c r="M2283" s="219"/>
      <c r="N2283" s="218"/>
      <c r="S2283" s="224"/>
      <c r="T2283" s="228"/>
      <c r="U2283" s="226"/>
      <c r="V2283" s="226"/>
      <c r="W2283" s="303"/>
      <c r="X2283" s="220"/>
      <c r="Z2283" s="227"/>
      <c r="AA2283" s="220"/>
      <c r="AB2283" s="221"/>
      <c r="AC2283" s="229"/>
      <c r="AD2283" s="230"/>
      <c r="AE2283" s="230"/>
      <c r="AF2283" s="230"/>
      <c r="AG2283" s="227"/>
    </row>
    <row r="2284" spans="1:33" x14ac:dyDescent="0.25">
      <c r="A2284" s="32"/>
      <c r="B2284" s="306"/>
      <c r="C2284" s="307"/>
      <c r="D2284" s="312"/>
      <c r="E2284" s="301"/>
      <c r="F2284" s="232"/>
      <c r="J2284" s="306"/>
      <c r="K2284" s="306"/>
      <c r="L2284" s="313"/>
      <c r="M2284" s="219"/>
      <c r="N2284" s="218"/>
      <c r="S2284" s="224"/>
      <c r="T2284" s="228"/>
      <c r="U2284" s="226"/>
      <c r="V2284" s="226"/>
      <c r="W2284" s="303"/>
      <c r="X2284" s="220"/>
      <c r="Z2284" s="227"/>
      <c r="AA2284" s="220"/>
      <c r="AB2284" s="221"/>
      <c r="AC2284" s="229"/>
      <c r="AD2284" s="230"/>
      <c r="AE2284" s="230"/>
      <c r="AF2284" s="230"/>
      <c r="AG2284" s="227"/>
    </row>
    <row r="2285" spans="1:33" x14ac:dyDescent="0.25">
      <c r="A2285" s="32"/>
      <c r="B2285" s="306"/>
      <c r="C2285" s="307"/>
      <c r="D2285" s="312"/>
      <c r="E2285" s="301"/>
      <c r="F2285" s="232"/>
      <c r="J2285" s="306"/>
      <c r="K2285" s="306"/>
      <c r="L2285" s="313"/>
      <c r="M2285" s="219"/>
      <c r="N2285" s="218"/>
      <c r="S2285" s="224"/>
      <c r="T2285" s="228"/>
      <c r="U2285" s="226"/>
      <c r="V2285" s="226"/>
      <c r="W2285" s="303"/>
      <c r="X2285" s="220"/>
      <c r="Z2285" s="227"/>
      <c r="AA2285" s="220"/>
      <c r="AB2285" s="221"/>
      <c r="AC2285" s="229"/>
      <c r="AD2285" s="230"/>
      <c r="AE2285" s="230"/>
      <c r="AF2285" s="230"/>
      <c r="AG2285" s="227"/>
    </row>
    <row r="2286" spans="1:33" x14ac:dyDescent="0.25">
      <c r="A2286" s="32"/>
      <c r="B2286" s="306"/>
      <c r="C2286" s="307"/>
      <c r="D2286" s="312"/>
      <c r="E2286" s="301"/>
      <c r="F2286" s="232"/>
      <c r="J2286" s="306"/>
      <c r="K2286" s="306"/>
      <c r="L2286" s="313"/>
      <c r="M2286" s="219"/>
      <c r="N2286" s="218"/>
      <c r="S2286" s="224"/>
      <c r="T2286" s="228"/>
      <c r="U2286" s="226"/>
      <c r="V2286" s="226"/>
      <c r="W2286" s="303"/>
      <c r="X2286" s="220"/>
      <c r="Z2286" s="227"/>
      <c r="AA2286" s="220"/>
      <c r="AB2286" s="221"/>
      <c r="AC2286" s="229"/>
      <c r="AD2286" s="230"/>
      <c r="AE2286" s="230"/>
      <c r="AF2286" s="230"/>
      <c r="AG2286" s="227"/>
    </row>
    <row r="2287" spans="1:33" x14ac:dyDescent="0.25">
      <c r="A2287" s="32"/>
      <c r="B2287" s="306"/>
      <c r="C2287" s="307"/>
      <c r="D2287" s="312"/>
      <c r="E2287" s="301"/>
      <c r="F2287" s="232"/>
      <c r="J2287" s="306"/>
      <c r="K2287" s="306"/>
      <c r="L2287" s="313"/>
      <c r="M2287" s="219"/>
      <c r="N2287" s="218"/>
      <c r="S2287" s="224"/>
      <c r="T2287" s="228"/>
      <c r="U2287" s="226"/>
      <c r="V2287" s="226"/>
      <c r="W2287" s="303"/>
      <c r="X2287" s="220"/>
      <c r="Z2287" s="227"/>
      <c r="AA2287" s="220"/>
      <c r="AB2287" s="221"/>
      <c r="AC2287" s="229"/>
      <c r="AD2287" s="230"/>
      <c r="AE2287" s="230"/>
      <c r="AF2287" s="230"/>
      <c r="AG2287" s="227"/>
    </row>
    <row r="2288" spans="1:33" x14ac:dyDescent="0.25">
      <c r="A2288" s="32"/>
      <c r="B2288" s="306"/>
      <c r="C2288" s="307"/>
      <c r="D2288" s="312"/>
      <c r="E2288" s="301"/>
      <c r="F2288" s="232"/>
      <c r="J2288" s="306"/>
      <c r="K2288" s="306"/>
      <c r="L2288" s="313"/>
      <c r="M2288" s="219"/>
      <c r="N2288" s="218"/>
      <c r="S2288" s="224"/>
      <c r="T2288" s="228"/>
      <c r="U2288" s="226"/>
      <c r="V2288" s="226"/>
      <c r="W2288" s="303"/>
      <c r="X2288" s="220"/>
      <c r="Z2288" s="227"/>
      <c r="AA2288" s="220"/>
      <c r="AB2288" s="221"/>
      <c r="AC2288" s="229"/>
      <c r="AD2288" s="230"/>
      <c r="AE2288" s="230"/>
      <c r="AF2288" s="230"/>
      <c r="AG2288" s="227"/>
    </row>
    <row r="2289" spans="1:33" x14ac:dyDescent="0.25">
      <c r="A2289" s="32"/>
      <c r="B2289" s="306"/>
      <c r="C2289" s="307"/>
      <c r="D2289" s="312"/>
      <c r="E2289" s="301"/>
      <c r="F2289" s="232"/>
      <c r="J2289" s="306"/>
      <c r="K2289" s="306"/>
      <c r="L2289" s="313"/>
      <c r="M2289" s="219"/>
      <c r="N2289" s="218"/>
      <c r="S2289" s="224"/>
      <c r="T2289" s="228"/>
      <c r="U2289" s="226"/>
      <c r="V2289" s="226"/>
      <c r="W2289" s="303"/>
      <c r="X2289" s="220"/>
      <c r="Z2289" s="227"/>
      <c r="AA2289" s="220"/>
      <c r="AB2289" s="221"/>
      <c r="AC2289" s="229"/>
      <c r="AD2289" s="230"/>
      <c r="AE2289" s="230"/>
      <c r="AF2289" s="230"/>
      <c r="AG2289" s="227"/>
    </row>
    <row r="2290" spans="1:33" x14ac:dyDescent="0.25">
      <c r="A2290" s="32"/>
      <c r="B2290" s="306"/>
      <c r="C2290" s="307"/>
      <c r="D2290" s="312"/>
      <c r="E2290" s="301"/>
      <c r="F2290" s="232"/>
      <c r="J2290" s="306"/>
      <c r="K2290" s="306"/>
      <c r="L2290" s="313"/>
      <c r="M2290" s="219"/>
      <c r="N2290" s="218"/>
      <c r="S2290" s="224"/>
      <c r="T2290" s="228"/>
      <c r="U2290" s="226"/>
      <c r="V2290" s="226"/>
      <c r="W2290" s="303"/>
      <c r="X2290" s="220"/>
      <c r="Z2290" s="227"/>
      <c r="AA2290" s="220"/>
      <c r="AB2290" s="221"/>
      <c r="AC2290" s="229"/>
      <c r="AD2290" s="230"/>
      <c r="AE2290" s="230"/>
      <c r="AF2290" s="230"/>
      <c r="AG2290" s="227"/>
    </row>
    <row r="2291" spans="1:33" x14ac:dyDescent="0.25">
      <c r="A2291" s="32"/>
      <c r="B2291" s="306"/>
      <c r="C2291" s="307"/>
      <c r="D2291" s="312"/>
      <c r="E2291" s="301"/>
      <c r="F2291" s="232"/>
      <c r="J2291" s="306"/>
      <c r="K2291" s="306"/>
      <c r="L2291" s="313"/>
      <c r="M2291" s="219"/>
      <c r="N2291" s="218"/>
      <c r="S2291" s="224"/>
      <c r="T2291" s="228"/>
      <c r="U2291" s="226"/>
      <c r="V2291" s="226"/>
      <c r="W2291" s="303"/>
      <c r="X2291" s="220"/>
      <c r="Z2291" s="227"/>
      <c r="AA2291" s="220"/>
      <c r="AB2291" s="221"/>
      <c r="AC2291" s="229"/>
      <c r="AD2291" s="230"/>
      <c r="AE2291" s="230"/>
      <c r="AF2291" s="230"/>
      <c r="AG2291" s="227"/>
    </row>
    <row r="2292" spans="1:33" x14ac:dyDescent="0.25">
      <c r="A2292" s="32"/>
      <c r="B2292" s="306"/>
      <c r="C2292" s="307"/>
      <c r="D2292" s="312"/>
      <c r="E2292" s="301"/>
      <c r="F2292" s="232"/>
      <c r="J2292" s="306"/>
      <c r="K2292" s="306"/>
      <c r="L2292" s="313"/>
      <c r="M2292" s="219"/>
      <c r="N2292" s="218"/>
      <c r="S2292" s="224"/>
      <c r="T2292" s="228"/>
      <c r="U2292" s="226"/>
      <c r="V2292" s="226"/>
      <c r="W2292" s="303"/>
      <c r="X2292" s="220"/>
      <c r="Z2292" s="227"/>
      <c r="AA2292" s="220"/>
      <c r="AB2292" s="221"/>
      <c r="AC2292" s="229"/>
      <c r="AD2292" s="230"/>
      <c r="AE2292" s="230"/>
      <c r="AF2292" s="230"/>
      <c r="AG2292" s="227"/>
    </row>
    <row r="2293" spans="1:33" x14ac:dyDescent="0.25">
      <c r="A2293" s="32"/>
      <c r="B2293" s="306"/>
      <c r="C2293" s="307"/>
      <c r="D2293" s="312"/>
      <c r="E2293" s="301"/>
      <c r="F2293" s="232"/>
      <c r="J2293" s="306"/>
      <c r="K2293" s="306"/>
      <c r="L2293" s="313"/>
      <c r="M2293" s="219"/>
      <c r="N2293" s="218"/>
      <c r="S2293" s="224"/>
      <c r="T2293" s="228"/>
      <c r="U2293" s="226"/>
      <c r="V2293" s="226"/>
      <c r="W2293" s="303"/>
      <c r="X2293" s="220"/>
      <c r="Z2293" s="227"/>
      <c r="AA2293" s="220"/>
      <c r="AB2293" s="221"/>
      <c r="AC2293" s="229"/>
      <c r="AD2293" s="230"/>
      <c r="AE2293" s="230"/>
      <c r="AF2293" s="230"/>
      <c r="AG2293" s="227"/>
    </row>
    <row r="2294" spans="1:33" x14ac:dyDescent="0.25">
      <c r="A2294" s="32"/>
      <c r="B2294" s="306"/>
      <c r="C2294" s="307"/>
      <c r="D2294" s="312"/>
      <c r="E2294" s="301"/>
      <c r="F2294" s="232"/>
      <c r="J2294" s="306"/>
      <c r="K2294" s="306"/>
      <c r="L2294" s="313"/>
      <c r="M2294" s="219"/>
      <c r="N2294" s="218"/>
      <c r="S2294" s="224"/>
      <c r="T2294" s="228"/>
      <c r="U2294" s="226"/>
      <c r="V2294" s="226"/>
      <c r="W2294" s="303"/>
      <c r="X2294" s="220"/>
      <c r="Z2294" s="227"/>
      <c r="AA2294" s="220"/>
      <c r="AB2294" s="221"/>
      <c r="AC2294" s="229"/>
      <c r="AD2294" s="230"/>
      <c r="AE2294" s="230"/>
      <c r="AF2294" s="230"/>
      <c r="AG2294" s="227"/>
    </row>
    <row r="2295" spans="1:33" x14ac:dyDescent="0.25">
      <c r="A2295" s="32"/>
      <c r="B2295" s="306"/>
      <c r="C2295" s="307"/>
      <c r="D2295" s="312"/>
      <c r="E2295" s="301"/>
      <c r="F2295" s="232"/>
      <c r="J2295" s="306"/>
      <c r="K2295" s="306"/>
      <c r="L2295" s="313"/>
      <c r="M2295" s="219"/>
      <c r="N2295" s="218"/>
      <c r="S2295" s="224"/>
      <c r="T2295" s="228"/>
      <c r="U2295" s="226"/>
      <c r="V2295" s="226"/>
      <c r="W2295" s="303"/>
      <c r="X2295" s="220"/>
      <c r="Z2295" s="227"/>
      <c r="AA2295" s="220"/>
      <c r="AB2295" s="221"/>
      <c r="AC2295" s="229"/>
      <c r="AD2295" s="230"/>
      <c r="AE2295" s="230"/>
      <c r="AF2295" s="230"/>
      <c r="AG2295" s="227"/>
    </row>
    <row r="2296" spans="1:33" x14ac:dyDescent="0.25">
      <c r="A2296" s="32"/>
      <c r="B2296" s="306"/>
      <c r="C2296" s="307"/>
      <c r="D2296" s="312"/>
      <c r="E2296" s="301"/>
      <c r="F2296" s="232"/>
      <c r="J2296" s="306"/>
      <c r="K2296" s="306"/>
      <c r="L2296" s="313"/>
      <c r="M2296" s="219"/>
      <c r="N2296" s="218"/>
      <c r="S2296" s="224"/>
      <c r="T2296" s="228"/>
      <c r="U2296" s="226"/>
      <c r="V2296" s="226"/>
      <c r="W2296" s="303"/>
      <c r="X2296" s="220"/>
      <c r="Z2296" s="227"/>
      <c r="AA2296" s="220"/>
      <c r="AB2296" s="221"/>
      <c r="AC2296" s="229"/>
      <c r="AD2296" s="230"/>
      <c r="AE2296" s="230"/>
      <c r="AF2296" s="230"/>
      <c r="AG2296" s="227"/>
    </row>
    <row r="2297" spans="1:33" x14ac:dyDescent="0.25">
      <c r="A2297" s="32"/>
      <c r="B2297" s="306"/>
      <c r="C2297" s="307"/>
      <c r="D2297" s="312"/>
      <c r="E2297" s="301"/>
      <c r="F2297" s="232"/>
      <c r="J2297" s="306"/>
      <c r="K2297" s="306"/>
      <c r="L2297" s="313"/>
      <c r="M2297" s="219"/>
      <c r="N2297" s="218"/>
      <c r="S2297" s="224"/>
      <c r="T2297" s="228"/>
      <c r="U2297" s="226"/>
      <c r="V2297" s="226"/>
      <c r="W2297" s="303"/>
      <c r="X2297" s="220"/>
      <c r="Z2297" s="227"/>
      <c r="AA2297" s="220"/>
      <c r="AB2297" s="221"/>
      <c r="AC2297" s="229"/>
      <c r="AD2297" s="230"/>
      <c r="AE2297" s="230"/>
      <c r="AF2297" s="230"/>
      <c r="AG2297" s="227"/>
    </row>
    <row r="2298" spans="1:33" x14ac:dyDescent="0.25">
      <c r="A2298" s="32"/>
      <c r="B2298" s="306"/>
      <c r="C2298" s="307"/>
      <c r="D2298" s="312"/>
      <c r="E2298" s="301"/>
      <c r="F2298" s="232"/>
      <c r="J2298" s="306"/>
      <c r="K2298" s="306"/>
      <c r="L2298" s="313"/>
      <c r="M2298" s="219"/>
      <c r="N2298" s="218"/>
      <c r="S2298" s="224"/>
      <c r="T2298" s="228"/>
      <c r="U2298" s="226"/>
      <c r="V2298" s="226"/>
      <c r="W2298" s="303"/>
      <c r="X2298" s="220"/>
      <c r="Z2298" s="227"/>
      <c r="AA2298" s="220"/>
      <c r="AB2298" s="221"/>
      <c r="AC2298" s="229"/>
      <c r="AD2298" s="230"/>
      <c r="AE2298" s="230"/>
      <c r="AF2298" s="230"/>
      <c r="AG2298" s="227"/>
    </row>
    <row r="2299" spans="1:33" x14ac:dyDescent="0.25">
      <c r="A2299" s="32"/>
      <c r="B2299" s="306"/>
      <c r="C2299" s="307"/>
      <c r="D2299" s="312"/>
      <c r="E2299" s="301"/>
      <c r="F2299" s="232"/>
      <c r="J2299" s="306"/>
      <c r="K2299" s="306"/>
      <c r="L2299" s="313"/>
      <c r="M2299" s="219"/>
      <c r="N2299" s="218"/>
      <c r="S2299" s="224"/>
      <c r="T2299" s="228"/>
      <c r="U2299" s="226"/>
      <c r="V2299" s="226"/>
      <c r="W2299" s="303"/>
      <c r="X2299" s="220"/>
      <c r="Z2299" s="227"/>
      <c r="AA2299" s="220"/>
      <c r="AB2299" s="221"/>
      <c r="AC2299" s="229"/>
      <c r="AD2299" s="230"/>
      <c r="AE2299" s="230"/>
      <c r="AF2299" s="230"/>
      <c r="AG2299" s="227"/>
    </row>
    <row r="2300" spans="1:33" x14ac:dyDescent="0.25">
      <c r="A2300" s="32"/>
      <c r="B2300" s="306"/>
      <c r="C2300" s="307"/>
      <c r="D2300" s="312"/>
      <c r="E2300" s="301"/>
      <c r="F2300" s="232"/>
      <c r="J2300" s="306"/>
      <c r="K2300" s="306"/>
      <c r="L2300" s="313"/>
      <c r="M2300" s="219"/>
      <c r="N2300" s="218"/>
      <c r="S2300" s="224"/>
      <c r="T2300" s="228"/>
      <c r="U2300" s="226"/>
      <c r="V2300" s="226"/>
      <c r="W2300" s="303"/>
      <c r="X2300" s="220"/>
      <c r="Z2300" s="227"/>
      <c r="AA2300" s="220"/>
      <c r="AB2300" s="221"/>
      <c r="AC2300" s="229"/>
      <c r="AD2300" s="230"/>
      <c r="AE2300" s="230"/>
      <c r="AF2300" s="230"/>
      <c r="AG2300" s="227"/>
    </row>
    <row r="2301" spans="1:33" x14ac:dyDescent="0.25">
      <c r="A2301" s="32"/>
      <c r="B2301" s="306"/>
      <c r="C2301" s="307"/>
      <c r="D2301" s="312"/>
      <c r="E2301" s="301"/>
      <c r="F2301" s="232"/>
      <c r="J2301" s="306"/>
      <c r="K2301" s="306"/>
      <c r="L2301" s="313"/>
      <c r="M2301" s="219"/>
      <c r="N2301" s="218"/>
      <c r="S2301" s="224"/>
      <c r="T2301" s="228"/>
      <c r="U2301" s="226"/>
      <c r="V2301" s="226"/>
      <c r="W2301" s="303"/>
      <c r="X2301" s="220"/>
      <c r="Z2301" s="227"/>
      <c r="AA2301" s="220"/>
      <c r="AB2301" s="221"/>
      <c r="AC2301" s="229"/>
      <c r="AD2301" s="230"/>
      <c r="AE2301" s="230"/>
      <c r="AF2301" s="230"/>
      <c r="AG2301" s="227"/>
    </row>
    <row r="2302" spans="1:33" x14ac:dyDescent="0.25">
      <c r="A2302" s="32"/>
      <c r="B2302" s="306"/>
      <c r="C2302" s="307"/>
      <c r="D2302" s="312"/>
      <c r="E2302" s="301"/>
      <c r="F2302" s="232"/>
      <c r="J2302" s="306"/>
      <c r="K2302" s="306"/>
      <c r="L2302" s="313"/>
      <c r="M2302" s="219"/>
      <c r="N2302" s="218"/>
      <c r="S2302" s="224"/>
      <c r="T2302" s="228"/>
      <c r="U2302" s="226"/>
      <c r="V2302" s="226"/>
      <c r="W2302" s="303"/>
      <c r="X2302" s="220"/>
      <c r="Z2302" s="227"/>
      <c r="AA2302" s="220"/>
      <c r="AB2302" s="221"/>
      <c r="AC2302" s="229"/>
      <c r="AD2302" s="230"/>
      <c r="AE2302" s="230"/>
      <c r="AF2302" s="230"/>
      <c r="AG2302" s="227"/>
    </row>
    <row r="2303" spans="1:33" x14ac:dyDescent="0.25">
      <c r="A2303" s="32"/>
      <c r="B2303" s="306"/>
      <c r="C2303" s="307"/>
      <c r="D2303" s="312"/>
      <c r="E2303" s="301"/>
      <c r="F2303" s="232"/>
      <c r="J2303" s="306"/>
      <c r="K2303" s="306"/>
      <c r="L2303" s="313"/>
      <c r="M2303" s="219"/>
      <c r="N2303" s="218"/>
      <c r="S2303" s="224"/>
      <c r="T2303" s="228"/>
      <c r="U2303" s="226"/>
      <c r="V2303" s="226"/>
      <c r="W2303" s="303"/>
      <c r="X2303" s="220"/>
      <c r="Z2303" s="227"/>
      <c r="AA2303" s="220"/>
      <c r="AB2303" s="221"/>
      <c r="AC2303" s="229"/>
      <c r="AD2303" s="230"/>
      <c r="AE2303" s="230"/>
      <c r="AF2303" s="230"/>
      <c r="AG2303" s="227"/>
    </row>
    <row r="2304" spans="1:33" x14ac:dyDescent="0.25">
      <c r="A2304" s="32"/>
      <c r="B2304" s="306"/>
      <c r="C2304" s="307"/>
      <c r="D2304" s="312"/>
      <c r="E2304" s="301"/>
      <c r="F2304" s="232"/>
      <c r="J2304" s="306"/>
      <c r="K2304" s="306"/>
      <c r="L2304" s="313"/>
      <c r="M2304" s="219"/>
      <c r="N2304" s="218"/>
      <c r="S2304" s="224"/>
      <c r="T2304" s="228"/>
      <c r="U2304" s="226"/>
      <c r="V2304" s="226"/>
      <c r="W2304" s="303"/>
      <c r="X2304" s="220"/>
      <c r="Z2304" s="227"/>
      <c r="AA2304" s="220"/>
      <c r="AB2304" s="221"/>
      <c r="AC2304" s="229"/>
      <c r="AD2304" s="230"/>
      <c r="AE2304" s="230"/>
      <c r="AF2304" s="230"/>
      <c r="AG2304" s="227"/>
    </row>
    <row r="2305" spans="1:33" x14ac:dyDescent="0.25">
      <c r="A2305" s="32"/>
      <c r="B2305" s="306"/>
      <c r="C2305" s="307"/>
      <c r="D2305" s="312"/>
      <c r="E2305" s="301"/>
      <c r="F2305" s="232"/>
      <c r="J2305" s="306"/>
      <c r="K2305" s="306"/>
      <c r="L2305" s="313"/>
      <c r="M2305" s="219"/>
      <c r="N2305" s="218"/>
      <c r="S2305" s="224"/>
      <c r="T2305" s="228"/>
      <c r="U2305" s="226"/>
      <c r="V2305" s="226"/>
      <c r="W2305" s="303"/>
      <c r="X2305" s="220"/>
      <c r="Z2305" s="227"/>
      <c r="AA2305" s="220"/>
      <c r="AB2305" s="221"/>
      <c r="AC2305" s="229"/>
      <c r="AD2305" s="230"/>
      <c r="AE2305" s="230"/>
      <c r="AF2305" s="230"/>
      <c r="AG2305" s="227"/>
    </row>
    <row r="2306" spans="1:33" x14ac:dyDescent="0.25">
      <c r="A2306" s="32"/>
      <c r="B2306" s="306"/>
      <c r="C2306" s="307"/>
      <c r="D2306" s="312"/>
      <c r="E2306" s="301"/>
      <c r="F2306" s="232"/>
      <c r="J2306" s="306"/>
      <c r="K2306" s="306"/>
      <c r="L2306" s="313"/>
      <c r="M2306" s="219"/>
      <c r="N2306" s="218"/>
      <c r="S2306" s="224"/>
      <c r="T2306" s="228"/>
      <c r="U2306" s="226"/>
      <c r="V2306" s="226"/>
      <c r="W2306" s="303"/>
      <c r="X2306" s="220"/>
      <c r="Z2306" s="227"/>
      <c r="AA2306" s="220"/>
      <c r="AB2306" s="221"/>
      <c r="AC2306" s="229"/>
      <c r="AD2306" s="230"/>
      <c r="AE2306" s="230"/>
      <c r="AF2306" s="230"/>
      <c r="AG2306" s="227"/>
    </row>
    <row r="2307" spans="1:33" x14ac:dyDescent="0.25">
      <c r="A2307" s="32"/>
      <c r="B2307" s="306"/>
      <c r="C2307" s="307"/>
      <c r="D2307" s="312"/>
      <c r="E2307" s="301"/>
      <c r="F2307" s="232"/>
      <c r="J2307" s="306"/>
      <c r="K2307" s="306"/>
      <c r="L2307" s="313"/>
      <c r="M2307" s="219"/>
      <c r="N2307" s="218"/>
      <c r="S2307" s="224"/>
      <c r="T2307" s="228"/>
      <c r="U2307" s="226"/>
      <c r="V2307" s="226"/>
      <c r="W2307" s="303"/>
      <c r="X2307" s="220"/>
      <c r="Z2307" s="227"/>
      <c r="AA2307" s="220"/>
      <c r="AB2307" s="221"/>
      <c r="AC2307" s="229"/>
      <c r="AD2307" s="230"/>
      <c r="AE2307" s="230"/>
      <c r="AF2307" s="230"/>
      <c r="AG2307" s="227"/>
    </row>
    <row r="2308" spans="1:33" x14ac:dyDescent="0.25">
      <c r="A2308" s="32"/>
      <c r="B2308" s="306"/>
      <c r="C2308" s="307"/>
      <c r="D2308" s="312"/>
      <c r="E2308" s="301"/>
      <c r="F2308" s="232"/>
      <c r="J2308" s="306"/>
      <c r="K2308" s="306"/>
      <c r="L2308" s="313"/>
      <c r="M2308" s="219"/>
      <c r="N2308" s="218"/>
      <c r="S2308" s="224"/>
      <c r="T2308" s="228"/>
      <c r="U2308" s="226"/>
      <c r="V2308" s="226"/>
      <c r="W2308" s="303"/>
      <c r="X2308" s="220"/>
      <c r="Z2308" s="227"/>
      <c r="AA2308" s="220"/>
      <c r="AB2308" s="221"/>
      <c r="AC2308" s="229"/>
      <c r="AD2308" s="230"/>
      <c r="AE2308" s="230"/>
      <c r="AF2308" s="230"/>
      <c r="AG2308" s="227"/>
    </row>
    <row r="2309" spans="1:33" x14ac:dyDescent="0.25">
      <c r="A2309" s="32"/>
      <c r="B2309" s="306"/>
      <c r="C2309" s="307"/>
      <c r="D2309" s="312"/>
      <c r="E2309" s="301"/>
      <c r="F2309" s="232"/>
      <c r="J2309" s="306"/>
      <c r="K2309" s="306"/>
      <c r="L2309" s="313"/>
      <c r="M2309" s="219"/>
      <c r="N2309" s="218"/>
      <c r="S2309" s="224"/>
      <c r="T2309" s="228"/>
      <c r="U2309" s="226"/>
      <c r="V2309" s="226"/>
      <c r="W2309" s="303"/>
      <c r="X2309" s="220"/>
      <c r="Z2309" s="227"/>
      <c r="AA2309" s="220"/>
      <c r="AB2309" s="221"/>
      <c r="AC2309" s="229"/>
      <c r="AD2309" s="230"/>
      <c r="AE2309" s="230"/>
      <c r="AF2309" s="230"/>
      <c r="AG2309" s="227"/>
    </row>
    <row r="2310" spans="1:33" x14ac:dyDescent="0.25">
      <c r="A2310" s="32"/>
      <c r="B2310" s="306"/>
      <c r="C2310" s="307"/>
      <c r="D2310" s="312"/>
      <c r="E2310" s="301"/>
      <c r="F2310" s="232"/>
      <c r="J2310" s="306"/>
      <c r="K2310" s="306"/>
      <c r="L2310" s="313"/>
      <c r="M2310" s="219"/>
      <c r="N2310" s="218"/>
      <c r="S2310" s="224"/>
      <c r="T2310" s="228"/>
      <c r="U2310" s="226"/>
      <c r="V2310" s="226"/>
      <c r="W2310" s="303"/>
      <c r="X2310" s="220"/>
      <c r="Z2310" s="227"/>
      <c r="AA2310" s="220"/>
      <c r="AB2310" s="221"/>
      <c r="AC2310" s="229"/>
      <c r="AD2310" s="230"/>
      <c r="AE2310" s="230"/>
      <c r="AF2310" s="230"/>
      <c r="AG2310" s="227"/>
    </row>
    <row r="2311" spans="1:33" x14ac:dyDescent="0.25">
      <c r="A2311" s="32"/>
      <c r="B2311" s="306"/>
      <c r="C2311" s="307"/>
      <c r="D2311" s="312"/>
      <c r="E2311" s="301"/>
      <c r="F2311" s="232"/>
      <c r="J2311" s="306"/>
      <c r="K2311" s="306"/>
      <c r="L2311" s="313"/>
      <c r="M2311" s="219"/>
      <c r="N2311" s="218"/>
      <c r="S2311" s="224"/>
      <c r="T2311" s="228"/>
      <c r="U2311" s="226"/>
      <c r="V2311" s="226"/>
      <c r="W2311" s="303"/>
      <c r="X2311" s="220"/>
      <c r="Z2311" s="227"/>
      <c r="AA2311" s="220"/>
      <c r="AB2311" s="221"/>
      <c r="AC2311" s="229"/>
      <c r="AD2311" s="230"/>
      <c r="AE2311" s="230"/>
      <c r="AF2311" s="230"/>
      <c r="AG2311" s="227"/>
    </row>
    <row r="2312" spans="1:33" x14ac:dyDescent="0.25">
      <c r="A2312" s="32"/>
      <c r="B2312" s="306"/>
      <c r="C2312" s="307"/>
      <c r="D2312" s="312"/>
      <c r="E2312" s="301"/>
      <c r="F2312" s="232"/>
      <c r="J2312" s="306"/>
      <c r="K2312" s="306"/>
      <c r="L2312" s="313"/>
      <c r="M2312" s="219"/>
      <c r="N2312" s="218"/>
      <c r="S2312" s="224"/>
      <c r="T2312" s="228"/>
      <c r="U2312" s="226"/>
      <c r="V2312" s="226"/>
      <c r="W2312" s="303"/>
      <c r="X2312" s="220"/>
      <c r="Z2312" s="227"/>
      <c r="AA2312" s="220"/>
      <c r="AB2312" s="221"/>
      <c r="AC2312" s="229"/>
      <c r="AD2312" s="230"/>
      <c r="AE2312" s="230"/>
      <c r="AF2312" s="230"/>
      <c r="AG2312" s="227"/>
    </row>
    <row r="2313" spans="1:33" x14ac:dyDescent="0.25">
      <c r="A2313" s="32"/>
      <c r="B2313" s="306"/>
      <c r="C2313" s="307"/>
      <c r="D2313" s="312"/>
      <c r="E2313" s="301"/>
      <c r="F2313" s="232"/>
      <c r="J2313" s="306"/>
      <c r="K2313" s="306"/>
      <c r="L2313" s="313"/>
      <c r="M2313" s="219"/>
      <c r="N2313" s="218"/>
      <c r="S2313" s="224"/>
      <c r="T2313" s="228"/>
      <c r="U2313" s="226"/>
      <c r="V2313" s="226"/>
      <c r="W2313" s="303"/>
      <c r="X2313" s="220"/>
      <c r="Z2313" s="227"/>
      <c r="AA2313" s="220"/>
      <c r="AB2313" s="221"/>
      <c r="AC2313" s="229"/>
      <c r="AD2313" s="230"/>
      <c r="AE2313" s="230"/>
      <c r="AF2313" s="230"/>
      <c r="AG2313" s="227"/>
    </row>
    <row r="2314" spans="1:33" x14ac:dyDescent="0.25">
      <c r="A2314" s="32"/>
      <c r="B2314" s="306"/>
      <c r="C2314" s="307"/>
      <c r="D2314" s="312"/>
      <c r="E2314" s="301"/>
      <c r="F2314" s="232"/>
      <c r="J2314" s="306"/>
      <c r="K2314" s="306"/>
      <c r="L2314" s="313"/>
      <c r="M2314" s="219"/>
      <c r="N2314" s="218"/>
      <c r="S2314" s="224"/>
      <c r="T2314" s="228"/>
      <c r="U2314" s="226"/>
      <c r="V2314" s="226"/>
      <c r="W2314" s="303"/>
      <c r="X2314" s="220"/>
      <c r="Z2314" s="227"/>
      <c r="AA2314" s="220"/>
      <c r="AB2314" s="221"/>
      <c r="AC2314" s="229"/>
      <c r="AD2314" s="230"/>
      <c r="AE2314" s="230"/>
      <c r="AF2314" s="230"/>
      <c r="AG2314" s="227"/>
    </row>
    <row r="2315" spans="1:33" x14ac:dyDescent="0.25">
      <c r="A2315" s="32"/>
      <c r="B2315" s="306"/>
      <c r="C2315" s="307"/>
      <c r="D2315" s="312"/>
      <c r="E2315" s="301"/>
      <c r="F2315" s="232"/>
      <c r="J2315" s="306"/>
      <c r="K2315" s="306"/>
      <c r="L2315" s="313"/>
      <c r="M2315" s="219"/>
      <c r="N2315" s="218"/>
      <c r="S2315" s="224"/>
      <c r="T2315" s="228"/>
      <c r="U2315" s="226"/>
      <c r="V2315" s="226"/>
      <c r="W2315" s="303"/>
      <c r="X2315" s="220"/>
      <c r="Z2315" s="227"/>
      <c r="AA2315" s="220"/>
      <c r="AB2315" s="221"/>
      <c r="AC2315" s="229"/>
      <c r="AD2315" s="230"/>
      <c r="AE2315" s="230"/>
      <c r="AF2315" s="230"/>
      <c r="AG2315" s="227"/>
    </row>
    <row r="2316" spans="1:33" x14ac:dyDescent="0.25">
      <c r="A2316" s="32"/>
      <c r="B2316" s="306"/>
      <c r="C2316" s="307"/>
      <c r="D2316" s="312"/>
      <c r="E2316" s="301"/>
      <c r="F2316" s="232"/>
      <c r="J2316" s="306"/>
      <c r="K2316" s="306"/>
      <c r="L2316" s="313"/>
      <c r="M2316" s="219"/>
      <c r="N2316" s="218"/>
      <c r="S2316" s="224"/>
      <c r="T2316" s="228"/>
      <c r="U2316" s="226"/>
      <c r="V2316" s="226"/>
      <c r="W2316" s="303"/>
      <c r="X2316" s="220"/>
      <c r="Z2316" s="227"/>
      <c r="AA2316" s="220"/>
      <c r="AB2316" s="221"/>
      <c r="AC2316" s="229"/>
      <c r="AD2316" s="230"/>
      <c r="AE2316" s="230"/>
      <c r="AF2316" s="230"/>
      <c r="AG2316" s="227"/>
    </row>
    <row r="2317" spans="1:33" x14ac:dyDescent="0.25">
      <c r="A2317" s="32"/>
      <c r="B2317" s="306"/>
      <c r="C2317" s="307"/>
      <c r="D2317" s="312"/>
      <c r="E2317" s="301"/>
      <c r="F2317" s="232"/>
      <c r="J2317" s="306"/>
      <c r="K2317" s="306"/>
      <c r="L2317" s="313"/>
      <c r="M2317" s="219"/>
      <c r="N2317" s="218"/>
      <c r="S2317" s="224"/>
      <c r="T2317" s="228"/>
      <c r="U2317" s="226"/>
      <c r="V2317" s="226"/>
      <c r="W2317" s="303"/>
      <c r="X2317" s="220"/>
      <c r="Z2317" s="227"/>
      <c r="AA2317" s="220"/>
      <c r="AB2317" s="221"/>
      <c r="AC2317" s="229"/>
      <c r="AD2317" s="230"/>
      <c r="AE2317" s="230"/>
      <c r="AF2317" s="230"/>
      <c r="AG2317" s="227"/>
    </row>
    <row r="2318" spans="1:33" x14ac:dyDescent="0.25">
      <c r="A2318" s="32"/>
      <c r="B2318" s="306"/>
      <c r="C2318" s="307"/>
      <c r="D2318" s="312"/>
      <c r="E2318" s="301"/>
      <c r="F2318" s="232"/>
      <c r="J2318" s="306"/>
      <c r="K2318" s="306"/>
      <c r="L2318" s="313"/>
      <c r="M2318" s="219"/>
      <c r="N2318" s="218"/>
      <c r="S2318" s="224"/>
      <c r="T2318" s="228"/>
      <c r="U2318" s="226"/>
      <c r="V2318" s="226"/>
      <c r="W2318" s="303"/>
      <c r="X2318" s="220"/>
      <c r="Z2318" s="227"/>
      <c r="AA2318" s="220"/>
      <c r="AB2318" s="221"/>
      <c r="AC2318" s="229"/>
      <c r="AD2318" s="230"/>
      <c r="AE2318" s="230"/>
      <c r="AF2318" s="230"/>
      <c r="AG2318" s="227"/>
    </row>
    <row r="2319" spans="1:33" x14ac:dyDescent="0.25">
      <c r="A2319" s="32"/>
      <c r="B2319" s="306"/>
      <c r="C2319" s="307"/>
      <c r="D2319" s="312"/>
      <c r="E2319" s="301"/>
      <c r="F2319" s="232"/>
      <c r="J2319" s="306"/>
      <c r="K2319" s="306"/>
      <c r="L2319" s="313"/>
      <c r="M2319" s="219"/>
      <c r="N2319" s="218"/>
      <c r="S2319" s="224"/>
      <c r="T2319" s="228"/>
      <c r="U2319" s="226"/>
      <c r="V2319" s="226"/>
      <c r="W2319" s="303"/>
      <c r="X2319" s="220"/>
      <c r="Z2319" s="227"/>
      <c r="AA2319" s="220"/>
      <c r="AB2319" s="221"/>
      <c r="AC2319" s="229"/>
      <c r="AD2319" s="230"/>
      <c r="AE2319" s="230"/>
      <c r="AF2319" s="230"/>
      <c r="AG2319" s="227"/>
    </row>
    <row r="2320" spans="1:33" x14ac:dyDescent="0.25">
      <c r="A2320" s="32"/>
      <c r="B2320" s="306"/>
      <c r="C2320" s="307"/>
      <c r="D2320" s="312"/>
      <c r="E2320" s="301"/>
      <c r="F2320" s="232"/>
      <c r="J2320" s="306"/>
      <c r="K2320" s="306"/>
      <c r="L2320" s="313"/>
      <c r="M2320" s="219"/>
      <c r="N2320" s="218"/>
      <c r="S2320" s="224"/>
      <c r="T2320" s="228"/>
      <c r="U2320" s="226"/>
      <c r="V2320" s="226"/>
      <c r="W2320" s="303"/>
      <c r="X2320" s="220"/>
      <c r="Z2320" s="227"/>
      <c r="AA2320" s="220"/>
      <c r="AB2320" s="221"/>
      <c r="AC2320" s="229"/>
      <c r="AD2320" s="230"/>
      <c r="AE2320" s="230"/>
      <c r="AF2320" s="230"/>
      <c r="AG2320" s="227"/>
    </row>
    <row r="2321" spans="1:33" x14ac:dyDescent="0.25">
      <c r="A2321" s="32"/>
      <c r="B2321" s="306"/>
      <c r="C2321" s="307"/>
      <c r="D2321" s="312"/>
      <c r="E2321" s="301"/>
      <c r="F2321" s="232"/>
      <c r="J2321" s="306"/>
      <c r="K2321" s="306"/>
      <c r="L2321" s="313"/>
      <c r="M2321" s="219"/>
      <c r="N2321" s="218"/>
      <c r="S2321" s="224"/>
      <c r="T2321" s="228"/>
      <c r="U2321" s="226"/>
      <c r="V2321" s="226"/>
      <c r="W2321" s="303"/>
      <c r="X2321" s="220"/>
      <c r="Z2321" s="227"/>
      <c r="AA2321" s="220"/>
      <c r="AB2321" s="221"/>
      <c r="AC2321" s="229"/>
      <c r="AD2321" s="230"/>
      <c r="AE2321" s="230"/>
      <c r="AF2321" s="230"/>
      <c r="AG2321" s="227"/>
    </row>
    <row r="2322" spans="1:33" x14ac:dyDescent="0.25">
      <c r="A2322" s="32"/>
      <c r="B2322" s="306"/>
      <c r="C2322" s="307"/>
      <c r="D2322" s="312"/>
      <c r="E2322" s="301"/>
      <c r="F2322" s="232"/>
      <c r="J2322" s="306"/>
      <c r="K2322" s="306"/>
      <c r="L2322" s="313"/>
      <c r="M2322" s="219"/>
      <c r="N2322" s="218"/>
      <c r="S2322" s="224"/>
      <c r="T2322" s="228"/>
      <c r="U2322" s="226"/>
      <c r="V2322" s="226"/>
      <c r="W2322" s="303"/>
      <c r="X2322" s="220"/>
      <c r="Z2322" s="227"/>
      <c r="AA2322" s="220"/>
      <c r="AB2322" s="221"/>
      <c r="AC2322" s="229"/>
      <c r="AD2322" s="230"/>
      <c r="AE2322" s="230"/>
      <c r="AF2322" s="230"/>
      <c r="AG2322" s="227"/>
    </row>
    <row r="2323" spans="1:33" x14ac:dyDescent="0.25">
      <c r="A2323" s="32"/>
      <c r="B2323" s="306"/>
      <c r="C2323" s="307"/>
      <c r="D2323" s="312"/>
      <c r="E2323" s="301"/>
      <c r="F2323" s="232"/>
      <c r="J2323" s="306"/>
      <c r="K2323" s="306"/>
      <c r="L2323" s="313"/>
      <c r="M2323" s="219"/>
      <c r="N2323" s="218"/>
      <c r="S2323" s="224"/>
      <c r="T2323" s="228"/>
      <c r="U2323" s="226"/>
      <c r="V2323" s="226"/>
      <c r="W2323" s="303"/>
      <c r="X2323" s="220"/>
      <c r="Z2323" s="227"/>
      <c r="AA2323" s="220"/>
      <c r="AB2323" s="221"/>
      <c r="AC2323" s="229"/>
      <c r="AD2323" s="230"/>
      <c r="AE2323" s="230"/>
      <c r="AF2323" s="230"/>
      <c r="AG2323" s="227"/>
    </row>
    <row r="2324" spans="1:33" x14ac:dyDescent="0.25">
      <c r="A2324" s="32"/>
      <c r="B2324" s="306"/>
      <c r="C2324" s="307"/>
      <c r="D2324" s="312"/>
      <c r="E2324" s="301"/>
      <c r="F2324" s="232"/>
      <c r="J2324" s="306"/>
      <c r="K2324" s="306"/>
      <c r="L2324" s="313"/>
      <c r="M2324" s="219"/>
      <c r="N2324" s="218"/>
      <c r="S2324" s="224"/>
      <c r="T2324" s="228"/>
      <c r="U2324" s="226"/>
      <c r="V2324" s="226"/>
      <c r="W2324" s="303"/>
      <c r="X2324" s="220"/>
      <c r="Z2324" s="227"/>
      <c r="AA2324" s="220"/>
      <c r="AB2324" s="221"/>
      <c r="AC2324" s="229"/>
      <c r="AD2324" s="230"/>
      <c r="AE2324" s="230"/>
      <c r="AF2324" s="230"/>
      <c r="AG2324" s="227"/>
    </row>
    <row r="2325" spans="1:33" x14ac:dyDescent="0.25">
      <c r="A2325" s="32"/>
      <c r="B2325" s="306"/>
      <c r="C2325" s="307"/>
      <c r="D2325" s="312"/>
      <c r="E2325" s="301"/>
      <c r="F2325" s="232"/>
      <c r="J2325" s="306"/>
      <c r="K2325" s="306"/>
      <c r="L2325" s="313"/>
      <c r="M2325" s="219"/>
      <c r="N2325" s="218"/>
      <c r="S2325" s="224"/>
      <c r="T2325" s="228"/>
      <c r="U2325" s="226"/>
      <c r="V2325" s="226"/>
      <c r="W2325" s="303"/>
      <c r="X2325" s="220"/>
      <c r="Z2325" s="227"/>
      <c r="AA2325" s="220"/>
      <c r="AB2325" s="221"/>
      <c r="AC2325" s="229"/>
      <c r="AD2325" s="230"/>
      <c r="AE2325" s="230"/>
      <c r="AF2325" s="230"/>
      <c r="AG2325" s="227"/>
    </row>
    <row r="2326" spans="1:33" x14ac:dyDescent="0.25">
      <c r="A2326" s="32"/>
      <c r="B2326" s="306"/>
      <c r="C2326" s="307"/>
      <c r="D2326" s="312"/>
      <c r="E2326" s="301"/>
      <c r="F2326" s="232"/>
      <c r="J2326" s="306"/>
      <c r="K2326" s="306"/>
      <c r="L2326" s="313"/>
      <c r="M2326" s="219"/>
      <c r="N2326" s="218"/>
      <c r="S2326" s="224"/>
      <c r="T2326" s="228"/>
      <c r="U2326" s="226"/>
      <c r="V2326" s="226"/>
      <c r="W2326" s="303"/>
      <c r="X2326" s="220"/>
      <c r="Z2326" s="227"/>
      <c r="AA2326" s="220"/>
      <c r="AB2326" s="221"/>
      <c r="AC2326" s="229"/>
      <c r="AD2326" s="230"/>
      <c r="AE2326" s="230"/>
      <c r="AF2326" s="230"/>
      <c r="AG2326" s="227"/>
    </row>
    <row r="2327" spans="1:33" x14ac:dyDescent="0.25">
      <c r="A2327" s="32"/>
      <c r="B2327" s="306"/>
      <c r="C2327" s="307"/>
      <c r="D2327" s="312"/>
      <c r="E2327" s="301"/>
      <c r="F2327" s="232"/>
      <c r="J2327" s="306"/>
      <c r="K2327" s="306"/>
      <c r="L2327" s="313"/>
      <c r="M2327" s="219"/>
      <c r="N2327" s="218"/>
      <c r="S2327" s="224"/>
      <c r="T2327" s="228"/>
      <c r="U2327" s="226"/>
      <c r="V2327" s="226"/>
      <c r="W2327" s="303"/>
      <c r="X2327" s="220"/>
      <c r="Z2327" s="227"/>
      <c r="AA2327" s="220"/>
      <c r="AB2327" s="221"/>
      <c r="AC2327" s="229"/>
      <c r="AD2327" s="230"/>
      <c r="AE2327" s="230"/>
      <c r="AF2327" s="230"/>
      <c r="AG2327" s="227"/>
    </row>
    <row r="2328" spans="1:33" x14ac:dyDescent="0.25">
      <c r="A2328" s="32"/>
      <c r="B2328" s="306"/>
      <c r="C2328" s="307"/>
      <c r="D2328" s="312"/>
      <c r="E2328" s="301"/>
      <c r="F2328" s="232"/>
      <c r="J2328" s="306"/>
      <c r="K2328" s="306"/>
      <c r="L2328" s="313"/>
      <c r="M2328" s="219"/>
      <c r="N2328" s="218"/>
      <c r="S2328" s="224"/>
      <c r="T2328" s="228"/>
      <c r="U2328" s="226"/>
      <c r="V2328" s="226"/>
      <c r="W2328" s="303"/>
      <c r="X2328" s="220"/>
      <c r="Z2328" s="227"/>
      <c r="AA2328" s="220"/>
      <c r="AB2328" s="221"/>
      <c r="AC2328" s="229"/>
      <c r="AD2328" s="230"/>
      <c r="AE2328" s="230"/>
      <c r="AF2328" s="230"/>
      <c r="AG2328" s="227"/>
    </row>
    <row r="2329" spans="1:33" x14ac:dyDescent="0.25">
      <c r="A2329" s="32"/>
      <c r="B2329" s="306"/>
      <c r="C2329" s="307"/>
      <c r="D2329" s="312"/>
      <c r="E2329" s="301"/>
      <c r="F2329" s="232"/>
      <c r="J2329" s="306"/>
      <c r="K2329" s="306"/>
      <c r="L2329" s="313"/>
      <c r="M2329" s="219"/>
      <c r="N2329" s="218"/>
      <c r="S2329" s="224"/>
      <c r="T2329" s="228"/>
      <c r="U2329" s="226"/>
      <c r="V2329" s="226"/>
      <c r="W2329" s="303"/>
      <c r="X2329" s="220"/>
      <c r="Z2329" s="227"/>
      <c r="AA2329" s="220"/>
      <c r="AB2329" s="221"/>
      <c r="AC2329" s="229"/>
      <c r="AD2329" s="230"/>
      <c r="AE2329" s="230"/>
      <c r="AF2329" s="230"/>
      <c r="AG2329" s="227"/>
    </row>
    <row r="2330" spans="1:33" x14ac:dyDescent="0.25">
      <c r="A2330" s="32"/>
      <c r="B2330" s="306"/>
      <c r="C2330" s="307"/>
      <c r="D2330" s="312"/>
      <c r="E2330" s="301"/>
      <c r="F2330" s="232"/>
      <c r="J2330" s="306"/>
      <c r="K2330" s="306"/>
      <c r="L2330" s="313"/>
      <c r="M2330" s="219"/>
      <c r="N2330" s="218"/>
      <c r="S2330" s="224"/>
      <c r="T2330" s="228"/>
      <c r="U2330" s="226"/>
      <c r="V2330" s="226"/>
      <c r="W2330" s="303"/>
      <c r="X2330" s="220"/>
      <c r="Z2330" s="227"/>
      <c r="AA2330" s="220"/>
      <c r="AB2330" s="221"/>
      <c r="AC2330" s="229"/>
      <c r="AD2330" s="230"/>
      <c r="AE2330" s="230"/>
      <c r="AF2330" s="230"/>
      <c r="AG2330" s="227"/>
    </row>
    <row r="2331" spans="1:33" x14ac:dyDescent="0.25">
      <c r="A2331" s="32"/>
      <c r="B2331" s="306"/>
      <c r="C2331" s="307"/>
      <c r="D2331" s="312"/>
      <c r="E2331" s="301"/>
      <c r="F2331" s="232"/>
      <c r="J2331" s="306"/>
      <c r="K2331" s="306"/>
      <c r="L2331" s="313"/>
      <c r="M2331" s="219"/>
      <c r="N2331" s="218"/>
      <c r="S2331" s="224"/>
      <c r="T2331" s="228"/>
      <c r="U2331" s="226"/>
      <c r="V2331" s="226"/>
      <c r="W2331" s="303"/>
      <c r="X2331" s="220"/>
      <c r="Z2331" s="227"/>
      <c r="AA2331" s="220"/>
      <c r="AB2331" s="221"/>
      <c r="AC2331" s="229"/>
      <c r="AD2331" s="230"/>
      <c r="AE2331" s="230"/>
      <c r="AF2331" s="230"/>
      <c r="AG2331" s="227"/>
    </row>
    <row r="2332" spans="1:33" x14ac:dyDescent="0.25">
      <c r="A2332" s="32"/>
      <c r="B2332" s="306"/>
      <c r="C2332" s="307"/>
      <c r="D2332" s="312"/>
      <c r="E2332" s="301"/>
      <c r="F2332" s="232"/>
      <c r="J2332" s="306"/>
      <c r="K2332" s="306"/>
      <c r="L2332" s="313"/>
      <c r="M2332" s="219"/>
      <c r="N2332" s="218"/>
      <c r="S2332" s="224"/>
      <c r="T2332" s="228"/>
      <c r="U2332" s="226"/>
      <c r="V2332" s="226"/>
      <c r="W2332" s="303"/>
      <c r="X2332" s="220"/>
      <c r="Z2332" s="227"/>
      <c r="AA2332" s="220"/>
      <c r="AB2332" s="221"/>
      <c r="AC2332" s="229"/>
      <c r="AD2332" s="230"/>
      <c r="AE2332" s="230"/>
      <c r="AF2332" s="230"/>
      <c r="AG2332" s="227"/>
    </row>
    <row r="2333" spans="1:33" x14ac:dyDescent="0.25">
      <c r="A2333" s="32"/>
      <c r="B2333" s="306"/>
      <c r="C2333" s="307"/>
      <c r="D2333" s="312"/>
      <c r="E2333" s="301"/>
      <c r="F2333" s="232"/>
      <c r="J2333" s="306"/>
      <c r="K2333" s="306"/>
      <c r="L2333" s="313"/>
      <c r="M2333" s="219"/>
      <c r="N2333" s="218"/>
      <c r="S2333" s="224"/>
      <c r="T2333" s="228"/>
      <c r="U2333" s="226"/>
      <c r="V2333" s="226"/>
      <c r="W2333" s="303"/>
      <c r="X2333" s="220"/>
      <c r="Z2333" s="227"/>
      <c r="AA2333" s="220"/>
      <c r="AB2333" s="221"/>
      <c r="AC2333" s="229"/>
      <c r="AD2333" s="230"/>
      <c r="AE2333" s="230"/>
      <c r="AF2333" s="230"/>
      <c r="AG2333" s="227"/>
    </row>
    <row r="2334" spans="1:33" x14ac:dyDescent="0.25">
      <c r="A2334" s="32"/>
      <c r="B2334" s="306"/>
      <c r="C2334" s="307"/>
      <c r="D2334" s="312"/>
      <c r="E2334" s="301"/>
      <c r="F2334" s="232"/>
      <c r="J2334" s="306"/>
      <c r="K2334" s="306"/>
      <c r="L2334" s="313"/>
      <c r="M2334" s="219"/>
      <c r="N2334" s="218"/>
      <c r="S2334" s="224"/>
      <c r="T2334" s="228"/>
      <c r="U2334" s="226"/>
      <c r="V2334" s="226"/>
      <c r="W2334" s="303"/>
      <c r="X2334" s="220"/>
      <c r="Z2334" s="227"/>
      <c r="AA2334" s="220"/>
      <c r="AB2334" s="221"/>
      <c r="AC2334" s="229"/>
      <c r="AD2334" s="230"/>
      <c r="AE2334" s="230"/>
      <c r="AF2334" s="230"/>
      <c r="AG2334" s="227"/>
    </row>
    <row r="2335" spans="1:33" x14ac:dyDescent="0.25">
      <c r="A2335" s="32"/>
      <c r="B2335" s="306"/>
      <c r="C2335" s="307"/>
      <c r="D2335" s="312"/>
      <c r="E2335" s="301"/>
      <c r="F2335" s="232"/>
      <c r="J2335" s="306"/>
      <c r="K2335" s="306"/>
      <c r="L2335" s="313"/>
      <c r="M2335" s="219"/>
      <c r="N2335" s="218"/>
      <c r="S2335" s="224"/>
      <c r="T2335" s="228"/>
      <c r="U2335" s="226"/>
      <c r="V2335" s="226"/>
      <c r="W2335" s="303"/>
      <c r="X2335" s="220"/>
      <c r="Z2335" s="227"/>
      <c r="AA2335" s="220"/>
      <c r="AB2335" s="221"/>
      <c r="AC2335" s="229"/>
      <c r="AD2335" s="230"/>
      <c r="AE2335" s="230"/>
      <c r="AF2335" s="230"/>
      <c r="AG2335" s="227"/>
    </row>
    <row r="2336" spans="1:33" x14ac:dyDescent="0.25">
      <c r="A2336" s="32"/>
      <c r="B2336" s="306"/>
      <c r="C2336" s="307"/>
      <c r="D2336" s="312"/>
      <c r="E2336" s="301"/>
      <c r="F2336" s="232"/>
      <c r="J2336" s="306"/>
      <c r="K2336" s="306"/>
      <c r="L2336" s="313"/>
      <c r="M2336" s="219"/>
      <c r="N2336" s="218"/>
      <c r="S2336" s="224"/>
      <c r="T2336" s="228"/>
      <c r="U2336" s="226"/>
      <c r="V2336" s="226"/>
      <c r="W2336" s="303"/>
      <c r="X2336" s="220"/>
      <c r="Z2336" s="227"/>
      <c r="AA2336" s="220"/>
      <c r="AB2336" s="221"/>
      <c r="AC2336" s="229"/>
      <c r="AD2336" s="230"/>
      <c r="AE2336" s="230"/>
      <c r="AF2336" s="230"/>
      <c r="AG2336" s="227"/>
    </row>
    <row r="2337" spans="1:33" x14ac:dyDescent="0.25">
      <c r="A2337" s="32"/>
      <c r="B2337" s="306"/>
      <c r="C2337" s="307"/>
      <c r="D2337" s="312"/>
      <c r="E2337" s="301"/>
      <c r="F2337" s="232"/>
      <c r="J2337" s="306"/>
      <c r="K2337" s="306"/>
      <c r="L2337" s="313"/>
      <c r="M2337" s="219"/>
      <c r="N2337" s="218"/>
      <c r="S2337" s="224"/>
      <c r="T2337" s="228"/>
      <c r="U2337" s="226"/>
      <c r="V2337" s="226"/>
      <c r="W2337" s="303"/>
      <c r="X2337" s="220"/>
      <c r="Z2337" s="227"/>
      <c r="AA2337" s="220"/>
      <c r="AB2337" s="221"/>
      <c r="AC2337" s="229"/>
      <c r="AD2337" s="230"/>
      <c r="AE2337" s="230"/>
      <c r="AF2337" s="230"/>
      <c r="AG2337" s="227"/>
    </row>
    <row r="2338" spans="1:33" x14ac:dyDescent="0.25">
      <c r="A2338" s="32"/>
      <c r="B2338" s="306"/>
      <c r="C2338" s="307"/>
      <c r="D2338" s="312"/>
      <c r="E2338" s="301"/>
      <c r="F2338" s="232"/>
      <c r="J2338" s="306"/>
      <c r="K2338" s="306"/>
      <c r="L2338" s="313"/>
      <c r="M2338" s="219"/>
      <c r="N2338" s="218"/>
      <c r="S2338" s="224"/>
      <c r="T2338" s="228"/>
      <c r="U2338" s="226"/>
      <c r="V2338" s="226"/>
      <c r="W2338" s="303"/>
      <c r="X2338" s="220"/>
      <c r="Z2338" s="227"/>
      <c r="AA2338" s="220"/>
      <c r="AB2338" s="221"/>
      <c r="AC2338" s="229"/>
      <c r="AD2338" s="230"/>
      <c r="AE2338" s="230"/>
      <c r="AF2338" s="230"/>
      <c r="AG2338" s="227"/>
    </row>
    <row r="2339" spans="1:33" x14ac:dyDescent="0.25">
      <c r="A2339" s="32"/>
      <c r="B2339" s="306"/>
      <c r="C2339" s="307"/>
      <c r="D2339" s="312"/>
      <c r="E2339" s="301"/>
      <c r="F2339" s="232"/>
      <c r="J2339" s="306"/>
      <c r="K2339" s="306"/>
      <c r="L2339" s="313"/>
      <c r="M2339" s="219"/>
      <c r="N2339" s="218"/>
      <c r="S2339" s="224"/>
      <c r="T2339" s="228"/>
      <c r="U2339" s="226"/>
      <c r="V2339" s="226"/>
      <c r="W2339" s="303"/>
      <c r="X2339" s="220"/>
      <c r="Z2339" s="227"/>
      <c r="AA2339" s="220"/>
      <c r="AB2339" s="221"/>
      <c r="AC2339" s="229"/>
      <c r="AD2339" s="230"/>
      <c r="AE2339" s="230"/>
      <c r="AF2339" s="230"/>
      <c r="AG2339" s="227"/>
    </row>
    <row r="2340" spans="1:33" x14ac:dyDescent="0.25">
      <c r="A2340" s="32"/>
      <c r="B2340" s="306"/>
      <c r="C2340" s="307"/>
      <c r="D2340" s="312"/>
      <c r="E2340" s="301"/>
      <c r="F2340" s="232"/>
      <c r="J2340" s="306"/>
      <c r="K2340" s="306"/>
      <c r="L2340" s="313"/>
      <c r="M2340" s="219"/>
      <c r="N2340" s="218"/>
      <c r="S2340" s="224"/>
      <c r="T2340" s="228"/>
      <c r="U2340" s="226"/>
      <c r="V2340" s="226"/>
      <c r="W2340" s="303"/>
      <c r="X2340" s="220"/>
      <c r="Z2340" s="227"/>
      <c r="AA2340" s="220"/>
      <c r="AB2340" s="221"/>
      <c r="AC2340" s="229"/>
      <c r="AD2340" s="230"/>
      <c r="AE2340" s="230"/>
      <c r="AF2340" s="230"/>
      <c r="AG2340" s="227"/>
    </row>
    <row r="2341" spans="1:33" x14ac:dyDescent="0.25">
      <c r="A2341" s="32"/>
      <c r="B2341" s="306"/>
      <c r="C2341" s="307"/>
      <c r="D2341" s="312"/>
      <c r="E2341" s="301"/>
      <c r="F2341" s="232"/>
      <c r="J2341" s="306"/>
      <c r="K2341" s="306"/>
      <c r="L2341" s="313"/>
      <c r="M2341" s="219"/>
      <c r="N2341" s="218"/>
      <c r="S2341" s="224"/>
      <c r="T2341" s="228"/>
      <c r="U2341" s="226"/>
      <c r="V2341" s="226"/>
      <c r="W2341" s="303"/>
      <c r="X2341" s="220"/>
      <c r="Z2341" s="227"/>
      <c r="AA2341" s="220"/>
      <c r="AB2341" s="221"/>
      <c r="AC2341" s="229"/>
      <c r="AD2341" s="230"/>
      <c r="AE2341" s="230"/>
      <c r="AF2341" s="230"/>
      <c r="AG2341" s="227"/>
    </row>
    <row r="2342" spans="1:33" x14ac:dyDescent="0.25">
      <c r="A2342" s="32"/>
      <c r="B2342" s="306"/>
      <c r="C2342" s="307"/>
      <c r="D2342" s="312"/>
      <c r="E2342" s="301"/>
      <c r="F2342" s="232"/>
      <c r="J2342" s="306"/>
      <c r="K2342" s="306"/>
      <c r="L2342" s="313"/>
      <c r="M2342" s="219"/>
      <c r="N2342" s="218"/>
      <c r="S2342" s="224"/>
      <c r="T2342" s="228"/>
      <c r="U2342" s="226"/>
      <c r="V2342" s="226"/>
      <c r="W2342" s="303"/>
      <c r="X2342" s="220"/>
      <c r="Z2342" s="227"/>
      <c r="AA2342" s="220"/>
      <c r="AB2342" s="221"/>
      <c r="AC2342" s="229"/>
      <c r="AD2342" s="230"/>
      <c r="AE2342" s="230"/>
      <c r="AF2342" s="230"/>
      <c r="AG2342" s="227"/>
    </row>
    <row r="2343" spans="1:33" x14ac:dyDescent="0.25">
      <c r="A2343" s="32"/>
      <c r="B2343" s="306"/>
      <c r="C2343" s="307"/>
      <c r="D2343" s="312"/>
      <c r="E2343" s="301"/>
      <c r="F2343" s="232"/>
      <c r="J2343" s="306"/>
      <c r="K2343" s="306"/>
      <c r="L2343" s="313"/>
      <c r="M2343" s="219"/>
      <c r="N2343" s="218"/>
      <c r="S2343" s="224"/>
      <c r="T2343" s="228"/>
      <c r="U2343" s="226"/>
      <c r="V2343" s="226"/>
      <c r="W2343" s="303"/>
      <c r="X2343" s="220"/>
      <c r="Z2343" s="227"/>
      <c r="AA2343" s="220"/>
      <c r="AB2343" s="221"/>
      <c r="AC2343" s="229"/>
      <c r="AD2343" s="230"/>
      <c r="AE2343" s="230"/>
      <c r="AF2343" s="230"/>
      <c r="AG2343" s="227"/>
    </row>
    <row r="2344" spans="1:33" x14ac:dyDescent="0.25">
      <c r="A2344" s="32"/>
      <c r="B2344" s="306"/>
      <c r="C2344" s="307"/>
      <c r="D2344" s="312"/>
      <c r="E2344" s="301"/>
      <c r="F2344" s="232"/>
      <c r="J2344" s="306"/>
      <c r="K2344" s="306"/>
      <c r="L2344" s="313"/>
      <c r="M2344" s="219"/>
      <c r="N2344" s="218"/>
      <c r="S2344" s="224"/>
      <c r="T2344" s="228"/>
      <c r="U2344" s="226"/>
      <c r="V2344" s="226"/>
      <c r="W2344" s="303"/>
      <c r="X2344" s="220"/>
      <c r="Z2344" s="227"/>
      <c r="AA2344" s="220"/>
      <c r="AB2344" s="221"/>
      <c r="AC2344" s="229"/>
      <c r="AD2344" s="230"/>
      <c r="AE2344" s="230"/>
      <c r="AF2344" s="230"/>
      <c r="AG2344" s="227"/>
    </row>
    <row r="2345" spans="1:33" x14ac:dyDescent="0.25">
      <c r="A2345" s="32"/>
      <c r="B2345" s="306"/>
      <c r="C2345" s="307"/>
      <c r="D2345" s="312"/>
      <c r="E2345" s="301"/>
      <c r="F2345" s="232"/>
      <c r="J2345" s="306"/>
      <c r="K2345" s="306"/>
      <c r="L2345" s="313"/>
      <c r="M2345" s="219"/>
      <c r="N2345" s="218"/>
      <c r="S2345" s="224"/>
      <c r="T2345" s="228"/>
      <c r="U2345" s="226"/>
      <c r="V2345" s="226"/>
      <c r="W2345" s="303"/>
      <c r="X2345" s="220"/>
      <c r="Z2345" s="227"/>
      <c r="AA2345" s="220"/>
      <c r="AB2345" s="221"/>
      <c r="AC2345" s="229"/>
      <c r="AD2345" s="230"/>
      <c r="AE2345" s="230"/>
      <c r="AF2345" s="230"/>
      <c r="AG2345" s="227"/>
    </row>
    <row r="2346" spans="1:33" x14ac:dyDescent="0.25">
      <c r="A2346" s="32"/>
      <c r="B2346" s="306"/>
      <c r="C2346" s="307"/>
      <c r="D2346" s="312"/>
      <c r="E2346" s="301"/>
      <c r="F2346" s="232"/>
      <c r="J2346" s="306"/>
      <c r="K2346" s="306"/>
      <c r="L2346" s="313"/>
      <c r="M2346" s="219"/>
      <c r="N2346" s="218"/>
      <c r="S2346" s="224"/>
      <c r="T2346" s="228"/>
      <c r="U2346" s="226"/>
      <c r="V2346" s="226"/>
      <c r="W2346" s="303"/>
      <c r="X2346" s="220"/>
      <c r="Z2346" s="227"/>
      <c r="AA2346" s="220"/>
      <c r="AB2346" s="221"/>
      <c r="AC2346" s="229"/>
      <c r="AD2346" s="230"/>
      <c r="AE2346" s="230"/>
      <c r="AF2346" s="230"/>
      <c r="AG2346" s="227"/>
    </row>
    <row r="2347" spans="1:33" x14ac:dyDescent="0.25">
      <c r="A2347" s="32"/>
      <c r="B2347" s="306"/>
      <c r="C2347" s="307"/>
      <c r="D2347" s="312"/>
      <c r="E2347" s="301"/>
      <c r="F2347" s="232"/>
      <c r="J2347" s="306"/>
      <c r="K2347" s="306"/>
      <c r="L2347" s="313"/>
      <c r="M2347" s="219"/>
      <c r="N2347" s="218"/>
      <c r="S2347" s="224"/>
      <c r="T2347" s="228"/>
      <c r="U2347" s="226"/>
      <c r="V2347" s="226"/>
      <c r="W2347" s="303"/>
      <c r="X2347" s="220"/>
      <c r="Z2347" s="227"/>
      <c r="AA2347" s="220"/>
      <c r="AB2347" s="221"/>
      <c r="AC2347" s="229"/>
      <c r="AD2347" s="230"/>
      <c r="AE2347" s="230"/>
      <c r="AF2347" s="230"/>
      <c r="AG2347" s="227"/>
    </row>
    <row r="2348" spans="1:33" x14ac:dyDescent="0.25">
      <c r="A2348" s="32"/>
      <c r="B2348" s="306"/>
      <c r="C2348" s="307"/>
      <c r="D2348" s="312"/>
      <c r="E2348" s="301"/>
      <c r="F2348" s="232"/>
      <c r="J2348" s="306"/>
      <c r="K2348" s="306"/>
      <c r="L2348" s="313"/>
      <c r="M2348" s="219"/>
      <c r="N2348" s="218"/>
      <c r="S2348" s="224"/>
      <c r="T2348" s="228"/>
      <c r="U2348" s="226"/>
      <c r="V2348" s="226"/>
      <c r="W2348" s="303"/>
      <c r="X2348" s="220"/>
      <c r="Z2348" s="227"/>
      <c r="AA2348" s="220"/>
      <c r="AB2348" s="221"/>
      <c r="AC2348" s="229"/>
      <c r="AD2348" s="230"/>
      <c r="AE2348" s="230"/>
      <c r="AF2348" s="230"/>
      <c r="AG2348" s="227"/>
    </row>
    <row r="2349" spans="1:33" x14ac:dyDescent="0.25">
      <c r="A2349" s="32"/>
      <c r="B2349" s="306"/>
      <c r="C2349" s="307"/>
      <c r="D2349" s="312"/>
      <c r="E2349" s="301"/>
      <c r="F2349" s="232"/>
      <c r="J2349" s="306"/>
      <c r="K2349" s="306"/>
      <c r="L2349" s="313"/>
      <c r="M2349" s="219"/>
      <c r="N2349" s="218"/>
      <c r="S2349" s="224"/>
      <c r="T2349" s="228"/>
      <c r="U2349" s="226"/>
      <c r="V2349" s="226"/>
      <c r="W2349" s="303"/>
      <c r="X2349" s="220"/>
      <c r="Z2349" s="227"/>
      <c r="AA2349" s="220"/>
      <c r="AB2349" s="221"/>
      <c r="AC2349" s="229"/>
      <c r="AD2349" s="230"/>
      <c r="AE2349" s="230"/>
      <c r="AF2349" s="230"/>
      <c r="AG2349" s="227"/>
    </row>
    <row r="2350" spans="1:33" x14ac:dyDescent="0.25">
      <c r="A2350" s="32"/>
      <c r="B2350" s="306"/>
      <c r="C2350" s="307"/>
      <c r="D2350" s="312"/>
      <c r="E2350" s="301"/>
      <c r="F2350" s="232"/>
      <c r="J2350" s="306"/>
      <c r="K2350" s="306"/>
      <c r="L2350" s="313"/>
      <c r="M2350" s="219"/>
      <c r="N2350" s="218"/>
      <c r="S2350" s="224"/>
      <c r="T2350" s="228"/>
      <c r="U2350" s="226"/>
      <c r="V2350" s="226"/>
      <c r="W2350" s="303"/>
      <c r="X2350" s="220"/>
      <c r="Z2350" s="227"/>
      <c r="AA2350" s="220"/>
      <c r="AB2350" s="221"/>
      <c r="AC2350" s="229"/>
      <c r="AD2350" s="230"/>
      <c r="AE2350" s="230"/>
      <c r="AF2350" s="230"/>
      <c r="AG2350" s="227"/>
    </row>
    <row r="2351" spans="1:33" x14ac:dyDescent="0.25">
      <c r="A2351" s="32"/>
      <c r="B2351" s="306"/>
      <c r="C2351" s="307"/>
      <c r="D2351" s="312"/>
      <c r="E2351" s="301"/>
      <c r="F2351" s="232"/>
      <c r="J2351" s="306"/>
      <c r="K2351" s="306"/>
      <c r="L2351" s="313"/>
      <c r="M2351" s="219"/>
      <c r="N2351" s="218"/>
      <c r="S2351" s="224"/>
      <c r="T2351" s="228"/>
      <c r="U2351" s="226"/>
      <c r="V2351" s="226"/>
      <c r="W2351" s="303"/>
      <c r="X2351" s="220"/>
      <c r="Z2351" s="227"/>
      <c r="AA2351" s="220"/>
      <c r="AB2351" s="221"/>
      <c r="AC2351" s="229"/>
      <c r="AD2351" s="230"/>
      <c r="AE2351" s="230"/>
      <c r="AF2351" s="230"/>
      <c r="AG2351" s="227"/>
    </row>
    <row r="2352" spans="1:33" x14ac:dyDescent="0.25">
      <c r="A2352" s="32"/>
      <c r="B2352" s="306"/>
      <c r="C2352" s="307"/>
      <c r="D2352" s="312"/>
      <c r="E2352" s="301"/>
      <c r="F2352" s="232"/>
      <c r="J2352" s="306"/>
      <c r="K2352" s="306"/>
      <c r="L2352" s="313"/>
      <c r="M2352" s="219"/>
      <c r="N2352" s="218"/>
      <c r="S2352" s="224"/>
      <c r="T2352" s="228"/>
      <c r="U2352" s="226"/>
      <c r="V2352" s="226"/>
      <c r="W2352" s="303"/>
      <c r="X2352" s="220"/>
      <c r="Z2352" s="227"/>
      <c r="AA2352" s="220"/>
      <c r="AB2352" s="221"/>
      <c r="AC2352" s="229"/>
      <c r="AD2352" s="230"/>
      <c r="AE2352" s="230"/>
      <c r="AF2352" s="230"/>
      <c r="AG2352" s="227"/>
    </row>
    <row r="2353" spans="1:33" x14ac:dyDescent="0.25">
      <c r="A2353" s="32"/>
      <c r="B2353" s="306"/>
      <c r="C2353" s="307"/>
      <c r="D2353" s="312"/>
      <c r="E2353" s="301"/>
      <c r="F2353" s="232"/>
      <c r="J2353" s="306"/>
      <c r="K2353" s="306"/>
      <c r="L2353" s="313"/>
      <c r="M2353" s="219"/>
      <c r="N2353" s="218"/>
      <c r="S2353" s="224"/>
      <c r="T2353" s="228"/>
      <c r="U2353" s="226"/>
      <c r="V2353" s="226"/>
      <c r="W2353" s="303"/>
      <c r="X2353" s="220"/>
      <c r="Z2353" s="227"/>
      <c r="AA2353" s="220"/>
      <c r="AB2353" s="221"/>
      <c r="AC2353" s="229"/>
      <c r="AD2353" s="230"/>
      <c r="AE2353" s="230"/>
      <c r="AF2353" s="230"/>
      <c r="AG2353" s="227"/>
    </row>
    <row r="2354" spans="1:33" x14ac:dyDescent="0.25">
      <c r="A2354" s="32"/>
      <c r="B2354" s="306"/>
      <c r="C2354" s="307"/>
      <c r="D2354" s="312"/>
      <c r="E2354" s="301"/>
      <c r="F2354" s="232"/>
      <c r="J2354" s="306"/>
      <c r="K2354" s="306"/>
      <c r="L2354" s="313"/>
      <c r="M2354" s="219"/>
      <c r="N2354" s="218"/>
      <c r="S2354" s="224"/>
      <c r="T2354" s="228"/>
      <c r="U2354" s="226"/>
      <c r="V2354" s="226"/>
      <c r="W2354" s="303"/>
      <c r="X2354" s="220"/>
      <c r="Z2354" s="227"/>
      <c r="AA2354" s="220"/>
      <c r="AB2354" s="221"/>
      <c r="AC2354" s="229"/>
      <c r="AD2354" s="230"/>
      <c r="AE2354" s="230"/>
      <c r="AF2354" s="230"/>
      <c r="AG2354" s="227"/>
    </row>
    <row r="2355" spans="1:33" x14ac:dyDescent="0.25">
      <c r="A2355" s="32"/>
      <c r="B2355" s="306"/>
      <c r="C2355" s="307"/>
      <c r="D2355" s="312"/>
      <c r="E2355" s="301"/>
      <c r="F2355" s="232"/>
      <c r="J2355" s="306"/>
      <c r="K2355" s="306"/>
      <c r="L2355" s="313"/>
      <c r="M2355" s="219"/>
      <c r="N2355" s="218"/>
      <c r="S2355" s="224"/>
      <c r="T2355" s="228"/>
      <c r="U2355" s="226"/>
      <c r="V2355" s="226"/>
      <c r="W2355" s="303"/>
      <c r="X2355" s="220"/>
      <c r="Z2355" s="227"/>
      <c r="AA2355" s="220"/>
      <c r="AB2355" s="221"/>
      <c r="AC2355" s="229"/>
      <c r="AD2355" s="230"/>
      <c r="AE2355" s="230"/>
      <c r="AF2355" s="230"/>
      <c r="AG2355" s="227"/>
    </row>
    <row r="2356" spans="1:33" x14ac:dyDescent="0.25">
      <c r="A2356" s="32"/>
      <c r="B2356" s="306"/>
      <c r="C2356" s="307"/>
      <c r="D2356" s="312"/>
      <c r="E2356" s="301"/>
      <c r="F2356" s="232"/>
      <c r="J2356" s="306"/>
      <c r="K2356" s="306"/>
      <c r="L2356" s="313"/>
      <c r="M2356" s="219"/>
      <c r="N2356" s="218"/>
      <c r="S2356" s="224"/>
      <c r="T2356" s="228"/>
      <c r="U2356" s="226"/>
      <c r="V2356" s="226"/>
      <c r="W2356" s="303"/>
      <c r="X2356" s="220"/>
      <c r="Z2356" s="227"/>
      <c r="AA2356" s="220"/>
      <c r="AB2356" s="221"/>
      <c r="AC2356" s="229"/>
      <c r="AD2356" s="230"/>
      <c r="AE2356" s="230"/>
      <c r="AF2356" s="230"/>
      <c r="AG2356" s="227"/>
    </row>
    <row r="2357" spans="1:33" x14ac:dyDescent="0.25">
      <c r="A2357" s="32"/>
      <c r="B2357" s="306"/>
      <c r="C2357" s="307"/>
      <c r="D2357" s="312"/>
      <c r="E2357" s="301"/>
      <c r="F2357" s="232"/>
      <c r="J2357" s="306"/>
      <c r="K2357" s="306"/>
      <c r="L2357" s="313"/>
      <c r="M2357" s="219"/>
      <c r="N2357" s="218"/>
      <c r="S2357" s="224"/>
      <c r="T2357" s="228"/>
      <c r="U2357" s="226"/>
      <c r="V2357" s="226"/>
      <c r="W2357" s="303"/>
      <c r="X2357" s="220"/>
      <c r="Z2357" s="227"/>
      <c r="AA2357" s="220"/>
      <c r="AB2357" s="221"/>
      <c r="AC2357" s="229"/>
      <c r="AD2357" s="230"/>
      <c r="AE2357" s="230"/>
      <c r="AF2357" s="230"/>
      <c r="AG2357" s="227"/>
    </row>
    <row r="2358" spans="1:33" x14ac:dyDescent="0.25">
      <c r="A2358" s="32"/>
      <c r="B2358" s="306"/>
      <c r="C2358" s="307"/>
      <c r="D2358" s="312"/>
      <c r="E2358" s="301"/>
      <c r="F2358" s="232"/>
      <c r="J2358" s="306"/>
      <c r="K2358" s="306"/>
      <c r="L2358" s="313"/>
      <c r="M2358" s="219"/>
      <c r="N2358" s="218"/>
      <c r="S2358" s="224"/>
      <c r="T2358" s="228"/>
      <c r="U2358" s="226"/>
      <c r="V2358" s="226"/>
      <c r="W2358" s="303"/>
      <c r="X2358" s="220"/>
      <c r="Z2358" s="227"/>
      <c r="AA2358" s="220"/>
      <c r="AB2358" s="221"/>
      <c r="AC2358" s="229"/>
      <c r="AD2358" s="230"/>
      <c r="AE2358" s="230"/>
      <c r="AF2358" s="230"/>
      <c r="AG2358" s="227"/>
    </row>
    <row r="2359" spans="1:33" x14ac:dyDescent="0.25">
      <c r="A2359" s="32"/>
      <c r="B2359" s="306"/>
      <c r="C2359" s="307"/>
      <c r="D2359" s="312"/>
      <c r="E2359" s="301"/>
      <c r="F2359" s="232"/>
      <c r="J2359" s="306"/>
      <c r="K2359" s="306"/>
      <c r="L2359" s="313"/>
      <c r="M2359" s="219"/>
      <c r="N2359" s="218"/>
      <c r="S2359" s="224"/>
      <c r="T2359" s="228"/>
      <c r="U2359" s="226"/>
      <c r="V2359" s="226"/>
      <c r="W2359" s="303"/>
      <c r="X2359" s="220"/>
      <c r="Z2359" s="227"/>
      <c r="AA2359" s="220"/>
      <c r="AB2359" s="221"/>
      <c r="AC2359" s="229"/>
      <c r="AD2359" s="230"/>
      <c r="AE2359" s="230"/>
      <c r="AF2359" s="230"/>
      <c r="AG2359" s="227"/>
    </row>
    <row r="2360" spans="1:33" x14ac:dyDescent="0.25">
      <c r="A2360" s="32"/>
      <c r="B2360" s="306"/>
      <c r="C2360" s="307"/>
      <c r="D2360" s="312"/>
      <c r="E2360" s="301"/>
      <c r="F2360" s="232"/>
      <c r="J2360" s="306"/>
      <c r="K2360" s="306"/>
      <c r="L2360" s="313"/>
      <c r="M2360" s="219"/>
      <c r="N2360" s="218"/>
      <c r="S2360" s="224"/>
      <c r="T2360" s="228"/>
      <c r="U2360" s="226"/>
      <c r="V2360" s="226"/>
      <c r="W2360" s="303"/>
      <c r="X2360" s="220"/>
      <c r="Z2360" s="227"/>
      <c r="AA2360" s="220"/>
      <c r="AB2360" s="221"/>
      <c r="AC2360" s="229"/>
      <c r="AD2360" s="230"/>
      <c r="AE2360" s="230"/>
      <c r="AF2360" s="230"/>
      <c r="AG2360" s="227"/>
    </row>
    <row r="2361" spans="1:33" x14ac:dyDescent="0.25">
      <c r="A2361" s="32"/>
      <c r="B2361" s="306"/>
      <c r="C2361" s="307"/>
      <c r="D2361" s="312"/>
      <c r="E2361" s="301"/>
      <c r="F2361" s="232"/>
      <c r="J2361" s="306"/>
      <c r="K2361" s="306"/>
      <c r="L2361" s="313"/>
      <c r="M2361" s="219"/>
      <c r="N2361" s="218"/>
      <c r="S2361" s="224"/>
      <c r="T2361" s="228"/>
      <c r="U2361" s="226"/>
      <c r="V2361" s="226"/>
      <c r="W2361" s="303"/>
      <c r="X2361" s="220"/>
      <c r="Z2361" s="227"/>
      <c r="AA2361" s="220"/>
      <c r="AB2361" s="221"/>
      <c r="AC2361" s="229"/>
      <c r="AD2361" s="230"/>
      <c r="AE2361" s="230"/>
      <c r="AF2361" s="230"/>
      <c r="AG2361" s="227"/>
    </row>
    <row r="2362" spans="1:33" x14ac:dyDescent="0.25">
      <c r="A2362" s="32"/>
      <c r="B2362" s="306"/>
      <c r="C2362" s="307"/>
      <c r="D2362" s="312"/>
      <c r="E2362" s="301"/>
      <c r="F2362" s="232"/>
      <c r="J2362" s="306"/>
      <c r="K2362" s="306"/>
      <c r="L2362" s="313"/>
      <c r="M2362" s="219"/>
      <c r="N2362" s="218"/>
      <c r="S2362" s="224"/>
      <c r="T2362" s="228"/>
      <c r="U2362" s="226"/>
      <c r="V2362" s="226"/>
      <c r="W2362" s="303"/>
      <c r="X2362" s="220"/>
      <c r="Z2362" s="227"/>
      <c r="AA2362" s="220"/>
      <c r="AB2362" s="221"/>
      <c r="AC2362" s="229"/>
      <c r="AD2362" s="230"/>
      <c r="AE2362" s="230"/>
      <c r="AF2362" s="230"/>
      <c r="AG2362" s="227"/>
    </row>
    <row r="2363" spans="1:33" x14ac:dyDescent="0.25">
      <c r="A2363" s="32"/>
      <c r="B2363" s="306"/>
      <c r="C2363" s="307"/>
      <c r="D2363" s="312"/>
      <c r="E2363" s="301"/>
      <c r="F2363" s="232"/>
      <c r="J2363" s="306"/>
      <c r="K2363" s="306"/>
      <c r="L2363" s="313"/>
      <c r="M2363" s="219"/>
      <c r="N2363" s="218"/>
      <c r="S2363" s="224"/>
      <c r="T2363" s="228"/>
      <c r="U2363" s="226"/>
      <c r="V2363" s="226"/>
      <c r="W2363" s="303"/>
      <c r="X2363" s="220"/>
      <c r="Z2363" s="227"/>
      <c r="AA2363" s="220"/>
      <c r="AB2363" s="221"/>
      <c r="AC2363" s="229"/>
      <c r="AD2363" s="230"/>
      <c r="AE2363" s="230"/>
      <c r="AF2363" s="230"/>
      <c r="AG2363" s="227"/>
    </row>
    <row r="2364" spans="1:33" x14ac:dyDescent="0.25">
      <c r="A2364" s="32"/>
      <c r="B2364" s="306"/>
      <c r="C2364" s="307"/>
      <c r="D2364" s="312"/>
      <c r="E2364" s="301"/>
      <c r="F2364" s="232"/>
      <c r="J2364" s="306"/>
      <c r="K2364" s="306"/>
      <c r="L2364" s="313"/>
      <c r="M2364" s="219"/>
      <c r="N2364" s="218"/>
      <c r="S2364" s="224"/>
      <c r="T2364" s="228"/>
      <c r="U2364" s="226"/>
      <c r="V2364" s="226"/>
      <c r="W2364" s="303"/>
      <c r="X2364" s="220"/>
      <c r="Z2364" s="227"/>
      <c r="AA2364" s="220"/>
      <c r="AB2364" s="221"/>
      <c r="AC2364" s="229"/>
      <c r="AD2364" s="230"/>
      <c r="AE2364" s="230"/>
      <c r="AF2364" s="230"/>
      <c r="AG2364" s="227"/>
    </row>
    <row r="2365" spans="1:33" x14ac:dyDescent="0.25">
      <c r="A2365" s="32"/>
      <c r="B2365" s="306"/>
      <c r="C2365" s="307"/>
      <c r="D2365" s="312"/>
      <c r="E2365" s="301"/>
      <c r="F2365" s="232"/>
      <c r="J2365" s="306"/>
      <c r="K2365" s="306"/>
      <c r="L2365" s="313"/>
      <c r="M2365" s="219"/>
      <c r="N2365" s="218"/>
      <c r="S2365" s="224"/>
      <c r="T2365" s="228"/>
      <c r="U2365" s="226"/>
      <c r="V2365" s="226"/>
      <c r="W2365" s="303"/>
      <c r="X2365" s="220"/>
      <c r="Z2365" s="227"/>
      <c r="AA2365" s="220"/>
      <c r="AB2365" s="221"/>
      <c r="AC2365" s="229"/>
      <c r="AD2365" s="230"/>
      <c r="AE2365" s="230"/>
      <c r="AF2365" s="230"/>
      <c r="AG2365" s="227"/>
    </row>
    <row r="2366" spans="1:33" x14ac:dyDescent="0.25">
      <c r="A2366" s="32"/>
      <c r="B2366" s="306"/>
      <c r="C2366" s="307"/>
      <c r="D2366" s="312"/>
      <c r="E2366" s="301"/>
      <c r="F2366" s="232"/>
      <c r="J2366" s="306"/>
      <c r="K2366" s="306"/>
      <c r="L2366" s="313"/>
      <c r="M2366" s="219"/>
      <c r="N2366" s="218"/>
      <c r="S2366" s="224"/>
      <c r="T2366" s="228"/>
      <c r="U2366" s="226"/>
      <c r="V2366" s="226"/>
      <c r="W2366" s="303"/>
      <c r="X2366" s="220"/>
      <c r="Z2366" s="227"/>
      <c r="AA2366" s="220"/>
      <c r="AB2366" s="221"/>
      <c r="AC2366" s="229"/>
      <c r="AD2366" s="230"/>
      <c r="AE2366" s="230"/>
      <c r="AF2366" s="230"/>
      <c r="AG2366" s="227"/>
    </row>
    <row r="2367" spans="1:33" x14ac:dyDescent="0.25">
      <c r="A2367" s="32"/>
      <c r="B2367" s="306"/>
      <c r="C2367" s="307"/>
      <c r="D2367" s="312"/>
      <c r="E2367" s="301"/>
      <c r="F2367" s="232"/>
      <c r="J2367" s="306"/>
      <c r="K2367" s="306"/>
      <c r="L2367" s="313"/>
      <c r="M2367" s="219"/>
      <c r="N2367" s="218"/>
      <c r="S2367" s="224"/>
      <c r="T2367" s="228"/>
      <c r="U2367" s="226"/>
      <c r="V2367" s="226"/>
      <c r="W2367" s="303"/>
      <c r="X2367" s="220"/>
      <c r="Z2367" s="227"/>
      <c r="AA2367" s="220"/>
      <c r="AB2367" s="221"/>
      <c r="AC2367" s="229"/>
      <c r="AD2367" s="230"/>
      <c r="AE2367" s="230"/>
      <c r="AF2367" s="230"/>
      <c r="AG2367" s="227"/>
    </row>
    <row r="2368" spans="1:33" x14ac:dyDescent="0.25">
      <c r="A2368" s="32"/>
      <c r="B2368" s="306"/>
      <c r="C2368" s="307"/>
      <c r="D2368" s="312"/>
      <c r="E2368" s="301"/>
      <c r="F2368" s="232"/>
      <c r="J2368" s="306"/>
      <c r="K2368" s="306"/>
      <c r="L2368" s="313"/>
      <c r="M2368" s="219"/>
      <c r="N2368" s="218"/>
      <c r="S2368" s="224"/>
      <c r="T2368" s="228"/>
      <c r="U2368" s="226"/>
      <c r="V2368" s="226"/>
      <c r="W2368" s="303"/>
      <c r="X2368" s="220"/>
      <c r="Z2368" s="227"/>
      <c r="AA2368" s="220"/>
      <c r="AB2368" s="221"/>
      <c r="AC2368" s="229"/>
      <c r="AD2368" s="230"/>
      <c r="AE2368" s="230"/>
      <c r="AF2368" s="230"/>
      <c r="AG2368" s="227"/>
    </row>
    <row r="2369" spans="1:33" x14ac:dyDescent="0.25">
      <c r="A2369" s="32"/>
      <c r="B2369" s="306"/>
      <c r="C2369" s="307"/>
      <c r="D2369" s="312"/>
      <c r="E2369" s="301"/>
      <c r="F2369" s="232"/>
      <c r="J2369" s="306"/>
      <c r="K2369" s="306"/>
      <c r="L2369" s="313"/>
      <c r="M2369" s="219"/>
      <c r="N2369" s="218"/>
      <c r="S2369" s="224"/>
      <c r="T2369" s="228"/>
      <c r="U2369" s="226"/>
      <c r="V2369" s="226"/>
      <c r="W2369" s="303"/>
      <c r="X2369" s="220"/>
      <c r="Z2369" s="227"/>
      <c r="AA2369" s="220"/>
      <c r="AB2369" s="221"/>
      <c r="AC2369" s="229"/>
      <c r="AD2369" s="230"/>
      <c r="AE2369" s="230"/>
      <c r="AF2369" s="230"/>
      <c r="AG2369" s="227"/>
    </row>
    <row r="2370" spans="1:33" x14ac:dyDescent="0.25">
      <c r="A2370" s="32"/>
      <c r="B2370" s="306"/>
      <c r="C2370" s="307"/>
      <c r="D2370" s="312"/>
      <c r="E2370" s="301"/>
      <c r="F2370" s="232"/>
      <c r="J2370" s="306"/>
      <c r="K2370" s="306"/>
      <c r="L2370" s="313"/>
      <c r="M2370" s="219"/>
      <c r="N2370" s="218"/>
      <c r="S2370" s="224"/>
      <c r="T2370" s="228"/>
      <c r="U2370" s="226"/>
      <c r="V2370" s="226"/>
      <c r="W2370" s="303"/>
      <c r="X2370" s="220"/>
      <c r="Z2370" s="227"/>
      <c r="AA2370" s="220"/>
      <c r="AB2370" s="221"/>
      <c r="AC2370" s="229"/>
      <c r="AD2370" s="230"/>
      <c r="AE2370" s="230"/>
      <c r="AF2370" s="230"/>
      <c r="AG2370" s="227"/>
    </row>
    <row r="2371" spans="1:33" x14ac:dyDescent="0.25">
      <c r="A2371" s="32"/>
      <c r="B2371" s="306"/>
      <c r="C2371" s="307"/>
      <c r="D2371" s="312"/>
      <c r="E2371" s="301"/>
      <c r="F2371" s="232"/>
      <c r="J2371" s="306"/>
      <c r="K2371" s="306"/>
      <c r="L2371" s="313"/>
      <c r="M2371" s="219"/>
      <c r="N2371" s="218"/>
      <c r="S2371" s="224"/>
      <c r="T2371" s="228"/>
      <c r="U2371" s="226"/>
      <c r="V2371" s="226"/>
      <c r="W2371" s="303"/>
      <c r="X2371" s="220"/>
      <c r="Z2371" s="227"/>
      <c r="AA2371" s="220"/>
      <c r="AB2371" s="221"/>
      <c r="AC2371" s="229"/>
      <c r="AD2371" s="230"/>
      <c r="AE2371" s="230"/>
      <c r="AF2371" s="230"/>
      <c r="AG2371" s="227"/>
    </row>
    <row r="2372" spans="1:33" x14ac:dyDescent="0.25">
      <c r="A2372" s="32"/>
      <c r="B2372" s="306"/>
      <c r="C2372" s="307"/>
      <c r="D2372" s="312"/>
      <c r="E2372" s="301"/>
      <c r="F2372" s="232"/>
      <c r="J2372" s="306"/>
      <c r="K2372" s="306"/>
      <c r="L2372" s="313"/>
      <c r="M2372" s="219"/>
      <c r="N2372" s="218"/>
      <c r="S2372" s="224"/>
      <c r="T2372" s="228"/>
      <c r="U2372" s="226"/>
      <c r="V2372" s="226"/>
      <c r="W2372" s="303"/>
      <c r="X2372" s="220"/>
      <c r="Z2372" s="227"/>
      <c r="AA2372" s="220"/>
      <c r="AB2372" s="221"/>
      <c r="AC2372" s="229"/>
      <c r="AD2372" s="230"/>
      <c r="AE2372" s="230"/>
      <c r="AF2372" s="230"/>
      <c r="AG2372" s="227"/>
    </row>
    <row r="2373" spans="1:33" x14ac:dyDescent="0.25">
      <c r="A2373" s="32"/>
      <c r="B2373" s="306"/>
      <c r="C2373" s="307"/>
      <c r="D2373" s="312"/>
      <c r="E2373" s="301"/>
      <c r="F2373" s="232"/>
      <c r="J2373" s="306"/>
      <c r="K2373" s="306"/>
      <c r="L2373" s="313"/>
      <c r="M2373" s="219"/>
      <c r="N2373" s="218"/>
      <c r="S2373" s="224"/>
      <c r="T2373" s="228"/>
      <c r="U2373" s="226"/>
      <c r="V2373" s="226"/>
      <c r="W2373" s="303"/>
      <c r="X2373" s="220"/>
      <c r="Z2373" s="227"/>
      <c r="AA2373" s="220"/>
      <c r="AB2373" s="221"/>
      <c r="AC2373" s="229"/>
      <c r="AD2373" s="230"/>
      <c r="AE2373" s="230"/>
      <c r="AF2373" s="230"/>
      <c r="AG2373" s="227"/>
    </row>
    <row r="2374" spans="1:33" x14ac:dyDescent="0.25">
      <c r="A2374" s="32"/>
      <c r="B2374" s="306"/>
      <c r="C2374" s="307"/>
      <c r="D2374" s="312"/>
      <c r="E2374" s="301"/>
      <c r="F2374" s="232"/>
      <c r="J2374" s="306"/>
      <c r="K2374" s="306"/>
      <c r="L2374" s="313"/>
      <c r="M2374" s="219"/>
      <c r="N2374" s="218"/>
      <c r="S2374" s="224"/>
      <c r="T2374" s="228"/>
      <c r="U2374" s="226"/>
      <c r="V2374" s="226"/>
      <c r="W2374" s="303"/>
      <c r="X2374" s="220"/>
      <c r="Z2374" s="227"/>
      <c r="AA2374" s="220"/>
      <c r="AB2374" s="221"/>
      <c r="AC2374" s="229"/>
      <c r="AD2374" s="230"/>
      <c r="AE2374" s="230"/>
      <c r="AF2374" s="230"/>
      <c r="AG2374" s="227"/>
    </row>
    <row r="2375" spans="1:33" x14ac:dyDescent="0.25">
      <c r="A2375" s="32"/>
      <c r="B2375" s="306"/>
      <c r="C2375" s="307"/>
      <c r="D2375" s="312"/>
      <c r="E2375" s="301"/>
      <c r="F2375" s="232"/>
      <c r="J2375" s="306"/>
      <c r="K2375" s="306"/>
      <c r="L2375" s="313"/>
      <c r="M2375" s="219"/>
      <c r="N2375" s="218"/>
      <c r="S2375" s="224"/>
      <c r="T2375" s="228"/>
      <c r="U2375" s="226"/>
      <c r="V2375" s="226"/>
      <c r="W2375" s="303"/>
      <c r="X2375" s="220"/>
      <c r="Z2375" s="227"/>
      <c r="AA2375" s="220"/>
      <c r="AB2375" s="221"/>
      <c r="AC2375" s="229"/>
      <c r="AD2375" s="230"/>
      <c r="AE2375" s="230"/>
      <c r="AF2375" s="230"/>
      <c r="AG2375" s="227"/>
    </row>
    <row r="2376" spans="1:33" x14ac:dyDescent="0.25">
      <c r="A2376" s="32"/>
      <c r="B2376" s="306"/>
      <c r="C2376" s="307"/>
      <c r="D2376" s="312"/>
      <c r="E2376" s="301"/>
      <c r="F2376" s="232"/>
      <c r="J2376" s="306"/>
      <c r="K2376" s="306"/>
      <c r="L2376" s="313"/>
      <c r="M2376" s="219"/>
      <c r="N2376" s="218"/>
      <c r="S2376" s="224"/>
      <c r="T2376" s="228"/>
      <c r="U2376" s="226"/>
      <c r="V2376" s="226"/>
      <c r="W2376" s="303"/>
      <c r="X2376" s="220"/>
      <c r="Z2376" s="227"/>
      <c r="AA2376" s="220"/>
      <c r="AB2376" s="221"/>
      <c r="AC2376" s="229"/>
      <c r="AD2376" s="230"/>
      <c r="AE2376" s="230"/>
      <c r="AF2376" s="230"/>
      <c r="AG2376" s="227"/>
    </row>
    <row r="2377" spans="1:33" x14ac:dyDescent="0.25">
      <c r="A2377" s="32"/>
      <c r="B2377" s="306"/>
      <c r="C2377" s="307"/>
      <c r="D2377" s="312"/>
      <c r="E2377" s="301"/>
      <c r="F2377" s="232"/>
      <c r="J2377" s="306"/>
      <c r="K2377" s="306"/>
      <c r="L2377" s="313"/>
      <c r="M2377" s="219"/>
      <c r="N2377" s="218"/>
      <c r="S2377" s="224"/>
      <c r="T2377" s="228"/>
      <c r="U2377" s="226"/>
      <c r="V2377" s="226"/>
      <c r="W2377" s="303"/>
      <c r="X2377" s="220"/>
      <c r="Z2377" s="227"/>
      <c r="AA2377" s="220"/>
      <c r="AB2377" s="221"/>
      <c r="AC2377" s="229"/>
      <c r="AD2377" s="230"/>
      <c r="AE2377" s="230"/>
      <c r="AF2377" s="230"/>
      <c r="AG2377" s="227"/>
    </row>
    <row r="2378" spans="1:33" x14ac:dyDescent="0.25">
      <c r="A2378" s="32"/>
      <c r="B2378" s="306"/>
      <c r="C2378" s="307"/>
      <c r="D2378" s="312"/>
      <c r="E2378" s="301"/>
      <c r="F2378" s="232"/>
      <c r="J2378" s="306"/>
      <c r="K2378" s="306"/>
      <c r="L2378" s="313"/>
      <c r="M2378" s="219"/>
      <c r="N2378" s="218"/>
      <c r="S2378" s="224"/>
      <c r="T2378" s="228"/>
      <c r="U2378" s="226"/>
      <c r="V2378" s="226"/>
      <c r="W2378" s="303"/>
      <c r="X2378" s="220"/>
      <c r="Z2378" s="227"/>
      <c r="AA2378" s="220"/>
      <c r="AB2378" s="221"/>
      <c r="AC2378" s="229"/>
      <c r="AD2378" s="230"/>
      <c r="AE2378" s="230"/>
      <c r="AF2378" s="230"/>
      <c r="AG2378" s="227"/>
    </row>
    <row r="2379" spans="1:33" x14ac:dyDescent="0.25">
      <c r="A2379" s="32"/>
      <c r="B2379" s="306"/>
      <c r="C2379" s="307"/>
      <c r="D2379" s="312"/>
      <c r="E2379" s="301"/>
      <c r="F2379" s="232"/>
      <c r="J2379" s="306"/>
      <c r="K2379" s="306"/>
      <c r="L2379" s="313"/>
      <c r="M2379" s="219"/>
      <c r="N2379" s="218"/>
      <c r="S2379" s="224"/>
      <c r="T2379" s="228"/>
      <c r="U2379" s="226"/>
      <c r="V2379" s="226"/>
      <c r="W2379" s="303"/>
      <c r="X2379" s="220"/>
      <c r="Z2379" s="227"/>
      <c r="AA2379" s="220"/>
      <c r="AB2379" s="221"/>
      <c r="AC2379" s="229"/>
      <c r="AD2379" s="230"/>
      <c r="AE2379" s="230"/>
      <c r="AF2379" s="230"/>
      <c r="AG2379" s="227"/>
    </row>
    <row r="2380" spans="1:33" x14ac:dyDescent="0.25">
      <c r="A2380" s="32"/>
      <c r="B2380" s="306"/>
      <c r="C2380" s="307"/>
      <c r="D2380" s="312"/>
      <c r="E2380" s="301"/>
      <c r="F2380" s="232"/>
      <c r="J2380" s="306"/>
      <c r="K2380" s="306"/>
      <c r="L2380" s="313"/>
      <c r="M2380" s="219"/>
      <c r="N2380" s="218"/>
      <c r="S2380" s="224"/>
      <c r="T2380" s="228"/>
      <c r="U2380" s="226"/>
      <c r="V2380" s="226"/>
      <c r="W2380" s="303"/>
      <c r="X2380" s="220"/>
      <c r="Z2380" s="227"/>
      <c r="AA2380" s="220"/>
      <c r="AB2380" s="221"/>
      <c r="AC2380" s="229"/>
      <c r="AD2380" s="230"/>
      <c r="AE2380" s="230"/>
      <c r="AF2380" s="230"/>
      <c r="AG2380" s="227"/>
    </row>
    <row r="2381" spans="1:33" x14ac:dyDescent="0.25">
      <c r="A2381" s="32"/>
      <c r="B2381" s="306"/>
      <c r="C2381" s="307"/>
      <c r="D2381" s="312"/>
      <c r="E2381" s="301"/>
      <c r="F2381" s="232"/>
      <c r="J2381" s="306"/>
      <c r="K2381" s="306"/>
      <c r="L2381" s="313"/>
      <c r="M2381" s="219"/>
      <c r="N2381" s="218"/>
      <c r="S2381" s="224"/>
      <c r="T2381" s="228"/>
      <c r="U2381" s="226"/>
      <c r="V2381" s="226"/>
      <c r="W2381" s="303"/>
      <c r="X2381" s="220"/>
      <c r="Z2381" s="227"/>
      <c r="AA2381" s="220"/>
      <c r="AB2381" s="221"/>
      <c r="AC2381" s="229"/>
      <c r="AD2381" s="230"/>
      <c r="AE2381" s="230"/>
      <c r="AF2381" s="230"/>
      <c r="AG2381" s="227"/>
    </row>
    <row r="2382" spans="1:33" x14ac:dyDescent="0.25">
      <c r="A2382" s="32"/>
      <c r="B2382" s="306"/>
      <c r="C2382" s="307"/>
      <c r="D2382" s="312"/>
      <c r="E2382" s="301"/>
      <c r="F2382" s="232"/>
      <c r="J2382" s="306"/>
      <c r="K2382" s="306"/>
      <c r="L2382" s="313"/>
      <c r="M2382" s="219"/>
      <c r="N2382" s="218"/>
      <c r="S2382" s="224"/>
      <c r="T2382" s="228"/>
      <c r="U2382" s="226"/>
      <c r="V2382" s="226"/>
      <c r="W2382" s="303"/>
      <c r="X2382" s="220"/>
      <c r="Z2382" s="227"/>
      <c r="AA2382" s="220"/>
      <c r="AB2382" s="221"/>
      <c r="AC2382" s="229"/>
      <c r="AD2382" s="230"/>
      <c r="AE2382" s="230"/>
      <c r="AF2382" s="230"/>
      <c r="AG2382" s="227"/>
    </row>
    <row r="2383" spans="1:33" x14ac:dyDescent="0.25">
      <c r="A2383" s="32"/>
      <c r="B2383" s="306"/>
      <c r="C2383" s="307"/>
      <c r="D2383" s="312"/>
      <c r="E2383" s="301"/>
      <c r="F2383" s="232"/>
      <c r="J2383" s="306"/>
      <c r="K2383" s="306"/>
      <c r="L2383" s="313"/>
      <c r="M2383" s="219"/>
      <c r="N2383" s="218"/>
      <c r="S2383" s="224"/>
      <c r="T2383" s="228"/>
      <c r="U2383" s="226"/>
      <c r="V2383" s="226"/>
      <c r="W2383" s="303"/>
      <c r="X2383" s="220"/>
      <c r="Z2383" s="227"/>
      <c r="AA2383" s="220"/>
      <c r="AB2383" s="221"/>
      <c r="AC2383" s="229"/>
      <c r="AD2383" s="230"/>
      <c r="AE2383" s="230"/>
      <c r="AF2383" s="230"/>
      <c r="AG2383" s="227"/>
    </row>
    <row r="2384" spans="1:33" x14ac:dyDescent="0.25">
      <c r="A2384" s="32"/>
      <c r="B2384" s="306"/>
      <c r="C2384" s="307"/>
      <c r="D2384" s="312"/>
      <c r="E2384" s="301"/>
      <c r="F2384" s="232"/>
      <c r="J2384" s="306"/>
      <c r="K2384" s="306"/>
      <c r="L2384" s="313"/>
      <c r="M2384" s="219"/>
      <c r="N2384" s="218"/>
      <c r="S2384" s="224"/>
      <c r="T2384" s="228"/>
      <c r="U2384" s="226"/>
      <c r="V2384" s="226"/>
      <c r="W2384" s="303"/>
      <c r="X2384" s="220"/>
      <c r="Z2384" s="227"/>
      <c r="AA2384" s="220"/>
      <c r="AB2384" s="221"/>
      <c r="AC2384" s="229"/>
      <c r="AD2384" s="230"/>
      <c r="AE2384" s="230"/>
      <c r="AF2384" s="230"/>
      <c r="AG2384" s="227"/>
    </row>
    <row r="2385" spans="1:33" x14ac:dyDescent="0.25">
      <c r="A2385" s="32"/>
      <c r="B2385" s="306"/>
      <c r="C2385" s="307"/>
      <c r="D2385" s="312"/>
      <c r="E2385" s="301"/>
      <c r="F2385" s="232"/>
      <c r="J2385" s="306"/>
      <c r="K2385" s="306"/>
      <c r="L2385" s="313"/>
      <c r="M2385" s="219"/>
      <c r="N2385" s="218"/>
      <c r="S2385" s="224"/>
      <c r="T2385" s="228"/>
      <c r="U2385" s="226"/>
      <c r="V2385" s="226"/>
      <c r="W2385" s="303"/>
      <c r="X2385" s="220"/>
      <c r="Z2385" s="227"/>
      <c r="AA2385" s="220"/>
      <c r="AB2385" s="221"/>
      <c r="AC2385" s="229"/>
      <c r="AD2385" s="230"/>
      <c r="AE2385" s="230"/>
      <c r="AF2385" s="230"/>
      <c r="AG2385" s="227"/>
    </row>
    <row r="2386" spans="1:33" x14ac:dyDescent="0.25">
      <c r="A2386" s="32"/>
      <c r="B2386" s="306"/>
      <c r="C2386" s="307"/>
      <c r="D2386" s="312"/>
      <c r="E2386" s="301"/>
      <c r="F2386" s="232"/>
      <c r="J2386" s="306"/>
      <c r="K2386" s="306"/>
      <c r="L2386" s="313"/>
      <c r="M2386" s="219"/>
      <c r="N2386" s="218"/>
      <c r="S2386" s="224"/>
      <c r="T2386" s="228"/>
      <c r="U2386" s="226"/>
      <c r="V2386" s="226"/>
      <c r="W2386" s="303"/>
      <c r="X2386" s="220"/>
      <c r="Z2386" s="227"/>
      <c r="AA2386" s="220"/>
      <c r="AB2386" s="221"/>
      <c r="AC2386" s="229"/>
      <c r="AD2386" s="230"/>
      <c r="AE2386" s="230"/>
      <c r="AF2386" s="230"/>
      <c r="AG2386" s="227"/>
    </row>
    <row r="2387" spans="1:33" x14ac:dyDescent="0.25">
      <c r="A2387" s="32"/>
      <c r="B2387" s="306"/>
      <c r="C2387" s="307"/>
      <c r="D2387" s="312"/>
      <c r="E2387" s="301"/>
      <c r="F2387" s="232"/>
      <c r="J2387" s="306"/>
      <c r="K2387" s="306"/>
      <c r="L2387" s="313"/>
      <c r="M2387" s="219"/>
      <c r="N2387" s="218"/>
      <c r="S2387" s="224"/>
      <c r="T2387" s="228"/>
      <c r="U2387" s="226"/>
      <c r="V2387" s="226"/>
      <c r="W2387" s="303"/>
      <c r="X2387" s="220"/>
      <c r="Z2387" s="227"/>
      <c r="AA2387" s="220"/>
      <c r="AB2387" s="221"/>
      <c r="AC2387" s="229"/>
      <c r="AD2387" s="230"/>
      <c r="AE2387" s="230"/>
      <c r="AF2387" s="230"/>
      <c r="AG2387" s="227"/>
    </row>
    <row r="2388" spans="1:33" x14ac:dyDescent="0.25">
      <c r="A2388" s="32"/>
      <c r="B2388" s="306"/>
      <c r="C2388" s="307"/>
      <c r="D2388" s="312"/>
      <c r="E2388" s="301"/>
      <c r="F2388" s="232"/>
      <c r="J2388" s="306"/>
      <c r="K2388" s="306"/>
      <c r="L2388" s="313"/>
      <c r="M2388" s="219"/>
      <c r="N2388" s="218"/>
      <c r="S2388" s="224"/>
      <c r="T2388" s="228"/>
      <c r="U2388" s="226"/>
      <c r="V2388" s="226"/>
      <c r="W2388" s="303"/>
      <c r="X2388" s="220"/>
      <c r="Z2388" s="227"/>
      <c r="AA2388" s="220"/>
      <c r="AB2388" s="221"/>
      <c r="AC2388" s="229"/>
      <c r="AD2388" s="230"/>
      <c r="AE2388" s="230"/>
      <c r="AF2388" s="230"/>
      <c r="AG2388" s="227"/>
    </row>
    <row r="2389" spans="1:33" x14ac:dyDescent="0.25">
      <c r="A2389" s="32"/>
      <c r="B2389" s="306"/>
      <c r="C2389" s="307"/>
      <c r="D2389" s="312"/>
      <c r="E2389" s="301"/>
      <c r="F2389" s="232"/>
      <c r="J2389" s="306"/>
      <c r="K2389" s="306"/>
      <c r="L2389" s="313"/>
      <c r="M2389" s="219"/>
      <c r="N2389" s="218"/>
      <c r="S2389" s="224"/>
      <c r="T2389" s="228"/>
      <c r="U2389" s="226"/>
      <c r="V2389" s="226"/>
      <c r="W2389" s="303"/>
      <c r="X2389" s="220"/>
      <c r="Z2389" s="227"/>
      <c r="AA2389" s="220"/>
      <c r="AB2389" s="221"/>
      <c r="AC2389" s="229"/>
      <c r="AD2389" s="230"/>
      <c r="AE2389" s="230"/>
      <c r="AF2389" s="230"/>
      <c r="AG2389" s="227"/>
    </row>
    <row r="2390" spans="1:33" x14ac:dyDescent="0.25">
      <c r="A2390" s="32"/>
      <c r="B2390" s="306"/>
      <c r="C2390" s="307"/>
      <c r="D2390" s="312"/>
      <c r="E2390" s="301"/>
      <c r="F2390" s="232"/>
      <c r="J2390" s="306"/>
      <c r="K2390" s="306"/>
      <c r="L2390" s="313"/>
      <c r="M2390" s="219"/>
      <c r="N2390" s="218"/>
      <c r="S2390" s="224"/>
      <c r="T2390" s="228"/>
      <c r="U2390" s="226"/>
      <c r="V2390" s="226"/>
      <c r="W2390" s="303"/>
      <c r="X2390" s="220"/>
      <c r="Z2390" s="227"/>
      <c r="AA2390" s="220"/>
      <c r="AB2390" s="221"/>
      <c r="AC2390" s="229"/>
      <c r="AD2390" s="230"/>
      <c r="AE2390" s="230"/>
      <c r="AF2390" s="230"/>
      <c r="AG2390" s="227"/>
    </row>
    <row r="2391" spans="1:33" x14ac:dyDescent="0.25">
      <c r="A2391" s="32"/>
      <c r="B2391" s="306"/>
      <c r="C2391" s="307"/>
      <c r="D2391" s="312"/>
      <c r="E2391" s="301"/>
      <c r="F2391" s="232"/>
      <c r="J2391" s="306"/>
      <c r="K2391" s="306"/>
      <c r="L2391" s="313"/>
      <c r="M2391" s="219"/>
      <c r="N2391" s="218"/>
      <c r="S2391" s="224"/>
      <c r="T2391" s="228"/>
      <c r="U2391" s="226"/>
      <c r="V2391" s="226"/>
      <c r="W2391" s="303"/>
      <c r="X2391" s="220"/>
      <c r="Z2391" s="227"/>
      <c r="AA2391" s="220"/>
      <c r="AB2391" s="221"/>
      <c r="AC2391" s="229"/>
      <c r="AD2391" s="230"/>
      <c r="AE2391" s="230"/>
      <c r="AF2391" s="230"/>
      <c r="AG2391" s="227"/>
    </row>
    <row r="2392" spans="1:33" x14ac:dyDescent="0.25">
      <c r="A2392" s="32"/>
      <c r="B2392" s="306"/>
      <c r="C2392" s="307"/>
      <c r="D2392" s="312"/>
      <c r="E2392" s="301"/>
      <c r="F2392" s="232"/>
      <c r="J2392" s="306"/>
      <c r="K2392" s="306"/>
      <c r="L2392" s="313"/>
      <c r="M2392" s="219"/>
      <c r="N2392" s="218"/>
      <c r="S2392" s="224"/>
      <c r="T2392" s="228"/>
      <c r="U2392" s="226"/>
      <c r="V2392" s="226"/>
      <c r="W2392" s="303"/>
      <c r="X2392" s="220"/>
      <c r="Z2392" s="227"/>
      <c r="AA2392" s="220"/>
      <c r="AB2392" s="221"/>
      <c r="AC2392" s="229"/>
      <c r="AD2392" s="230"/>
      <c r="AE2392" s="230"/>
      <c r="AF2392" s="230"/>
      <c r="AG2392" s="227"/>
    </row>
    <row r="2393" spans="1:33" x14ac:dyDescent="0.25">
      <c r="A2393" s="32"/>
      <c r="B2393" s="306"/>
      <c r="C2393" s="307"/>
      <c r="D2393" s="312"/>
      <c r="E2393" s="301"/>
      <c r="F2393" s="232"/>
      <c r="J2393" s="306"/>
      <c r="K2393" s="306"/>
      <c r="L2393" s="313"/>
      <c r="M2393" s="219"/>
      <c r="N2393" s="218"/>
      <c r="S2393" s="224"/>
      <c r="T2393" s="228"/>
      <c r="U2393" s="226"/>
      <c r="V2393" s="226"/>
      <c r="W2393" s="303"/>
      <c r="X2393" s="220"/>
      <c r="Z2393" s="227"/>
      <c r="AA2393" s="220"/>
      <c r="AB2393" s="221"/>
      <c r="AC2393" s="229"/>
      <c r="AD2393" s="230"/>
      <c r="AE2393" s="230"/>
      <c r="AF2393" s="230"/>
      <c r="AG2393" s="227"/>
    </row>
    <row r="2394" spans="1:33" x14ac:dyDescent="0.25">
      <c r="A2394" s="32"/>
      <c r="B2394" s="306"/>
      <c r="C2394" s="307"/>
      <c r="D2394" s="312"/>
      <c r="E2394" s="301"/>
      <c r="F2394" s="232"/>
      <c r="J2394" s="306"/>
      <c r="K2394" s="306"/>
      <c r="L2394" s="313"/>
      <c r="M2394" s="219"/>
      <c r="N2394" s="218"/>
      <c r="S2394" s="224"/>
      <c r="T2394" s="228"/>
      <c r="U2394" s="226"/>
      <c r="V2394" s="226"/>
      <c r="W2394" s="303"/>
      <c r="X2394" s="220"/>
      <c r="Z2394" s="227"/>
      <c r="AA2394" s="220"/>
      <c r="AB2394" s="221"/>
      <c r="AC2394" s="229"/>
      <c r="AD2394" s="230"/>
      <c r="AE2394" s="230"/>
      <c r="AF2394" s="230"/>
      <c r="AG2394" s="227"/>
    </row>
    <row r="2395" spans="1:33" x14ac:dyDescent="0.25">
      <c r="A2395" s="32"/>
      <c r="B2395" s="306"/>
      <c r="C2395" s="307"/>
      <c r="D2395" s="312"/>
      <c r="E2395" s="301"/>
      <c r="F2395" s="232"/>
      <c r="J2395" s="306"/>
      <c r="K2395" s="306"/>
      <c r="L2395" s="313"/>
      <c r="M2395" s="219"/>
      <c r="N2395" s="218"/>
      <c r="S2395" s="224"/>
      <c r="T2395" s="228"/>
      <c r="U2395" s="226"/>
      <c r="V2395" s="226"/>
      <c r="W2395" s="303"/>
      <c r="X2395" s="220"/>
      <c r="Z2395" s="227"/>
      <c r="AA2395" s="220"/>
      <c r="AB2395" s="221"/>
      <c r="AC2395" s="229"/>
      <c r="AD2395" s="230"/>
      <c r="AE2395" s="230"/>
      <c r="AF2395" s="230"/>
      <c r="AG2395" s="227"/>
    </row>
    <row r="2396" spans="1:33" x14ac:dyDescent="0.25">
      <c r="A2396" s="32"/>
      <c r="B2396" s="306"/>
      <c r="C2396" s="307"/>
      <c r="D2396" s="312"/>
      <c r="E2396" s="301"/>
      <c r="F2396" s="232"/>
      <c r="J2396" s="306"/>
      <c r="K2396" s="306"/>
      <c r="L2396" s="313"/>
      <c r="M2396" s="219"/>
      <c r="N2396" s="218"/>
      <c r="S2396" s="224"/>
      <c r="T2396" s="228"/>
      <c r="U2396" s="226"/>
      <c r="V2396" s="226"/>
      <c r="W2396" s="303"/>
      <c r="X2396" s="220"/>
      <c r="Z2396" s="227"/>
      <c r="AA2396" s="220"/>
      <c r="AB2396" s="221"/>
      <c r="AC2396" s="229"/>
      <c r="AD2396" s="230"/>
      <c r="AE2396" s="230"/>
      <c r="AF2396" s="230"/>
      <c r="AG2396" s="227"/>
    </row>
    <row r="2397" spans="1:33" x14ac:dyDescent="0.25">
      <c r="A2397" s="32"/>
      <c r="B2397" s="306"/>
      <c r="C2397" s="307"/>
      <c r="D2397" s="312"/>
      <c r="E2397" s="301"/>
      <c r="F2397" s="232"/>
      <c r="J2397" s="306"/>
      <c r="K2397" s="306"/>
      <c r="L2397" s="313"/>
      <c r="M2397" s="219"/>
      <c r="N2397" s="218"/>
      <c r="S2397" s="224"/>
      <c r="T2397" s="228"/>
      <c r="U2397" s="226"/>
      <c r="V2397" s="226"/>
      <c r="W2397" s="303"/>
      <c r="X2397" s="220"/>
      <c r="Z2397" s="227"/>
      <c r="AA2397" s="220"/>
      <c r="AB2397" s="221"/>
      <c r="AC2397" s="229"/>
      <c r="AD2397" s="230"/>
      <c r="AE2397" s="230"/>
      <c r="AF2397" s="230"/>
      <c r="AG2397" s="227"/>
    </row>
    <row r="2398" spans="1:33" x14ac:dyDescent="0.25">
      <c r="A2398" s="32"/>
      <c r="B2398" s="306"/>
      <c r="C2398" s="307"/>
      <c r="D2398" s="312"/>
      <c r="E2398" s="301"/>
      <c r="F2398" s="232"/>
      <c r="J2398" s="306"/>
      <c r="K2398" s="306"/>
      <c r="L2398" s="313"/>
      <c r="M2398" s="219"/>
      <c r="N2398" s="218"/>
      <c r="S2398" s="224"/>
      <c r="T2398" s="228"/>
      <c r="U2398" s="226"/>
      <c r="V2398" s="226"/>
      <c r="W2398" s="303"/>
      <c r="X2398" s="220"/>
      <c r="Z2398" s="227"/>
      <c r="AA2398" s="220"/>
      <c r="AB2398" s="221"/>
      <c r="AC2398" s="229"/>
      <c r="AD2398" s="230"/>
      <c r="AE2398" s="230"/>
      <c r="AF2398" s="230"/>
      <c r="AG2398" s="227"/>
    </row>
    <row r="2399" spans="1:33" x14ac:dyDescent="0.25">
      <c r="A2399" s="32"/>
      <c r="B2399" s="306"/>
      <c r="C2399" s="307"/>
      <c r="D2399" s="312"/>
      <c r="E2399" s="301"/>
      <c r="F2399" s="232"/>
      <c r="J2399" s="306"/>
      <c r="K2399" s="306"/>
      <c r="L2399" s="313"/>
      <c r="M2399" s="219"/>
      <c r="N2399" s="218"/>
      <c r="S2399" s="224"/>
      <c r="T2399" s="228"/>
      <c r="U2399" s="226"/>
      <c r="V2399" s="226"/>
      <c r="W2399" s="303"/>
      <c r="X2399" s="220"/>
      <c r="Z2399" s="227"/>
      <c r="AA2399" s="220"/>
      <c r="AB2399" s="221"/>
      <c r="AC2399" s="229"/>
      <c r="AD2399" s="230"/>
      <c r="AE2399" s="230"/>
      <c r="AF2399" s="230"/>
      <c r="AG2399" s="227"/>
    </row>
    <row r="2400" spans="1:33" x14ac:dyDescent="0.25">
      <c r="A2400" s="32"/>
      <c r="B2400" s="306"/>
      <c r="C2400" s="307"/>
      <c r="D2400" s="312"/>
      <c r="E2400" s="301"/>
      <c r="F2400" s="232"/>
      <c r="J2400" s="306"/>
      <c r="K2400" s="306"/>
      <c r="L2400" s="313"/>
      <c r="M2400" s="219"/>
      <c r="N2400" s="218"/>
      <c r="S2400" s="224"/>
      <c r="T2400" s="228"/>
      <c r="U2400" s="226"/>
      <c r="V2400" s="226"/>
      <c r="W2400" s="303"/>
      <c r="X2400" s="220"/>
      <c r="Z2400" s="227"/>
      <c r="AA2400" s="220"/>
      <c r="AB2400" s="221"/>
      <c r="AC2400" s="229"/>
      <c r="AD2400" s="230"/>
      <c r="AE2400" s="230"/>
      <c r="AF2400" s="230"/>
      <c r="AG2400" s="227"/>
    </row>
    <row r="2401" spans="1:33" x14ac:dyDescent="0.25">
      <c r="A2401" s="32"/>
      <c r="B2401" s="306"/>
      <c r="C2401" s="307"/>
      <c r="D2401" s="312"/>
      <c r="E2401" s="301"/>
      <c r="F2401" s="232"/>
      <c r="J2401" s="306"/>
      <c r="K2401" s="306"/>
      <c r="L2401" s="313"/>
      <c r="M2401" s="219"/>
      <c r="N2401" s="218"/>
      <c r="S2401" s="224"/>
      <c r="T2401" s="228"/>
      <c r="U2401" s="226"/>
      <c r="V2401" s="226"/>
      <c r="W2401" s="303"/>
      <c r="X2401" s="220"/>
      <c r="Z2401" s="227"/>
      <c r="AA2401" s="220"/>
      <c r="AB2401" s="221"/>
      <c r="AC2401" s="229"/>
      <c r="AD2401" s="230"/>
      <c r="AE2401" s="230"/>
      <c r="AF2401" s="230"/>
      <c r="AG2401" s="227"/>
    </row>
    <row r="2402" spans="1:33" x14ac:dyDescent="0.25">
      <c r="A2402" s="32"/>
      <c r="B2402" s="306"/>
      <c r="C2402" s="307"/>
      <c r="D2402" s="312"/>
      <c r="E2402" s="301"/>
      <c r="F2402" s="232"/>
      <c r="J2402" s="306"/>
      <c r="K2402" s="306"/>
      <c r="L2402" s="313"/>
      <c r="M2402" s="219"/>
      <c r="N2402" s="218"/>
      <c r="S2402" s="224"/>
      <c r="T2402" s="228"/>
      <c r="U2402" s="226"/>
      <c r="V2402" s="226"/>
      <c r="W2402" s="303"/>
      <c r="X2402" s="220"/>
      <c r="Z2402" s="227"/>
      <c r="AA2402" s="220"/>
      <c r="AB2402" s="221"/>
      <c r="AC2402" s="229"/>
      <c r="AD2402" s="230"/>
      <c r="AE2402" s="230"/>
      <c r="AF2402" s="230"/>
      <c r="AG2402" s="227"/>
    </row>
    <row r="2403" spans="1:33" x14ac:dyDescent="0.25">
      <c r="A2403" s="32"/>
      <c r="B2403" s="306"/>
      <c r="C2403" s="307"/>
      <c r="D2403" s="312"/>
      <c r="E2403" s="301"/>
      <c r="F2403" s="232"/>
      <c r="J2403" s="306"/>
      <c r="K2403" s="306"/>
      <c r="L2403" s="313"/>
      <c r="M2403" s="219"/>
      <c r="N2403" s="218"/>
      <c r="S2403" s="224"/>
      <c r="T2403" s="228"/>
      <c r="U2403" s="226"/>
      <c r="V2403" s="226"/>
      <c r="W2403" s="303"/>
      <c r="X2403" s="220"/>
      <c r="Z2403" s="227"/>
      <c r="AA2403" s="220"/>
      <c r="AB2403" s="221"/>
      <c r="AC2403" s="229"/>
      <c r="AD2403" s="230"/>
      <c r="AE2403" s="230"/>
      <c r="AF2403" s="230"/>
      <c r="AG2403" s="227"/>
    </row>
    <row r="2404" spans="1:33" x14ac:dyDescent="0.25">
      <c r="A2404" s="32"/>
      <c r="B2404" s="306"/>
      <c r="C2404" s="307"/>
      <c r="D2404" s="312"/>
      <c r="E2404" s="301"/>
      <c r="F2404" s="232"/>
      <c r="J2404" s="306"/>
      <c r="K2404" s="306"/>
      <c r="L2404" s="313"/>
      <c r="M2404" s="219"/>
      <c r="N2404" s="218"/>
      <c r="S2404" s="224"/>
      <c r="T2404" s="228"/>
      <c r="U2404" s="226"/>
      <c r="V2404" s="226"/>
      <c r="W2404" s="303"/>
      <c r="X2404" s="220"/>
      <c r="Z2404" s="227"/>
      <c r="AA2404" s="220"/>
      <c r="AB2404" s="221"/>
      <c r="AC2404" s="229"/>
      <c r="AD2404" s="230"/>
      <c r="AE2404" s="230"/>
      <c r="AF2404" s="230"/>
      <c r="AG2404" s="227"/>
    </row>
    <row r="2405" spans="1:33" x14ac:dyDescent="0.25">
      <c r="A2405" s="32"/>
      <c r="B2405" s="306"/>
      <c r="C2405" s="307"/>
      <c r="D2405" s="312"/>
      <c r="E2405" s="301"/>
      <c r="F2405" s="232"/>
      <c r="J2405" s="306"/>
      <c r="K2405" s="306"/>
      <c r="L2405" s="313"/>
      <c r="M2405" s="219"/>
      <c r="N2405" s="218"/>
      <c r="S2405" s="224"/>
      <c r="T2405" s="228"/>
      <c r="U2405" s="226"/>
      <c r="V2405" s="226"/>
      <c r="W2405" s="303"/>
      <c r="X2405" s="220"/>
      <c r="Z2405" s="227"/>
      <c r="AA2405" s="220"/>
      <c r="AB2405" s="221"/>
      <c r="AC2405" s="229"/>
      <c r="AD2405" s="230"/>
      <c r="AE2405" s="230"/>
      <c r="AF2405" s="230"/>
      <c r="AG2405" s="227"/>
    </row>
    <row r="2406" spans="1:33" x14ac:dyDescent="0.25">
      <c r="A2406" s="32"/>
      <c r="B2406" s="306"/>
      <c r="C2406" s="307"/>
      <c r="D2406" s="312"/>
      <c r="E2406" s="301"/>
      <c r="F2406" s="232"/>
      <c r="J2406" s="306"/>
      <c r="K2406" s="306"/>
      <c r="L2406" s="313"/>
      <c r="M2406" s="219"/>
      <c r="N2406" s="218"/>
      <c r="S2406" s="224"/>
      <c r="T2406" s="228"/>
      <c r="U2406" s="226"/>
      <c r="V2406" s="226"/>
      <c r="W2406" s="303"/>
      <c r="X2406" s="220"/>
      <c r="Z2406" s="227"/>
      <c r="AA2406" s="220"/>
      <c r="AB2406" s="221"/>
      <c r="AC2406" s="229"/>
      <c r="AD2406" s="230"/>
      <c r="AE2406" s="230"/>
      <c r="AF2406" s="230"/>
      <c r="AG2406" s="227"/>
    </row>
    <row r="2407" spans="1:33" x14ac:dyDescent="0.25">
      <c r="A2407" s="32"/>
      <c r="B2407" s="306"/>
      <c r="C2407" s="307"/>
      <c r="D2407" s="312"/>
      <c r="E2407" s="301"/>
      <c r="F2407" s="232"/>
      <c r="J2407" s="306"/>
      <c r="K2407" s="306"/>
      <c r="L2407" s="313"/>
      <c r="M2407" s="219"/>
      <c r="N2407" s="218"/>
      <c r="S2407" s="224"/>
      <c r="T2407" s="228"/>
      <c r="U2407" s="226"/>
      <c r="V2407" s="226"/>
      <c r="W2407" s="303"/>
      <c r="X2407" s="220"/>
      <c r="Z2407" s="227"/>
      <c r="AA2407" s="220"/>
      <c r="AB2407" s="221"/>
      <c r="AC2407" s="229"/>
      <c r="AD2407" s="230"/>
      <c r="AE2407" s="230"/>
      <c r="AF2407" s="230"/>
      <c r="AG2407" s="227"/>
    </row>
    <row r="2408" spans="1:33" x14ac:dyDescent="0.25">
      <c r="A2408" s="32"/>
      <c r="B2408" s="306"/>
      <c r="C2408" s="307"/>
      <c r="D2408" s="312"/>
      <c r="E2408" s="301"/>
      <c r="F2408" s="232"/>
      <c r="J2408" s="306"/>
      <c r="K2408" s="306"/>
      <c r="L2408" s="313"/>
      <c r="M2408" s="219"/>
      <c r="N2408" s="218"/>
      <c r="S2408" s="224"/>
      <c r="T2408" s="228"/>
      <c r="U2408" s="226"/>
      <c r="V2408" s="226"/>
      <c r="W2408" s="303"/>
      <c r="X2408" s="220"/>
      <c r="Z2408" s="227"/>
      <c r="AA2408" s="220"/>
      <c r="AB2408" s="221"/>
      <c r="AC2408" s="229"/>
      <c r="AD2408" s="230"/>
      <c r="AE2408" s="230"/>
      <c r="AF2408" s="230"/>
      <c r="AG2408" s="227"/>
    </row>
    <row r="2409" spans="1:33" x14ac:dyDescent="0.25">
      <c r="A2409" s="32"/>
      <c r="B2409" s="306"/>
      <c r="C2409" s="307"/>
      <c r="D2409" s="312"/>
      <c r="E2409" s="301"/>
      <c r="F2409" s="232"/>
      <c r="J2409" s="306"/>
      <c r="K2409" s="306"/>
      <c r="L2409" s="313"/>
      <c r="M2409" s="219"/>
      <c r="N2409" s="218"/>
      <c r="S2409" s="224"/>
      <c r="T2409" s="228"/>
      <c r="U2409" s="226"/>
      <c r="V2409" s="226"/>
      <c r="W2409" s="303"/>
      <c r="X2409" s="220"/>
      <c r="Z2409" s="227"/>
      <c r="AA2409" s="220"/>
      <c r="AB2409" s="221"/>
      <c r="AC2409" s="229"/>
      <c r="AD2409" s="230"/>
      <c r="AE2409" s="230"/>
      <c r="AF2409" s="230"/>
      <c r="AG2409" s="227"/>
    </row>
    <row r="2410" spans="1:33" x14ac:dyDescent="0.25">
      <c r="A2410" s="32"/>
      <c r="B2410" s="306"/>
      <c r="C2410" s="307"/>
      <c r="D2410" s="312"/>
      <c r="E2410" s="301"/>
      <c r="F2410" s="232"/>
      <c r="J2410" s="306"/>
      <c r="K2410" s="306"/>
      <c r="L2410" s="313"/>
      <c r="M2410" s="219"/>
      <c r="N2410" s="218"/>
      <c r="S2410" s="224"/>
      <c r="T2410" s="228"/>
      <c r="U2410" s="226"/>
      <c r="V2410" s="226"/>
      <c r="W2410" s="303"/>
      <c r="X2410" s="220"/>
      <c r="Z2410" s="227"/>
      <c r="AA2410" s="220"/>
      <c r="AB2410" s="221"/>
      <c r="AC2410" s="229"/>
      <c r="AD2410" s="230"/>
      <c r="AE2410" s="230"/>
      <c r="AF2410" s="230"/>
      <c r="AG2410" s="227"/>
    </row>
    <row r="2411" spans="1:33" x14ac:dyDescent="0.25">
      <c r="A2411" s="32"/>
      <c r="B2411" s="306"/>
      <c r="C2411" s="307"/>
      <c r="D2411" s="312"/>
      <c r="E2411" s="301"/>
      <c r="F2411" s="232"/>
      <c r="J2411" s="306"/>
      <c r="K2411" s="306"/>
      <c r="L2411" s="313"/>
      <c r="M2411" s="219"/>
      <c r="N2411" s="218"/>
      <c r="S2411" s="224"/>
      <c r="T2411" s="228"/>
      <c r="U2411" s="226"/>
      <c r="V2411" s="226"/>
      <c r="W2411" s="303"/>
      <c r="X2411" s="220"/>
      <c r="Z2411" s="227"/>
      <c r="AA2411" s="220"/>
      <c r="AB2411" s="221"/>
      <c r="AC2411" s="229"/>
      <c r="AD2411" s="230"/>
      <c r="AE2411" s="230"/>
      <c r="AF2411" s="230"/>
      <c r="AG2411" s="227"/>
    </row>
    <row r="2412" spans="1:33" x14ac:dyDescent="0.25">
      <c r="A2412" s="32"/>
      <c r="B2412" s="306"/>
      <c r="C2412" s="307"/>
      <c r="D2412" s="312"/>
      <c r="E2412" s="301"/>
      <c r="F2412" s="232"/>
      <c r="J2412" s="306"/>
      <c r="K2412" s="306"/>
      <c r="L2412" s="313"/>
      <c r="M2412" s="219"/>
      <c r="N2412" s="218"/>
      <c r="S2412" s="224"/>
      <c r="T2412" s="228"/>
      <c r="U2412" s="226"/>
      <c r="V2412" s="226"/>
      <c r="W2412" s="303"/>
      <c r="X2412" s="220"/>
      <c r="Z2412" s="227"/>
      <c r="AA2412" s="220"/>
      <c r="AB2412" s="221"/>
      <c r="AC2412" s="229"/>
      <c r="AD2412" s="230"/>
      <c r="AE2412" s="230"/>
      <c r="AF2412" s="230"/>
      <c r="AG2412" s="227"/>
    </row>
    <row r="2413" spans="1:33" x14ac:dyDescent="0.25">
      <c r="A2413" s="32"/>
      <c r="B2413" s="306"/>
      <c r="C2413" s="307"/>
      <c r="D2413" s="312"/>
      <c r="E2413" s="301"/>
      <c r="F2413" s="232"/>
      <c r="J2413" s="306"/>
      <c r="K2413" s="306"/>
      <c r="L2413" s="313"/>
      <c r="M2413" s="219"/>
      <c r="N2413" s="218"/>
      <c r="S2413" s="224"/>
      <c r="T2413" s="228"/>
      <c r="U2413" s="226"/>
      <c r="V2413" s="226"/>
      <c r="W2413" s="303"/>
      <c r="X2413" s="220"/>
      <c r="Z2413" s="227"/>
      <c r="AA2413" s="220"/>
      <c r="AB2413" s="221"/>
      <c r="AC2413" s="229"/>
      <c r="AD2413" s="230"/>
      <c r="AE2413" s="230"/>
      <c r="AF2413" s="230"/>
      <c r="AG2413" s="227"/>
    </row>
    <row r="2414" spans="1:33" x14ac:dyDescent="0.25">
      <c r="A2414" s="32"/>
      <c r="B2414" s="306"/>
      <c r="C2414" s="307"/>
      <c r="D2414" s="312"/>
      <c r="E2414" s="301"/>
      <c r="F2414" s="232"/>
      <c r="J2414" s="306"/>
      <c r="K2414" s="306"/>
      <c r="L2414" s="313"/>
      <c r="M2414" s="219"/>
      <c r="N2414" s="218"/>
      <c r="S2414" s="224"/>
      <c r="T2414" s="228"/>
      <c r="U2414" s="226"/>
      <c r="V2414" s="226"/>
      <c r="W2414" s="303"/>
      <c r="X2414" s="220"/>
      <c r="Z2414" s="227"/>
      <c r="AA2414" s="220"/>
      <c r="AB2414" s="221"/>
      <c r="AC2414" s="229"/>
      <c r="AD2414" s="230"/>
      <c r="AE2414" s="230"/>
      <c r="AF2414" s="230"/>
      <c r="AG2414" s="227"/>
    </row>
    <row r="2415" spans="1:33" x14ac:dyDescent="0.25">
      <c r="A2415" s="32"/>
      <c r="B2415" s="306"/>
      <c r="C2415" s="307"/>
      <c r="D2415" s="312"/>
      <c r="E2415" s="301"/>
      <c r="F2415" s="232"/>
      <c r="J2415" s="306"/>
      <c r="K2415" s="306"/>
      <c r="L2415" s="313"/>
      <c r="M2415" s="219"/>
      <c r="N2415" s="218"/>
      <c r="S2415" s="224"/>
      <c r="T2415" s="228"/>
      <c r="U2415" s="226"/>
      <c r="V2415" s="226"/>
      <c r="W2415" s="303"/>
      <c r="X2415" s="220"/>
      <c r="Z2415" s="227"/>
      <c r="AA2415" s="220"/>
      <c r="AB2415" s="221"/>
      <c r="AC2415" s="229"/>
      <c r="AD2415" s="230"/>
      <c r="AE2415" s="230"/>
      <c r="AF2415" s="230"/>
      <c r="AG2415" s="227"/>
    </row>
    <row r="2416" spans="1:33" x14ac:dyDescent="0.25">
      <c r="A2416" s="32"/>
      <c r="B2416" s="306"/>
      <c r="C2416" s="307"/>
      <c r="D2416" s="312"/>
      <c r="E2416" s="301"/>
      <c r="F2416" s="232"/>
      <c r="J2416" s="306"/>
      <c r="K2416" s="306"/>
      <c r="L2416" s="313"/>
      <c r="M2416" s="219"/>
      <c r="N2416" s="218"/>
      <c r="S2416" s="224"/>
      <c r="T2416" s="228"/>
      <c r="U2416" s="226"/>
      <c r="V2416" s="226"/>
      <c r="W2416" s="303"/>
      <c r="X2416" s="220"/>
      <c r="Z2416" s="227"/>
      <c r="AA2416" s="220"/>
      <c r="AB2416" s="221"/>
      <c r="AC2416" s="229"/>
      <c r="AD2416" s="230"/>
      <c r="AE2416" s="230"/>
      <c r="AF2416" s="230"/>
      <c r="AG2416" s="227"/>
    </row>
    <row r="2417" spans="1:33" x14ac:dyDescent="0.25">
      <c r="A2417" s="32"/>
      <c r="B2417" s="306"/>
      <c r="C2417" s="307"/>
      <c r="D2417" s="312"/>
      <c r="E2417" s="301"/>
      <c r="F2417" s="232"/>
      <c r="J2417" s="306"/>
      <c r="K2417" s="306"/>
      <c r="L2417" s="313"/>
      <c r="M2417" s="219"/>
      <c r="N2417" s="218"/>
      <c r="S2417" s="224"/>
      <c r="T2417" s="228"/>
      <c r="U2417" s="226"/>
      <c r="V2417" s="226"/>
      <c r="W2417" s="303"/>
      <c r="X2417" s="220"/>
      <c r="Z2417" s="227"/>
      <c r="AA2417" s="220"/>
      <c r="AB2417" s="221"/>
      <c r="AC2417" s="229"/>
      <c r="AD2417" s="230"/>
      <c r="AE2417" s="230"/>
      <c r="AF2417" s="230"/>
      <c r="AG2417" s="227"/>
    </row>
    <row r="2418" spans="1:33" x14ac:dyDescent="0.25">
      <c r="A2418" s="32"/>
      <c r="B2418" s="306"/>
      <c r="C2418" s="307"/>
      <c r="D2418" s="312"/>
      <c r="E2418" s="301"/>
      <c r="F2418" s="232"/>
      <c r="J2418" s="306"/>
      <c r="K2418" s="306"/>
      <c r="L2418" s="313"/>
      <c r="M2418" s="219"/>
      <c r="N2418" s="218"/>
      <c r="S2418" s="224"/>
      <c r="T2418" s="228"/>
      <c r="U2418" s="226"/>
      <c r="V2418" s="226"/>
      <c r="W2418" s="303"/>
      <c r="X2418" s="220"/>
      <c r="Z2418" s="227"/>
      <c r="AA2418" s="220"/>
      <c r="AB2418" s="221"/>
      <c r="AC2418" s="229"/>
      <c r="AD2418" s="230"/>
      <c r="AE2418" s="230"/>
      <c r="AF2418" s="230"/>
      <c r="AG2418" s="227"/>
    </row>
    <row r="2419" spans="1:33" x14ac:dyDescent="0.25">
      <c r="A2419" s="32"/>
      <c r="B2419" s="306"/>
      <c r="C2419" s="307"/>
      <c r="D2419" s="312"/>
      <c r="E2419" s="301"/>
      <c r="F2419" s="232"/>
      <c r="J2419" s="306"/>
      <c r="K2419" s="306"/>
      <c r="L2419" s="313"/>
      <c r="M2419" s="219"/>
      <c r="N2419" s="218"/>
      <c r="S2419" s="224"/>
      <c r="T2419" s="228"/>
      <c r="U2419" s="226"/>
      <c r="V2419" s="226"/>
      <c r="W2419" s="303"/>
      <c r="X2419" s="220"/>
      <c r="Z2419" s="227"/>
      <c r="AA2419" s="220"/>
      <c r="AB2419" s="221"/>
      <c r="AC2419" s="229"/>
      <c r="AD2419" s="230"/>
      <c r="AE2419" s="230"/>
      <c r="AF2419" s="230"/>
      <c r="AG2419" s="227"/>
    </row>
    <row r="2420" spans="1:33" x14ac:dyDescent="0.25">
      <c r="A2420" s="32"/>
      <c r="B2420" s="306"/>
      <c r="C2420" s="307"/>
      <c r="D2420" s="312"/>
      <c r="E2420" s="301"/>
      <c r="F2420" s="232"/>
      <c r="J2420" s="306"/>
      <c r="K2420" s="306"/>
      <c r="L2420" s="313"/>
      <c r="M2420" s="219"/>
      <c r="N2420" s="218"/>
      <c r="S2420" s="224"/>
      <c r="T2420" s="228"/>
      <c r="U2420" s="226"/>
      <c r="V2420" s="226"/>
      <c r="W2420" s="303"/>
      <c r="X2420" s="220"/>
      <c r="Z2420" s="227"/>
      <c r="AA2420" s="220"/>
      <c r="AB2420" s="221"/>
      <c r="AC2420" s="229"/>
      <c r="AD2420" s="230"/>
      <c r="AE2420" s="230"/>
      <c r="AF2420" s="230"/>
      <c r="AG2420" s="227"/>
    </row>
    <row r="2421" spans="1:33" x14ac:dyDescent="0.25">
      <c r="A2421" s="32"/>
      <c r="B2421" s="306"/>
      <c r="C2421" s="307"/>
      <c r="D2421" s="312"/>
      <c r="E2421" s="301"/>
      <c r="F2421" s="232"/>
      <c r="J2421" s="306"/>
      <c r="K2421" s="306"/>
      <c r="L2421" s="313"/>
      <c r="M2421" s="219"/>
      <c r="N2421" s="218"/>
      <c r="S2421" s="224"/>
      <c r="T2421" s="228"/>
      <c r="U2421" s="226"/>
      <c r="V2421" s="226"/>
      <c r="W2421" s="303"/>
      <c r="X2421" s="220"/>
      <c r="Z2421" s="227"/>
      <c r="AA2421" s="220"/>
      <c r="AB2421" s="221"/>
      <c r="AC2421" s="229"/>
      <c r="AD2421" s="230"/>
      <c r="AE2421" s="230"/>
      <c r="AF2421" s="230"/>
      <c r="AG2421" s="227"/>
    </row>
    <row r="2422" spans="1:33" x14ac:dyDescent="0.25">
      <c r="A2422" s="32"/>
      <c r="B2422" s="306"/>
      <c r="C2422" s="307"/>
      <c r="D2422" s="312"/>
      <c r="E2422" s="301"/>
      <c r="F2422" s="232"/>
      <c r="J2422" s="306"/>
      <c r="K2422" s="306"/>
      <c r="L2422" s="313"/>
      <c r="M2422" s="219"/>
      <c r="N2422" s="218"/>
      <c r="S2422" s="224"/>
      <c r="T2422" s="228"/>
      <c r="U2422" s="226"/>
      <c r="V2422" s="226"/>
      <c r="W2422" s="303"/>
      <c r="X2422" s="220"/>
      <c r="Z2422" s="227"/>
      <c r="AA2422" s="220"/>
      <c r="AB2422" s="221"/>
      <c r="AC2422" s="229"/>
      <c r="AD2422" s="230"/>
      <c r="AE2422" s="230"/>
      <c r="AF2422" s="230"/>
      <c r="AG2422" s="227"/>
    </row>
    <row r="2423" spans="1:33" x14ac:dyDescent="0.25">
      <c r="A2423" s="32"/>
      <c r="B2423" s="306"/>
      <c r="C2423" s="307"/>
      <c r="D2423" s="312"/>
      <c r="E2423" s="301"/>
      <c r="F2423" s="232"/>
      <c r="J2423" s="306"/>
      <c r="K2423" s="306"/>
      <c r="L2423" s="313"/>
      <c r="M2423" s="219"/>
      <c r="N2423" s="218"/>
      <c r="S2423" s="224"/>
      <c r="T2423" s="228"/>
      <c r="U2423" s="226"/>
      <c r="V2423" s="226"/>
      <c r="W2423" s="303"/>
      <c r="X2423" s="220"/>
      <c r="Z2423" s="227"/>
      <c r="AA2423" s="220"/>
      <c r="AB2423" s="221"/>
      <c r="AC2423" s="229"/>
      <c r="AD2423" s="230"/>
      <c r="AE2423" s="230"/>
      <c r="AF2423" s="230"/>
      <c r="AG2423" s="227"/>
    </row>
    <row r="2424" spans="1:33" x14ac:dyDescent="0.25">
      <c r="A2424" s="32"/>
      <c r="B2424" s="306"/>
      <c r="C2424" s="307"/>
      <c r="D2424" s="312"/>
      <c r="E2424" s="301"/>
      <c r="F2424" s="232"/>
      <c r="J2424" s="306"/>
      <c r="K2424" s="306"/>
      <c r="L2424" s="313"/>
      <c r="M2424" s="219"/>
      <c r="N2424" s="218"/>
      <c r="S2424" s="224"/>
      <c r="T2424" s="228"/>
      <c r="U2424" s="226"/>
      <c r="V2424" s="226"/>
      <c r="W2424" s="303"/>
      <c r="X2424" s="220"/>
      <c r="Z2424" s="227"/>
      <c r="AA2424" s="220"/>
      <c r="AB2424" s="221"/>
      <c r="AC2424" s="229"/>
      <c r="AD2424" s="230"/>
      <c r="AE2424" s="230"/>
      <c r="AF2424" s="230"/>
      <c r="AG2424" s="227"/>
    </row>
    <row r="2425" spans="1:33" x14ac:dyDescent="0.25">
      <c r="A2425" s="32"/>
      <c r="B2425" s="306"/>
      <c r="C2425" s="307"/>
      <c r="D2425" s="312"/>
      <c r="E2425" s="301"/>
      <c r="F2425" s="232"/>
      <c r="J2425" s="306"/>
      <c r="K2425" s="306"/>
      <c r="L2425" s="313"/>
      <c r="M2425" s="219"/>
      <c r="N2425" s="218"/>
      <c r="S2425" s="224"/>
      <c r="T2425" s="228"/>
      <c r="U2425" s="226"/>
      <c r="V2425" s="226"/>
      <c r="W2425" s="303"/>
      <c r="X2425" s="220"/>
      <c r="Z2425" s="227"/>
      <c r="AA2425" s="220"/>
      <c r="AB2425" s="221"/>
      <c r="AC2425" s="229"/>
      <c r="AD2425" s="230"/>
      <c r="AE2425" s="230"/>
      <c r="AF2425" s="230"/>
      <c r="AG2425" s="227"/>
    </row>
    <row r="2426" spans="1:33" x14ac:dyDescent="0.25">
      <c r="A2426" s="32"/>
      <c r="B2426" s="306"/>
      <c r="C2426" s="307"/>
      <c r="D2426" s="312"/>
      <c r="E2426" s="301"/>
      <c r="F2426" s="232"/>
      <c r="J2426" s="306"/>
      <c r="K2426" s="306"/>
      <c r="L2426" s="313"/>
      <c r="M2426" s="219"/>
      <c r="N2426" s="218"/>
      <c r="S2426" s="224"/>
      <c r="T2426" s="228"/>
      <c r="U2426" s="226"/>
      <c r="V2426" s="226"/>
      <c r="W2426" s="303"/>
      <c r="X2426" s="220"/>
      <c r="Z2426" s="227"/>
      <c r="AA2426" s="220"/>
      <c r="AB2426" s="221"/>
      <c r="AC2426" s="229"/>
      <c r="AD2426" s="230"/>
      <c r="AE2426" s="230"/>
      <c r="AF2426" s="230"/>
      <c r="AG2426" s="227"/>
    </row>
    <row r="2427" spans="1:33" x14ac:dyDescent="0.25">
      <c r="A2427" s="32"/>
      <c r="B2427" s="306"/>
      <c r="C2427" s="307"/>
      <c r="D2427" s="312"/>
      <c r="E2427" s="301"/>
      <c r="F2427" s="232"/>
      <c r="J2427" s="306"/>
      <c r="K2427" s="306"/>
      <c r="L2427" s="313"/>
      <c r="M2427" s="219"/>
      <c r="N2427" s="218"/>
      <c r="S2427" s="224"/>
      <c r="T2427" s="228"/>
      <c r="U2427" s="226"/>
      <c r="V2427" s="226"/>
      <c r="W2427" s="303"/>
      <c r="X2427" s="220"/>
      <c r="Z2427" s="227"/>
      <c r="AA2427" s="220"/>
      <c r="AB2427" s="221"/>
      <c r="AC2427" s="229"/>
      <c r="AD2427" s="230"/>
      <c r="AE2427" s="230"/>
      <c r="AF2427" s="230"/>
      <c r="AG2427" s="227"/>
    </row>
    <row r="2428" spans="1:33" x14ac:dyDescent="0.25">
      <c r="A2428" s="32"/>
      <c r="B2428" s="306"/>
      <c r="C2428" s="307"/>
      <c r="D2428" s="312"/>
      <c r="E2428" s="301"/>
      <c r="F2428" s="232"/>
      <c r="J2428" s="306"/>
      <c r="K2428" s="306"/>
      <c r="L2428" s="313"/>
      <c r="M2428" s="219"/>
      <c r="N2428" s="218"/>
      <c r="S2428" s="224"/>
      <c r="T2428" s="228"/>
      <c r="U2428" s="226"/>
      <c r="V2428" s="226"/>
      <c r="W2428" s="303"/>
      <c r="X2428" s="220"/>
      <c r="Z2428" s="227"/>
      <c r="AA2428" s="220"/>
      <c r="AB2428" s="221"/>
      <c r="AC2428" s="229"/>
      <c r="AD2428" s="230"/>
      <c r="AE2428" s="230"/>
      <c r="AF2428" s="230"/>
      <c r="AG2428" s="227"/>
    </row>
    <row r="2429" spans="1:33" x14ac:dyDescent="0.25">
      <c r="A2429" s="32"/>
      <c r="B2429" s="306"/>
      <c r="C2429" s="307"/>
      <c r="D2429" s="312"/>
      <c r="E2429" s="301"/>
      <c r="F2429" s="232"/>
      <c r="J2429" s="306"/>
      <c r="K2429" s="306"/>
      <c r="L2429" s="313"/>
      <c r="M2429" s="219"/>
      <c r="N2429" s="218"/>
      <c r="S2429" s="224"/>
      <c r="T2429" s="228"/>
      <c r="U2429" s="226"/>
      <c r="V2429" s="226"/>
      <c r="W2429" s="303"/>
      <c r="X2429" s="220"/>
      <c r="Z2429" s="227"/>
      <c r="AA2429" s="220"/>
      <c r="AB2429" s="221"/>
      <c r="AC2429" s="229"/>
      <c r="AD2429" s="230"/>
      <c r="AE2429" s="230"/>
      <c r="AF2429" s="230"/>
      <c r="AG2429" s="227"/>
    </row>
    <row r="2430" spans="1:33" x14ac:dyDescent="0.25">
      <c r="A2430" s="32"/>
      <c r="B2430" s="306"/>
      <c r="C2430" s="307"/>
      <c r="D2430" s="312"/>
      <c r="E2430" s="301"/>
      <c r="F2430" s="232"/>
      <c r="J2430" s="306"/>
      <c r="K2430" s="306"/>
      <c r="L2430" s="313"/>
      <c r="M2430" s="219"/>
      <c r="N2430" s="218"/>
      <c r="S2430" s="224"/>
      <c r="T2430" s="228"/>
      <c r="U2430" s="226"/>
      <c r="V2430" s="226"/>
      <c r="W2430" s="303"/>
      <c r="X2430" s="220"/>
      <c r="Z2430" s="227"/>
      <c r="AA2430" s="220"/>
      <c r="AB2430" s="221"/>
      <c r="AC2430" s="229"/>
      <c r="AD2430" s="230"/>
      <c r="AE2430" s="230"/>
      <c r="AF2430" s="230"/>
      <c r="AG2430" s="227"/>
    </row>
    <row r="2431" spans="1:33" x14ac:dyDescent="0.25">
      <c r="A2431" s="32"/>
      <c r="B2431" s="306"/>
      <c r="C2431" s="307"/>
      <c r="D2431" s="312"/>
      <c r="E2431" s="301"/>
      <c r="F2431" s="232"/>
      <c r="J2431" s="306"/>
      <c r="K2431" s="306"/>
      <c r="L2431" s="313"/>
      <c r="M2431" s="219"/>
      <c r="N2431" s="218"/>
      <c r="S2431" s="224"/>
      <c r="T2431" s="228"/>
      <c r="U2431" s="226"/>
      <c r="V2431" s="226"/>
      <c r="W2431" s="303"/>
      <c r="X2431" s="220"/>
      <c r="Z2431" s="227"/>
      <c r="AA2431" s="220"/>
      <c r="AB2431" s="221"/>
      <c r="AC2431" s="229"/>
      <c r="AD2431" s="230"/>
      <c r="AE2431" s="230"/>
      <c r="AF2431" s="230"/>
      <c r="AG2431" s="227"/>
    </row>
    <row r="2432" spans="1:33" x14ac:dyDescent="0.25">
      <c r="A2432" s="32"/>
      <c r="B2432" s="306"/>
      <c r="C2432" s="307"/>
      <c r="D2432" s="312"/>
      <c r="E2432" s="301"/>
      <c r="F2432" s="232"/>
      <c r="J2432" s="306"/>
      <c r="K2432" s="306"/>
      <c r="L2432" s="313"/>
      <c r="M2432" s="219"/>
      <c r="N2432" s="218"/>
      <c r="S2432" s="224"/>
      <c r="T2432" s="228"/>
      <c r="U2432" s="226"/>
      <c r="V2432" s="226"/>
      <c r="W2432" s="303"/>
      <c r="X2432" s="220"/>
      <c r="Z2432" s="227"/>
      <c r="AA2432" s="220"/>
      <c r="AB2432" s="221"/>
      <c r="AC2432" s="229"/>
      <c r="AD2432" s="230"/>
      <c r="AE2432" s="230"/>
      <c r="AF2432" s="230"/>
      <c r="AG2432" s="227"/>
    </row>
    <row r="2433" spans="1:33" x14ac:dyDescent="0.25">
      <c r="A2433" s="32"/>
      <c r="B2433" s="306"/>
      <c r="C2433" s="307"/>
      <c r="D2433" s="312"/>
      <c r="E2433" s="301"/>
      <c r="F2433" s="232"/>
      <c r="J2433" s="306"/>
      <c r="K2433" s="306"/>
      <c r="L2433" s="313"/>
      <c r="M2433" s="219"/>
      <c r="N2433" s="218"/>
      <c r="S2433" s="224"/>
      <c r="T2433" s="228"/>
      <c r="U2433" s="226"/>
      <c r="V2433" s="226"/>
      <c r="W2433" s="303"/>
      <c r="X2433" s="220"/>
      <c r="Z2433" s="227"/>
      <c r="AA2433" s="220"/>
      <c r="AB2433" s="221"/>
      <c r="AC2433" s="229"/>
      <c r="AD2433" s="230"/>
      <c r="AE2433" s="230"/>
      <c r="AF2433" s="230"/>
      <c r="AG2433" s="227"/>
    </row>
    <row r="2434" spans="1:33" x14ac:dyDescent="0.25">
      <c r="A2434" s="32"/>
      <c r="B2434" s="306"/>
      <c r="C2434" s="307"/>
      <c r="D2434" s="312"/>
      <c r="E2434" s="301"/>
      <c r="F2434" s="232"/>
      <c r="J2434" s="306"/>
      <c r="K2434" s="306"/>
      <c r="L2434" s="313"/>
      <c r="M2434" s="219"/>
      <c r="N2434" s="218"/>
      <c r="S2434" s="224"/>
      <c r="T2434" s="228"/>
      <c r="U2434" s="226"/>
      <c r="V2434" s="226"/>
      <c r="W2434" s="303"/>
      <c r="X2434" s="220"/>
      <c r="Z2434" s="227"/>
      <c r="AA2434" s="220"/>
      <c r="AB2434" s="221"/>
      <c r="AC2434" s="229"/>
      <c r="AD2434" s="230"/>
      <c r="AE2434" s="230"/>
      <c r="AF2434" s="230"/>
      <c r="AG2434" s="227"/>
    </row>
    <row r="2435" spans="1:33" x14ac:dyDescent="0.25">
      <c r="A2435" s="32"/>
      <c r="B2435" s="306"/>
      <c r="C2435" s="307"/>
      <c r="D2435" s="312"/>
      <c r="E2435" s="301"/>
      <c r="F2435" s="232"/>
      <c r="J2435" s="306"/>
      <c r="K2435" s="306"/>
      <c r="L2435" s="313"/>
      <c r="M2435" s="219"/>
      <c r="N2435" s="218"/>
      <c r="S2435" s="224"/>
      <c r="T2435" s="228"/>
      <c r="U2435" s="226"/>
      <c r="V2435" s="226"/>
      <c r="W2435" s="303"/>
      <c r="X2435" s="220"/>
      <c r="Z2435" s="227"/>
      <c r="AA2435" s="220"/>
      <c r="AB2435" s="221"/>
      <c r="AC2435" s="229"/>
      <c r="AD2435" s="230"/>
      <c r="AE2435" s="230"/>
      <c r="AF2435" s="230"/>
      <c r="AG2435" s="227"/>
    </row>
    <row r="2436" spans="1:33" x14ac:dyDescent="0.25">
      <c r="A2436" s="32"/>
      <c r="B2436" s="306"/>
      <c r="C2436" s="307"/>
      <c r="D2436" s="312"/>
      <c r="E2436" s="301"/>
      <c r="F2436" s="232"/>
      <c r="J2436" s="306"/>
      <c r="K2436" s="306"/>
      <c r="L2436" s="313"/>
      <c r="M2436" s="219"/>
      <c r="N2436" s="218"/>
      <c r="S2436" s="224"/>
      <c r="T2436" s="228"/>
      <c r="U2436" s="226"/>
      <c r="V2436" s="226"/>
      <c r="W2436" s="303"/>
      <c r="X2436" s="220"/>
      <c r="Z2436" s="227"/>
      <c r="AA2436" s="220"/>
      <c r="AB2436" s="221"/>
      <c r="AC2436" s="229"/>
      <c r="AD2436" s="230"/>
      <c r="AE2436" s="230"/>
      <c r="AF2436" s="230"/>
      <c r="AG2436" s="227"/>
    </row>
    <row r="2437" spans="1:33" x14ac:dyDescent="0.25">
      <c r="A2437" s="32"/>
      <c r="B2437" s="306"/>
      <c r="C2437" s="307"/>
      <c r="D2437" s="312"/>
      <c r="E2437" s="301"/>
      <c r="F2437" s="232"/>
      <c r="J2437" s="306"/>
      <c r="K2437" s="306"/>
      <c r="L2437" s="313"/>
      <c r="M2437" s="219"/>
      <c r="N2437" s="218"/>
      <c r="S2437" s="224"/>
      <c r="T2437" s="228"/>
      <c r="U2437" s="226"/>
      <c r="V2437" s="226"/>
      <c r="W2437" s="303"/>
      <c r="X2437" s="220"/>
      <c r="Z2437" s="227"/>
      <c r="AA2437" s="220"/>
      <c r="AB2437" s="221"/>
      <c r="AC2437" s="229"/>
      <c r="AD2437" s="230"/>
      <c r="AE2437" s="230"/>
      <c r="AF2437" s="230"/>
      <c r="AG2437" s="227"/>
    </row>
    <row r="2438" spans="1:33" x14ac:dyDescent="0.25">
      <c r="A2438" s="32"/>
      <c r="B2438" s="306"/>
      <c r="C2438" s="307"/>
      <c r="D2438" s="312"/>
      <c r="E2438" s="301"/>
      <c r="F2438" s="232"/>
      <c r="J2438" s="306"/>
      <c r="K2438" s="306"/>
      <c r="L2438" s="313"/>
      <c r="M2438" s="219"/>
      <c r="N2438" s="218"/>
      <c r="S2438" s="224"/>
      <c r="T2438" s="228"/>
      <c r="U2438" s="226"/>
      <c r="V2438" s="226"/>
      <c r="W2438" s="303"/>
      <c r="X2438" s="220"/>
      <c r="Z2438" s="227"/>
      <c r="AA2438" s="220"/>
      <c r="AB2438" s="221"/>
      <c r="AC2438" s="229"/>
      <c r="AD2438" s="230"/>
      <c r="AE2438" s="230"/>
      <c r="AF2438" s="230"/>
      <c r="AG2438" s="227"/>
    </row>
    <row r="2439" spans="1:33" x14ac:dyDescent="0.25">
      <c r="A2439" s="32"/>
      <c r="B2439" s="306"/>
      <c r="C2439" s="307"/>
      <c r="D2439" s="312"/>
      <c r="E2439" s="301"/>
      <c r="F2439" s="232"/>
      <c r="J2439" s="306"/>
      <c r="K2439" s="306"/>
      <c r="L2439" s="313"/>
      <c r="M2439" s="219"/>
      <c r="N2439" s="218"/>
      <c r="S2439" s="224"/>
      <c r="T2439" s="228"/>
      <c r="U2439" s="226"/>
      <c r="V2439" s="226"/>
      <c r="W2439" s="303"/>
      <c r="X2439" s="220"/>
      <c r="Z2439" s="227"/>
      <c r="AA2439" s="220"/>
      <c r="AB2439" s="221"/>
      <c r="AC2439" s="229"/>
      <c r="AD2439" s="230"/>
      <c r="AE2439" s="230"/>
      <c r="AF2439" s="230"/>
      <c r="AG2439" s="227"/>
    </row>
    <row r="2440" spans="1:33" x14ac:dyDescent="0.25">
      <c r="A2440" s="32"/>
      <c r="B2440" s="306"/>
      <c r="C2440" s="307"/>
      <c r="D2440" s="312"/>
      <c r="E2440" s="301"/>
      <c r="F2440" s="232"/>
      <c r="J2440" s="306"/>
      <c r="K2440" s="306"/>
      <c r="L2440" s="313"/>
      <c r="M2440" s="219"/>
      <c r="N2440" s="218"/>
      <c r="S2440" s="224"/>
      <c r="T2440" s="228"/>
      <c r="U2440" s="226"/>
      <c r="V2440" s="226"/>
      <c r="W2440" s="303"/>
      <c r="X2440" s="220"/>
      <c r="Z2440" s="227"/>
      <c r="AA2440" s="220"/>
      <c r="AB2440" s="221"/>
      <c r="AC2440" s="229"/>
      <c r="AD2440" s="230"/>
      <c r="AE2440" s="230"/>
      <c r="AF2440" s="230"/>
      <c r="AG2440" s="227"/>
    </row>
    <row r="2441" spans="1:33" x14ac:dyDescent="0.25">
      <c r="A2441" s="32"/>
      <c r="B2441" s="306"/>
      <c r="C2441" s="307"/>
      <c r="D2441" s="312"/>
      <c r="E2441" s="301"/>
      <c r="F2441" s="232"/>
      <c r="J2441" s="306"/>
      <c r="K2441" s="306"/>
      <c r="L2441" s="313"/>
      <c r="M2441" s="219"/>
      <c r="N2441" s="218"/>
      <c r="S2441" s="224"/>
      <c r="T2441" s="228"/>
      <c r="U2441" s="226"/>
      <c r="V2441" s="226"/>
      <c r="W2441" s="303"/>
      <c r="X2441" s="220"/>
      <c r="Z2441" s="227"/>
      <c r="AA2441" s="220"/>
      <c r="AB2441" s="221"/>
      <c r="AC2441" s="229"/>
      <c r="AD2441" s="230"/>
      <c r="AE2441" s="230"/>
      <c r="AF2441" s="230"/>
      <c r="AG2441" s="227"/>
    </row>
    <row r="2442" spans="1:33" x14ac:dyDescent="0.25">
      <c r="A2442" s="32"/>
      <c r="B2442" s="306"/>
      <c r="C2442" s="307"/>
      <c r="D2442" s="312"/>
      <c r="E2442" s="301"/>
      <c r="F2442" s="232"/>
      <c r="J2442" s="306"/>
      <c r="K2442" s="306"/>
      <c r="L2442" s="313"/>
      <c r="M2442" s="219"/>
      <c r="N2442" s="218"/>
      <c r="S2442" s="224"/>
      <c r="T2442" s="228"/>
      <c r="U2442" s="226"/>
      <c r="V2442" s="226"/>
      <c r="W2442" s="303"/>
      <c r="X2442" s="220"/>
      <c r="Z2442" s="227"/>
      <c r="AA2442" s="220"/>
      <c r="AB2442" s="221"/>
      <c r="AC2442" s="229"/>
      <c r="AD2442" s="230"/>
      <c r="AE2442" s="230"/>
      <c r="AF2442" s="230"/>
      <c r="AG2442" s="227"/>
    </row>
    <row r="2443" spans="1:33" x14ac:dyDescent="0.25">
      <c r="A2443" s="32"/>
      <c r="B2443" s="306"/>
      <c r="C2443" s="307"/>
      <c r="D2443" s="312"/>
      <c r="E2443" s="301"/>
      <c r="F2443" s="232"/>
      <c r="J2443" s="306"/>
      <c r="K2443" s="306"/>
      <c r="L2443" s="313"/>
      <c r="M2443" s="219"/>
      <c r="N2443" s="218"/>
      <c r="S2443" s="224"/>
      <c r="T2443" s="228"/>
      <c r="U2443" s="226"/>
      <c r="V2443" s="226"/>
      <c r="W2443" s="303"/>
      <c r="X2443" s="220"/>
      <c r="Z2443" s="227"/>
      <c r="AA2443" s="220"/>
      <c r="AB2443" s="221"/>
      <c r="AC2443" s="229"/>
      <c r="AD2443" s="230"/>
      <c r="AE2443" s="230"/>
      <c r="AF2443" s="230"/>
      <c r="AG2443" s="227"/>
    </row>
    <row r="2444" spans="1:33" x14ac:dyDescent="0.25">
      <c r="A2444" s="32"/>
      <c r="B2444" s="306"/>
      <c r="C2444" s="307"/>
      <c r="D2444" s="312"/>
      <c r="E2444" s="301"/>
      <c r="F2444" s="232"/>
      <c r="J2444" s="306"/>
      <c r="K2444" s="306"/>
      <c r="L2444" s="313"/>
      <c r="M2444" s="219"/>
      <c r="N2444" s="218"/>
      <c r="S2444" s="224"/>
      <c r="T2444" s="228"/>
      <c r="U2444" s="226"/>
      <c r="V2444" s="226"/>
      <c r="W2444" s="303"/>
      <c r="X2444" s="220"/>
      <c r="Z2444" s="227"/>
      <c r="AA2444" s="220"/>
      <c r="AB2444" s="221"/>
      <c r="AC2444" s="229"/>
      <c r="AD2444" s="230"/>
      <c r="AE2444" s="230"/>
      <c r="AF2444" s="230"/>
      <c r="AG2444" s="227"/>
    </row>
    <row r="2445" spans="1:33" x14ac:dyDescent="0.25">
      <c r="A2445" s="32"/>
      <c r="B2445" s="306"/>
      <c r="C2445" s="307"/>
      <c r="D2445" s="312"/>
      <c r="E2445" s="301"/>
      <c r="F2445" s="232"/>
      <c r="J2445" s="306"/>
      <c r="K2445" s="306"/>
      <c r="L2445" s="313"/>
      <c r="M2445" s="219"/>
      <c r="N2445" s="218"/>
      <c r="S2445" s="224"/>
      <c r="T2445" s="228"/>
      <c r="U2445" s="226"/>
      <c r="V2445" s="226"/>
      <c r="W2445" s="303"/>
      <c r="X2445" s="220"/>
      <c r="Z2445" s="227"/>
      <c r="AA2445" s="220"/>
      <c r="AB2445" s="221"/>
      <c r="AC2445" s="229"/>
      <c r="AD2445" s="230"/>
      <c r="AE2445" s="230"/>
      <c r="AF2445" s="230"/>
      <c r="AG2445" s="227"/>
    </row>
    <row r="2446" spans="1:33" x14ac:dyDescent="0.25">
      <c r="A2446" s="32"/>
      <c r="B2446" s="306"/>
      <c r="C2446" s="307"/>
      <c r="D2446" s="312"/>
      <c r="E2446" s="301"/>
      <c r="F2446" s="232"/>
      <c r="J2446" s="306"/>
      <c r="K2446" s="306"/>
      <c r="L2446" s="313"/>
      <c r="M2446" s="219"/>
      <c r="N2446" s="218"/>
      <c r="S2446" s="224"/>
      <c r="T2446" s="228"/>
      <c r="U2446" s="226"/>
      <c r="V2446" s="226"/>
      <c r="W2446" s="303"/>
      <c r="X2446" s="220"/>
      <c r="Z2446" s="227"/>
      <c r="AA2446" s="220"/>
      <c r="AB2446" s="221"/>
      <c r="AC2446" s="229"/>
      <c r="AD2446" s="230"/>
      <c r="AE2446" s="230"/>
      <c r="AF2446" s="230"/>
      <c r="AG2446" s="227"/>
    </row>
    <row r="2447" spans="1:33" x14ac:dyDescent="0.25">
      <c r="A2447" s="32"/>
      <c r="B2447" s="306"/>
      <c r="C2447" s="307"/>
      <c r="D2447" s="312"/>
      <c r="E2447" s="301"/>
      <c r="F2447" s="232"/>
      <c r="J2447" s="306"/>
      <c r="K2447" s="306"/>
      <c r="L2447" s="313"/>
      <c r="M2447" s="219"/>
      <c r="N2447" s="218"/>
      <c r="S2447" s="224"/>
      <c r="T2447" s="228"/>
      <c r="U2447" s="226"/>
      <c r="V2447" s="226"/>
      <c r="W2447" s="303"/>
      <c r="X2447" s="220"/>
      <c r="Z2447" s="227"/>
      <c r="AA2447" s="220"/>
      <c r="AB2447" s="221"/>
      <c r="AC2447" s="229"/>
      <c r="AD2447" s="230"/>
      <c r="AE2447" s="230"/>
      <c r="AF2447" s="230"/>
      <c r="AG2447" s="227"/>
    </row>
    <row r="2448" spans="1:33" x14ac:dyDescent="0.25">
      <c r="A2448" s="32"/>
      <c r="B2448" s="306"/>
      <c r="C2448" s="307"/>
      <c r="D2448" s="312"/>
      <c r="E2448" s="301"/>
      <c r="F2448" s="232"/>
      <c r="J2448" s="306"/>
      <c r="K2448" s="306"/>
      <c r="L2448" s="313"/>
      <c r="M2448" s="219"/>
      <c r="N2448" s="218"/>
      <c r="S2448" s="224"/>
      <c r="T2448" s="228"/>
      <c r="U2448" s="226"/>
      <c r="V2448" s="226"/>
      <c r="W2448" s="303"/>
      <c r="X2448" s="220"/>
      <c r="Z2448" s="227"/>
      <c r="AA2448" s="220"/>
      <c r="AB2448" s="221"/>
      <c r="AC2448" s="229"/>
      <c r="AD2448" s="230"/>
      <c r="AE2448" s="230"/>
      <c r="AF2448" s="230"/>
      <c r="AG2448" s="227"/>
    </row>
    <row r="2449" spans="1:33" x14ac:dyDescent="0.25">
      <c r="A2449" s="32"/>
      <c r="B2449" s="306"/>
      <c r="C2449" s="307"/>
      <c r="D2449" s="312"/>
      <c r="E2449" s="301"/>
      <c r="F2449" s="232"/>
      <c r="J2449" s="306"/>
      <c r="K2449" s="306"/>
      <c r="L2449" s="313"/>
      <c r="M2449" s="219"/>
      <c r="N2449" s="218"/>
      <c r="S2449" s="224"/>
      <c r="T2449" s="228"/>
      <c r="U2449" s="226"/>
      <c r="V2449" s="226"/>
      <c r="W2449" s="303"/>
      <c r="X2449" s="220"/>
      <c r="Z2449" s="227"/>
      <c r="AA2449" s="220"/>
      <c r="AB2449" s="221"/>
      <c r="AC2449" s="229"/>
      <c r="AD2449" s="230"/>
      <c r="AE2449" s="230"/>
      <c r="AF2449" s="230"/>
      <c r="AG2449" s="227"/>
    </row>
    <row r="2450" spans="1:33" x14ac:dyDescent="0.25">
      <c r="A2450" s="32"/>
      <c r="B2450" s="306"/>
      <c r="C2450" s="307"/>
      <c r="D2450" s="312"/>
      <c r="E2450" s="301"/>
      <c r="F2450" s="232"/>
      <c r="J2450" s="306"/>
      <c r="K2450" s="306"/>
      <c r="L2450" s="313"/>
      <c r="M2450" s="219"/>
      <c r="N2450" s="218"/>
      <c r="S2450" s="224"/>
      <c r="T2450" s="228"/>
      <c r="U2450" s="226"/>
      <c r="V2450" s="226"/>
      <c r="W2450" s="303"/>
      <c r="X2450" s="220"/>
      <c r="Z2450" s="227"/>
      <c r="AA2450" s="220"/>
      <c r="AB2450" s="221"/>
      <c r="AC2450" s="229"/>
      <c r="AD2450" s="230"/>
      <c r="AE2450" s="230"/>
      <c r="AF2450" s="230"/>
      <c r="AG2450" s="227"/>
    </row>
    <row r="2451" spans="1:33" x14ac:dyDescent="0.25">
      <c r="A2451" s="32"/>
      <c r="B2451" s="306"/>
      <c r="C2451" s="307"/>
      <c r="D2451" s="312"/>
      <c r="E2451" s="301"/>
      <c r="F2451" s="232"/>
      <c r="J2451" s="306"/>
      <c r="K2451" s="306"/>
      <c r="L2451" s="313"/>
      <c r="M2451" s="219"/>
      <c r="N2451" s="218"/>
      <c r="S2451" s="224"/>
      <c r="T2451" s="228"/>
      <c r="U2451" s="226"/>
      <c r="V2451" s="226"/>
      <c r="W2451" s="303"/>
      <c r="X2451" s="220"/>
      <c r="Z2451" s="227"/>
      <c r="AA2451" s="220"/>
      <c r="AB2451" s="221"/>
      <c r="AC2451" s="229"/>
      <c r="AD2451" s="230"/>
      <c r="AE2451" s="230"/>
      <c r="AF2451" s="230"/>
      <c r="AG2451" s="227"/>
    </row>
    <row r="2452" spans="1:33" x14ac:dyDescent="0.25">
      <c r="A2452" s="32"/>
      <c r="B2452" s="306"/>
      <c r="C2452" s="307"/>
      <c r="D2452" s="312"/>
      <c r="E2452" s="301"/>
      <c r="F2452" s="232"/>
      <c r="J2452" s="306"/>
      <c r="K2452" s="306"/>
      <c r="L2452" s="313"/>
      <c r="M2452" s="219"/>
      <c r="N2452" s="218"/>
      <c r="S2452" s="224"/>
      <c r="T2452" s="228"/>
      <c r="U2452" s="226"/>
      <c r="V2452" s="226"/>
      <c r="W2452" s="303"/>
      <c r="X2452" s="220"/>
      <c r="Z2452" s="227"/>
      <c r="AA2452" s="220"/>
      <c r="AB2452" s="221"/>
      <c r="AC2452" s="229"/>
      <c r="AD2452" s="230"/>
      <c r="AE2452" s="230"/>
      <c r="AF2452" s="230"/>
      <c r="AG2452" s="227"/>
    </row>
    <row r="2453" spans="1:33" x14ac:dyDescent="0.25">
      <c r="A2453" s="32"/>
      <c r="B2453" s="306"/>
      <c r="C2453" s="307"/>
      <c r="D2453" s="312"/>
      <c r="E2453" s="301"/>
      <c r="F2453" s="232"/>
      <c r="J2453" s="306"/>
      <c r="K2453" s="306"/>
      <c r="L2453" s="313"/>
      <c r="M2453" s="219"/>
      <c r="N2453" s="218"/>
      <c r="S2453" s="224"/>
      <c r="T2453" s="228"/>
      <c r="U2453" s="226"/>
      <c r="V2453" s="226"/>
      <c r="W2453" s="303"/>
      <c r="X2453" s="220"/>
      <c r="Z2453" s="227"/>
      <c r="AA2453" s="220"/>
      <c r="AB2453" s="221"/>
      <c r="AC2453" s="229"/>
      <c r="AD2453" s="230"/>
      <c r="AE2453" s="230"/>
      <c r="AF2453" s="230"/>
      <c r="AG2453" s="227"/>
    </row>
    <row r="2454" spans="1:33" x14ac:dyDescent="0.25">
      <c r="A2454" s="32"/>
      <c r="B2454" s="306"/>
      <c r="C2454" s="307"/>
      <c r="D2454" s="312"/>
      <c r="E2454" s="301"/>
      <c r="F2454" s="232"/>
      <c r="J2454" s="306"/>
      <c r="K2454" s="306"/>
      <c r="L2454" s="313"/>
      <c r="M2454" s="219"/>
      <c r="N2454" s="218"/>
      <c r="S2454" s="224"/>
      <c r="T2454" s="228"/>
      <c r="U2454" s="226"/>
      <c r="V2454" s="226"/>
      <c r="W2454" s="303"/>
      <c r="X2454" s="220"/>
      <c r="Z2454" s="227"/>
      <c r="AA2454" s="220"/>
      <c r="AB2454" s="221"/>
      <c r="AC2454" s="229"/>
      <c r="AD2454" s="230"/>
      <c r="AE2454" s="230"/>
      <c r="AF2454" s="230"/>
      <c r="AG2454" s="227"/>
    </row>
    <row r="2455" spans="1:33" x14ac:dyDescent="0.25">
      <c r="A2455" s="32"/>
      <c r="B2455" s="306"/>
      <c r="C2455" s="307"/>
      <c r="D2455" s="312"/>
      <c r="E2455" s="301"/>
      <c r="F2455" s="232"/>
      <c r="J2455" s="306"/>
      <c r="K2455" s="306"/>
      <c r="L2455" s="313"/>
      <c r="M2455" s="219"/>
      <c r="N2455" s="218"/>
      <c r="S2455" s="224"/>
      <c r="T2455" s="228"/>
      <c r="U2455" s="226"/>
      <c r="V2455" s="226"/>
      <c r="W2455" s="303"/>
      <c r="X2455" s="220"/>
      <c r="Z2455" s="227"/>
      <c r="AA2455" s="220"/>
      <c r="AB2455" s="221"/>
      <c r="AC2455" s="229"/>
      <c r="AD2455" s="230"/>
      <c r="AE2455" s="230"/>
      <c r="AF2455" s="230"/>
      <c r="AG2455" s="227"/>
    </row>
    <row r="2456" spans="1:33" x14ac:dyDescent="0.25">
      <c r="A2456" s="32"/>
      <c r="B2456" s="306"/>
      <c r="C2456" s="307"/>
      <c r="D2456" s="312"/>
      <c r="E2456" s="301"/>
      <c r="F2456" s="232"/>
      <c r="J2456" s="306"/>
      <c r="K2456" s="306"/>
      <c r="L2456" s="313"/>
      <c r="M2456" s="219"/>
      <c r="N2456" s="218"/>
      <c r="S2456" s="224"/>
      <c r="T2456" s="228"/>
      <c r="U2456" s="226"/>
      <c r="V2456" s="226"/>
      <c r="W2456" s="303"/>
      <c r="X2456" s="220"/>
      <c r="Z2456" s="227"/>
      <c r="AA2456" s="220"/>
      <c r="AB2456" s="221"/>
      <c r="AC2456" s="229"/>
      <c r="AD2456" s="230"/>
      <c r="AE2456" s="230"/>
      <c r="AF2456" s="230"/>
      <c r="AG2456" s="227"/>
    </row>
    <row r="2457" spans="1:33" x14ac:dyDescent="0.25">
      <c r="A2457" s="32"/>
      <c r="B2457" s="306"/>
      <c r="C2457" s="307"/>
      <c r="D2457" s="312"/>
      <c r="E2457" s="301"/>
      <c r="F2457" s="232"/>
      <c r="J2457" s="306"/>
      <c r="K2457" s="306"/>
      <c r="L2457" s="313"/>
      <c r="M2457" s="219"/>
      <c r="N2457" s="218"/>
      <c r="S2457" s="224"/>
      <c r="T2457" s="228"/>
      <c r="U2457" s="226"/>
      <c r="V2457" s="226"/>
      <c r="W2457" s="303"/>
      <c r="X2457" s="220"/>
      <c r="Z2457" s="227"/>
      <c r="AA2457" s="220"/>
      <c r="AB2457" s="221"/>
      <c r="AC2457" s="229"/>
      <c r="AD2457" s="230"/>
      <c r="AE2457" s="230"/>
      <c r="AF2457" s="230"/>
      <c r="AG2457" s="227"/>
    </row>
    <row r="2458" spans="1:33" x14ac:dyDescent="0.25">
      <c r="A2458" s="32"/>
      <c r="B2458" s="306"/>
      <c r="C2458" s="307"/>
      <c r="D2458" s="312"/>
      <c r="E2458" s="301"/>
      <c r="F2458" s="232"/>
      <c r="J2458" s="306"/>
      <c r="K2458" s="306"/>
      <c r="L2458" s="313"/>
      <c r="M2458" s="219"/>
      <c r="N2458" s="218"/>
      <c r="S2458" s="224"/>
      <c r="T2458" s="228"/>
      <c r="U2458" s="226"/>
      <c r="V2458" s="226"/>
      <c r="W2458" s="303"/>
      <c r="X2458" s="220"/>
      <c r="Z2458" s="227"/>
      <c r="AA2458" s="220"/>
      <c r="AB2458" s="221"/>
      <c r="AC2458" s="229"/>
      <c r="AD2458" s="230"/>
      <c r="AE2458" s="230"/>
      <c r="AF2458" s="230"/>
      <c r="AG2458" s="227"/>
    </row>
    <row r="2459" spans="1:33" x14ac:dyDescent="0.25">
      <c r="A2459" s="32"/>
      <c r="B2459" s="306"/>
      <c r="C2459" s="307"/>
      <c r="D2459" s="312"/>
      <c r="E2459" s="301"/>
      <c r="F2459" s="232"/>
      <c r="J2459" s="306"/>
      <c r="K2459" s="306"/>
      <c r="L2459" s="313"/>
      <c r="M2459" s="219"/>
      <c r="N2459" s="218"/>
      <c r="S2459" s="224"/>
      <c r="T2459" s="228"/>
      <c r="U2459" s="226"/>
      <c r="V2459" s="226"/>
      <c r="W2459" s="303"/>
      <c r="X2459" s="220"/>
      <c r="Z2459" s="227"/>
      <c r="AA2459" s="220"/>
      <c r="AB2459" s="221"/>
      <c r="AC2459" s="229"/>
      <c r="AD2459" s="230"/>
      <c r="AE2459" s="230"/>
      <c r="AF2459" s="230"/>
      <c r="AG2459" s="227"/>
    </row>
    <row r="2460" spans="1:33" x14ac:dyDescent="0.25">
      <c r="A2460" s="32"/>
      <c r="B2460" s="306"/>
      <c r="C2460" s="307"/>
      <c r="D2460" s="312"/>
      <c r="E2460" s="301"/>
      <c r="F2460" s="232"/>
      <c r="J2460" s="306"/>
      <c r="K2460" s="306"/>
      <c r="L2460" s="313"/>
      <c r="M2460" s="219"/>
      <c r="N2460" s="218"/>
      <c r="S2460" s="224"/>
      <c r="T2460" s="228"/>
      <c r="U2460" s="226"/>
      <c r="V2460" s="226"/>
      <c r="W2460" s="303"/>
      <c r="X2460" s="220"/>
      <c r="Z2460" s="227"/>
      <c r="AA2460" s="220"/>
      <c r="AB2460" s="221"/>
      <c r="AC2460" s="229"/>
      <c r="AD2460" s="230"/>
      <c r="AE2460" s="230"/>
      <c r="AF2460" s="230"/>
      <c r="AG2460" s="227"/>
    </row>
    <row r="2461" spans="1:33" x14ac:dyDescent="0.25">
      <c r="A2461" s="32"/>
      <c r="B2461" s="306"/>
      <c r="C2461" s="307"/>
      <c r="D2461" s="312"/>
      <c r="E2461" s="301"/>
      <c r="F2461" s="232"/>
      <c r="J2461" s="306"/>
      <c r="K2461" s="306"/>
      <c r="L2461" s="313"/>
      <c r="M2461" s="219"/>
      <c r="N2461" s="218"/>
      <c r="S2461" s="224"/>
      <c r="T2461" s="228"/>
      <c r="U2461" s="226"/>
      <c r="V2461" s="226"/>
      <c r="W2461" s="303"/>
      <c r="X2461" s="220"/>
      <c r="Z2461" s="227"/>
      <c r="AA2461" s="220"/>
      <c r="AB2461" s="221"/>
      <c r="AC2461" s="229"/>
      <c r="AD2461" s="230"/>
      <c r="AE2461" s="230"/>
      <c r="AF2461" s="230"/>
      <c r="AG2461" s="227"/>
    </row>
    <row r="2462" spans="1:33" x14ac:dyDescent="0.25">
      <c r="A2462" s="32"/>
      <c r="B2462" s="306"/>
      <c r="C2462" s="307"/>
      <c r="D2462" s="312"/>
      <c r="E2462" s="301"/>
      <c r="F2462" s="232"/>
      <c r="J2462" s="306"/>
      <c r="K2462" s="306"/>
      <c r="L2462" s="313"/>
      <c r="M2462" s="219"/>
      <c r="N2462" s="218"/>
      <c r="S2462" s="224"/>
      <c r="T2462" s="228"/>
      <c r="U2462" s="226"/>
      <c r="V2462" s="226"/>
      <c r="W2462" s="303"/>
      <c r="X2462" s="220"/>
      <c r="Z2462" s="227"/>
      <c r="AA2462" s="220"/>
      <c r="AB2462" s="221"/>
      <c r="AC2462" s="229"/>
      <c r="AD2462" s="230"/>
      <c r="AE2462" s="230"/>
      <c r="AF2462" s="230"/>
      <c r="AG2462" s="227"/>
    </row>
    <row r="2463" spans="1:33" x14ac:dyDescent="0.25">
      <c r="A2463" s="32"/>
      <c r="B2463" s="306"/>
      <c r="C2463" s="307"/>
      <c r="D2463" s="312"/>
      <c r="E2463" s="301"/>
      <c r="F2463" s="232"/>
      <c r="J2463" s="306"/>
      <c r="K2463" s="306"/>
      <c r="L2463" s="313"/>
      <c r="M2463" s="219"/>
      <c r="N2463" s="218"/>
      <c r="S2463" s="224"/>
      <c r="T2463" s="228"/>
      <c r="U2463" s="226"/>
      <c r="V2463" s="226"/>
      <c r="W2463" s="303"/>
      <c r="X2463" s="220"/>
      <c r="Z2463" s="227"/>
      <c r="AA2463" s="220"/>
      <c r="AB2463" s="221"/>
      <c r="AC2463" s="229"/>
      <c r="AD2463" s="230"/>
      <c r="AE2463" s="230"/>
      <c r="AF2463" s="230"/>
      <c r="AG2463" s="227"/>
    </row>
    <row r="2464" spans="1:33" x14ac:dyDescent="0.25">
      <c r="A2464" s="32"/>
      <c r="B2464" s="306"/>
      <c r="C2464" s="307"/>
      <c r="D2464" s="312"/>
      <c r="E2464" s="301"/>
      <c r="F2464" s="232"/>
      <c r="J2464" s="306"/>
      <c r="K2464" s="306"/>
      <c r="L2464" s="313"/>
      <c r="M2464" s="219"/>
      <c r="N2464" s="218"/>
      <c r="S2464" s="224"/>
      <c r="T2464" s="228"/>
      <c r="U2464" s="226"/>
      <c r="V2464" s="226"/>
      <c r="W2464" s="303"/>
      <c r="X2464" s="220"/>
      <c r="Z2464" s="227"/>
      <c r="AA2464" s="220"/>
      <c r="AB2464" s="221"/>
      <c r="AC2464" s="229"/>
      <c r="AD2464" s="230"/>
      <c r="AE2464" s="230"/>
      <c r="AF2464" s="230"/>
      <c r="AG2464" s="227"/>
    </row>
    <row r="2465" spans="1:33" x14ac:dyDescent="0.25">
      <c r="A2465" s="32"/>
      <c r="B2465" s="306"/>
      <c r="C2465" s="307"/>
      <c r="D2465" s="312"/>
      <c r="E2465" s="301"/>
      <c r="F2465" s="232"/>
      <c r="J2465" s="306"/>
      <c r="K2465" s="306"/>
      <c r="L2465" s="313"/>
      <c r="M2465" s="219"/>
      <c r="N2465" s="218"/>
      <c r="S2465" s="224"/>
      <c r="T2465" s="228"/>
      <c r="U2465" s="226"/>
      <c r="V2465" s="226"/>
      <c r="W2465" s="303"/>
      <c r="X2465" s="220"/>
      <c r="Z2465" s="227"/>
      <c r="AA2465" s="220"/>
      <c r="AB2465" s="221"/>
      <c r="AC2465" s="229"/>
      <c r="AD2465" s="230"/>
      <c r="AE2465" s="230"/>
      <c r="AF2465" s="230"/>
      <c r="AG2465" s="227"/>
    </row>
    <row r="2466" spans="1:33" x14ac:dyDescent="0.25">
      <c r="A2466" s="32"/>
      <c r="B2466" s="306"/>
      <c r="C2466" s="307"/>
      <c r="D2466" s="312"/>
      <c r="E2466" s="301"/>
      <c r="F2466" s="232"/>
      <c r="J2466" s="306"/>
      <c r="K2466" s="306"/>
      <c r="L2466" s="313"/>
      <c r="M2466" s="219"/>
      <c r="N2466" s="218"/>
      <c r="S2466" s="224"/>
      <c r="T2466" s="228"/>
      <c r="U2466" s="226"/>
      <c r="V2466" s="226"/>
      <c r="W2466" s="303"/>
      <c r="X2466" s="220"/>
      <c r="Z2466" s="227"/>
      <c r="AA2466" s="220"/>
      <c r="AB2466" s="221"/>
      <c r="AC2466" s="229"/>
      <c r="AD2466" s="230"/>
      <c r="AE2466" s="230"/>
      <c r="AF2466" s="230"/>
      <c r="AG2466" s="227"/>
    </row>
    <row r="2467" spans="1:33" x14ac:dyDescent="0.25">
      <c r="A2467" s="32"/>
      <c r="B2467" s="306"/>
      <c r="C2467" s="307"/>
      <c r="D2467" s="312"/>
      <c r="E2467" s="301"/>
      <c r="F2467" s="232"/>
      <c r="J2467" s="306"/>
      <c r="K2467" s="306"/>
      <c r="L2467" s="313"/>
      <c r="M2467" s="219"/>
      <c r="N2467" s="218"/>
      <c r="S2467" s="224"/>
      <c r="T2467" s="228"/>
      <c r="U2467" s="226"/>
      <c r="V2467" s="226"/>
      <c r="W2467" s="303"/>
      <c r="X2467" s="220"/>
      <c r="Z2467" s="227"/>
      <c r="AA2467" s="220"/>
      <c r="AB2467" s="221"/>
      <c r="AC2467" s="229"/>
      <c r="AD2467" s="230"/>
      <c r="AE2467" s="230"/>
      <c r="AF2467" s="230"/>
      <c r="AG2467" s="227"/>
    </row>
    <row r="2468" spans="1:33" x14ac:dyDescent="0.25">
      <c r="A2468" s="32"/>
      <c r="B2468" s="306"/>
      <c r="C2468" s="307"/>
      <c r="D2468" s="312"/>
      <c r="E2468" s="301"/>
      <c r="F2468" s="232"/>
      <c r="J2468" s="306"/>
      <c r="K2468" s="306"/>
      <c r="L2468" s="313"/>
      <c r="M2468" s="219"/>
      <c r="N2468" s="218"/>
      <c r="S2468" s="224"/>
      <c r="T2468" s="228"/>
      <c r="U2468" s="226"/>
      <c r="V2468" s="226"/>
      <c r="W2468" s="303"/>
      <c r="X2468" s="220"/>
      <c r="Z2468" s="227"/>
      <c r="AA2468" s="220"/>
      <c r="AB2468" s="221"/>
      <c r="AC2468" s="229"/>
      <c r="AD2468" s="230"/>
      <c r="AE2468" s="230"/>
      <c r="AF2468" s="230"/>
      <c r="AG2468" s="227"/>
    </row>
    <row r="2469" spans="1:33" x14ac:dyDescent="0.25">
      <c r="A2469" s="32"/>
      <c r="B2469" s="306"/>
      <c r="C2469" s="307"/>
      <c r="D2469" s="312"/>
      <c r="E2469" s="301"/>
      <c r="F2469" s="232"/>
      <c r="J2469" s="306"/>
      <c r="K2469" s="306"/>
      <c r="L2469" s="313"/>
      <c r="M2469" s="219"/>
      <c r="N2469" s="218"/>
      <c r="S2469" s="224"/>
      <c r="T2469" s="228"/>
      <c r="U2469" s="226"/>
      <c r="V2469" s="226"/>
      <c r="W2469" s="303"/>
      <c r="X2469" s="220"/>
      <c r="Z2469" s="227"/>
      <c r="AA2469" s="220"/>
      <c r="AB2469" s="221"/>
      <c r="AC2469" s="229"/>
      <c r="AD2469" s="230"/>
      <c r="AE2469" s="230"/>
      <c r="AF2469" s="230"/>
      <c r="AG2469" s="227"/>
    </row>
    <row r="2470" spans="1:33" x14ac:dyDescent="0.25">
      <c r="A2470" s="32"/>
      <c r="B2470" s="306"/>
      <c r="C2470" s="307"/>
      <c r="D2470" s="312"/>
      <c r="E2470" s="301"/>
      <c r="F2470" s="232"/>
      <c r="J2470" s="306"/>
      <c r="K2470" s="306"/>
      <c r="L2470" s="313"/>
      <c r="M2470" s="219"/>
      <c r="N2470" s="218"/>
      <c r="S2470" s="224"/>
      <c r="T2470" s="228"/>
      <c r="U2470" s="226"/>
      <c r="V2470" s="226"/>
      <c r="W2470" s="303"/>
      <c r="X2470" s="220"/>
      <c r="Z2470" s="227"/>
      <c r="AA2470" s="220"/>
      <c r="AB2470" s="221"/>
      <c r="AC2470" s="229"/>
      <c r="AD2470" s="230"/>
      <c r="AE2470" s="230"/>
      <c r="AF2470" s="230"/>
      <c r="AG2470" s="227"/>
    </row>
    <row r="2471" spans="1:33" x14ac:dyDescent="0.25">
      <c r="A2471" s="32"/>
      <c r="B2471" s="306"/>
      <c r="C2471" s="307"/>
      <c r="D2471" s="312"/>
      <c r="E2471" s="301"/>
      <c r="F2471" s="232"/>
      <c r="J2471" s="306"/>
      <c r="K2471" s="306"/>
      <c r="L2471" s="313"/>
      <c r="M2471" s="219"/>
      <c r="N2471" s="218"/>
      <c r="S2471" s="224"/>
      <c r="T2471" s="228"/>
      <c r="U2471" s="226"/>
      <c r="V2471" s="226"/>
      <c r="W2471" s="303"/>
      <c r="X2471" s="220"/>
      <c r="Z2471" s="227"/>
      <c r="AA2471" s="220"/>
      <c r="AB2471" s="221"/>
      <c r="AC2471" s="229"/>
      <c r="AD2471" s="230"/>
      <c r="AE2471" s="230"/>
      <c r="AF2471" s="230"/>
      <c r="AG2471" s="227"/>
    </row>
    <row r="2472" spans="1:33" x14ac:dyDescent="0.25">
      <c r="A2472" s="32"/>
      <c r="B2472" s="306"/>
      <c r="C2472" s="307"/>
      <c r="D2472" s="312"/>
      <c r="E2472" s="301"/>
      <c r="F2472" s="232"/>
      <c r="J2472" s="306"/>
      <c r="K2472" s="306"/>
      <c r="L2472" s="313"/>
      <c r="M2472" s="219"/>
      <c r="N2472" s="218"/>
      <c r="S2472" s="224"/>
      <c r="T2472" s="228"/>
      <c r="U2472" s="226"/>
      <c r="V2472" s="226"/>
      <c r="W2472" s="303"/>
      <c r="X2472" s="220"/>
      <c r="Z2472" s="227"/>
      <c r="AA2472" s="220"/>
      <c r="AB2472" s="221"/>
      <c r="AC2472" s="229"/>
      <c r="AD2472" s="230"/>
      <c r="AE2472" s="230"/>
      <c r="AF2472" s="230"/>
      <c r="AG2472" s="227"/>
    </row>
    <row r="2473" spans="1:33" x14ac:dyDescent="0.25">
      <c r="A2473" s="32"/>
      <c r="B2473" s="306"/>
      <c r="C2473" s="307"/>
      <c r="D2473" s="312"/>
      <c r="E2473" s="301"/>
      <c r="F2473" s="232"/>
      <c r="J2473" s="306"/>
      <c r="K2473" s="306"/>
      <c r="L2473" s="313"/>
      <c r="M2473" s="219"/>
      <c r="N2473" s="218"/>
      <c r="S2473" s="224"/>
      <c r="T2473" s="228"/>
      <c r="U2473" s="226"/>
      <c r="V2473" s="226"/>
      <c r="W2473" s="303"/>
      <c r="X2473" s="220"/>
      <c r="Z2473" s="227"/>
      <c r="AA2473" s="220"/>
      <c r="AB2473" s="221"/>
      <c r="AC2473" s="229"/>
      <c r="AD2473" s="230"/>
      <c r="AE2473" s="230"/>
      <c r="AF2473" s="230"/>
      <c r="AG2473" s="227"/>
    </row>
    <row r="2474" spans="1:33" x14ac:dyDescent="0.25">
      <c r="A2474" s="32"/>
      <c r="B2474" s="306"/>
      <c r="C2474" s="307"/>
      <c r="D2474" s="312"/>
      <c r="E2474" s="301"/>
      <c r="F2474" s="232"/>
      <c r="J2474" s="306"/>
      <c r="K2474" s="306"/>
      <c r="L2474" s="313"/>
      <c r="M2474" s="219"/>
      <c r="N2474" s="218"/>
      <c r="S2474" s="224"/>
      <c r="T2474" s="228"/>
      <c r="U2474" s="226"/>
      <c r="V2474" s="226"/>
      <c r="W2474" s="303"/>
      <c r="X2474" s="220"/>
      <c r="Z2474" s="227"/>
      <c r="AA2474" s="220"/>
      <c r="AB2474" s="221"/>
      <c r="AC2474" s="229"/>
      <c r="AD2474" s="230"/>
      <c r="AE2474" s="230"/>
      <c r="AF2474" s="230"/>
      <c r="AG2474" s="227"/>
    </row>
    <row r="2475" spans="1:33" x14ac:dyDescent="0.25">
      <c r="A2475" s="32"/>
      <c r="B2475" s="306"/>
      <c r="C2475" s="307"/>
      <c r="D2475" s="312"/>
      <c r="E2475" s="301"/>
      <c r="F2475" s="232"/>
      <c r="J2475" s="306"/>
      <c r="K2475" s="306"/>
      <c r="L2475" s="313"/>
      <c r="M2475" s="219"/>
      <c r="N2475" s="218"/>
      <c r="S2475" s="224"/>
      <c r="T2475" s="228"/>
      <c r="U2475" s="226"/>
      <c r="V2475" s="226"/>
      <c r="W2475" s="303"/>
      <c r="X2475" s="220"/>
      <c r="Z2475" s="227"/>
      <c r="AA2475" s="220"/>
      <c r="AB2475" s="221"/>
      <c r="AC2475" s="229"/>
      <c r="AD2475" s="230"/>
      <c r="AE2475" s="230"/>
      <c r="AF2475" s="230"/>
      <c r="AG2475" s="227"/>
    </row>
    <row r="2476" spans="1:33" x14ac:dyDescent="0.25">
      <c r="A2476" s="32"/>
      <c r="B2476" s="306"/>
      <c r="C2476" s="307"/>
      <c r="D2476" s="312"/>
      <c r="E2476" s="301"/>
      <c r="F2476" s="232"/>
      <c r="J2476" s="306"/>
      <c r="K2476" s="306"/>
      <c r="L2476" s="313"/>
      <c r="M2476" s="219"/>
      <c r="N2476" s="218"/>
      <c r="S2476" s="224"/>
      <c r="T2476" s="228"/>
      <c r="U2476" s="226"/>
      <c r="V2476" s="226"/>
      <c r="W2476" s="303"/>
      <c r="X2476" s="220"/>
      <c r="Z2476" s="227"/>
      <c r="AA2476" s="220"/>
      <c r="AB2476" s="221"/>
      <c r="AC2476" s="229"/>
      <c r="AD2476" s="230"/>
      <c r="AE2476" s="230"/>
      <c r="AF2476" s="230"/>
      <c r="AG2476" s="227"/>
    </row>
    <row r="2477" spans="1:33" x14ac:dyDescent="0.25">
      <c r="A2477" s="32"/>
      <c r="B2477" s="306"/>
      <c r="C2477" s="307"/>
      <c r="D2477" s="312"/>
      <c r="E2477" s="301"/>
      <c r="F2477" s="232"/>
      <c r="J2477" s="306"/>
      <c r="K2477" s="306"/>
      <c r="L2477" s="313"/>
      <c r="M2477" s="219"/>
      <c r="N2477" s="218"/>
      <c r="S2477" s="224"/>
      <c r="T2477" s="228"/>
      <c r="U2477" s="226"/>
      <c r="V2477" s="226"/>
      <c r="W2477" s="303"/>
      <c r="X2477" s="220"/>
      <c r="Z2477" s="227"/>
      <c r="AA2477" s="220"/>
      <c r="AB2477" s="221"/>
      <c r="AC2477" s="229"/>
      <c r="AD2477" s="230"/>
      <c r="AE2477" s="230"/>
      <c r="AF2477" s="230"/>
      <c r="AG2477" s="227"/>
    </row>
    <row r="2478" spans="1:33" x14ac:dyDescent="0.25">
      <c r="A2478" s="32"/>
      <c r="B2478" s="306"/>
      <c r="C2478" s="307"/>
      <c r="D2478" s="312"/>
      <c r="E2478" s="301"/>
      <c r="F2478" s="232"/>
      <c r="J2478" s="306"/>
      <c r="K2478" s="306"/>
      <c r="L2478" s="313"/>
      <c r="M2478" s="219"/>
      <c r="N2478" s="218"/>
      <c r="S2478" s="224"/>
      <c r="T2478" s="228"/>
      <c r="U2478" s="226"/>
      <c r="V2478" s="226"/>
      <c r="W2478" s="303"/>
      <c r="X2478" s="220"/>
      <c r="Z2478" s="227"/>
      <c r="AA2478" s="220"/>
      <c r="AB2478" s="221"/>
      <c r="AC2478" s="229"/>
      <c r="AD2478" s="230"/>
      <c r="AE2478" s="230"/>
      <c r="AF2478" s="230"/>
      <c r="AG2478" s="227"/>
    </row>
    <row r="2479" spans="1:33" x14ac:dyDescent="0.25">
      <c r="A2479" s="32"/>
      <c r="B2479" s="306"/>
      <c r="C2479" s="307"/>
      <c r="D2479" s="312"/>
      <c r="E2479" s="301"/>
      <c r="F2479" s="232"/>
      <c r="J2479" s="306"/>
      <c r="K2479" s="306"/>
      <c r="L2479" s="313"/>
      <c r="M2479" s="219"/>
      <c r="N2479" s="218"/>
      <c r="S2479" s="224"/>
      <c r="T2479" s="228"/>
      <c r="U2479" s="226"/>
      <c r="V2479" s="226"/>
      <c r="W2479" s="303"/>
      <c r="X2479" s="220"/>
      <c r="Z2479" s="227"/>
      <c r="AA2479" s="220"/>
      <c r="AB2479" s="221"/>
      <c r="AC2479" s="229"/>
      <c r="AD2479" s="230"/>
      <c r="AE2479" s="230"/>
      <c r="AF2479" s="230"/>
      <c r="AG2479" s="227"/>
    </row>
    <row r="2480" spans="1:33" x14ac:dyDescent="0.25">
      <c r="A2480" s="32"/>
      <c r="B2480" s="306"/>
      <c r="C2480" s="307"/>
      <c r="D2480" s="312"/>
      <c r="E2480" s="301"/>
      <c r="F2480" s="232"/>
      <c r="J2480" s="306"/>
      <c r="K2480" s="306"/>
      <c r="L2480" s="313"/>
      <c r="M2480" s="219"/>
      <c r="N2480" s="218"/>
      <c r="S2480" s="224"/>
      <c r="T2480" s="228"/>
      <c r="U2480" s="226"/>
      <c r="V2480" s="226"/>
      <c r="W2480" s="303"/>
      <c r="X2480" s="220"/>
      <c r="Z2480" s="227"/>
      <c r="AA2480" s="220"/>
      <c r="AB2480" s="221"/>
      <c r="AC2480" s="229"/>
      <c r="AD2480" s="230"/>
      <c r="AE2480" s="230"/>
      <c r="AF2480" s="230"/>
      <c r="AG2480" s="227"/>
    </row>
    <row r="2481" spans="1:33" x14ac:dyDescent="0.25">
      <c r="A2481" s="32"/>
      <c r="B2481" s="306"/>
      <c r="C2481" s="307"/>
      <c r="D2481" s="312"/>
      <c r="E2481" s="301"/>
      <c r="F2481" s="232"/>
      <c r="J2481" s="306"/>
      <c r="K2481" s="306"/>
      <c r="L2481" s="313"/>
      <c r="M2481" s="219"/>
      <c r="N2481" s="218"/>
      <c r="S2481" s="224"/>
      <c r="T2481" s="228"/>
      <c r="U2481" s="226"/>
      <c r="V2481" s="226"/>
      <c r="W2481" s="303"/>
      <c r="X2481" s="220"/>
      <c r="Z2481" s="227"/>
      <c r="AA2481" s="220"/>
      <c r="AB2481" s="221"/>
      <c r="AC2481" s="229"/>
      <c r="AD2481" s="230"/>
      <c r="AE2481" s="230"/>
      <c r="AF2481" s="230"/>
      <c r="AG2481" s="227"/>
    </row>
    <row r="2482" spans="1:33" x14ac:dyDescent="0.25">
      <c r="A2482" s="32"/>
      <c r="B2482" s="306"/>
      <c r="C2482" s="307"/>
      <c r="D2482" s="312"/>
      <c r="E2482" s="301"/>
      <c r="F2482" s="232"/>
      <c r="J2482" s="306"/>
      <c r="K2482" s="306"/>
      <c r="L2482" s="313"/>
      <c r="M2482" s="219"/>
      <c r="N2482" s="218"/>
      <c r="S2482" s="224"/>
      <c r="T2482" s="228"/>
      <c r="U2482" s="226"/>
      <c r="V2482" s="226"/>
      <c r="W2482" s="303"/>
      <c r="X2482" s="220"/>
      <c r="Z2482" s="227"/>
      <c r="AA2482" s="220"/>
      <c r="AB2482" s="221"/>
      <c r="AC2482" s="229"/>
      <c r="AD2482" s="230"/>
      <c r="AE2482" s="230"/>
      <c r="AF2482" s="230"/>
      <c r="AG2482" s="227"/>
    </row>
    <row r="2483" spans="1:33" x14ac:dyDescent="0.25">
      <c r="A2483" s="32"/>
      <c r="B2483" s="306"/>
      <c r="C2483" s="307"/>
      <c r="D2483" s="312"/>
      <c r="E2483" s="301"/>
      <c r="F2483" s="232"/>
      <c r="J2483" s="306"/>
      <c r="K2483" s="306"/>
      <c r="L2483" s="313"/>
      <c r="M2483" s="219"/>
      <c r="N2483" s="218"/>
      <c r="S2483" s="224"/>
      <c r="T2483" s="228"/>
      <c r="U2483" s="226"/>
      <c r="V2483" s="226"/>
      <c r="W2483" s="303"/>
      <c r="X2483" s="220"/>
      <c r="Z2483" s="227"/>
      <c r="AA2483" s="220"/>
      <c r="AB2483" s="221"/>
      <c r="AC2483" s="229"/>
      <c r="AD2483" s="230"/>
      <c r="AE2483" s="230"/>
      <c r="AF2483" s="230"/>
      <c r="AG2483" s="227"/>
    </row>
    <row r="2484" spans="1:33" x14ac:dyDescent="0.25">
      <c r="A2484" s="32"/>
      <c r="B2484" s="306"/>
      <c r="C2484" s="307"/>
      <c r="D2484" s="312"/>
      <c r="E2484" s="301"/>
      <c r="F2484" s="232"/>
      <c r="J2484" s="306"/>
      <c r="K2484" s="306"/>
      <c r="L2484" s="313"/>
      <c r="M2484" s="219"/>
      <c r="N2484" s="218"/>
      <c r="S2484" s="224"/>
      <c r="T2484" s="228"/>
      <c r="U2484" s="226"/>
      <c r="V2484" s="226"/>
      <c r="W2484" s="303"/>
      <c r="X2484" s="220"/>
      <c r="Z2484" s="227"/>
      <c r="AA2484" s="220"/>
      <c r="AB2484" s="221"/>
      <c r="AC2484" s="229"/>
      <c r="AD2484" s="230"/>
      <c r="AE2484" s="230"/>
      <c r="AF2484" s="230"/>
      <c r="AG2484" s="227"/>
    </row>
    <row r="2485" spans="1:33" x14ac:dyDescent="0.25">
      <c r="A2485" s="32"/>
      <c r="B2485" s="306"/>
      <c r="C2485" s="307"/>
      <c r="D2485" s="312"/>
      <c r="E2485" s="301"/>
      <c r="F2485" s="232"/>
      <c r="J2485" s="306"/>
      <c r="K2485" s="306"/>
      <c r="L2485" s="313"/>
      <c r="M2485" s="219"/>
      <c r="N2485" s="218"/>
      <c r="S2485" s="224"/>
      <c r="T2485" s="228"/>
      <c r="U2485" s="226"/>
      <c r="V2485" s="226"/>
      <c r="W2485" s="303"/>
      <c r="X2485" s="220"/>
      <c r="Z2485" s="227"/>
      <c r="AA2485" s="220"/>
      <c r="AB2485" s="221"/>
      <c r="AC2485" s="229"/>
      <c r="AD2485" s="230"/>
      <c r="AE2485" s="230"/>
      <c r="AF2485" s="230"/>
      <c r="AG2485" s="227"/>
    </row>
    <row r="2486" spans="1:33" x14ac:dyDescent="0.25">
      <c r="A2486" s="32"/>
      <c r="B2486" s="306"/>
      <c r="C2486" s="307"/>
      <c r="D2486" s="312"/>
      <c r="E2486" s="301"/>
      <c r="F2486" s="232"/>
      <c r="J2486" s="306"/>
      <c r="K2486" s="306"/>
      <c r="L2486" s="313"/>
      <c r="M2486" s="219"/>
      <c r="N2486" s="218"/>
      <c r="S2486" s="224"/>
      <c r="T2486" s="228"/>
      <c r="U2486" s="226"/>
      <c r="V2486" s="226"/>
      <c r="W2486" s="303"/>
      <c r="X2486" s="220"/>
      <c r="Z2486" s="227"/>
      <c r="AA2486" s="220"/>
      <c r="AB2486" s="221"/>
      <c r="AC2486" s="229"/>
      <c r="AD2486" s="230"/>
      <c r="AE2486" s="230"/>
      <c r="AF2486" s="230"/>
      <c r="AG2486" s="227"/>
    </row>
    <row r="2487" spans="1:33" x14ac:dyDescent="0.25">
      <c r="A2487" s="32"/>
      <c r="B2487" s="306"/>
      <c r="C2487" s="307"/>
      <c r="D2487" s="312"/>
      <c r="E2487" s="301"/>
      <c r="F2487" s="232"/>
      <c r="J2487" s="306"/>
      <c r="K2487" s="306"/>
      <c r="L2487" s="313"/>
      <c r="M2487" s="219"/>
      <c r="N2487" s="218"/>
      <c r="S2487" s="224"/>
      <c r="T2487" s="228"/>
      <c r="U2487" s="226"/>
      <c r="V2487" s="226"/>
      <c r="W2487" s="303"/>
      <c r="X2487" s="220"/>
      <c r="Z2487" s="227"/>
      <c r="AA2487" s="220"/>
      <c r="AB2487" s="221"/>
      <c r="AC2487" s="229"/>
      <c r="AD2487" s="230"/>
      <c r="AE2487" s="230"/>
      <c r="AF2487" s="230"/>
      <c r="AG2487" s="227"/>
    </row>
    <row r="2488" spans="1:33" x14ac:dyDescent="0.25">
      <c r="A2488" s="32"/>
      <c r="B2488" s="306"/>
      <c r="C2488" s="307"/>
      <c r="D2488" s="312"/>
      <c r="E2488" s="301"/>
      <c r="F2488" s="232"/>
      <c r="J2488" s="306"/>
      <c r="K2488" s="306"/>
      <c r="L2488" s="313"/>
      <c r="M2488" s="219"/>
      <c r="N2488" s="218"/>
      <c r="S2488" s="224"/>
      <c r="T2488" s="228"/>
      <c r="U2488" s="226"/>
      <c r="V2488" s="226"/>
      <c r="W2488" s="303"/>
      <c r="X2488" s="220"/>
      <c r="Z2488" s="227"/>
      <c r="AA2488" s="220"/>
      <c r="AB2488" s="221"/>
      <c r="AC2488" s="229"/>
      <c r="AD2488" s="230"/>
      <c r="AE2488" s="230"/>
      <c r="AF2488" s="230"/>
      <c r="AG2488" s="227"/>
    </row>
    <row r="2489" spans="1:33" x14ac:dyDescent="0.25">
      <c r="A2489" s="32"/>
      <c r="B2489" s="306"/>
      <c r="C2489" s="307"/>
      <c r="D2489" s="312"/>
      <c r="E2489" s="301"/>
      <c r="F2489" s="232"/>
      <c r="J2489" s="306"/>
      <c r="K2489" s="306"/>
      <c r="L2489" s="313"/>
      <c r="M2489" s="219"/>
      <c r="N2489" s="218"/>
      <c r="S2489" s="224"/>
      <c r="T2489" s="228"/>
      <c r="U2489" s="226"/>
      <c r="V2489" s="226"/>
      <c r="W2489" s="303"/>
      <c r="X2489" s="220"/>
      <c r="Z2489" s="227"/>
      <c r="AA2489" s="220"/>
      <c r="AB2489" s="221"/>
      <c r="AC2489" s="229"/>
      <c r="AD2489" s="230"/>
      <c r="AE2489" s="230"/>
      <c r="AF2489" s="230"/>
      <c r="AG2489" s="227"/>
    </row>
    <row r="2490" spans="1:33" x14ac:dyDescent="0.25">
      <c r="A2490" s="32"/>
      <c r="B2490" s="306"/>
      <c r="C2490" s="307"/>
      <c r="D2490" s="312"/>
      <c r="E2490" s="301"/>
      <c r="F2490" s="232"/>
      <c r="J2490" s="306"/>
      <c r="K2490" s="306"/>
      <c r="L2490" s="313"/>
      <c r="M2490" s="219"/>
      <c r="N2490" s="218"/>
      <c r="S2490" s="224"/>
      <c r="T2490" s="228"/>
      <c r="U2490" s="226"/>
      <c r="V2490" s="226"/>
      <c r="W2490" s="303"/>
      <c r="X2490" s="220"/>
      <c r="Z2490" s="227"/>
      <c r="AA2490" s="220"/>
      <c r="AB2490" s="221"/>
      <c r="AC2490" s="229"/>
      <c r="AD2490" s="230"/>
      <c r="AE2490" s="230"/>
      <c r="AF2490" s="230"/>
      <c r="AG2490" s="227"/>
    </row>
    <row r="2491" spans="1:33" x14ac:dyDescent="0.25">
      <c r="A2491" s="32"/>
      <c r="B2491" s="306"/>
      <c r="C2491" s="307"/>
      <c r="D2491" s="312"/>
      <c r="E2491" s="301"/>
      <c r="F2491" s="232"/>
      <c r="J2491" s="306"/>
      <c r="K2491" s="306"/>
      <c r="L2491" s="313"/>
      <c r="M2491" s="219"/>
      <c r="N2491" s="218"/>
      <c r="S2491" s="224"/>
      <c r="T2491" s="228"/>
      <c r="U2491" s="226"/>
      <c r="V2491" s="226"/>
      <c r="W2491" s="303"/>
      <c r="X2491" s="220"/>
      <c r="Z2491" s="227"/>
      <c r="AA2491" s="220"/>
      <c r="AB2491" s="221"/>
      <c r="AC2491" s="229"/>
      <c r="AD2491" s="230"/>
      <c r="AE2491" s="230"/>
      <c r="AF2491" s="230"/>
      <c r="AG2491" s="227"/>
    </row>
    <row r="2492" spans="1:33" x14ac:dyDescent="0.25">
      <c r="A2492" s="32"/>
      <c r="B2492" s="306"/>
      <c r="C2492" s="307"/>
      <c r="D2492" s="312"/>
      <c r="E2492" s="301"/>
      <c r="F2492" s="232"/>
      <c r="J2492" s="306"/>
      <c r="K2492" s="306"/>
      <c r="L2492" s="313"/>
      <c r="M2492" s="219"/>
      <c r="N2492" s="218"/>
      <c r="S2492" s="224"/>
      <c r="T2492" s="228"/>
      <c r="U2492" s="226"/>
      <c r="V2492" s="226"/>
      <c r="W2492" s="303"/>
      <c r="X2492" s="220"/>
      <c r="Z2492" s="227"/>
      <c r="AA2492" s="220"/>
      <c r="AB2492" s="221"/>
      <c r="AC2492" s="229"/>
      <c r="AD2492" s="230"/>
      <c r="AE2492" s="230"/>
      <c r="AF2492" s="230"/>
      <c r="AG2492" s="227"/>
    </row>
    <row r="2493" spans="1:33" x14ac:dyDescent="0.25">
      <c r="A2493" s="32"/>
      <c r="B2493" s="306"/>
      <c r="C2493" s="307"/>
      <c r="D2493" s="312"/>
      <c r="E2493" s="301"/>
      <c r="F2493" s="232"/>
      <c r="J2493" s="306"/>
      <c r="K2493" s="306"/>
      <c r="L2493" s="313"/>
      <c r="M2493" s="219"/>
      <c r="N2493" s="218"/>
      <c r="S2493" s="224"/>
      <c r="T2493" s="228"/>
      <c r="U2493" s="226"/>
      <c r="V2493" s="226"/>
      <c r="W2493" s="303"/>
      <c r="X2493" s="220"/>
      <c r="Z2493" s="227"/>
      <c r="AA2493" s="220"/>
      <c r="AB2493" s="221"/>
      <c r="AC2493" s="229"/>
      <c r="AD2493" s="230"/>
      <c r="AE2493" s="230"/>
      <c r="AF2493" s="230"/>
      <c r="AG2493" s="227"/>
    </row>
    <row r="2494" spans="1:33" x14ac:dyDescent="0.25">
      <c r="A2494" s="32"/>
      <c r="B2494" s="306"/>
      <c r="C2494" s="307"/>
      <c r="D2494" s="312"/>
      <c r="E2494" s="301"/>
      <c r="F2494" s="232"/>
      <c r="J2494" s="306"/>
      <c r="K2494" s="306"/>
      <c r="L2494" s="313"/>
      <c r="M2494" s="219"/>
      <c r="N2494" s="218"/>
      <c r="S2494" s="224"/>
      <c r="T2494" s="228"/>
      <c r="U2494" s="226"/>
      <c r="V2494" s="226"/>
      <c r="W2494" s="303"/>
      <c r="X2494" s="220"/>
      <c r="Z2494" s="227"/>
      <c r="AA2494" s="220"/>
      <c r="AB2494" s="221"/>
      <c r="AC2494" s="229"/>
      <c r="AD2494" s="230"/>
      <c r="AE2494" s="230"/>
      <c r="AF2494" s="230"/>
      <c r="AG2494" s="227"/>
    </row>
    <row r="2495" spans="1:33" x14ac:dyDescent="0.25">
      <c r="A2495" s="32"/>
      <c r="B2495" s="306"/>
      <c r="C2495" s="307"/>
      <c r="D2495" s="312"/>
      <c r="E2495" s="301"/>
      <c r="F2495" s="232"/>
      <c r="J2495" s="306"/>
      <c r="K2495" s="306"/>
      <c r="L2495" s="313"/>
      <c r="M2495" s="219"/>
      <c r="N2495" s="218"/>
      <c r="S2495" s="224"/>
      <c r="T2495" s="228"/>
      <c r="U2495" s="226"/>
      <c r="V2495" s="226"/>
      <c r="W2495" s="303"/>
      <c r="X2495" s="220"/>
      <c r="Z2495" s="227"/>
      <c r="AA2495" s="220"/>
      <c r="AB2495" s="221"/>
      <c r="AC2495" s="229"/>
      <c r="AD2495" s="230"/>
      <c r="AE2495" s="230"/>
      <c r="AF2495" s="230"/>
      <c r="AG2495" s="227"/>
    </row>
    <row r="2496" spans="1:33" x14ac:dyDescent="0.25">
      <c r="A2496" s="32"/>
      <c r="B2496" s="306"/>
      <c r="C2496" s="307"/>
      <c r="D2496" s="312"/>
      <c r="E2496" s="301"/>
      <c r="F2496" s="232"/>
      <c r="J2496" s="306"/>
      <c r="K2496" s="306"/>
      <c r="L2496" s="313"/>
      <c r="M2496" s="219"/>
      <c r="N2496" s="218"/>
      <c r="S2496" s="224"/>
      <c r="T2496" s="228"/>
      <c r="U2496" s="226"/>
      <c r="V2496" s="226"/>
      <c r="W2496" s="303"/>
      <c r="X2496" s="220"/>
      <c r="Z2496" s="227"/>
      <c r="AA2496" s="220"/>
      <c r="AB2496" s="221"/>
      <c r="AC2496" s="229"/>
      <c r="AD2496" s="230"/>
      <c r="AE2496" s="230"/>
      <c r="AF2496" s="230"/>
      <c r="AG2496" s="227"/>
    </row>
    <row r="2497" spans="1:33" x14ac:dyDescent="0.25">
      <c r="A2497" s="32"/>
      <c r="B2497" s="306"/>
      <c r="C2497" s="307"/>
      <c r="D2497" s="312"/>
      <c r="E2497" s="301"/>
      <c r="F2497" s="232"/>
      <c r="J2497" s="306"/>
      <c r="K2497" s="306"/>
      <c r="L2497" s="313"/>
      <c r="M2497" s="219"/>
      <c r="N2497" s="218"/>
      <c r="S2497" s="224"/>
      <c r="T2497" s="228"/>
      <c r="U2497" s="226"/>
      <c r="V2497" s="226"/>
      <c r="W2497" s="303"/>
      <c r="X2497" s="220"/>
      <c r="Z2497" s="227"/>
      <c r="AA2497" s="220"/>
      <c r="AB2497" s="221"/>
      <c r="AC2497" s="229"/>
      <c r="AD2497" s="230"/>
      <c r="AE2497" s="230"/>
      <c r="AF2497" s="230"/>
      <c r="AG2497" s="227"/>
    </row>
    <row r="2498" spans="1:33" x14ac:dyDescent="0.25">
      <c r="A2498" s="32"/>
      <c r="B2498" s="306"/>
      <c r="C2498" s="307"/>
      <c r="D2498" s="312"/>
      <c r="E2498" s="301"/>
      <c r="F2498" s="232"/>
      <c r="J2498" s="306"/>
      <c r="K2498" s="306"/>
      <c r="L2498" s="313"/>
      <c r="M2498" s="219"/>
      <c r="N2498" s="218"/>
      <c r="S2498" s="224"/>
      <c r="T2498" s="228"/>
      <c r="U2498" s="226"/>
      <c r="V2498" s="226"/>
      <c r="W2498" s="303"/>
      <c r="X2498" s="220"/>
      <c r="Z2498" s="227"/>
      <c r="AA2498" s="220"/>
      <c r="AB2498" s="221"/>
      <c r="AC2498" s="229"/>
      <c r="AD2498" s="230"/>
      <c r="AE2498" s="230"/>
      <c r="AF2498" s="230"/>
      <c r="AG2498" s="227"/>
    </row>
    <row r="2499" spans="1:33" x14ac:dyDescent="0.25">
      <c r="A2499" s="32"/>
      <c r="B2499" s="306"/>
      <c r="C2499" s="307"/>
      <c r="D2499" s="312"/>
      <c r="E2499" s="301"/>
      <c r="F2499" s="232"/>
      <c r="J2499" s="306"/>
      <c r="K2499" s="306"/>
      <c r="L2499" s="313"/>
      <c r="M2499" s="219"/>
      <c r="N2499" s="218"/>
      <c r="S2499" s="224"/>
      <c r="T2499" s="228"/>
      <c r="U2499" s="226"/>
      <c r="V2499" s="226"/>
      <c r="W2499" s="303"/>
      <c r="X2499" s="220"/>
      <c r="Z2499" s="227"/>
      <c r="AA2499" s="220"/>
      <c r="AB2499" s="221"/>
      <c r="AC2499" s="229"/>
      <c r="AD2499" s="230"/>
      <c r="AE2499" s="230"/>
      <c r="AF2499" s="230"/>
      <c r="AG2499" s="227"/>
    </row>
    <row r="2500" spans="1:33" x14ac:dyDescent="0.25">
      <c r="A2500" s="32"/>
      <c r="B2500" s="306"/>
      <c r="C2500" s="307"/>
      <c r="D2500" s="312"/>
      <c r="E2500" s="301"/>
      <c r="F2500" s="232"/>
      <c r="J2500" s="306"/>
      <c r="K2500" s="306"/>
      <c r="L2500" s="313"/>
      <c r="M2500" s="219"/>
      <c r="N2500" s="218"/>
      <c r="S2500" s="224"/>
      <c r="T2500" s="228"/>
      <c r="U2500" s="226"/>
      <c r="V2500" s="226"/>
      <c r="W2500" s="303"/>
      <c r="X2500" s="220"/>
      <c r="Z2500" s="227"/>
      <c r="AA2500" s="220"/>
      <c r="AB2500" s="221"/>
      <c r="AC2500" s="229"/>
      <c r="AD2500" s="230"/>
      <c r="AE2500" s="230"/>
      <c r="AF2500" s="230"/>
      <c r="AG2500" s="227"/>
    </row>
    <row r="2501" spans="1:33" x14ac:dyDescent="0.25">
      <c r="A2501" s="32"/>
      <c r="B2501" s="306"/>
      <c r="C2501" s="307"/>
      <c r="D2501" s="312"/>
      <c r="E2501" s="301"/>
      <c r="F2501" s="232"/>
      <c r="J2501" s="306"/>
      <c r="K2501" s="306"/>
      <c r="L2501" s="313"/>
      <c r="M2501" s="219"/>
      <c r="N2501" s="218"/>
      <c r="S2501" s="224"/>
      <c r="T2501" s="228"/>
      <c r="U2501" s="226"/>
      <c r="V2501" s="226"/>
      <c r="W2501" s="303"/>
      <c r="X2501" s="220"/>
      <c r="Z2501" s="227"/>
      <c r="AA2501" s="220"/>
      <c r="AB2501" s="221"/>
      <c r="AC2501" s="229"/>
      <c r="AD2501" s="230"/>
      <c r="AE2501" s="230"/>
      <c r="AF2501" s="230"/>
      <c r="AG2501" s="227"/>
    </row>
    <row r="2502" spans="1:33" x14ac:dyDescent="0.25">
      <c r="A2502" s="32"/>
      <c r="B2502" s="306"/>
      <c r="C2502" s="307"/>
      <c r="D2502" s="312"/>
      <c r="E2502" s="301"/>
      <c r="F2502" s="232"/>
      <c r="J2502" s="306"/>
      <c r="K2502" s="306"/>
      <c r="L2502" s="313"/>
      <c r="M2502" s="219"/>
      <c r="N2502" s="218"/>
      <c r="S2502" s="224"/>
      <c r="T2502" s="228"/>
      <c r="U2502" s="226"/>
      <c r="V2502" s="226"/>
      <c r="W2502" s="303"/>
      <c r="X2502" s="220"/>
      <c r="Z2502" s="227"/>
      <c r="AA2502" s="220"/>
      <c r="AB2502" s="221"/>
      <c r="AC2502" s="229"/>
      <c r="AD2502" s="230"/>
      <c r="AE2502" s="230"/>
      <c r="AF2502" s="230"/>
      <c r="AG2502" s="227"/>
    </row>
    <row r="2503" spans="1:33" x14ac:dyDescent="0.25">
      <c r="A2503" s="32"/>
      <c r="B2503" s="306"/>
      <c r="C2503" s="307"/>
      <c r="D2503" s="312"/>
      <c r="E2503" s="301"/>
      <c r="F2503" s="232"/>
      <c r="J2503" s="306"/>
      <c r="K2503" s="306"/>
      <c r="L2503" s="313"/>
      <c r="M2503" s="219"/>
      <c r="N2503" s="218"/>
      <c r="S2503" s="224"/>
      <c r="T2503" s="228"/>
      <c r="U2503" s="226"/>
      <c r="V2503" s="226"/>
      <c r="W2503" s="303"/>
      <c r="X2503" s="220"/>
      <c r="Z2503" s="227"/>
      <c r="AA2503" s="220"/>
      <c r="AB2503" s="221"/>
      <c r="AC2503" s="229"/>
      <c r="AD2503" s="230"/>
      <c r="AE2503" s="230"/>
      <c r="AF2503" s="230"/>
      <c r="AG2503" s="227"/>
    </row>
    <row r="2504" spans="1:33" x14ac:dyDescent="0.25">
      <c r="A2504" s="32"/>
      <c r="B2504" s="306"/>
      <c r="C2504" s="307"/>
      <c r="D2504" s="312"/>
      <c r="E2504" s="301"/>
      <c r="F2504" s="232"/>
      <c r="J2504" s="306"/>
      <c r="K2504" s="306"/>
      <c r="L2504" s="313"/>
      <c r="M2504" s="219"/>
      <c r="N2504" s="218"/>
      <c r="S2504" s="224"/>
      <c r="T2504" s="228"/>
      <c r="U2504" s="226"/>
      <c r="V2504" s="226"/>
      <c r="W2504" s="303"/>
      <c r="X2504" s="220"/>
      <c r="Z2504" s="227"/>
      <c r="AA2504" s="220"/>
      <c r="AB2504" s="221"/>
      <c r="AC2504" s="229"/>
      <c r="AD2504" s="230"/>
      <c r="AE2504" s="230"/>
      <c r="AF2504" s="230"/>
      <c r="AG2504" s="227"/>
    </row>
    <row r="2505" spans="1:33" x14ac:dyDescent="0.25">
      <c r="A2505" s="32"/>
      <c r="B2505" s="306"/>
      <c r="C2505" s="307"/>
      <c r="D2505" s="312"/>
      <c r="E2505" s="301"/>
      <c r="F2505" s="232"/>
      <c r="J2505" s="306"/>
      <c r="K2505" s="306"/>
      <c r="L2505" s="313"/>
      <c r="M2505" s="219"/>
      <c r="N2505" s="218"/>
      <c r="S2505" s="224"/>
      <c r="T2505" s="228"/>
      <c r="U2505" s="226"/>
      <c r="V2505" s="226"/>
      <c r="W2505" s="303"/>
      <c r="X2505" s="220"/>
      <c r="Z2505" s="227"/>
      <c r="AA2505" s="220"/>
      <c r="AB2505" s="221"/>
      <c r="AC2505" s="229"/>
      <c r="AD2505" s="230"/>
      <c r="AE2505" s="230"/>
      <c r="AF2505" s="230"/>
      <c r="AG2505" s="227"/>
    </row>
    <row r="2506" spans="1:33" x14ac:dyDescent="0.25">
      <c r="A2506" s="32"/>
      <c r="B2506" s="306"/>
      <c r="C2506" s="307"/>
      <c r="D2506" s="312"/>
      <c r="E2506" s="301"/>
      <c r="F2506" s="232"/>
      <c r="J2506" s="306"/>
      <c r="K2506" s="306"/>
      <c r="L2506" s="313"/>
      <c r="M2506" s="219"/>
      <c r="N2506" s="218"/>
      <c r="S2506" s="224"/>
      <c r="T2506" s="228"/>
      <c r="U2506" s="226"/>
      <c r="V2506" s="226"/>
      <c r="W2506" s="303"/>
      <c r="X2506" s="220"/>
      <c r="Z2506" s="227"/>
      <c r="AA2506" s="220"/>
      <c r="AB2506" s="221"/>
      <c r="AC2506" s="229"/>
      <c r="AD2506" s="230"/>
      <c r="AE2506" s="230"/>
      <c r="AF2506" s="230"/>
      <c r="AG2506" s="227"/>
    </row>
    <row r="2507" spans="1:33" x14ac:dyDescent="0.25">
      <c r="A2507" s="32"/>
      <c r="B2507" s="306"/>
      <c r="C2507" s="307"/>
      <c r="D2507" s="312"/>
      <c r="E2507" s="301"/>
      <c r="F2507" s="232"/>
      <c r="J2507" s="306"/>
      <c r="K2507" s="306"/>
      <c r="L2507" s="313"/>
      <c r="M2507" s="219"/>
      <c r="N2507" s="218"/>
      <c r="S2507" s="224"/>
      <c r="T2507" s="228"/>
      <c r="U2507" s="226"/>
      <c r="V2507" s="226"/>
      <c r="W2507" s="303"/>
      <c r="X2507" s="220"/>
      <c r="Z2507" s="227"/>
      <c r="AA2507" s="220"/>
      <c r="AB2507" s="221"/>
      <c r="AC2507" s="229"/>
      <c r="AD2507" s="230"/>
      <c r="AE2507" s="230"/>
      <c r="AF2507" s="230"/>
      <c r="AG2507" s="227"/>
    </row>
    <row r="2508" spans="1:33" x14ac:dyDescent="0.25">
      <c r="A2508" s="32"/>
      <c r="B2508" s="306"/>
      <c r="C2508" s="307"/>
      <c r="D2508" s="312"/>
      <c r="E2508" s="301"/>
      <c r="F2508" s="232"/>
      <c r="J2508" s="306"/>
      <c r="K2508" s="306"/>
      <c r="L2508" s="313"/>
      <c r="M2508" s="219"/>
      <c r="N2508" s="218"/>
      <c r="S2508" s="224"/>
      <c r="T2508" s="228"/>
      <c r="U2508" s="226"/>
      <c r="V2508" s="226"/>
      <c r="W2508" s="303"/>
      <c r="X2508" s="220"/>
      <c r="Z2508" s="227"/>
      <c r="AA2508" s="220"/>
      <c r="AB2508" s="221"/>
      <c r="AC2508" s="229"/>
      <c r="AD2508" s="230"/>
      <c r="AE2508" s="230"/>
      <c r="AF2508" s="230"/>
      <c r="AG2508" s="227"/>
    </row>
    <row r="2509" spans="1:33" x14ac:dyDescent="0.25">
      <c r="A2509" s="32"/>
      <c r="B2509" s="306"/>
      <c r="C2509" s="307"/>
      <c r="D2509" s="312"/>
      <c r="E2509" s="301"/>
      <c r="F2509" s="232"/>
      <c r="J2509" s="306"/>
      <c r="K2509" s="306"/>
      <c r="L2509" s="313"/>
      <c r="M2509" s="219"/>
      <c r="N2509" s="218"/>
      <c r="S2509" s="224"/>
      <c r="T2509" s="228"/>
      <c r="U2509" s="226"/>
      <c r="V2509" s="226"/>
      <c r="W2509" s="303"/>
      <c r="X2509" s="220"/>
      <c r="Z2509" s="227"/>
      <c r="AA2509" s="220"/>
      <c r="AB2509" s="221"/>
      <c r="AC2509" s="229"/>
      <c r="AD2509" s="230"/>
      <c r="AE2509" s="230"/>
      <c r="AF2509" s="230"/>
      <c r="AG2509" s="227"/>
    </row>
    <row r="2510" spans="1:33" x14ac:dyDescent="0.25">
      <c r="A2510" s="32"/>
      <c r="B2510" s="306"/>
      <c r="C2510" s="307"/>
      <c r="D2510" s="312"/>
      <c r="E2510" s="301"/>
      <c r="F2510" s="232"/>
      <c r="J2510" s="306"/>
      <c r="K2510" s="306"/>
      <c r="L2510" s="313"/>
      <c r="M2510" s="219"/>
      <c r="N2510" s="218"/>
      <c r="S2510" s="224"/>
      <c r="T2510" s="228"/>
      <c r="U2510" s="226"/>
      <c r="V2510" s="226"/>
      <c r="W2510" s="303"/>
      <c r="X2510" s="220"/>
      <c r="Z2510" s="227"/>
      <c r="AA2510" s="220"/>
      <c r="AB2510" s="221"/>
      <c r="AC2510" s="229"/>
      <c r="AD2510" s="230"/>
      <c r="AE2510" s="230"/>
      <c r="AF2510" s="230"/>
      <c r="AG2510" s="227"/>
    </row>
    <row r="2511" spans="1:33" x14ac:dyDescent="0.25">
      <c r="A2511" s="32"/>
      <c r="B2511" s="306"/>
      <c r="C2511" s="307"/>
      <c r="D2511" s="312"/>
      <c r="E2511" s="301"/>
      <c r="F2511" s="232"/>
      <c r="J2511" s="306"/>
      <c r="K2511" s="306"/>
      <c r="L2511" s="313"/>
      <c r="M2511" s="219"/>
      <c r="N2511" s="218"/>
      <c r="S2511" s="224"/>
      <c r="T2511" s="228"/>
      <c r="U2511" s="226"/>
      <c r="V2511" s="226"/>
      <c r="W2511" s="303"/>
      <c r="X2511" s="220"/>
      <c r="Z2511" s="227"/>
      <c r="AA2511" s="220"/>
      <c r="AB2511" s="221"/>
      <c r="AC2511" s="229"/>
      <c r="AD2511" s="230"/>
      <c r="AE2511" s="230"/>
      <c r="AF2511" s="230"/>
      <c r="AG2511" s="227"/>
    </row>
    <row r="2512" spans="1:33" x14ac:dyDescent="0.25">
      <c r="A2512" s="32"/>
      <c r="B2512" s="306"/>
      <c r="C2512" s="307"/>
      <c r="D2512" s="312"/>
      <c r="E2512" s="301"/>
      <c r="F2512" s="232"/>
      <c r="J2512" s="306"/>
      <c r="K2512" s="306"/>
      <c r="L2512" s="313"/>
      <c r="M2512" s="219"/>
      <c r="N2512" s="218"/>
      <c r="S2512" s="224"/>
      <c r="T2512" s="228"/>
      <c r="U2512" s="226"/>
      <c r="V2512" s="226"/>
      <c r="W2512" s="303"/>
      <c r="X2512" s="220"/>
      <c r="Z2512" s="227"/>
      <c r="AA2512" s="220"/>
      <c r="AB2512" s="221"/>
      <c r="AC2512" s="229"/>
      <c r="AD2512" s="230"/>
      <c r="AE2512" s="230"/>
      <c r="AF2512" s="230"/>
      <c r="AG2512" s="227"/>
    </row>
    <row r="2513" spans="1:33" x14ac:dyDescent="0.25">
      <c r="A2513" s="32"/>
      <c r="B2513" s="306"/>
      <c r="C2513" s="307"/>
      <c r="D2513" s="312"/>
      <c r="E2513" s="301"/>
      <c r="F2513" s="232"/>
      <c r="J2513" s="306"/>
      <c r="K2513" s="306"/>
      <c r="L2513" s="313"/>
      <c r="M2513" s="219"/>
      <c r="N2513" s="218"/>
      <c r="S2513" s="224"/>
      <c r="T2513" s="228"/>
      <c r="U2513" s="226"/>
      <c r="V2513" s="226"/>
      <c r="W2513" s="303"/>
      <c r="X2513" s="220"/>
      <c r="Z2513" s="227"/>
      <c r="AA2513" s="220"/>
      <c r="AB2513" s="221"/>
      <c r="AC2513" s="229"/>
      <c r="AD2513" s="230"/>
      <c r="AE2513" s="230"/>
      <c r="AF2513" s="230"/>
      <c r="AG2513" s="227"/>
    </row>
    <row r="2514" spans="1:33" x14ac:dyDescent="0.25">
      <c r="A2514" s="32"/>
      <c r="B2514" s="306"/>
      <c r="C2514" s="307"/>
      <c r="D2514" s="312"/>
      <c r="E2514" s="301"/>
      <c r="F2514" s="232"/>
      <c r="J2514" s="306"/>
      <c r="K2514" s="306"/>
      <c r="L2514" s="313"/>
      <c r="M2514" s="219"/>
      <c r="N2514" s="218"/>
      <c r="S2514" s="224"/>
      <c r="T2514" s="228"/>
      <c r="U2514" s="226"/>
      <c r="V2514" s="226"/>
      <c r="W2514" s="303"/>
      <c r="X2514" s="220"/>
      <c r="Z2514" s="227"/>
      <c r="AA2514" s="220"/>
      <c r="AB2514" s="221"/>
      <c r="AC2514" s="229"/>
      <c r="AD2514" s="230"/>
      <c r="AE2514" s="230"/>
      <c r="AF2514" s="230"/>
      <c r="AG2514" s="227"/>
    </row>
    <row r="2515" spans="1:33" x14ac:dyDescent="0.25">
      <c r="A2515" s="32"/>
      <c r="B2515" s="306"/>
      <c r="C2515" s="307"/>
      <c r="D2515" s="312"/>
      <c r="E2515" s="301"/>
      <c r="F2515" s="232"/>
      <c r="J2515" s="306"/>
      <c r="K2515" s="306"/>
      <c r="L2515" s="313"/>
      <c r="M2515" s="219"/>
      <c r="N2515" s="218"/>
      <c r="S2515" s="224"/>
      <c r="T2515" s="228"/>
      <c r="U2515" s="226"/>
      <c r="V2515" s="226"/>
      <c r="W2515" s="303"/>
      <c r="X2515" s="220"/>
      <c r="Z2515" s="227"/>
      <c r="AA2515" s="220"/>
      <c r="AB2515" s="221"/>
      <c r="AC2515" s="229"/>
      <c r="AD2515" s="230"/>
      <c r="AE2515" s="230"/>
      <c r="AF2515" s="230"/>
      <c r="AG2515" s="227"/>
    </row>
    <row r="2516" spans="1:33" x14ac:dyDescent="0.25">
      <c r="A2516" s="32"/>
      <c r="B2516" s="306"/>
      <c r="C2516" s="307"/>
      <c r="D2516" s="312"/>
      <c r="E2516" s="301"/>
      <c r="F2516" s="232"/>
      <c r="J2516" s="306"/>
      <c r="K2516" s="306"/>
      <c r="L2516" s="313"/>
      <c r="M2516" s="219"/>
      <c r="N2516" s="218"/>
      <c r="S2516" s="224"/>
      <c r="T2516" s="228"/>
      <c r="U2516" s="226"/>
      <c r="V2516" s="226"/>
      <c r="W2516" s="303"/>
      <c r="X2516" s="220"/>
      <c r="Z2516" s="227"/>
      <c r="AA2516" s="220"/>
      <c r="AB2516" s="221"/>
      <c r="AC2516" s="229"/>
      <c r="AD2516" s="230"/>
      <c r="AE2516" s="230"/>
      <c r="AF2516" s="230"/>
      <c r="AG2516" s="227"/>
    </row>
    <row r="2517" spans="1:33" x14ac:dyDescent="0.25">
      <c r="A2517" s="32"/>
      <c r="B2517" s="306"/>
      <c r="C2517" s="307"/>
      <c r="D2517" s="312"/>
      <c r="E2517" s="301"/>
      <c r="F2517" s="232"/>
      <c r="J2517" s="306"/>
      <c r="K2517" s="306"/>
      <c r="L2517" s="313"/>
      <c r="M2517" s="219"/>
      <c r="N2517" s="218"/>
      <c r="S2517" s="224"/>
      <c r="T2517" s="228"/>
      <c r="U2517" s="226"/>
      <c r="V2517" s="226"/>
      <c r="W2517" s="303"/>
      <c r="X2517" s="220"/>
      <c r="Z2517" s="227"/>
      <c r="AA2517" s="220"/>
      <c r="AB2517" s="221"/>
      <c r="AC2517" s="229"/>
      <c r="AD2517" s="230"/>
      <c r="AE2517" s="230"/>
      <c r="AF2517" s="230"/>
      <c r="AG2517" s="227"/>
    </row>
    <row r="2518" spans="1:33" x14ac:dyDescent="0.25">
      <c r="A2518" s="32"/>
      <c r="B2518" s="306"/>
      <c r="C2518" s="307"/>
      <c r="D2518" s="312"/>
      <c r="E2518" s="301"/>
      <c r="F2518" s="232"/>
      <c r="J2518" s="306"/>
      <c r="K2518" s="306"/>
      <c r="L2518" s="313"/>
      <c r="M2518" s="219"/>
      <c r="N2518" s="218"/>
      <c r="S2518" s="224"/>
      <c r="T2518" s="228"/>
      <c r="U2518" s="226"/>
      <c r="V2518" s="226"/>
      <c r="W2518" s="303"/>
      <c r="X2518" s="220"/>
      <c r="Z2518" s="227"/>
      <c r="AA2518" s="220"/>
      <c r="AB2518" s="221"/>
      <c r="AC2518" s="229"/>
      <c r="AD2518" s="230"/>
      <c r="AE2518" s="230"/>
      <c r="AF2518" s="230"/>
      <c r="AG2518" s="227"/>
    </row>
    <row r="2519" spans="1:33" x14ac:dyDescent="0.25">
      <c r="A2519" s="32"/>
      <c r="B2519" s="306"/>
      <c r="C2519" s="307"/>
      <c r="D2519" s="312"/>
      <c r="E2519" s="301"/>
      <c r="F2519" s="232"/>
      <c r="J2519" s="306"/>
      <c r="K2519" s="306"/>
      <c r="L2519" s="313"/>
      <c r="M2519" s="219"/>
      <c r="N2519" s="218"/>
      <c r="S2519" s="224"/>
      <c r="T2519" s="228"/>
      <c r="U2519" s="226"/>
      <c r="V2519" s="226"/>
      <c r="W2519" s="303"/>
      <c r="X2519" s="220"/>
      <c r="Z2519" s="227"/>
      <c r="AA2519" s="220"/>
      <c r="AB2519" s="221"/>
      <c r="AC2519" s="229"/>
      <c r="AD2519" s="230"/>
      <c r="AE2519" s="230"/>
      <c r="AF2519" s="230"/>
      <c r="AG2519" s="227"/>
    </row>
    <row r="2520" spans="1:33" x14ac:dyDescent="0.25">
      <c r="A2520" s="32"/>
      <c r="B2520" s="306"/>
      <c r="C2520" s="307"/>
      <c r="D2520" s="312"/>
      <c r="E2520" s="301"/>
      <c r="F2520" s="232"/>
      <c r="J2520" s="306"/>
      <c r="K2520" s="306"/>
      <c r="L2520" s="313"/>
      <c r="M2520" s="219"/>
      <c r="N2520" s="218"/>
      <c r="S2520" s="224"/>
      <c r="T2520" s="228"/>
      <c r="U2520" s="226"/>
      <c r="V2520" s="226"/>
      <c r="W2520" s="303"/>
      <c r="X2520" s="220"/>
      <c r="Z2520" s="227"/>
      <c r="AA2520" s="220"/>
      <c r="AB2520" s="221"/>
      <c r="AC2520" s="229"/>
      <c r="AD2520" s="230"/>
      <c r="AE2520" s="230"/>
      <c r="AF2520" s="230"/>
      <c r="AG2520" s="227"/>
    </row>
    <row r="2521" spans="1:33" x14ac:dyDescent="0.25">
      <c r="A2521" s="32"/>
      <c r="B2521" s="306"/>
      <c r="C2521" s="307"/>
      <c r="D2521" s="312"/>
      <c r="E2521" s="301"/>
      <c r="F2521" s="232"/>
      <c r="J2521" s="306"/>
      <c r="K2521" s="306"/>
      <c r="L2521" s="313"/>
      <c r="M2521" s="219"/>
      <c r="N2521" s="218"/>
      <c r="S2521" s="224"/>
      <c r="T2521" s="228"/>
      <c r="U2521" s="226"/>
      <c r="V2521" s="226"/>
      <c r="W2521" s="303"/>
      <c r="X2521" s="220"/>
      <c r="Z2521" s="227"/>
      <c r="AA2521" s="220"/>
      <c r="AB2521" s="221"/>
      <c r="AC2521" s="229"/>
      <c r="AD2521" s="230"/>
      <c r="AE2521" s="230"/>
      <c r="AF2521" s="230"/>
      <c r="AG2521" s="227"/>
    </row>
    <row r="2522" spans="1:33" x14ac:dyDescent="0.25">
      <c r="A2522" s="32"/>
      <c r="B2522" s="306"/>
      <c r="C2522" s="307"/>
      <c r="D2522" s="312"/>
      <c r="E2522" s="301"/>
      <c r="F2522" s="232"/>
      <c r="J2522" s="306"/>
      <c r="K2522" s="306"/>
      <c r="L2522" s="313"/>
      <c r="M2522" s="219"/>
      <c r="N2522" s="218"/>
      <c r="S2522" s="224"/>
      <c r="T2522" s="228"/>
      <c r="U2522" s="226"/>
      <c r="V2522" s="226"/>
      <c r="W2522" s="303"/>
      <c r="X2522" s="220"/>
      <c r="Z2522" s="227"/>
      <c r="AA2522" s="220"/>
      <c r="AB2522" s="221"/>
      <c r="AC2522" s="229"/>
      <c r="AD2522" s="230"/>
      <c r="AE2522" s="230"/>
      <c r="AF2522" s="230"/>
      <c r="AG2522" s="227"/>
    </row>
    <row r="2523" spans="1:33" x14ac:dyDescent="0.25">
      <c r="A2523" s="32"/>
      <c r="B2523" s="306"/>
      <c r="C2523" s="307"/>
      <c r="D2523" s="312"/>
      <c r="E2523" s="301"/>
      <c r="F2523" s="232"/>
      <c r="J2523" s="306"/>
      <c r="K2523" s="306"/>
      <c r="L2523" s="313"/>
      <c r="M2523" s="219"/>
      <c r="N2523" s="218"/>
      <c r="S2523" s="224"/>
      <c r="T2523" s="228"/>
      <c r="U2523" s="226"/>
      <c r="V2523" s="226"/>
      <c r="W2523" s="303"/>
      <c r="X2523" s="220"/>
      <c r="Z2523" s="227"/>
      <c r="AA2523" s="220"/>
      <c r="AB2523" s="221"/>
      <c r="AC2523" s="229"/>
      <c r="AD2523" s="230"/>
      <c r="AE2523" s="230"/>
      <c r="AF2523" s="230"/>
      <c r="AG2523" s="227"/>
    </row>
    <row r="2524" spans="1:33" x14ac:dyDescent="0.25">
      <c r="A2524" s="32"/>
      <c r="B2524" s="306"/>
      <c r="C2524" s="307"/>
      <c r="D2524" s="312"/>
      <c r="E2524" s="301"/>
      <c r="F2524" s="232"/>
      <c r="J2524" s="306"/>
      <c r="K2524" s="306"/>
      <c r="L2524" s="313"/>
      <c r="M2524" s="219"/>
      <c r="N2524" s="218"/>
      <c r="S2524" s="224"/>
      <c r="T2524" s="228"/>
      <c r="U2524" s="226"/>
      <c r="V2524" s="226"/>
      <c r="W2524" s="303"/>
      <c r="X2524" s="220"/>
      <c r="Z2524" s="227"/>
      <c r="AA2524" s="220"/>
      <c r="AB2524" s="221"/>
      <c r="AC2524" s="229"/>
      <c r="AD2524" s="230"/>
      <c r="AE2524" s="230"/>
      <c r="AF2524" s="230"/>
      <c r="AG2524" s="227"/>
    </row>
    <row r="2525" spans="1:33" x14ac:dyDescent="0.25">
      <c r="A2525" s="32"/>
      <c r="B2525" s="306"/>
      <c r="C2525" s="307"/>
      <c r="D2525" s="312"/>
      <c r="E2525" s="301"/>
      <c r="F2525" s="232"/>
      <c r="J2525" s="306"/>
      <c r="K2525" s="306"/>
      <c r="L2525" s="313"/>
      <c r="M2525" s="219"/>
      <c r="N2525" s="218"/>
      <c r="S2525" s="224"/>
      <c r="T2525" s="228"/>
      <c r="U2525" s="226"/>
      <c r="V2525" s="226"/>
      <c r="W2525" s="303"/>
      <c r="X2525" s="220"/>
      <c r="Z2525" s="227"/>
      <c r="AA2525" s="220"/>
      <c r="AB2525" s="221"/>
      <c r="AC2525" s="229"/>
      <c r="AD2525" s="230"/>
      <c r="AE2525" s="230"/>
      <c r="AF2525" s="230"/>
      <c r="AG2525" s="227"/>
    </row>
    <row r="2526" spans="1:33" x14ac:dyDescent="0.25">
      <c r="A2526" s="32"/>
      <c r="B2526" s="306"/>
      <c r="C2526" s="307"/>
      <c r="D2526" s="312"/>
      <c r="E2526" s="301"/>
      <c r="F2526" s="232"/>
      <c r="J2526" s="306"/>
      <c r="K2526" s="306"/>
      <c r="L2526" s="313"/>
      <c r="M2526" s="219"/>
      <c r="N2526" s="218"/>
      <c r="S2526" s="224"/>
      <c r="T2526" s="228"/>
      <c r="U2526" s="226"/>
      <c r="V2526" s="226"/>
      <c r="W2526" s="303"/>
      <c r="X2526" s="220"/>
      <c r="Z2526" s="227"/>
      <c r="AA2526" s="220"/>
      <c r="AB2526" s="221"/>
      <c r="AC2526" s="229"/>
      <c r="AD2526" s="230"/>
      <c r="AE2526" s="230"/>
      <c r="AF2526" s="230"/>
      <c r="AG2526" s="227"/>
    </row>
    <row r="2527" spans="1:33" x14ac:dyDescent="0.25">
      <c r="A2527" s="32"/>
      <c r="B2527" s="306"/>
      <c r="C2527" s="307"/>
      <c r="D2527" s="312"/>
      <c r="E2527" s="301"/>
      <c r="F2527" s="232"/>
      <c r="J2527" s="306"/>
      <c r="K2527" s="306"/>
      <c r="L2527" s="313"/>
      <c r="M2527" s="219"/>
      <c r="N2527" s="218"/>
      <c r="S2527" s="224"/>
      <c r="T2527" s="228"/>
      <c r="U2527" s="226"/>
      <c r="V2527" s="226"/>
      <c r="W2527" s="303"/>
      <c r="X2527" s="220"/>
      <c r="Z2527" s="227"/>
      <c r="AA2527" s="220"/>
      <c r="AB2527" s="221"/>
      <c r="AC2527" s="229"/>
      <c r="AD2527" s="230"/>
      <c r="AE2527" s="230"/>
      <c r="AF2527" s="230"/>
      <c r="AG2527" s="227"/>
    </row>
    <row r="2528" spans="1:33" x14ac:dyDescent="0.25">
      <c r="A2528" s="32"/>
      <c r="B2528" s="306"/>
      <c r="C2528" s="307"/>
      <c r="D2528" s="312"/>
      <c r="E2528" s="301"/>
      <c r="F2528" s="232"/>
      <c r="J2528" s="306"/>
      <c r="K2528" s="306"/>
      <c r="L2528" s="313"/>
      <c r="M2528" s="219"/>
      <c r="N2528" s="218"/>
      <c r="S2528" s="224"/>
      <c r="T2528" s="228"/>
      <c r="U2528" s="226"/>
      <c r="V2528" s="226"/>
      <c r="W2528" s="303"/>
      <c r="X2528" s="220"/>
      <c r="Z2528" s="227"/>
      <c r="AA2528" s="220"/>
      <c r="AB2528" s="221"/>
      <c r="AC2528" s="229"/>
      <c r="AD2528" s="230"/>
      <c r="AE2528" s="230"/>
      <c r="AF2528" s="230"/>
      <c r="AG2528" s="227"/>
    </row>
    <row r="2529" spans="1:33" x14ac:dyDescent="0.25">
      <c r="A2529" s="32"/>
      <c r="B2529" s="306"/>
      <c r="C2529" s="307"/>
      <c r="D2529" s="312"/>
      <c r="E2529" s="301"/>
      <c r="F2529" s="232"/>
      <c r="J2529" s="306"/>
      <c r="K2529" s="306"/>
      <c r="L2529" s="313"/>
      <c r="M2529" s="219"/>
      <c r="N2529" s="218"/>
      <c r="S2529" s="224"/>
      <c r="T2529" s="228"/>
      <c r="U2529" s="226"/>
      <c r="V2529" s="226"/>
      <c r="W2529" s="303"/>
      <c r="X2529" s="220"/>
      <c r="Z2529" s="227"/>
      <c r="AA2529" s="220"/>
      <c r="AB2529" s="221"/>
      <c r="AC2529" s="229"/>
      <c r="AD2529" s="230"/>
      <c r="AE2529" s="230"/>
      <c r="AF2529" s="230"/>
      <c r="AG2529" s="227"/>
    </row>
    <row r="2530" spans="1:33" x14ac:dyDescent="0.25">
      <c r="A2530" s="32"/>
      <c r="B2530" s="306"/>
      <c r="C2530" s="307"/>
      <c r="D2530" s="312"/>
      <c r="E2530" s="301"/>
      <c r="F2530" s="232"/>
      <c r="J2530" s="306"/>
      <c r="K2530" s="306"/>
      <c r="L2530" s="313"/>
      <c r="M2530" s="219"/>
      <c r="N2530" s="218"/>
      <c r="S2530" s="224"/>
      <c r="T2530" s="228"/>
      <c r="U2530" s="226"/>
      <c r="V2530" s="226"/>
      <c r="W2530" s="303"/>
      <c r="X2530" s="220"/>
      <c r="Z2530" s="227"/>
      <c r="AA2530" s="220"/>
      <c r="AB2530" s="221"/>
      <c r="AC2530" s="229"/>
      <c r="AD2530" s="230"/>
      <c r="AE2530" s="230"/>
      <c r="AF2530" s="230"/>
      <c r="AG2530" s="227"/>
    </row>
    <row r="2531" spans="1:33" x14ac:dyDescent="0.25">
      <c r="A2531" s="32"/>
      <c r="B2531" s="306"/>
      <c r="C2531" s="307"/>
      <c r="D2531" s="312"/>
      <c r="E2531" s="301"/>
      <c r="F2531" s="232"/>
      <c r="J2531" s="306"/>
      <c r="K2531" s="306"/>
      <c r="L2531" s="313"/>
      <c r="M2531" s="219"/>
      <c r="N2531" s="218"/>
      <c r="S2531" s="224"/>
      <c r="T2531" s="228"/>
      <c r="U2531" s="226"/>
      <c r="V2531" s="226"/>
      <c r="W2531" s="303"/>
      <c r="X2531" s="220"/>
      <c r="Z2531" s="227"/>
      <c r="AA2531" s="220"/>
      <c r="AB2531" s="221"/>
      <c r="AC2531" s="229"/>
      <c r="AD2531" s="230"/>
      <c r="AE2531" s="230"/>
      <c r="AF2531" s="230"/>
      <c r="AG2531" s="227"/>
    </row>
    <row r="2532" spans="1:33" x14ac:dyDescent="0.25">
      <c r="A2532" s="32"/>
      <c r="B2532" s="306"/>
      <c r="C2532" s="307"/>
      <c r="D2532" s="312"/>
      <c r="E2532" s="301"/>
      <c r="F2532" s="232"/>
      <c r="J2532" s="306"/>
      <c r="K2532" s="306"/>
      <c r="L2532" s="313"/>
      <c r="M2532" s="219"/>
      <c r="N2532" s="218"/>
      <c r="S2532" s="224"/>
      <c r="T2532" s="228"/>
      <c r="U2532" s="226"/>
      <c r="V2532" s="226"/>
      <c r="W2532" s="303"/>
      <c r="X2532" s="220"/>
      <c r="Z2532" s="227"/>
      <c r="AA2532" s="220"/>
      <c r="AB2532" s="221"/>
      <c r="AC2532" s="229"/>
      <c r="AD2532" s="230"/>
      <c r="AE2532" s="230"/>
      <c r="AF2532" s="230"/>
      <c r="AG2532" s="227"/>
    </row>
    <row r="2533" spans="1:33" x14ac:dyDescent="0.25">
      <c r="A2533" s="32"/>
      <c r="B2533" s="306"/>
      <c r="C2533" s="307"/>
      <c r="D2533" s="312"/>
      <c r="E2533" s="301"/>
      <c r="F2533" s="232"/>
      <c r="J2533" s="306"/>
      <c r="K2533" s="306"/>
      <c r="L2533" s="313"/>
      <c r="M2533" s="219"/>
      <c r="N2533" s="218"/>
      <c r="S2533" s="224"/>
      <c r="T2533" s="228"/>
      <c r="U2533" s="226"/>
      <c r="V2533" s="226"/>
      <c r="W2533" s="303"/>
      <c r="X2533" s="220"/>
      <c r="Z2533" s="227"/>
      <c r="AA2533" s="220"/>
      <c r="AB2533" s="221"/>
      <c r="AC2533" s="229"/>
      <c r="AD2533" s="230"/>
      <c r="AE2533" s="230"/>
      <c r="AF2533" s="230"/>
      <c r="AG2533" s="227"/>
    </row>
    <row r="2534" spans="1:33" x14ac:dyDescent="0.25">
      <c r="A2534" s="32"/>
      <c r="B2534" s="306"/>
      <c r="C2534" s="307"/>
      <c r="D2534" s="312"/>
      <c r="E2534" s="301"/>
      <c r="F2534" s="232"/>
      <c r="J2534" s="306"/>
      <c r="K2534" s="306"/>
      <c r="L2534" s="313"/>
      <c r="M2534" s="219"/>
      <c r="N2534" s="218"/>
      <c r="S2534" s="224"/>
      <c r="T2534" s="228"/>
      <c r="U2534" s="226"/>
      <c r="V2534" s="226"/>
      <c r="W2534" s="303"/>
      <c r="X2534" s="220"/>
      <c r="Z2534" s="227"/>
      <c r="AA2534" s="220"/>
      <c r="AB2534" s="221"/>
      <c r="AC2534" s="229"/>
      <c r="AD2534" s="230"/>
      <c r="AE2534" s="230"/>
      <c r="AF2534" s="230"/>
      <c r="AG2534" s="227"/>
    </row>
    <row r="2535" spans="1:33" x14ac:dyDescent="0.25">
      <c r="A2535" s="32"/>
      <c r="B2535" s="306"/>
      <c r="C2535" s="307"/>
      <c r="D2535" s="312"/>
      <c r="E2535" s="301"/>
      <c r="F2535" s="232"/>
      <c r="J2535" s="306"/>
      <c r="K2535" s="306"/>
      <c r="L2535" s="313"/>
      <c r="M2535" s="219"/>
      <c r="N2535" s="218"/>
      <c r="S2535" s="224"/>
      <c r="T2535" s="228"/>
      <c r="U2535" s="226"/>
      <c r="V2535" s="226"/>
      <c r="W2535" s="303"/>
      <c r="X2535" s="220"/>
      <c r="Z2535" s="227"/>
      <c r="AA2535" s="220"/>
      <c r="AB2535" s="221"/>
      <c r="AC2535" s="229"/>
      <c r="AD2535" s="230"/>
      <c r="AE2535" s="230"/>
      <c r="AF2535" s="230"/>
      <c r="AG2535" s="227"/>
    </row>
    <row r="2536" spans="1:33" x14ac:dyDescent="0.25">
      <c r="A2536" s="32"/>
      <c r="B2536" s="306"/>
      <c r="C2536" s="307"/>
      <c r="D2536" s="312"/>
      <c r="E2536" s="301"/>
      <c r="F2536" s="232"/>
      <c r="J2536" s="306"/>
      <c r="K2536" s="306"/>
      <c r="L2536" s="313"/>
      <c r="M2536" s="219"/>
      <c r="N2536" s="218"/>
      <c r="S2536" s="224"/>
      <c r="T2536" s="228"/>
      <c r="U2536" s="226"/>
      <c r="V2536" s="226"/>
      <c r="W2536" s="303"/>
      <c r="X2536" s="220"/>
      <c r="Z2536" s="227"/>
      <c r="AA2536" s="220"/>
      <c r="AB2536" s="221"/>
      <c r="AC2536" s="229"/>
      <c r="AD2536" s="230"/>
      <c r="AE2536" s="230"/>
      <c r="AF2536" s="230"/>
      <c r="AG2536" s="227"/>
    </row>
    <row r="2537" spans="1:33" x14ac:dyDescent="0.25">
      <c r="A2537" s="32"/>
      <c r="B2537" s="306"/>
      <c r="C2537" s="307"/>
      <c r="D2537" s="312"/>
      <c r="E2537" s="301"/>
      <c r="F2537" s="232"/>
      <c r="J2537" s="306"/>
      <c r="K2537" s="306"/>
      <c r="L2537" s="313"/>
      <c r="M2537" s="219"/>
      <c r="N2537" s="218"/>
      <c r="S2537" s="224"/>
      <c r="T2537" s="228"/>
      <c r="U2537" s="226"/>
      <c r="V2537" s="226"/>
      <c r="W2537" s="303"/>
      <c r="X2537" s="220"/>
      <c r="Z2537" s="227"/>
      <c r="AA2537" s="220"/>
      <c r="AB2537" s="221"/>
      <c r="AC2537" s="229"/>
      <c r="AD2537" s="230"/>
      <c r="AE2537" s="230"/>
      <c r="AF2537" s="230"/>
      <c r="AG2537" s="227"/>
    </row>
    <row r="2538" spans="1:33" x14ac:dyDescent="0.25">
      <c r="A2538" s="32"/>
      <c r="B2538" s="306"/>
      <c r="C2538" s="307"/>
      <c r="D2538" s="312"/>
      <c r="E2538" s="301"/>
      <c r="F2538" s="232"/>
      <c r="J2538" s="306"/>
      <c r="K2538" s="306"/>
      <c r="L2538" s="313"/>
      <c r="M2538" s="219"/>
      <c r="N2538" s="218"/>
      <c r="S2538" s="224"/>
      <c r="T2538" s="228"/>
      <c r="U2538" s="226"/>
      <c r="V2538" s="226"/>
      <c r="W2538" s="303"/>
      <c r="X2538" s="220"/>
      <c r="Z2538" s="227"/>
      <c r="AA2538" s="220"/>
      <c r="AB2538" s="221"/>
      <c r="AC2538" s="229"/>
      <c r="AD2538" s="230"/>
      <c r="AE2538" s="230"/>
      <c r="AF2538" s="230"/>
      <c r="AG2538" s="227"/>
    </row>
    <row r="2539" spans="1:33" x14ac:dyDescent="0.25">
      <c r="A2539" s="32"/>
      <c r="B2539" s="306"/>
      <c r="C2539" s="307"/>
      <c r="D2539" s="312"/>
      <c r="E2539" s="301"/>
      <c r="F2539" s="232"/>
      <c r="J2539" s="306"/>
      <c r="K2539" s="306"/>
      <c r="L2539" s="313"/>
      <c r="M2539" s="219"/>
      <c r="N2539" s="218"/>
      <c r="S2539" s="224"/>
      <c r="T2539" s="228"/>
      <c r="U2539" s="226"/>
      <c r="V2539" s="226"/>
      <c r="W2539" s="303"/>
      <c r="X2539" s="220"/>
      <c r="Z2539" s="227"/>
      <c r="AA2539" s="220"/>
      <c r="AB2539" s="221"/>
      <c r="AC2539" s="229"/>
      <c r="AD2539" s="230"/>
      <c r="AE2539" s="230"/>
      <c r="AF2539" s="230"/>
      <c r="AG2539" s="227"/>
    </row>
    <row r="2540" spans="1:33" x14ac:dyDescent="0.25">
      <c r="A2540" s="32"/>
      <c r="B2540" s="306"/>
      <c r="C2540" s="307"/>
      <c r="D2540" s="312"/>
      <c r="E2540" s="301"/>
      <c r="F2540" s="232"/>
      <c r="J2540" s="306"/>
      <c r="K2540" s="306"/>
      <c r="L2540" s="313"/>
      <c r="M2540" s="219"/>
      <c r="N2540" s="218"/>
      <c r="S2540" s="224"/>
      <c r="T2540" s="228"/>
      <c r="U2540" s="226"/>
      <c r="V2540" s="226"/>
      <c r="W2540" s="303"/>
      <c r="X2540" s="220"/>
      <c r="Z2540" s="227"/>
      <c r="AA2540" s="220"/>
      <c r="AB2540" s="221"/>
      <c r="AC2540" s="229"/>
      <c r="AD2540" s="230"/>
      <c r="AE2540" s="230"/>
      <c r="AF2540" s="230"/>
      <c r="AG2540" s="227"/>
    </row>
    <row r="2541" spans="1:33" x14ac:dyDescent="0.25">
      <c r="A2541" s="32"/>
      <c r="B2541" s="306"/>
      <c r="C2541" s="307"/>
      <c r="D2541" s="312"/>
      <c r="E2541" s="301"/>
      <c r="F2541" s="232"/>
      <c r="J2541" s="306"/>
      <c r="K2541" s="306"/>
      <c r="L2541" s="313"/>
      <c r="M2541" s="219"/>
      <c r="N2541" s="218"/>
      <c r="S2541" s="224"/>
      <c r="T2541" s="228"/>
      <c r="U2541" s="226"/>
      <c r="V2541" s="226"/>
      <c r="W2541" s="303"/>
      <c r="X2541" s="220"/>
      <c r="Z2541" s="227"/>
      <c r="AA2541" s="220"/>
      <c r="AB2541" s="221"/>
      <c r="AC2541" s="229"/>
      <c r="AD2541" s="230"/>
      <c r="AE2541" s="230"/>
      <c r="AF2541" s="230"/>
      <c r="AG2541" s="227"/>
    </row>
    <row r="2542" spans="1:33" x14ac:dyDescent="0.25">
      <c r="A2542" s="32"/>
      <c r="B2542" s="306"/>
      <c r="C2542" s="307"/>
      <c r="D2542" s="312"/>
      <c r="E2542" s="301"/>
      <c r="F2542" s="232"/>
      <c r="J2542" s="306"/>
      <c r="K2542" s="306"/>
      <c r="L2542" s="313"/>
      <c r="M2542" s="219"/>
      <c r="N2542" s="218"/>
      <c r="S2542" s="224"/>
      <c r="T2542" s="228"/>
      <c r="U2542" s="226"/>
      <c r="V2542" s="226"/>
      <c r="W2542" s="303"/>
      <c r="X2542" s="220"/>
      <c r="Z2542" s="227"/>
      <c r="AA2542" s="220"/>
      <c r="AB2542" s="221"/>
      <c r="AC2542" s="229"/>
      <c r="AD2542" s="230"/>
      <c r="AE2542" s="230"/>
      <c r="AF2542" s="230"/>
      <c r="AG2542" s="227"/>
    </row>
    <row r="2543" spans="1:33" x14ac:dyDescent="0.25">
      <c r="A2543" s="32"/>
      <c r="B2543" s="306"/>
      <c r="C2543" s="307"/>
      <c r="D2543" s="312"/>
      <c r="E2543" s="301"/>
      <c r="F2543" s="232"/>
      <c r="J2543" s="306"/>
      <c r="K2543" s="306"/>
      <c r="L2543" s="313"/>
      <c r="M2543" s="219"/>
      <c r="N2543" s="218"/>
      <c r="S2543" s="224"/>
      <c r="T2543" s="228"/>
      <c r="U2543" s="226"/>
      <c r="V2543" s="226"/>
      <c r="W2543" s="303"/>
      <c r="X2543" s="220"/>
      <c r="Z2543" s="227"/>
      <c r="AA2543" s="220"/>
      <c r="AB2543" s="221"/>
      <c r="AC2543" s="229"/>
      <c r="AD2543" s="230"/>
      <c r="AE2543" s="230"/>
      <c r="AF2543" s="230"/>
      <c r="AG2543" s="227"/>
    </row>
    <row r="2544" spans="1:33" x14ac:dyDescent="0.25">
      <c r="A2544" s="32"/>
      <c r="B2544" s="306"/>
      <c r="C2544" s="307"/>
      <c r="D2544" s="312"/>
      <c r="E2544" s="301"/>
      <c r="F2544" s="232"/>
      <c r="J2544" s="306"/>
      <c r="K2544" s="306"/>
      <c r="L2544" s="313"/>
      <c r="M2544" s="219"/>
      <c r="N2544" s="218"/>
      <c r="S2544" s="224"/>
      <c r="T2544" s="228"/>
      <c r="U2544" s="226"/>
      <c r="V2544" s="226"/>
      <c r="W2544" s="303"/>
      <c r="X2544" s="220"/>
      <c r="Z2544" s="227"/>
      <c r="AA2544" s="220"/>
      <c r="AB2544" s="221"/>
      <c r="AC2544" s="229"/>
      <c r="AD2544" s="230"/>
      <c r="AE2544" s="230"/>
      <c r="AF2544" s="230"/>
      <c r="AG2544" s="227"/>
    </row>
    <row r="2545" spans="1:33" x14ac:dyDescent="0.25">
      <c r="A2545" s="32"/>
      <c r="B2545" s="306"/>
      <c r="C2545" s="307"/>
      <c r="D2545" s="312"/>
      <c r="E2545" s="301"/>
      <c r="F2545" s="232"/>
      <c r="J2545" s="306"/>
      <c r="K2545" s="306"/>
      <c r="L2545" s="313"/>
      <c r="M2545" s="219"/>
      <c r="N2545" s="218"/>
      <c r="S2545" s="224"/>
      <c r="T2545" s="228"/>
      <c r="U2545" s="226"/>
      <c r="V2545" s="226"/>
      <c r="W2545" s="303"/>
      <c r="X2545" s="220"/>
      <c r="Z2545" s="227"/>
      <c r="AA2545" s="220"/>
      <c r="AB2545" s="221"/>
      <c r="AC2545" s="229"/>
      <c r="AD2545" s="230"/>
      <c r="AE2545" s="230"/>
      <c r="AF2545" s="230"/>
      <c r="AG2545" s="227"/>
    </row>
    <row r="2546" spans="1:33" x14ac:dyDescent="0.25">
      <c r="A2546" s="32"/>
      <c r="B2546" s="306"/>
      <c r="C2546" s="307"/>
      <c r="D2546" s="312"/>
      <c r="E2546" s="301"/>
      <c r="F2546" s="232"/>
      <c r="J2546" s="306"/>
      <c r="K2546" s="306"/>
      <c r="L2546" s="313"/>
      <c r="M2546" s="219"/>
      <c r="N2546" s="218"/>
      <c r="S2546" s="224"/>
      <c r="T2546" s="228"/>
      <c r="U2546" s="226"/>
      <c r="V2546" s="226"/>
      <c r="W2546" s="303"/>
      <c r="X2546" s="220"/>
      <c r="Z2546" s="227"/>
      <c r="AA2546" s="220"/>
      <c r="AB2546" s="221"/>
      <c r="AC2546" s="229"/>
      <c r="AD2546" s="230"/>
      <c r="AE2546" s="230"/>
      <c r="AF2546" s="230"/>
      <c r="AG2546" s="227"/>
    </row>
    <row r="2547" spans="1:33" x14ac:dyDescent="0.25">
      <c r="A2547" s="32"/>
      <c r="B2547" s="306"/>
      <c r="C2547" s="307"/>
      <c r="D2547" s="312"/>
      <c r="E2547" s="301"/>
      <c r="F2547" s="232"/>
      <c r="J2547" s="306"/>
      <c r="K2547" s="306"/>
      <c r="L2547" s="313"/>
      <c r="M2547" s="219"/>
      <c r="N2547" s="218"/>
      <c r="S2547" s="224"/>
      <c r="T2547" s="228"/>
      <c r="U2547" s="226"/>
      <c r="V2547" s="226"/>
      <c r="W2547" s="303"/>
      <c r="X2547" s="220"/>
      <c r="Z2547" s="227"/>
      <c r="AA2547" s="220"/>
      <c r="AB2547" s="221"/>
      <c r="AC2547" s="229"/>
      <c r="AD2547" s="230"/>
      <c r="AE2547" s="230"/>
      <c r="AF2547" s="230"/>
      <c r="AG2547" s="227"/>
    </row>
    <row r="2548" spans="1:33" x14ac:dyDescent="0.25">
      <c r="A2548" s="32"/>
      <c r="B2548" s="306"/>
      <c r="C2548" s="307"/>
      <c r="D2548" s="312"/>
      <c r="E2548" s="301"/>
      <c r="F2548" s="232"/>
      <c r="J2548" s="306"/>
      <c r="K2548" s="306"/>
      <c r="L2548" s="313"/>
      <c r="M2548" s="219"/>
      <c r="N2548" s="218"/>
      <c r="S2548" s="224"/>
      <c r="T2548" s="228"/>
      <c r="U2548" s="226"/>
      <c r="V2548" s="226"/>
      <c r="W2548" s="303"/>
      <c r="X2548" s="220"/>
      <c r="Z2548" s="227"/>
      <c r="AA2548" s="220"/>
      <c r="AB2548" s="221"/>
      <c r="AC2548" s="229"/>
      <c r="AD2548" s="230"/>
      <c r="AE2548" s="230"/>
      <c r="AF2548" s="230"/>
      <c r="AG2548" s="227"/>
    </row>
    <row r="2549" spans="1:33" x14ac:dyDescent="0.25">
      <c r="A2549" s="32"/>
      <c r="B2549" s="306"/>
      <c r="C2549" s="307"/>
      <c r="D2549" s="312"/>
      <c r="E2549" s="301"/>
      <c r="F2549" s="232"/>
      <c r="J2549" s="306"/>
      <c r="K2549" s="306"/>
      <c r="L2549" s="313"/>
      <c r="M2549" s="219"/>
      <c r="N2549" s="218"/>
      <c r="S2549" s="224"/>
      <c r="T2549" s="228"/>
      <c r="U2549" s="226"/>
      <c r="V2549" s="226"/>
      <c r="W2549" s="303"/>
      <c r="X2549" s="220"/>
      <c r="Z2549" s="227"/>
      <c r="AA2549" s="220"/>
      <c r="AB2549" s="221"/>
      <c r="AC2549" s="229"/>
      <c r="AD2549" s="230"/>
      <c r="AE2549" s="230"/>
      <c r="AF2549" s="230"/>
      <c r="AG2549" s="227"/>
    </row>
    <row r="2550" spans="1:33" x14ac:dyDescent="0.25">
      <c r="A2550" s="32"/>
      <c r="B2550" s="306"/>
      <c r="C2550" s="307"/>
      <c r="D2550" s="312"/>
      <c r="E2550" s="301"/>
      <c r="F2550" s="232"/>
      <c r="J2550" s="306"/>
      <c r="K2550" s="306"/>
      <c r="L2550" s="313"/>
      <c r="M2550" s="219"/>
      <c r="N2550" s="218"/>
      <c r="S2550" s="224"/>
      <c r="T2550" s="228"/>
      <c r="U2550" s="226"/>
      <c r="V2550" s="226"/>
      <c r="W2550" s="303"/>
      <c r="X2550" s="220"/>
      <c r="Z2550" s="227"/>
      <c r="AA2550" s="220"/>
      <c r="AB2550" s="221"/>
      <c r="AC2550" s="229"/>
      <c r="AD2550" s="230"/>
      <c r="AE2550" s="230"/>
      <c r="AF2550" s="230"/>
      <c r="AG2550" s="227"/>
    </row>
    <row r="2551" spans="1:33" x14ac:dyDescent="0.25">
      <c r="A2551" s="32"/>
      <c r="B2551" s="306"/>
      <c r="C2551" s="307"/>
      <c r="D2551" s="312"/>
      <c r="E2551" s="301"/>
      <c r="F2551" s="232"/>
      <c r="J2551" s="306"/>
      <c r="K2551" s="306"/>
      <c r="L2551" s="313"/>
      <c r="M2551" s="219"/>
      <c r="N2551" s="218"/>
      <c r="S2551" s="224"/>
      <c r="T2551" s="228"/>
      <c r="U2551" s="226"/>
      <c r="V2551" s="226"/>
      <c r="W2551" s="303"/>
      <c r="X2551" s="220"/>
      <c r="Z2551" s="227"/>
      <c r="AA2551" s="220"/>
      <c r="AB2551" s="221"/>
      <c r="AC2551" s="229"/>
      <c r="AD2551" s="230"/>
      <c r="AE2551" s="230"/>
      <c r="AF2551" s="230"/>
      <c r="AG2551" s="227"/>
    </row>
    <row r="2552" spans="1:33" x14ac:dyDescent="0.25">
      <c r="A2552" s="32"/>
      <c r="B2552" s="306"/>
      <c r="C2552" s="307"/>
      <c r="D2552" s="312"/>
      <c r="E2552" s="301"/>
      <c r="F2552" s="232"/>
      <c r="J2552" s="306"/>
      <c r="K2552" s="306"/>
      <c r="L2552" s="313"/>
      <c r="M2552" s="219"/>
      <c r="N2552" s="218"/>
      <c r="S2552" s="224"/>
      <c r="T2552" s="228"/>
      <c r="U2552" s="226"/>
      <c r="V2552" s="226"/>
      <c r="W2552" s="303"/>
      <c r="X2552" s="220"/>
      <c r="Z2552" s="227"/>
      <c r="AA2552" s="220"/>
      <c r="AB2552" s="221"/>
      <c r="AC2552" s="229"/>
      <c r="AD2552" s="230"/>
      <c r="AE2552" s="230"/>
      <c r="AF2552" s="230"/>
      <c r="AG2552" s="227"/>
    </row>
    <row r="2553" spans="1:33" x14ac:dyDescent="0.25">
      <c r="A2553" s="32"/>
      <c r="B2553" s="306"/>
      <c r="C2553" s="307"/>
      <c r="D2553" s="312"/>
      <c r="E2553" s="301"/>
      <c r="F2553" s="232"/>
      <c r="J2553" s="306"/>
      <c r="K2553" s="306"/>
      <c r="L2553" s="313"/>
      <c r="M2553" s="219"/>
      <c r="N2553" s="218"/>
      <c r="S2553" s="224"/>
      <c r="T2553" s="228"/>
      <c r="U2553" s="226"/>
      <c r="V2553" s="226"/>
      <c r="W2553" s="303"/>
      <c r="X2553" s="220"/>
      <c r="Z2553" s="227"/>
      <c r="AA2553" s="220"/>
      <c r="AB2553" s="221"/>
      <c r="AC2553" s="229"/>
      <c r="AD2553" s="230"/>
      <c r="AE2553" s="230"/>
      <c r="AF2553" s="230"/>
      <c r="AG2553" s="227"/>
    </row>
    <row r="2554" spans="1:33" x14ac:dyDescent="0.25">
      <c r="A2554" s="32"/>
      <c r="B2554" s="306"/>
      <c r="C2554" s="307"/>
      <c r="D2554" s="312"/>
      <c r="E2554" s="301"/>
      <c r="F2554" s="232"/>
      <c r="J2554" s="306"/>
      <c r="K2554" s="306"/>
      <c r="L2554" s="313"/>
      <c r="M2554" s="219"/>
      <c r="N2554" s="218"/>
      <c r="S2554" s="224"/>
      <c r="T2554" s="228"/>
      <c r="U2554" s="226"/>
      <c r="V2554" s="226"/>
      <c r="W2554" s="303"/>
      <c r="X2554" s="220"/>
      <c r="Z2554" s="227"/>
      <c r="AA2554" s="220"/>
      <c r="AB2554" s="221"/>
      <c r="AC2554" s="229"/>
      <c r="AD2554" s="230"/>
      <c r="AE2554" s="230"/>
      <c r="AF2554" s="230"/>
      <c r="AG2554" s="227"/>
    </row>
    <row r="2555" spans="1:33" x14ac:dyDescent="0.25">
      <c r="A2555" s="32"/>
      <c r="B2555" s="306"/>
      <c r="C2555" s="307"/>
      <c r="D2555" s="312"/>
      <c r="E2555" s="301"/>
      <c r="F2555" s="232"/>
      <c r="J2555" s="306"/>
      <c r="K2555" s="306"/>
      <c r="L2555" s="313"/>
      <c r="M2555" s="219"/>
      <c r="N2555" s="218"/>
      <c r="S2555" s="224"/>
      <c r="T2555" s="228"/>
      <c r="U2555" s="226"/>
      <c r="V2555" s="226"/>
      <c r="W2555" s="303"/>
      <c r="X2555" s="220"/>
      <c r="Z2555" s="227"/>
      <c r="AA2555" s="220"/>
      <c r="AB2555" s="221"/>
      <c r="AC2555" s="229"/>
      <c r="AD2555" s="230"/>
      <c r="AE2555" s="230"/>
      <c r="AF2555" s="230"/>
      <c r="AG2555" s="227"/>
    </row>
    <row r="2556" spans="1:33" x14ac:dyDescent="0.25">
      <c r="A2556" s="32"/>
      <c r="B2556" s="306"/>
      <c r="C2556" s="307"/>
      <c r="D2556" s="312"/>
      <c r="E2556" s="301"/>
      <c r="F2556" s="232"/>
      <c r="J2556" s="306"/>
      <c r="K2556" s="306"/>
      <c r="L2556" s="313"/>
      <c r="M2556" s="219"/>
      <c r="N2556" s="218"/>
      <c r="S2556" s="224"/>
      <c r="T2556" s="228"/>
      <c r="U2556" s="226"/>
      <c r="V2556" s="226"/>
      <c r="W2556" s="303"/>
      <c r="X2556" s="220"/>
      <c r="Z2556" s="227"/>
      <c r="AA2556" s="220"/>
      <c r="AB2556" s="221"/>
      <c r="AC2556" s="229"/>
      <c r="AD2556" s="230"/>
      <c r="AE2556" s="230"/>
      <c r="AF2556" s="230"/>
      <c r="AG2556" s="227"/>
    </row>
    <row r="2557" spans="1:33" x14ac:dyDescent="0.25">
      <c r="A2557" s="32"/>
      <c r="B2557" s="306"/>
      <c r="C2557" s="307"/>
      <c r="D2557" s="312"/>
      <c r="E2557" s="301"/>
      <c r="F2557" s="232"/>
      <c r="J2557" s="306"/>
      <c r="K2557" s="306"/>
      <c r="L2557" s="313"/>
      <c r="M2557" s="219"/>
      <c r="N2557" s="218"/>
      <c r="S2557" s="224"/>
      <c r="T2557" s="228"/>
      <c r="U2557" s="226"/>
      <c r="V2557" s="226"/>
      <c r="W2557" s="303"/>
      <c r="X2557" s="220"/>
      <c r="Z2557" s="227"/>
      <c r="AA2557" s="220"/>
      <c r="AB2557" s="221"/>
      <c r="AC2557" s="229"/>
      <c r="AD2557" s="230"/>
      <c r="AE2557" s="230"/>
      <c r="AF2557" s="230"/>
      <c r="AG2557" s="227"/>
    </row>
    <row r="2558" spans="1:33" x14ac:dyDescent="0.25">
      <c r="A2558" s="32"/>
      <c r="B2558" s="306"/>
      <c r="C2558" s="307"/>
      <c r="D2558" s="312"/>
      <c r="E2558" s="301"/>
      <c r="F2558" s="232"/>
      <c r="J2558" s="306"/>
      <c r="K2558" s="306"/>
      <c r="L2558" s="313"/>
      <c r="M2558" s="219"/>
      <c r="N2558" s="218"/>
      <c r="S2558" s="224"/>
      <c r="T2558" s="228"/>
      <c r="U2558" s="226"/>
      <c r="V2558" s="226"/>
      <c r="W2558" s="303"/>
      <c r="X2558" s="220"/>
      <c r="Z2558" s="227"/>
      <c r="AA2558" s="220"/>
      <c r="AB2558" s="221"/>
      <c r="AC2558" s="229"/>
      <c r="AD2558" s="230"/>
      <c r="AE2558" s="230"/>
      <c r="AF2558" s="230"/>
      <c r="AG2558" s="227"/>
    </row>
    <row r="2559" spans="1:33" x14ac:dyDescent="0.25">
      <c r="A2559" s="32"/>
      <c r="B2559" s="306"/>
      <c r="C2559" s="307"/>
      <c r="D2559" s="312"/>
      <c r="E2559" s="301"/>
      <c r="F2559" s="232"/>
      <c r="J2559" s="306"/>
      <c r="K2559" s="306"/>
      <c r="L2559" s="313"/>
      <c r="M2559" s="219"/>
      <c r="N2559" s="218"/>
      <c r="S2559" s="224"/>
      <c r="T2559" s="228"/>
      <c r="U2559" s="226"/>
      <c r="V2559" s="226"/>
      <c r="W2559" s="303"/>
      <c r="X2559" s="220"/>
      <c r="Z2559" s="227"/>
      <c r="AA2559" s="220"/>
      <c r="AB2559" s="221"/>
      <c r="AC2559" s="229"/>
      <c r="AD2559" s="230"/>
      <c r="AE2559" s="230"/>
      <c r="AF2559" s="230"/>
      <c r="AG2559" s="227"/>
    </row>
    <row r="2560" spans="1:33" x14ac:dyDescent="0.25">
      <c r="A2560" s="32"/>
      <c r="B2560" s="306"/>
      <c r="C2560" s="307"/>
      <c r="D2560" s="312"/>
      <c r="E2560" s="301"/>
      <c r="F2560" s="232"/>
      <c r="J2560" s="306"/>
      <c r="K2560" s="306"/>
      <c r="L2560" s="313"/>
      <c r="M2560" s="219"/>
      <c r="N2560" s="218"/>
      <c r="S2560" s="224"/>
      <c r="T2560" s="228"/>
      <c r="U2560" s="226"/>
      <c r="V2560" s="226"/>
      <c r="W2560" s="303"/>
      <c r="X2560" s="220"/>
      <c r="Z2560" s="227"/>
      <c r="AA2560" s="220"/>
      <c r="AB2560" s="221"/>
      <c r="AC2560" s="229"/>
      <c r="AD2560" s="230"/>
      <c r="AE2560" s="230"/>
      <c r="AF2560" s="230"/>
      <c r="AG2560" s="227"/>
    </row>
    <row r="2561" spans="1:33" x14ac:dyDescent="0.25">
      <c r="A2561" s="32"/>
      <c r="B2561" s="306"/>
      <c r="C2561" s="307"/>
      <c r="D2561" s="312"/>
      <c r="E2561" s="301"/>
      <c r="F2561" s="232"/>
      <c r="J2561" s="306"/>
      <c r="K2561" s="306"/>
      <c r="L2561" s="313"/>
      <c r="M2561" s="219"/>
      <c r="N2561" s="218"/>
      <c r="S2561" s="224"/>
      <c r="T2561" s="228"/>
      <c r="U2561" s="226"/>
      <c r="V2561" s="226"/>
      <c r="W2561" s="303"/>
      <c r="X2561" s="220"/>
      <c r="Z2561" s="227"/>
      <c r="AA2561" s="220"/>
      <c r="AB2561" s="221"/>
      <c r="AC2561" s="229"/>
      <c r="AD2561" s="230"/>
      <c r="AE2561" s="230"/>
      <c r="AF2561" s="230"/>
      <c r="AG2561" s="227"/>
    </row>
    <row r="2562" spans="1:33" x14ac:dyDescent="0.25">
      <c r="A2562" s="32"/>
      <c r="B2562" s="306"/>
      <c r="C2562" s="307"/>
      <c r="D2562" s="312"/>
      <c r="E2562" s="301"/>
      <c r="F2562" s="232"/>
      <c r="J2562" s="306"/>
      <c r="K2562" s="306"/>
      <c r="L2562" s="313"/>
      <c r="M2562" s="219"/>
      <c r="N2562" s="218"/>
      <c r="S2562" s="224"/>
      <c r="T2562" s="228"/>
      <c r="U2562" s="226"/>
      <c r="V2562" s="226"/>
      <c r="W2562" s="303"/>
      <c r="X2562" s="220"/>
      <c r="Z2562" s="227"/>
      <c r="AA2562" s="220"/>
      <c r="AB2562" s="221"/>
      <c r="AC2562" s="229"/>
      <c r="AD2562" s="230"/>
      <c r="AE2562" s="230"/>
      <c r="AF2562" s="230"/>
      <c r="AG2562" s="227"/>
    </row>
    <row r="2563" spans="1:33" x14ac:dyDescent="0.25">
      <c r="A2563" s="32"/>
      <c r="B2563" s="306"/>
      <c r="C2563" s="307"/>
      <c r="D2563" s="312"/>
      <c r="E2563" s="301"/>
      <c r="F2563" s="232"/>
      <c r="J2563" s="306"/>
      <c r="K2563" s="306"/>
      <c r="L2563" s="313"/>
      <c r="M2563" s="219"/>
      <c r="N2563" s="218"/>
      <c r="S2563" s="224"/>
      <c r="T2563" s="228"/>
      <c r="U2563" s="226"/>
      <c r="V2563" s="226"/>
      <c r="W2563" s="303"/>
      <c r="X2563" s="220"/>
      <c r="Z2563" s="227"/>
      <c r="AA2563" s="220"/>
      <c r="AB2563" s="221"/>
      <c r="AC2563" s="229"/>
      <c r="AD2563" s="230"/>
      <c r="AE2563" s="230"/>
      <c r="AF2563" s="230"/>
      <c r="AG2563" s="227"/>
    </row>
    <row r="2564" spans="1:33" x14ac:dyDescent="0.25">
      <c r="A2564" s="32"/>
      <c r="B2564" s="306"/>
      <c r="C2564" s="307"/>
      <c r="D2564" s="312"/>
      <c r="E2564" s="301"/>
      <c r="F2564" s="232"/>
      <c r="J2564" s="306"/>
      <c r="K2564" s="306"/>
      <c r="L2564" s="313"/>
      <c r="M2564" s="219"/>
      <c r="N2564" s="218"/>
      <c r="S2564" s="224"/>
      <c r="T2564" s="228"/>
      <c r="U2564" s="226"/>
      <c r="V2564" s="226"/>
      <c r="W2564" s="303"/>
      <c r="X2564" s="220"/>
      <c r="Z2564" s="227"/>
      <c r="AA2564" s="220"/>
      <c r="AB2564" s="221"/>
      <c r="AC2564" s="229"/>
      <c r="AD2564" s="230"/>
      <c r="AE2564" s="230"/>
      <c r="AF2564" s="230"/>
      <c r="AG2564" s="227"/>
    </row>
    <row r="2565" spans="1:33" x14ac:dyDescent="0.25">
      <c r="A2565" s="32"/>
      <c r="B2565" s="306"/>
      <c r="C2565" s="307"/>
      <c r="D2565" s="312"/>
      <c r="E2565" s="301"/>
      <c r="F2565" s="232"/>
      <c r="J2565" s="306"/>
      <c r="K2565" s="306"/>
      <c r="L2565" s="313"/>
      <c r="M2565" s="219"/>
      <c r="N2565" s="218"/>
      <c r="S2565" s="224"/>
      <c r="T2565" s="228"/>
      <c r="U2565" s="226"/>
      <c r="V2565" s="226"/>
      <c r="W2565" s="303"/>
      <c r="X2565" s="220"/>
      <c r="Z2565" s="227"/>
      <c r="AA2565" s="220"/>
      <c r="AB2565" s="221"/>
      <c r="AC2565" s="229"/>
      <c r="AD2565" s="230"/>
      <c r="AE2565" s="230"/>
      <c r="AF2565" s="230"/>
      <c r="AG2565" s="227"/>
    </row>
    <row r="2566" spans="1:33" x14ac:dyDescent="0.25">
      <c r="A2566" s="32"/>
      <c r="B2566" s="306"/>
      <c r="C2566" s="307"/>
      <c r="D2566" s="312"/>
      <c r="E2566" s="301"/>
      <c r="F2566" s="232"/>
      <c r="J2566" s="306"/>
      <c r="K2566" s="306"/>
      <c r="L2566" s="313"/>
      <c r="M2566" s="219"/>
      <c r="N2566" s="218"/>
      <c r="S2566" s="224"/>
      <c r="T2566" s="228"/>
      <c r="U2566" s="226"/>
      <c r="V2566" s="226"/>
      <c r="W2566" s="303"/>
      <c r="X2566" s="220"/>
      <c r="Z2566" s="227"/>
      <c r="AA2566" s="220"/>
      <c r="AB2566" s="221"/>
      <c r="AC2566" s="229"/>
      <c r="AD2566" s="230"/>
      <c r="AE2566" s="230"/>
      <c r="AF2566" s="230"/>
      <c r="AG2566" s="227"/>
    </row>
    <row r="2567" spans="1:33" x14ac:dyDescent="0.25">
      <c r="A2567" s="32"/>
      <c r="B2567" s="306"/>
      <c r="C2567" s="307"/>
      <c r="D2567" s="312"/>
      <c r="E2567" s="301"/>
      <c r="F2567" s="232"/>
      <c r="J2567" s="306"/>
      <c r="K2567" s="306"/>
      <c r="L2567" s="313"/>
      <c r="M2567" s="219"/>
      <c r="N2567" s="218"/>
      <c r="S2567" s="224"/>
      <c r="T2567" s="228"/>
      <c r="U2567" s="226"/>
      <c r="V2567" s="226"/>
      <c r="W2567" s="303"/>
      <c r="X2567" s="220"/>
      <c r="Z2567" s="227"/>
      <c r="AA2567" s="220"/>
      <c r="AB2567" s="221"/>
      <c r="AC2567" s="229"/>
      <c r="AD2567" s="230"/>
      <c r="AE2567" s="230"/>
      <c r="AF2567" s="230"/>
      <c r="AG2567" s="227"/>
    </row>
    <row r="2568" spans="1:33" x14ac:dyDescent="0.25">
      <c r="A2568" s="32"/>
      <c r="B2568" s="306"/>
      <c r="C2568" s="307"/>
      <c r="D2568" s="312"/>
      <c r="E2568" s="301"/>
      <c r="F2568" s="232"/>
      <c r="J2568" s="306"/>
      <c r="K2568" s="306"/>
      <c r="L2568" s="313"/>
      <c r="M2568" s="219"/>
      <c r="N2568" s="218"/>
      <c r="S2568" s="224"/>
      <c r="T2568" s="228"/>
      <c r="U2568" s="226"/>
      <c r="V2568" s="226"/>
      <c r="W2568" s="303"/>
      <c r="X2568" s="220"/>
      <c r="Z2568" s="227"/>
      <c r="AA2568" s="220"/>
      <c r="AB2568" s="221"/>
      <c r="AC2568" s="229"/>
      <c r="AD2568" s="230"/>
      <c r="AE2568" s="230"/>
      <c r="AF2568" s="230"/>
      <c r="AG2568" s="227"/>
    </row>
    <row r="2569" spans="1:33" x14ac:dyDescent="0.25">
      <c r="A2569" s="32"/>
      <c r="B2569" s="306"/>
      <c r="C2569" s="307"/>
      <c r="D2569" s="312"/>
      <c r="E2569" s="301"/>
      <c r="F2569" s="232"/>
      <c r="J2569" s="306"/>
      <c r="K2569" s="306"/>
      <c r="L2569" s="313"/>
      <c r="M2569" s="219"/>
      <c r="N2569" s="218"/>
      <c r="S2569" s="224"/>
      <c r="T2569" s="228"/>
      <c r="U2569" s="226"/>
      <c r="V2569" s="226"/>
      <c r="W2569" s="303"/>
      <c r="X2569" s="220"/>
      <c r="Z2569" s="227"/>
      <c r="AA2569" s="220"/>
      <c r="AB2569" s="221"/>
      <c r="AC2569" s="229"/>
      <c r="AD2569" s="230"/>
      <c r="AE2569" s="230"/>
      <c r="AF2569" s="230"/>
      <c r="AG2569" s="227"/>
    </row>
    <row r="2570" spans="1:33" x14ac:dyDescent="0.25">
      <c r="A2570" s="32"/>
      <c r="B2570" s="306"/>
      <c r="C2570" s="307"/>
      <c r="D2570" s="312"/>
      <c r="E2570" s="301"/>
      <c r="F2570" s="232"/>
      <c r="J2570" s="306"/>
      <c r="K2570" s="306"/>
      <c r="L2570" s="313"/>
      <c r="M2570" s="219"/>
      <c r="N2570" s="218"/>
      <c r="S2570" s="224"/>
      <c r="T2570" s="228"/>
      <c r="U2570" s="226"/>
      <c r="V2570" s="226"/>
      <c r="W2570" s="303"/>
      <c r="X2570" s="220"/>
      <c r="Z2570" s="227"/>
      <c r="AA2570" s="220"/>
      <c r="AB2570" s="221"/>
      <c r="AC2570" s="229"/>
      <c r="AD2570" s="230"/>
      <c r="AE2570" s="230"/>
      <c r="AF2570" s="230"/>
      <c r="AG2570" s="227"/>
    </row>
    <row r="2571" spans="1:33" x14ac:dyDescent="0.25">
      <c r="A2571" s="32"/>
      <c r="B2571" s="306"/>
      <c r="C2571" s="307"/>
      <c r="D2571" s="312"/>
      <c r="E2571" s="301"/>
      <c r="F2571" s="232"/>
      <c r="J2571" s="306"/>
      <c r="K2571" s="306"/>
      <c r="L2571" s="313"/>
      <c r="M2571" s="219"/>
      <c r="N2571" s="218"/>
      <c r="S2571" s="224"/>
      <c r="T2571" s="228"/>
      <c r="U2571" s="226"/>
      <c r="V2571" s="226"/>
      <c r="W2571" s="303"/>
      <c r="X2571" s="220"/>
      <c r="Z2571" s="227"/>
      <c r="AA2571" s="220"/>
      <c r="AB2571" s="221"/>
      <c r="AC2571" s="229"/>
      <c r="AD2571" s="230"/>
      <c r="AE2571" s="230"/>
      <c r="AF2571" s="230"/>
      <c r="AG2571" s="227"/>
    </row>
    <row r="2572" spans="1:33" x14ac:dyDescent="0.25">
      <c r="A2572" s="32"/>
      <c r="B2572" s="306"/>
      <c r="C2572" s="307"/>
      <c r="D2572" s="312"/>
      <c r="E2572" s="301"/>
      <c r="F2572" s="232"/>
      <c r="J2572" s="306"/>
      <c r="K2572" s="306"/>
      <c r="L2572" s="313"/>
      <c r="M2572" s="219"/>
      <c r="N2572" s="218"/>
      <c r="S2572" s="224"/>
      <c r="T2572" s="228"/>
      <c r="U2572" s="226"/>
      <c r="V2572" s="226"/>
      <c r="W2572" s="303"/>
      <c r="X2572" s="220"/>
      <c r="Z2572" s="227"/>
      <c r="AA2572" s="220"/>
      <c r="AB2572" s="221"/>
      <c r="AC2572" s="229"/>
      <c r="AD2572" s="230"/>
      <c r="AE2572" s="230"/>
      <c r="AF2572" s="230"/>
      <c r="AG2572" s="227"/>
    </row>
    <row r="2573" spans="1:33" x14ac:dyDescent="0.25">
      <c r="A2573" s="32"/>
      <c r="B2573" s="306"/>
      <c r="C2573" s="307"/>
      <c r="D2573" s="312"/>
      <c r="E2573" s="301"/>
      <c r="F2573" s="232"/>
      <c r="J2573" s="306"/>
      <c r="K2573" s="306"/>
      <c r="L2573" s="313"/>
      <c r="M2573" s="219"/>
      <c r="N2573" s="218"/>
      <c r="S2573" s="224"/>
      <c r="T2573" s="228"/>
      <c r="U2573" s="226"/>
      <c r="V2573" s="226"/>
      <c r="W2573" s="303"/>
      <c r="X2573" s="220"/>
      <c r="Z2573" s="227"/>
      <c r="AA2573" s="220"/>
      <c r="AB2573" s="221"/>
      <c r="AC2573" s="229"/>
      <c r="AD2573" s="230"/>
      <c r="AE2573" s="230"/>
      <c r="AF2573" s="230"/>
      <c r="AG2573" s="227"/>
    </row>
    <row r="2574" spans="1:33" x14ac:dyDescent="0.25">
      <c r="A2574" s="32"/>
      <c r="B2574" s="306"/>
      <c r="C2574" s="307"/>
      <c r="D2574" s="312"/>
      <c r="E2574" s="301"/>
      <c r="F2574" s="232"/>
      <c r="J2574" s="306"/>
      <c r="K2574" s="306"/>
      <c r="L2574" s="313"/>
      <c r="M2574" s="219"/>
      <c r="N2574" s="218"/>
      <c r="S2574" s="224"/>
      <c r="T2574" s="228"/>
      <c r="U2574" s="226"/>
      <c r="V2574" s="226"/>
      <c r="W2574" s="303"/>
      <c r="X2574" s="220"/>
      <c r="Z2574" s="227"/>
      <c r="AA2574" s="220"/>
      <c r="AB2574" s="221"/>
      <c r="AC2574" s="229"/>
      <c r="AD2574" s="230"/>
      <c r="AE2574" s="230"/>
      <c r="AF2574" s="230"/>
      <c r="AG2574" s="227"/>
    </row>
    <row r="2575" spans="1:33" x14ac:dyDescent="0.25">
      <c r="A2575" s="32"/>
      <c r="B2575" s="306"/>
      <c r="C2575" s="307"/>
      <c r="D2575" s="312"/>
      <c r="E2575" s="301"/>
      <c r="F2575" s="232"/>
      <c r="J2575" s="306"/>
      <c r="K2575" s="306"/>
      <c r="L2575" s="313"/>
      <c r="M2575" s="219"/>
      <c r="N2575" s="218"/>
      <c r="S2575" s="224"/>
      <c r="T2575" s="228"/>
      <c r="U2575" s="226"/>
      <c r="V2575" s="226"/>
      <c r="W2575" s="303"/>
      <c r="X2575" s="220"/>
      <c r="Z2575" s="227"/>
      <c r="AA2575" s="220"/>
      <c r="AB2575" s="221"/>
      <c r="AC2575" s="229"/>
      <c r="AD2575" s="230"/>
      <c r="AE2575" s="230"/>
      <c r="AF2575" s="230"/>
      <c r="AG2575" s="227"/>
    </row>
    <row r="2576" spans="1:33" x14ac:dyDescent="0.25">
      <c r="A2576" s="32"/>
      <c r="B2576" s="306"/>
      <c r="C2576" s="307"/>
      <c r="D2576" s="312"/>
      <c r="E2576" s="301"/>
      <c r="F2576" s="232"/>
      <c r="J2576" s="306"/>
      <c r="K2576" s="306"/>
      <c r="L2576" s="313"/>
      <c r="M2576" s="219"/>
      <c r="N2576" s="218"/>
      <c r="S2576" s="224"/>
      <c r="T2576" s="228"/>
      <c r="U2576" s="226"/>
      <c r="V2576" s="226"/>
      <c r="W2576" s="303"/>
      <c r="X2576" s="220"/>
      <c r="Z2576" s="227"/>
      <c r="AA2576" s="220"/>
      <c r="AB2576" s="221"/>
      <c r="AC2576" s="229"/>
      <c r="AD2576" s="230"/>
      <c r="AE2576" s="230"/>
      <c r="AF2576" s="230"/>
      <c r="AG2576" s="227"/>
    </row>
    <row r="2577" spans="1:33" x14ac:dyDescent="0.25">
      <c r="A2577" s="32"/>
      <c r="B2577" s="306"/>
      <c r="C2577" s="307"/>
      <c r="D2577" s="312"/>
      <c r="E2577" s="301"/>
      <c r="F2577" s="232"/>
      <c r="J2577" s="306"/>
      <c r="K2577" s="306"/>
      <c r="L2577" s="313"/>
      <c r="M2577" s="219"/>
      <c r="N2577" s="218"/>
      <c r="S2577" s="224"/>
      <c r="T2577" s="228"/>
      <c r="U2577" s="226"/>
      <c r="V2577" s="226"/>
      <c r="W2577" s="303"/>
      <c r="X2577" s="220"/>
      <c r="Z2577" s="227"/>
      <c r="AA2577" s="220"/>
      <c r="AB2577" s="221"/>
      <c r="AC2577" s="229"/>
      <c r="AD2577" s="230"/>
      <c r="AE2577" s="230"/>
      <c r="AF2577" s="230"/>
      <c r="AG2577" s="227"/>
    </row>
    <row r="2578" spans="1:33" x14ac:dyDescent="0.25">
      <c r="A2578" s="32"/>
      <c r="B2578" s="306"/>
      <c r="C2578" s="307"/>
      <c r="D2578" s="312"/>
      <c r="E2578" s="301"/>
      <c r="F2578" s="232"/>
      <c r="J2578" s="306"/>
      <c r="K2578" s="306"/>
      <c r="L2578" s="313"/>
      <c r="M2578" s="219"/>
      <c r="N2578" s="218"/>
      <c r="S2578" s="224"/>
      <c r="T2578" s="228"/>
      <c r="U2578" s="226"/>
      <c r="V2578" s="226"/>
      <c r="W2578" s="303"/>
      <c r="X2578" s="220"/>
      <c r="Z2578" s="227"/>
      <c r="AA2578" s="220"/>
      <c r="AB2578" s="221"/>
      <c r="AC2578" s="229"/>
      <c r="AD2578" s="230"/>
      <c r="AE2578" s="230"/>
      <c r="AF2578" s="230"/>
      <c r="AG2578" s="227"/>
    </row>
    <row r="2579" spans="1:33" x14ac:dyDescent="0.25">
      <c r="A2579" s="32"/>
      <c r="B2579" s="306"/>
      <c r="C2579" s="307"/>
      <c r="D2579" s="312"/>
      <c r="E2579" s="301"/>
      <c r="F2579" s="232"/>
      <c r="J2579" s="306"/>
      <c r="K2579" s="306"/>
      <c r="L2579" s="313"/>
      <c r="M2579" s="219"/>
      <c r="N2579" s="218"/>
      <c r="S2579" s="224"/>
      <c r="T2579" s="228"/>
      <c r="U2579" s="226"/>
      <c r="V2579" s="226"/>
      <c r="W2579" s="303"/>
      <c r="X2579" s="220"/>
      <c r="Z2579" s="227"/>
      <c r="AA2579" s="220"/>
      <c r="AB2579" s="221"/>
      <c r="AC2579" s="229"/>
      <c r="AD2579" s="230"/>
      <c r="AE2579" s="230"/>
      <c r="AF2579" s="230"/>
      <c r="AG2579" s="227"/>
    </row>
    <row r="2580" spans="1:33" x14ac:dyDescent="0.25">
      <c r="A2580" s="32"/>
      <c r="B2580" s="306"/>
      <c r="C2580" s="307"/>
      <c r="D2580" s="312"/>
      <c r="E2580" s="301"/>
      <c r="F2580" s="232"/>
      <c r="J2580" s="306"/>
      <c r="K2580" s="306"/>
      <c r="L2580" s="313"/>
      <c r="M2580" s="219"/>
      <c r="N2580" s="218"/>
      <c r="S2580" s="224"/>
      <c r="T2580" s="228"/>
      <c r="U2580" s="226"/>
      <c r="V2580" s="226"/>
      <c r="W2580" s="303"/>
      <c r="X2580" s="220"/>
      <c r="Z2580" s="227"/>
      <c r="AA2580" s="220"/>
      <c r="AB2580" s="221"/>
      <c r="AC2580" s="229"/>
      <c r="AD2580" s="230"/>
      <c r="AE2580" s="230"/>
      <c r="AF2580" s="230"/>
      <c r="AG2580" s="227"/>
    </row>
    <row r="2581" spans="1:33" x14ac:dyDescent="0.25">
      <c r="A2581" s="32"/>
      <c r="B2581" s="306"/>
      <c r="C2581" s="307"/>
      <c r="D2581" s="312"/>
      <c r="E2581" s="301"/>
      <c r="F2581" s="232"/>
      <c r="J2581" s="306"/>
      <c r="K2581" s="306"/>
      <c r="L2581" s="313"/>
      <c r="M2581" s="219"/>
      <c r="N2581" s="218"/>
      <c r="S2581" s="224"/>
      <c r="T2581" s="228"/>
      <c r="U2581" s="226"/>
      <c r="V2581" s="226"/>
      <c r="W2581" s="303"/>
      <c r="X2581" s="220"/>
      <c r="Z2581" s="227"/>
      <c r="AA2581" s="220"/>
      <c r="AB2581" s="221"/>
      <c r="AC2581" s="229"/>
      <c r="AD2581" s="230"/>
      <c r="AE2581" s="230"/>
      <c r="AF2581" s="230"/>
      <c r="AG2581" s="227"/>
    </row>
    <row r="2582" spans="1:33" x14ac:dyDescent="0.25">
      <c r="A2582" s="32"/>
      <c r="B2582" s="306"/>
      <c r="C2582" s="307"/>
      <c r="D2582" s="312"/>
      <c r="E2582" s="301"/>
      <c r="F2582" s="232"/>
      <c r="J2582" s="306"/>
      <c r="K2582" s="306"/>
      <c r="L2582" s="313"/>
      <c r="M2582" s="219"/>
      <c r="N2582" s="218"/>
      <c r="S2582" s="224"/>
      <c r="T2582" s="228"/>
      <c r="U2582" s="226"/>
      <c r="V2582" s="226"/>
      <c r="W2582" s="303"/>
      <c r="X2582" s="220"/>
      <c r="Z2582" s="227"/>
      <c r="AA2582" s="220"/>
      <c r="AB2582" s="221"/>
      <c r="AC2582" s="229"/>
      <c r="AD2582" s="230"/>
      <c r="AE2582" s="230"/>
      <c r="AF2582" s="230"/>
      <c r="AG2582" s="227"/>
    </row>
    <row r="2583" spans="1:33" x14ac:dyDescent="0.25">
      <c r="A2583" s="32"/>
      <c r="B2583" s="306"/>
      <c r="C2583" s="307"/>
      <c r="D2583" s="312"/>
      <c r="E2583" s="301"/>
      <c r="F2583" s="232"/>
      <c r="J2583" s="306"/>
      <c r="K2583" s="306"/>
      <c r="L2583" s="313"/>
      <c r="M2583" s="219"/>
      <c r="N2583" s="218"/>
      <c r="S2583" s="224"/>
      <c r="T2583" s="228"/>
      <c r="U2583" s="226"/>
      <c r="V2583" s="226"/>
      <c r="W2583" s="303"/>
      <c r="X2583" s="220"/>
      <c r="Z2583" s="227"/>
      <c r="AA2583" s="220"/>
      <c r="AB2583" s="221"/>
      <c r="AC2583" s="229"/>
      <c r="AD2583" s="230"/>
      <c r="AE2583" s="230"/>
      <c r="AF2583" s="230"/>
      <c r="AG2583" s="227"/>
    </row>
    <row r="2584" spans="1:33" x14ac:dyDescent="0.25">
      <c r="A2584" s="32"/>
      <c r="B2584" s="306"/>
      <c r="C2584" s="307"/>
      <c r="D2584" s="312"/>
      <c r="E2584" s="301"/>
      <c r="F2584" s="232"/>
      <c r="J2584" s="306"/>
      <c r="K2584" s="306"/>
      <c r="L2584" s="313"/>
      <c r="M2584" s="219"/>
      <c r="N2584" s="218"/>
      <c r="S2584" s="224"/>
      <c r="T2584" s="228"/>
      <c r="U2584" s="226"/>
      <c r="V2584" s="226"/>
      <c r="W2584" s="303"/>
      <c r="X2584" s="220"/>
      <c r="Z2584" s="227"/>
      <c r="AA2584" s="220"/>
      <c r="AB2584" s="221"/>
      <c r="AC2584" s="229"/>
      <c r="AD2584" s="230"/>
      <c r="AE2584" s="230"/>
      <c r="AF2584" s="230"/>
      <c r="AG2584" s="227"/>
    </row>
    <row r="2585" spans="1:33" x14ac:dyDescent="0.25">
      <c r="A2585" s="32"/>
      <c r="B2585" s="306"/>
      <c r="C2585" s="307"/>
      <c r="D2585" s="312"/>
      <c r="E2585" s="301"/>
      <c r="F2585" s="232"/>
      <c r="J2585" s="306"/>
      <c r="K2585" s="306"/>
      <c r="L2585" s="313"/>
      <c r="M2585" s="219"/>
      <c r="N2585" s="218"/>
      <c r="S2585" s="224"/>
      <c r="T2585" s="228"/>
      <c r="U2585" s="226"/>
      <c r="V2585" s="226"/>
      <c r="W2585" s="303"/>
      <c r="X2585" s="220"/>
      <c r="Z2585" s="227"/>
      <c r="AA2585" s="220"/>
      <c r="AB2585" s="221"/>
      <c r="AC2585" s="229"/>
      <c r="AD2585" s="230"/>
      <c r="AE2585" s="230"/>
      <c r="AF2585" s="230"/>
      <c r="AG2585" s="227"/>
    </row>
    <row r="2586" spans="1:33" x14ac:dyDescent="0.25">
      <c r="A2586" s="32"/>
      <c r="B2586" s="306"/>
      <c r="C2586" s="307"/>
      <c r="D2586" s="312"/>
      <c r="E2586" s="301"/>
      <c r="F2586" s="232"/>
      <c r="J2586" s="306"/>
      <c r="K2586" s="306"/>
      <c r="L2586" s="313"/>
      <c r="M2586" s="219"/>
      <c r="N2586" s="218"/>
      <c r="S2586" s="224"/>
      <c r="T2586" s="228"/>
      <c r="U2586" s="226"/>
      <c r="V2586" s="226"/>
      <c r="W2586" s="303"/>
      <c r="X2586" s="220"/>
      <c r="Z2586" s="227"/>
      <c r="AA2586" s="220"/>
      <c r="AB2586" s="221"/>
      <c r="AC2586" s="229"/>
      <c r="AD2586" s="230"/>
      <c r="AE2586" s="230"/>
      <c r="AF2586" s="230"/>
      <c r="AG2586" s="227"/>
    </row>
    <row r="2587" spans="1:33" x14ac:dyDescent="0.25">
      <c r="A2587" s="32"/>
      <c r="B2587" s="306"/>
      <c r="C2587" s="307"/>
      <c r="D2587" s="312"/>
      <c r="E2587" s="301"/>
      <c r="F2587" s="232"/>
      <c r="J2587" s="306"/>
      <c r="K2587" s="306"/>
      <c r="L2587" s="313"/>
      <c r="M2587" s="219"/>
      <c r="N2587" s="218"/>
      <c r="S2587" s="224"/>
      <c r="T2587" s="228"/>
      <c r="U2587" s="226"/>
      <c r="V2587" s="226"/>
      <c r="W2587" s="303"/>
      <c r="X2587" s="220"/>
      <c r="Z2587" s="227"/>
      <c r="AA2587" s="220"/>
      <c r="AB2587" s="221"/>
      <c r="AC2587" s="229"/>
      <c r="AD2587" s="230"/>
      <c r="AE2587" s="230"/>
      <c r="AF2587" s="230"/>
      <c r="AG2587" s="227"/>
    </row>
    <row r="2588" spans="1:33" x14ac:dyDescent="0.25">
      <c r="A2588" s="32"/>
      <c r="B2588" s="306"/>
      <c r="C2588" s="307"/>
      <c r="D2588" s="312"/>
      <c r="E2588" s="301"/>
      <c r="F2588" s="232"/>
      <c r="J2588" s="306"/>
      <c r="K2588" s="306"/>
      <c r="L2588" s="313"/>
      <c r="M2588" s="219"/>
      <c r="N2588" s="218"/>
      <c r="S2588" s="224"/>
      <c r="T2588" s="228"/>
      <c r="U2588" s="226"/>
      <c r="V2588" s="226"/>
      <c r="W2588" s="303"/>
      <c r="X2588" s="220"/>
      <c r="Z2588" s="227"/>
      <c r="AA2588" s="220"/>
      <c r="AB2588" s="221"/>
      <c r="AC2588" s="229"/>
      <c r="AD2588" s="230"/>
      <c r="AE2588" s="230"/>
      <c r="AF2588" s="230"/>
      <c r="AG2588" s="227"/>
    </row>
    <row r="2589" spans="1:33" x14ac:dyDescent="0.25">
      <c r="A2589" s="32"/>
      <c r="B2589" s="306"/>
      <c r="C2589" s="307"/>
      <c r="D2589" s="312"/>
      <c r="E2589" s="301"/>
      <c r="F2589" s="232"/>
      <c r="J2589" s="306"/>
      <c r="K2589" s="306"/>
      <c r="L2589" s="313"/>
      <c r="M2589" s="219"/>
      <c r="N2589" s="218"/>
      <c r="S2589" s="224"/>
      <c r="T2589" s="228"/>
      <c r="U2589" s="226"/>
      <c r="V2589" s="226"/>
      <c r="W2589" s="303"/>
      <c r="X2589" s="220"/>
      <c r="Z2589" s="227"/>
      <c r="AA2589" s="220"/>
      <c r="AB2589" s="221"/>
      <c r="AC2589" s="229"/>
      <c r="AD2589" s="230"/>
      <c r="AE2589" s="230"/>
      <c r="AF2589" s="230"/>
      <c r="AG2589" s="227"/>
    </row>
    <row r="2590" spans="1:33" x14ac:dyDescent="0.25">
      <c r="A2590" s="32"/>
      <c r="B2590" s="306"/>
      <c r="C2590" s="307"/>
      <c r="D2590" s="312"/>
      <c r="E2590" s="301"/>
      <c r="F2590" s="232"/>
      <c r="J2590" s="306"/>
      <c r="K2590" s="306"/>
      <c r="L2590" s="313"/>
      <c r="M2590" s="219"/>
      <c r="N2590" s="218"/>
      <c r="S2590" s="224"/>
      <c r="T2590" s="228"/>
      <c r="U2590" s="226"/>
      <c r="V2590" s="226"/>
      <c r="W2590" s="303"/>
      <c r="X2590" s="220"/>
      <c r="Z2590" s="227"/>
      <c r="AA2590" s="220"/>
      <c r="AB2590" s="221"/>
      <c r="AC2590" s="229"/>
      <c r="AD2590" s="230"/>
      <c r="AE2590" s="230"/>
      <c r="AF2590" s="230"/>
      <c r="AG2590" s="227"/>
    </row>
    <row r="2591" spans="1:33" x14ac:dyDescent="0.25">
      <c r="A2591" s="32"/>
      <c r="B2591" s="306"/>
      <c r="C2591" s="307"/>
      <c r="D2591" s="312"/>
      <c r="E2591" s="301"/>
      <c r="F2591" s="232"/>
      <c r="J2591" s="306"/>
      <c r="K2591" s="306"/>
      <c r="L2591" s="313"/>
      <c r="M2591" s="219"/>
      <c r="N2591" s="218"/>
      <c r="S2591" s="224"/>
      <c r="T2591" s="228"/>
      <c r="U2591" s="226"/>
      <c r="V2591" s="226"/>
      <c r="W2591" s="303"/>
      <c r="X2591" s="220"/>
      <c r="Z2591" s="227"/>
      <c r="AA2591" s="220"/>
      <c r="AB2591" s="221"/>
      <c r="AC2591" s="229"/>
      <c r="AD2591" s="230"/>
      <c r="AE2591" s="230"/>
      <c r="AF2591" s="230"/>
      <c r="AG2591" s="227"/>
    </row>
    <row r="2592" spans="1:33" x14ac:dyDescent="0.25">
      <c r="A2592" s="32"/>
      <c r="B2592" s="306"/>
      <c r="C2592" s="307"/>
      <c r="D2592" s="312"/>
      <c r="E2592" s="301"/>
      <c r="F2592" s="232"/>
      <c r="J2592" s="306"/>
      <c r="K2592" s="306"/>
      <c r="L2592" s="313"/>
      <c r="M2592" s="219"/>
      <c r="N2592" s="218"/>
      <c r="S2592" s="224"/>
      <c r="T2592" s="228"/>
      <c r="U2592" s="226"/>
      <c r="V2592" s="226"/>
      <c r="W2592" s="303"/>
      <c r="X2592" s="220"/>
      <c r="Z2592" s="227"/>
      <c r="AA2592" s="220"/>
      <c r="AB2592" s="221"/>
      <c r="AC2592" s="229"/>
      <c r="AD2592" s="230"/>
      <c r="AE2592" s="230"/>
      <c r="AF2592" s="230"/>
      <c r="AG2592" s="227"/>
    </row>
    <row r="2593" spans="1:33" x14ac:dyDescent="0.25">
      <c r="A2593" s="32"/>
      <c r="B2593" s="306"/>
      <c r="C2593" s="307"/>
      <c r="D2593" s="312"/>
      <c r="E2593" s="301"/>
      <c r="F2593" s="232"/>
      <c r="J2593" s="306"/>
      <c r="K2593" s="306"/>
      <c r="L2593" s="313"/>
      <c r="M2593" s="219"/>
      <c r="N2593" s="218"/>
      <c r="S2593" s="224"/>
      <c r="T2593" s="228"/>
      <c r="U2593" s="226"/>
      <c r="V2593" s="226"/>
      <c r="W2593" s="303"/>
      <c r="X2593" s="220"/>
      <c r="Z2593" s="227"/>
      <c r="AA2593" s="220"/>
      <c r="AB2593" s="221"/>
      <c r="AC2593" s="229"/>
      <c r="AD2593" s="230"/>
      <c r="AE2593" s="230"/>
      <c r="AF2593" s="230"/>
      <c r="AG2593" s="227"/>
    </row>
    <row r="2594" spans="1:33" x14ac:dyDescent="0.25">
      <c r="A2594" s="32"/>
      <c r="B2594" s="306"/>
      <c r="C2594" s="307"/>
      <c r="D2594" s="312"/>
      <c r="E2594" s="301"/>
      <c r="F2594" s="232"/>
      <c r="J2594" s="306"/>
      <c r="K2594" s="306"/>
      <c r="L2594" s="313"/>
      <c r="M2594" s="219"/>
      <c r="N2594" s="218"/>
      <c r="S2594" s="224"/>
      <c r="T2594" s="228"/>
      <c r="U2594" s="226"/>
      <c r="V2594" s="226"/>
      <c r="W2594" s="303"/>
      <c r="X2594" s="220"/>
      <c r="Z2594" s="227"/>
      <c r="AA2594" s="220"/>
      <c r="AB2594" s="221"/>
      <c r="AC2594" s="229"/>
      <c r="AD2594" s="230"/>
      <c r="AE2594" s="230"/>
      <c r="AF2594" s="230"/>
      <c r="AG2594" s="227"/>
    </row>
    <row r="2595" spans="1:33" x14ac:dyDescent="0.25">
      <c r="A2595" s="32"/>
      <c r="B2595" s="306"/>
      <c r="C2595" s="307"/>
      <c r="D2595" s="312"/>
      <c r="E2595" s="301"/>
      <c r="F2595" s="232"/>
      <c r="J2595" s="306"/>
      <c r="K2595" s="306"/>
      <c r="L2595" s="313"/>
      <c r="M2595" s="219"/>
      <c r="N2595" s="218"/>
      <c r="S2595" s="224"/>
      <c r="T2595" s="228"/>
      <c r="U2595" s="226"/>
      <c r="V2595" s="226"/>
      <c r="W2595" s="303"/>
      <c r="X2595" s="220"/>
      <c r="Z2595" s="227"/>
      <c r="AA2595" s="220"/>
      <c r="AB2595" s="221"/>
      <c r="AC2595" s="229"/>
      <c r="AD2595" s="230"/>
      <c r="AE2595" s="230"/>
      <c r="AF2595" s="230"/>
      <c r="AG2595" s="227"/>
    </row>
    <row r="2596" spans="1:33" x14ac:dyDescent="0.25">
      <c r="A2596" s="32"/>
      <c r="B2596" s="306"/>
      <c r="C2596" s="307"/>
      <c r="D2596" s="312"/>
      <c r="E2596" s="301"/>
      <c r="F2596" s="232"/>
      <c r="J2596" s="306"/>
      <c r="K2596" s="306"/>
      <c r="L2596" s="313"/>
      <c r="M2596" s="219"/>
      <c r="N2596" s="218"/>
      <c r="S2596" s="224"/>
      <c r="T2596" s="228"/>
      <c r="U2596" s="226"/>
      <c r="V2596" s="226"/>
      <c r="W2596" s="303"/>
      <c r="X2596" s="220"/>
      <c r="Z2596" s="227"/>
      <c r="AA2596" s="220"/>
      <c r="AB2596" s="221"/>
      <c r="AC2596" s="229"/>
      <c r="AD2596" s="230"/>
      <c r="AE2596" s="230"/>
      <c r="AF2596" s="230"/>
      <c r="AG2596" s="227"/>
    </row>
    <row r="2597" spans="1:33" x14ac:dyDescent="0.25">
      <c r="A2597" s="32"/>
      <c r="B2597" s="306"/>
      <c r="C2597" s="307"/>
      <c r="D2597" s="312"/>
      <c r="E2597" s="301"/>
      <c r="F2597" s="232"/>
      <c r="J2597" s="306"/>
      <c r="K2597" s="306"/>
      <c r="L2597" s="313"/>
      <c r="M2597" s="219"/>
      <c r="N2597" s="218"/>
      <c r="S2597" s="224"/>
      <c r="T2597" s="228"/>
      <c r="U2597" s="226"/>
      <c r="V2597" s="226"/>
      <c r="W2597" s="303"/>
      <c r="X2597" s="220"/>
      <c r="Z2597" s="227"/>
      <c r="AA2597" s="220"/>
      <c r="AB2597" s="221"/>
      <c r="AC2597" s="229"/>
      <c r="AD2597" s="230"/>
      <c r="AE2597" s="230"/>
      <c r="AF2597" s="230"/>
      <c r="AG2597" s="227"/>
    </row>
    <row r="2598" spans="1:33" x14ac:dyDescent="0.25">
      <c r="A2598" s="32"/>
      <c r="B2598" s="306"/>
      <c r="C2598" s="307"/>
      <c r="D2598" s="312"/>
      <c r="E2598" s="301"/>
      <c r="F2598" s="232"/>
      <c r="J2598" s="306"/>
      <c r="K2598" s="306"/>
      <c r="L2598" s="313"/>
      <c r="M2598" s="219"/>
      <c r="N2598" s="218"/>
      <c r="S2598" s="224"/>
      <c r="T2598" s="228"/>
      <c r="U2598" s="226"/>
      <c r="V2598" s="226"/>
      <c r="W2598" s="303"/>
      <c r="X2598" s="220"/>
      <c r="Z2598" s="227"/>
      <c r="AA2598" s="220"/>
      <c r="AB2598" s="221"/>
      <c r="AC2598" s="229"/>
      <c r="AD2598" s="230"/>
      <c r="AE2598" s="230"/>
      <c r="AF2598" s="230"/>
      <c r="AG2598" s="227"/>
    </row>
    <row r="2599" spans="1:33" x14ac:dyDescent="0.25">
      <c r="A2599" s="32"/>
      <c r="B2599" s="306"/>
      <c r="C2599" s="307"/>
      <c r="D2599" s="312"/>
      <c r="E2599" s="301"/>
      <c r="F2599" s="232"/>
      <c r="J2599" s="306"/>
      <c r="K2599" s="306"/>
      <c r="L2599" s="313"/>
      <c r="M2599" s="219"/>
      <c r="N2599" s="218"/>
      <c r="S2599" s="224"/>
      <c r="T2599" s="228"/>
      <c r="U2599" s="226"/>
      <c r="V2599" s="226"/>
      <c r="W2599" s="303"/>
      <c r="X2599" s="220"/>
      <c r="Z2599" s="227"/>
      <c r="AA2599" s="220"/>
      <c r="AB2599" s="221"/>
      <c r="AC2599" s="229"/>
      <c r="AD2599" s="230"/>
      <c r="AE2599" s="230"/>
      <c r="AF2599" s="230"/>
      <c r="AG2599" s="227"/>
    </row>
    <row r="2600" spans="1:33" x14ac:dyDescent="0.25">
      <c r="A2600" s="32"/>
      <c r="B2600" s="306"/>
      <c r="C2600" s="307"/>
      <c r="D2600" s="312"/>
      <c r="E2600" s="301"/>
      <c r="F2600" s="232"/>
      <c r="J2600" s="306"/>
      <c r="K2600" s="306"/>
      <c r="L2600" s="313"/>
      <c r="M2600" s="219"/>
      <c r="N2600" s="218"/>
      <c r="S2600" s="224"/>
      <c r="T2600" s="228"/>
      <c r="U2600" s="226"/>
      <c r="V2600" s="226"/>
      <c r="W2600" s="303"/>
      <c r="X2600" s="220"/>
      <c r="Z2600" s="227"/>
      <c r="AA2600" s="220"/>
      <c r="AB2600" s="221"/>
      <c r="AC2600" s="229"/>
      <c r="AD2600" s="230"/>
      <c r="AE2600" s="230"/>
      <c r="AF2600" s="230"/>
      <c r="AG2600" s="227"/>
    </row>
    <row r="2601" spans="1:33" x14ac:dyDescent="0.25">
      <c r="A2601" s="32"/>
      <c r="B2601" s="306"/>
      <c r="C2601" s="307"/>
      <c r="D2601" s="312"/>
      <c r="E2601" s="301"/>
      <c r="F2601" s="232"/>
      <c r="J2601" s="306"/>
      <c r="K2601" s="306"/>
      <c r="L2601" s="313"/>
      <c r="M2601" s="219"/>
      <c r="N2601" s="218"/>
      <c r="S2601" s="224"/>
      <c r="T2601" s="228"/>
      <c r="U2601" s="226"/>
      <c r="V2601" s="226"/>
      <c r="W2601" s="303"/>
      <c r="X2601" s="220"/>
      <c r="Z2601" s="227"/>
      <c r="AA2601" s="220"/>
      <c r="AB2601" s="221"/>
      <c r="AC2601" s="229"/>
      <c r="AD2601" s="230"/>
      <c r="AE2601" s="230"/>
      <c r="AF2601" s="230"/>
      <c r="AG2601" s="227"/>
    </row>
    <row r="2602" spans="1:33" x14ac:dyDescent="0.25">
      <c r="A2602" s="32"/>
      <c r="B2602" s="306"/>
      <c r="C2602" s="307"/>
      <c r="D2602" s="312"/>
      <c r="E2602" s="301"/>
      <c r="F2602" s="232"/>
      <c r="J2602" s="306"/>
      <c r="K2602" s="306"/>
      <c r="L2602" s="313"/>
      <c r="M2602" s="219"/>
      <c r="N2602" s="218"/>
      <c r="S2602" s="224"/>
      <c r="T2602" s="228"/>
      <c r="U2602" s="226"/>
      <c r="V2602" s="226"/>
      <c r="W2602" s="303"/>
      <c r="X2602" s="220"/>
      <c r="Z2602" s="227"/>
      <c r="AA2602" s="220"/>
      <c r="AB2602" s="221"/>
      <c r="AC2602" s="229"/>
      <c r="AD2602" s="230"/>
      <c r="AE2602" s="230"/>
      <c r="AF2602" s="230"/>
      <c r="AG2602" s="227"/>
    </row>
    <row r="2603" spans="1:33" x14ac:dyDescent="0.25">
      <c r="A2603" s="32"/>
      <c r="B2603" s="306"/>
      <c r="C2603" s="307"/>
      <c r="D2603" s="312"/>
      <c r="E2603" s="301"/>
      <c r="F2603" s="232"/>
      <c r="J2603" s="306"/>
      <c r="K2603" s="306"/>
      <c r="L2603" s="313"/>
      <c r="M2603" s="219"/>
      <c r="N2603" s="218"/>
      <c r="S2603" s="224"/>
      <c r="T2603" s="228"/>
      <c r="U2603" s="226"/>
      <c r="V2603" s="226"/>
      <c r="W2603" s="303"/>
      <c r="X2603" s="220"/>
      <c r="Z2603" s="227"/>
      <c r="AA2603" s="220"/>
      <c r="AB2603" s="221"/>
      <c r="AC2603" s="229"/>
      <c r="AD2603" s="230"/>
      <c r="AE2603" s="230"/>
      <c r="AF2603" s="230"/>
      <c r="AG2603" s="227"/>
    </row>
    <row r="2604" spans="1:33" x14ac:dyDescent="0.25">
      <c r="A2604" s="32"/>
      <c r="B2604" s="306"/>
      <c r="C2604" s="307"/>
      <c r="D2604" s="312"/>
      <c r="E2604" s="301"/>
      <c r="F2604" s="232"/>
      <c r="J2604" s="306"/>
      <c r="K2604" s="306"/>
      <c r="L2604" s="313"/>
      <c r="M2604" s="219"/>
      <c r="N2604" s="218"/>
      <c r="S2604" s="224"/>
      <c r="T2604" s="228"/>
      <c r="U2604" s="226"/>
      <c r="V2604" s="226"/>
      <c r="W2604" s="303"/>
      <c r="X2604" s="220"/>
      <c r="Z2604" s="227"/>
      <c r="AA2604" s="220"/>
      <c r="AB2604" s="221"/>
      <c r="AC2604" s="229"/>
      <c r="AD2604" s="230"/>
      <c r="AE2604" s="230"/>
      <c r="AF2604" s="230"/>
      <c r="AG2604" s="227"/>
    </row>
    <row r="2605" spans="1:33" x14ac:dyDescent="0.25">
      <c r="A2605" s="32"/>
      <c r="B2605" s="306"/>
      <c r="C2605" s="307"/>
      <c r="D2605" s="312"/>
      <c r="E2605" s="301"/>
      <c r="F2605" s="232"/>
      <c r="J2605" s="306"/>
      <c r="K2605" s="306"/>
      <c r="L2605" s="313"/>
      <c r="M2605" s="219"/>
      <c r="N2605" s="218"/>
      <c r="S2605" s="224"/>
      <c r="T2605" s="228"/>
      <c r="U2605" s="226"/>
      <c r="V2605" s="226"/>
      <c r="W2605" s="303"/>
      <c r="X2605" s="220"/>
      <c r="Z2605" s="227"/>
      <c r="AA2605" s="220"/>
      <c r="AB2605" s="221"/>
      <c r="AC2605" s="229"/>
      <c r="AD2605" s="230"/>
      <c r="AE2605" s="230"/>
      <c r="AF2605" s="230"/>
      <c r="AG2605" s="227"/>
    </row>
    <row r="2606" spans="1:33" x14ac:dyDescent="0.25">
      <c r="A2606" s="32"/>
      <c r="B2606" s="306"/>
      <c r="C2606" s="307"/>
      <c r="D2606" s="312"/>
      <c r="E2606" s="301"/>
      <c r="F2606" s="232"/>
      <c r="J2606" s="306"/>
      <c r="K2606" s="306"/>
      <c r="L2606" s="313"/>
      <c r="M2606" s="219"/>
      <c r="N2606" s="218"/>
      <c r="S2606" s="224"/>
      <c r="T2606" s="228"/>
      <c r="U2606" s="226"/>
      <c r="V2606" s="226"/>
      <c r="W2606" s="303"/>
      <c r="X2606" s="220"/>
      <c r="Z2606" s="227"/>
      <c r="AA2606" s="220"/>
      <c r="AB2606" s="221"/>
      <c r="AC2606" s="229"/>
      <c r="AD2606" s="230"/>
      <c r="AE2606" s="230"/>
      <c r="AF2606" s="230"/>
      <c r="AG2606" s="227"/>
    </row>
    <row r="2607" spans="1:33" x14ac:dyDescent="0.25">
      <c r="A2607" s="32"/>
      <c r="B2607" s="306"/>
      <c r="C2607" s="307"/>
      <c r="D2607" s="312"/>
      <c r="E2607" s="301"/>
      <c r="F2607" s="232"/>
      <c r="J2607" s="306"/>
      <c r="K2607" s="306"/>
      <c r="L2607" s="313"/>
      <c r="M2607" s="219"/>
      <c r="N2607" s="218"/>
      <c r="S2607" s="224"/>
      <c r="T2607" s="228"/>
      <c r="U2607" s="226"/>
      <c r="V2607" s="226"/>
      <c r="W2607" s="303"/>
      <c r="X2607" s="220"/>
      <c r="Z2607" s="227"/>
      <c r="AA2607" s="220"/>
      <c r="AB2607" s="221"/>
      <c r="AC2607" s="229"/>
      <c r="AD2607" s="230"/>
      <c r="AE2607" s="230"/>
      <c r="AF2607" s="230"/>
      <c r="AG2607" s="227"/>
    </row>
    <row r="2608" spans="1:33" x14ac:dyDescent="0.25">
      <c r="A2608" s="32"/>
      <c r="B2608" s="306"/>
      <c r="C2608" s="307"/>
      <c r="D2608" s="312"/>
      <c r="E2608" s="301"/>
      <c r="F2608" s="232"/>
      <c r="J2608" s="306"/>
      <c r="K2608" s="306"/>
      <c r="L2608" s="313"/>
      <c r="M2608" s="219"/>
      <c r="N2608" s="218"/>
      <c r="S2608" s="224"/>
      <c r="T2608" s="228"/>
      <c r="U2608" s="226"/>
      <c r="V2608" s="226"/>
      <c r="W2608" s="303"/>
      <c r="X2608" s="220"/>
      <c r="Z2608" s="227"/>
      <c r="AA2608" s="220"/>
      <c r="AB2608" s="221"/>
      <c r="AC2608" s="229"/>
      <c r="AD2608" s="230"/>
      <c r="AE2608" s="230"/>
      <c r="AF2608" s="230"/>
      <c r="AG2608" s="227"/>
    </row>
    <row r="2609" spans="1:33" x14ac:dyDescent="0.25">
      <c r="A2609" s="32"/>
      <c r="B2609" s="306"/>
      <c r="C2609" s="307"/>
      <c r="D2609" s="312"/>
      <c r="E2609" s="301"/>
      <c r="F2609" s="232"/>
      <c r="J2609" s="306"/>
      <c r="K2609" s="306"/>
      <c r="L2609" s="313"/>
      <c r="M2609" s="219"/>
      <c r="N2609" s="218"/>
      <c r="S2609" s="224"/>
      <c r="T2609" s="228"/>
      <c r="U2609" s="226"/>
      <c r="V2609" s="226"/>
      <c r="W2609" s="303"/>
      <c r="X2609" s="220"/>
      <c r="Z2609" s="227"/>
      <c r="AA2609" s="220"/>
      <c r="AB2609" s="221"/>
      <c r="AC2609" s="229"/>
      <c r="AD2609" s="230"/>
      <c r="AE2609" s="230"/>
      <c r="AF2609" s="230"/>
      <c r="AG2609" s="227"/>
    </row>
    <row r="2610" spans="1:33" x14ac:dyDescent="0.25">
      <c r="A2610" s="32"/>
      <c r="B2610" s="306"/>
      <c r="C2610" s="307"/>
      <c r="D2610" s="312"/>
      <c r="E2610" s="301"/>
      <c r="F2610" s="232"/>
      <c r="J2610" s="306"/>
      <c r="K2610" s="306"/>
      <c r="L2610" s="313"/>
      <c r="M2610" s="219"/>
      <c r="N2610" s="218"/>
      <c r="S2610" s="224"/>
      <c r="T2610" s="228"/>
      <c r="U2610" s="226"/>
      <c r="V2610" s="226"/>
      <c r="W2610" s="303"/>
      <c r="X2610" s="220"/>
      <c r="Z2610" s="227"/>
      <c r="AA2610" s="220"/>
      <c r="AB2610" s="221"/>
      <c r="AC2610" s="229"/>
      <c r="AD2610" s="230"/>
      <c r="AE2610" s="230"/>
      <c r="AF2610" s="230"/>
      <c r="AG2610" s="227"/>
    </row>
    <row r="2611" spans="1:33" x14ac:dyDescent="0.25">
      <c r="A2611" s="32"/>
      <c r="B2611" s="306"/>
      <c r="C2611" s="307"/>
      <c r="D2611" s="312"/>
      <c r="E2611" s="301"/>
      <c r="F2611" s="232"/>
      <c r="J2611" s="306"/>
      <c r="K2611" s="306"/>
      <c r="L2611" s="313"/>
      <c r="M2611" s="219"/>
      <c r="N2611" s="218"/>
      <c r="S2611" s="224"/>
      <c r="T2611" s="228"/>
      <c r="U2611" s="226"/>
      <c r="V2611" s="226"/>
      <c r="W2611" s="303"/>
      <c r="X2611" s="220"/>
      <c r="Z2611" s="227"/>
      <c r="AA2611" s="220"/>
      <c r="AB2611" s="221"/>
      <c r="AC2611" s="229"/>
      <c r="AD2611" s="230"/>
      <c r="AE2611" s="230"/>
      <c r="AF2611" s="230"/>
      <c r="AG2611" s="227"/>
    </row>
    <row r="2612" spans="1:33" x14ac:dyDescent="0.25">
      <c r="A2612" s="32"/>
      <c r="B2612" s="306"/>
      <c r="C2612" s="307"/>
      <c r="D2612" s="312"/>
      <c r="E2612" s="301"/>
      <c r="F2612" s="232"/>
      <c r="J2612" s="306"/>
      <c r="K2612" s="306"/>
      <c r="L2612" s="313"/>
      <c r="M2612" s="219"/>
      <c r="N2612" s="218"/>
      <c r="S2612" s="224"/>
      <c r="T2612" s="228"/>
      <c r="U2612" s="226"/>
      <c r="V2612" s="226"/>
      <c r="W2612" s="303"/>
      <c r="X2612" s="220"/>
      <c r="Z2612" s="227"/>
      <c r="AA2612" s="220"/>
      <c r="AB2612" s="221"/>
      <c r="AC2612" s="229"/>
      <c r="AD2612" s="230"/>
      <c r="AE2612" s="230"/>
      <c r="AF2612" s="230"/>
      <c r="AG2612" s="227"/>
    </row>
    <row r="2613" spans="1:33" x14ac:dyDescent="0.25">
      <c r="A2613" s="32"/>
      <c r="B2613" s="306"/>
      <c r="C2613" s="307"/>
      <c r="D2613" s="312"/>
      <c r="E2613" s="301"/>
      <c r="F2613" s="232"/>
      <c r="J2613" s="306"/>
      <c r="K2613" s="306"/>
      <c r="L2613" s="313"/>
      <c r="M2613" s="219"/>
      <c r="N2613" s="218"/>
      <c r="S2613" s="224"/>
      <c r="T2613" s="228"/>
      <c r="U2613" s="226"/>
      <c r="V2613" s="226"/>
      <c r="W2613" s="303"/>
      <c r="X2613" s="220"/>
      <c r="Z2613" s="227"/>
      <c r="AA2613" s="220"/>
      <c r="AB2613" s="221"/>
      <c r="AC2613" s="229"/>
      <c r="AD2613" s="230"/>
      <c r="AE2613" s="230"/>
      <c r="AF2613" s="230"/>
      <c r="AG2613" s="227"/>
    </row>
    <row r="2614" spans="1:33" x14ac:dyDescent="0.25">
      <c r="A2614" s="32"/>
      <c r="B2614" s="306"/>
      <c r="C2614" s="307"/>
      <c r="D2614" s="312"/>
      <c r="E2614" s="301"/>
      <c r="F2614" s="232"/>
      <c r="J2614" s="306"/>
      <c r="K2614" s="306"/>
      <c r="L2614" s="313"/>
      <c r="M2614" s="219"/>
      <c r="N2614" s="218"/>
      <c r="S2614" s="224"/>
      <c r="T2614" s="228"/>
      <c r="U2614" s="226"/>
      <c r="V2614" s="226"/>
      <c r="W2614" s="227"/>
      <c r="X2614" s="220"/>
      <c r="Z2614" s="227"/>
      <c r="AA2614" s="220"/>
      <c r="AB2614" s="221"/>
      <c r="AC2614" s="229"/>
      <c r="AD2614" s="230"/>
      <c r="AE2614" s="230"/>
      <c r="AF2614" s="230"/>
      <c r="AG2614" s="227"/>
    </row>
    <row r="2615" spans="1:33" x14ac:dyDescent="0.25">
      <c r="A2615" s="32"/>
      <c r="B2615" s="306"/>
      <c r="C2615" s="307"/>
      <c r="D2615" s="312"/>
      <c r="E2615" s="301"/>
      <c r="F2615" s="232"/>
      <c r="J2615" s="306"/>
      <c r="K2615" s="306"/>
      <c r="L2615" s="313"/>
      <c r="M2615" s="219"/>
      <c r="N2615" s="218"/>
      <c r="S2615" s="224"/>
      <c r="T2615" s="228"/>
      <c r="U2615" s="226"/>
      <c r="V2615" s="226"/>
      <c r="W2615" s="227"/>
      <c r="X2615" s="220"/>
      <c r="Z2615" s="227"/>
      <c r="AA2615" s="220"/>
      <c r="AB2615" s="221"/>
      <c r="AC2615" s="229"/>
      <c r="AD2615" s="230"/>
      <c r="AE2615" s="230"/>
      <c r="AF2615" s="230"/>
      <c r="AG2615" s="227"/>
    </row>
    <row r="2616" spans="1:33" x14ac:dyDescent="0.25">
      <c r="A2616" s="32"/>
      <c r="B2616" s="306"/>
      <c r="C2616" s="307"/>
      <c r="D2616" s="312"/>
      <c r="E2616" s="301"/>
      <c r="F2616" s="232"/>
      <c r="J2616" s="306"/>
      <c r="K2616" s="306"/>
      <c r="L2616" s="313"/>
      <c r="M2616" s="219"/>
      <c r="N2616" s="218"/>
      <c r="S2616" s="224"/>
      <c r="T2616" s="228"/>
      <c r="U2616" s="226"/>
      <c r="V2616" s="226"/>
      <c r="W2616" s="227"/>
      <c r="X2616" s="220"/>
      <c r="Z2616" s="227"/>
      <c r="AA2616" s="220"/>
      <c r="AB2616" s="221"/>
      <c r="AC2616" s="229"/>
      <c r="AD2616" s="230"/>
      <c r="AE2616" s="230"/>
      <c r="AF2616" s="230"/>
      <c r="AG2616" s="227"/>
    </row>
    <row r="2617" spans="1:33" x14ac:dyDescent="0.25">
      <c r="A2617" s="32"/>
      <c r="B2617" s="306"/>
      <c r="C2617" s="307"/>
      <c r="D2617" s="312"/>
      <c r="E2617" s="301"/>
      <c r="F2617" s="232"/>
      <c r="J2617" s="306"/>
      <c r="K2617" s="306"/>
      <c r="L2617" s="313"/>
      <c r="M2617" s="219"/>
      <c r="N2617" s="218"/>
      <c r="S2617" s="224"/>
      <c r="T2617" s="228"/>
      <c r="U2617" s="226"/>
      <c r="V2617" s="226"/>
      <c r="W2617" s="227"/>
      <c r="X2617" s="220"/>
      <c r="Z2617" s="227"/>
      <c r="AA2617" s="220"/>
      <c r="AB2617" s="221"/>
      <c r="AC2617" s="229"/>
      <c r="AD2617" s="230"/>
      <c r="AE2617" s="230"/>
      <c r="AF2617" s="230"/>
      <c r="AG2617" s="227"/>
    </row>
    <row r="2618" spans="1:33" x14ac:dyDescent="0.25">
      <c r="A2618" s="32"/>
      <c r="B2618" s="306"/>
      <c r="C2618" s="307"/>
      <c r="D2618" s="312"/>
      <c r="E2618" s="301"/>
      <c r="F2618" s="232"/>
      <c r="J2618" s="306"/>
      <c r="K2618" s="306"/>
      <c r="L2618" s="313"/>
      <c r="M2618" s="219"/>
      <c r="N2618" s="218"/>
      <c r="S2618" s="224"/>
      <c r="T2618" s="228"/>
      <c r="U2618" s="226"/>
      <c r="V2618" s="226"/>
      <c r="W2618" s="227"/>
      <c r="X2618" s="220"/>
      <c r="Z2618" s="227"/>
      <c r="AA2618" s="220"/>
      <c r="AB2618" s="221"/>
      <c r="AC2618" s="229"/>
      <c r="AD2618" s="230"/>
      <c r="AE2618" s="230"/>
      <c r="AF2618" s="230"/>
      <c r="AG2618" s="227"/>
    </row>
    <row r="2619" spans="1:33" x14ac:dyDescent="0.25">
      <c r="A2619" s="32"/>
      <c r="B2619" s="306"/>
      <c r="C2619" s="307"/>
      <c r="D2619" s="312"/>
      <c r="E2619" s="301"/>
      <c r="F2619" s="232"/>
      <c r="J2619" s="306"/>
      <c r="K2619" s="306"/>
      <c r="L2619" s="313"/>
      <c r="M2619" s="219"/>
      <c r="N2619" s="218"/>
      <c r="S2619" s="224"/>
      <c r="T2619" s="228"/>
      <c r="U2619" s="226"/>
      <c r="V2619" s="226"/>
      <c r="W2619" s="227"/>
      <c r="X2619" s="220"/>
      <c r="Z2619" s="227"/>
      <c r="AA2619" s="220"/>
      <c r="AB2619" s="221"/>
      <c r="AC2619" s="229"/>
      <c r="AD2619" s="230"/>
      <c r="AE2619" s="230"/>
      <c r="AF2619" s="230"/>
      <c r="AG2619" s="227"/>
    </row>
    <row r="2620" spans="1:33" x14ac:dyDescent="0.25">
      <c r="A2620" s="32"/>
      <c r="B2620" s="306"/>
      <c r="C2620" s="307"/>
      <c r="D2620" s="312"/>
      <c r="E2620" s="301"/>
      <c r="F2620" s="232"/>
      <c r="J2620" s="306"/>
      <c r="K2620" s="306"/>
      <c r="L2620" s="313"/>
      <c r="M2620" s="219"/>
      <c r="N2620" s="218"/>
      <c r="S2620" s="224"/>
      <c r="T2620" s="228"/>
      <c r="U2620" s="226"/>
      <c r="V2620" s="226"/>
      <c r="W2620" s="227"/>
      <c r="X2620" s="220"/>
      <c r="Z2620" s="227"/>
      <c r="AA2620" s="220"/>
      <c r="AB2620" s="221"/>
      <c r="AC2620" s="229"/>
      <c r="AD2620" s="230"/>
      <c r="AE2620" s="230"/>
      <c r="AF2620" s="230"/>
      <c r="AG2620" s="227"/>
    </row>
    <row r="2621" spans="1:33" x14ac:dyDescent="0.25">
      <c r="A2621" s="32"/>
      <c r="B2621" s="306"/>
      <c r="C2621" s="307"/>
      <c r="D2621" s="312"/>
      <c r="E2621" s="301"/>
      <c r="F2621" s="232"/>
      <c r="J2621" s="306"/>
      <c r="K2621" s="306"/>
      <c r="L2621" s="313"/>
      <c r="M2621" s="219"/>
      <c r="N2621" s="218"/>
      <c r="S2621" s="224"/>
      <c r="T2621" s="228"/>
      <c r="U2621" s="226"/>
      <c r="V2621" s="226"/>
      <c r="W2621" s="227"/>
      <c r="X2621" s="220"/>
      <c r="Z2621" s="227"/>
      <c r="AA2621" s="220"/>
      <c r="AB2621" s="221"/>
      <c r="AC2621" s="229"/>
      <c r="AD2621" s="230"/>
      <c r="AE2621" s="230"/>
      <c r="AF2621" s="230"/>
      <c r="AG2621" s="227"/>
    </row>
    <row r="2622" spans="1:33" x14ac:dyDescent="0.25">
      <c r="A2622" s="32"/>
      <c r="B2622" s="306"/>
      <c r="C2622" s="307"/>
      <c r="D2622" s="312"/>
      <c r="E2622" s="301"/>
      <c r="F2622" s="232"/>
      <c r="J2622" s="306"/>
      <c r="K2622" s="306"/>
      <c r="L2622" s="313"/>
      <c r="M2622" s="219"/>
      <c r="N2622" s="218"/>
      <c r="S2622" s="224"/>
      <c r="T2622" s="228"/>
      <c r="U2622" s="226"/>
      <c r="V2622" s="226"/>
      <c r="W2622" s="227"/>
      <c r="X2622" s="220"/>
      <c r="Z2622" s="227"/>
      <c r="AA2622" s="220"/>
      <c r="AB2622" s="221"/>
      <c r="AC2622" s="229"/>
      <c r="AD2622" s="230"/>
      <c r="AE2622" s="230"/>
      <c r="AF2622" s="230"/>
      <c r="AG2622" s="227"/>
    </row>
    <row r="2623" spans="1:33" x14ac:dyDescent="0.25">
      <c r="A2623" s="32"/>
      <c r="B2623" s="306"/>
      <c r="C2623" s="307"/>
      <c r="D2623" s="312"/>
      <c r="E2623" s="301"/>
      <c r="F2623" s="232"/>
      <c r="J2623" s="306"/>
      <c r="K2623" s="306"/>
      <c r="L2623" s="313"/>
      <c r="M2623" s="219"/>
      <c r="N2623" s="218"/>
      <c r="S2623" s="224"/>
      <c r="T2623" s="228"/>
      <c r="U2623" s="226"/>
      <c r="V2623" s="226"/>
      <c r="W2623" s="227"/>
      <c r="X2623" s="220"/>
      <c r="Z2623" s="227"/>
      <c r="AA2623" s="220"/>
      <c r="AB2623" s="221"/>
      <c r="AC2623" s="229"/>
      <c r="AD2623" s="230"/>
      <c r="AE2623" s="230"/>
      <c r="AF2623" s="230"/>
      <c r="AG2623" s="227"/>
    </row>
    <row r="2624" spans="1:33" x14ac:dyDescent="0.25">
      <c r="A2624" s="32"/>
      <c r="B2624" s="306"/>
      <c r="C2624" s="307"/>
      <c r="D2624" s="312"/>
      <c r="E2624" s="301"/>
      <c r="F2624" s="232"/>
      <c r="J2624" s="306"/>
      <c r="K2624" s="306"/>
      <c r="L2624" s="313"/>
      <c r="M2624" s="219"/>
      <c r="N2624" s="218"/>
      <c r="S2624" s="224"/>
      <c r="T2624" s="228"/>
      <c r="U2624" s="226"/>
      <c r="V2624" s="226"/>
      <c r="W2624" s="227"/>
      <c r="X2624" s="220"/>
      <c r="Z2624" s="227"/>
      <c r="AA2624" s="220"/>
      <c r="AB2624" s="221"/>
      <c r="AC2624" s="229"/>
      <c r="AD2624" s="230"/>
      <c r="AE2624" s="230"/>
      <c r="AF2624" s="230"/>
      <c r="AG2624" s="227"/>
    </row>
    <row r="2625" spans="1:33" x14ac:dyDescent="0.25">
      <c r="A2625" s="32"/>
      <c r="B2625" s="306"/>
      <c r="C2625" s="307"/>
      <c r="D2625" s="312"/>
      <c r="E2625" s="301"/>
      <c r="F2625" s="232"/>
      <c r="J2625" s="306"/>
      <c r="K2625" s="306"/>
      <c r="L2625" s="313"/>
      <c r="M2625" s="219"/>
      <c r="N2625" s="218"/>
      <c r="S2625" s="224"/>
      <c r="T2625" s="228"/>
      <c r="U2625" s="226"/>
      <c r="V2625" s="226"/>
      <c r="W2625" s="227"/>
      <c r="X2625" s="220"/>
      <c r="Z2625" s="227"/>
      <c r="AA2625" s="220"/>
      <c r="AB2625" s="221"/>
      <c r="AC2625" s="229"/>
      <c r="AD2625" s="230"/>
      <c r="AE2625" s="230"/>
      <c r="AF2625" s="230"/>
      <c r="AG2625" s="227"/>
    </row>
    <row r="2626" spans="1:33" x14ac:dyDescent="0.25">
      <c r="A2626" s="32"/>
      <c r="B2626" s="306"/>
      <c r="C2626" s="307"/>
      <c r="D2626" s="312"/>
      <c r="E2626" s="301"/>
      <c r="F2626" s="232"/>
      <c r="J2626" s="306"/>
      <c r="K2626" s="306"/>
      <c r="L2626" s="313"/>
      <c r="M2626" s="219"/>
      <c r="N2626" s="218"/>
      <c r="S2626" s="224"/>
      <c r="T2626" s="228"/>
      <c r="U2626" s="226"/>
      <c r="V2626" s="226"/>
      <c r="W2626" s="227"/>
      <c r="X2626" s="220"/>
      <c r="Z2626" s="227"/>
      <c r="AA2626" s="220"/>
      <c r="AB2626" s="221"/>
      <c r="AC2626" s="229"/>
      <c r="AD2626" s="230"/>
      <c r="AE2626" s="230"/>
      <c r="AF2626" s="230"/>
      <c r="AG2626" s="227"/>
    </row>
    <row r="2627" spans="1:33" x14ac:dyDescent="0.25">
      <c r="A2627" s="32"/>
      <c r="B2627" s="306"/>
      <c r="C2627" s="307"/>
      <c r="D2627" s="312"/>
      <c r="E2627" s="301"/>
      <c r="F2627" s="232"/>
      <c r="J2627" s="306"/>
      <c r="K2627" s="306"/>
      <c r="L2627" s="313"/>
      <c r="M2627" s="219"/>
      <c r="N2627" s="218"/>
      <c r="S2627" s="224"/>
      <c r="T2627" s="228"/>
      <c r="U2627" s="226"/>
      <c r="V2627" s="226"/>
      <c r="W2627" s="227"/>
      <c r="X2627" s="220"/>
      <c r="Z2627" s="227"/>
      <c r="AA2627" s="220"/>
      <c r="AB2627" s="221"/>
      <c r="AC2627" s="229"/>
      <c r="AD2627" s="230"/>
      <c r="AE2627" s="230"/>
      <c r="AF2627" s="230"/>
      <c r="AG2627" s="227"/>
    </row>
    <row r="2628" spans="1:33" x14ac:dyDescent="0.25">
      <c r="A2628" s="32"/>
      <c r="B2628" s="306"/>
      <c r="C2628" s="307"/>
      <c r="D2628" s="312"/>
      <c r="E2628" s="301"/>
      <c r="F2628" s="232"/>
      <c r="J2628" s="306"/>
      <c r="K2628" s="306"/>
      <c r="L2628" s="313"/>
      <c r="M2628" s="219"/>
      <c r="N2628" s="218"/>
      <c r="S2628" s="224"/>
      <c r="T2628" s="228"/>
      <c r="U2628" s="226"/>
      <c r="V2628" s="226"/>
      <c r="W2628" s="227"/>
      <c r="X2628" s="220"/>
      <c r="Z2628" s="227"/>
      <c r="AA2628" s="220"/>
      <c r="AB2628" s="221"/>
      <c r="AC2628" s="229"/>
      <c r="AD2628" s="230"/>
      <c r="AE2628" s="230"/>
      <c r="AF2628" s="230"/>
      <c r="AG2628" s="227"/>
    </row>
    <row r="2629" spans="1:33" x14ac:dyDescent="0.25">
      <c r="A2629" s="32"/>
      <c r="B2629" s="306"/>
      <c r="C2629" s="307"/>
      <c r="D2629" s="312"/>
      <c r="E2629" s="301"/>
      <c r="F2629" s="232"/>
      <c r="J2629" s="306"/>
      <c r="K2629" s="306"/>
      <c r="L2629" s="313"/>
      <c r="M2629" s="219"/>
      <c r="N2629" s="218"/>
      <c r="S2629" s="224"/>
      <c r="T2629" s="228"/>
      <c r="U2629" s="226"/>
      <c r="V2629" s="226"/>
      <c r="W2629" s="227"/>
      <c r="X2629" s="220"/>
      <c r="Z2629" s="227"/>
      <c r="AA2629" s="220"/>
      <c r="AB2629" s="221"/>
      <c r="AC2629" s="229"/>
      <c r="AD2629" s="230"/>
      <c r="AE2629" s="230"/>
      <c r="AF2629" s="230"/>
      <c r="AG2629" s="227"/>
    </row>
    <row r="2630" spans="1:33" x14ac:dyDescent="0.25">
      <c r="A2630" s="32"/>
      <c r="B2630" s="306"/>
      <c r="C2630" s="307"/>
      <c r="D2630" s="312"/>
      <c r="E2630" s="301"/>
      <c r="F2630" s="232"/>
      <c r="J2630" s="306"/>
      <c r="K2630" s="306"/>
      <c r="L2630" s="313"/>
      <c r="M2630" s="219"/>
      <c r="N2630" s="218"/>
      <c r="S2630" s="224"/>
      <c r="T2630" s="228"/>
      <c r="U2630" s="226"/>
      <c r="V2630" s="226"/>
      <c r="W2630" s="227"/>
      <c r="X2630" s="220"/>
      <c r="Z2630" s="227"/>
      <c r="AA2630" s="220"/>
      <c r="AB2630" s="221"/>
      <c r="AC2630" s="229"/>
      <c r="AD2630" s="230"/>
      <c r="AE2630" s="230"/>
      <c r="AF2630" s="230"/>
      <c r="AG2630" s="227"/>
    </row>
    <row r="2631" spans="1:33" x14ac:dyDescent="0.25">
      <c r="A2631" s="32"/>
      <c r="B2631" s="306"/>
      <c r="C2631" s="307"/>
      <c r="D2631" s="312"/>
      <c r="E2631" s="301"/>
      <c r="F2631" s="232"/>
      <c r="J2631" s="306"/>
      <c r="K2631" s="306"/>
      <c r="L2631" s="313"/>
      <c r="M2631" s="219"/>
      <c r="N2631" s="218"/>
      <c r="S2631" s="224"/>
      <c r="T2631" s="228"/>
      <c r="U2631" s="226"/>
      <c r="V2631" s="226"/>
      <c r="W2631" s="227"/>
      <c r="X2631" s="220"/>
      <c r="Z2631" s="227"/>
      <c r="AA2631" s="220"/>
      <c r="AB2631" s="221"/>
      <c r="AC2631" s="229"/>
      <c r="AD2631" s="230"/>
      <c r="AE2631" s="230"/>
      <c r="AF2631" s="230"/>
      <c r="AG2631" s="227"/>
    </row>
    <row r="2632" spans="1:33" x14ac:dyDescent="0.25">
      <c r="A2632" s="32"/>
      <c r="B2632" s="306"/>
      <c r="C2632" s="307"/>
      <c r="D2632" s="312"/>
      <c r="E2632" s="301"/>
      <c r="F2632" s="232"/>
      <c r="J2632" s="306"/>
      <c r="K2632" s="306"/>
      <c r="L2632" s="313"/>
      <c r="M2632" s="219"/>
      <c r="N2632" s="218"/>
      <c r="S2632" s="224"/>
      <c r="T2632" s="228"/>
      <c r="U2632" s="226"/>
      <c r="V2632" s="226"/>
      <c r="W2632" s="227"/>
      <c r="X2632" s="220"/>
      <c r="Z2632" s="227"/>
      <c r="AA2632" s="220"/>
      <c r="AB2632" s="221"/>
      <c r="AC2632" s="229"/>
      <c r="AD2632" s="230"/>
      <c r="AE2632" s="230"/>
      <c r="AF2632" s="230"/>
      <c r="AG2632" s="227"/>
    </row>
    <row r="2633" spans="1:33" x14ac:dyDescent="0.25">
      <c r="A2633" s="32"/>
      <c r="B2633" s="306"/>
      <c r="C2633" s="307"/>
      <c r="D2633" s="312"/>
      <c r="E2633" s="301"/>
      <c r="F2633" s="232"/>
      <c r="J2633" s="306"/>
      <c r="K2633" s="306"/>
      <c r="L2633" s="313"/>
      <c r="M2633" s="219"/>
      <c r="N2633" s="218"/>
      <c r="S2633" s="224"/>
      <c r="T2633" s="228"/>
      <c r="U2633" s="226"/>
      <c r="V2633" s="226"/>
      <c r="W2633" s="227"/>
      <c r="X2633" s="220"/>
      <c r="Z2633" s="227"/>
      <c r="AA2633" s="220"/>
      <c r="AB2633" s="221"/>
      <c r="AC2633" s="229"/>
      <c r="AD2633" s="230"/>
      <c r="AE2633" s="230"/>
      <c r="AF2633" s="230"/>
      <c r="AG2633" s="227"/>
    </row>
    <row r="2634" spans="1:33" x14ac:dyDescent="0.25">
      <c r="A2634" s="32"/>
      <c r="B2634" s="306"/>
      <c r="C2634" s="307"/>
      <c r="D2634" s="312"/>
      <c r="E2634" s="301"/>
      <c r="F2634" s="232"/>
      <c r="J2634" s="306"/>
      <c r="K2634" s="306"/>
      <c r="L2634" s="313"/>
      <c r="M2634" s="219"/>
      <c r="N2634" s="218"/>
      <c r="S2634" s="224"/>
      <c r="T2634" s="228"/>
      <c r="U2634" s="226"/>
      <c r="V2634" s="226"/>
      <c r="W2634" s="227"/>
      <c r="X2634" s="220"/>
      <c r="Z2634" s="227"/>
      <c r="AA2634" s="220"/>
      <c r="AB2634" s="221"/>
      <c r="AC2634" s="229"/>
      <c r="AD2634" s="230"/>
      <c r="AE2634" s="230"/>
      <c r="AF2634" s="230"/>
      <c r="AG2634" s="227"/>
    </row>
    <row r="2635" spans="1:33" x14ac:dyDescent="0.25">
      <c r="A2635" s="32"/>
      <c r="B2635" s="306"/>
      <c r="C2635" s="307"/>
      <c r="D2635" s="312"/>
      <c r="E2635" s="301"/>
      <c r="F2635" s="232"/>
      <c r="J2635" s="306"/>
      <c r="K2635" s="306"/>
      <c r="L2635" s="313"/>
      <c r="M2635" s="219"/>
      <c r="N2635" s="218"/>
      <c r="S2635" s="224"/>
      <c r="T2635" s="228"/>
      <c r="U2635" s="226"/>
      <c r="V2635" s="226"/>
      <c r="W2635" s="227"/>
      <c r="X2635" s="220"/>
      <c r="Z2635" s="227"/>
      <c r="AA2635" s="220"/>
      <c r="AB2635" s="221"/>
      <c r="AC2635" s="229"/>
      <c r="AD2635" s="230"/>
      <c r="AE2635" s="230"/>
      <c r="AF2635" s="230"/>
      <c r="AG2635" s="227"/>
    </row>
    <row r="2636" spans="1:33" x14ac:dyDescent="0.25">
      <c r="A2636" s="32"/>
      <c r="B2636" s="306"/>
      <c r="C2636" s="307"/>
      <c r="D2636" s="312"/>
      <c r="E2636" s="301"/>
      <c r="F2636" s="232"/>
      <c r="J2636" s="306"/>
      <c r="K2636" s="306"/>
      <c r="L2636" s="313"/>
      <c r="M2636" s="219"/>
      <c r="N2636" s="218"/>
      <c r="S2636" s="224"/>
      <c r="T2636" s="228"/>
      <c r="U2636" s="226"/>
      <c r="V2636" s="226"/>
      <c r="W2636" s="227"/>
      <c r="X2636" s="220"/>
      <c r="Z2636" s="227"/>
      <c r="AA2636" s="220"/>
      <c r="AB2636" s="221"/>
      <c r="AC2636" s="229"/>
      <c r="AD2636" s="230"/>
      <c r="AE2636" s="230"/>
      <c r="AF2636" s="230"/>
      <c r="AG2636" s="227"/>
    </row>
    <row r="2637" spans="1:33" x14ac:dyDescent="0.25">
      <c r="A2637" s="32"/>
      <c r="B2637" s="306"/>
      <c r="C2637" s="307"/>
      <c r="D2637" s="312"/>
      <c r="E2637" s="301"/>
      <c r="F2637" s="232"/>
      <c r="J2637" s="306"/>
      <c r="K2637" s="306"/>
      <c r="L2637" s="313"/>
      <c r="M2637" s="219"/>
      <c r="N2637" s="218"/>
      <c r="S2637" s="224"/>
      <c r="T2637" s="228"/>
      <c r="U2637" s="226"/>
      <c r="V2637" s="226"/>
      <c r="W2637" s="227"/>
      <c r="X2637" s="220"/>
      <c r="Z2637" s="227"/>
      <c r="AA2637" s="220"/>
      <c r="AB2637" s="221"/>
      <c r="AC2637" s="229"/>
      <c r="AD2637" s="230"/>
      <c r="AE2637" s="230"/>
      <c r="AF2637" s="230"/>
      <c r="AG2637" s="227"/>
    </row>
    <row r="2638" spans="1:33" x14ac:dyDescent="0.25">
      <c r="A2638" s="32"/>
      <c r="B2638" s="306"/>
      <c r="C2638" s="307"/>
      <c r="D2638" s="312"/>
      <c r="E2638" s="301"/>
      <c r="F2638" s="232"/>
      <c r="J2638" s="306"/>
      <c r="K2638" s="306"/>
      <c r="L2638" s="313"/>
      <c r="M2638" s="219"/>
      <c r="N2638" s="218"/>
      <c r="S2638" s="224"/>
      <c r="T2638" s="228"/>
      <c r="U2638" s="226"/>
      <c r="V2638" s="226"/>
      <c r="W2638" s="227"/>
      <c r="X2638" s="220"/>
      <c r="Z2638" s="227"/>
      <c r="AA2638" s="220"/>
      <c r="AB2638" s="221"/>
      <c r="AC2638" s="229"/>
      <c r="AD2638" s="230"/>
      <c r="AE2638" s="230"/>
      <c r="AF2638" s="230"/>
      <c r="AG2638" s="227"/>
    </row>
    <row r="2639" spans="1:33" x14ac:dyDescent="0.25">
      <c r="A2639" s="32"/>
      <c r="B2639" s="306"/>
      <c r="C2639" s="307"/>
      <c r="D2639" s="312"/>
      <c r="E2639" s="301"/>
      <c r="F2639" s="232"/>
      <c r="J2639" s="306"/>
      <c r="K2639" s="306"/>
      <c r="L2639" s="313"/>
      <c r="M2639" s="219"/>
      <c r="N2639" s="218"/>
      <c r="S2639" s="224"/>
      <c r="T2639" s="228"/>
      <c r="U2639" s="226"/>
      <c r="V2639" s="226"/>
      <c r="W2639" s="227"/>
      <c r="X2639" s="220"/>
      <c r="Z2639" s="227"/>
      <c r="AA2639" s="220"/>
      <c r="AB2639" s="221"/>
      <c r="AC2639" s="229"/>
      <c r="AD2639" s="230"/>
      <c r="AE2639" s="230"/>
      <c r="AF2639" s="230"/>
      <c r="AG2639" s="227"/>
    </row>
    <row r="2640" spans="1:33" x14ac:dyDescent="0.25">
      <c r="A2640" s="32"/>
      <c r="B2640" s="306"/>
      <c r="C2640" s="307"/>
      <c r="D2640" s="312"/>
      <c r="E2640" s="301"/>
      <c r="F2640" s="232"/>
      <c r="J2640" s="306"/>
      <c r="K2640" s="306"/>
      <c r="L2640" s="313"/>
      <c r="M2640" s="219"/>
      <c r="N2640" s="218"/>
      <c r="S2640" s="224"/>
      <c r="T2640" s="228"/>
      <c r="U2640" s="226"/>
      <c r="V2640" s="226"/>
      <c r="W2640" s="227"/>
      <c r="X2640" s="220"/>
      <c r="Z2640" s="227"/>
      <c r="AA2640" s="220"/>
      <c r="AB2640" s="221"/>
      <c r="AC2640" s="229"/>
      <c r="AD2640" s="230"/>
      <c r="AE2640" s="230"/>
      <c r="AF2640" s="230"/>
      <c r="AG2640" s="227"/>
    </row>
    <row r="2641" spans="1:33" x14ac:dyDescent="0.25">
      <c r="A2641" s="32"/>
      <c r="B2641" s="306"/>
      <c r="C2641" s="307"/>
      <c r="D2641" s="312"/>
      <c r="E2641" s="301"/>
      <c r="F2641" s="232"/>
      <c r="J2641" s="306"/>
      <c r="K2641" s="306"/>
      <c r="L2641" s="313"/>
      <c r="M2641" s="219"/>
      <c r="N2641" s="218"/>
      <c r="S2641" s="224"/>
      <c r="T2641" s="228"/>
      <c r="U2641" s="226"/>
      <c r="V2641" s="226"/>
      <c r="W2641" s="227"/>
      <c r="X2641" s="220"/>
      <c r="Z2641" s="227"/>
      <c r="AA2641" s="220"/>
      <c r="AB2641" s="221"/>
      <c r="AC2641" s="229"/>
      <c r="AD2641" s="230"/>
      <c r="AE2641" s="230"/>
      <c r="AF2641" s="230"/>
      <c r="AG2641" s="227"/>
    </row>
    <row r="2642" spans="1:33" x14ac:dyDescent="0.25">
      <c r="A2642" s="32"/>
      <c r="B2642" s="306"/>
      <c r="C2642" s="307"/>
      <c r="D2642" s="312"/>
      <c r="E2642" s="301"/>
      <c r="F2642" s="232"/>
      <c r="J2642" s="306"/>
      <c r="K2642" s="306"/>
      <c r="L2642" s="313"/>
      <c r="M2642" s="219"/>
      <c r="N2642" s="218"/>
      <c r="S2642" s="224"/>
      <c r="T2642" s="228"/>
      <c r="U2642" s="226"/>
      <c r="V2642" s="226"/>
      <c r="W2642" s="227"/>
      <c r="X2642" s="220"/>
      <c r="Z2642" s="227"/>
      <c r="AA2642" s="220"/>
      <c r="AB2642" s="221"/>
      <c r="AC2642" s="229"/>
      <c r="AD2642" s="230"/>
      <c r="AE2642" s="230"/>
      <c r="AF2642" s="230"/>
      <c r="AG2642" s="227"/>
    </row>
    <row r="2643" spans="1:33" x14ac:dyDescent="0.25">
      <c r="A2643" s="32"/>
      <c r="B2643" s="306"/>
      <c r="C2643" s="307"/>
      <c r="D2643" s="312"/>
      <c r="E2643" s="301"/>
      <c r="F2643" s="232"/>
      <c r="J2643" s="306"/>
      <c r="K2643" s="306"/>
      <c r="L2643" s="313"/>
      <c r="M2643" s="219"/>
      <c r="N2643" s="218"/>
      <c r="S2643" s="224"/>
      <c r="T2643" s="228"/>
      <c r="U2643" s="226"/>
      <c r="V2643" s="226"/>
      <c r="W2643" s="227"/>
      <c r="X2643" s="220"/>
      <c r="Z2643" s="227"/>
      <c r="AA2643" s="220"/>
      <c r="AB2643" s="221"/>
      <c r="AC2643" s="229"/>
      <c r="AD2643" s="230"/>
      <c r="AE2643" s="230"/>
      <c r="AF2643" s="230"/>
      <c r="AG2643" s="227"/>
    </row>
    <row r="2644" spans="1:33" x14ac:dyDescent="0.25">
      <c r="A2644" s="32"/>
      <c r="B2644" s="306"/>
      <c r="C2644" s="307"/>
      <c r="D2644" s="312"/>
      <c r="E2644" s="301"/>
      <c r="F2644" s="232"/>
      <c r="J2644" s="306"/>
      <c r="K2644" s="306"/>
      <c r="L2644" s="313"/>
      <c r="M2644" s="219"/>
      <c r="N2644" s="218"/>
      <c r="S2644" s="224"/>
      <c r="T2644" s="228"/>
      <c r="U2644" s="226"/>
      <c r="V2644" s="226"/>
      <c r="W2644" s="227"/>
      <c r="X2644" s="220"/>
      <c r="Z2644" s="227"/>
      <c r="AA2644" s="220"/>
      <c r="AB2644" s="221"/>
      <c r="AC2644" s="229"/>
      <c r="AD2644" s="230"/>
      <c r="AE2644" s="230"/>
      <c r="AF2644" s="230"/>
      <c r="AG2644" s="227"/>
    </row>
    <row r="2645" spans="1:33" x14ac:dyDescent="0.25">
      <c r="A2645" s="32"/>
      <c r="B2645" s="306"/>
      <c r="C2645" s="307"/>
      <c r="D2645" s="312"/>
      <c r="E2645" s="301"/>
      <c r="F2645" s="232"/>
      <c r="J2645" s="306"/>
      <c r="K2645" s="306"/>
      <c r="L2645" s="313"/>
      <c r="M2645" s="219"/>
      <c r="N2645" s="218"/>
      <c r="S2645" s="224"/>
      <c r="T2645" s="228"/>
      <c r="U2645" s="226"/>
      <c r="V2645" s="226"/>
      <c r="W2645" s="227"/>
      <c r="X2645" s="220"/>
      <c r="Z2645" s="227"/>
      <c r="AA2645" s="220"/>
      <c r="AB2645" s="221"/>
      <c r="AC2645" s="229"/>
      <c r="AD2645" s="230"/>
      <c r="AE2645" s="230"/>
      <c r="AF2645" s="230"/>
      <c r="AG2645" s="227"/>
    </row>
    <row r="2646" spans="1:33" x14ac:dyDescent="0.25">
      <c r="A2646" s="32"/>
      <c r="B2646" s="306"/>
      <c r="C2646" s="307"/>
      <c r="D2646" s="312"/>
      <c r="E2646" s="301"/>
      <c r="F2646" s="232"/>
      <c r="J2646" s="306"/>
      <c r="K2646" s="306"/>
      <c r="L2646" s="313"/>
      <c r="M2646" s="219"/>
      <c r="N2646" s="218"/>
      <c r="S2646" s="224"/>
      <c r="T2646" s="228"/>
      <c r="U2646" s="226"/>
      <c r="V2646" s="226"/>
      <c r="W2646" s="227"/>
      <c r="X2646" s="220"/>
      <c r="Z2646" s="227"/>
      <c r="AA2646" s="220"/>
      <c r="AB2646" s="221"/>
      <c r="AC2646" s="229"/>
      <c r="AD2646" s="230"/>
      <c r="AE2646" s="230"/>
      <c r="AF2646" s="230"/>
      <c r="AG2646" s="227"/>
    </row>
    <row r="2647" spans="1:33" x14ac:dyDescent="0.25">
      <c r="A2647" s="32"/>
      <c r="B2647" s="306"/>
      <c r="C2647" s="307"/>
      <c r="D2647" s="312"/>
      <c r="E2647" s="301"/>
      <c r="F2647" s="232"/>
      <c r="J2647" s="306"/>
      <c r="K2647" s="306"/>
      <c r="L2647" s="313"/>
      <c r="M2647" s="219"/>
      <c r="N2647" s="218"/>
      <c r="S2647" s="224"/>
      <c r="T2647" s="228"/>
      <c r="U2647" s="226"/>
      <c r="V2647" s="226"/>
      <c r="W2647" s="227"/>
      <c r="X2647" s="220"/>
      <c r="Z2647" s="227"/>
      <c r="AA2647" s="220"/>
      <c r="AB2647" s="221"/>
      <c r="AC2647" s="229"/>
      <c r="AD2647" s="230"/>
      <c r="AE2647" s="230"/>
      <c r="AF2647" s="230"/>
      <c r="AG2647" s="227"/>
    </row>
    <row r="2648" spans="1:33" x14ac:dyDescent="0.25">
      <c r="A2648" s="32"/>
      <c r="B2648" s="306"/>
      <c r="C2648" s="307"/>
      <c r="D2648" s="312"/>
      <c r="E2648" s="301"/>
      <c r="F2648" s="232"/>
      <c r="J2648" s="306"/>
      <c r="K2648" s="306"/>
      <c r="L2648" s="313"/>
      <c r="M2648" s="219"/>
      <c r="N2648" s="218"/>
      <c r="S2648" s="224"/>
      <c r="T2648" s="228"/>
      <c r="U2648" s="226"/>
      <c r="V2648" s="226"/>
      <c r="W2648" s="227"/>
      <c r="X2648" s="220"/>
      <c r="Z2648" s="227"/>
      <c r="AA2648" s="220"/>
      <c r="AB2648" s="221"/>
      <c r="AC2648" s="229"/>
      <c r="AD2648" s="230"/>
      <c r="AE2648" s="230"/>
      <c r="AF2648" s="230"/>
      <c r="AG2648" s="227"/>
    </row>
    <row r="2649" spans="1:33" x14ac:dyDescent="0.25">
      <c r="A2649" s="32"/>
      <c r="B2649" s="306"/>
      <c r="C2649" s="307"/>
      <c r="D2649" s="312"/>
      <c r="E2649" s="301"/>
      <c r="F2649" s="232"/>
      <c r="J2649" s="306"/>
      <c r="K2649" s="306"/>
      <c r="L2649" s="313"/>
      <c r="M2649" s="219"/>
      <c r="N2649" s="218"/>
      <c r="S2649" s="224"/>
      <c r="T2649" s="228"/>
      <c r="U2649" s="226"/>
      <c r="V2649" s="226"/>
      <c r="W2649" s="227"/>
      <c r="X2649" s="220"/>
      <c r="Z2649" s="227"/>
      <c r="AA2649" s="220"/>
      <c r="AB2649" s="221"/>
      <c r="AC2649" s="229"/>
      <c r="AD2649" s="230"/>
      <c r="AE2649" s="230"/>
      <c r="AF2649" s="230"/>
      <c r="AG2649" s="227"/>
    </row>
    <row r="2650" spans="1:33" x14ac:dyDescent="0.25">
      <c r="A2650" s="32"/>
      <c r="B2650" s="306"/>
      <c r="C2650" s="307"/>
      <c r="D2650" s="312"/>
      <c r="E2650" s="301"/>
      <c r="F2650" s="232"/>
      <c r="J2650" s="306"/>
      <c r="K2650" s="306"/>
      <c r="L2650" s="313"/>
      <c r="M2650" s="219"/>
      <c r="N2650" s="218"/>
      <c r="S2650" s="224"/>
      <c r="T2650" s="228"/>
      <c r="U2650" s="226"/>
      <c r="V2650" s="226"/>
      <c r="W2650" s="227"/>
      <c r="X2650" s="220"/>
      <c r="Z2650" s="227"/>
      <c r="AA2650" s="220"/>
      <c r="AB2650" s="221"/>
      <c r="AC2650" s="229"/>
      <c r="AD2650" s="230"/>
      <c r="AE2650" s="230"/>
      <c r="AF2650" s="230"/>
      <c r="AG2650" s="227"/>
    </row>
    <row r="2651" spans="1:33" x14ac:dyDescent="0.25">
      <c r="A2651" s="32"/>
      <c r="B2651" s="306"/>
      <c r="C2651" s="307"/>
      <c r="D2651" s="312"/>
      <c r="E2651" s="301"/>
      <c r="F2651" s="232"/>
      <c r="J2651" s="306"/>
      <c r="K2651" s="306"/>
      <c r="L2651" s="313"/>
      <c r="M2651" s="219"/>
      <c r="N2651" s="218"/>
      <c r="S2651" s="224"/>
      <c r="T2651" s="228"/>
      <c r="U2651" s="226"/>
      <c r="V2651" s="226"/>
      <c r="W2651" s="227"/>
      <c r="X2651" s="220"/>
      <c r="Z2651" s="227"/>
      <c r="AA2651" s="220"/>
      <c r="AB2651" s="221"/>
      <c r="AC2651" s="229"/>
      <c r="AD2651" s="230"/>
      <c r="AE2651" s="230"/>
      <c r="AF2651" s="230"/>
      <c r="AG2651" s="227"/>
    </row>
    <row r="2652" spans="1:33" x14ac:dyDescent="0.25">
      <c r="A2652" s="32"/>
      <c r="B2652" s="306"/>
      <c r="C2652" s="307"/>
      <c r="D2652" s="312"/>
      <c r="E2652" s="301"/>
      <c r="F2652" s="232"/>
      <c r="J2652" s="306"/>
      <c r="K2652" s="306"/>
      <c r="L2652" s="313"/>
      <c r="M2652" s="219"/>
      <c r="N2652" s="218"/>
      <c r="S2652" s="224"/>
      <c r="T2652" s="228"/>
      <c r="U2652" s="226"/>
      <c r="V2652" s="226"/>
      <c r="W2652" s="227"/>
      <c r="X2652" s="220"/>
      <c r="Z2652" s="227"/>
      <c r="AA2652" s="220"/>
      <c r="AB2652" s="221"/>
      <c r="AC2652" s="229"/>
      <c r="AD2652" s="230"/>
      <c r="AE2652" s="230"/>
      <c r="AF2652" s="230"/>
      <c r="AG2652" s="227"/>
    </row>
    <row r="2653" spans="1:33" x14ac:dyDescent="0.25">
      <c r="A2653" s="32"/>
      <c r="B2653" s="306"/>
      <c r="C2653" s="307"/>
      <c r="D2653" s="312"/>
      <c r="E2653" s="301"/>
      <c r="F2653" s="232"/>
      <c r="J2653" s="306"/>
      <c r="K2653" s="306"/>
      <c r="L2653" s="313"/>
      <c r="M2653" s="219"/>
      <c r="N2653" s="218"/>
      <c r="S2653" s="224"/>
      <c r="T2653" s="228"/>
      <c r="U2653" s="226"/>
      <c r="V2653" s="226"/>
      <c r="W2653" s="227"/>
      <c r="X2653" s="220"/>
      <c r="Z2653" s="227"/>
      <c r="AA2653" s="220"/>
      <c r="AB2653" s="221"/>
      <c r="AC2653" s="229"/>
      <c r="AD2653" s="230"/>
      <c r="AE2653" s="230"/>
      <c r="AF2653" s="230"/>
      <c r="AG2653" s="227"/>
    </row>
    <row r="2654" spans="1:33" x14ac:dyDescent="0.25">
      <c r="A2654" s="32"/>
      <c r="B2654" s="306"/>
      <c r="C2654" s="307"/>
      <c r="D2654" s="312"/>
      <c r="E2654" s="301"/>
      <c r="F2654" s="232"/>
      <c r="J2654" s="306"/>
      <c r="K2654" s="306"/>
      <c r="L2654" s="313"/>
      <c r="M2654" s="219"/>
      <c r="N2654" s="218"/>
      <c r="S2654" s="224"/>
      <c r="T2654" s="228"/>
      <c r="U2654" s="226"/>
      <c r="V2654" s="226"/>
      <c r="W2654" s="227"/>
      <c r="X2654" s="220"/>
      <c r="Z2654" s="227"/>
      <c r="AA2654" s="220"/>
      <c r="AB2654" s="221"/>
      <c r="AC2654" s="229"/>
      <c r="AD2654" s="230"/>
      <c r="AE2654" s="230"/>
      <c r="AF2654" s="230"/>
      <c r="AG2654" s="227"/>
    </row>
    <row r="2655" spans="1:33" x14ac:dyDescent="0.25">
      <c r="A2655" s="32"/>
      <c r="B2655" s="306"/>
      <c r="C2655" s="307"/>
      <c r="D2655" s="312"/>
      <c r="E2655" s="301"/>
      <c r="F2655" s="232"/>
      <c r="J2655" s="306"/>
      <c r="K2655" s="306"/>
      <c r="L2655" s="313"/>
      <c r="M2655" s="219"/>
      <c r="N2655" s="218"/>
      <c r="S2655" s="224"/>
      <c r="T2655" s="228"/>
      <c r="U2655" s="226"/>
      <c r="V2655" s="226"/>
      <c r="W2655" s="227"/>
      <c r="X2655" s="220"/>
      <c r="Z2655" s="227"/>
      <c r="AA2655" s="220"/>
      <c r="AB2655" s="221"/>
      <c r="AC2655" s="229"/>
      <c r="AD2655" s="230"/>
      <c r="AE2655" s="230"/>
      <c r="AF2655" s="230"/>
      <c r="AG2655" s="227"/>
    </row>
    <row r="2656" spans="1:33" x14ac:dyDescent="0.25">
      <c r="A2656" s="32"/>
      <c r="B2656" s="306"/>
      <c r="C2656" s="307"/>
      <c r="D2656" s="312"/>
      <c r="E2656" s="301"/>
      <c r="F2656" s="232"/>
      <c r="J2656" s="306"/>
      <c r="K2656" s="306"/>
      <c r="L2656" s="313"/>
      <c r="M2656" s="219"/>
      <c r="N2656" s="218"/>
      <c r="S2656" s="224"/>
      <c r="T2656" s="228"/>
      <c r="U2656" s="226"/>
      <c r="V2656" s="226"/>
      <c r="W2656" s="227"/>
      <c r="X2656" s="220"/>
      <c r="Z2656" s="227"/>
      <c r="AA2656" s="220"/>
      <c r="AB2656" s="221"/>
      <c r="AC2656" s="229"/>
      <c r="AD2656" s="230"/>
      <c r="AE2656" s="230"/>
      <c r="AF2656" s="230"/>
      <c r="AG2656" s="227"/>
    </row>
    <row r="2657" spans="1:33" x14ac:dyDescent="0.25">
      <c r="A2657" s="32"/>
      <c r="B2657" s="306"/>
      <c r="C2657" s="307"/>
      <c r="D2657" s="312"/>
      <c r="E2657" s="301"/>
      <c r="F2657" s="232"/>
      <c r="J2657" s="306"/>
      <c r="K2657" s="306"/>
      <c r="L2657" s="313"/>
      <c r="M2657" s="219"/>
      <c r="N2657" s="218"/>
      <c r="S2657" s="224"/>
      <c r="T2657" s="228"/>
      <c r="U2657" s="226"/>
      <c r="V2657" s="226"/>
      <c r="W2657" s="227"/>
      <c r="X2657" s="220"/>
      <c r="Z2657" s="227"/>
      <c r="AA2657" s="220"/>
      <c r="AB2657" s="221"/>
      <c r="AC2657" s="229"/>
      <c r="AD2657" s="230"/>
      <c r="AE2657" s="230"/>
      <c r="AF2657" s="230"/>
      <c r="AG2657" s="227"/>
    </row>
    <row r="2658" spans="1:33" x14ac:dyDescent="0.25">
      <c r="A2658" s="32"/>
      <c r="B2658" s="306"/>
      <c r="C2658" s="307"/>
      <c r="D2658" s="312"/>
      <c r="E2658" s="301"/>
      <c r="F2658" s="232"/>
      <c r="J2658" s="306"/>
      <c r="K2658" s="306"/>
      <c r="L2658" s="313"/>
      <c r="M2658" s="219"/>
      <c r="N2658" s="218"/>
      <c r="S2658" s="224"/>
      <c r="T2658" s="228"/>
      <c r="U2658" s="226"/>
      <c r="V2658" s="226"/>
      <c r="W2658" s="227"/>
      <c r="X2658" s="220"/>
      <c r="Z2658" s="227"/>
      <c r="AA2658" s="220"/>
      <c r="AB2658" s="221"/>
      <c r="AC2658" s="229"/>
      <c r="AD2658" s="230"/>
      <c r="AE2658" s="230"/>
      <c r="AF2658" s="230"/>
      <c r="AG2658" s="227"/>
    </row>
    <row r="2659" spans="1:33" x14ac:dyDescent="0.25">
      <c r="A2659" s="32"/>
      <c r="B2659" s="306"/>
      <c r="C2659" s="307"/>
      <c r="D2659" s="312"/>
      <c r="E2659" s="301"/>
      <c r="F2659" s="232"/>
      <c r="J2659" s="306"/>
      <c r="K2659" s="306"/>
      <c r="L2659" s="313"/>
      <c r="M2659" s="219"/>
      <c r="N2659" s="218"/>
      <c r="S2659" s="224"/>
      <c r="T2659" s="228"/>
      <c r="U2659" s="226"/>
      <c r="V2659" s="226"/>
      <c r="W2659" s="227"/>
      <c r="X2659" s="220"/>
      <c r="Z2659" s="227"/>
      <c r="AA2659" s="220"/>
      <c r="AB2659" s="221"/>
      <c r="AC2659" s="229"/>
      <c r="AD2659" s="230"/>
      <c r="AE2659" s="230"/>
      <c r="AF2659" s="230"/>
      <c r="AG2659" s="227"/>
    </row>
    <row r="2660" spans="1:33" x14ac:dyDescent="0.25">
      <c r="A2660" s="32"/>
      <c r="B2660" s="306"/>
      <c r="C2660" s="307"/>
      <c r="D2660" s="312"/>
      <c r="E2660" s="301"/>
      <c r="F2660" s="232"/>
      <c r="J2660" s="306"/>
      <c r="K2660" s="306"/>
      <c r="L2660" s="313"/>
      <c r="M2660" s="219"/>
      <c r="N2660" s="218"/>
      <c r="S2660" s="224"/>
      <c r="T2660" s="228"/>
      <c r="U2660" s="226"/>
      <c r="V2660" s="226"/>
      <c r="W2660" s="227"/>
      <c r="X2660" s="220"/>
      <c r="Z2660" s="227"/>
      <c r="AA2660" s="220"/>
      <c r="AB2660" s="221"/>
      <c r="AC2660" s="229"/>
      <c r="AD2660" s="230"/>
      <c r="AE2660" s="230"/>
      <c r="AF2660" s="230"/>
      <c r="AG2660" s="227"/>
    </row>
    <row r="2661" spans="1:33" x14ac:dyDescent="0.25">
      <c r="A2661" s="32"/>
      <c r="B2661" s="306"/>
      <c r="C2661" s="307"/>
      <c r="D2661" s="312"/>
      <c r="E2661" s="301"/>
      <c r="F2661" s="232"/>
      <c r="J2661" s="306"/>
      <c r="K2661" s="306"/>
      <c r="L2661" s="313"/>
      <c r="M2661" s="219"/>
      <c r="N2661" s="218"/>
      <c r="S2661" s="224"/>
      <c r="T2661" s="228"/>
      <c r="U2661" s="226"/>
      <c r="V2661" s="226"/>
      <c r="W2661" s="227"/>
      <c r="X2661" s="220"/>
      <c r="Z2661" s="227"/>
      <c r="AA2661" s="220"/>
      <c r="AB2661" s="221"/>
      <c r="AC2661" s="229"/>
      <c r="AD2661" s="230"/>
      <c r="AE2661" s="230"/>
      <c r="AF2661" s="230"/>
      <c r="AG2661" s="227"/>
    </row>
    <row r="2662" spans="1:33" x14ac:dyDescent="0.25">
      <c r="A2662" s="32"/>
      <c r="B2662" s="306"/>
      <c r="C2662" s="307"/>
      <c r="D2662" s="312"/>
      <c r="E2662" s="301"/>
      <c r="F2662" s="232"/>
      <c r="J2662" s="306"/>
      <c r="K2662" s="306"/>
      <c r="L2662" s="313"/>
      <c r="M2662" s="219"/>
      <c r="N2662" s="218"/>
      <c r="S2662" s="224"/>
      <c r="T2662" s="228"/>
      <c r="U2662" s="226"/>
      <c r="V2662" s="226"/>
      <c r="W2662" s="227"/>
      <c r="X2662" s="220"/>
      <c r="Z2662" s="227"/>
      <c r="AA2662" s="220"/>
      <c r="AB2662" s="221"/>
      <c r="AC2662" s="229"/>
      <c r="AD2662" s="230"/>
      <c r="AE2662" s="230"/>
      <c r="AF2662" s="230"/>
      <c r="AG2662" s="227"/>
    </row>
    <row r="2663" spans="1:33" x14ac:dyDescent="0.25">
      <c r="A2663" s="32"/>
      <c r="B2663" s="306"/>
      <c r="C2663" s="307"/>
      <c r="D2663" s="312"/>
      <c r="E2663" s="301"/>
      <c r="F2663" s="232"/>
      <c r="J2663" s="306"/>
      <c r="K2663" s="306"/>
      <c r="L2663" s="313"/>
      <c r="M2663" s="219"/>
      <c r="N2663" s="218"/>
      <c r="S2663" s="224"/>
      <c r="T2663" s="228"/>
      <c r="U2663" s="226"/>
      <c r="V2663" s="226"/>
      <c r="W2663" s="227"/>
      <c r="X2663" s="220"/>
      <c r="Z2663" s="227"/>
      <c r="AA2663" s="220"/>
      <c r="AB2663" s="221"/>
      <c r="AC2663" s="229"/>
      <c r="AD2663" s="230"/>
      <c r="AE2663" s="230"/>
      <c r="AF2663" s="230"/>
      <c r="AG2663" s="227"/>
    </row>
    <row r="2664" spans="1:33" x14ac:dyDescent="0.25">
      <c r="A2664" s="32"/>
      <c r="B2664" s="306"/>
      <c r="C2664" s="307"/>
      <c r="D2664" s="312"/>
      <c r="E2664" s="301"/>
      <c r="F2664" s="232"/>
      <c r="J2664" s="306"/>
      <c r="K2664" s="306"/>
      <c r="L2664" s="313"/>
      <c r="M2664" s="219"/>
      <c r="N2664" s="218"/>
      <c r="S2664" s="224"/>
      <c r="T2664" s="228"/>
      <c r="U2664" s="226"/>
      <c r="V2664" s="226"/>
      <c r="W2664" s="227"/>
      <c r="X2664" s="220"/>
      <c r="Z2664" s="227"/>
      <c r="AA2664" s="220"/>
      <c r="AB2664" s="221"/>
      <c r="AC2664" s="229"/>
      <c r="AD2664" s="230"/>
      <c r="AE2664" s="230"/>
      <c r="AF2664" s="230"/>
      <c r="AG2664" s="227"/>
    </row>
    <row r="2665" spans="1:33" x14ac:dyDescent="0.25">
      <c r="A2665" s="32"/>
      <c r="B2665" s="306"/>
      <c r="C2665" s="307"/>
      <c r="D2665" s="312"/>
      <c r="E2665" s="301"/>
      <c r="F2665" s="232"/>
      <c r="J2665" s="306"/>
      <c r="K2665" s="306"/>
      <c r="L2665" s="313"/>
      <c r="M2665" s="219"/>
      <c r="N2665" s="218"/>
      <c r="S2665" s="224"/>
      <c r="T2665" s="228"/>
      <c r="U2665" s="226"/>
      <c r="V2665" s="226"/>
      <c r="W2665" s="227"/>
      <c r="X2665" s="220"/>
      <c r="Z2665" s="227"/>
      <c r="AA2665" s="220"/>
      <c r="AB2665" s="221"/>
      <c r="AC2665" s="229"/>
      <c r="AD2665" s="230"/>
      <c r="AE2665" s="230"/>
      <c r="AF2665" s="230"/>
      <c r="AG2665" s="227"/>
    </row>
    <row r="2666" spans="1:33" x14ac:dyDescent="0.25">
      <c r="A2666" s="32"/>
      <c r="B2666" s="306"/>
      <c r="C2666" s="307"/>
      <c r="D2666" s="312"/>
      <c r="E2666" s="301"/>
      <c r="F2666" s="232"/>
      <c r="J2666" s="306"/>
      <c r="K2666" s="306"/>
      <c r="L2666" s="313"/>
      <c r="M2666" s="219"/>
      <c r="N2666" s="218"/>
      <c r="S2666" s="224"/>
      <c r="T2666" s="228"/>
      <c r="U2666" s="226"/>
      <c r="V2666" s="226"/>
      <c r="W2666" s="227"/>
      <c r="X2666" s="220"/>
      <c r="Z2666" s="227"/>
      <c r="AA2666" s="220"/>
      <c r="AB2666" s="221"/>
      <c r="AC2666" s="229"/>
      <c r="AD2666" s="230"/>
      <c r="AE2666" s="230"/>
      <c r="AF2666" s="230"/>
      <c r="AG2666" s="227"/>
    </row>
    <row r="2667" spans="1:33" x14ac:dyDescent="0.25">
      <c r="A2667" s="32"/>
      <c r="B2667" s="306"/>
      <c r="C2667" s="307"/>
      <c r="D2667" s="312"/>
      <c r="E2667" s="301"/>
      <c r="F2667" s="232"/>
      <c r="J2667" s="306"/>
      <c r="K2667" s="306"/>
      <c r="L2667" s="313"/>
      <c r="M2667" s="219"/>
      <c r="N2667" s="218"/>
      <c r="S2667" s="224"/>
      <c r="T2667" s="228"/>
      <c r="U2667" s="226"/>
      <c r="V2667" s="226"/>
      <c r="W2667" s="227"/>
      <c r="X2667" s="220"/>
      <c r="Z2667" s="227"/>
      <c r="AA2667" s="220"/>
      <c r="AB2667" s="221"/>
      <c r="AC2667" s="229"/>
      <c r="AD2667" s="230"/>
      <c r="AE2667" s="230"/>
      <c r="AF2667" s="230"/>
      <c r="AG2667" s="227"/>
    </row>
    <row r="2668" spans="1:33" x14ac:dyDescent="0.25">
      <c r="A2668" s="32"/>
      <c r="B2668" s="306"/>
      <c r="C2668" s="307"/>
      <c r="D2668" s="312"/>
      <c r="E2668" s="301"/>
      <c r="F2668" s="232"/>
      <c r="J2668" s="306"/>
      <c r="K2668" s="306"/>
      <c r="L2668" s="313"/>
      <c r="M2668" s="219"/>
      <c r="N2668" s="218"/>
      <c r="S2668" s="224"/>
      <c r="T2668" s="228"/>
      <c r="U2668" s="226"/>
      <c r="V2668" s="226"/>
      <c r="W2668" s="227"/>
      <c r="X2668" s="220"/>
      <c r="Z2668" s="227"/>
      <c r="AA2668" s="220"/>
      <c r="AB2668" s="221"/>
      <c r="AC2668" s="229"/>
      <c r="AD2668" s="230"/>
      <c r="AE2668" s="230"/>
      <c r="AF2668" s="230"/>
      <c r="AG2668" s="227"/>
    </row>
    <row r="2669" spans="1:33" x14ac:dyDescent="0.25">
      <c r="A2669" s="32"/>
      <c r="B2669" s="306"/>
      <c r="C2669" s="307"/>
      <c r="D2669" s="312"/>
      <c r="E2669" s="301"/>
      <c r="F2669" s="232"/>
      <c r="J2669" s="306"/>
      <c r="K2669" s="306"/>
      <c r="L2669" s="313"/>
      <c r="M2669" s="219"/>
      <c r="N2669" s="218"/>
      <c r="S2669" s="224"/>
      <c r="T2669" s="228"/>
      <c r="U2669" s="226"/>
      <c r="V2669" s="226"/>
      <c r="W2669" s="227"/>
      <c r="X2669" s="220"/>
      <c r="Z2669" s="227"/>
      <c r="AA2669" s="220"/>
      <c r="AB2669" s="221"/>
      <c r="AC2669" s="229"/>
      <c r="AD2669" s="230"/>
      <c r="AE2669" s="230"/>
      <c r="AF2669" s="230"/>
      <c r="AG2669" s="227"/>
    </row>
    <row r="2670" spans="1:33" x14ac:dyDescent="0.25">
      <c r="A2670" s="32"/>
      <c r="B2670" s="306"/>
      <c r="C2670" s="307"/>
      <c r="D2670" s="312"/>
      <c r="E2670" s="301"/>
      <c r="F2670" s="232"/>
      <c r="J2670" s="306"/>
      <c r="K2670" s="306"/>
      <c r="L2670" s="313"/>
      <c r="M2670" s="219"/>
      <c r="N2670" s="218"/>
      <c r="S2670" s="224"/>
      <c r="T2670" s="228"/>
      <c r="U2670" s="226"/>
      <c r="V2670" s="226"/>
      <c r="W2670" s="227"/>
      <c r="X2670" s="220"/>
      <c r="Z2670" s="227"/>
      <c r="AA2670" s="220"/>
      <c r="AB2670" s="221"/>
      <c r="AC2670" s="229"/>
      <c r="AD2670" s="230"/>
      <c r="AE2670" s="230"/>
      <c r="AF2670" s="230"/>
      <c r="AG2670" s="227"/>
    </row>
    <row r="2671" spans="1:33" x14ac:dyDescent="0.25">
      <c r="A2671" s="32"/>
      <c r="B2671" s="306"/>
      <c r="C2671" s="307"/>
      <c r="D2671" s="312"/>
      <c r="E2671" s="301"/>
      <c r="F2671" s="232"/>
      <c r="J2671" s="306"/>
      <c r="K2671" s="306"/>
      <c r="L2671" s="313"/>
      <c r="M2671" s="219"/>
      <c r="N2671" s="218"/>
      <c r="S2671" s="224"/>
      <c r="T2671" s="228"/>
      <c r="U2671" s="226"/>
      <c r="V2671" s="226"/>
      <c r="W2671" s="227"/>
      <c r="X2671" s="220"/>
      <c r="Z2671" s="227"/>
      <c r="AA2671" s="220"/>
      <c r="AB2671" s="221"/>
      <c r="AC2671" s="229"/>
      <c r="AD2671" s="230"/>
      <c r="AE2671" s="230"/>
      <c r="AF2671" s="230"/>
      <c r="AG2671" s="227"/>
    </row>
    <row r="2672" spans="1:33" x14ac:dyDescent="0.25">
      <c r="A2672" s="32"/>
      <c r="B2672" s="306"/>
      <c r="C2672" s="307"/>
      <c r="D2672" s="312"/>
      <c r="E2672" s="301"/>
      <c r="F2672" s="232"/>
      <c r="J2672" s="306"/>
      <c r="K2672" s="306"/>
      <c r="L2672" s="313"/>
      <c r="M2672" s="219"/>
      <c r="N2672" s="218"/>
      <c r="S2672" s="224"/>
      <c r="T2672" s="228"/>
      <c r="U2672" s="226"/>
      <c r="V2672" s="226"/>
      <c r="W2672" s="227"/>
      <c r="X2672" s="220"/>
      <c r="Z2672" s="227"/>
      <c r="AA2672" s="220"/>
      <c r="AB2672" s="221"/>
      <c r="AC2672" s="229"/>
      <c r="AD2672" s="230"/>
      <c r="AE2672" s="230"/>
      <c r="AF2672" s="230"/>
      <c r="AG2672" s="227"/>
    </row>
    <row r="2673" spans="1:33" x14ac:dyDescent="0.25">
      <c r="A2673" s="32"/>
      <c r="B2673" s="306"/>
      <c r="C2673" s="307"/>
      <c r="D2673" s="312"/>
      <c r="E2673" s="301"/>
      <c r="F2673" s="232"/>
      <c r="J2673" s="306"/>
      <c r="K2673" s="306"/>
      <c r="L2673" s="313"/>
      <c r="M2673" s="219"/>
      <c r="N2673" s="218"/>
      <c r="S2673" s="224"/>
      <c r="T2673" s="228"/>
      <c r="U2673" s="226"/>
      <c r="V2673" s="226"/>
      <c r="W2673" s="227"/>
      <c r="X2673" s="220"/>
      <c r="Z2673" s="227"/>
      <c r="AA2673" s="220"/>
      <c r="AB2673" s="221"/>
      <c r="AC2673" s="229"/>
      <c r="AD2673" s="230"/>
      <c r="AE2673" s="230"/>
      <c r="AF2673" s="230"/>
      <c r="AG2673" s="227"/>
    </row>
    <row r="2674" spans="1:33" x14ac:dyDescent="0.25">
      <c r="A2674" s="32"/>
      <c r="B2674" s="306"/>
      <c r="C2674" s="307"/>
      <c r="D2674" s="312"/>
      <c r="E2674" s="301"/>
      <c r="F2674" s="232"/>
      <c r="J2674" s="306"/>
      <c r="K2674" s="306"/>
      <c r="L2674" s="313"/>
      <c r="M2674" s="219"/>
      <c r="N2674" s="218"/>
      <c r="S2674" s="224"/>
      <c r="T2674" s="228"/>
      <c r="U2674" s="226"/>
      <c r="V2674" s="226"/>
      <c r="W2674" s="227"/>
      <c r="X2674" s="220"/>
      <c r="Z2674" s="227"/>
      <c r="AA2674" s="220"/>
      <c r="AB2674" s="221"/>
      <c r="AC2674" s="229"/>
      <c r="AD2674" s="230"/>
      <c r="AE2674" s="230"/>
      <c r="AF2674" s="230"/>
      <c r="AG2674" s="227"/>
    </row>
    <row r="2675" spans="1:33" x14ac:dyDescent="0.25">
      <c r="A2675" s="32"/>
      <c r="B2675" s="306"/>
      <c r="C2675" s="307"/>
      <c r="D2675" s="312"/>
      <c r="E2675" s="301"/>
      <c r="F2675" s="232"/>
      <c r="J2675" s="306"/>
      <c r="K2675" s="306"/>
      <c r="L2675" s="313"/>
      <c r="M2675" s="219"/>
      <c r="N2675" s="218"/>
      <c r="S2675" s="224"/>
      <c r="T2675" s="228"/>
      <c r="U2675" s="226"/>
      <c r="V2675" s="226"/>
      <c r="W2675" s="227"/>
      <c r="X2675" s="220"/>
      <c r="Z2675" s="227"/>
      <c r="AA2675" s="220"/>
      <c r="AB2675" s="221"/>
      <c r="AC2675" s="229"/>
      <c r="AD2675" s="230"/>
      <c r="AE2675" s="230"/>
      <c r="AF2675" s="230"/>
      <c r="AG2675" s="227"/>
    </row>
    <row r="2676" spans="1:33" x14ac:dyDescent="0.25">
      <c r="A2676" s="32"/>
      <c r="B2676" s="306"/>
      <c r="C2676" s="307"/>
      <c r="D2676" s="312"/>
      <c r="E2676" s="301"/>
      <c r="F2676" s="232"/>
      <c r="J2676" s="306"/>
      <c r="K2676" s="306"/>
      <c r="L2676" s="313"/>
      <c r="M2676" s="219"/>
      <c r="N2676" s="218"/>
      <c r="S2676" s="224"/>
      <c r="T2676" s="228"/>
      <c r="U2676" s="226"/>
      <c r="V2676" s="226"/>
      <c r="W2676" s="227"/>
      <c r="X2676" s="220"/>
      <c r="Z2676" s="227"/>
      <c r="AA2676" s="220"/>
      <c r="AB2676" s="221"/>
      <c r="AC2676" s="229"/>
      <c r="AD2676" s="230"/>
      <c r="AE2676" s="230"/>
      <c r="AF2676" s="230"/>
      <c r="AG2676" s="227"/>
    </row>
    <row r="2677" spans="1:33" x14ac:dyDescent="0.25">
      <c r="A2677" s="32"/>
      <c r="B2677" s="306"/>
      <c r="C2677" s="307"/>
      <c r="D2677" s="312"/>
      <c r="E2677" s="301"/>
      <c r="F2677" s="232"/>
      <c r="J2677" s="306"/>
      <c r="K2677" s="306"/>
      <c r="L2677" s="313"/>
      <c r="M2677" s="219"/>
      <c r="N2677" s="218"/>
      <c r="S2677" s="224"/>
      <c r="T2677" s="228"/>
      <c r="U2677" s="226"/>
      <c r="V2677" s="226"/>
      <c r="W2677" s="227"/>
      <c r="X2677" s="220"/>
      <c r="Z2677" s="227"/>
      <c r="AA2677" s="220"/>
      <c r="AB2677" s="221"/>
      <c r="AC2677" s="229"/>
      <c r="AD2677" s="230"/>
      <c r="AE2677" s="230"/>
      <c r="AF2677" s="230"/>
      <c r="AG2677" s="227"/>
    </row>
    <row r="2678" spans="1:33" x14ac:dyDescent="0.25">
      <c r="A2678" s="32"/>
      <c r="B2678" s="306"/>
      <c r="C2678" s="307"/>
      <c r="D2678" s="312"/>
      <c r="E2678" s="301"/>
      <c r="F2678" s="232"/>
      <c r="J2678" s="306"/>
      <c r="K2678" s="306"/>
      <c r="L2678" s="313"/>
      <c r="M2678" s="219"/>
      <c r="N2678" s="218"/>
      <c r="S2678" s="224"/>
      <c r="T2678" s="228"/>
      <c r="U2678" s="226"/>
      <c r="V2678" s="226"/>
      <c r="W2678" s="227"/>
      <c r="X2678" s="220"/>
      <c r="Z2678" s="227"/>
      <c r="AA2678" s="220"/>
      <c r="AB2678" s="221"/>
      <c r="AC2678" s="229"/>
      <c r="AD2678" s="230"/>
      <c r="AE2678" s="230"/>
      <c r="AF2678" s="230"/>
      <c r="AG2678" s="227"/>
    </row>
    <row r="2679" spans="1:33" x14ac:dyDescent="0.25">
      <c r="A2679" s="32"/>
      <c r="B2679" s="306"/>
      <c r="C2679" s="307"/>
      <c r="D2679" s="312"/>
      <c r="E2679" s="301"/>
      <c r="F2679" s="232"/>
      <c r="J2679" s="306"/>
      <c r="K2679" s="306"/>
      <c r="L2679" s="313"/>
      <c r="M2679" s="219"/>
      <c r="N2679" s="218"/>
      <c r="S2679" s="224"/>
      <c r="T2679" s="228"/>
      <c r="U2679" s="226"/>
      <c r="V2679" s="226"/>
      <c r="W2679" s="227"/>
      <c r="X2679" s="220"/>
      <c r="Z2679" s="227"/>
      <c r="AA2679" s="220"/>
      <c r="AB2679" s="221"/>
      <c r="AC2679" s="229"/>
      <c r="AD2679" s="230"/>
      <c r="AE2679" s="230"/>
      <c r="AF2679" s="230"/>
      <c r="AG2679" s="227"/>
    </row>
    <row r="2680" spans="1:33" x14ac:dyDescent="0.25">
      <c r="A2680" s="32"/>
      <c r="B2680" s="306"/>
      <c r="C2680" s="307"/>
      <c r="D2680" s="312"/>
      <c r="E2680" s="301"/>
      <c r="F2680" s="232"/>
      <c r="J2680" s="306"/>
      <c r="K2680" s="306"/>
      <c r="L2680" s="313"/>
      <c r="M2680" s="219"/>
      <c r="N2680" s="218"/>
      <c r="S2680" s="224"/>
      <c r="T2680" s="228"/>
      <c r="U2680" s="226"/>
      <c r="V2680" s="226"/>
      <c r="W2680" s="227"/>
      <c r="X2680" s="220"/>
      <c r="Z2680" s="227"/>
      <c r="AA2680" s="220"/>
      <c r="AB2680" s="221"/>
      <c r="AC2680" s="229"/>
      <c r="AD2680" s="230"/>
      <c r="AE2680" s="230"/>
      <c r="AF2680" s="230"/>
      <c r="AG2680" s="227"/>
    </row>
    <row r="2681" spans="1:33" x14ac:dyDescent="0.25">
      <c r="A2681" s="32"/>
      <c r="B2681" s="306"/>
      <c r="C2681" s="307"/>
      <c r="D2681" s="312"/>
      <c r="E2681" s="301"/>
      <c r="F2681" s="232"/>
      <c r="J2681" s="306"/>
      <c r="K2681" s="306"/>
      <c r="L2681" s="313"/>
      <c r="M2681" s="219"/>
      <c r="N2681" s="218"/>
      <c r="S2681" s="224"/>
      <c r="T2681" s="228"/>
      <c r="U2681" s="226"/>
      <c r="V2681" s="226"/>
      <c r="W2681" s="227"/>
      <c r="X2681" s="220"/>
      <c r="Z2681" s="227"/>
      <c r="AA2681" s="220"/>
      <c r="AB2681" s="221"/>
      <c r="AC2681" s="229"/>
      <c r="AD2681" s="230"/>
      <c r="AE2681" s="230"/>
      <c r="AF2681" s="230"/>
      <c r="AG2681" s="227"/>
    </row>
    <row r="2682" spans="1:33" x14ac:dyDescent="0.25">
      <c r="A2682" s="32"/>
      <c r="B2682" s="306"/>
      <c r="C2682" s="307"/>
      <c r="D2682" s="312"/>
      <c r="E2682" s="301"/>
      <c r="F2682" s="232"/>
      <c r="J2682" s="306"/>
      <c r="K2682" s="306"/>
      <c r="L2682" s="313"/>
      <c r="M2682" s="219"/>
      <c r="N2682" s="218"/>
      <c r="S2682" s="224"/>
      <c r="T2682" s="228"/>
      <c r="U2682" s="226"/>
      <c r="V2682" s="226"/>
      <c r="W2682" s="227"/>
      <c r="X2682" s="220"/>
      <c r="Z2682" s="227"/>
      <c r="AA2682" s="220"/>
      <c r="AB2682" s="221"/>
      <c r="AC2682" s="229"/>
      <c r="AD2682" s="230"/>
      <c r="AE2682" s="230"/>
      <c r="AF2682" s="230"/>
      <c r="AG2682" s="227"/>
    </row>
    <row r="2683" spans="1:33" x14ac:dyDescent="0.25">
      <c r="A2683" s="32"/>
      <c r="B2683" s="306"/>
      <c r="C2683" s="307"/>
      <c r="D2683" s="312"/>
      <c r="E2683" s="301"/>
      <c r="F2683" s="232"/>
      <c r="J2683" s="306"/>
      <c r="K2683" s="306"/>
      <c r="L2683" s="313"/>
      <c r="M2683" s="219"/>
      <c r="N2683" s="218"/>
      <c r="S2683" s="224"/>
      <c r="T2683" s="228"/>
      <c r="U2683" s="226"/>
      <c r="V2683" s="226"/>
      <c r="W2683" s="227"/>
      <c r="X2683" s="220"/>
      <c r="Z2683" s="227"/>
      <c r="AA2683" s="220"/>
      <c r="AB2683" s="221"/>
      <c r="AC2683" s="229"/>
      <c r="AD2683" s="230"/>
      <c r="AE2683" s="230"/>
      <c r="AF2683" s="230"/>
      <c r="AG2683" s="227"/>
    </row>
    <row r="2684" spans="1:33" x14ac:dyDescent="0.25">
      <c r="A2684" s="32"/>
      <c r="B2684" s="306"/>
      <c r="C2684" s="307"/>
      <c r="D2684" s="312"/>
      <c r="E2684" s="301"/>
      <c r="F2684" s="232"/>
      <c r="J2684" s="306"/>
      <c r="K2684" s="306"/>
      <c r="L2684" s="313"/>
      <c r="M2684" s="219"/>
      <c r="N2684" s="218"/>
      <c r="S2684" s="224"/>
      <c r="T2684" s="228"/>
      <c r="U2684" s="226"/>
      <c r="V2684" s="226"/>
      <c r="W2684" s="227"/>
      <c r="X2684" s="220"/>
      <c r="Z2684" s="227"/>
      <c r="AA2684" s="220"/>
      <c r="AB2684" s="221"/>
      <c r="AC2684" s="229"/>
      <c r="AD2684" s="230"/>
      <c r="AE2684" s="230"/>
      <c r="AF2684" s="230"/>
      <c r="AG2684" s="227"/>
    </row>
    <row r="2685" spans="1:33" x14ac:dyDescent="0.25">
      <c r="A2685" s="32"/>
      <c r="B2685" s="306"/>
      <c r="C2685" s="307"/>
      <c r="D2685" s="312"/>
      <c r="E2685" s="301"/>
      <c r="F2685" s="232"/>
      <c r="J2685" s="306"/>
      <c r="K2685" s="306"/>
      <c r="L2685" s="313"/>
      <c r="M2685" s="219"/>
      <c r="N2685" s="218"/>
      <c r="S2685" s="224"/>
      <c r="T2685" s="228"/>
      <c r="U2685" s="226"/>
      <c r="V2685" s="226"/>
      <c r="W2685" s="227"/>
      <c r="X2685" s="220"/>
      <c r="Z2685" s="227"/>
      <c r="AA2685" s="220"/>
      <c r="AB2685" s="221"/>
      <c r="AC2685" s="229"/>
      <c r="AD2685" s="230"/>
      <c r="AE2685" s="230"/>
      <c r="AF2685" s="230"/>
      <c r="AG2685" s="227"/>
    </row>
    <row r="2686" spans="1:33" x14ac:dyDescent="0.25">
      <c r="A2686" s="32"/>
      <c r="B2686" s="306"/>
      <c r="C2686" s="307"/>
      <c r="D2686" s="312"/>
      <c r="E2686" s="301"/>
      <c r="F2686" s="232"/>
      <c r="J2686" s="306"/>
      <c r="K2686" s="306"/>
      <c r="L2686" s="313"/>
      <c r="M2686" s="219"/>
      <c r="N2686" s="218"/>
      <c r="S2686" s="224"/>
      <c r="T2686" s="228"/>
      <c r="U2686" s="226"/>
      <c r="V2686" s="226"/>
      <c r="W2686" s="227"/>
      <c r="X2686" s="220"/>
      <c r="Z2686" s="227"/>
      <c r="AA2686" s="220"/>
      <c r="AB2686" s="221"/>
      <c r="AC2686" s="229"/>
      <c r="AD2686" s="230"/>
      <c r="AE2686" s="230"/>
      <c r="AF2686" s="230"/>
      <c r="AG2686" s="227"/>
    </row>
    <row r="2687" spans="1:33" x14ac:dyDescent="0.25">
      <c r="A2687" s="32"/>
      <c r="B2687" s="306"/>
      <c r="C2687" s="307"/>
      <c r="D2687" s="312"/>
      <c r="E2687" s="301"/>
      <c r="F2687" s="232"/>
      <c r="J2687" s="306"/>
      <c r="K2687" s="306"/>
      <c r="L2687" s="313"/>
      <c r="M2687" s="219"/>
      <c r="N2687" s="218"/>
      <c r="S2687" s="224"/>
      <c r="T2687" s="228"/>
      <c r="U2687" s="226"/>
      <c r="V2687" s="226"/>
      <c r="W2687" s="227"/>
      <c r="X2687" s="220"/>
      <c r="Z2687" s="227"/>
      <c r="AA2687" s="220"/>
      <c r="AB2687" s="221"/>
      <c r="AC2687" s="229"/>
      <c r="AD2687" s="230"/>
      <c r="AE2687" s="230"/>
      <c r="AF2687" s="230"/>
      <c r="AG2687" s="227"/>
    </row>
    <row r="2688" spans="1:33" x14ac:dyDescent="0.25">
      <c r="A2688" s="32"/>
      <c r="B2688" s="306"/>
      <c r="C2688" s="307"/>
      <c r="D2688" s="312"/>
      <c r="E2688" s="301"/>
      <c r="F2688" s="232"/>
      <c r="J2688" s="306"/>
      <c r="K2688" s="306"/>
      <c r="L2688" s="313"/>
      <c r="M2688" s="219"/>
      <c r="N2688" s="218"/>
      <c r="S2688" s="224"/>
      <c r="T2688" s="228"/>
      <c r="U2688" s="226"/>
      <c r="V2688" s="226"/>
      <c r="W2688" s="227"/>
      <c r="X2688" s="220"/>
      <c r="Z2688" s="227"/>
      <c r="AA2688" s="220"/>
      <c r="AB2688" s="221"/>
      <c r="AC2688" s="229"/>
      <c r="AD2688" s="230"/>
      <c r="AE2688" s="230"/>
      <c r="AF2688" s="230"/>
      <c r="AG2688" s="227"/>
    </row>
    <row r="2689" spans="1:33" x14ac:dyDescent="0.25">
      <c r="A2689" s="32"/>
      <c r="B2689" s="306"/>
      <c r="C2689" s="307"/>
      <c r="D2689" s="312"/>
      <c r="E2689" s="301"/>
      <c r="F2689" s="232"/>
      <c r="J2689" s="306"/>
      <c r="K2689" s="306"/>
      <c r="L2689" s="313"/>
      <c r="M2689" s="219"/>
      <c r="N2689" s="218"/>
      <c r="S2689" s="224"/>
      <c r="T2689" s="228"/>
      <c r="U2689" s="226"/>
      <c r="V2689" s="226"/>
      <c r="W2689" s="227"/>
      <c r="X2689" s="220"/>
      <c r="Z2689" s="227"/>
      <c r="AA2689" s="220"/>
      <c r="AB2689" s="221"/>
      <c r="AC2689" s="229"/>
      <c r="AD2689" s="230"/>
      <c r="AE2689" s="230"/>
      <c r="AF2689" s="230"/>
      <c r="AG2689" s="227"/>
    </row>
    <row r="2690" spans="1:33" x14ac:dyDescent="0.25">
      <c r="A2690" s="32"/>
      <c r="B2690" s="306"/>
      <c r="C2690" s="307"/>
      <c r="D2690" s="312"/>
      <c r="E2690" s="301"/>
      <c r="F2690" s="232"/>
      <c r="J2690" s="306"/>
      <c r="K2690" s="306"/>
      <c r="L2690" s="313"/>
      <c r="M2690" s="219"/>
      <c r="N2690" s="218"/>
      <c r="S2690" s="224"/>
      <c r="T2690" s="228"/>
      <c r="U2690" s="226"/>
      <c r="V2690" s="226"/>
      <c r="W2690" s="227"/>
      <c r="X2690" s="220"/>
      <c r="Z2690" s="227"/>
      <c r="AA2690" s="220"/>
      <c r="AB2690" s="221"/>
      <c r="AC2690" s="229"/>
      <c r="AD2690" s="230"/>
      <c r="AE2690" s="230"/>
      <c r="AF2690" s="230"/>
      <c r="AG2690" s="227"/>
    </row>
    <row r="2691" spans="1:33" x14ac:dyDescent="0.25">
      <c r="A2691" s="32"/>
      <c r="B2691" s="306"/>
      <c r="C2691" s="307"/>
      <c r="D2691" s="312"/>
      <c r="E2691" s="301"/>
      <c r="F2691" s="232"/>
      <c r="J2691" s="306"/>
      <c r="K2691" s="306"/>
      <c r="L2691" s="313"/>
      <c r="M2691" s="219"/>
      <c r="N2691" s="218"/>
      <c r="S2691" s="224"/>
      <c r="T2691" s="228"/>
      <c r="U2691" s="226"/>
      <c r="V2691" s="226"/>
      <c r="W2691" s="227"/>
      <c r="X2691" s="220"/>
      <c r="Z2691" s="227"/>
      <c r="AA2691" s="220"/>
      <c r="AB2691" s="221"/>
      <c r="AC2691" s="229"/>
      <c r="AD2691" s="230"/>
      <c r="AE2691" s="230"/>
      <c r="AF2691" s="230"/>
      <c r="AG2691" s="227"/>
    </row>
    <row r="2692" spans="1:33" x14ac:dyDescent="0.25">
      <c r="A2692" s="32"/>
      <c r="B2692" s="306"/>
      <c r="C2692" s="307"/>
      <c r="D2692" s="312"/>
      <c r="E2692" s="301"/>
      <c r="F2692" s="232"/>
      <c r="J2692" s="306"/>
      <c r="K2692" s="306"/>
      <c r="L2692" s="313"/>
      <c r="M2692" s="219"/>
      <c r="N2692" s="218"/>
      <c r="S2692" s="224"/>
      <c r="T2692" s="228"/>
      <c r="U2692" s="226"/>
      <c r="V2692" s="226"/>
      <c r="W2692" s="227"/>
      <c r="X2692" s="220"/>
      <c r="Z2692" s="227"/>
      <c r="AA2692" s="220"/>
      <c r="AB2692" s="221"/>
      <c r="AC2692" s="229"/>
      <c r="AD2692" s="230"/>
      <c r="AE2692" s="230"/>
      <c r="AF2692" s="230"/>
      <c r="AG2692" s="227"/>
    </row>
    <row r="2693" spans="1:33" x14ac:dyDescent="0.25">
      <c r="A2693" s="32"/>
      <c r="B2693" s="306"/>
      <c r="C2693" s="307"/>
      <c r="D2693" s="312"/>
      <c r="E2693" s="301"/>
      <c r="F2693" s="232"/>
      <c r="J2693" s="306"/>
      <c r="K2693" s="306"/>
      <c r="L2693" s="313"/>
      <c r="M2693" s="219"/>
      <c r="N2693" s="218"/>
      <c r="S2693" s="224"/>
      <c r="T2693" s="228"/>
      <c r="U2693" s="226"/>
      <c r="V2693" s="226"/>
      <c r="W2693" s="227"/>
      <c r="X2693" s="220"/>
      <c r="Z2693" s="227"/>
      <c r="AA2693" s="220"/>
      <c r="AB2693" s="221"/>
      <c r="AC2693" s="229"/>
      <c r="AD2693" s="230"/>
      <c r="AE2693" s="230"/>
      <c r="AF2693" s="230"/>
      <c r="AG2693" s="227"/>
    </row>
    <row r="2694" spans="1:33" x14ac:dyDescent="0.25">
      <c r="A2694" s="32"/>
      <c r="B2694" s="306"/>
      <c r="C2694" s="307"/>
      <c r="D2694" s="312"/>
      <c r="E2694" s="301"/>
      <c r="F2694" s="232"/>
      <c r="J2694" s="306"/>
      <c r="K2694" s="306"/>
      <c r="L2694" s="313"/>
      <c r="M2694" s="219"/>
      <c r="N2694" s="218"/>
      <c r="S2694" s="224"/>
      <c r="T2694" s="228"/>
      <c r="U2694" s="226"/>
      <c r="V2694" s="226"/>
      <c r="W2694" s="227"/>
      <c r="X2694" s="220"/>
      <c r="Z2694" s="227"/>
      <c r="AA2694" s="220"/>
      <c r="AB2694" s="221"/>
      <c r="AC2694" s="229"/>
      <c r="AD2694" s="230"/>
      <c r="AE2694" s="230"/>
      <c r="AF2694" s="230"/>
      <c r="AG2694" s="227"/>
    </row>
    <row r="2695" spans="1:33" x14ac:dyDescent="0.25">
      <c r="A2695" s="32"/>
      <c r="B2695" s="306"/>
      <c r="C2695" s="307"/>
      <c r="D2695" s="312"/>
      <c r="E2695" s="301"/>
      <c r="F2695" s="232"/>
      <c r="J2695" s="306"/>
      <c r="K2695" s="306"/>
      <c r="L2695" s="313"/>
      <c r="M2695" s="219"/>
      <c r="N2695" s="218"/>
      <c r="S2695" s="224"/>
      <c r="T2695" s="228"/>
      <c r="U2695" s="226"/>
      <c r="V2695" s="226"/>
      <c r="W2695" s="227"/>
      <c r="X2695" s="220"/>
      <c r="Z2695" s="227"/>
      <c r="AA2695" s="220"/>
      <c r="AB2695" s="221"/>
      <c r="AC2695" s="229"/>
      <c r="AD2695" s="230"/>
      <c r="AE2695" s="230"/>
      <c r="AF2695" s="230"/>
      <c r="AG2695" s="227"/>
    </row>
    <row r="2696" spans="1:33" x14ac:dyDescent="0.25">
      <c r="A2696" s="32"/>
      <c r="B2696" s="306"/>
      <c r="C2696" s="307"/>
      <c r="D2696" s="312"/>
      <c r="E2696" s="301"/>
      <c r="F2696" s="232"/>
      <c r="J2696" s="306"/>
      <c r="K2696" s="306"/>
      <c r="L2696" s="313"/>
      <c r="M2696" s="219"/>
      <c r="N2696" s="218"/>
      <c r="S2696" s="224"/>
      <c r="T2696" s="228"/>
      <c r="U2696" s="226"/>
      <c r="V2696" s="226"/>
      <c r="W2696" s="227"/>
      <c r="X2696" s="220"/>
      <c r="Z2696" s="227"/>
      <c r="AA2696" s="220"/>
      <c r="AB2696" s="221"/>
      <c r="AC2696" s="229"/>
      <c r="AD2696" s="230"/>
      <c r="AE2696" s="230"/>
      <c r="AF2696" s="230"/>
      <c r="AG2696" s="227"/>
    </row>
    <row r="2697" spans="1:33" x14ac:dyDescent="0.25">
      <c r="A2697" s="32"/>
      <c r="B2697" s="306"/>
      <c r="C2697" s="307"/>
      <c r="D2697" s="312"/>
      <c r="E2697" s="301"/>
      <c r="F2697" s="232"/>
      <c r="J2697" s="306"/>
      <c r="K2697" s="306"/>
      <c r="L2697" s="313"/>
      <c r="M2697" s="219"/>
      <c r="N2697" s="218"/>
      <c r="S2697" s="224"/>
      <c r="T2697" s="228"/>
      <c r="U2697" s="226"/>
      <c r="V2697" s="226"/>
      <c r="W2697" s="227"/>
      <c r="X2697" s="220"/>
      <c r="Z2697" s="227"/>
      <c r="AA2697" s="220"/>
      <c r="AB2697" s="221"/>
      <c r="AC2697" s="229"/>
      <c r="AD2697" s="230"/>
      <c r="AE2697" s="230"/>
      <c r="AF2697" s="230"/>
      <c r="AG2697" s="227"/>
    </row>
    <row r="2698" spans="1:33" x14ac:dyDescent="0.25">
      <c r="A2698" s="32"/>
      <c r="B2698" s="306"/>
      <c r="C2698" s="307"/>
      <c r="D2698" s="312"/>
      <c r="E2698" s="301"/>
      <c r="F2698" s="232"/>
      <c r="J2698" s="306"/>
      <c r="K2698" s="306"/>
      <c r="L2698" s="313"/>
      <c r="M2698" s="219"/>
      <c r="N2698" s="218"/>
      <c r="S2698" s="224"/>
      <c r="T2698" s="228"/>
      <c r="U2698" s="226"/>
      <c r="V2698" s="226"/>
      <c r="W2698" s="227"/>
      <c r="X2698" s="220"/>
      <c r="Z2698" s="227"/>
      <c r="AA2698" s="220"/>
      <c r="AB2698" s="221"/>
      <c r="AC2698" s="229"/>
      <c r="AD2698" s="230"/>
      <c r="AE2698" s="230"/>
      <c r="AF2698" s="230"/>
      <c r="AG2698" s="227"/>
    </row>
    <row r="2699" spans="1:33" x14ac:dyDescent="0.25">
      <c r="A2699" s="32"/>
      <c r="B2699" s="306"/>
      <c r="C2699" s="307"/>
      <c r="D2699" s="312"/>
      <c r="E2699" s="301"/>
      <c r="F2699" s="232"/>
      <c r="J2699" s="306"/>
      <c r="K2699" s="306"/>
      <c r="L2699" s="313"/>
      <c r="M2699" s="219"/>
      <c r="N2699" s="218"/>
      <c r="S2699" s="224"/>
      <c r="T2699" s="228"/>
      <c r="U2699" s="226"/>
      <c r="V2699" s="226"/>
      <c r="W2699" s="227"/>
      <c r="X2699" s="220"/>
      <c r="Z2699" s="227"/>
      <c r="AA2699" s="220"/>
      <c r="AB2699" s="221"/>
      <c r="AC2699" s="229"/>
      <c r="AD2699" s="230"/>
      <c r="AE2699" s="230"/>
      <c r="AF2699" s="230"/>
      <c r="AG2699" s="227"/>
    </row>
    <row r="2700" spans="1:33" x14ac:dyDescent="0.25">
      <c r="A2700" s="32"/>
      <c r="B2700" s="306"/>
      <c r="C2700" s="307"/>
      <c r="D2700" s="312"/>
      <c r="E2700" s="301"/>
      <c r="F2700" s="232"/>
      <c r="J2700" s="306"/>
      <c r="K2700" s="306"/>
      <c r="L2700" s="313"/>
      <c r="M2700" s="219"/>
      <c r="N2700" s="218"/>
      <c r="S2700" s="224"/>
      <c r="T2700" s="228"/>
      <c r="U2700" s="226"/>
      <c r="V2700" s="226"/>
      <c r="W2700" s="227"/>
      <c r="X2700" s="220"/>
      <c r="Z2700" s="227"/>
      <c r="AA2700" s="220"/>
      <c r="AB2700" s="221"/>
      <c r="AC2700" s="229"/>
      <c r="AD2700" s="230"/>
      <c r="AE2700" s="230"/>
      <c r="AF2700" s="230"/>
      <c r="AG2700" s="227"/>
    </row>
    <row r="2701" spans="1:33" x14ac:dyDescent="0.25">
      <c r="A2701" s="32"/>
      <c r="B2701" s="306"/>
      <c r="C2701" s="307"/>
      <c r="D2701" s="312"/>
      <c r="E2701" s="301"/>
      <c r="F2701" s="232"/>
      <c r="J2701" s="306"/>
      <c r="K2701" s="306"/>
      <c r="L2701" s="313"/>
      <c r="M2701" s="219"/>
      <c r="N2701" s="218"/>
      <c r="S2701" s="224"/>
      <c r="T2701" s="228"/>
      <c r="U2701" s="226"/>
      <c r="V2701" s="226"/>
      <c r="W2701" s="227"/>
      <c r="X2701" s="220"/>
      <c r="Z2701" s="227"/>
      <c r="AA2701" s="220"/>
      <c r="AB2701" s="221"/>
      <c r="AC2701" s="229"/>
      <c r="AD2701" s="230"/>
      <c r="AE2701" s="230"/>
      <c r="AF2701" s="230"/>
      <c r="AG2701" s="227"/>
    </row>
    <row r="2702" spans="1:33" x14ac:dyDescent="0.25">
      <c r="A2702" s="32"/>
      <c r="B2702" s="306"/>
      <c r="C2702" s="307"/>
      <c r="D2702" s="312"/>
      <c r="E2702" s="301"/>
      <c r="F2702" s="232"/>
      <c r="J2702" s="306"/>
      <c r="K2702" s="306"/>
      <c r="L2702" s="313"/>
      <c r="M2702" s="219"/>
      <c r="N2702" s="218"/>
      <c r="S2702" s="224"/>
      <c r="T2702" s="228"/>
      <c r="U2702" s="226"/>
      <c r="V2702" s="226"/>
      <c r="W2702" s="227"/>
      <c r="X2702" s="220"/>
      <c r="Z2702" s="227"/>
      <c r="AA2702" s="220"/>
      <c r="AB2702" s="221"/>
      <c r="AC2702" s="229"/>
      <c r="AD2702" s="230"/>
      <c r="AE2702" s="230"/>
      <c r="AF2702" s="230"/>
      <c r="AG2702" s="227"/>
    </row>
    <row r="2703" spans="1:33" x14ac:dyDescent="0.25">
      <c r="A2703" s="32"/>
      <c r="B2703" s="306"/>
      <c r="C2703" s="307"/>
      <c r="D2703" s="312"/>
      <c r="E2703" s="301"/>
      <c r="F2703" s="232"/>
      <c r="J2703" s="306"/>
      <c r="K2703" s="306"/>
      <c r="L2703" s="313"/>
      <c r="M2703" s="219"/>
      <c r="N2703" s="218"/>
      <c r="S2703" s="224"/>
      <c r="T2703" s="228"/>
      <c r="U2703" s="226"/>
      <c r="V2703" s="226"/>
      <c r="W2703" s="227"/>
      <c r="X2703" s="220"/>
      <c r="Z2703" s="227"/>
      <c r="AA2703" s="220"/>
      <c r="AB2703" s="221"/>
      <c r="AC2703" s="229"/>
      <c r="AD2703" s="230"/>
      <c r="AE2703" s="230"/>
      <c r="AF2703" s="230"/>
      <c r="AG2703" s="227"/>
    </row>
    <row r="2704" spans="1:33" x14ac:dyDescent="0.25">
      <c r="A2704" s="32"/>
      <c r="B2704" s="306"/>
      <c r="C2704" s="307"/>
      <c r="D2704" s="312"/>
      <c r="E2704" s="301"/>
      <c r="F2704" s="232"/>
      <c r="J2704" s="306"/>
      <c r="K2704" s="306"/>
      <c r="L2704" s="313"/>
      <c r="M2704" s="219"/>
      <c r="N2704" s="218"/>
      <c r="S2704" s="224"/>
      <c r="T2704" s="228"/>
      <c r="U2704" s="226"/>
      <c r="V2704" s="226"/>
      <c r="W2704" s="227"/>
      <c r="X2704" s="220"/>
      <c r="Z2704" s="227"/>
      <c r="AA2704" s="220"/>
      <c r="AB2704" s="221"/>
      <c r="AC2704" s="229"/>
      <c r="AD2704" s="230"/>
      <c r="AE2704" s="230"/>
      <c r="AF2704" s="230"/>
      <c r="AG2704" s="227"/>
    </row>
    <row r="2705" spans="1:33" x14ac:dyDescent="0.25">
      <c r="A2705" s="32"/>
      <c r="B2705" s="306"/>
      <c r="C2705" s="307"/>
      <c r="D2705" s="312"/>
      <c r="E2705" s="301"/>
      <c r="F2705" s="232"/>
      <c r="J2705" s="306"/>
      <c r="K2705" s="306"/>
      <c r="L2705" s="313"/>
      <c r="M2705" s="219"/>
      <c r="N2705" s="218"/>
      <c r="S2705" s="224"/>
      <c r="T2705" s="228"/>
      <c r="U2705" s="226"/>
      <c r="V2705" s="226"/>
      <c r="W2705" s="227"/>
      <c r="X2705" s="220"/>
      <c r="Z2705" s="227"/>
      <c r="AA2705" s="220"/>
      <c r="AB2705" s="221"/>
      <c r="AC2705" s="229"/>
      <c r="AD2705" s="230"/>
      <c r="AE2705" s="230"/>
      <c r="AF2705" s="230"/>
      <c r="AG2705" s="227"/>
    </row>
    <row r="2706" spans="1:33" x14ac:dyDescent="0.25">
      <c r="A2706" s="32"/>
      <c r="B2706" s="306"/>
      <c r="C2706" s="307"/>
      <c r="D2706" s="312"/>
      <c r="E2706" s="301"/>
      <c r="F2706" s="232"/>
      <c r="J2706" s="306"/>
      <c r="K2706" s="306"/>
      <c r="L2706" s="313"/>
      <c r="M2706" s="219"/>
      <c r="N2706" s="218"/>
      <c r="S2706" s="224"/>
      <c r="T2706" s="228"/>
      <c r="U2706" s="226"/>
      <c r="V2706" s="226"/>
      <c r="W2706" s="227"/>
      <c r="X2706" s="220"/>
      <c r="Z2706" s="227"/>
      <c r="AA2706" s="220"/>
      <c r="AB2706" s="221"/>
      <c r="AC2706" s="229"/>
      <c r="AD2706" s="230"/>
      <c r="AE2706" s="230"/>
      <c r="AF2706" s="230"/>
      <c r="AG2706" s="227"/>
    </row>
    <row r="2707" spans="1:33" x14ac:dyDescent="0.25">
      <c r="A2707" s="32"/>
      <c r="B2707" s="306"/>
      <c r="C2707" s="307"/>
      <c r="D2707" s="312"/>
      <c r="E2707" s="301"/>
      <c r="F2707" s="232"/>
      <c r="J2707" s="306"/>
      <c r="K2707" s="306"/>
      <c r="L2707" s="313"/>
      <c r="M2707" s="219"/>
      <c r="N2707" s="218"/>
      <c r="S2707" s="224"/>
      <c r="T2707" s="228"/>
      <c r="U2707" s="226"/>
      <c r="V2707" s="226"/>
      <c r="W2707" s="227"/>
      <c r="X2707" s="220"/>
      <c r="Z2707" s="227"/>
      <c r="AA2707" s="220"/>
      <c r="AB2707" s="221"/>
      <c r="AC2707" s="229"/>
      <c r="AD2707" s="230"/>
      <c r="AE2707" s="230"/>
      <c r="AF2707" s="230"/>
      <c r="AG2707" s="227"/>
    </row>
    <row r="2708" spans="1:33" x14ac:dyDescent="0.25">
      <c r="A2708" s="32"/>
      <c r="B2708" s="306"/>
      <c r="C2708" s="307"/>
      <c r="D2708" s="312"/>
      <c r="E2708" s="301"/>
      <c r="F2708" s="232"/>
      <c r="J2708" s="306"/>
      <c r="K2708" s="306"/>
      <c r="L2708" s="313"/>
      <c r="M2708" s="219"/>
      <c r="N2708" s="218"/>
      <c r="S2708" s="224"/>
      <c r="T2708" s="228"/>
      <c r="U2708" s="226"/>
      <c r="V2708" s="226"/>
      <c r="W2708" s="227"/>
      <c r="X2708" s="220"/>
      <c r="Z2708" s="227"/>
      <c r="AA2708" s="220"/>
      <c r="AB2708" s="221"/>
      <c r="AC2708" s="229"/>
      <c r="AD2708" s="230"/>
      <c r="AE2708" s="230"/>
      <c r="AF2708" s="230"/>
      <c r="AG2708" s="227"/>
    </row>
    <row r="2709" spans="1:33" x14ac:dyDescent="0.25">
      <c r="A2709" s="32"/>
      <c r="B2709" s="306"/>
      <c r="C2709" s="307"/>
      <c r="D2709" s="312"/>
      <c r="E2709" s="301"/>
      <c r="F2709" s="232"/>
      <c r="J2709" s="306"/>
      <c r="K2709" s="306"/>
      <c r="L2709" s="313"/>
      <c r="M2709" s="219"/>
      <c r="N2709" s="218"/>
      <c r="S2709" s="224"/>
      <c r="T2709" s="228"/>
      <c r="U2709" s="226"/>
      <c r="V2709" s="226"/>
      <c r="W2709" s="227"/>
      <c r="X2709" s="220"/>
      <c r="Z2709" s="227"/>
      <c r="AA2709" s="220"/>
      <c r="AB2709" s="221"/>
      <c r="AC2709" s="229"/>
      <c r="AD2709" s="230"/>
      <c r="AE2709" s="230"/>
      <c r="AF2709" s="230"/>
      <c r="AG2709" s="227"/>
    </row>
    <row r="2710" spans="1:33" x14ac:dyDescent="0.25">
      <c r="A2710" s="32"/>
      <c r="B2710" s="306"/>
      <c r="C2710" s="307"/>
      <c r="D2710" s="312"/>
      <c r="E2710" s="301"/>
      <c r="F2710" s="232"/>
      <c r="J2710" s="306"/>
      <c r="K2710" s="306"/>
      <c r="L2710" s="313"/>
      <c r="M2710" s="219"/>
      <c r="N2710" s="218"/>
      <c r="S2710" s="224"/>
      <c r="T2710" s="228"/>
      <c r="U2710" s="226"/>
      <c r="V2710" s="226"/>
      <c r="W2710" s="227"/>
      <c r="X2710" s="220"/>
      <c r="Z2710" s="227"/>
      <c r="AA2710" s="220"/>
      <c r="AB2710" s="221"/>
      <c r="AC2710" s="229"/>
      <c r="AD2710" s="230"/>
      <c r="AE2710" s="230"/>
      <c r="AF2710" s="230"/>
      <c r="AG2710" s="227"/>
    </row>
    <row r="2711" spans="1:33" x14ac:dyDescent="0.25">
      <c r="A2711" s="32"/>
      <c r="B2711" s="306"/>
      <c r="C2711" s="307"/>
      <c r="D2711" s="312"/>
      <c r="E2711" s="301"/>
      <c r="F2711" s="232"/>
      <c r="J2711" s="306"/>
      <c r="K2711" s="306"/>
      <c r="L2711" s="313"/>
      <c r="M2711" s="219"/>
      <c r="N2711" s="218"/>
      <c r="S2711" s="224"/>
      <c r="T2711" s="228"/>
      <c r="U2711" s="226"/>
      <c r="V2711" s="226"/>
      <c r="W2711" s="227"/>
      <c r="X2711" s="220"/>
      <c r="Z2711" s="227"/>
      <c r="AA2711" s="220"/>
      <c r="AB2711" s="221"/>
      <c r="AC2711" s="229"/>
      <c r="AD2711" s="230"/>
      <c r="AE2711" s="230"/>
      <c r="AF2711" s="230"/>
      <c r="AG2711" s="227"/>
    </row>
    <row r="2712" spans="1:33" x14ac:dyDescent="0.25">
      <c r="A2712" s="32"/>
      <c r="B2712" s="306"/>
      <c r="C2712" s="307"/>
      <c r="D2712" s="312"/>
      <c r="E2712" s="301"/>
      <c r="F2712" s="232"/>
      <c r="J2712" s="306"/>
      <c r="K2712" s="306"/>
      <c r="L2712" s="313"/>
      <c r="M2712" s="219"/>
      <c r="N2712" s="218"/>
      <c r="S2712" s="224"/>
      <c r="T2712" s="228"/>
      <c r="U2712" s="226"/>
      <c r="V2712" s="226"/>
      <c r="W2712" s="227"/>
      <c r="X2712" s="220"/>
      <c r="Z2712" s="227"/>
      <c r="AA2712" s="220"/>
      <c r="AB2712" s="221"/>
      <c r="AC2712" s="229"/>
      <c r="AD2712" s="230"/>
      <c r="AE2712" s="230"/>
      <c r="AF2712" s="230"/>
      <c r="AG2712" s="227"/>
    </row>
    <row r="2713" spans="1:33" x14ac:dyDescent="0.25">
      <c r="A2713" s="32"/>
      <c r="B2713" s="306"/>
      <c r="C2713" s="307"/>
      <c r="D2713" s="312"/>
      <c r="E2713" s="301"/>
      <c r="F2713" s="232"/>
      <c r="J2713" s="306"/>
      <c r="K2713" s="306"/>
      <c r="L2713" s="313"/>
      <c r="M2713" s="219"/>
      <c r="N2713" s="218"/>
      <c r="S2713" s="224"/>
      <c r="T2713" s="228"/>
      <c r="U2713" s="226"/>
      <c r="V2713" s="226"/>
      <c r="W2713" s="227"/>
      <c r="X2713" s="220"/>
      <c r="Z2713" s="227"/>
      <c r="AA2713" s="220"/>
      <c r="AB2713" s="221"/>
      <c r="AC2713" s="229"/>
      <c r="AD2713" s="230"/>
      <c r="AE2713" s="230"/>
      <c r="AF2713" s="230"/>
      <c r="AG2713" s="227"/>
    </row>
    <row r="2714" spans="1:33" x14ac:dyDescent="0.25">
      <c r="A2714" s="32"/>
      <c r="B2714" s="306"/>
      <c r="C2714" s="307"/>
      <c r="D2714" s="312"/>
      <c r="E2714" s="301"/>
      <c r="F2714" s="232"/>
      <c r="J2714" s="306"/>
      <c r="K2714" s="306"/>
      <c r="L2714" s="313"/>
      <c r="M2714" s="219"/>
      <c r="N2714" s="218"/>
      <c r="S2714" s="224"/>
      <c r="T2714" s="228"/>
      <c r="U2714" s="226"/>
      <c r="V2714" s="226"/>
      <c r="W2714" s="227"/>
      <c r="X2714" s="220"/>
      <c r="Z2714" s="227"/>
      <c r="AA2714" s="220"/>
      <c r="AB2714" s="221"/>
      <c r="AC2714" s="229"/>
      <c r="AD2714" s="230"/>
      <c r="AE2714" s="230"/>
      <c r="AF2714" s="230"/>
      <c r="AG2714" s="227"/>
    </row>
    <row r="2715" spans="1:33" x14ac:dyDescent="0.25">
      <c r="A2715" s="32"/>
      <c r="B2715" s="306"/>
      <c r="C2715" s="307"/>
      <c r="D2715" s="312"/>
      <c r="E2715" s="301"/>
      <c r="F2715" s="232"/>
      <c r="J2715" s="306"/>
      <c r="K2715" s="306"/>
      <c r="L2715" s="313"/>
      <c r="M2715" s="219"/>
      <c r="N2715" s="218"/>
      <c r="S2715" s="224"/>
      <c r="T2715" s="228"/>
      <c r="U2715" s="226"/>
      <c r="V2715" s="226"/>
      <c r="W2715" s="227"/>
      <c r="X2715" s="220"/>
      <c r="Z2715" s="227"/>
      <c r="AA2715" s="220"/>
      <c r="AB2715" s="221"/>
      <c r="AC2715" s="229"/>
      <c r="AD2715" s="230"/>
      <c r="AE2715" s="230"/>
      <c r="AF2715" s="230"/>
      <c r="AG2715" s="227"/>
    </row>
    <row r="2716" spans="1:33" x14ac:dyDescent="0.25">
      <c r="A2716" s="32"/>
      <c r="B2716" s="306"/>
      <c r="C2716" s="307"/>
      <c r="D2716" s="312"/>
      <c r="E2716" s="301"/>
      <c r="F2716" s="232"/>
      <c r="J2716" s="306"/>
      <c r="K2716" s="306"/>
      <c r="L2716" s="313"/>
      <c r="M2716" s="219"/>
      <c r="N2716" s="218"/>
      <c r="S2716" s="224"/>
      <c r="T2716" s="228"/>
      <c r="U2716" s="226"/>
      <c r="V2716" s="226"/>
      <c r="W2716" s="227"/>
      <c r="X2716" s="220"/>
      <c r="Z2716" s="227"/>
      <c r="AA2716" s="220"/>
      <c r="AB2716" s="221"/>
      <c r="AC2716" s="229"/>
      <c r="AD2716" s="230"/>
      <c r="AE2716" s="230"/>
      <c r="AF2716" s="230"/>
      <c r="AG2716" s="227"/>
    </row>
    <row r="2717" spans="1:33" x14ac:dyDescent="0.25">
      <c r="A2717" s="32"/>
      <c r="B2717" s="306"/>
      <c r="C2717" s="307"/>
      <c r="D2717" s="312"/>
      <c r="E2717" s="301"/>
      <c r="F2717" s="232"/>
      <c r="J2717" s="306"/>
      <c r="K2717" s="306"/>
      <c r="L2717" s="313"/>
      <c r="M2717" s="219"/>
      <c r="N2717" s="218"/>
      <c r="S2717" s="224"/>
      <c r="T2717" s="228"/>
      <c r="U2717" s="226"/>
      <c r="V2717" s="226"/>
      <c r="W2717" s="227"/>
      <c r="X2717" s="220"/>
      <c r="Z2717" s="227"/>
      <c r="AA2717" s="220"/>
      <c r="AB2717" s="221"/>
      <c r="AC2717" s="229"/>
      <c r="AD2717" s="230"/>
      <c r="AE2717" s="230"/>
      <c r="AF2717" s="230"/>
      <c r="AG2717" s="227"/>
    </row>
    <row r="2718" spans="1:33" x14ac:dyDescent="0.25">
      <c r="A2718" s="32"/>
      <c r="B2718" s="306"/>
      <c r="C2718" s="307"/>
      <c r="D2718" s="312"/>
      <c r="E2718" s="301"/>
      <c r="F2718" s="232"/>
      <c r="J2718" s="306"/>
      <c r="K2718" s="306"/>
      <c r="L2718" s="313"/>
      <c r="M2718" s="219"/>
      <c r="N2718" s="218"/>
      <c r="S2718" s="224"/>
      <c r="T2718" s="228"/>
      <c r="U2718" s="226"/>
      <c r="V2718" s="226"/>
      <c r="W2718" s="227"/>
      <c r="X2718" s="220"/>
      <c r="Z2718" s="227"/>
      <c r="AA2718" s="220"/>
      <c r="AB2718" s="221"/>
      <c r="AC2718" s="229"/>
      <c r="AD2718" s="230"/>
      <c r="AE2718" s="230"/>
      <c r="AF2718" s="230"/>
      <c r="AG2718" s="227"/>
    </row>
    <row r="2719" spans="1:33" x14ac:dyDescent="0.25">
      <c r="A2719" s="32"/>
      <c r="B2719" s="306"/>
      <c r="C2719" s="307"/>
      <c r="D2719" s="312"/>
      <c r="E2719" s="301"/>
      <c r="F2719" s="232"/>
      <c r="J2719" s="306"/>
      <c r="K2719" s="306"/>
      <c r="L2719" s="313"/>
      <c r="M2719" s="219"/>
      <c r="N2719" s="218"/>
      <c r="S2719" s="224"/>
      <c r="T2719" s="228"/>
      <c r="U2719" s="226"/>
      <c r="V2719" s="226"/>
      <c r="W2719" s="227"/>
      <c r="X2719" s="220"/>
      <c r="Z2719" s="227"/>
      <c r="AA2719" s="220"/>
      <c r="AB2719" s="221"/>
      <c r="AC2719" s="229"/>
      <c r="AD2719" s="230"/>
      <c r="AE2719" s="230"/>
      <c r="AF2719" s="230"/>
      <c r="AG2719" s="227"/>
    </row>
    <row r="2720" spans="1:33" x14ac:dyDescent="0.25">
      <c r="A2720" s="32"/>
      <c r="B2720" s="306"/>
      <c r="C2720" s="307"/>
      <c r="D2720" s="312"/>
      <c r="E2720" s="301"/>
      <c r="F2720" s="232"/>
      <c r="J2720" s="306"/>
      <c r="K2720" s="306"/>
      <c r="L2720" s="313"/>
      <c r="M2720" s="219"/>
      <c r="N2720" s="218"/>
      <c r="S2720" s="224"/>
      <c r="T2720" s="228"/>
      <c r="U2720" s="226"/>
      <c r="V2720" s="226"/>
      <c r="W2720" s="227"/>
      <c r="X2720" s="220"/>
      <c r="Z2720" s="227"/>
      <c r="AA2720" s="220"/>
      <c r="AB2720" s="221"/>
      <c r="AC2720" s="229"/>
      <c r="AD2720" s="230"/>
      <c r="AE2720" s="230"/>
      <c r="AF2720" s="230"/>
      <c r="AG2720" s="227"/>
    </row>
    <row r="2721" spans="1:33" x14ac:dyDescent="0.25">
      <c r="A2721" s="32"/>
      <c r="B2721" s="306"/>
      <c r="C2721" s="307"/>
      <c r="D2721" s="312"/>
      <c r="E2721" s="301"/>
      <c r="F2721" s="232"/>
      <c r="J2721" s="306"/>
      <c r="K2721" s="306"/>
      <c r="L2721" s="313"/>
      <c r="M2721" s="219"/>
      <c r="N2721" s="218"/>
      <c r="S2721" s="224"/>
      <c r="T2721" s="228"/>
      <c r="U2721" s="226"/>
      <c r="V2721" s="226"/>
      <c r="W2721" s="227"/>
      <c r="X2721" s="220"/>
      <c r="Z2721" s="227"/>
      <c r="AA2721" s="220"/>
      <c r="AB2721" s="221"/>
      <c r="AC2721" s="229"/>
      <c r="AD2721" s="230"/>
      <c r="AE2721" s="230"/>
      <c r="AF2721" s="230"/>
      <c r="AG2721" s="227"/>
    </row>
    <row r="2722" spans="1:33" x14ac:dyDescent="0.25">
      <c r="A2722" s="32"/>
      <c r="B2722" s="306"/>
      <c r="C2722" s="307"/>
      <c r="D2722" s="312"/>
      <c r="E2722" s="301"/>
      <c r="F2722" s="232"/>
      <c r="J2722" s="306"/>
      <c r="K2722" s="306"/>
      <c r="L2722" s="313"/>
      <c r="M2722" s="219"/>
      <c r="N2722" s="218"/>
      <c r="S2722" s="224"/>
      <c r="T2722" s="228"/>
      <c r="U2722" s="226"/>
      <c r="V2722" s="226"/>
      <c r="W2722" s="227"/>
      <c r="X2722" s="220"/>
      <c r="Z2722" s="227"/>
      <c r="AA2722" s="220"/>
      <c r="AB2722" s="221"/>
      <c r="AC2722" s="229"/>
      <c r="AD2722" s="230"/>
      <c r="AE2722" s="230"/>
      <c r="AF2722" s="230"/>
      <c r="AG2722" s="227"/>
    </row>
    <row r="2723" spans="1:33" x14ac:dyDescent="0.25">
      <c r="A2723" s="32"/>
      <c r="B2723" s="306"/>
      <c r="C2723" s="307"/>
      <c r="D2723" s="312"/>
      <c r="E2723" s="301"/>
      <c r="F2723" s="232"/>
      <c r="J2723" s="306"/>
      <c r="K2723" s="306"/>
      <c r="L2723" s="313"/>
      <c r="M2723" s="219"/>
      <c r="N2723" s="218"/>
      <c r="S2723" s="224"/>
      <c r="T2723" s="228"/>
      <c r="U2723" s="226"/>
      <c r="V2723" s="226"/>
      <c r="W2723" s="227"/>
      <c r="X2723" s="220"/>
      <c r="Z2723" s="227"/>
      <c r="AA2723" s="220"/>
      <c r="AB2723" s="221"/>
      <c r="AC2723" s="229"/>
      <c r="AD2723" s="230"/>
      <c r="AE2723" s="230"/>
      <c r="AF2723" s="230"/>
      <c r="AG2723" s="227"/>
    </row>
    <row r="2724" spans="1:33" x14ac:dyDescent="0.25">
      <c r="A2724" s="32"/>
      <c r="B2724" s="306"/>
      <c r="C2724" s="307"/>
      <c r="D2724" s="312"/>
      <c r="E2724" s="301"/>
      <c r="F2724" s="232"/>
      <c r="J2724" s="306"/>
      <c r="K2724" s="306"/>
      <c r="L2724" s="313"/>
      <c r="M2724" s="219"/>
      <c r="N2724" s="218"/>
      <c r="S2724" s="224"/>
      <c r="T2724" s="228"/>
      <c r="U2724" s="226"/>
      <c r="V2724" s="226"/>
      <c r="W2724" s="227"/>
      <c r="X2724" s="220"/>
      <c r="Z2724" s="227"/>
      <c r="AA2724" s="220"/>
      <c r="AB2724" s="221"/>
      <c r="AC2724" s="229"/>
      <c r="AD2724" s="230"/>
      <c r="AE2724" s="230"/>
      <c r="AF2724" s="230"/>
      <c r="AG2724" s="227"/>
    </row>
    <row r="2725" spans="1:33" x14ac:dyDescent="0.25">
      <c r="A2725" s="32"/>
      <c r="B2725" s="306"/>
      <c r="C2725" s="307"/>
      <c r="D2725" s="312"/>
      <c r="E2725" s="301"/>
      <c r="F2725" s="232"/>
      <c r="J2725" s="306"/>
      <c r="K2725" s="306"/>
      <c r="L2725" s="313"/>
      <c r="M2725" s="219"/>
      <c r="N2725" s="218"/>
      <c r="S2725" s="224"/>
      <c r="T2725" s="228"/>
      <c r="U2725" s="226"/>
      <c r="V2725" s="226"/>
      <c r="W2725" s="227"/>
      <c r="X2725" s="220"/>
      <c r="Z2725" s="227"/>
      <c r="AA2725" s="220"/>
      <c r="AB2725" s="221"/>
      <c r="AC2725" s="229"/>
      <c r="AD2725" s="230"/>
      <c r="AE2725" s="230"/>
      <c r="AF2725" s="230"/>
      <c r="AG2725" s="227"/>
    </row>
    <row r="2726" spans="1:33" x14ac:dyDescent="0.25">
      <c r="A2726" s="32"/>
      <c r="B2726" s="306"/>
      <c r="C2726" s="307"/>
      <c r="D2726" s="312"/>
      <c r="E2726" s="301"/>
      <c r="F2726" s="232"/>
      <c r="J2726" s="306"/>
      <c r="K2726" s="306"/>
      <c r="L2726" s="313"/>
      <c r="M2726" s="219"/>
      <c r="N2726" s="218"/>
      <c r="S2726" s="224"/>
      <c r="T2726" s="228"/>
      <c r="U2726" s="226"/>
      <c r="V2726" s="226"/>
      <c r="W2726" s="227"/>
      <c r="X2726" s="220"/>
      <c r="Z2726" s="227"/>
      <c r="AA2726" s="220"/>
      <c r="AB2726" s="221"/>
      <c r="AC2726" s="229"/>
      <c r="AD2726" s="230"/>
      <c r="AE2726" s="230"/>
      <c r="AF2726" s="230"/>
      <c r="AG2726" s="227"/>
    </row>
    <row r="2727" spans="1:33" x14ac:dyDescent="0.25">
      <c r="A2727" s="32"/>
      <c r="B2727" s="306"/>
      <c r="C2727" s="307"/>
      <c r="D2727" s="312"/>
      <c r="E2727" s="301"/>
      <c r="F2727" s="232"/>
      <c r="J2727" s="306"/>
      <c r="K2727" s="306"/>
      <c r="L2727" s="313"/>
      <c r="M2727" s="219"/>
      <c r="N2727" s="218"/>
      <c r="S2727" s="224"/>
      <c r="T2727" s="228"/>
      <c r="U2727" s="226"/>
      <c r="V2727" s="226"/>
      <c r="W2727" s="227"/>
      <c r="X2727" s="220"/>
      <c r="Z2727" s="227"/>
      <c r="AA2727" s="220"/>
      <c r="AB2727" s="221"/>
      <c r="AC2727" s="229"/>
      <c r="AD2727" s="230"/>
      <c r="AE2727" s="230"/>
      <c r="AF2727" s="230"/>
      <c r="AG2727" s="227"/>
    </row>
    <row r="2728" spans="1:33" x14ac:dyDescent="0.25">
      <c r="A2728" s="32"/>
      <c r="B2728" s="306"/>
      <c r="C2728" s="307"/>
      <c r="D2728" s="312"/>
      <c r="E2728" s="301"/>
      <c r="F2728" s="232"/>
      <c r="J2728" s="306"/>
      <c r="K2728" s="306"/>
      <c r="L2728" s="313"/>
      <c r="M2728" s="219"/>
      <c r="N2728" s="218"/>
      <c r="S2728" s="224"/>
      <c r="T2728" s="228"/>
      <c r="U2728" s="226"/>
      <c r="V2728" s="226"/>
      <c r="W2728" s="227"/>
      <c r="X2728" s="220"/>
      <c r="Z2728" s="227"/>
      <c r="AA2728" s="220"/>
      <c r="AB2728" s="221"/>
      <c r="AC2728" s="229"/>
      <c r="AD2728" s="230"/>
      <c r="AE2728" s="230"/>
      <c r="AF2728" s="230"/>
      <c r="AG2728" s="227"/>
    </row>
    <row r="2729" spans="1:33" x14ac:dyDescent="0.25">
      <c r="A2729" s="32"/>
      <c r="B2729" s="306"/>
      <c r="C2729" s="307"/>
      <c r="D2729" s="312"/>
      <c r="E2729" s="301"/>
      <c r="F2729" s="232"/>
      <c r="J2729" s="306"/>
      <c r="K2729" s="306"/>
      <c r="L2729" s="313"/>
      <c r="M2729" s="219"/>
      <c r="N2729" s="218"/>
      <c r="S2729" s="224"/>
      <c r="T2729" s="228"/>
      <c r="U2729" s="226"/>
      <c r="V2729" s="226"/>
      <c r="W2729" s="227"/>
      <c r="X2729" s="220"/>
      <c r="Z2729" s="227"/>
      <c r="AA2729" s="220"/>
      <c r="AB2729" s="221"/>
      <c r="AC2729" s="229"/>
      <c r="AD2729" s="230"/>
      <c r="AE2729" s="230"/>
      <c r="AF2729" s="230"/>
      <c r="AG2729" s="227"/>
    </row>
    <row r="2730" spans="1:33" x14ac:dyDescent="0.25">
      <c r="A2730" s="32"/>
      <c r="B2730" s="306"/>
      <c r="C2730" s="307"/>
      <c r="D2730" s="312"/>
      <c r="E2730" s="301"/>
      <c r="F2730" s="232"/>
      <c r="J2730" s="306"/>
      <c r="K2730" s="306"/>
      <c r="L2730" s="313"/>
      <c r="M2730" s="219"/>
      <c r="N2730" s="218"/>
      <c r="S2730" s="224"/>
      <c r="T2730" s="228"/>
      <c r="U2730" s="226"/>
      <c r="V2730" s="226"/>
      <c r="W2730" s="227"/>
      <c r="X2730" s="220"/>
      <c r="Z2730" s="227"/>
      <c r="AA2730" s="220"/>
      <c r="AB2730" s="221"/>
      <c r="AC2730" s="229"/>
      <c r="AD2730" s="230"/>
      <c r="AE2730" s="230"/>
      <c r="AF2730" s="230"/>
      <c r="AG2730" s="227"/>
    </row>
    <row r="2731" spans="1:33" x14ac:dyDescent="0.25">
      <c r="A2731" s="32"/>
      <c r="B2731" s="306"/>
      <c r="C2731" s="307"/>
      <c r="D2731" s="312"/>
      <c r="E2731" s="301"/>
      <c r="F2731" s="232"/>
      <c r="J2731" s="306"/>
      <c r="K2731" s="306"/>
      <c r="L2731" s="313"/>
      <c r="M2731" s="219"/>
      <c r="N2731" s="218"/>
      <c r="S2731" s="224"/>
      <c r="T2731" s="228"/>
      <c r="U2731" s="226"/>
      <c r="V2731" s="226"/>
      <c r="W2731" s="227"/>
      <c r="X2731" s="220"/>
      <c r="Z2731" s="227"/>
      <c r="AA2731" s="220"/>
      <c r="AB2731" s="221"/>
      <c r="AC2731" s="229"/>
      <c r="AD2731" s="230"/>
      <c r="AE2731" s="230"/>
      <c r="AF2731" s="230"/>
      <c r="AG2731" s="227"/>
    </row>
    <row r="2732" spans="1:33" x14ac:dyDescent="0.25">
      <c r="A2732" s="32"/>
      <c r="B2732" s="306"/>
      <c r="C2732" s="307"/>
      <c r="D2732" s="312"/>
      <c r="E2732" s="301"/>
      <c r="F2732" s="232"/>
      <c r="J2732" s="306"/>
      <c r="K2732" s="306"/>
      <c r="L2732" s="313"/>
      <c r="M2732" s="219"/>
      <c r="N2732" s="218"/>
      <c r="S2732" s="224"/>
      <c r="T2732" s="228"/>
      <c r="U2732" s="226"/>
      <c r="V2732" s="226"/>
      <c r="W2732" s="227"/>
      <c r="X2732" s="220"/>
      <c r="Z2732" s="227"/>
      <c r="AA2732" s="220"/>
      <c r="AB2732" s="221"/>
      <c r="AC2732" s="229"/>
      <c r="AD2732" s="230"/>
      <c r="AE2732" s="230"/>
      <c r="AF2732" s="230"/>
      <c r="AG2732" s="227"/>
    </row>
    <row r="2733" spans="1:33" x14ac:dyDescent="0.25">
      <c r="A2733" s="32"/>
      <c r="B2733" s="306"/>
      <c r="C2733" s="307"/>
      <c r="D2733" s="312"/>
      <c r="E2733" s="301"/>
      <c r="F2733" s="232"/>
      <c r="J2733" s="306"/>
      <c r="K2733" s="306"/>
      <c r="L2733" s="313"/>
      <c r="M2733" s="219"/>
      <c r="N2733" s="218"/>
      <c r="S2733" s="224"/>
      <c r="T2733" s="228"/>
      <c r="U2733" s="226"/>
      <c r="V2733" s="226"/>
      <c r="W2733" s="227"/>
      <c r="X2733" s="220"/>
      <c r="Z2733" s="227"/>
      <c r="AA2733" s="220"/>
      <c r="AB2733" s="221"/>
      <c r="AC2733" s="229"/>
      <c r="AD2733" s="230"/>
      <c r="AE2733" s="230"/>
      <c r="AF2733" s="230"/>
      <c r="AG2733" s="227"/>
    </row>
    <row r="2734" spans="1:33" x14ac:dyDescent="0.25">
      <c r="A2734" s="32"/>
      <c r="B2734" s="306"/>
      <c r="C2734" s="307"/>
      <c r="D2734" s="312"/>
      <c r="E2734" s="301"/>
      <c r="F2734" s="232"/>
      <c r="J2734" s="306"/>
      <c r="K2734" s="306"/>
      <c r="L2734" s="313"/>
      <c r="M2734" s="219"/>
      <c r="N2734" s="218"/>
      <c r="S2734" s="224"/>
      <c r="T2734" s="228"/>
      <c r="U2734" s="226"/>
      <c r="V2734" s="226"/>
      <c r="W2734" s="227"/>
      <c r="X2734" s="220"/>
      <c r="Z2734" s="227"/>
      <c r="AA2734" s="220"/>
      <c r="AB2734" s="221"/>
      <c r="AC2734" s="229"/>
      <c r="AD2734" s="230"/>
      <c r="AE2734" s="230"/>
      <c r="AF2734" s="230"/>
      <c r="AG2734" s="227"/>
    </row>
    <row r="2735" spans="1:33" x14ac:dyDescent="0.25">
      <c r="A2735" s="32"/>
      <c r="B2735" s="306"/>
      <c r="C2735" s="307"/>
      <c r="D2735" s="312"/>
      <c r="E2735" s="301"/>
      <c r="F2735" s="232"/>
      <c r="J2735" s="306"/>
      <c r="K2735" s="306"/>
      <c r="L2735" s="313"/>
      <c r="M2735" s="219"/>
      <c r="N2735" s="218"/>
      <c r="S2735" s="224"/>
      <c r="T2735" s="228"/>
      <c r="U2735" s="226"/>
      <c r="V2735" s="226"/>
      <c r="W2735" s="227"/>
      <c r="X2735" s="220"/>
      <c r="Z2735" s="227"/>
      <c r="AA2735" s="220"/>
      <c r="AB2735" s="221"/>
      <c r="AC2735" s="229"/>
      <c r="AD2735" s="230"/>
      <c r="AE2735" s="230"/>
      <c r="AF2735" s="230"/>
      <c r="AG2735" s="227"/>
    </row>
    <row r="2736" spans="1:33" x14ac:dyDescent="0.25">
      <c r="A2736" s="32"/>
      <c r="B2736" s="306"/>
      <c r="C2736" s="307"/>
      <c r="D2736" s="312"/>
      <c r="E2736" s="301"/>
      <c r="F2736" s="232"/>
      <c r="J2736" s="306"/>
      <c r="K2736" s="306"/>
      <c r="L2736" s="313"/>
      <c r="M2736" s="219"/>
      <c r="N2736" s="218"/>
      <c r="S2736" s="224"/>
      <c r="T2736" s="228"/>
      <c r="U2736" s="226"/>
      <c r="V2736" s="226"/>
      <c r="W2736" s="227"/>
      <c r="X2736" s="220"/>
      <c r="Z2736" s="227"/>
      <c r="AA2736" s="220"/>
      <c r="AB2736" s="221"/>
      <c r="AC2736" s="229"/>
      <c r="AD2736" s="230"/>
      <c r="AE2736" s="230"/>
      <c r="AF2736" s="230"/>
      <c r="AG2736" s="227"/>
    </row>
    <row r="2737" spans="1:33" x14ac:dyDescent="0.25">
      <c r="A2737" s="32"/>
      <c r="B2737" s="306"/>
      <c r="C2737" s="307"/>
      <c r="D2737" s="312"/>
      <c r="E2737" s="301"/>
      <c r="F2737" s="232"/>
      <c r="J2737" s="306"/>
      <c r="K2737" s="306"/>
      <c r="L2737" s="313"/>
      <c r="M2737" s="219"/>
      <c r="N2737" s="218"/>
      <c r="S2737" s="224"/>
      <c r="T2737" s="228"/>
      <c r="U2737" s="226"/>
      <c r="V2737" s="226"/>
      <c r="W2737" s="227"/>
      <c r="X2737" s="220"/>
      <c r="Z2737" s="227"/>
      <c r="AA2737" s="220"/>
      <c r="AB2737" s="221"/>
      <c r="AC2737" s="229"/>
      <c r="AD2737" s="230"/>
      <c r="AE2737" s="230"/>
      <c r="AF2737" s="230"/>
      <c r="AG2737" s="227"/>
    </row>
    <row r="2738" spans="1:33" x14ac:dyDescent="0.25">
      <c r="A2738" s="32"/>
      <c r="B2738" s="306"/>
      <c r="C2738" s="307"/>
      <c r="D2738" s="312"/>
      <c r="E2738" s="301"/>
      <c r="F2738" s="232"/>
      <c r="J2738" s="306"/>
      <c r="K2738" s="306"/>
      <c r="L2738" s="313"/>
      <c r="M2738" s="219"/>
      <c r="N2738" s="218"/>
      <c r="S2738" s="224"/>
      <c r="T2738" s="228"/>
      <c r="U2738" s="226"/>
      <c r="V2738" s="226"/>
      <c r="W2738" s="227"/>
      <c r="X2738" s="220"/>
      <c r="Z2738" s="227"/>
      <c r="AA2738" s="220"/>
      <c r="AB2738" s="221"/>
      <c r="AC2738" s="229"/>
      <c r="AD2738" s="230"/>
      <c r="AE2738" s="230"/>
      <c r="AF2738" s="230"/>
      <c r="AG2738" s="227"/>
    </row>
    <row r="2739" spans="1:33" x14ac:dyDescent="0.25">
      <c r="A2739" s="32"/>
      <c r="B2739" s="306"/>
      <c r="C2739" s="307"/>
      <c r="D2739" s="312"/>
      <c r="E2739" s="301"/>
      <c r="F2739" s="232"/>
      <c r="J2739" s="306"/>
      <c r="K2739" s="306"/>
      <c r="L2739" s="313"/>
      <c r="M2739" s="219"/>
      <c r="N2739" s="218"/>
      <c r="S2739" s="224"/>
      <c r="T2739" s="228"/>
      <c r="U2739" s="226"/>
      <c r="V2739" s="226"/>
      <c r="W2739" s="227"/>
      <c r="X2739" s="220"/>
      <c r="Z2739" s="227"/>
      <c r="AA2739" s="220"/>
      <c r="AB2739" s="221"/>
      <c r="AC2739" s="229"/>
      <c r="AD2739" s="230"/>
      <c r="AE2739" s="230"/>
      <c r="AF2739" s="230"/>
      <c r="AG2739" s="227"/>
    </row>
    <row r="2740" spans="1:33" x14ac:dyDescent="0.25">
      <c r="A2740" s="32"/>
      <c r="B2740" s="306"/>
      <c r="C2740" s="307"/>
      <c r="D2740" s="312"/>
      <c r="E2740" s="301"/>
      <c r="F2740" s="232"/>
      <c r="J2740" s="306"/>
      <c r="K2740" s="306"/>
      <c r="L2740" s="313"/>
      <c r="M2740" s="219"/>
      <c r="N2740" s="218"/>
      <c r="S2740" s="224"/>
      <c r="T2740" s="228"/>
      <c r="U2740" s="226"/>
      <c r="V2740" s="226"/>
      <c r="W2740" s="227"/>
      <c r="X2740" s="220"/>
      <c r="Z2740" s="227"/>
      <c r="AA2740" s="220"/>
      <c r="AB2740" s="221"/>
      <c r="AC2740" s="229"/>
      <c r="AD2740" s="230"/>
      <c r="AE2740" s="230"/>
      <c r="AF2740" s="230"/>
      <c r="AG2740" s="227"/>
    </row>
    <row r="2741" spans="1:33" x14ac:dyDescent="0.25">
      <c r="A2741" s="32"/>
      <c r="B2741" s="306"/>
      <c r="C2741" s="307"/>
      <c r="D2741" s="312"/>
      <c r="E2741" s="301"/>
      <c r="F2741" s="232"/>
      <c r="J2741" s="306"/>
      <c r="K2741" s="306"/>
      <c r="L2741" s="313"/>
      <c r="M2741" s="219"/>
      <c r="N2741" s="218"/>
      <c r="S2741" s="224"/>
      <c r="T2741" s="228"/>
      <c r="U2741" s="226"/>
      <c r="V2741" s="226"/>
      <c r="W2741" s="227"/>
      <c r="X2741" s="220"/>
      <c r="Z2741" s="227"/>
      <c r="AA2741" s="220"/>
      <c r="AB2741" s="221"/>
      <c r="AC2741" s="229"/>
      <c r="AD2741" s="230"/>
      <c r="AE2741" s="230"/>
      <c r="AF2741" s="230"/>
      <c r="AG2741" s="227"/>
    </row>
    <row r="2742" spans="1:33" x14ac:dyDescent="0.25">
      <c r="A2742" s="32"/>
      <c r="B2742" s="306"/>
      <c r="C2742" s="307"/>
      <c r="D2742" s="312"/>
      <c r="E2742" s="301"/>
      <c r="F2742" s="232"/>
      <c r="J2742" s="306"/>
      <c r="K2742" s="306"/>
      <c r="L2742" s="313"/>
      <c r="M2742" s="219"/>
      <c r="N2742" s="218"/>
      <c r="S2742" s="224"/>
      <c r="T2742" s="228"/>
      <c r="U2742" s="226"/>
      <c r="V2742" s="226"/>
      <c r="W2742" s="227"/>
      <c r="X2742" s="220"/>
      <c r="Z2742" s="227"/>
      <c r="AA2742" s="220"/>
      <c r="AB2742" s="221"/>
      <c r="AC2742" s="229"/>
      <c r="AD2742" s="230"/>
      <c r="AE2742" s="230"/>
      <c r="AF2742" s="230"/>
      <c r="AG2742" s="227"/>
    </row>
    <row r="2743" spans="1:33" x14ac:dyDescent="0.25">
      <c r="A2743" s="32"/>
      <c r="B2743" s="306"/>
      <c r="C2743" s="307"/>
      <c r="D2743" s="312"/>
      <c r="E2743" s="301"/>
      <c r="F2743" s="232"/>
      <c r="J2743" s="306"/>
      <c r="K2743" s="306"/>
      <c r="L2743" s="313"/>
      <c r="M2743" s="219"/>
      <c r="N2743" s="218"/>
      <c r="S2743" s="224"/>
      <c r="T2743" s="228"/>
      <c r="U2743" s="226"/>
      <c r="V2743" s="226"/>
      <c r="W2743" s="227"/>
      <c r="X2743" s="220"/>
      <c r="Z2743" s="227"/>
      <c r="AA2743" s="220"/>
      <c r="AB2743" s="221"/>
      <c r="AC2743" s="229"/>
      <c r="AD2743" s="230"/>
      <c r="AE2743" s="230"/>
      <c r="AF2743" s="230"/>
      <c r="AG2743" s="227"/>
    </row>
    <row r="2744" spans="1:33" x14ac:dyDescent="0.25">
      <c r="A2744" s="32"/>
      <c r="B2744" s="306"/>
      <c r="C2744" s="307"/>
      <c r="D2744" s="312"/>
      <c r="E2744" s="301"/>
      <c r="F2744" s="232"/>
      <c r="J2744" s="306"/>
      <c r="K2744" s="306"/>
      <c r="L2744" s="313"/>
      <c r="M2744" s="219"/>
      <c r="N2744" s="218"/>
      <c r="S2744" s="224"/>
      <c r="T2744" s="228"/>
      <c r="U2744" s="226"/>
      <c r="V2744" s="226"/>
      <c r="W2744" s="227"/>
      <c r="X2744" s="220"/>
      <c r="Z2744" s="227"/>
      <c r="AA2744" s="220"/>
      <c r="AB2744" s="221"/>
      <c r="AC2744" s="229"/>
      <c r="AD2744" s="230"/>
      <c r="AE2744" s="230"/>
      <c r="AF2744" s="230"/>
      <c r="AG2744" s="227"/>
    </row>
    <row r="2745" spans="1:33" x14ac:dyDescent="0.25">
      <c r="A2745" s="32"/>
      <c r="B2745" s="306"/>
      <c r="C2745" s="307"/>
      <c r="D2745" s="312"/>
      <c r="E2745" s="301"/>
      <c r="F2745" s="232"/>
      <c r="J2745" s="306"/>
      <c r="K2745" s="306"/>
      <c r="L2745" s="313"/>
      <c r="M2745" s="219"/>
      <c r="N2745" s="218"/>
      <c r="S2745" s="224"/>
      <c r="T2745" s="228"/>
      <c r="U2745" s="226"/>
      <c r="V2745" s="226"/>
      <c r="W2745" s="227"/>
      <c r="X2745" s="220"/>
      <c r="Z2745" s="227"/>
      <c r="AA2745" s="220"/>
      <c r="AB2745" s="221"/>
      <c r="AC2745" s="229"/>
      <c r="AD2745" s="230"/>
      <c r="AE2745" s="230"/>
      <c r="AF2745" s="230"/>
      <c r="AG2745" s="227"/>
    </row>
    <row r="2746" spans="1:33" x14ac:dyDescent="0.25">
      <c r="A2746" s="32"/>
      <c r="B2746" s="306"/>
      <c r="C2746" s="307"/>
      <c r="D2746" s="312"/>
      <c r="E2746" s="301"/>
      <c r="F2746" s="232"/>
      <c r="J2746" s="306"/>
      <c r="K2746" s="306"/>
      <c r="L2746" s="313"/>
      <c r="M2746" s="219"/>
      <c r="N2746" s="218"/>
      <c r="S2746" s="224"/>
      <c r="T2746" s="228"/>
      <c r="U2746" s="226"/>
      <c r="V2746" s="226"/>
      <c r="W2746" s="227"/>
      <c r="X2746" s="220"/>
      <c r="Z2746" s="227"/>
      <c r="AA2746" s="220"/>
      <c r="AB2746" s="221"/>
      <c r="AC2746" s="229"/>
      <c r="AD2746" s="230"/>
      <c r="AE2746" s="230"/>
      <c r="AF2746" s="230"/>
      <c r="AG2746" s="227"/>
    </row>
    <row r="2747" spans="1:33" x14ac:dyDescent="0.25">
      <c r="A2747" s="32"/>
      <c r="B2747" s="306"/>
      <c r="C2747" s="307"/>
      <c r="D2747" s="312"/>
      <c r="E2747" s="301"/>
      <c r="F2747" s="232"/>
      <c r="J2747" s="306"/>
      <c r="K2747" s="306"/>
      <c r="L2747" s="313"/>
      <c r="M2747" s="219"/>
      <c r="N2747" s="218"/>
      <c r="S2747" s="224"/>
      <c r="T2747" s="228"/>
      <c r="U2747" s="226"/>
      <c r="V2747" s="226"/>
      <c r="W2747" s="227"/>
      <c r="X2747" s="220"/>
      <c r="Z2747" s="227"/>
      <c r="AA2747" s="220"/>
      <c r="AB2747" s="221"/>
      <c r="AC2747" s="229"/>
      <c r="AD2747" s="230"/>
      <c r="AE2747" s="230"/>
      <c r="AF2747" s="230"/>
      <c r="AG2747" s="227"/>
    </row>
    <row r="2748" spans="1:33" x14ac:dyDescent="0.25">
      <c r="A2748" s="32"/>
      <c r="B2748" s="306"/>
      <c r="C2748" s="307"/>
      <c r="D2748" s="312"/>
      <c r="E2748" s="301"/>
      <c r="F2748" s="232"/>
      <c r="J2748" s="306"/>
      <c r="K2748" s="306"/>
      <c r="L2748" s="313"/>
      <c r="M2748" s="219"/>
      <c r="N2748" s="218"/>
      <c r="S2748" s="224"/>
      <c r="T2748" s="228"/>
      <c r="U2748" s="226"/>
      <c r="V2748" s="226"/>
      <c r="W2748" s="227"/>
      <c r="X2748" s="220"/>
      <c r="Z2748" s="227"/>
      <c r="AA2748" s="220"/>
      <c r="AB2748" s="221"/>
      <c r="AC2748" s="229"/>
      <c r="AD2748" s="230"/>
      <c r="AE2748" s="230"/>
      <c r="AF2748" s="230"/>
      <c r="AG2748" s="227"/>
    </row>
    <row r="2749" spans="1:33" x14ac:dyDescent="0.25">
      <c r="A2749" s="32"/>
      <c r="B2749" s="306"/>
      <c r="C2749" s="307"/>
      <c r="D2749" s="312"/>
      <c r="E2749" s="301"/>
      <c r="F2749" s="232"/>
      <c r="J2749" s="306"/>
      <c r="K2749" s="306"/>
      <c r="L2749" s="313"/>
      <c r="M2749" s="219"/>
      <c r="N2749" s="218"/>
      <c r="S2749" s="224"/>
      <c r="T2749" s="228"/>
      <c r="U2749" s="226"/>
      <c r="V2749" s="226"/>
      <c r="W2749" s="227"/>
      <c r="X2749" s="220"/>
      <c r="Z2749" s="227"/>
      <c r="AA2749" s="220"/>
      <c r="AB2749" s="221"/>
      <c r="AC2749" s="229"/>
      <c r="AD2749" s="230"/>
      <c r="AE2749" s="230"/>
      <c r="AF2749" s="230"/>
      <c r="AG2749" s="227"/>
    </row>
    <row r="2750" spans="1:33" x14ac:dyDescent="0.25">
      <c r="A2750" s="32"/>
      <c r="B2750" s="306"/>
      <c r="C2750" s="307"/>
      <c r="D2750" s="312"/>
      <c r="E2750" s="301"/>
      <c r="F2750" s="232"/>
      <c r="J2750" s="306"/>
      <c r="K2750" s="306"/>
      <c r="L2750" s="313"/>
      <c r="M2750" s="219"/>
      <c r="N2750" s="218"/>
      <c r="S2750" s="224"/>
      <c r="T2750" s="228"/>
      <c r="U2750" s="226"/>
      <c r="V2750" s="226"/>
      <c r="W2750" s="227"/>
      <c r="X2750" s="220"/>
      <c r="Z2750" s="227"/>
      <c r="AA2750" s="220"/>
      <c r="AB2750" s="221"/>
      <c r="AC2750" s="229"/>
      <c r="AD2750" s="230"/>
      <c r="AE2750" s="230"/>
      <c r="AF2750" s="230"/>
      <c r="AG2750" s="227"/>
    </row>
    <row r="2751" spans="1:33" x14ac:dyDescent="0.25">
      <c r="A2751" s="32"/>
      <c r="B2751" s="306"/>
      <c r="C2751" s="307"/>
      <c r="D2751" s="312"/>
      <c r="E2751" s="301"/>
      <c r="F2751" s="232"/>
      <c r="J2751" s="306"/>
      <c r="K2751" s="306"/>
      <c r="L2751" s="313"/>
      <c r="M2751" s="219"/>
      <c r="N2751" s="218"/>
      <c r="S2751" s="224"/>
      <c r="T2751" s="228"/>
      <c r="U2751" s="226"/>
      <c r="V2751" s="226"/>
      <c r="W2751" s="227"/>
      <c r="X2751" s="220"/>
      <c r="Z2751" s="227"/>
      <c r="AA2751" s="220"/>
      <c r="AB2751" s="221"/>
      <c r="AC2751" s="229"/>
      <c r="AD2751" s="230"/>
      <c r="AE2751" s="230"/>
      <c r="AF2751" s="230"/>
      <c r="AG2751" s="227"/>
    </row>
    <row r="2752" spans="1:33" x14ac:dyDescent="0.25">
      <c r="A2752" s="32"/>
      <c r="B2752" s="306"/>
      <c r="C2752" s="307"/>
      <c r="D2752" s="312"/>
      <c r="E2752" s="301"/>
      <c r="F2752" s="232"/>
      <c r="J2752" s="306"/>
      <c r="K2752" s="306"/>
      <c r="L2752" s="313"/>
      <c r="M2752" s="219"/>
      <c r="N2752" s="218"/>
      <c r="S2752" s="224"/>
      <c r="T2752" s="228"/>
      <c r="U2752" s="226"/>
      <c r="V2752" s="226"/>
      <c r="W2752" s="227"/>
      <c r="X2752" s="220"/>
      <c r="Z2752" s="227"/>
      <c r="AA2752" s="220"/>
      <c r="AB2752" s="221"/>
      <c r="AC2752" s="229"/>
      <c r="AD2752" s="230"/>
      <c r="AE2752" s="230"/>
      <c r="AF2752" s="230"/>
      <c r="AG2752" s="227"/>
    </row>
    <row r="2753" spans="1:33" x14ac:dyDescent="0.25">
      <c r="A2753" s="32"/>
      <c r="B2753" s="306"/>
      <c r="C2753" s="307"/>
      <c r="D2753" s="312"/>
      <c r="E2753" s="301"/>
      <c r="F2753" s="232"/>
      <c r="J2753" s="306"/>
      <c r="K2753" s="306"/>
      <c r="L2753" s="313"/>
      <c r="M2753" s="219"/>
      <c r="N2753" s="218"/>
      <c r="S2753" s="224"/>
      <c r="T2753" s="228"/>
      <c r="U2753" s="226"/>
      <c r="V2753" s="226"/>
      <c r="W2753" s="227"/>
      <c r="X2753" s="220"/>
      <c r="Z2753" s="227"/>
      <c r="AA2753" s="220"/>
      <c r="AB2753" s="221"/>
      <c r="AC2753" s="229"/>
      <c r="AD2753" s="230"/>
      <c r="AE2753" s="230"/>
      <c r="AF2753" s="230"/>
      <c r="AG2753" s="227"/>
    </row>
    <row r="2754" spans="1:33" x14ac:dyDescent="0.25">
      <c r="A2754" s="32"/>
      <c r="B2754" s="306"/>
      <c r="C2754" s="307"/>
      <c r="D2754" s="312"/>
      <c r="E2754" s="301"/>
      <c r="F2754" s="232"/>
      <c r="J2754" s="306"/>
      <c r="K2754" s="306"/>
      <c r="L2754" s="313"/>
      <c r="M2754" s="219"/>
      <c r="N2754" s="218"/>
      <c r="S2754" s="224"/>
      <c r="T2754" s="228"/>
      <c r="U2754" s="226"/>
      <c r="V2754" s="226"/>
      <c r="W2754" s="227"/>
      <c r="X2754" s="220"/>
      <c r="Z2754" s="227"/>
      <c r="AA2754" s="220"/>
      <c r="AB2754" s="221"/>
      <c r="AC2754" s="229"/>
      <c r="AD2754" s="230"/>
      <c r="AE2754" s="230"/>
      <c r="AF2754" s="230"/>
      <c r="AG2754" s="227"/>
    </row>
    <row r="2755" spans="1:33" x14ac:dyDescent="0.25">
      <c r="A2755" s="32"/>
      <c r="B2755" s="306"/>
      <c r="C2755" s="307"/>
      <c r="D2755" s="312"/>
      <c r="E2755" s="301"/>
      <c r="F2755" s="232"/>
      <c r="J2755" s="306"/>
      <c r="K2755" s="306"/>
      <c r="L2755" s="313"/>
      <c r="M2755" s="219"/>
      <c r="N2755" s="218"/>
      <c r="S2755" s="224"/>
      <c r="T2755" s="228"/>
      <c r="U2755" s="226"/>
      <c r="V2755" s="226"/>
      <c r="W2755" s="227"/>
      <c r="X2755" s="220"/>
      <c r="Z2755" s="227"/>
      <c r="AA2755" s="220"/>
      <c r="AB2755" s="221"/>
      <c r="AC2755" s="229"/>
      <c r="AD2755" s="230"/>
      <c r="AE2755" s="230"/>
      <c r="AF2755" s="230"/>
      <c r="AG2755" s="227"/>
    </row>
    <row r="2756" spans="1:33" x14ac:dyDescent="0.25">
      <c r="A2756" s="32"/>
      <c r="B2756" s="306"/>
      <c r="C2756" s="307"/>
      <c r="D2756" s="312"/>
      <c r="E2756" s="301"/>
      <c r="F2756" s="232"/>
      <c r="J2756" s="306"/>
      <c r="K2756" s="306"/>
      <c r="L2756" s="313"/>
      <c r="M2756" s="219"/>
      <c r="N2756" s="218"/>
      <c r="S2756" s="224"/>
      <c r="T2756" s="228"/>
      <c r="U2756" s="226"/>
      <c r="V2756" s="226"/>
      <c r="W2756" s="227"/>
      <c r="X2756" s="220"/>
      <c r="Z2756" s="227"/>
      <c r="AA2756" s="220"/>
      <c r="AB2756" s="221"/>
      <c r="AC2756" s="229"/>
      <c r="AD2756" s="230"/>
      <c r="AE2756" s="230"/>
      <c r="AF2756" s="230"/>
      <c r="AG2756" s="227"/>
    </row>
    <row r="2757" spans="1:33" x14ac:dyDescent="0.25">
      <c r="A2757" s="32"/>
      <c r="B2757" s="306"/>
      <c r="C2757" s="307"/>
      <c r="D2757" s="312"/>
      <c r="E2757" s="301"/>
      <c r="F2757" s="232"/>
      <c r="J2757" s="306"/>
      <c r="K2757" s="306"/>
      <c r="L2757" s="313"/>
      <c r="M2757" s="219"/>
      <c r="N2757" s="218"/>
      <c r="S2757" s="224"/>
      <c r="T2757" s="228"/>
      <c r="U2757" s="226"/>
      <c r="V2757" s="226"/>
      <c r="W2757" s="227"/>
      <c r="X2757" s="220"/>
      <c r="Z2757" s="227"/>
      <c r="AA2757" s="220"/>
      <c r="AB2757" s="221"/>
      <c r="AC2757" s="229"/>
      <c r="AD2757" s="230"/>
      <c r="AE2757" s="230"/>
      <c r="AF2757" s="230"/>
      <c r="AG2757" s="227"/>
    </row>
    <row r="2758" spans="1:33" x14ac:dyDescent="0.25">
      <c r="A2758" s="32"/>
      <c r="B2758" s="306"/>
      <c r="C2758" s="307"/>
      <c r="D2758" s="312"/>
      <c r="E2758" s="301"/>
      <c r="F2758" s="232"/>
      <c r="J2758" s="306"/>
      <c r="K2758" s="306"/>
      <c r="L2758" s="313"/>
      <c r="M2758" s="219"/>
      <c r="N2758" s="218"/>
      <c r="S2758" s="224"/>
      <c r="T2758" s="228"/>
      <c r="U2758" s="226"/>
      <c r="V2758" s="226"/>
      <c r="W2758" s="227"/>
      <c r="X2758" s="220"/>
      <c r="Z2758" s="227"/>
      <c r="AA2758" s="220"/>
      <c r="AB2758" s="221"/>
      <c r="AC2758" s="229"/>
      <c r="AD2758" s="230"/>
      <c r="AE2758" s="230"/>
      <c r="AF2758" s="230"/>
      <c r="AG2758" s="227"/>
    </row>
    <row r="2759" spans="1:33" x14ac:dyDescent="0.25">
      <c r="A2759" s="32"/>
      <c r="B2759" s="306"/>
      <c r="C2759" s="307"/>
      <c r="D2759" s="312"/>
      <c r="E2759" s="301"/>
      <c r="F2759" s="232"/>
      <c r="J2759" s="306"/>
      <c r="K2759" s="306"/>
      <c r="L2759" s="313"/>
      <c r="M2759" s="219"/>
      <c r="N2759" s="218"/>
      <c r="S2759" s="224"/>
      <c r="T2759" s="228"/>
      <c r="U2759" s="226"/>
      <c r="V2759" s="226"/>
      <c r="W2759" s="227"/>
      <c r="X2759" s="220"/>
      <c r="Z2759" s="227"/>
      <c r="AA2759" s="220"/>
      <c r="AB2759" s="221"/>
      <c r="AC2759" s="229"/>
      <c r="AD2759" s="230"/>
      <c r="AE2759" s="230"/>
      <c r="AF2759" s="230"/>
      <c r="AG2759" s="227"/>
    </row>
    <row r="2760" spans="1:33" x14ac:dyDescent="0.25">
      <c r="A2760" s="32"/>
      <c r="B2760" s="306"/>
      <c r="C2760" s="307"/>
      <c r="D2760" s="312"/>
      <c r="E2760" s="301"/>
      <c r="F2760" s="232"/>
      <c r="J2760" s="306"/>
      <c r="K2760" s="306"/>
      <c r="L2760" s="313"/>
      <c r="M2760" s="219"/>
      <c r="N2760" s="218"/>
      <c r="S2760" s="224"/>
      <c r="T2760" s="228"/>
      <c r="U2760" s="226"/>
      <c r="V2760" s="226"/>
      <c r="W2760" s="227"/>
      <c r="X2760" s="220"/>
      <c r="Z2760" s="227"/>
      <c r="AA2760" s="220"/>
      <c r="AB2760" s="221"/>
      <c r="AC2760" s="229"/>
      <c r="AD2760" s="230"/>
      <c r="AE2760" s="230"/>
      <c r="AF2760" s="230"/>
      <c r="AG2760" s="227"/>
    </row>
    <row r="2761" spans="1:33" x14ac:dyDescent="0.25">
      <c r="A2761" s="32"/>
      <c r="B2761" s="306"/>
      <c r="C2761" s="307"/>
      <c r="D2761" s="312"/>
      <c r="E2761" s="301"/>
      <c r="F2761" s="232"/>
      <c r="J2761" s="306"/>
      <c r="K2761" s="306"/>
      <c r="L2761" s="313"/>
      <c r="M2761" s="219"/>
      <c r="N2761" s="218"/>
      <c r="S2761" s="224"/>
      <c r="T2761" s="228"/>
      <c r="U2761" s="226"/>
      <c r="V2761" s="226"/>
      <c r="W2761" s="227"/>
      <c r="X2761" s="220"/>
      <c r="Z2761" s="227"/>
      <c r="AA2761" s="220"/>
      <c r="AB2761" s="221"/>
      <c r="AC2761" s="229"/>
      <c r="AD2761" s="230"/>
      <c r="AE2761" s="230"/>
      <c r="AF2761" s="230"/>
      <c r="AG2761" s="227"/>
    </row>
    <row r="2762" spans="1:33" x14ac:dyDescent="0.25">
      <c r="A2762" s="32"/>
      <c r="B2762" s="306"/>
      <c r="C2762" s="307"/>
      <c r="D2762" s="312"/>
      <c r="E2762" s="301"/>
      <c r="F2762" s="232"/>
      <c r="J2762" s="306"/>
      <c r="K2762" s="306"/>
      <c r="L2762" s="313"/>
      <c r="M2762" s="219"/>
      <c r="N2762" s="218"/>
      <c r="S2762" s="224"/>
      <c r="T2762" s="228"/>
      <c r="U2762" s="226"/>
      <c r="V2762" s="226"/>
      <c r="W2762" s="227"/>
      <c r="X2762" s="220"/>
      <c r="Z2762" s="227"/>
      <c r="AA2762" s="220"/>
      <c r="AB2762" s="221"/>
      <c r="AC2762" s="229"/>
      <c r="AD2762" s="230"/>
      <c r="AE2762" s="230"/>
      <c r="AF2762" s="230"/>
      <c r="AG2762" s="227"/>
    </row>
    <row r="2763" spans="1:33" x14ac:dyDescent="0.25">
      <c r="A2763" s="32"/>
      <c r="B2763" s="306"/>
      <c r="C2763" s="307"/>
      <c r="D2763" s="312"/>
      <c r="E2763" s="301"/>
      <c r="F2763" s="232"/>
      <c r="J2763" s="306"/>
      <c r="K2763" s="306"/>
      <c r="L2763" s="313"/>
      <c r="M2763" s="219"/>
      <c r="N2763" s="218"/>
      <c r="S2763" s="224"/>
      <c r="T2763" s="228"/>
      <c r="U2763" s="226"/>
      <c r="V2763" s="226"/>
      <c r="W2763" s="227"/>
      <c r="X2763" s="220"/>
      <c r="Z2763" s="227"/>
      <c r="AA2763" s="220"/>
      <c r="AB2763" s="221"/>
      <c r="AC2763" s="229"/>
      <c r="AD2763" s="230"/>
      <c r="AE2763" s="230"/>
      <c r="AF2763" s="230"/>
      <c r="AG2763" s="227"/>
    </row>
    <row r="2764" spans="1:33" x14ac:dyDescent="0.25">
      <c r="A2764" s="32"/>
      <c r="B2764" s="306"/>
      <c r="C2764" s="307"/>
      <c r="D2764" s="312"/>
      <c r="E2764" s="301"/>
      <c r="F2764" s="232"/>
      <c r="J2764" s="306"/>
      <c r="K2764" s="306"/>
      <c r="L2764" s="313"/>
      <c r="M2764" s="219"/>
      <c r="N2764" s="218"/>
      <c r="S2764" s="224"/>
      <c r="T2764" s="228"/>
      <c r="U2764" s="226"/>
      <c r="V2764" s="226"/>
      <c r="W2764" s="227"/>
      <c r="X2764" s="220"/>
      <c r="Z2764" s="227"/>
      <c r="AA2764" s="220"/>
      <c r="AB2764" s="221"/>
      <c r="AC2764" s="229"/>
      <c r="AD2764" s="230"/>
      <c r="AE2764" s="230"/>
      <c r="AF2764" s="230"/>
      <c r="AG2764" s="227"/>
    </row>
    <row r="2765" spans="1:33" x14ac:dyDescent="0.25">
      <c r="A2765" s="32"/>
      <c r="B2765" s="306"/>
      <c r="C2765" s="307"/>
      <c r="D2765" s="312"/>
      <c r="E2765" s="301"/>
      <c r="F2765" s="232"/>
      <c r="J2765" s="306"/>
      <c r="K2765" s="306"/>
      <c r="L2765" s="313"/>
      <c r="M2765" s="219"/>
      <c r="N2765" s="218"/>
      <c r="S2765" s="224"/>
      <c r="T2765" s="228"/>
      <c r="U2765" s="226"/>
      <c r="V2765" s="226"/>
      <c r="W2765" s="227"/>
      <c r="X2765" s="220"/>
      <c r="Z2765" s="227"/>
      <c r="AA2765" s="220"/>
      <c r="AB2765" s="221"/>
      <c r="AC2765" s="229"/>
      <c r="AD2765" s="230"/>
      <c r="AE2765" s="230"/>
      <c r="AF2765" s="230"/>
      <c r="AG2765" s="227"/>
    </row>
    <row r="2766" spans="1:33" x14ac:dyDescent="0.25">
      <c r="A2766" s="32"/>
      <c r="B2766" s="306"/>
      <c r="C2766" s="307"/>
      <c r="D2766" s="312"/>
      <c r="E2766" s="301"/>
      <c r="F2766" s="232"/>
      <c r="J2766" s="306"/>
      <c r="K2766" s="306"/>
      <c r="L2766" s="313"/>
      <c r="M2766" s="219"/>
      <c r="N2766" s="218"/>
      <c r="S2766" s="224"/>
      <c r="T2766" s="228"/>
      <c r="U2766" s="226"/>
      <c r="V2766" s="226"/>
      <c r="W2766" s="227"/>
      <c r="X2766" s="220"/>
      <c r="Z2766" s="227"/>
      <c r="AA2766" s="220"/>
      <c r="AB2766" s="221"/>
      <c r="AC2766" s="229"/>
      <c r="AD2766" s="230"/>
      <c r="AE2766" s="230"/>
      <c r="AF2766" s="230"/>
      <c r="AG2766" s="227"/>
    </row>
    <row r="2767" spans="1:33" x14ac:dyDescent="0.25">
      <c r="A2767" s="32"/>
      <c r="B2767" s="306"/>
      <c r="C2767" s="307"/>
      <c r="D2767" s="312"/>
      <c r="E2767" s="301"/>
      <c r="F2767" s="232"/>
      <c r="J2767" s="306"/>
      <c r="K2767" s="306"/>
      <c r="L2767" s="313"/>
      <c r="M2767" s="219"/>
      <c r="N2767" s="218"/>
      <c r="S2767" s="224"/>
      <c r="T2767" s="228"/>
      <c r="U2767" s="226"/>
      <c r="V2767" s="226"/>
      <c r="W2767" s="227"/>
      <c r="X2767" s="220"/>
      <c r="Z2767" s="227"/>
      <c r="AA2767" s="220"/>
      <c r="AB2767" s="221"/>
      <c r="AC2767" s="229"/>
      <c r="AD2767" s="230"/>
      <c r="AE2767" s="230"/>
      <c r="AF2767" s="230"/>
      <c r="AG2767" s="227"/>
    </row>
    <row r="2768" spans="1:33" x14ac:dyDescent="0.25">
      <c r="A2768" s="32"/>
      <c r="B2768" s="306"/>
      <c r="C2768" s="307"/>
      <c r="D2768" s="312"/>
      <c r="E2768" s="301"/>
      <c r="F2768" s="232"/>
      <c r="J2768" s="306"/>
      <c r="K2768" s="306"/>
      <c r="L2768" s="313"/>
      <c r="M2768" s="219"/>
      <c r="N2768" s="218"/>
      <c r="S2768" s="224"/>
      <c r="T2768" s="228"/>
      <c r="U2768" s="226"/>
      <c r="V2768" s="226"/>
      <c r="W2768" s="227"/>
      <c r="X2768" s="220"/>
      <c r="Z2768" s="227"/>
      <c r="AA2768" s="220"/>
      <c r="AB2768" s="221"/>
      <c r="AC2768" s="229"/>
      <c r="AD2768" s="230"/>
      <c r="AE2768" s="230"/>
      <c r="AF2768" s="230"/>
      <c r="AG2768" s="227"/>
    </row>
    <row r="2769" spans="1:33" x14ac:dyDescent="0.25">
      <c r="A2769" s="32"/>
      <c r="B2769" s="306"/>
      <c r="C2769" s="307"/>
      <c r="D2769" s="312"/>
      <c r="E2769" s="301"/>
      <c r="F2769" s="232"/>
      <c r="J2769" s="306"/>
      <c r="K2769" s="306"/>
      <c r="L2769" s="313"/>
      <c r="M2769" s="219"/>
      <c r="N2769" s="218"/>
      <c r="S2769" s="224"/>
      <c r="T2769" s="228"/>
      <c r="U2769" s="226"/>
      <c r="V2769" s="226"/>
      <c r="W2769" s="227"/>
      <c r="X2769" s="220"/>
      <c r="Z2769" s="227"/>
      <c r="AA2769" s="220"/>
      <c r="AB2769" s="221"/>
      <c r="AC2769" s="229"/>
      <c r="AD2769" s="230"/>
      <c r="AE2769" s="230"/>
      <c r="AF2769" s="230"/>
      <c r="AG2769" s="227"/>
    </row>
    <row r="2770" spans="1:33" x14ac:dyDescent="0.25">
      <c r="A2770" s="32"/>
      <c r="B2770" s="306"/>
      <c r="C2770" s="307"/>
      <c r="D2770" s="312"/>
      <c r="E2770" s="301"/>
      <c r="F2770" s="232"/>
      <c r="J2770" s="306"/>
      <c r="K2770" s="306"/>
      <c r="L2770" s="313"/>
      <c r="M2770" s="219"/>
      <c r="N2770" s="218"/>
      <c r="S2770" s="224"/>
      <c r="T2770" s="228"/>
      <c r="U2770" s="226"/>
      <c r="V2770" s="226"/>
      <c r="W2770" s="227"/>
      <c r="X2770" s="220"/>
      <c r="Z2770" s="227"/>
      <c r="AA2770" s="220"/>
      <c r="AB2770" s="221"/>
      <c r="AC2770" s="229"/>
      <c r="AD2770" s="230"/>
      <c r="AE2770" s="230"/>
      <c r="AF2770" s="230"/>
      <c r="AG2770" s="227"/>
    </row>
    <row r="2771" spans="1:33" x14ac:dyDescent="0.25">
      <c r="A2771" s="32"/>
      <c r="B2771" s="306"/>
      <c r="C2771" s="307"/>
      <c r="D2771" s="312"/>
      <c r="E2771" s="301"/>
      <c r="F2771" s="232"/>
      <c r="J2771" s="306"/>
      <c r="K2771" s="306"/>
      <c r="L2771" s="313"/>
      <c r="M2771" s="219"/>
      <c r="N2771" s="218"/>
      <c r="S2771" s="224"/>
      <c r="T2771" s="228"/>
      <c r="U2771" s="226"/>
      <c r="V2771" s="226"/>
      <c r="W2771" s="227"/>
      <c r="X2771" s="220"/>
      <c r="Z2771" s="227"/>
      <c r="AA2771" s="220"/>
      <c r="AB2771" s="221"/>
      <c r="AC2771" s="229"/>
      <c r="AD2771" s="230"/>
      <c r="AE2771" s="230"/>
      <c r="AF2771" s="230"/>
      <c r="AG2771" s="227"/>
    </row>
    <row r="2772" spans="1:33" x14ac:dyDescent="0.25">
      <c r="A2772" s="32"/>
      <c r="B2772" s="306"/>
      <c r="C2772" s="307"/>
      <c r="D2772" s="312"/>
      <c r="E2772" s="301"/>
      <c r="F2772" s="232"/>
      <c r="J2772" s="306"/>
      <c r="K2772" s="306"/>
      <c r="L2772" s="313"/>
      <c r="M2772" s="219"/>
      <c r="N2772" s="218"/>
      <c r="S2772" s="224"/>
      <c r="T2772" s="228"/>
      <c r="U2772" s="226"/>
      <c r="V2772" s="226"/>
      <c r="W2772" s="227"/>
      <c r="X2772" s="220"/>
      <c r="Z2772" s="227"/>
      <c r="AA2772" s="220"/>
      <c r="AB2772" s="221"/>
      <c r="AC2772" s="229"/>
      <c r="AD2772" s="230"/>
      <c r="AE2772" s="230"/>
      <c r="AF2772" s="230"/>
      <c r="AG2772" s="227"/>
    </row>
    <row r="2773" spans="1:33" x14ac:dyDescent="0.25">
      <c r="A2773" s="32"/>
      <c r="B2773" s="306"/>
      <c r="C2773" s="307"/>
      <c r="D2773" s="312"/>
      <c r="E2773" s="301"/>
      <c r="F2773" s="232"/>
      <c r="J2773" s="306"/>
      <c r="K2773" s="306"/>
      <c r="L2773" s="313"/>
      <c r="M2773" s="219"/>
      <c r="N2773" s="218"/>
      <c r="S2773" s="224"/>
      <c r="T2773" s="228"/>
      <c r="U2773" s="226"/>
      <c r="V2773" s="226"/>
      <c r="W2773" s="227"/>
      <c r="X2773" s="220"/>
      <c r="Z2773" s="227"/>
      <c r="AA2773" s="220"/>
      <c r="AB2773" s="221"/>
      <c r="AC2773" s="229"/>
      <c r="AD2773" s="230"/>
      <c r="AE2773" s="230"/>
      <c r="AF2773" s="230"/>
      <c r="AG2773" s="227"/>
    </row>
    <row r="2774" spans="1:33" x14ac:dyDescent="0.25">
      <c r="A2774" s="32"/>
      <c r="B2774" s="306"/>
      <c r="C2774" s="307"/>
      <c r="D2774" s="312"/>
      <c r="E2774" s="301"/>
      <c r="F2774" s="232"/>
      <c r="J2774" s="306"/>
      <c r="K2774" s="306"/>
      <c r="L2774" s="313"/>
      <c r="M2774" s="219"/>
      <c r="N2774" s="218"/>
      <c r="S2774" s="224"/>
      <c r="T2774" s="228"/>
      <c r="U2774" s="226"/>
      <c r="V2774" s="226"/>
      <c r="W2774" s="227"/>
      <c r="X2774" s="220"/>
      <c r="Z2774" s="227"/>
      <c r="AA2774" s="220"/>
      <c r="AB2774" s="221"/>
      <c r="AC2774" s="229"/>
      <c r="AD2774" s="230"/>
      <c r="AE2774" s="230"/>
      <c r="AF2774" s="230"/>
      <c r="AG2774" s="227"/>
    </row>
    <row r="2775" spans="1:33" x14ac:dyDescent="0.25">
      <c r="A2775" s="32"/>
      <c r="B2775" s="306"/>
      <c r="C2775" s="307"/>
      <c r="D2775" s="312"/>
      <c r="E2775" s="301"/>
      <c r="F2775" s="232"/>
      <c r="J2775" s="306"/>
      <c r="K2775" s="306"/>
      <c r="L2775" s="313"/>
      <c r="M2775" s="219"/>
      <c r="N2775" s="218"/>
      <c r="S2775" s="224"/>
      <c r="T2775" s="228"/>
      <c r="U2775" s="226"/>
      <c r="V2775" s="226"/>
      <c r="W2775" s="227"/>
      <c r="X2775" s="220"/>
      <c r="Z2775" s="227"/>
      <c r="AA2775" s="220"/>
      <c r="AB2775" s="221"/>
      <c r="AC2775" s="229"/>
      <c r="AD2775" s="230"/>
      <c r="AE2775" s="230"/>
      <c r="AF2775" s="230"/>
      <c r="AG2775" s="227"/>
    </row>
    <row r="2776" spans="1:33" x14ac:dyDescent="0.25">
      <c r="A2776" s="32"/>
      <c r="B2776" s="306"/>
      <c r="C2776" s="307"/>
      <c r="D2776" s="312"/>
      <c r="E2776" s="301"/>
      <c r="F2776" s="232"/>
      <c r="J2776" s="306"/>
      <c r="K2776" s="306"/>
      <c r="L2776" s="313"/>
      <c r="M2776" s="219"/>
      <c r="N2776" s="218"/>
      <c r="S2776" s="224"/>
      <c r="T2776" s="228"/>
      <c r="U2776" s="226"/>
      <c r="V2776" s="226"/>
      <c r="W2776" s="227"/>
      <c r="X2776" s="220"/>
      <c r="Z2776" s="227"/>
      <c r="AA2776" s="220"/>
      <c r="AB2776" s="221"/>
      <c r="AC2776" s="229"/>
      <c r="AD2776" s="230"/>
      <c r="AE2776" s="230"/>
      <c r="AF2776" s="230"/>
      <c r="AG2776" s="227"/>
    </row>
    <row r="2777" spans="1:33" x14ac:dyDescent="0.25">
      <c r="A2777" s="32"/>
      <c r="B2777" s="306"/>
      <c r="C2777" s="307"/>
      <c r="D2777" s="312"/>
      <c r="E2777" s="301"/>
      <c r="F2777" s="232"/>
      <c r="J2777" s="306"/>
      <c r="K2777" s="306"/>
      <c r="L2777" s="313"/>
      <c r="M2777" s="219"/>
      <c r="N2777" s="218"/>
      <c r="S2777" s="224"/>
      <c r="T2777" s="228"/>
      <c r="U2777" s="226"/>
      <c r="V2777" s="226"/>
      <c r="W2777" s="227"/>
      <c r="X2777" s="220"/>
      <c r="Z2777" s="227"/>
      <c r="AA2777" s="220"/>
      <c r="AB2777" s="221"/>
      <c r="AC2777" s="229"/>
      <c r="AD2777" s="230"/>
      <c r="AE2777" s="230"/>
      <c r="AF2777" s="230"/>
      <c r="AG2777" s="227"/>
    </row>
    <row r="2778" spans="1:33" x14ac:dyDescent="0.25">
      <c r="A2778" s="32"/>
      <c r="B2778" s="306"/>
      <c r="C2778" s="307"/>
      <c r="D2778" s="312"/>
      <c r="E2778" s="301"/>
      <c r="F2778" s="232"/>
      <c r="J2778" s="306"/>
      <c r="K2778" s="306"/>
      <c r="L2778" s="313"/>
      <c r="M2778" s="219"/>
      <c r="N2778" s="218"/>
      <c r="S2778" s="224"/>
      <c r="T2778" s="228"/>
      <c r="U2778" s="226"/>
      <c r="V2778" s="226"/>
      <c r="W2778" s="227"/>
      <c r="X2778" s="220"/>
      <c r="Z2778" s="227"/>
      <c r="AA2778" s="220"/>
      <c r="AB2778" s="221"/>
      <c r="AC2778" s="229"/>
      <c r="AD2778" s="230"/>
      <c r="AE2778" s="230"/>
      <c r="AF2778" s="230"/>
      <c r="AG2778" s="227"/>
    </row>
    <row r="2779" spans="1:33" x14ac:dyDescent="0.25">
      <c r="A2779" s="32"/>
      <c r="B2779" s="306"/>
      <c r="C2779" s="307"/>
      <c r="D2779" s="312"/>
      <c r="E2779" s="301"/>
      <c r="F2779" s="232"/>
      <c r="J2779" s="306"/>
      <c r="K2779" s="306"/>
      <c r="L2779" s="313"/>
      <c r="M2779" s="219"/>
      <c r="N2779" s="218"/>
      <c r="S2779" s="224"/>
      <c r="T2779" s="228"/>
      <c r="U2779" s="226"/>
      <c r="V2779" s="226"/>
      <c r="W2779" s="227"/>
      <c r="X2779" s="220"/>
      <c r="Z2779" s="227"/>
      <c r="AA2779" s="220"/>
      <c r="AB2779" s="221"/>
      <c r="AC2779" s="229"/>
      <c r="AD2779" s="230"/>
      <c r="AE2779" s="230"/>
      <c r="AF2779" s="230"/>
      <c r="AG2779" s="227"/>
    </row>
    <row r="2780" spans="1:33" x14ac:dyDescent="0.25">
      <c r="A2780" s="32"/>
      <c r="B2780" s="306"/>
      <c r="C2780" s="307"/>
      <c r="D2780" s="312"/>
      <c r="E2780" s="301"/>
      <c r="F2780" s="232"/>
      <c r="J2780" s="306"/>
      <c r="K2780" s="306"/>
      <c r="L2780" s="313"/>
      <c r="M2780" s="219"/>
      <c r="N2780" s="218"/>
      <c r="S2780" s="224"/>
      <c r="T2780" s="228"/>
      <c r="U2780" s="226"/>
      <c r="V2780" s="226"/>
      <c r="W2780" s="227"/>
      <c r="X2780" s="220"/>
      <c r="Z2780" s="227"/>
      <c r="AA2780" s="220"/>
      <c r="AB2780" s="221"/>
      <c r="AC2780" s="229"/>
      <c r="AD2780" s="230"/>
      <c r="AE2780" s="230"/>
      <c r="AF2780" s="230"/>
      <c r="AG2780" s="227"/>
    </row>
    <row r="2781" spans="1:33" x14ac:dyDescent="0.25">
      <c r="A2781" s="32"/>
      <c r="B2781" s="306"/>
      <c r="C2781" s="307"/>
      <c r="D2781" s="312"/>
      <c r="E2781" s="301"/>
      <c r="F2781" s="232"/>
      <c r="J2781" s="306"/>
      <c r="K2781" s="306"/>
      <c r="L2781" s="313"/>
      <c r="M2781" s="219"/>
      <c r="N2781" s="218"/>
      <c r="S2781" s="224"/>
      <c r="T2781" s="228"/>
      <c r="U2781" s="226"/>
      <c r="V2781" s="226"/>
      <c r="W2781" s="227"/>
      <c r="X2781" s="220"/>
      <c r="Z2781" s="227"/>
      <c r="AA2781" s="220"/>
      <c r="AB2781" s="221"/>
      <c r="AC2781" s="229"/>
      <c r="AD2781" s="230"/>
      <c r="AE2781" s="230"/>
      <c r="AF2781" s="230"/>
      <c r="AG2781" s="227"/>
    </row>
    <row r="2782" spans="1:33" x14ac:dyDescent="0.25">
      <c r="A2782" s="32"/>
      <c r="B2782" s="306"/>
      <c r="C2782" s="307"/>
      <c r="D2782" s="312"/>
      <c r="E2782" s="301"/>
      <c r="F2782" s="232"/>
      <c r="J2782" s="306"/>
      <c r="K2782" s="306"/>
      <c r="L2782" s="313"/>
      <c r="M2782" s="219"/>
      <c r="N2782" s="218"/>
      <c r="S2782" s="224"/>
      <c r="T2782" s="228"/>
      <c r="U2782" s="226"/>
      <c r="V2782" s="226"/>
      <c r="W2782" s="227"/>
      <c r="X2782" s="220"/>
      <c r="Z2782" s="227"/>
      <c r="AA2782" s="220"/>
      <c r="AB2782" s="221"/>
      <c r="AC2782" s="229"/>
      <c r="AD2782" s="230"/>
      <c r="AE2782" s="230"/>
      <c r="AF2782" s="230"/>
      <c r="AG2782" s="227"/>
    </row>
    <row r="2783" spans="1:33" x14ac:dyDescent="0.25">
      <c r="A2783" s="32"/>
      <c r="B2783" s="306"/>
      <c r="C2783" s="307"/>
      <c r="D2783" s="312"/>
      <c r="E2783" s="301"/>
      <c r="F2783" s="232"/>
      <c r="J2783" s="306"/>
      <c r="K2783" s="306"/>
      <c r="L2783" s="313"/>
      <c r="M2783" s="219"/>
      <c r="N2783" s="218"/>
      <c r="S2783" s="224"/>
      <c r="T2783" s="228"/>
      <c r="U2783" s="226"/>
      <c r="V2783" s="226"/>
      <c r="W2783" s="227"/>
      <c r="X2783" s="220"/>
      <c r="Z2783" s="227"/>
      <c r="AA2783" s="220"/>
      <c r="AB2783" s="221"/>
      <c r="AC2783" s="229"/>
      <c r="AD2783" s="230"/>
      <c r="AE2783" s="230"/>
      <c r="AF2783" s="230"/>
      <c r="AG2783" s="227"/>
    </row>
    <row r="2784" spans="1:33" x14ac:dyDescent="0.25">
      <c r="A2784" s="32"/>
      <c r="B2784" s="306"/>
      <c r="C2784" s="307"/>
      <c r="D2784" s="312"/>
      <c r="E2784" s="301"/>
      <c r="F2784" s="232"/>
      <c r="J2784" s="306"/>
      <c r="K2784" s="306"/>
      <c r="L2784" s="313"/>
      <c r="M2784" s="219"/>
      <c r="N2784" s="218"/>
      <c r="S2784" s="224"/>
      <c r="T2784" s="228"/>
      <c r="U2784" s="226"/>
      <c r="V2784" s="226"/>
      <c r="W2784" s="227"/>
      <c r="X2784" s="220"/>
      <c r="Z2784" s="227"/>
      <c r="AA2784" s="220"/>
      <c r="AB2784" s="221"/>
      <c r="AC2784" s="229"/>
      <c r="AD2784" s="230"/>
      <c r="AE2784" s="230"/>
      <c r="AF2784" s="230"/>
      <c r="AG2784" s="227"/>
    </row>
    <row r="2785" spans="1:33" x14ac:dyDescent="0.25">
      <c r="A2785" s="32"/>
      <c r="B2785" s="306"/>
      <c r="C2785" s="307"/>
      <c r="D2785" s="312"/>
      <c r="E2785" s="301"/>
      <c r="F2785" s="232"/>
      <c r="J2785" s="306"/>
      <c r="K2785" s="306"/>
      <c r="L2785" s="313"/>
      <c r="M2785" s="219"/>
      <c r="N2785" s="218"/>
      <c r="S2785" s="224"/>
      <c r="T2785" s="228"/>
      <c r="U2785" s="226"/>
      <c r="V2785" s="226"/>
      <c r="W2785" s="227"/>
      <c r="X2785" s="220"/>
      <c r="Z2785" s="227"/>
      <c r="AA2785" s="220"/>
      <c r="AB2785" s="221"/>
      <c r="AC2785" s="229"/>
      <c r="AD2785" s="230"/>
      <c r="AE2785" s="230"/>
      <c r="AF2785" s="230"/>
      <c r="AG2785" s="227"/>
    </row>
    <row r="2786" spans="1:33" x14ac:dyDescent="0.25">
      <c r="A2786" s="32"/>
      <c r="B2786" s="306"/>
      <c r="C2786" s="307"/>
      <c r="D2786" s="312"/>
      <c r="E2786" s="301"/>
      <c r="F2786" s="232"/>
      <c r="J2786" s="306"/>
      <c r="K2786" s="306"/>
      <c r="L2786" s="313"/>
      <c r="M2786" s="219"/>
      <c r="N2786" s="218"/>
      <c r="S2786" s="224"/>
      <c r="T2786" s="228"/>
      <c r="U2786" s="226"/>
      <c r="V2786" s="226"/>
      <c r="W2786" s="227"/>
      <c r="X2786" s="220"/>
      <c r="Z2786" s="227"/>
      <c r="AA2786" s="220"/>
      <c r="AB2786" s="221"/>
      <c r="AC2786" s="229"/>
      <c r="AD2786" s="230"/>
      <c r="AE2786" s="230"/>
      <c r="AF2786" s="230"/>
      <c r="AG2786" s="227"/>
    </row>
    <row r="2787" spans="1:33" x14ac:dyDescent="0.25">
      <c r="A2787" s="32"/>
      <c r="B2787" s="306"/>
      <c r="C2787" s="307"/>
      <c r="D2787" s="312"/>
      <c r="E2787" s="301"/>
      <c r="F2787" s="232"/>
      <c r="J2787" s="306"/>
      <c r="K2787" s="306"/>
      <c r="L2787" s="313"/>
      <c r="M2787" s="219"/>
      <c r="N2787" s="218"/>
      <c r="S2787" s="224"/>
      <c r="T2787" s="228"/>
      <c r="U2787" s="226"/>
      <c r="V2787" s="226"/>
      <c r="W2787" s="227"/>
      <c r="X2787" s="220"/>
      <c r="Z2787" s="227"/>
      <c r="AA2787" s="220"/>
      <c r="AB2787" s="221"/>
      <c r="AC2787" s="229"/>
      <c r="AD2787" s="230"/>
      <c r="AE2787" s="230"/>
      <c r="AF2787" s="230"/>
      <c r="AG2787" s="227"/>
    </row>
    <row r="2788" spans="1:33" x14ac:dyDescent="0.25">
      <c r="A2788" s="32"/>
      <c r="B2788" s="306"/>
      <c r="C2788" s="307"/>
      <c r="D2788" s="312"/>
      <c r="E2788" s="301"/>
      <c r="F2788" s="232"/>
      <c r="J2788" s="306"/>
      <c r="K2788" s="306"/>
      <c r="L2788" s="313"/>
      <c r="M2788" s="219"/>
      <c r="N2788" s="218"/>
      <c r="S2788" s="224"/>
      <c r="T2788" s="228"/>
      <c r="U2788" s="226"/>
      <c r="V2788" s="226"/>
      <c r="W2788" s="227"/>
      <c r="X2788" s="220"/>
      <c r="Z2788" s="227"/>
      <c r="AA2788" s="220"/>
      <c r="AB2788" s="221"/>
      <c r="AC2788" s="229"/>
      <c r="AD2788" s="230"/>
      <c r="AE2788" s="230"/>
      <c r="AF2788" s="230"/>
      <c r="AG2788" s="227"/>
    </row>
    <row r="2789" spans="1:33" x14ac:dyDescent="0.25">
      <c r="A2789" s="32"/>
      <c r="B2789" s="306"/>
      <c r="C2789" s="307"/>
      <c r="D2789" s="312"/>
      <c r="E2789" s="301"/>
      <c r="F2789" s="232"/>
      <c r="J2789" s="306"/>
      <c r="K2789" s="306"/>
      <c r="L2789" s="313"/>
      <c r="M2789" s="219"/>
      <c r="N2789" s="218"/>
      <c r="S2789" s="224"/>
      <c r="T2789" s="228"/>
      <c r="U2789" s="226"/>
      <c r="V2789" s="226"/>
      <c r="W2789" s="227"/>
      <c r="X2789" s="220"/>
      <c r="Z2789" s="227"/>
      <c r="AA2789" s="220"/>
      <c r="AB2789" s="221"/>
      <c r="AC2789" s="229"/>
      <c r="AD2789" s="230"/>
      <c r="AE2789" s="230"/>
      <c r="AF2789" s="230"/>
      <c r="AG2789" s="227"/>
    </row>
    <row r="2790" spans="1:33" x14ac:dyDescent="0.25">
      <c r="A2790" s="32"/>
      <c r="B2790" s="306"/>
      <c r="C2790" s="307"/>
      <c r="D2790" s="312"/>
      <c r="E2790" s="301"/>
      <c r="F2790" s="232"/>
      <c r="J2790" s="306"/>
      <c r="K2790" s="306"/>
      <c r="L2790" s="313"/>
      <c r="M2790" s="219"/>
      <c r="N2790" s="218"/>
      <c r="S2790" s="224"/>
      <c r="T2790" s="228"/>
      <c r="U2790" s="226"/>
      <c r="V2790" s="226"/>
      <c r="W2790" s="227"/>
      <c r="X2790" s="220"/>
      <c r="Z2790" s="227"/>
      <c r="AA2790" s="220"/>
      <c r="AB2790" s="221"/>
      <c r="AC2790" s="229"/>
      <c r="AD2790" s="230"/>
      <c r="AE2790" s="230"/>
      <c r="AF2790" s="230"/>
      <c r="AG2790" s="227"/>
    </row>
    <row r="2791" spans="1:33" x14ac:dyDescent="0.25">
      <c r="A2791" s="32"/>
      <c r="B2791" s="306"/>
      <c r="C2791" s="307"/>
      <c r="D2791" s="312"/>
      <c r="E2791" s="301"/>
      <c r="F2791" s="232"/>
      <c r="J2791" s="306"/>
      <c r="K2791" s="306"/>
      <c r="L2791" s="313"/>
      <c r="M2791" s="219"/>
      <c r="N2791" s="218"/>
      <c r="S2791" s="224"/>
      <c r="T2791" s="228"/>
      <c r="U2791" s="226"/>
      <c r="V2791" s="226"/>
      <c r="W2791" s="227"/>
      <c r="X2791" s="220"/>
      <c r="Z2791" s="227"/>
      <c r="AA2791" s="220"/>
      <c r="AB2791" s="221"/>
      <c r="AC2791" s="229"/>
      <c r="AD2791" s="230"/>
      <c r="AE2791" s="230"/>
      <c r="AF2791" s="230"/>
      <c r="AG2791" s="227"/>
    </row>
    <row r="2792" spans="1:33" x14ac:dyDescent="0.25">
      <c r="A2792" s="32"/>
      <c r="B2792" s="306"/>
      <c r="C2792" s="307"/>
      <c r="D2792" s="312"/>
      <c r="E2792" s="301"/>
      <c r="F2792" s="232"/>
      <c r="J2792" s="306"/>
      <c r="K2792" s="306"/>
      <c r="L2792" s="313"/>
      <c r="M2792" s="219"/>
      <c r="N2792" s="218"/>
      <c r="S2792" s="224"/>
      <c r="T2792" s="228"/>
      <c r="U2792" s="226"/>
      <c r="V2792" s="226"/>
      <c r="W2792" s="227"/>
      <c r="X2792" s="220"/>
      <c r="Z2792" s="227"/>
      <c r="AA2792" s="220"/>
      <c r="AB2792" s="221"/>
      <c r="AC2792" s="229"/>
      <c r="AD2792" s="230"/>
      <c r="AE2792" s="230"/>
      <c r="AF2792" s="230"/>
      <c r="AG2792" s="227"/>
    </row>
    <row r="2793" spans="1:33" x14ac:dyDescent="0.25">
      <c r="A2793" s="32"/>
      <c r="B2793" s="306"/>
      <c r="C2793" s="307"/>
      <c r="D2793" s="312"/>
      <c r="E2793" s="301"/>
      <c r="F2793" s="232"/>
      <c r="J2793" s="306"/>
      <c r="K2793" s="306"/>
      <c r="L2793" s="313"/>
      <c r="M2793" s="219"/>
      <c r="N2793" s="218"/>
      <c r="S2793" s="224"/>
      <c r="T2793" s="228"/>
      <c r="U2793" s="226"/>
      <c r="V2793" s="226"/>
      <c r="W2793" s="227"/>
      <c r="X2793" s="220"/>
      <c r="Z2793" s="227"/>
      <c r="AA2793" s="220"/>
      <c r="AB2793" s="221"/>
      <c r="AC2793" s="229"/>
      <c r="AD2793" s="230"/>
      <c r="AE2793" s="230"/>
      <c r="AF2793" s="230"/>
      <c r="AG2793" s="227"/>
    </row>
    <row r="2794" spans="1:33" x14ac:dyDescent="0.25">
      <c r="A2794" s="32"/>
      <c r="B2794" s="306"/>
      <c r="C2794" s="307"/>
      <c r="D2794" s="312"/>
      <c r="E2794" s="301"/>
      <c r="F2794" s="232"/>
      <c r="J2794" s="306"/>
      <c r="K2794" s="306"/>
      <c r="L2794" s="313"/>
      <c r="M2794" s="219"/>
      <c r="N2794" s="218"/>
      <c r="S2794" s="224"/>
      <c r="T2794" s="228"/>
      <c r="U2794" s="226"/>
      <c r="V2794" s="226"/>
      <c r="W2794" s="227"/>
      <c r="X2794" s="220"/>
      <c r="Z2794" s="227"/>
      <c r="AA2794" s="220"/>
      <c r="AB2794" s="221"/>
      <c r="AC2794" s="229"/>
      <c r="AD2794" s="230"/>
      <c r="AE2794" s="230"/>
      <c r="AF2794" s="230"/>
      <c r="AG2794" s="227"/>
    </row>
    <row r="2795" spans="1:33" x14ac:dyDescent="0.25">
      <c r="A2795" s="32"/>
      <c r="B2795" s="306"/>
      <c r="C2795" s="307"/>
      <c r="D2795" s="312"/>
      <c r="E2795" s="301"/>
      <c r="F2795" s="232"/>
      <c r="J2795" s="306"/>
      <c r="K2795" s="306"/>
      <c r="L2795" s="313"/>
      <c r="M2795" s="219"/>
      <c r="N2795" s="218"/>
      <c r="S2795" s="224"/>
      <c r="T2795" s="228"/>
      <c r="U2795" s="226"/>
      <c r="V2795" s="226"/>
      <c r="W2795" s="227"/>
      <c r="X2795" s="220"/>
      <c r="Z2795" s="227"/>
      <c r="AA2795" s="220"/>
      <c r="AB2795" s="221"/>
      <c r="AC2795" s="229"/>
      <c r="AD2795" s="230"/>
      <c r="AE2795" s="230"/>
      <c r="AF2795" s="230"/>
      <c r="AG2795" s="227"/>
    </row>
    <row r="2796" spans="1:33" x14ac:dyDescent="0.25">
      <c r="A2796" s="32"/>
      <c r="B2796" s="306"/>
      <c r="C2796" s="307"/>
      <c r="D2796" s="312"/>
      <c r="E2796" s="301"/>
      <c r="F2796" s="232"/>
      <c r="J2796" s="306"/>
      <c r="K2796" s="306"/>
      <c r="L2796" s="313"/>
      <c r="M2796" s="219"/>
      <c r="N2796" s="218"/>
      <c r="S2796" s="224"/>
      <c r="T2796" s="228"/>
      <c r="U2796" s="226"/>
      <c r="V2796" s="226"/>
      <c r="W2796" s="227"/>
      <c r="X2796" s="220"/>
      <c r="Z2796" s="227"/>
      <c r="AA2796" s="220"/>
      <c r="AB2796" s="221"/>
      <c r="AC2796" s="229"/>
      <c r="AD2796" s="230"/>
      <c r="AE2796" s="230"/>
      <c r="AF2796" s="230"/>
      <c r="AG2796" s="227"/>
    </row>
    <row r="2797" spans="1:33" x14ac:dyDescent="0.25">
      <c r="A2797" s="32"/>
      <c r="B2797" s="306"/>
      <c r="C2797" s="307"/>
      <c r="D2797" s="312"/>
      <c r="E2797" s="301"/>
      <c r="F2797" s="232"/>
      <c r="J2797" s="306"/>
      <c r="K2797" s="306"/>
      <c r="L2797" s="313"/>
      <c r="M2797" s="219"/>
      <c r="N2797" s="218"/>
      <c r="S2797" s="224"/>
      <c r="T2797" s="228"/>
      <c r="U2797" s="226"/>
      <c r="V2797" s="226"/>
      <c r="W2797" s="227"/>
      <c r="X2797" s="220"/>
      <c r="Z2797" s="227"/>
      <c r="AA2797" s="220"/>
      <c r="AB2797" s="221"/>
      <c r="AC2797" s="229"/>
      <c r="AD2797" s="230"/>
      <c r="AE2797" s="230"/>
      <c r="AF2797" s="230"/>
      <c r="AG2797" s="227"/>
    </row>
    <row r="2798" spans="1:33" x14ac:dyDescent="0.25">
      <c r="A2798" s="32"/>
      <c r="B2798" s="306"/>
      <c r="C2798" s="307"/>
      <c r="D2798" s="312"/>
      <c r="E2798" s="301"/>
      <c r="F2798" s="232"/>
      <c r="J2798" s="306"/>
      <c r="K2798" s="306"/>
      <c r="L2798" s="313"/>
      <c r="M2798" s="219"/>
      <c r="N2798" s="218"/>
      <c r="S2798" s="224"/>
      <c r="T2798" s="228"/>
      <c r="U2798" s="226"/>
      <c r="V2798" s="226"/>
      <c r="W2798" s="227"/>
      <c r="X2798" s="220"/>
      <c r="Z2798" s="227"/>
      <c r="AA2798" s="220"/>
      <c r="AB2798" s="221"/>
      <c r="AC2798" s="229"/>
      <c r="AD2798" s="230"/>
      <c r="AE2798" s="230"/>
      <c r="AF2798" s="230"/>
      <c r="AG2798" s="227"/>
    </row>
    <row r="2799" spans="1:33" x14ac:dyDescent="0.25">
      <c r="A2799" s="32"/>
      <c r="B2799" s="306"/>
      <c r="C2799" s="307"/>
      <c r="D2799" s="312"/>
      <c r="E2799" s="301"/>
      <c r="F2799" s="232"/>
      <c r="J2799" s="306"/>
      <c r="K2799" s="306"/>
      <c r="L2799" s="313"/>
      <c r="M2799" s="219"/>
      <c r="N2799" s="218"/>
      <c r="S2799" s="224"/>
      <c r="T2799" s="228"/>
      <c r="U2799" s="226"/>
      <c r="V2799" s="226"/>
      <c r="W2799" s="227"/>
      <c r="X2799" s="220"/>
      <c r="Z2799" s="227"/>
      <c r="AA2799" s="220"/>
      <c r="AB2799" s="221"/>
      <c r="AC2799" s="229"/>
      <c r="AD2799" s="230"/>
      <c r="AE2799" s="230"/>
      <c r="AF2799" s="230"/>
      <c r="AG2799" s="227"/>
    </row>
    <row r="2800" spans="1:33" x14ac:dyDescent="0.25">
      <c r="A2800" s="32"/>
      <c r="B2800" s="306"/>
      <c r="C2800" s="307"/>
      <c r="D2800" s="312"/>
      <c r="E2800" s="301"/>
      <c r="F2800" s="232"/>
      <c r="J2800" s="306"/>
      <c r="K2800" s="306"/>
      <c r="L2800" s="313"/>
      <c r="M2800" s="219"/>
      <c r="N2800" s="218"/>
      <c r="S2800" s="224"/>
      <c r="T2800" s="228"/>
      <c r="U2800" s="226"/>
      <c r="V2800" s="226"/>
      <c r="W2800" s="227"/>
      <c r="X2800" s="220"/>
      <c r="Z2800" s="227"/>
      <c r="AA2800" s="220"/>
      <c r="AB2800" s="221"/>
      <c r="AC2800" s="229"/>
      <c r="AD2800" s="230"/>
      <c r="AE2800" s="230"/>
      <c r="AF2800" s="230"/>
      <c r="AG2800" s="227"/>
    </row>
    <row r="2801" spans="1:33" x14ac:dyDescent="0.25">
      <c r="A2801" s="32"/>
      <c r="B2801" s="306"/>
      <c r="C2801" s="307"/>
      <c r="D2801" s="312"/>
      <c r="E2801" s="301"/>
      <c r="F2801" s="232"/>
      <c r="J2801" s="306"/>
      <c r="K2801" s="306"/>
      <c r="L2801" s="313"/>
      <c r="M2801" s="219"/>
      <c r="N2801" s="218"/>
      <c r="S2801" s="224"/>
      <c r="T2801" s="228"/>
      <c r="U2801" s="226"/>
      <c r="V2801" s="226"/>
      <c r="W2801" s="227"/>
      <c r="X2801" s="220"/>
      <c r="Z2801" s="227"/>
      <c r="AA2801" s="220"/>
      <c r="AB2801" s="221"/>
      <c r="AC2801" s="229"/>
      <c r="AD2801" s="230"/>
      <c r="AE2801" s="230"/>
      <c r="AF2801" s="230"/>
      <c r="AG2801" s="227"/>
    </row>
    <row r="2802" spans="1:33" x14ac:dyDescent="0.25">
      <c r="A2802" s="32"/>
      <c r="B2802" s="306"/>
      <c r="C2802" s="307"/>
      <c r="D2802" s="312"/>
      <c r="E2802" s="301"/>
      <c r="F2802" s="232"/>
      <c r="J2802" s="306"/>
      <c r="K2802" s="306"/>
      <c r="L2802" s="313"/>
      <c r="M2802" s="219"/>
      <c r="N2802" s="218"/>
      <c r="S2802" s="224"/>
      <c r="T2802" s="228"/>
      <c r="U2802" s="226"/>
      <c r="V2802" s="226"/>
      <c r="W2802" s="227"/>
      <c r="X2802" s="220"/>
      <c r="Z2802" s="227"/>
      <c r="AA2802" s="220"/>
      <c r="AB2802" s="221"/>
      <c r="AC2802" s="229"/>
      <c r="AD2802" s="230"/>
      <c r="AE2802" s="230"/>
      <c r="AF2802" s="230"/>
      <c r="AG2802" s="227"/>
    </row>
    <row r="2803" spans="1:33" x14ac:dyDescent="0.25">
      <c r="A2803" s="32"/>
      <c r="B2803" s="306"/>
      <c r="C2803" s="307"/>
      <c r="D2803" s="312"/>
      <c r="E2803" s="301"/>
      <c r="F2803" s="232"/>
      <c r="J2803" s="306"/>
      <c r="K2803" s="306"/>
      <c r="L2803" s="313"/>
      <c r="M2803" s="219"/>
      <c r="N2803" s="218"/>
      <c r="S2803" s="224"/>
      <c r="T2803" s="228"/>
      <c r="U2803" s="226"/>
      <c r="V2803" s="226"/>
      <c r="W2803" s="227"/>
      <c r="X2803" s="220"/>
      <c r="Z2803" s="227"/>
      <c r="AA2803" s="220"/>
      <c r="AB2803" s="221"/>
      <c r="AC2803" s="229"/>
      <c r="AD2803" s="230"/>
      <c r="AE2803" s="230"/>
      <c r="AF2803" s="230"/>
      <c r="AG2803" s="227"/>
    </row>
    <row r="2804" spans="1:33" x14ac:dyDescent="0.25">
      <c r="A2804" s="32"/>
      <c r="B2804" s="306"/>
      <c r="C2804" s="307"/>
      <c r="D2804" s="312"/>
      <c r="E2804" s="301"/>
      <c r="F2804" s="232"/>
      <c r="J2804" s="306"/>
      <c r="K2804" s="306"/>
      <c r="L2804" s="313"/>
      <c r="M2804" s="219"/>
      <c r="N2804" s="218"/>
      <c r="S2804" s="224"/>
      <c r="T2804" s="228"/>
      <c r="U2804" s="226"/>
      <c r="V2804" s="226"/>
      <c r="W2804" s="227"/>
      <c r="X2804" s="220"/>
      <c r="Z2804" s="227"/>
      <c r="AA2804" s="220"/>
      <c r="AB2804" s="221"/>
      <c r="AC2804" s="229"/>
      <c r="AD2804" s="230"/>
      <c r="AE2804" s="230"/>
      <c r="AF2804" s="230"/>
      <c r="AG2804" s="227"/>
    </row>
    <row r="2805" spans="1:33" x14ac:dyDescent="0.25">
      <c r="A2805" s="32"/>
      <c r="B2805" s="306"/>
      <c r="C2805" s="307"/>
      <c r="D2805" s="312"/>
      <c r="E2805" s="301"/>
      <c r="F2805" s="232"/>
      <c r="J2805" s="306"/>
      <c r="K2805" s="306"/>
      <c r="L2805" s="313"/>
      <c r="M2805" s="219"/>
      <c r="N2805" s="218"/>
      <c r="S2805" s="224"/>
      <c r="T2805" s="228"/>
      <c r="U2805" s="226"/>
      <c r="V2805" s="226"/>
      <c r="W2805" s="227"/>
      <c r="X2805" s="220"/>
      <c r="Z2805" s="227"/>
      <c r="AA2805" s="220"/>
      <c r="AB2805" s="221"/>
      <c r="AC2805" s="229"/>
      <c r="AD2805" s="230"/>
      <c r="AE2805" s="230"/>
      <c r="AF2805" s="230"/>
      <c r="AG2805" s="227"/>
    </row>
    <row r="2806" spans="1:33" x14ac:dyDescent="0.25">
      <c r="A2806" s="32"/>
      <c r="B2806" s="306"/>
      <c r="C2806" s="307"/>
      <c r="D2806" s="312"/>
      <c r="E2806" s="301"/>
      <c r="F2806" s="232"/>
      <c r="J2806" s="306"/>
      <c r="K2806" s="306"/>
      <c r="L2806" s="313"/>
      <c r="M2806" s="219"/>
      <c r="N2806" s="218"/>
      <c r="S2806" s="224"/>
      <c r="T2806" s="228"/>
      <c r="U2806" s="226"/>
      <c r="V2806" s="226"/>
      <c r="W2806" s="227"/>
      <c r="X2806" s="220"/>
      <c r="Z2806" s="227"/>
      <c r="AA2806" s="220"/>
      <c r="AB2806" s="221"/>
      <c r="AC2806" s="229"/>
      <c r="AD2806" s="230"/>
      <c r="AE2806" s="230"/>
      <c r="AF2806" s="230"/>
      <c r="AG2806" s="227"/>
    </row>
    <row r="2807" spans="1:33" x14ac:dyDescent="0.25">
      <c r="A2807" s="32"/>
      <c r="B2807" s="306"/>
      <c r="C2807" s="307"/>
      <c r="D2807" s="312"/>
      <c r="E2807" s="301"/>
      <c r="F2807" s="232"/>
      <c r="J2807" s="306"/>
      <c r="K2807" s="306"/>
      <c r="L2807" s="313"/>
      <c r="M2807" s="219"/>
      <c r="N2807" s="218"/>
      <c r="S2807" s="224"/>
      <c r="T2807" s="228"/>
      <c r="U2807" s="226"/>
      <c r="V2807" s="226"/>
      <c r="W2807" s="227"/>
      <c r="X2807" s="220"/>
      <c r="Z2807" s="227"/>
      <c r="AA2807" s="220"/>
      <c r="AB2807" s="221"/>
      <c r="AC2807" s="229"/>
      <c r="AD2807" s="230"/>
      <c r="AE2807" s="230"/>
      <c r="AF2807" s="230"/>
      <c r="AG2807" s="227"/>
    </row>
    <row r="2808" spans="1:33" x14ac:dyDescent="0.25">
      <c r="A2808" s="32"/>
      <c r="B2808" s="306"/>
      <c r="C2808" s="307"/>
      <c r="D2808" s="312"/>
      <c r="E2808" s="301"/>
      <c r="F2808" s="232"/>
      <c r="J2808" s="306"/>
      <c r="K2808" s="306"/>
      <c r="L2808" s="313"/>
      <c r="M2808" s="219"/>
      <c r="N2808" s="218"/>
      <c r="S2808" s="224"/>
      <c r="T2808" s="228"/>
      <c r="U2808" s="226"/>
      <c r="V2808" s="226"/>
      <c r="W2808" s="227"/>
      <c r="X2808" s="220"/>
      <c r="Z2808" s="227"/>
      <c r="AA2808" s="220"/>
      <c r="AB2808" s="221"/>
      <c r="AC2808" s="229"/>
      <c r="AD2808" s="230"/>
      <c r="AE2808" s="230"/>
      <c r="AF2808" s="230"/>
      <c r="AG2808" s="227"/>
    </row>
    <row r="2809" spans="1:33" x14ac:dyDescent="0.25">
      <c r="A2809" s="32"/>
      <c r="B2809" s="306"/>
      <c r="C2809" s="307"/>
      <c r="D2809" s="312"/>
      <c r="E2809" s="301"/>
      <c r="F2809" s="232"/>
      <c r="J2809" s="306"/>
      <c r="K2809" s="306"/>
      <c r="L2809" s="313"/>
      <c r="M2809" s="219"/>
      <c r="N2809" s="218"/>
      <c r="S2809" s="224"/>
      <c r="T2809" s="228"/>
      <c r="U2809" s="226"/>
      <c r="V2809" s="226"/>
      <c r="W2809" s="227"/>
      <c r="X2809" s="220"/>
      <c r="Z2809" s="227"/>
      <c r="AA2809" s="220"/>
      <c r="AB2809" s="221"/>
      <c r="AC2809" s="229"/>
      <c r="AD2809" s="230"/>
      <c r="AE2809" s="230"/>
      <c r="AF2809" s="230"/>
      <c r="AG2809" s="227"/>
    </row>
    <row r="2810" spans="1:33" x14ac:dyDescent="0.25">
      <c r="A2810" s="32"/>
      <c r="B2810" s="306"/>
      <c r="C2810" s="307"/>
      <c r="D2810" s="312"/>
      <c r="E2810" s="301"/>
      <c r="F2810" s="232"/>
      <c r="J2810" s="306"/>
      <c r="K2810" s="306"/>
      <c r="L2810" s="313"/>
      <c r="M2810" s="219"/>
      <c r="N2810" s="218"/>
      <c r="S2810" s="224"/>
      <c r="T2810" s="228"/>
      <c r="U2810" s="226"/>
      <c r="V2810" s="226"/>
      <c r="W2810" s="227"/>
      <c r="X2810" s="220"/>
      <c r="Z2810" s="227"/>
      <c r="AA2810" s="220"/>
      <c r="AB2810" s="221"/>
      <c r="AC2810" s="229"/>
      <c r="AD2810" s="230"/>
      <c r="AE2810" s="230"/>
      <c r="AF2810" s="230"/>
      <c r="AG2810" s="227"/>
    </row>
    <row r="2811" spans="1:33" x14ac:dyDescent="0.25">
      <c r="A2811" s="32"/>
      <c r="B2811" s="306"/>
      <c r="C2811" s="307"/>
      <c r="D2811" s="312"/>
      <c r="E2811" s="301"/>
      <c r="F2811" s="232"/>
      <c r="J2811" s="306"/>
      <c r="K2811" s="306"/>
      <c r="L2811" s="313"/>
      <c r="M2811" s="219"/>
      <c r="N2811" s="218"/>
      <c r="S2811" s="224"/>
      <c r="T2811" s="228"/>
      <c r="U2811" s="226"/>
      <c r="V2811" s="226"/>
      <c r="W2811" s="227"/>
      <c r="X2811" s="220"/>
      <c r="Z2811" s="227"/>
      <c r="AA2811" s="220"/>
      <c r="AB2811" s="221"/>
      <c r="AC2811" s="229"/>
      <c r="AD2811" s="230"/>
      <c r="AE2811" s="230"/>
      <c r="AF2811" s="230"/>
      <c r="AG2811" s="227"/>
    </row>
    <row r="2812" spans="1:33" x14ac:dyDescent="0.25">
      <c r="A2812" s="32"/>
      <c r="B2812" s="306"/>
      <c r="C2812" s="307"/>
      <c r="D2812" s="312"/>
      <c r="E2812" s="301"/>
      <c r="F2812" s="232"/>
      <c r="J2812" s="306"/>
      <c r="K2812" s="306"/>
      <c r="L2812" s="313"/>
      <c r="M2812" s="219"/>
      <c r="N2812" s="218"/>
      <c r="S2812" s="224"/>
      <c r="T2812" s="228"/>
      <c r="U2812" s="226"/>
      <c r="V2812" s="226"/>
      <c r="W2812" s="227"/>
      <c r="X2812" s="220"/>
      <c r="Z2812" s="227"/>
      <c r="AA2812" s="220"/>
      <c r="AB2812" s="221"/>
      <c r="AC2812" s="229"/>
      <c r="AD2812" s="230"/>
      <c r="AE2812" s="230"/>
      <c r="AF2812" s="230"/>
      <c r="AG2812" s="227"/>
    </row>
    <row r="2813" spans="1:33" x14ac:dyDescent="0.25">
      <c r="A2813" s="32"/>
      <c r="B2813" s="306"/>
      <c r="C2813" s="307"/>
      <c r="D2813" s="312"/>
      <c r="E2813" s="301"/>
      <c r="F2813" s="232"/>
      <c r="J2813" s="306"/>
      <c r="K2813" s="306"/>
      <c r="L2813" s="313"/>
      <c r="M2813" s="219"/>
      <c r="N2813" s="218"/>
      <c r="S2813" s="224"/>
      <c r="T2813" s="228"/>
      <c r="U2813" s="226"/>
      <c r="V2813" s="226"/>
      <c r="W2813" s="227"/>
      <c r="X2813" s="220"/>
      <c r="Z2813" s="227"/>
      <c r="AA2813" s="220"/>
      <c r="AB2813" s="221"/>
      <c r="AC2813" s="229"/>
      <c r="AD2813" s="230"/>
      <c r="AE2813" s="230"/>
      <c r="AF2813" s="230"/>
      <c r="AG2813" s="227"/>
    </row>
    <row r="2814" spans="1:33" x14ac:dyDescent="0.25">
      <c r="A2814" s="32"/>
      <c r="B2814" s="306"/>
      <c r="C2814" s="307"/>
      <c r="D2814" s="312"/>
      <c r="E2814" s="301"/>
      <c r="F2814" s="232"/>
      <c r="J2814" s="306"/>
      <c r="K2814" s="306"/>
      <c r="L2814" s="313"/>
      <c r="M2814" s="219"/>
      <c r="N2814" s="218"/>
      <c r="S2814" s="224"/>
      <c r="T2814" s="228"/>
      <c r="U2814" s="226"/>
      <c r="V2814" s="226"/>
      <c r="W2814" s="227"/>
      <c r="X2814" s="220"/>
      <c r="Z2814" s="227"/>
      <c r="AA2814" s="220"/>
      <c r="AB2814" s="221"/>
      <c r="AC2814" s="229"/>
      <c r="AD2814" s="230"/>
      <c r="AE2814" s="230"/>
      <c r="AF2814" s="230"/>
      <c r="AG2814" s="227"/>
    </row>
    <row r="2815" spans="1:33" x14ac:dyDescent="0.25">
      <c r="A2815" s="32"/>
      <c r="B2815" s="306"/>
      <c r="C2815" s="307"/>
      <c r="D2815" s="312"/>
      <c r="E2815" s="301"/>
      <c r="F2815" s="232"/>
      <c r="J2815" s="306"/>
      <c r="K2815" s="306"/>
      <c r="L2815" s="313"/>
      <c r="M2815" s="219"/>
      <c r="N2815" s="218"/>
      <c r="S2815" s="224"/>
      <c r="T2815" s="228"/>
      <c r="U2815" s="226"/>
      <c r="V2815" s="226"/>
      <c r="W2815" s="227"/>
      <c r="X2815" s="220"/>
      <c r="Z2815" s="227"/>
      <c r="AA2815" s="220"/>
      <c r="AB2815" s="221"/>
      <c r="AC2815" s="229"/>
      <c r="AD2815" s="230"/>
      <c r="AE2815" s="230"/>
      <c r="AF2815" s="230"/>
      <c r="AG2815" s="227"/>
    </row>
    <row r="2816" spans="1:33" x14ac:dyDescent="0.25">
      <c r="A2816" s="32"/>
      <c r="B2816" s="306"/>
      <c r="C2816" s="307"/>
      <c r="D2816" s="312"/>
      <c r="E2816" s="301"/>
      <c r="F2816" s="232"/>
      <c r="J2816" s="306"/>
      <c r="K2816" s="306"/>
      <c r="L2816" s="313"/>
      <c r="M2816" s="219"/>
      <c r="N2816" s="218"/>
      <c r="S2816" s="224"/>
      <c r="T2816" s="228"/>
      <c r="U2816" s="226"/>
      <c r="V2816" s="226"/>
      <c r="W2816" s="227"/>
      <c r="X2816" s="220"/>
      <c r="Z2816" s="227"/>
      <c r="AA2816" s="220"/>
      <c r="AB2816" s="221"/>
      <c r="AC2816" s="229"/>
      <c r="AD2816" s="230"/>
      <c r="AE2816" s="230"/>
      <c r="AF2816" s="230"/>
      <c r="AG2816" s="227"/>
    </row>
    <row r="2817" spans="1:33" x14ac:dyDescent="0.25">
      <c r="A2817" s="32"/>
      <c r="B2817" s="306"/>
      <c r="C2817" s="307"/>
      <c r="D2817" s="312"/>
      <c r="E2817" s="301"/>
      <c r="F2817" s="232"/>
      <c r="J2817" s="306"/>
      <c r="K2817" s="306"/>
      <c r="L2817" s="313"/>
      <c r="M2817" s="219"/>
      <c r="N2817" s="218"/>
      <c r="S2817" s="224"/>
      <c r="T2817" s="228"/>
      <c r="U2817" s="226"/>
      <c r="V2817" s="226"/>
      <c r="W2817" s="227"/>
      <c r="X2817" s="220"/>
      <c r="Z2817" s="227"/>
      <c r="AA2817" s="220"/>
      <c r="AB2817" s="221"/>
      <c r="AC2817" s="229"/>
      <c r="AD2817" s="230"/>
      <c r="AE2817" s="230"/>
      <c r="AF2817" s="230"/>
      <c r="AG2817" s="227"/>
    </row>
    <row r="2818" spans="1:33" x14ac:dyDescent="0.25">
      <c r="A2818" s="32"/>
      <c r="B2818" s="306"/>
      <c r="C2818" s="307"/>
      <c r="D2818" s="312"/>
      <c r="E2818" s="301"/>
      <c r="F2818" s="232"/>
      <c r="J2818" s="306"/>
      <c r="K2818" s="306"/>
      <c r="L2818" s="313"/>
      <c r="M2818" s="219"/>
      <c r="N2818" s="218"/>
      <c r="S2818" s="224"/>
      <c r="T2818" s="228"/>
      <c r="U2818" s="226"/>
      <c r="V2818" s="226"/>
      <c r="W2818" s="227"/>
      <c r="X2818" s="220"/>
      <c r="Z2818" s="227"/>
      <c r="AA2818" s="220"/>
      <c r="AB2818" s="221"/>
      <c r="AC2818" s="229"/>
      <c r="AD2818" s="230"/>
      <c r="AE2818" s="230"/>
      <c r="AF2818" s="230"/>
      <c r="AG2818" s="227"/>
    </row>
    <row r="2819" spans="1:33" x14ac:dyDescent="0.25">
      <c r="A2819" s="32"/>
      <c r="B2819" s="306"/>
      <c r="C2819" s="307"/>
      <c r="D2819" s="312"/>
      <c r="E2819" s="301"/>
      <c r="F2819" s="232"/>
      <c r="J2819" s="306"/>
      <c r="K2819" s="306"/>
      <c r="L2819" s="313"/>
      <c r="M2819" s="219"/>
      <c r="N2819" s="218"/>
      <c r="S2819" s="224"/>
      <c r="T2819" s="228"/>
      <c r="U2819" s="226"/>
      <c r="V2819" s="226"/>
      <c r="W2819" s="227"/>
      <c r="X2819" s="220"/>
      <c r="Z2819" s="227"/>
      <c r="AA2819" s="220"/>
      <c r="AB2819" s="221"/>
      <c r="AC2819" s="229"/>
      <c r="AD2819" s="230"/>
      <c r="AE2819" s="230"/>
      <c r="AF2819" s="230"/>
      <c r="AG2819" s="227"/>
    </row>
    <row r="2820" spans="1:33" x14ac:dyDescent="0.25">
      <c r="A2820" s="32"/>
      <c r="B2820" s="306"/>
      <c r="C2820" s="307"/>
      <c r="D2820" s="312"/>
      <c r="E2820" s="301"/>
      <c r="F2820" s="232"/>
      <c r="J2820" s="306"/>
      <c r="K2820" s="306"/>
      <c r="L2820" s="313"/>
      <c r="M2820" s="219"/>
      <c r="N2820" s="218"/>
      <c r="S2820" s="224"/>
      <c r="T2820" s="228"/>
      <c r="U2820" s="226"/>
      <c r="V2820" s="226"/>
      <c r="W2820" s="227"/>
      <c r="X2820" s="220"/>
      <c r="Z2820" s="227"/>
      <c r="AA2820" s="220"/>
      <c r="AB2820" s="221"/>
      <c r="AC2820" s="229"/>
      <c r="AD2820" s="230"/>
      <c r="AE2820" s="230"/>
      <c r="AF2820" s="230"/>
      <c r="AG2820" s="227"/>
    </row>
    <row r="2821" spans="1:33" x14ac:dyDescent="0.25">
      <c r="A2821" s="32"/>
      <c r="B2821" s="306"/>
      <c r="C2821" s="307"/>
      <c r="D2821" s="312"/>
      <c r="E2821" s="301"/>
      <c r="F2821" s="232"/>
      <c r="J2821" s="306"/>
      <c r="K2821" s="306"/>
      <c r="L2821" s="313"/>
      <c r="M2821" s="219"/>
      <c r="N2821" s="218"/>
      <c r="S2821" s="224"/>
      <c r="T2821" s="228"/>
      <c r="U2821" s="226"/>
      <c r="V2821" s="226"/>
      <c r="W2821" s="227"/>
      <c r="X2821" s="220"/>
      <c r="Z2821" s="227"/>
      <c r="AA2821" s="220"/>
      <c r="AB2821" s="221"/>
      <c r="AC2821" s="229"/>
      <c r="AD2821" s="230"/>
      <c r="AE2821" s="230"/>
      <c r="AF2821" s="230"/>
      <c r="AG2821" s="227"/>
    </row>
    <row r="2822" spans="1:33" x14ac:dyDescent="0.25">
      <c r="A2822" s="32"/>
      <c r="B2822" s="306"/>
      <c r="C2822" s="307"/>
      <c r="D2822" s="312"/>
      <c r="E2822" s="301"/>
      <c r="F2822" s="232"/>
      <c r="J2822" s="306"/>
      <c r="K2822" s="306"/>
      <c r="L2822" s="313"/>
      <c r="M2822" s="219"/>
      <c r="N2822" s="218"/>
      <c r="S2822" s="224"/>
      <c r="T2822" s="228"/>
      <c r="U2822" s="226"/>
      <c r="V2822" s="226"/>
      <c r="W2822" s="227"/>
      <c r="X2822" s="220"/>
      <c r="Z2822" s="227"/>
      <c r="AA2822" s="220"/>
      <c r="AB2822" s="221"/>
      <c r="AC2822" s="229"/>
      <c r="AD2822" s="230"/>
      <c r="AE2822" s="230"/>
      <c r="AF2822" s="230"/>
      <c r="AG2822" s="227"/>
    </row>
    <row r="2823" spans="1:33" x14ac:dyDescent="0.25">
      <c r="A2823" s="32"/>
      <c r="B2823" s="306"/>
      <c r="C2823" s="307"/>
      <c r="D2823" s="312"/>
      <c r="E2823" s="301"/>
      <c r="F2823" s="232"/>
      <c r="J2823" s="306"/>
      <c r="K2823" s="306"/>
      <c r="L2823" s="313"/>
      <c r="M2823" s="219"/>
      <c r="N2823" s="218"/>
      <c r="S2823" s="224"/>
      <c r="T2823" s="228"/>
      <c r="U2823" s="226"/>
      <c r="V2823" s="226"/>
      <c r="W2823" s="227"/>
      <c r="X2823" s="220"/>
      <c r="Z2823" s="227"/>
      <c r="AA2823" s="220"/>
      <c r="AB2823" s="221"/>
      <c r="AC2823" s="229"/>
      <c r="AD2823" s="230"/>
      <c r="AE2823" s="230"/>
      <c r="AF2823" s="230"/>
      <c r="AG2823" s="227"/>
    </row>
    <row r="2824" spans="1:33" x14ac:dyDescent="0.25">
      <c r="A2824" s="32"/>
      <c r="B2824" s="306"/>
      <c r="C2824" s="307"/>
      <c r="D2824" s="312"/>
      <c r="E2824" s="301"/>
      <c r="F2824" s="232"/>
      <c r="J2824" s="306"/>
      <c r="K2824" s="306"/>
      <c r="L2824" s="313"/>
      <c r="M2824" s="219"/>
      <c r="N2824" s="218"/>
      <c r="S2824" s="224"/>
      <c r="T2824" s="228"/>
      <c r="U2824" s="226"/>
      <c r="V2824" s="226"/>
      <c r="W2824" s="227"/>
      <c r="X2824" s="220"/>
      <c r="Z2824" s="227"/>
      <c r="AA2824" s="220"/>
      <c r="AB2824" s="221"/>
      <c r="AC2824" s="229"/>
      <c r="AD2824" s="230"/>
      <c r="AE2824" s="230"/>
      <c r="AF2824" s="230"/>
      <c r="AG2824" s="227"/>
    </row>
    <row r="2825" spans="1:33" x14ac:dyDescent="0.25">
      <c r="A2825" s="32"/>
      <c r="B2825" s="306"/>
      <c r="C2825" s="307"/>
      <c r="D2825" s="312"/>
      <c r="E2825" s="301"/>
      <c r="F2825" s="232"/>
      <c r="J2825" s="306"/>
      <c r="K2825" s="306"/>
      <c r="L2825" s="313"/>
      <c r="M2825" s="219"/>
      <c r="N2825" s="218"/>
      <c r="S2825" s="224"/>
      <c r="T2825" s="228"/>
      <c r="U2825" s="226"/>
      <c r="V2825" s="226"/>
      <c r="W2825" s="227"/>
      <c r="X2825" s="220"/>
      <c r="Z2825" s="227"/>
      <c r="AA2825" s="220"/>
      <c r="AB2825" s="221"/>
      <c r="AC2825" s="229"/>
      <c r="AD2825" s="230"/>
      <c r="AE2825" s="230"/>
      <c r="AF2825" s="230"/>
      <c r="AG2825" s="227"/>
    </row>
    <row r="2826" spans="1:33" x14ac:dyDescent="0.25">
      <c r="A2826" s="32"/>
      <c r="B2826" s="306"/>
      <c r="C2826" s="307"/>
      <c r="D2826" s="312"/>
      <c r="E2826" s="301"/>
      <c r="F2826" s="232"/>
      <c r="J2826" s="306"/>
      <c r="K2826" s="306"/>
      <c r="L2826" s="313"/>
      <c r="M2826" s="219"/>
      <c r="N2826" s="218"/>
      <c r="S2826" s="224"/>
      <c r="T2826" s="228"/>
      <c r="U2826" s="226"/>
      <c r="V2826" s="226"/>
      <c r="W2826" s="227"/>
      <c r="X2826" s="220"/>
      <c r="Z2826" s="227"/>
      <c r="AA2826" s="220"/>
      <c r="AB2826" s="221"/>
      <c r="AC2826" s="229"/>
      <c r="AD2826" s="230"/>
      <c r="AE2826" s="230"/>
      <c r="AF2826" s="230"/>
      <c r="AG2826" s="227"/>
    </row>
    <row r="2827" spans="1:33" x14ac:dyDescent="0.25">
      <c r="A2827" s="32"/>
      <c r="B2827" s="306"/>
      <c r="C2827" s="307"/>
      <c r="D2827" s="312"/>
      <c r="E2827" s="301"/>
      <c r="F2827" s="232"/>
      <c r="J2827" s="306"/>
      <c r="K2827" s="306"/>
      <c r="L2827" s="313"/>
      <c r="M2827" s="219"/>
      <c r="N2827" s="218"/>
      <c r="S2827" s="224"/>
      <c r="T2827" s="228"/>
      <c r="U2827" s="226"/>
      <c r="V2827" s="226"/>
      <c r="W2827" s="227"/>
      <c r="X2827" s="220"/>
      <c r="Z2827" s="227"/>
      <c r="AA2827" s="220"/>
      <c r="AB2827" s="221"/>
      <c r="AC2827" s="229"/>
      <c r="AD2827" s="230"/>
      <c r="AE2827" s="230"/>
      <c r="AF2827" s="230"/>
      <c r="AG2827" s="227"/>
    </row>
    <row r="2828" spans="1:33" x14ac:dyDescent="0.25">
      <c r="A2828" s="32"/>
      <c r="B2828" s="306"/>
      <c r="C2828" s="307"/>
      <c r="D2828" s="312"/>
      <c r="E2828" s="301"/>
      <c r="F2828" s="232"/>
      <c r="J2828" s="306"/>
      <c r="K2828" s="306"/>
      <c r="L2828" s="313"/>
      <c r="M2828" s="219"/>
      <c r="N2828" s="218"/>
      <c r="S2828" s="224"/>
      <c r="T2828" s="228"/>
      <c r="U2828" s="226"/>
      <c r="V2828" s="226"/>
      <c r="W2828" s="227"/>
      <c r="X2828" s="220"/>
      <c r="Z2828" s="227"/>
      <c r="AA2828" s="220"/>
      <c r="AB2828" s="221"/>
      <c r="AC2828" s="229"/>
      <c r="AD2828" s="230"/>
      <c r="AE2828" s="230"/>
      <c r="AF2828" s="230"/>
      <c r="AG2828" s="227"/>
    </row>
    <row r="2829" spans="1:33" x14ac:dyDescent="0.25">
      <c r="A2829" s="32"/>
      <c r="B2829" s="306"/>
      <c r="C2829" s="307"/>
      <c r="D2829" s="312"/>
      <c r="E2829" s="301"/>
      <c r="F2829" s="232"/>
      <c r="J2829" s="306"/>
      <c r="K2829" s="306"/>
      <c r="L2829" s="313"/>
      <c r="M2829" s="219"/>
      <c r="N2829" s="218"/>
      <c r="S2829" s="224"/>
      <c r="T2829" s="228"/>
      <c r="U2829" s="226"/>
      <c r="V2829" s="226"/>
      <c r="W2829" s="227"/>
      <c r="X2829" s="220"/>
      <c r="Z2829" s="227"/>
      <c r="AA2829" s="220"/>
      <c r="AB2829" s="221"/>
      <c r="AC2829" s="229"/>
      <c r="AD2829" s="230"/>
      <c r="AE2829" s="230"/>
      <c r="AF2829" s="230"/>
      <c r="AG2829" s="227"/>
    </row>
    <row r="2830" spans="1:33" x14ac:dyDescent="0.25">
      <c r="A2830" s="32"/>
      <c r="B2830" s="306"/>
      <c r="C2830" s="307"/>
      <c r="D2830" s="312"/>
      <c r="E2830" s="301"/>
      <c r="F2830" s="232"/>
      <c r="J2830" s="306"/>
      <c r="K2830" s="306"/>
      <c r="L2830" s="313"/>
      <c r="M2830" s="219"/>
      <c r="N2830" s="218"/>
      <c r="S2830" s="224"/>
      <c r="T2830" s="228"/>
      <c r="U2830" s="226"/>
      <c r="V2830" s="226"/>
      <c r="W2830" s="227"/>
      <c r="X2830" s="220"/>
      <c r="Z2830" s="227"/>
      <c r="AA2830" s="220"/>
      <c r="AB2830" s="221"/>
      <c r="AC2830" s="229"/>
      <c r="AD2830" s="230"/>
      <c r="AE2830" s="230"/>
      <c r="AF2830" s="230"/>
      <c r="AG2830" s="227"/>
    </row>
    <row r="2831" spans="1:33" x14ac:dyDescent="0.25">
      <c r="A2831" s="32"/>
      <c r="B2831" s="306"/>
      <c r="C2831" s="307"/>
      <c r="D2831" s="312"/>
      <c r="E2831" s="301"/>
      <c r="F2831" s="232"/>
      <c r="J2831" s="306"/>
      <c r="K2831" s="306"/>
      <c r="L2831" s="313"/>
      <c r="M2831" s="219"/>
      <c r="N2831" s="218"/>
      <c r="S2831" s="224"/>
      <c r="T2831" s="228"/>
      <c r="U2831" s="226"/>
      <c r="V2831" s="226"/>
      <c r="W2831" s="227"/>
      <c r="X2831" s="220"/>
      <c r="Z2831" s="227"/>
      <c r="AA2831" s="220"/>
      <c r="AB2831" s="221"/>
      <c r="AC2831" s="229"/>
      <c r="AD2831" s="230"/>
      <c r="AE2831" s="230"/>
      <c r="AF2831" s="230"/>
      <c r="AG2831" s="227"/>
    </row>
    <row r="2832" spans="1:33" x14ac:dyDescent="0.25">
      <c r="A2832" s="32"/>
      <c r="B2832" s="306"/>
      <c r="C2832" s="307"/>
      <c r="D2832" s="312"/>
      <c r="E2832" s="301"/>
      <c r="F2832" s="232"/>
      <c r="J2832" s="306"/>
      <c r="K2832" s="306"/>
      <c r="L2832" s="313"/>
      <c r="M2832" s="219"/>
      <c r="N2832" s="218"/>
      <c r="S2832" s="224"/>
      <c r="T2832" s="228"/>
      <c r="U2832" s="226"/>
      <c r="V2832" s="226"/>
      <c r="W2832" s="227"/>
      <c r="X2832" s="220"/>
      <c r="Z2832" s="227"/>
      <c r="AA2832" s="220"/>
      <c r="AB2832" s="221"/>
      <c r="AC2832" s="229"/>
      <c r="AD2832" s="230"/>
      <c r="AE2832" s="230"/>
      <c r="AF2832" s="230"/>
      <c r="AG2832" s="227"/>
    </row>
    <row r="2833" spans="1:33" x14ac:dyDescent="0.25">
      <c r="A2833" s="32"/>
      <c r="B2833" s="306"/>
      <c r="C2833" s="307"/>
      <c r="D2833" s="312"/>
      <c r="E2833" s="301"/>
      <c r="F2833" s="232"/>
      <c r="J2833" s="306"/>
      <c r="K2833" s="306"/>
      <c r="L2833" s="313"/>
      <c r="M2833" s="219"/>
      <c r="N2833" s="218"/>
      <c r="S2833" s="224"/>
      <c r="T2833" s="228"/>
      <c r="U2833" s="226"/>
      <c r="V2833" s="226"/>
      <c r="W2833" s="227"/>
      <c r="X2833" s="220"/>
      <c r="Z2833" s="227"/>
      <c r="AA2833" s="220"/>
      <c r="AB2833" s="221"/>
      <c r="AC2833" s="229"/>
      <c r="AD2833" s="230"/>
      <c r="AE2833" s="230"/>
      <c r="AF2833" s="230"/>
      <c r="AG2833" s="227"/>
    </row>
    <row r="2834" spans="1:33" x14ac:dyDescent="0.25">
      <c r="A2834" s="32"/>
      <c r="B2834" s="306"/>
      <c r="C2834" s="307"/>
      <c r="D2834" s="312"/>
      <c r="E2834" s="301"/>
      <c r="F2834" s="232"/>
      <c r="J2834" s="306"/>
      <c r="K2834" s="306"/>
      <c r="L2834" s="313"/>
      <c r="M2834" s="219"/>
      <c r="N2834" s="218"/>
      <c r="S2834" s="224"/>
      <c r="T2834" s="228"/>
      <c r="U2834" s="226"/>
      <c r="V2834" s="226"/>
      <c r="W2834" s="227"/>
      <c r="X2834" s="220"/>
      <c r="Z2834" s="227"/>
      <c r="AA2834" s="220"/>
      <c r="AB2834" s="221"/>
      <c r="AC2834" s="229"/>
      <c r="AD2834" s="230"/>
      <c r="AE2834" s="230"/>
      <c r="AF2834" s="230"/>
      <c r="AG2834" s="227"/>
    </row>
    <row r="2835" spans="1:33" x14ac:dyDescent="0.25">
      <c r="A2835" s="32"/>
      <c r="B2835" s="306"/>
      <c r="C2835" s="307"/>
      <c r="D2835" s="312"/>
      <c r="E2835" s="301"/>
      <c r="F2835" s="232"/>
      <c r="J2835" s="306"/>
      <c r="K2835" s="306"/>
      <c r="L2835" s="313"/>
      <c r="M2835" s="219"/>
      <c r="N2835" s="218"/>
      <c r="S2835" s="224"/>
      <c r="T2835" s="228"/>
      <c r="U2835" s="226"/>
      <c r="V2835" s="226"/>
      <c r="W2835" s="227"/>
      <c r="X2835" s="220"/>
      <c r="Z2835" s="227"/>
      <c r="AA2835" s="220"/>
      <c r="AB2835" s="221"/>
      <c r="AC2835" s="229"/>
      <c r="AD2835" s="230"/>
      <c r="AE2835" s="230"/>
      <c r="AF2835" s="230"/>
      <c r="AG2835" s="227"/>
    </row>
    <row r="2836" spans="1:33" x14ac:dyDescent="0.25">
      <c r="A2836" s="32"/>
      <c r="B2836" s="306"/>
      <c r="C2836" s="307"/>
      <c r="D2836" s="312"/>
      <c r="E2836" s="301"/>
      <c r="F2836" s="232"/>
      <c r="J2836" s="306"/>
      <c r="K2836" s="306"/>
      <c r="L2836" s="313"/>
      <c r="M2836" s="219"/>
      <c r="N2836" s="218"/>
      <c r="S2836" s="224"/>
      <c r="T2836" s="228"/>
      <c r="U2836" s="226"/>
      <c r="V2836" s="226"/>
      <c r="W2836" s="227"/>
      <c r="X2836" s="220"/>
      <c r="Z2836" s="227"/>
      <c r="AA2836" s="220"/>
      <c r="AB2836" s="221"/>
      <c r="AC2836" s="229"/>
      <c r="AD2836" s="230"/>
      <c r="AE2836" s="230"/>
      <c r="AF2836" s="230"/>
      <c r="AG2836" s="227"/>
    </row>
    <row r="2837" spans="1:33" x14ac:dyDescent="0.25">
      <c r="A2837" s="32"/>
      <c r="B2837" s="306"/>
      <c r="C2837" s="307"/>
      <c r="D2837" s="312"/>
      <c r="E2837" s="301"/>
      <c r="F2837" s="232"/>
      <c r="J2837" s="306"/>
      <c r="K2837" s="306"/>
      <c r="L2837" s="313"/>
      <c r="M2837" s="219"/>
      <c r="N2837" s="218"/>
      <c r="S2837" s="224"/>
      <c r="T2837" s="228"/>
      <c r="U2837" s="226"/>
      <c r="V2837" s="226"/>
      <c r="W2837" s="227"/>
      <c r="X2837" s="220"/>
      <c r="Z2837" s="227"/>
      <c r="AA2837" s="220"/>
      <c r="AB2837" s="221"/>
      <c r="AC2837" s="229"/>
      <c r="AD2837" s="230"/>
      <c r="AE2837" s="230"/>
      <c r="AF2837" s="230"/>
      <c r="AG2837" s="227"/>
    </row>
    <row r="2838" spans="1:33" x14ac:dyDescent="0.25">
      <c r="A2838" s="32"/>
      <c r="B2838" s="306"/>
      <c r="C2838" s="307"/>
      <c r="D2838" s="312"/>
      <c r="E2838" s="301"/>
      <c r="F2838" s="232"/>
      <c r="J2838" s="306"/>
      <c r="K2838" s="306"/>
      <c r="L2838" s="313"/>
      <c r="M2838" s="219"/>
      <c r="N2838" s="218"/>
      <c r="S2838" s="224"/>
      <c r="T2838" s="228"/>
      <c r="U2838" s="226"/>
      <c r="V2838" s="226"/>
      <c r="W2838" s="227"/>
      <c r="X2838" s="220"/>
      <c r="Z2838" s="227"/>
      <c r="AA2838" s="220"/>
      <c r="AB2838" s="221"/>
      <c r="AC2838" s="229"/>
      <c r="AD2838" s="230"/>
      <c r="AE2838" s="230"/>
      <c r="AF2838" s="230"/>
      <c r="AG2838" s="227"/>
    </row>
    <row r="2839" spans="1:33" x14ac:dyDescent="0.25">
      <c r="A2839" s="32"/>
      <c r="B2839" s="306"/>
      <c r="C2839" s="307"/>
      <c r="D2839" s="312"/>
      <c r="E2839" s="301"/>
      <c r="F2839" s="232"/>
      <c r="J2839" s="306"/>
      <c r="K2839" s="306"/>
      <c r="L2839" s="313"/>
      <c r="M2839" s="219"/>
      <c r="N2839" s="218"/>
      <c r="S2839" s="224"/>
      <c r="T2839" s="228"/>
      <c r="U2839" s="226"/>
      <c r="V2839" s="226"/>
      <c r="W2839" s="227"/>
      <c r="X2839" s="220"/>
      <c r="Z2839" s="227"/>
      <c r="AA2839" s="220"/>
      <c r="AB2839" s="221"/>
      <c r="AC2839" s="229"/>
      <c r="AD2839" s="230"/>
      <c r="AE2839" s="230"/>
      <c r="AF2839" s="230"/>
      <c r="AG2839" s="227"/>
    </row>
    <row r="2840" spans="1:33" x14ac:dyDescent="0.25">
      <c r="A2840" s="32"/>
      <c r="B2840" s="306"/>
      <c r="C2840" s="307"/>
      <c r="D2840" s="312"/>
      <c r="E2840" s="301"/>
      <c r="F2840" s="232"/>
      <c r="J2840" s="306"/>
      <c r="K2840" s="306"/>
      <c r="L2840" s="313"/>
      <c r="M2840" s="219"/>
      <c r="N2840" s="218"/>
      <c r="S2840" s="224"/>
      <c r="T2840" s="228"/>
      <c r="U2840" s="226"/>
      <c r="V2840" s="226"/>
      <c r="W2840" s="227"/>
      <c r="X2840" s="220"/>
      <c r="Z2840" s="227"/>
      <c r="AA2840" s="220"/>
      <c r="AB2840" s="221"/>
      <c r="AC2840" s="229"/>
      <c r="AD2840" s="230"/>
      <c r="AE2840" s="230"/>
      <c r="AF2840" s="230"/>
      <c r="AG2840" s="227"/>
    </row>
    <row r="2841" spans="1:33" x14ac:dyDescent="0.25">
      <c r="A2841" s="32"/>
      <c r="B2841" s="306"/>
      <c r="C2841" s="307"/>
      <c r="D2841" s="312"/>
      <c r="E2841" s="301"/>
      <c r="F2841" s="232"/>
      <c r="J2841" s="306"/>
      <c r="K2841" s="306"/>
      <c r="L2841" s="313"/>
      <c r="M2841" s="219"/>
      <c r="N2841" s="218"/>
      <c r="S2841" s="224"/>
      <c r="T2841" s="228"/>
      <c r="U2841" s="226"/>
      <c r="V2841" s="226"/>
      <c r="W2841" s="227"/>
      <c r="X2841" s="220"/>
      <c r="Z2841" s="227"/>
      <c r="AA2841" s="220"/>
      <c r="AB2841" s="221"/>
      <c r="AC2841" s="229"/>
      <c r="AD2841" s="230"/>
      <c r="AE2841" s="230"/>
      <c r="AF2841" s="230"/>
      <c r="AG2841" s="227"/>
    </row>
    <row r="2842" spans="1:33" x14ac:dyDescent="0.25">
      <c r="A2842" s="32"/>
      <c r="B2842" s="306"/>
      <c r="C2842" s="307"/>
      <c r="D2842" s="312"/>
      <c r="E2842" s="301"/>
      <c r="F2842" s="232"/>
      <c r="J2842" s="306"/>
      <c r="K2842" s="306"/>
      <c r="L2842" s="313"/>
      <c r="M2842" s="219"/>
      <c r="N2842" s="218"/>
      <c r="S2842" s="224"/>
      <c r="T2842" s="228"/>
      <c r="U2842" s="226"/>
      <c r="V2842" s="226"/>
      <c r="W2842" s="227"/>
      <c r="X2842" s="220"/>
      <c r="Z2842" s="227"/>
      <c r="AA2842" s="220"/>
      <c r="AB2842" s="221"/>
      <c r="AC2842" s="229"/>
      <c r="AD2842" s="230"/>
      <c r="AE2842" s="230"/>
      <c r="AF2842" s="230"/>
      <c r="AG2842" s="227"/>
    </row>
    <row r="2843" spans="1:33" x14ac:dyDescent="0.25">
      <c r="A2843" s="32"/>
      <c r="B2843" s="306"/>
      <c r="C2843" s="307"/>
      <c r="D2843" s="312"/>
      <c r="E2843" s="301"/>
      <c r="F2843" s="232"/>
      <c r="J2843" s="306"/>
      <c r="K2843" s="306"/>
      <c r="L2843" s="313"/>
      <c r="M2843" s="219"/>
      <c r="N2843" s="218"/>
      <c r="S2843" s="224"/>
      <c r="T2843" s="228"/>
      <c r="U2843" s="226"/>
      <c r="V2843" s="226"/>
      <c r="W2843" s="227"/>
      <c r="X2843" s="220"/>
      <c r="Z2843" s="227"/>
      <c r="AA2843" s="220"/>
      <c r="AB2843" s="221"/>
      <c r="AC2843" s="229"/>
      <c r="AD2843" s="230"/>
      <c r="AE2843" s="230"/>
      <c r="AF2843" s="230"/>
      <c r="AG2843" s="227"/>
    </row>
    <row r="2844" spans="1:33" x14ac:dyDescent="0.25">
      <c r="A2844" s="32"/>
      <c r="B2844" s="306"/>
      <c r="C2844" s="307"/>
      <c r="D2844" s="312"/>
      <c r="E2844" s="301"/>
      <c r="F2844" s="232"/>
      <c r="J2844" s="306"/>
      <c r="K2844" s="306"/>
      <c r="L2844" s="313"/>
      <c r="M2844" s="219"/>
      <c r="N2844" s="218"/>
      <c r="S2844" s="224"/>
      <c r="T2844" s="228"/>
      <c r="U2844" s="226"/>
      <c r="V2844" s="226"/>
      <c r="W2844" s="227"/>
      <c r="X2844" s="220"/>
      <c r="Z2844" s="227"/>
      <c r="AA2844" s="220"/>
      <c r="AB2844" s="221"/>
      <c r="AC2844" s="229"/>
      <c r="AD2844" s="230"/>
      <c r="AE2844" s="230"/>
      <c r="AF2844" s="230"/>
      <c r="AG2844" s="227"/>
    </row>
    <row r="2845" spans="1:33" x14ac:dyDescent="0.25">
      <c r="A2845" s="32"/>
      <c r="B2845" s="306"/>
      <c r="C2845" s="307"/>
      <c r="D2845" s="312"/>
      <c r="E2845" s="301"/>
      <c r="F2845" s="232"/>
      <c r="J2845" s="306"/>
      <c r="K2845" s="306"/>
      <c r="L2845" s="313"/>
      <c r="M2845" s="219"/>
      <c r="N2845" s="218"/>
      <c r="S2845" s="224"/>
      <c r="T2845" s="228"/>
      <c r="U2845" s="226"/>
      <c r="V2845" s="226"/>
      <c r="W2845" s="227"/>
      <c r="X2845" s="220"/>
      <c r="Z2845" s="227"/>
      <c r="AA2845" s="220"/>
      <c r="AB2845" s="221"/>
      <c r="AC2845" s="229"/>
      <c r="AD2845" s="230"/>
      <c r="AE2845" s="230"/>
      <c r="AF2845" s="230"/>
      <c r="AG2845" s="227"/>
    </row>
    <row r="2846" spans="1:33" x14ac:dyDescent="0.25">
      <c r="A2846" s="32"/>
      <c r="B2846" s="306"/>
      <c r="C2846" s="307"/>
      <c r="D2846" s="312"/>
      <c r="E2846" s="301"/>
      <c r="F2846" s="232"/>
      <c r="J2846" s="306"/>
      <c r="K2846" s="306"/>
      <c r="L2846" s="313"/>
      <c r="M2846" s="219"/>
      <c r="N2846" s="218"/>
      <c r="S2846" s="224"/>
      <c r="T2846" s="228"/>
      <c r="U2846" s="226"/>
      <c r="V2846" s="226"/>
      <c r="W2846" s="227"/>
      <c r="X2846" s="220"/>
      <c r="Z2846" s="227"/>
      <c r="AA2846" s="220"/>
      <c r="AB2846" s="221"/>
      <c r="AC2846" s="229"/>
      <c r="AD2846" s="230"/>
      <c r="AE2846" s="230"/>
      <c r="AF2846" s="230"/>
      <c r="AG2846" s="227"/>
    </row>
    <row r="2847" spans="1:33" x14ac:dyDescent="0.25">
      <c r="A2847" s="32"/>
      <c r="B2847" s="306"/>
      <c r="C2847" s="307"/>
      <c r="D2847" s="312"/>
      <c r="E2847" s="301"/>
      <c r="F2847" s="232"/>
      <c r="J2847" s="306"/>
      <c r="K2847" s="306"/>
      <c r="L2847" s="313"/>
      <c r="M2847" s="219"/>
      <c r="N2847" s="218"/>
      <c r="S2847" s="224"/>
      <c r="T2847" s="228"/>
      <c r="U2847" s="226"/>
      <c r="V2847" s="226"/>
      <c r="W2847" s="227"/>
      <c r="X2847" s="220"/>
      <c r="Z2847" s="227"/>
      <c r="AA2847" s="220"/>
      <c r="AB2847" s="221"/>
      <c r="AC2847" s="229"/>
      <c r="AD2847" s="230"/>
      <c r="AE2847" s="230"/>
      <c r="AF2847" s="230"/>
      <c r="AG2847" s="227"/>
    </row>
    <row r="2848" spans="1:33" x14ac:dyDescent="0.25">
      <c r="A2848" s="32"/>
      <c r="B2848" s="306"/>
      <c r="C2848" s="307"/>
      <c r="D2848" s="312"/>
      <c r="E2848" s="301"/>
      <c r="F2848" s="232"/>
      <c r="J2848" s="306"/>
      <c r="K2848" s="306"/>
      <c r="L2848" s="313"/>
      <c r="M2848" s="219"/>
      <c r="N2848" s="218"/>
      <c r="S2848" s="224"/>
      <c r="T2848" s="228"/>
      <c r="U2848" s="226"/>
      <c r="V2848" s="226"/>
      <c r="W2848" s="227"/>
      <c r="X2848" s="220"/>
      <c r="Z2848" s="227"/>
      <c r="AA2848" s="220"/>
      <c r="AB2848" s="221"/>
      <c r="AC2848" s="229"/>
      <c r="AD2848" s="230"/>
      <c r="AE2848" s="230"/>
      <c r="AF2848" s="230"/>
      <c r="AG2848" s="227"/>
    </row>
    <row r="2849" spans="1:33" x14ac:dyDescent="0.25">
      <c r="A2849" s="32"/>
      <c r="B2849" s="306"/>
      <c r="C2849" s="307"/>
      <c r="D2849" s="312"/>
      <c r="E2849" s="301"/>
      <c r="F2849" s="232"/>
      <c r="J2849" s="306"/>
      <c r="K2849" s="306"/>
      <c r="L2849" s="313"/>
      <c r="M2849" s="219"/>
      <c r="N2849" s="218"/>
      <c r="S2849" s="224"/>
      <c r="T2849" s="228"/>
      <c r="U2849" s="226"/>
      <c r="V2849" s="226"/>
      <c r="W2849" s="227"/>
      <c r="X2849" s="220"/>
      <c r="Z2849" s="227"/>
      <c r="AA2849" s="220"/>
      <c r="AB2849" s="221"/>
      <c r="AC2849" s="229"/>
      <c r="AD2849" s="230"/>
      <c r="AE2849" s="230"/>
      <c r="AF2849" s="230"/>
      <c r="AG2849" s="227"/>
    </row>
    <row r="2850" spans="1:33" x14ac:dyDescent="0.25">
      <c r="A2850" s="32"/>
      <c r="B2850" s="306"/>
      <c r="C2850" s="307"/>
      <c r="D2850" s="312"/>
      <c r="E2850" s="301"/>
      <c r="F2850" s="232"/>
      <c r="J2850" s="306"/>
      <c r="K2850" s="306"/>
      <c r="L2850" s="313"/>
      <c r="M2850" s="219"/>
      <c r="N2850" s="218"/>
      <c r="S2850" s="224"/>
      <c r="T2850" s="228"/>
      <c r="U2850" s="226"/>
      <c r="V2850" s="226"/>
      <c r="W2850" s="227"/>
      <c r="X2850" s="220"/>
      <c r="Z2850" s="227"/>
      <c r="AA2850" s="220"/>
      <c r="AB2850" s="221"/>
      <c r="AC2850" s="229"/>
      <c r="AD2850" s="230"/>
      <c r="AE2850" s="230"/>
      <c r="AF2850" s="230"/>
      <c r="AG2850" s="227"/>
    </row>
    <row r="2851" spans="1:33" x14ac:dyDescent="0.25">
      <c r="A2851" s="32"/>
      <c r="B2851" s="306"/>
      <c r="C2851" s="307"/>
      <c r="D2851" s="312"/>
      <c r="E2851" s="301"/>
      <c r="F2851" s="232"/>
      <c r="J2851" s="306"/>
      <c r="K2851" s="306"/>
      <c r="L2851" s="313"/>
      <c r="M2851" s="219"/>
      <c r="N2851" s="218"/>
      <c r="S2851" s="224"/>
      <c r="T2851" s="228"/>
      <c r="U2851" s="226"/>
      <c r="V2851" s="226"/>
      <c r="W2851" s="227"/>
      <c r="X2851" s="220"/>
      <c r="Z2851" s="227"/>
      <c r="AA2851" s="220"/>
      <c r="AB2851" s="221"/>
      <c r="AC2851" s="229"/>
      <c r="AD2851" s="230"/>
      <c r="AE2851" s="230"/>
      <c r="AF2851" s="230"/>
      <c r="AG2851" s="227"/>
    </row>
    <row r="2852" spans="1:33" x14ac:dyDescent="0.25">
      <c r="A2852" s="32"/>
      <c r="B2852" s="306"/>
      <c r="C2852" s="307"/>
      <c r="D2852" s="312"/>
      <c r="E2852" s="301"/>
      <c r="F2852" s="232"/>
      <c r="J2852" s="306"/>
      <c r="K2852" s="306"/>
      <c r="L2852" s="313"/>
      <c r="M2852" s="219"/>
      <c r="N2852" s="218"/>
      <c r="S2852" s="224"/>
      <c r="T2852" s="228"/>
      <c r="U2852" s="226"/>
      <c r="V2852" s="226"/>
      <c r="W2852" s="227"/>
      <c r="X2852" s="220"/>
      <c r="Z2852" s="227"/>
      <c r="AA2852" s="220"/>
      <c r="AB2852" s="221"/>
      <c r="AC2852" s="229"/>
      <c r="AD2852" s="230"/>
      <c r="AE2852" s="230"/>
      <c r="AF2852" s="230"/>
      <c r="AG2852" s="227"/>
    </row>
    <row r="2853" spans="1:33" x14ac:dyDescent="0.25">
      <c r="A2853" s="32"/>
      <c r="B2853" s="306"/>
      <c r="C2853" s="307"/>
      <c r="D2853" s="312"/>
      <c r="E2853" s="301"/>
      <c r="F2853" s="232"/>
      <c r="J2853" s="306"/>
      <c r="K2853" s="306"/>
      <c r="L2853" s="313"/>
      <c r="M2853" s="219"/>
      <c r="N2853" s="218"/>
      <c r="S2853" s="224"/>
      <c r="T2853" s="228"/>
      <c r="U2853" s="226"/>
      <c r="V2853" s="226"/>
      <c r="W2853" s="227"/>
      <c r="X2853" s="220"/>
      <c r="Z2853" s="227"/>
      <c r="AA2853" s="220"/>
      <c r="AB2853" s="221"/>
      <c r="AC2853" s="229"/>
      <c r="AD2853" s="230"/>
      <c r="AE2853" s="230"/>
      <c r="AF2853" s="230"/>
      <c r="AG2853" s="227"/>
    </row>
    <row r="2854" spans="1:33" x14ac:dyDescent="0.25">
      <c r="A2854" s="32"/>
      <c r="B2854" s="306"/>
      <c r="C2854" s="307"/>
      <c r="D2854" s="312"/>
      <c r="E2854" s="301"/>
      <c r="F2854" s="232"/>
      <c r="J2854" s="306"/>
      <c r="K2854" s="306"/>
      <c r="L2854" s="313"/>
      <c r="M2854" s="219"/>
      <c r="N2854" s="218"/>
      <c r="S2854" s="224"/>
      <c r="T2854" s="228"/>
      <c r="U2854" s="226"/>
      <c r="V2854" s="226"/>
      <c r="W2854" s="227"/>
      <c r="X2854" s="220"/>
      <c r="Z2854" s="227"/>
      <c r="AA2854" s="220"/>
      <c r="AB2854" s="221"/>
      <c r="AC2854" s="229"/>
      <c r="AD2854" s="230"/>
      <c r="AE2854" s="230"/>
      <c r="AF2854" s="230"/>
      <c r="AG2854" s="227"/>
    </row>
    <row r="2855" spans="1:33" x14ac:dyDescent="0.25">
      <c r="A2855" s="32"/>
      <c r="B2855" s="306"/>
      <c r="C2855" s="307"/>
      <c r="D2855" s="312"/>
      <c r="E2855" s="301"/>
      <c r="F2855" s="232"/>
      <c r="J2855" s="306"/>
      <c r="K2855" s="306"/>
      <c r="L2855" s="313"/>
      <c r="M2855" s="219"/>
      <c r="N2855" s="218"/>
      <c r="S2855" s="224"/>
      <c r="T2855" s="228"/>
      <c r="U2855" s="226"/>
      <c r="V2855" s="226"/>
      <c r="W2855" s="227"/>
      <c r="X2855" s="220"/>
      <c r="Z2855" s="227"/>
      <c r="AA2855" s="220"/>
      <c r="AB2855" s="221"/>
      <c r="AC2855" s="229"/>
      <c r="AD2855" s="230"/>
      <c r="AE2855" s="230"/>
      <c r="AF2855" s="230"/>
      <c r="AG2855" s="227"/>
    </row>
    <row r="2856" spans="1:33" x14ac:dyDescent="0.25">
      <c r="A2856" s="32"/>
      <c r="B2856" s="306"/>
      <c r="C2856" s="307"/>
      <c r="D2856" s="312"/>
      <c r="E2856" s="301"/>
      <c r="F2856" s="232"/>
      <c r="J2856" s="306"/>
      <c r="K2856" s="306"/>
      <c r="L2856" s="313"/>
      <c r="M2856" s="219"/>
      <c r="N2856" s="218"/>
      <c r="S2856" s="224"/>
      <c r="T2856" s="228"/>
      <c r="U2856" s="226"/>
      <c r="V2856" s="226"/>
      <c r="W2856" s="227"/>
      <c r="X2856" s="220"/>
      <c r="Z2856" s="227"/>
      <c r="AA2856" s="220"/>
      <c r="AB2856" s="221"/>
      <c r="AC2856" s="229"/>
      <c r="AD2856" s="230"/>
      <c r="AE2856" s="230"/>
      <c r="AF2856" s="230"/>
      <c r="AG2856" s="227"/>
    </row>
    <row r="2857" spans="1:33" x14ac:dyDescent="0.25">
      <c r="A2857" s="32"/>
      <c r="B2857" s="306"/>
      <c r="C2857" s="307"/>
      <c r="D2857" s="312"/>
      <c r="E2857" s="301"/>
      <c r="F2857" s="232"/>
      <c r="J2857" s="306"/>
      <c r="K2857" s="306"/>
      <c r="L2857" s="313"/>
      <c r="M2857" s="219"/>
      <c r="N2857" s="218"/>
      <c r="S2857" s="224"/>
      <c r="T2857" s="228"/>
      <c r="U2857" s="226"/>
      <c r="V2857" s="226"/>
      <c r="W2857" s="227"/>
      <c r="X2857" s="220"/>
      <c r="Z2857" s="227"/>
      <c r="AA2857" s="220"/>
      <c r="AB2857" s="221"/>
      <c r="AC2857" s="229"/>
      <c r="AD2857" s="230"/>
      <c r="AE2857" s="230"/>
      <c r="AF2857" s="230"/>
      <c r="AG2857" s="227"/>
    </row>
    <row r="2858" spans="1:33" x14ac:dyDescent="0.25">
      <c r="A2858" s="32"/>
      <c r="B2858" s="306"/>
      <c r="C2858" s="307"/>
      <c r="D2858" s="312"/>
      <c r="E2858" s="301"/>
      <c r="F2858" s="232"/>
      <c r="J2858" s="306"/>
      <c r="K2858" s="306"/>
      <c r="L2858" s="313"/>
      <c r="M2858" s="219"/>
      <c r="N2858" s="218"/>
      <c r="S2858" s="224"/>
      <c r="T2858" s="228"/>
      <c r="U2858" s="226"/>
      <c r="V2858" s="226"/>
      <c r="W2858" s="227"/>
      <c r="X2858" s="220"/>
      <c r="Z2858" s="227"/>
      <c r="AA2858" s="220"/>
      <c r="AB2858" s="221"/>
      <c r="AC2858" s="229"/>
      <c r="AD2858" s="230"/>
      <c r="AE2858" s="230"/>
      <c r="AF2858" s="230"/>
      <c r="AG2858" s="227"/>
    </row>
    <row r="2859" spans="1:33" x14ac:dyDescent="0.25">
      <c r="A2859" s="32"/>
      <c r="B2859" s="306"/>
      <c r="C2859" s="307"/>
      <c r="D2859" s="312"/>
      <c r="E2859" s="301"/>
      <c r="F2859" s="232"/>
      <c r="J2859" s="306"/>
      <c r="K2859" s="306"/>
      <c r="L2859" s="313"/>
      <c r="M2859" s="219"/>
      <c r="N2859" s="218"/>
      <c r="S2859" s="224"/>
      <c r="T2859" s="228"/>
      <c r="U2859" s="226"/>
      <c r="V2859" s="226"/>
      <c r="W2859" s="227"/>
      <c r="X2859" s="220"/>
      <c r="Z2859" s="227"/>
      <c r="AA2859" s="220"/>
      <c r="AB2859" s="221"/>
      <c r="AC2859" s="229"/>
      <c r="AD2859" s="230"/>
      <c r="AE2859" s="230"/>
      <c r="AF2859" s="230"/>
      <c r="AG2859" s="227"/>
    </row>
    <row r="2860" spans="1:33" x14ac:dyDescent="0.25">
      <c r="A2860" s="32"/>
      <c r="B2860" s="306"/>
      <c r="C2860" s="307"/>
      <c r="D2860" s="312"/>
      <c r="E2860" s="301"/>
      <c r="F2860" s="232"/>
      <c r="J2860" s="306"/>
      <c r="K2860" s="306"/>
      <c r="L2860" s="313"/>
      <c r="M2860" s="219"/>
      <c r="N2860" s="218"/>
      <c r="S2860" s="224"/>
      <c r="T2860" s="228"/>
      <c r="U2860" s="226"/>
      <c r="V2860" s="226"/>
      <c r="W2860" s="227"/>
      <c r="X2860" s="220"/>
      <c r="Z2860" s="227"/>
      <c r="AA2860" s="220"/>
      <c r="AB2860" s="221"/>
      <c r="AC2860" s="229"/>
      <c r="AD2860" s="230"/>
      <c r="AE2860" s="230"/>
      <c r="AF2860" s="230"/>
      <c r="AG2860" s="227"/>
    </row>
    <row r="2861" spans="1:33" x14ac:dyDescent="0.25">
      <c r="A2861" s="32"/>
      <c r="B2861" s="306"/>
      <c r="C2861" s="307"/>
      <c r="D2861" s="312"/>
      <c r="E2861" s="301"/>
      <c r="F2861" s="232"/>
      <c r="J2861" s="306"/>
      <c r="K2861" s="306"/>
      <c r="L2861" s="313"/>
      <c r="M2861" s="219"/>
      <c r="N2861" s="218"/>
      <c r="S2861" s="224"/>
      <c r="T2861" s="228"/>
      <c r="U2861" s="226"/>
      <c r="V2861" s="226"/>
      <c r="W2861" s="227"/>
      <c r="X2861" s="220"/>
      <c r="Z2861" s="227"/>
      <c r="AA2861" s="220"/>
      <c r="AB2861" s="221"/>
      <c r="AC2861" s="229"/>
      <c r="AD2861" s="230"/>
      <c r="AE2861" s="230"/>
      <c r="AF2861" s="230"/>
      <c r="AG2861" s="227"/>
    </row>
    <row r="2862" spans="1:33" x14ac:dyDescent="0.25">
      <c r="A2862" s="32"/>
      <c r="B2862" s="306"/>
      <c r="C2862" s="307"/>
      <c r="D2862" s="312"/>
      <c r="E2862" s="301"/>
      <c r="F2862" s="232"/>
      <c r="J2862" s="306"/>
      <c r="K2862" s="306"/>
      <c r="L2862" s="313"/>
      <c r="M2862" s="219"/>
      <c r="N2862" s="218"/>
      <c r="S2862" s="224"/>
      <c r="T2862" s="228"/>
      <c r="U2862" s="226"/>
      <c r="V2862" s="226"/>
      <c r="W2862" s="227"/>
      <c r="X2862" s="220"/>
      <c r="Z2862" s="227"/>
      <c r="AA2862" s="220"/>
      <c r="AB2862" s="221"/>
      <c r="AC2862" s="229"/>
      <c r="AD2862" s="230"/>
      <c r="AE2862" s="230"/>
      <c r="AF2862" s="230"/>
      <c r="AG2862" s="227"/>
    </row>
    <row r="2863" spans="1:33" x14ac:dyDescent="0.25">
      <c r="A2863" s="32"/>
      <c r="B2863" s="306"/>
      <c r="C2863" s="307"/>
      <c r="D2863" s="312"/>
      <c r="E2863" s="301"/>
      <c r="F2863" s="232"/>
      <c r="J2863" s="306"/>
      <c r="K2863" s="306"/>
      <c r="L2863" s="313"/>
      <c r="M2863" s="219"/>
      <c r="N2863" s="218"/>
      <c r="S2863" s="224"/>
      <c r="T2863" s="228"/>
      <c r="U2863" s="226"/>
      <c r="V2863" s="226"/>
      <c r="W2863" s="227"/>
      <c r="X2863" s="220"/>
      <c r="Z2863" s="227"/>
      <c r="AA2863" s="220"/>
      <c r="AB2863" s="221"/>
      <c r="AC2863" s="229"/>
      <c r="AD2863" s="230"/>
      <c r="AE2863" s="230"/>
      <c r="AF2863" s="230"/>
      <c r="AG2863" s="227"/>
    </row>
    <row r="2864" spans="1:33" x14ac:dyDescent="0.25">
      <c r="A2864" s="32"/>
      <c r="B2864" s="306"/>
      <c r="C2864" s="307"/>
      <c r="D2864" s="312"/>
      <c r="E2864" s="301"/>
      <c r="F2864" s="232"/>
      <c r="J2864" s="306"/>
      <c r="K2864" s="306"/>
      <c r="L2864" s="313"/>
      <c r="M2864" s="219"/>
      <c r="N2864" s="218"/>
      <c r="S2864" s="224"/>
      <c r="T2864" s="228"/>
      <c r="U2864" s="226"/>
      <c r="V2864" s="226"/>
      <c r="W2864" s="227"/>
      <c r="X2864" s="220"/>
      <c r="Z2864" s="227"/>
      <c r="AA2864" s="220"/>
      <c r="AB2864" s="221"/>
      <c r="AC2864" s="229"/>
      <c r="AD2864" s="230"/>
      <c r="AE2864" s="230"/>
      <c r="AF2864" s="230"/>
      <c r="AG2864" s="227"/>
    </row>
    <row r="2865" spans="1:33" x14ac:dyDescent="0.25">
      <c r="A2865" s="32"/>
      <c r="B2865" s="306"/>
      <c r="C2865" s="307"/>
      <c r="D2865" s="312"/>
      <c r="E2865" s="301"/>
      <c r="F2865" s="232"/>
      <c r="J2865" s="306"/>
      <c r="K2865" s="306"/>
      <c r="L2865" s="313"/>
      <c r="M2865" s="219"/>
      <c r="N2865" s="218"/>
      <c r="S2865" s="224"/>
      <c r="T2865" s="228"/>
      <c r="U2865" s="226"/>
      <c r="V2865" s="226"/>
      <c r="W2865" s="227"/>
      <c r="X2865" s="220"/>
      <c r="Z2865" s="227"/>
      <c r="AA2865" s="220"/>
      <c r="AB2865" s="221"/>
      <c r="AC2865" s="229"/>
      <c r="AD2865" s="230"/>
      <c r="AE2865" s="230"/>
      <c r="AF2865" s="230"/>
      <c r="AG2865" s="227"/>
    </row>
    <row r="2866" spans="1:33" x14ac:dyDescent="0.25">
      <c r="A2866" s="32"/>
      <c r="B2866" s="306"/>
      <c r="C2866" s="307"/>
      <c r="D2866" s="312"/>
      <c r="E2866" s="301"/>
      <c r="F2866" s="232"/>
      <c r="J2866" s="306"/>
      <c r="K2866" s="306"/>
      <c r="L2866" s="313"/>
      <c r="M2866" s="219"/>
      <c r="N2866" s="218"/>
      <c r="S2866" s="224"/>
      <c r="T2866" s="228"/>
      <c r="U2866" s="226"/>
      <c r="V2866" s="226"/>
      <c r="W2866" s="227"/>
      <c r="X2866" s="220"/>
      <c r="Z2866" s="227"/>
      <c r="AA2866" s="220"/>
      <c r="AB2866" s="221"/>
      <c r="AC2866" s="229"/>
      <c r="AD2866" s="230"/>
      <c r="AE2866" s="230"/>
      <c r="AF2866" s="230"/>
      <c r="AG2866" s="227"/>
    </row>
    <row r="2867" spans="1:33" x14ac:dyDescent="0.25">
      <c r="A2867" s="32"/>
      <c r="B2867" s="306"/>
      <c r="C2867" s="307"/>
      <c r="D2867" s="312"/>
      <c r="E2867" s="301"/>
      <c r="F2867" s="232"/>
      <c r="J2867" s="306"/>
      <c r="K2867" s="306"/>
      <c r="L2867" s="313"/>
      <c r="M2867" s="219"/>
      <c r="N2867" s="218"/>
      <c r="S2867" s="224"/>
      <c r="T2867" s="228"/>
      <c r="U2867" s="226"/>
      <c r="V2867" s="226"/>
      <c r="W2867" s="227"/>
      <c r="X2867" s="220"/>
      <c r="Z2867" s="227"/>
      <c r="AA2867" s="220"/>
      <c r="AB2867" s="221"/>
      <c r="AC2867" s="229"/>
      <c r="AD2867" s="230"/>
      <c r="AE2867" s="230"/>
      <c r="AF2867" s="230"/>
      <c r="AG2867" s="227"/>
    </row>
    <row r="2868" spans="1:33" x14ac:dyDescent="0.25">
      <c r="A2868" s="32"/>
      <c r="B2868" s="306"/>
      <c r="C2868" s="307"/>
      <c r="D2868" s="312"/>
      <c r="E2868" s="301"/>
      <c r="F2868" s="232"/>
      <c r="J2868" s="306"/>
      <c r="K2868" s="306"/>
      <c r="L2868" s="313"/>
      <c r="M2868" s="219"/>
      <c r="N2868" s="218"/>
      <c r="S2868" s="224"/>
      <c r="T2868" s="228"/>
      <c r="U2868" s="226"/>
      <c r="V2868" s="226"/>
      <c r="W2868" s="227"/>
      <c r="X2868" s="220"/>
      <c r="Z2868" s="227"/>
      <c r="AA2868" s="220"/>
      <c r="AB2868" s="221"/>
      <c r="AC2868" s="229"/>
      <c r="AD2868" s="230"/>
      <c r="AE2868" s="230"/>
      <c r="AF2868" s="230"/>
      <c r="AG2868" s="227"/>
    </row>
    <row r="2869" spans="1:33" x14ac:dyDescent="0.25">
      <c r="A2869" s="32"/>
      <c r="B2869" s="306"/>
      <c r="C2869" s="307"/>
      <c r="D2869" s="312"/>
      <c r="E2869" s="301"/>
      <c r="F2869" s="232"/>
      <c r="J2869" s="306"/>
      <c r="K2869" s="306"/>
      <c r="L2869" s="313"/>
      <c r="M2869" s="219"/>
      <c r="N2869" s="218"/>
      <c r="S2869" s="224"/>
      <c r="T2869" s="228"/>
      <c r="U2869" s="226"/>
      <c r="V2869" s="226"/>
      <c r="W2869" s="227"/>
      <c r="X2869" s="220"/>
      <c r="Z2869" s="227"/>
      <c r="AA2869" s="220"/>
      <c r="AB2869" s="221"/>
      <c r="AC2869" s="229"/>
      <c r="AD2869" s="230"/>
      <c r="AE2869" s="230"/>
      <c r="AF2869" s="230"/>
      <c r="AG2869" s="227"/>
    </row>
    <row r="2870" spans="1:33" x14ac:dyDescent="0.25">
      <c r="A2870" s="32"/>
      <c r="B2870" s="306"/>
      <c r="C2870" s="307"/>
      <c r="D2870" s="312"/>
      <c r="E2870" s="301"/>
      <c r="F2870" s="232"/>
      <c r="J2870" s="306"/>
      <c r="K2870" s="306"/>
      <c r="L2870" s="313"/>
      <c r="M2870" s="219"/>
      <c r="N2870" s="218"/>
      <c r="S2870" s="224"/>
      <c r="T2870" s="228"/>
      <c r="U2870" s="226"/>
      <c r="V2870" s="226"/>
      <c r="W2870" s="227"/>
      <c r="X2870" s="220"/>
      <c r="Z2870" s="227"/>
      <c r="AA2870" s="220"/>
      <c r="AB2870" s="221"/>
      <c r="AC2870" s="229"/>
      <c r="AD2870" s="230"/>
      <c r="AE2870" s="230"/>
      <c r="AF2870" s="230"/>
      <c r="AG2870" s="227"/>
    </row>
    <row r="2871" spans="1:33" x14ac:dyDescent="0.25">
      <c r="A2871" s="32"/>
      <c r="B2871" s="306"/>
      <c r="C2871" s="307"/>
      <c r="D2871" s="312"/>
      <c r="E2871" s="301"/>
      <c r="F2871" s="232"/>
      <c r="J2871" s="306"/>
      <c r="K2871" s="306"/>
      <c r="L2871" s="313"/>
      <c r="M2871" s="219"/>
      <c r="N2871" s="218"/>
      <c r="S2871" s="224"/>
      <c r="T2871" s="228"/>
      <c r="U2871" s="226"/>
      <c r="V2871" s="226"/>
      <c r="W2871" s="227"/>
      <c r="X2871" s="220"/>
      <c r="Z2871" s="227"/>
      <c r="AA2871" s="220"/>
      <c r="AB2871" s="221"/>
      <c r="AC2871" s="229"/>
      <c r="AD2871" s="230"/>
      <c r="AE2871" s="230"/>
      <c r="AF2871" s="230"/>
      <c r="AG2871" s="227"/>
    </row>
    <row r="2872" spans="1:33" x14ac:dyDescent="0.25">
      <c r="A2872" s="32"/>
      <c r="B2872" s="306"/>
      <c r="C2872" s="307"/>
      <c r="D2872" s="312"/>
      <c r="E2872" s="301"/>
      <c r="F2872" s="232"/>
      <c r="J2872" s="306"/>
      <c r="K2872" s="306"/>
      <c r="L2872" s="313"/>
      <c r="M2872" s="219"/>
      <c r="N2872" s="218"/>
      <c r="S2872" s="224"/>
      <c r="T2872" s="228"/>
      <c r="U2872" s="226"/>
      <c r="V2872" s="226"/>
      <c r="W2872" s="227"/>
      <c r="X2872" s="220"/>
      <c r="Z2872" s="227"/>
      <c r="AA2872" s="220"/>
      <c r="AB2872" s="221"/>
      <c r="AC2872" s="229"/>
      <c r="AD2872" s="230"/>
      <c r="AE2872" s="230"/>
      <c r="AF2872" s="230"/>
      <c r="AG2872" s="227"/>
    </row>
    <row r="2873" spans="1:33" x14ac:dyDescent="0.25">
      <c r="A2873" s="32"/>
      <c r="B2873" s="306"/>
      <c r="C2873" s="307"/>
      <c r="D2873" s="312"/>
      <c r="E2873" s="301"/>
      <c r="F2873" s="232"/>
      <c r="J2873" s="306"/>
      <c r="K2873" s="306"/>
      <c r="L2873" s="313"/>
      <c r="M2873" s="219"/>
      <c r="N2873" s="218"/>
      <c r="S2873" s="224"/>
      <c r="T2873" s="228"/>
      <c r="U2873" s="226"/>
      <c r="V2873" s="226"/>
      <c r="W2873" s="227"/>
      <c r="X2873" s="220"/>
      <c r="Z2873" s="227"/>
      <c r="AA2873" s="220"/>
      <c r="AB2873" s="221"/>
      <c r="AC2873" s="229"/>
      <c r="AD2873" s="230"/>
      <c r="AE2873" s="230"/>
      <c r="AF2873" s="230"/>
      <c r="AG2873" s="227"/>
    </row>
    <row r="2874" spans="1:33" x14ac:dyDescent="0.25">
      <c r="A2874" s="32"/>
      <c r="B2874" s="306"/>
      <c r="C2874" s="307"/>
      <c r="D2874" s="312"/>
      <c r="E2874" s="301"/>
      <c r="F2874" s="232"/>
      <c r="J2874" s="306"/>
      <c r="K2874" s="306"/>
      <c r="L2874" s="313"/>
      <c r="M2874" s="219"/>
      <c r="N2874" s="218"/>
      <c r="S2874" s="224"/>
      <c r="T2874" s="228"/>
      <c r="U2874" s="226"/>
      <c r="V2874" s="226"/>
      <c r="W2874" s="227"/>
      <c r="X2874" s="220"/>
      <c r="Z2874" s="227"/>
      <c r="AA2874" s="220"/>
      <c r="AB2874" s="221"/>
      <c r="AC2874" s="229"/>
      <c r="AD2874" s="230"/>
      <c r="AE2874" s="230"/>
      <c r="AF2874" s="230"/>
      <c r="AG2874" s="227"/>
    </row>
    <row r="2875" spans="1:33" x14ac:dyDescent="0.25">
      <c r="A2875" s="32"/>
      <c r="B2875" s="306"/>
      <c r="C2875" s="307"/>
      <c r="D2875" s="312"/>
      <c r="E2875" s="301"/>
      <c r="F2875" s="232"/>
      <c r="J2875" s="306"/>
      <c r="K2875" s="306"/>
      <c r="L2875" s="313"/>
      <c r="M2875" s="219"/>
      <c r="N2875" s="218"/>
      <c r="S2875" s="224"/>
      <c r="T2875" s="228"/>
      <c r="U2875" s="226"/>
      <c r="V2875" s="226"/>
      <c r="W2875" s="227"/>
      <c r="X2875" s="220"/>
      <c r="Z2875" s="227"/>
      <c r="AA2875" s="220"/>
      <c r="AB2875" s="221"/>
      <c r="AC2875" s="229"/>
      <c r="AD2875" s="230"/>
      <c r="AE2875" s="230"/>
      <c r="AF2875" s="230"/>
      <c r="AG2875" s="227"/>
    </row>
    <row r="2876" spans="1:33" x14ac:dyDescent="0.25">
      <c r="A2876" s="32"/>
      <c r="B2876" s="306"/>
      <c r="C2876" s="307"/>
      <c r="D2876" s="312"/>
      <c r="E2876" s="301"/>
      <c r="F2876" s="232"/>
      <c r="J2876" s="306"/>
      <c r="K2876" s="306"/>
      <c r="L2876" s="313"/>
      <c r="M2876" s="219"/>
      <c r="N2876" s="218"/>
      <c r="S2876" s="224"/>
      <c r="T2876" s="228"/>
      <c r="U2876" s="226"/>
      <c r="V2876" s="226"/>
      <c r="W2876" s="227"/>
      <c r="X2876" s="220"/>
      <c r="Z2876" s="227"/>
      <c r="AA2876" s="220"/>
      <c r="AB2876" s="221"/>
      <c r="AC2876" s="229"/>
      <c r="AD2876" s="230"/>
      <c r="AE2876" s="230"/>
      <c r="AF2876" s="230"/>
      <c r="AG2876" s="227"/>
    </row>
    <row r="2877" spans="1:33" x14ac:dyDescent="0.25">
      <c r="A2877" s="32"/>
      <c r="B2877" s="306"/>
      <c r="C2877" s="307"/>
      <c r="D2877" s="312"/>
      <c r="E2877" s="301"/>
      <c r="F2877" s="232"/>
      <c r="J2877" s="306"/>
      <c r="K2877" s="306"/>
      <c r="L2877" s="313"/>
      <c r="M2877" s="219"/>
      <c r="N2877" s="218"/>
      <c r="S2877" s="224"/>
      <c r="T2877" s="228"/>
      <c r="U2877" s="226"/>
      <c r="V2877" s="226"/>
      <c r="W2877" s="227"/>
      <c r="X2877" s="220"/>
      <c r="Z2877" s="227"/>
      <c r="AA2877" s="220"/>
      <c r="AB2877" s="221"/>
      <c r="AC2877" s="229"/>
      <c r="AD2877" s="230"/>
      <c r="AE2877" s="230"/>
      <c r="AF2877" s="230"/>
      <c r="AG2877" s="227"/>
    </row>
    <row r="2878" spans="1:33" x14ac:dyDescent="0.25">
      <c r="A2878" s="32"/>
      <c r="B2878" s="306"/>
      <c r="C2878" s="307"/>
      <c r="D2878" s="312"/>
      <c r="E2878" s="301"/>
      <c r="F2878" s="232"/>
      <c r="J2878" s="306"/>
      <c r="K2878" s="306"/>
      <c r="L2878" s="313"/>
      <c r="M2878" s="219"/>
      <c r="N2878" s="218"/>
      <c r="S2878" s="224"/>
      <c r="T2878" s="228"/>
      <c r="U2878" s="226"/>
      <c r="V2878" s="226"/>
      <c r="W2878" s="227"/>
      <c r="X2878" s="220"/>
      <c r="Z2878" s="227"/>
      <c r="AA2878" s="220"/>
      <c r="AB2878" s="221"/>
      <c r="AC2878" s="229"/>
      <c r="AD2878" s="230"/>
      <c r="AE2878" s="230"/>
      <c r="AF2878" s="230"/>
      <c r="AG2878" s="227"/>
    </row>
    <row r="2879" spans="1:33" x14ac:dyDescent="0.25">
      <c r="A2879" s="32"/>
      <c r="B2879" s="306"/>
      <c r="C2879" s="307"/>
      <c r="D2879" s="312"/>
      <c r="E2879" s="301"/>
      <c r="F2879" s="232"/>
      <c r="J2879" s="306"/>
      <c r="K2879" s="306"/>
      <c r="L2879" s="313"/>
      <c r="M2879" s="219"/>
      <c r="N2879" s="218"/>
      <c r="S2879" s="224"/>
      <c r="T2879" s="228"/>
      <c r="U2879" s="226"/>
      <c r="V2879" s="226"/>
      <c r="W2879" s="227"/>
      <c r="X2879" s="220"/>
      <c r="Z2879" s="227"/>
      <c r="AA2879" s="220"/>
      <c r="AB2879" s="221"/>
      <c r="AC2879" s="229"/>
      <c r="AD2879" s="230"/>
      <c r="AE2879" s="230"/>
      <c r="AF2879" s="230"/>
      <c r="AG2879" s="227"/>
    </row>
    <row r="2880" spans="1:33" x14ac:dyDescent="0.25">
      <c r="A2880" s="32"/>
      <c r="B2880" s="306"/>
      <c r="C2880" s="307"/>
      <c r="D2880" s="312"/>
      <c r="E2880" s="301"/>
      <c r="F2880" s="232"/>
      <c r="J2880" s="306"/>
      <c r="K2880" s="306"/>
      <c r="L2880" s="313"/>
      <c r="M2880" s="219"/>
      <c r="N2880" s="218"/>
      <c r="S2880" s="224"/>
      <c r="T2880" s="228"/>
      <c r="U2880" s="226"/>
      <c r="V2880" s="226"/>
      <c r="W2880" s="227"/>
      <c r="X2880" s="220"/>
      <c r="Z2880" s="227"/>
      <c r="AA2880" s="220"/>
      <c r="AB2880" s="221"/>
      <c r="AC2880" s="229"/>
      <c r="AD2880" s="230"/>
      <c r="AE2880" s="230"/>
      <c r="AF2880" s="230"/>
      <c r="AG2880" s="227"/>
    </row>
    <row r="2881" spans="1:33" x14ac:dyDescent="0.25">
      <c r="A2881" s="32"/>
      <c r="B2881" s="306"/>
      <c r="C2881" s="307"/>
      <c r="D2881" s="312"/>
      <c r="E2881" s="301"/>
      <c r="F2881" s="232"/>
      <c r="J2881" s="306"/>
      <c r="K2881" s="306"/>
      <c r="L2881" s="313"/>
      <c r="M2881" s="219"/>
      <c r="N2881" s="218"/>
      <c r="S2881" s="224"/>
      <c r="T2881" s="228"/>
      <c r="U2881" s="226"/>
      <c r="V2881" s="226"/>
      <c r="W2881" s="227"/>
      <c r="X2881" s="220"/>
      <c r="Z2881" s="227"/>
      <c r="AA2881" s="220"/>
      <c r="AB2881" s="221"/>
      <c r="AC2881" s="229"/>
      <c r="AD2881" s="230"/>
      <c r="AE2881" s="230"/>
      <c r="AF2881" s="230"/>
      <c r="AG2881" s="227"/>
    </row>
    <row r="2882" spans="1:33" x14ac:dyDescent="0.25">
      <c r="A2882" s="32"/>
      <c r="B2882" s="306"/>
      <c r="C2882" s="307"/>
      <c r="D2882" s="312"/>
      <c r="E2882" s="301"/>
      <c r="F2882" s="232"/>
      <c r="J2882" s="306"/>
      <c r="K2882" s="306"/>
      <c r="L2882" s="313"/>
      <c r="M2882" s="219"/>
      <c r="N2882" s="218"/>
      <c r="S2882" s="224"/>
      <c r="T2882" s="228"/>
      <c r="U2882" s="226"/>
      <c r="V2882" s="226"/>
      <c r="W2882" s="227"/>
      <c r="X2882" s="220"/>
      <c r="Z2882" s="227"/>
      <c r="AA2882" s="220"/>
      <c r="AB2882" s="221"/>
      <c r="AC2882" s="229"/>
      <c r="AD2882" s="230"/>
      <c r="AE2882" s="230"/>
      <c r="AF2882" s="230"/>
      <c r="AG2882" s="227"/>
    </row>
    <row r="2883" spans="1:33" x14ac:dyDescent="0.25">
      <c r="A2883" s="32"/>
      <c r="B2883" s="306"/>
      <c r="C2883" s="307"/>
      <c r="D2883" s="312"/>
      <c r="E2883" s="301"/>
      <c r="F2883" s="232"/>
      <c r="J2883" s="306"/>
      <c r="K2883" s="306"/>
      <c r="L2883" s="313"/>
      <c r="M2883" s="219"/>
      <c r="N2883" s="218"/>
      <c r="S2883" s="224"/>
      <c r="T2883" s="228"/>
      <c r="U2883" s="226"/>
      <c r="V2883" s="226"/>
      <c r="W2883" s="227"/>
      <c r="X2883" s="220"/>
      <c r="Z2883" s="227"/>
      <c r="AA2883" s="220"/>
      <c r="AB2883" s="221"/>
      <c r="AC2883" s="229"/>
      <c r="AD2883" s="230"/>
      <c r="AE2883" s="230"/>
      <c r="AF2883" s="230"/>
      <c r="AG2883" s="227"/>
    </row>
    <row r="2884" spans="1:33" x14ac:dyDescent="0.25">
      <c r="A2884" s="32"/>
      <c r="B2884" s="306"/>
      <c r="C2884" s="307"/>
      <c r="D2884" s="312"/>
      <c r="E2884" s="301"/>
      <c r="F2884" s="232"/>
      <c r="J2884" s="306"/>
      <c r="K2884" s="306"/>
      <c r="L2884" s="313"/>
      <c r="M2884" s="219"/>
      <c r="N2884" s="218"/>
      <c r="S2884" s="224"/>
      <c r="T2884" s="228"/>
      <c r="U2884" s="226"/>
      <c r="V2884" s="226"/>
      <c r="W2884" s="227"/>
      <c r="X2884" s="220"/>
      <c r="Z2884" s="227"/>
      <c r="AA2884" s="220"/>
      <c r="AB2884" s="221"/>
      <c r="AC2884" s="229"/>
      <c r="AD2884" s="230"/>
      <c r="AE2884" s="230"/>
      <c r="AF2884" s="230"/>
      <c r="AG2884" s="227"/>
    </row>
    <row r="2885" spans="1:33" x14ac:dyDescent="0.25">
      <c r="A2885" s="32"/>
      <c r="B2885" s="306"/>
      <c r="C2885" s="307"/>
      <c r="D2885" s="312"/>
      <c r="E2885" s="301"/>
      <c r="F2885" s="232"/>
      <c r="J2885" s="306"/>
      <c r="K2885" s="306"/>
      <c r="L2885" s="313"/>
      <c r="M2885" s="219"/>
      <c r="N2885" s="218"/>
      <c r="S2885" s="224"/>
      <c r="T2885" s="228"/>
      <c r="U2885" s="226"/>
      <c r="V2885" s="226"/>
      <c r="W2885" s="227"/>
      <c r="X2885" s="220"/>
      <c r="Z2885" s="227"/>
      <c r="AA2885" s="220"/>
      <c r="AB2885" s="221"/>
      <c r="AC2885" s="229"/>
      <c r="AD2885" s="230"/>
      <c r="AE2885" s="230"/>
      <c r="AF2885" s="230"/>
      <c r="AG2885" s="227"/>
    </row>
    <row r="2886" spans="1:33" x14ac:dyDescent="0.25">
      <c r="A2886" s="32"/>
      <c r="B2886" s="306"/>
      <c r="C2886" s="307"/>
      <c r="D2886" s="312"/>
      <c r="E2886" s="301"/>
      <c r="F2886" s="232"/>
      <c r="J2886" s="306"/>
      <c r="K2886" s="306"/>
      <c r="L2886" s="313"/>
      <c r="M2886" s="219"/>
      <c r="N2886" s="218"/>
      <c r="S2886" s="224"/>
      <c r="T2886" s="228"/>
      <c r="U2886" s="226"/>
      <c r="V2886" s="226"/>
      <c r="W2886" s="227"/>
      <c r="X2886" s="220"/>
      <c r="Z2886" s="227"/>
      <c r="AA2886" s="220"/>
      <c r="AB2886" s="221"/>
      <c r="AC2886" s="229"/>
      <c r="AD2886" s="230"/>
      <c r="AE2886" s="230"/>
      <c r="AF2886" s="230"/>
      <c r="AG2886" s="227"/>
    </row>
    <row r="2887" spans="1:33" x14ac:dyDescent="0.25">
      <c r="A2887" s="32"/>
      <c r="B2887" s="306"/>
      <c r="C2887" s="307"/>
      <c r="D2887" s="312"/>
      <c r="E2887" s="301"/>
      <c r="F2887" s="232"/>
      <c r="J2887" s="306"/>
      <c r="K2887" s="306"/>
      <c r="L2887" s="313"/>
      <c r="M2887" s="219"/>
      <c r="N2887" s="218"/>
      <c r="S2887" s="224"/>
      <c r="T2887" s="228"/>
      <c r="U2887" s="226"/>
      <c r="V2887" s="226"/>
      <c r="W2887" s="227"/>
      <c r="X2887" s="220"/>
      <c r="Z2887" s="227"/>
      <c r="AA2887" s="220"/>
      <c r="AB2887" s="221"/>
      <c r="AC2887" s="229"/>
      <c r="AD2887" s="230"/>
      <c r="AE2887" s="230"/>
      <c r="AF2887" s="230"/>
      <c r="AG2887" s="227"/>
    </row>
    <row r="2888" spans="1:33" x14ac:dyDescent="0.25">
      <c r="A2888" s="32"/>
      <c r="B2888" s="306"/>
      <c r="C2888" s="307"/>
      <c r="D2888" s="312"/>
      <c r="E2888" s="301"/>
      <c r="F2888" s="232"/>
      <c r="J2888" s="306"/>
      <c r="K2888" s="306"/>
      <c r="L2888" s="313"/>
      <c r="M2888" s="219"/>
      <c r="N2888" s="218"/>
      <c r="S2888" s="224"/>
      <c r="T2888" s="228"/>
      <c r="U2888" s="226"/>
      <c r="V2888" s="226"/>
      <c r="W2888" s="227"/>
      <c r="X2888" s="220"/>
      <c r="Z2888" s="227"/>
      <c r="AA2888" s="220"/>
      <c r="AB2888" s="221"/>
      <c r="AC2888" s="229"/>
      <c r="AD2888" s="230"/>
      <c r="AE2888" s="230"/>
      <c r="AF2888" s="230"/>
      <c r="AG2888" s="227"/>
    </row>
    <row r="2889" spans="1:33" x14ac:dyDescent="0.25">
      <c r="A2889" s="32"/>
      <c r="B2889" s="306"/>
      <c r="C2889" s="307"/>
      <c r="D2889" s="312"/>
      <c r="E2889" s="301"/>
      <c r="F2889" s="232"/>
      <c r="J2889" s="306"/>
      <c r="K2889" s="306"/>
      <c r="L2889" s="313"/>
      <c r="M2889" s="219"/>
      <c r="N2889" s="218"/>
      <c r="S2889" s="224"/>
      <c r="T2889" s="228"/>
      <c r="U2889" s="226"/>
      <c r="V2889" s="226"/>
      <c r="W2889" s="227"/>
      <c r="X2889" s="220"/>
      <c r="Z2889" s="227"/>
      <c r="AA2889" s="220"/>
      <c r="AB2889" s="221"/>
      <c r="AC2889" s="229"/>
      <c r="AD2889" s="230"/>
      <c r="AE2889" s="230"/>
      <c r="AF2889" s="230"/>
      <c r="AG2889" s="227"/>
    </row>
    <row r="2890" spans="1:33" x14ac:dyDescent="0.25">
      <c r="A2890" s="32"/>
      <c r="B2890" s="306"/>
      <c r="C2890" s="307"/>
      <c r="D2890" s="312"/>
      <c r="E2890" s="301"/>
      <c r="F2890" s="232"/>
      <c r="J2890" s="306"/>
      <c r="K2890" s="306"/>
      <c r="L2890" s="313"/>
      <c r="M2890" s="219"/>
      <c r="N2890" s="218"/>
      <c r="S2890" s="224"/>
      <c r="T2890" s="228"/>
      <c r="U2890" s="226"/>
      <c r="V2890" s="226"/>
      <c r="W2890" s="227"/>
      <c r="X2890" s="220"/>
      <c r="Z2890" s="227"/>
      <c r="AA2890" s="220"/>
      <c r="AB2890" s="221"/>
      <c r="AC2890" s="229"/>
      <c r="AD2890" s="230"/>
      <c r="AE2890" s="230"/>
      <c r="AF2890" s="230"/>
      <c r="AG2890" s="227"/>
    </row>
    <row r="2891" spans="1:33" x14ac:dyDescent="0.25">
      <c r="A2891" s="32"/>
      <c r="B2891" s="306"/>
      <c r="C2891" s="307"/>
      <c r="D2891" s="312"/>
      <c r="E2891" s="301"/>
      <c r="F2891" s="232"/>
      <c r="J2891" s="306"/>
      <c r="K2891" s="306"/>
      <c r="L2891" s="313"/>
      <c r="M2891" s="219"/>
      <c r="N2891" s="218"/>
      <c r="S2891" s="224"/>
      <c r="T2891" s="228"/>
      <c r="U2891" s="226"/>
      <c r="V2891" s="226"/>
      <c r="W2891" s="227"/>
      <c r="X2891" s="220"/>
      <c r="Z2891" s="227"/>
      <c r="AA2891" s="220"/>
      <c r="AB2891" s="221"/>
      <c r="AC2891" s="229"/>
      <c r="AD2891" s="230"/>
      <c r="AE2891" s="230"/>
      <c r="AF2891" s="230"/>
      <c r="AG2891" s="227"/>
    </row>
    <row r="2892" spans="1:33" x14ac:dyDescent="0.25">
      <c r="A2892" s="32"/>
      <c r="B2892" s="306"/>
      <c r="C2892" s="307"/>
      <c r="D2892" s="312"/>
      <c r="E2892" s="301"/>
      <c r="F2892" s="232"/>
      <c r="J2892" s="306"/>
      <c r="K2892" s="306"/>
      <c r="L2892" s="313"/>
      <c r="M2892" s="219"/>
      <c r="N2892" s="218"/>
      <c r="S2892" s="224"/>
      <c r="T2892" s="228"/>
      <c r="U2892" s="226"/>
      <c r="V2892" s="226"/>
      <c r="W2892" s="227"/>
      <c r="X2892" s="220"/>
      <c r="Z2892" s="227"/>
      <c r="AA2892" s="220"/>
      <c r="AB2892" s="221"/>
      <c r="AC2892" s="229"/>
      <c r="AD2892" s="230"/>
      <c r="AE2892" s="230"/>
      <c r="AF2892" s="230"/>
      <c r="AG2892" s="227"/>
    </row>
    <row r="2893" spans="1:33" x14ac:dyDescent="0.25">
      <c r="A2893" s="32"/>
      <c r="B2893" s="306"/>
      <c r="C2893" s="307"/>
      <c r="D2893" s="312"/>
      <c r="E2893" s="301"/>
      <c r="F2893" s="232"/>
      <c r="J2893" s="306"/>
      <c r="K2893" s="306"/>
      <c r="L2893" s="313"/>
      <c r="M2893" s="219"/>
      <c r="N2893" s="218"/>
      <c r="S2893" s="224"/>
      <c r="T2893" s="228"/>
      <c r="U2893" s="226"/>
      <c r="V2893" s="226"/>
      <c r="W2893" s="227"/>
      <c r="X2893" s="220"/>
      <c r="Z2893" s="227"/>
      <c r="AA2893" s="220"/>
      <c r="AB2893" s="221"/>
      <c r="AC2893" s="229"/>
      <c r="AD2893" s="230"/>
      <c r="AE2893" s="230"/>
      <c r="AF2893" s="230"/>
      <c r="AG2893" s="227"/>
    </row>
    <row r="2894" spans="1:33" x14ac:dyDescent="0.25">
      <c r="A2894" s="32"/>
      <c r="B2894" s="306"/>
      <c r="C2894" s="307"/>
      <c r="D2894" s="312"/>
      <c r="E2894" s="301"/>
      <c r="F2894" s="232"/>
      <c r="J2894" s="306"/>
      <c r="K2894" s="306"/>
      <c r="L2894" s="313"/>
      <c r="M2894" s="219"/>
      <c r="N2894" s="218"/>
      <c r="S2894" s="224"/>
      <c r="T2894" s="228"/>
      <c r="U2894" s="226"/>
      <c r="V2894" s="226"/>
      <c r="W2894" s="227"/>
      <c r="X2894" s="220"/>
      <c r="Z2894" s="227"/>
      <c r="AA2894" s="220"/>
      <c r="AB2894" s="221"/>
      <c r="AC2894" s="229"/>
      <c r="AD2894" s="230"/>
      <c r="AE2894" s="230"/>
      <c r="AF2894" s="230"/>
      <c r="AG2894" s="227"/>
    </row>
    <row r="2895" spans="1:33" x14ac:dyDescent="0.25">
      <c r="A2895" s="32"/>
      <c r="B2895" s="306"/>
      <c r="C2895" s="307"/>
      <c r="D2895" s="312"/>
      <c r="E2895" s="301"/>
      <c r="F2895" s="232"/>
      <c r="J2895" s="306"/>
      <c r="K2895" s="306"/>
      <c r="L2895" s="313"/>
      <c r="M2895" s="219"/>
      <c r="N2895" s="218"/>
      <c r="S2895" s="224"/>
      <c r="T2895" s="228"/>
      <c r="U2895" s="226"/>
      <c r="V2895" s="226"/>
      <c r="W2895" s="227"/>
      <c r="X2895" s="220"/>
      <c r="Z2895" s="227"/>
      <c r="AA2895" s="220"/>
      <c r="AB2895" s="221"/>
      <c r="AC2895" s="229"/>
      <c r="AD2895" s="230"/>
      <c r="AE2895" s="230"/>
      <c r="AF2895" s="230"/>
      <c r="AG2895" s="227"/>
    </row>
    <row r="2896" spans="1:33" x14ac:dyDescent="0.25">
      <c r="A2896" s="32"/>
      <c r="B2896" s="306"/>
      <c r="C2896" s="307"/>
      <c r="D2896" s="312"/>
      <c r="E2896" s="301"/>
      <c r="F2896" s="232"/>
      <c r="J2896" s="306"/>
      <c r="K2896" s="306"/>
      <c r="L2896" s="313"/>
      <c r="M2896" s="219"/>
      <c r="N2896" s="218"/>
      <c r="S2896" s="224"/>
      <c r="T2896" s="228"/>
      <c r="U2896" s="226"/>
      <c r="V2896" s="226"/>
      <c r="W2896" s="227"/>
      <c r="X2896" s="220"/>
      <c r="Z2896" s="227"/>
      <c r="AA2896" s="220"/>
      <c r="AB2896" s="221"/>
      <c r="AC2896" s="229"/>
      <c r="AD2896" s="230"/>
      <c r="AE2896" s="230"/>
      <c r="AF2896" s="230"/>
      <c r="AG2896" s="227"/>
    </row>
    <row r="2897" spans="1:33" x14ac:dyDescent="0.25">
      <c r="A2897" s="32"/>
      <c r="B2897" s="306"/>
      <c r="C2897" s="307"/>
      <c r="D2897" s="312"/>
      <c r="E2897" s="301"/>
      <c r="F2897" s="232"/>
      <c r="J2897" s="306"/>
      <c r="K2897" s="306"/>
      <c r="L2897" s="313"/>
      <c r="M2897" s="219"/>
      <c r="N2897" s="218"/>
      <c r="S2897" s="224"/>
      <c r="T2897" s="228"/>
      <c r="U2897" s="226"/>
      <c r="V2897" s="226"/>
      <c r="W2897" s="227"/>
      <c r="X2897" s="220"/>
      <c r="Z2897" s="227"/>
      <c r="AA2897" s="220"/>
      <c r="AB2897" s="221"/>
      <c r="AC2897" s="229"/>
      <c r="AD2897" s="230"/>
      <c r="AE2897" s="230"/>
      <c r="AF2897" s="230"/>
      <c r="AG2897" s="227"/>
    </row>
    <row r="2898" spans="1:33" x14ac:dyDescent="0.25">
      <c r="A2898" s="32"/>
      <c r="B2898" s="306"/>
      <c r="C2898" s="307"/>
      <c r="D2898" s="312"/>
      <c r="E2898" s="301"/>
      <c r="F2898" s="232"/>
      <c r="J2898" s="306"/>
      <c r="K2898" s="306"/>
      <c r="L2898" s="313"/>
      <c r="M2898" s="219"/>
      <c r="N2898" s="218"/>
      <c r="S2898" s="224"/>
      <c r="T2898" s="228"/>
      <c r="U2898" s="226"/>
      <c r="V2898" s="226"/>
      <c r="W2898" s="227"/>
      <c r="X2898" s="220"/>
      <c r="Z2898" s="227"/>
      <c r="AA2898" s="220"/>
      <c r="AB2898" s="221"/>
      <c r="AC2898" s="229"/>
      <c r="AD2898" s="230"/>
      <c r="AE2898" s="230"/>
      <c r="AF2898" s="230"/>
      <c r="AG2898" s="227"/>
    </row>
    <row r="2899" spans="1:33" x14ac:dyDescent="0.25">
      <c r="A2899" s="32"/>
      <c r="B2899" s="306"/>
      <c r="C2899" s="307"/>
      <c r="D2899" s="312"/>
      <c r="E2899" s="301"/>
      <c r="F2899" s="232"/>
      <c r="J2899" s="306"/>
      <c r="K2899" s="306"/>
      <c r="L2899" s="313"/>
      <c r="M2899" s="219"/>
      <c r="N2899" s="218"/>
      <c r="S2899" s="224"/>
      <c r="T2899" s="228"/>
      <c r="U2899" s="226"/>
      <c r="V2899" s="226"/>
      <c r="W2899" s="227"/>
      <c r="X2899" s="220"/>
      <c r="Z2899" s="227"/>
      <c r="AA2899" s="220"/>
      <c r="AB2899" s="221"/>
      <c r="AC2899" s="229"/>
      <c r="AD2899" s="230"/>
      <c r="AE2899" s="230"/>
      <c r="AF2899" s="230"/>
      <c r="AG2899" s="227"/>
    </row>
    <row r="2900" spans="1:33" x14ac:dyDescent="0.25">
      <c r="A2900" s="32"/>
      <c r="B2900" s="306"/>
      <c r="C2900" s="307"/>
      <c r="D2900" s="312"/>
      <c r="E2900" s="301"/>
      <c r="F2900" s="232"/>
      <c r="J2900" s="306"/>
      <c r="K2900" s="306"/>
      <c r="L2900" s="313"/>
      <c r="M2900" s="219"/>
      <c r="N2900" s="218"/>
      <c r="S2900" s="224"/>
      <c r="T2900" s="228"/>
      <c r="U2900" s="226"/>
      <c r="V2900" s="226"/>
      <c r="W2900" s="227"/>
      <c r="X2900" s="220"/>
      <c r="Z2900" s="227"/>
      <c r="AA2900" s="220"/>
      <c r="AB2900" s="221"/>
      <c r="AC2900" s="229"/>
      <c r="AD2900" s="230"/>
      <c r="AE2900" s="230"/>
      <c r="AF2900" s="230"/>
      <c r="AG2900" s="227"/>
    </row>
    <row r="2901" spans="1:33" x14ac:dyDescent="0.25">
      <c r="A2901" s="32"/>
      <c r="B2901" s="306"/>
      <c r="C2901" s="307"/>
      <c r="D2901" s="312"/>
      <c r="E2901" s="301"/>
      <c r="F2901" s="232"/>
      <c r="J2901" s="306"/>
      <c r="K2901" s="306"/>
      <c r="L2901" s="313"/>
      <c r="M2901" s="219"/>
      <c r="N2901" s="218"/>
      <c r="S2901" s="224"/>
      <c r="T2901" s="228"/>
      <c r="U2901" s="226"/>
      <c r="V2901" s="226"/>
      <c r="W2901" s="227"/>
      <c r="X2901" s="220"/>
      <c r="Z2901" s="227"/>
      <c r="AA2901" s="220"/>
      <c r="AB2901" s="221"/>
      <c r="AC2901" s="229"/>
      <c r="AD2901" s="230"/>
      <c r="AE2901" s="230"/>
      <c r="AF2901" s="230"/>
      <c r="AG2901" s="227"/>
    </row>
    <row r="2902" spans="1:33" x14ac:dyDescent="0.25">
      <c r="A2902" s="32"/>
      <c r="B2902" s="306"/>
      <c r="C2902" s="307"/>
      <c r="D2902" s="312"/>
      <c r="E2902" s="301"/>
      <c r="F2902" s="232"/>
      <c r="J2902" s="306"/>
      <c r="K2902" s="306"/>
      <c r="L2902" s="313"/>
      <c r="M2902" s="219"/>
      <c r="N2902" s="218"/>
      <c r="S2902" s="224"/>
      <c r="T2902" s="228"/>
      <c r="U2902" s="226"/>
      <c r="V2902" s="226"/>
      <c r="W2902" s="227"/>
      <c r="X2902" s="220"/>
      <c r="Z2902" s="227"/>
      <c r="AA2902" s="220"/>
      <c r="AB2902" s="221"/>
      <c r="AC2902" s="229"/>
      <c r="AD2902" s="230"/>
      <c r="AE2902" s="230"/>
      <c r="AF2902" s="230"/>
      <c r="AG2902" s="227"/>
    </row>
    <row r="2903" spans="1:33" x14ac:dyDescent="0.25">
      <c r="A2903" s="32"/>
      <c r="B2903" s="306"/>
      <c r="C2903" s="307"/>
      <c r="D2903" s="312"/>
      <c r="E2903" s="301"/>
      <c r="F2903" s="232"/>
      <c r="J2903" s="306"/>
      <c r="K2903" s="306"/>
      <c r="L2903" s="313"/>
      <c r="M2903" s="219"/>
      <c r="N2903" s="218"/>
      <c r="S2903" s="224"/>
      <c r="T2903" s="228"/>
      <c r="U2903" s="226"/>
      <c r="V2903" s="226"/>
      <c r="W2903" s="227"/>
      <c r="X2903" s="220"/>
      <c r="Z2903" s="227"/>
      <c r="AA2903" s="220"/>
      <c r="AB2903" s="221"/>
      <c r="AC2903" s="229"/>
      <c r="AD2903" s="230"/>
      <c r="AE2903" s="230"/>
      <c r="AF2903" s="230"/>
      <c r="AG2903" s="227"/>
    </row>
    <row r="2904" spans="1:33" x14ac:dyDescent="0.25">
      <c r="A2904" s="32"/>
      <c r="B2904" s="306"/>
      <c r="C2904" s="307"/>
      <c r="D2904" s="312"/>
      <c r="E2904" s="301"/>
      <c r="F2904" s="232"/>
      <c r="J2904" s="306"/>
      <c r="K2904" s="306"/>
      <c r="L2904" s="313"/>
      <c r="M2904" s="219"/>
      <c r="N2904" s="218"/>
      <c r="S2904" s="224"/>
      <c r="T2904" s="228"/>
      <c r="U2904" s="226"/>
      <c r="V2904" s="226"/>
      <c r="W2904" s="227"/>
      <c r="X2904" s="220"/>
      <c r="Z2904" s="227"/>
      <c r="AA2904" s="220"/>
      <c r="AB2904" s="221"/>
      <c r="AC2904" s="229"/>
      <c r="AD2904" s="230"/>
      <c r="AE2904" s="230"/>
      <c r="AF2904" s="230"/>
      <c r="AG2904" s="227"/>
    </row>
    <row r="2905" spans="1:33" x14ac:dyDescent="0.25">
      <c r="A2905" s="32"/>
      <c r="B2905" s="306"/>
      <c r="C2905" s="307"/>
      <c r="D2905" s="312"/>
      <c r="E2905" s="301"/>
      <c r="F2905" s="232"/>
      <c r="J2905" s="306"/>
      <c r="K2905" s="306"/>
      <c r="L2905" s="313"/>
      <c r="M2905" s="219"/>
      <c r="N2905" s="218"/>
      <c r="S2905" s="224"/>
      <c r="T2905" s="228"/>
      <c r="U2905" s="226"/>
      <c r="V2905" s="226"/>
      <c r="W2905" s="227"/>
      <c r="X2905" s="220"/>
      <c r="Z2905" s="227"/>
      <c r="AA2905" s="220"/>
      <c r="AB2905" s="221"/>
      <c r="AC2905" s="229"/>
      <c r="AD2905" s="230"/>
      <c r="AE2905" s="230"/>
      <c r="AF2905" s="230"/>
      <c r="AG2905" s="227"/>
    </row>
    <row r="2906" spans="1:33" x14ac:dyDescent="0.25">
      <c r="A2906" s="32"/>
      <c r="B2906" s="306"/>
      <c r="C2906" s="307"/>
      <c r="D2906" s="312"/>
      <c r="E2906" s="301"/>
      <c r="F2906" s="232"/>
      <c r="J2906" s="306"/>
      <c r="K2906" s="306"/>
      <c r="L2906" s="313"/>
      <c r="M2906" s="219"/>
      <c r="N2906" s="218"/>
      <c r="S2906" s="224"/>
      <c r="T2906" s="228"/>
      <c r="U2906" s="226"/>
      <c r="V2906" s="226"/>
      <c r="W2906" s="227"/>
      <c r="X2906" s="220"/>
      <c r="Z2906" s="227"/>
      <c r="AA2906" s="220"/>
      <c r="AB2906" s="221"/>
      <c r="AC2906" s="229"/>
      <c r="AD2906" s="230"/>
      <c r="AE2906" s="230"/>
      <c r="AF2906" s="230"/>
      <c r="AG2906" s="227"/>
    </row>
    <row r="2907" spans="1:33" x14ac:dyDescent="0.25">
      <c r="A2907" s="32"/>
      <c r="B2907" s="306"/>
      <c r="C2907" s="307"/>
      <c r="D2907" s="312"/>
      <c r="E2907" s="301"/>
      <c r="F2907" s="232"/>
      <c r="J2907" s="306"/>
      <c r="K2907" s="306"/>
      <c r="L2907" s="313"/>
      <c r="M2907" s="219"/>
      <c r="N2907" s="218"/>
      <c r="S2907" s="224"/>
      <c r="T2907" s="228"/>
      <c r="U2907" s="226"/>
      <c r="V2907" s="226"/>
      <c r="W2907" s="227"/>
      <c r="X2907" s="220"/>
      <c r="Z2907" s="227"/>
      <c r="AA2907" s="220"/>
      <c r="AB2907" s="221"/>
      <c r="AC2907" s="229"/>
      <c r="AD2907" s="230"/>
      <c r="AE2907" s="230"/>
      <c r="AF2907" s="230"/>
      <c r="AG2907" s="227"/>
    </row>
    <row r="2908" spans="1:33" x14ac:dyDescent="0.25">
      <c r="A2908" s="32"/>
      <c r="B2908" s="306"/>
      <c r="C2908" s="307"/>
      <c r="D2908" s="312"/>
      <c r="E2908" s="301"/>
      <c r="F2908" s="232"/>
      <c r="J2908" s="306"/>
      <c r="K2908" s="306"/>
      <c r="L2908" s="313"/>
      <c r="M2908" s="219"/>
      <c r="N2908" s="218"/>
      <c r="S2908" s="224"/>
      <c r="T2908" s="228"/>
      <c r="U2908" s="226"/>
      <c r="V2908" s="226"/>
      <c r="W2908" s="227"/>
      <c r="X2908" s="220"/>
      <c r="Z2908" s="227"/>
      <c r="AA2908" s="220"/>
      <c r="AB2908" s="221"/>
      <c r="AC2908" s="229"/>
      <c r="AD2908" s="230"/>
      <c r="AE2908" s="230"/>
      <c r="AF2908" s="230"/>
      <c r="AG2908" s="227"/>
    </row>
    <row r="2909" spans="1:33" x14ac:dyDescent="0.25">
      <c r="A2909" s="32"/>
      <c r="B2909" s="306"/>
      <c r="C2909" s="307"/>
      <c r="D2909" s="312"/>
      <c r="E2909" s="301"/>
      <c r="F2909" s="232"/>
      <c r="J2909" s="306"/>
      <c r="K2909" s="306"/>
      <c r="L2909" s="313"/>
      <c r="M2909" s="219"/>
      <c r="N2909" s="218"/>
      <c r="S2909" s="224"/>
      <c r="T2909" s="228"/>
      <c r="U2909" s="226"/>
      <c r="V2909" s="226"/>
      <c r="W2909" s="227"/>
      <c r="X2909" s="220"/>
      <c r="Z2909" s="227"/>
      <c r="AA2909" s="220"/>
      <c r="AB2909" s="221"/>
      <c r="AC2909" s="229"/>
      <c r="AD2909" s="230"/>
      <c r="AE2909" s="230"/>
      <c r="AF2909" s="230"/>
      <c r="AG2909" s="227"/>
    </row>
    <row r="2910" spans="1:33" x14ac:dyDescent="0.25">
      <c r="A2910" s="32"/>
      <c r="B2910" s="306"/>
      <c r="C2910" s="307"/>
      <c r="D2910" s="312"/>
      <c r="E2910" s="301"/>
      <c r="F2910" s="232"/>
      <c r="J2910" s="306"/>
      <c r="K2910" s="306"/>
      <c r="L2910" s="313"/>
      <c r="M2910" s="219"/>
      <c r="N2910" s="218"/>
      <c r="S2910" s="224"/>
      <c r="T2910" s="228"/>
      <c r="U2910" s="226"/>
      <c r="V2910" s="226"/>
      <c r="W2910" s="227"/>
      <c r="X2910" s="220"/>
      <c r="Z2910" s="227"/>
      <c r="AA2910" s="220"/>
      <c r="AB2910" s="221"/>
      <c r="AC2910" s="229"/>
      <c r="AD2910" s="230"/>
      <c r="AE2910" s="230"/>
      <c r="AF2910" s="230"/>
      <c r="AG2910" s="227"/>
    </row>
    <row r="2911" spans="1:33" x14ac:dyDescent="0.25">
      <c r="A2911" s="32"/>
      <c r="B2911" s="306"/>
      <c r="C2911" s="307"/>
      <c r="D2911" s="312"/>
      <c r="E2911" s="301"/>
      <c r="F2911" s="232"/>
      <c r="J2911" s="306"/>
      <c r="K2911" s="306"/>
      <c r="L2911" s="313"/>
      <c r="M2911" s="219"/>
      <c r="N2911" s="218"/>
      <c r="S2911" s="224"/>
      <c r="T2911" s="228"/>
      <c r="U2911" s="226"/>
      <c r="V2911" s="226"/>
      <c r="W2911" s="227"/>
      <c r="X2911" s="220"/>
      <c r="Z2911" s="227"/>
      <c r="AA2911" s="220"/>
      <c r="AB2911" s="221"/>
      <c r="AC2911" s="229"/>
      <c r="AD2911" s="230"/>
      <c r="AE2911" s="230"/>
      <c r="AF2911" s="230"/>
      <c r="AG2911" s="227"/>
    </row>
    <row r="2912" spans="1:33" x14ac:dyDescent="0.25">
      <c r="A2912" s="32"/>
      <c r="B2912" s="306"/>
      <c r="C2912" s="307"/>
      <c r="D2912" s="312"/>
      <c r="E2912" s="301"/>
      <c r="F2912" s="232"/>
      <c r="J2912" s="306"/>
      <c r="K2912" s="306"/>
      <c r="L2912" s="313"/>
      <c r="M2912" s="219"/>
      <c r="N2912" s="218"/>
      <c r="S2912" s="224"/>
      <c r="T2912" s="228"/>
      <c r="U2912" s="226"/>
      <c r="V2912" s="226"/>
      <c r="W2912" s="227"/>
      <c r="X2912" s="220"/>
      <c r="Z2912" s="227"/>
      <c r="AA2912" s="220"/>
      <c r="AB2912" s="221"/>
      <c r="AC2912" s="229"/>
      <c r="AD2912" s="230"/>
      <c r="AE2912" s="230"/>
      <c r="AF2912" s="230"/>
      <c r="AG2912" s="227"/>
    </row>
    <row r="2913" spans="1:33" x14ac:dyDescent="0.25">
      <c r="A2913" s="32"/>
      <c r="B2913" s="306"/>
      <c r="C2913" s="307"/>
      <c r="D2913" s="312"/>
      <c r="E2913" s="301"/>
      <c r="F2913" s="232"/>
      <c r="J2913" s="306"/>
      <c r="K2913" s="306"/>
      <c r="L2913" s="313"/>
      <c r="M2913" s="219"/>
      <c r="N2913" s="218"/>
      <c r="S2913" s="224"/>
      <c r="T2913" s="228"/>
      <c r="U2913" s="226"/>
      <c r="V2913" s="226"/>
      <c r="W2913" s="227"/>
      <c r="X2913" s="220"/>
      <c r="Z2913" s="227"/>
      <c r="AA2913" s="220"/>
      <c r="AB2913" s="221"/>
      <c r="AC2913" s="229"/>
      <c r="AD2913" s="230"/>
      <c r="AE2913" s="230"/>
      <c r="AF2913" s="230"/>
      <c r="AG2913" s="227"/>
    </row>
    <row r="2914" spans="1:33" x14ac:dyDescent="0.25">
      <c r="A2914" s="32"/>
      <c r="B2914" s="306"/>
      <c r="C2914" s="307"/>
      <c r="D2914" s="312"/>
      <c r="E2914" s="301"/>
      <c r="F2914" s="232"/>
      <c r="J2914" s="306"/>
      <c r="K2914" s="306"/>
      <c r="L2914" s="313"/>
      <c r="M2914" s="219"/>
      <c r="N2914" s="218"/>
      <c r="S2914" s="224"/>
      <c r="T2914" s="228"/>
      <c r="U2914" s="226"/>
      <c r="V2914" s="226"/>
      <c r="W2914" s="227"/>
      <c r="X2914" s="220"/>
      <c r="Z2914" s="227"/>
      <c r="AA2914" s="220"/>
      <c r="AB2914" s="221"/>
      <c r="AC2914" s="229"/>
      <c r="AD2914" s="230"/>
      <c r="AE2914" s="230"/>
      <c r="AF2914" s="230"/>
      <c r="AG2914" s="227"/>
    </row>
    <row r="2915" spans="1:33" x14ac:dyDescent="0.25">
      <c r="A2915" s="32"/>
      <c r="B2915" s="306"/>
      <c r="C2915" s="307"/>
      <c r="D2915" s="312"/>
      <c r="E2915" s="301"/>
      <c r="F2915" s="232"/>
      <c r="J2915" s="306"/>
      <c r="K2915" s="306"/>
      <c r="L2915" s="313"/>
      <c r="M2915" s="219"/>
      <c r="N2915" s="218"/>
      <c r="S2915" s="224"/>
      <c r="T2915" s="228"/>
      <c r="U2915" s="226"/>
      <c r="V2915" s="226"/>
      <c r="W2915" s="227"/>
      <c r="X2915" s="220"/>
      <c r="Z2915" s="227"/>
      <c r="AA2915" s="220"/>
      <c r="AB2915" s="221"/>
      <c r="AC2915" s="229"/>
      <c r="AD2915" s="230"/>
      <c r="AE2915" s="230"/>
      <c r="AF2915" s="230"/>
      <c r="AG2915" s="227"/>
    </row>
    <row r="2916" spans="1:33" x14ac:dyDescent="0.25">
      <c r="A2916" s="32"/>
      <c r="B2916" s="306"/>
      <c r="C2916" s="307"/>
      <c r="D2916" s="312"/>
      <c r="E2916" s="301"/>
      <c r="F2916" s="232"/>
      <c r="J2916" s="306"/>
      <c r="K2916" s="306"/>
      <c r="L2916" s="313"/>
      <c r="M2916" s="219"/>
      <c r="N2916" s="218"/>
      <c r="S2916" s="224"/>
      <c r="T2916" s="228"/>
      <c r="U2916" s="226"/>
      <c r="V2916" s="226"/>
      <c r="W2916" s="227"/>
      <c r="X2916" s="220"/>
      <c r="Z2916" s="227"/>
      <c r="AA2916" s="220"/>
      <c r="AB2916" s="221"/>
      <c r="AC2916" s="229"/>
      <c r="AD2916" s="230"/>
      <c r="AE2916" s="230"/>
      <c r="AF2916" s="230"/>
      <c r="AG2916" s="227"/>
    </row>
    <row r="2917" spans="1:33" x14ac:dyDescent="0.25">
      <c r="A2917" s="32"/>
      <c r="B2917" s="306"/>
      <c r="C2917" s="307"/>
      <c r="D2917" s="312"/>
      <c r="E2917" s="301"/>
      <c r="F2917" s="232"/>
      <c r="J2917" s="306"/>
      <c r="K2917" s="306"/>
      <c r="L2917" s="313"/>
      <c r="M2917" s="219"/>
      <c r="N2917" s="218"/>
      <c r="S2917" s="224"/>
      <c r="T2917" s="228"/>
      <c r="U2917" s="226"/>
      <c r="V2917" s="226"/>
      <c r="W2917" s="227"/>
      <c r="X2917" s="220"/>
      <c r="Z2917" s="227"/>
      <c r="AA2917" s="220"/>
      <c r="AB2917" s="221"/>
      <c r="AC2917" s="229"/>
      <c r="AD2917" s="230"/>
      <c r="AE2917" s="230"/>
      <c r="AF2917" s="230"/>
      <c r="AG2917" s="227"/>
    </row>
    <row r="2918" spans="1:33" x14ac:dyDescent="0.25">
      <c r="A2918" s="32"/>
      <c r="B2918" s="306"/>
      <c r="C2918" s="307"/>
      <c r="D2918" s="312"/>
      <c r="E2918" s="301"/>
      <c r="F2918" s="232"/>
      <c r="J2918" s="306"/>
      <c r="K2918" s="306"/>
      <c r="L2918" s="313"/>
      <c r="M2918" s="219"/>
      <c r="N2918" s="218"/>
      <c r="S2918" s="224"/>
      <c r="T2918" s="228"/>
      <c r="U2918" s="226"/>
      <c r="V2918" s="226"/>
      <c r="W2918" s="227"/>
      <c r="X2918" s="220"/>
      <c r="Z2918" s="227"/>
      <c r="AA2918" s="220"/>
      <c r="AB2918" s="221"/>
      <c r="AC2918" s="229"/>
      <c r="AD2918" s="230"/>
      <c r="AE2918" s="230"/>
      <c r="AF2918" s="230"/>
      <c r="AG2918" s="227"/>
    </row>
    <row r="2919" spans="1:33" x14ac:dyDescent="0.25">
      <c r="A2919" s="32"/>
      <c r="B2919" s="306"/>
      <c r="C2919" s="307"/>
      <c r="D2919" s="312"/>
      <c r="E2919" s="301"/>
      <c r="F2919" s="232"/>
      <c r="J2919" s="306"/>
      <c r="K2919" s="306"/>
      <c r="L2919" s="313"/>
      <c r="M2919" s="219"/>
      <c r="N2919" s="218"/>
      <c r="S2919" s="224"/>
      <c r="T2919" s="228"/>
      <c r="U2919" s="226"/>
      <c r="V2919" s="226"/>
      <c r="W2919" s="227"/>
      <c r="X2919" s="220"/>
      <c r="Z2919" s="227"/>
      <c r="AA2919" s="220"/>
      <c r="AB2919" s="221"/>
      <c r="AC2919" s="229"/>
      <c r="AD2919" s="230"/>
      <c r="AE2919" s="230"/>
      <c r="AF2919" s="230"/>
      <c r="AG2919" s="227"/>
    </row>
    <row r="2920" spans="1:33" x14ac:dyDescent="0.25">
      <c r="A2920" s="32"/>
      <c r="B2920" s="306"/>
      <c r="C2920" s="307"/>
      <c r="D2920" s="312"/>
      <c r="E2920" s="301"/>
      <c r="F2920" s="232"/>
      <c r="J2920" s="306"/>
      <c r="K2920" s="306"/>
      <c r="L2920" s="313"/>
      <c r="M2920" s="219"/>
      <c r="N2920" s="218"/>
      <c r="S2920" s="224"/>
      <c r="T2920" s="228"/>
      <c r="U2920" s="226"/>
      <c r="V2920" s="226"/>
      <c r="W2920" s="227"/>
      <c r="X2920" s="220"/>
      <c r="Z2920" s="227"/>
      <c r="AA2920" s="220"/>
      <c r="AB2920" s="221"/>
      <c r="AC2920" s="229"/>
      <c r="AD2920" s="230"/>
      <c r="AE2920" s="230"/>
      <c r="AF2920" s="230"/>
      <c r="AG2920" s="227"/>
    </row>
    <row r="2921" spans="1:33" x14ac:dyDescent="0.25">
      <c r="A2921" s="32"/>
      <c r="B2921" s="306"/>
      <c r="C2921" s="307"/>
      <c r="D2921" s="312"/>
      <c r="E2921" s="301"/>
      <c r="F2921" s="232"/>
      <c r="J2921" s="306"/>
      <c r="K2921" s="306"/>
      <c r="L2921" s="313"/>
      <c r="M2921" s="219"/>
      <c r="N2921" s="218"/>
      <c r="S2921" s="224"/>
      <c r="T2921" s="228"/>
      <c r="U2921" s="226"/>
      <c r="V2921" s="226"/>
      <c r="W2921" s="227"/>
      <c r="X2921" s="220"/>
      <c r="Z2921" s="227"/>
      <c r="AA2921" s="220"/>
      <c r="AB2921" s="221"/>
      <c r="AC2921" s="229"/>
      <c r="AD2921" s="230"/>
      <c r="AE2921" s="230"/>
      <c r="AF2921" s="230"/>
      <c r="AG2921" s="227"/>
    </row>
    <row r="2922" spans="1:33" x14ac:dyDescent="0.25">
      <c r="A2922" s="32"/>
      <c r="B2922" s="306"/>
      <c r="C2922" s="307"/>
      <c r="D2922" s="312"/>
      <c r="E2922" s="301"/>
      <c r="F2922" s="232"/>
      <c r="J2922" s="306"/>
      <c r="K2922" s="306"/>
      <c r="L2922" s="313"/>
      <c r="M2922" s="219"/>
      <c r="N2922" s="218"/>
      <c r="S2922" s="224"/>
      <c r="T2922" s="228"/>
      <c r="U2922" s="226"/>
      <c r="V2922" s="226"/>
      <c r="W2922" s="227"/>
      <c r="X2922" s="220"/>
      <c r="Z2922" s="227"/>
      <c r="AA2922" s="220"/>
      <c r="AB2922" s="221"/>
      <c r="AC2922" s="229"/>
      <c r="AD2922" s="230"/>
      <c r="AE2922" s="230"/>
      <c r="AF2922" s="230"/>
      <c r="AG2922" s="227"/>
    </row>
    <row r="2923" spans="1:33" x14ac:dyDescent="0.25">
      <c r="A2923" s="32"/>
      <c r="B2923" s="306"/>
      <c r="C2923" s="307"/>
      <c r="D2923" s="312"/>
      <c r="E2923" s="301"/>
      <c r="F2923" s="232"/>
      <c r="J2923" s="306"/>
      <c r="K2923" s="306"/>
      <c r="L2923" s="313"/>
      <c r="M2923" s="219"/>
      <c r="N2923" s="218"/>
      <c r="S2923" s="224"/>
      <c r="T2923" s="228"/>
      <c r="U2923" s="226"/>
      <c r="V2923" s="226"/>
      <c r="W2923" s="227"/>
      <c r="X2923" s="220"/>
      <c r="Z2923" s="227"/>
      <c r="AA2923" s="220"/>
      <c r="AB2923" s="221"/>
      <c r="AC2923" s="229"/>
      <c r="AD2923" s="230"/>
      <c r="AE2923" s="230"/>
      <c r="AF2923" s="230"/>
      <c r="AG2923" s="227"/>
    </row>
    <row r="2924" spans="1:33" x14ac:dyDescent="0.25">
      <c r="A2924" s="32"/>
      <c r="B2924" s="306"/>
      <c r="C2924" s="307"/>
      <c r="D2924" s="312"/>
      <c r="E2924" s="301"/>
      <c r="F2924" s="232"/>
      <c r="J2924" s="306"/>
      <c r="K2924" s="306"/>
      <c r="L2924" s="313"/>
      <c r="M2924" s="219"/>
      <c r="N2924" s="218"/>
      <c r="S2924" s="224"/>
      <c r="T2924" s="228"/>
      <c r="U2924" s="226"/>
      <c r="V2924" s="226"/>
      <c r="W2924" s="227"/>
      <c r="X2924" s="220"/>
      <c r="Z2924" s="227"/>
      <c r="AA2924" s="220"/>
      <c r="AB2924" s="221"/>
      <c r="AC2924" s="229"/>
      <c r="AD2924" s="230"/>
      <c r="AE2924" s="230"/>
      <c r="AF2924" s="230"/>
      <c r="AG2924" s="227"/>
    </row>
    <row r="2925" spans="1:33" x14ac:dyDescent="0.25">
      <c r="A2925" s="32"/>
      <c r="B2925" s="306"/>
      <c r="C2925" s="307"/>
      <c r="D2925" s="312"/>
      <c r="E2925" s="301"/>
      <c r="F2925" s="232"/>
      <c r="J2925" s="306"/>
      <c r="K2925" s="306"/>
      <c r="L2925" s="313"/>
      <c r="M2925" s="219"/>
      <c r="N2925" s="218"/>
      <c r="S2925" s="224"/>
      <c r="T2925" s="228"/>
      <c r="U2925" s="226"/>
      <c r="V2925" s="226"/>
      <c r="W2925" s="227"/>
      <c r="X2925" s="220"/>
      <c r="Z2925" s="227"/>
      <c r="AA2925" s="220"/>
      <c r="AB2925" s="221"/>
      <c r="AC2925" s="229"/>
      <c r="AD2925" s="230"/>
      <c r="AE2925" s="230"/>
      <c r="AF2925" s="230"/>
      <c r="AG2925" s="227"/>
    </row>
    <row r="2926" spans="1:33" x14ac:dyDescent="0.25">
      <c r="A2926" s="32"/>
      <c r="B2926" s="306"/>
      <c r="C2926" s="307"/>
      <c r="D2926" s="312"/>
      <c r="E2926" s="301"/>
      <c r="F2926" s="232"/>
      <c r="J2926" s="306"/>
      <c r="K2926" s="306"/>
      <c r="L2926" s="313"/>
      <c r="M2926" s="219"/>
      <c r="N2926" s="218"/>
      <c r="S2926" s="224"/>
      <c r="T2926" s="228"/>
      <c r="U2926" s="226"/>
      <c r="V2926" s="226"/>
      <c r="W2926" s="227"/>
      <c r="X2926" s="220"/>
      <c r="Z2926" s="227"/>
      <c r="AA2926" s="220"/>
      <c r="AB2926" s="221"/>
      <c r="AC2926" s="229"/>
      <c r="AD2926" s="230"/>
      <c r="AE2926" s="230"/>
      <c r="AF2926" s="230"/>
      <c r="AG2926" s="227"/>
    </row>
    <row r="2927" spans="1:33" x14ac:dyDescent="0.25">
      <c r="A2927" s="32"/>
      <c r="B2927" s="306"/>
      <c r="C2927" s="307"/>
      <c r="D2927" s="312"/>
      <c r="E2927" s="301"/>
      <c r="F2927" s="232"/>
      <c r="J2927" s="306"/>
      <c r="K2927" s="306"/>
      <c r="L2927" s="313"/>
      <c r="M2927" s="219"/>
      <c r="N2927" s="218"/>
      <c r="S2927" s="224"/>
      <c r="T2927" s="228"/>
      <c r="U2927" s="226"/>
      <c r="V2927" s="226"/>
      <c r="W2927" s="227"/>
      <c r="X2927" s="220"/>
      <c r="Z2927" s="227"/>
      <c r="AA2927" s="220"/>
      <c r="AB2927" s="221"/>
      <c r="AC2927" s="229"/>
      <c r="AD2927" s="230"/>
      <c r="AE2927" s="230"/>
      <c r="AF2927" s="230"/>
      <c r="AG2927" s="227"/>
    </row>
    <row r="2928" spans="1:33" x14ac:dyDescent="0.25">
      <c r="A2928" s="32"/>
      <c r="B2928" s="306"/>
      <c r="C2928" s="307"/>
      <c r="D2928" s="312"/>
      <c r="E2928" s="301"/>
      <c r="F2928" s="232"/>
      <c r="J2928" s="306"/>
      <c r="K2928" s="306"/>
      <c r="L2928" s="313"/>
      <c r="M2928" s="219"/>
      <c r="N2928" s="218"/>
      <c r="S2928" s="224"/>
      <c r="T2928" s="228"/>
      <c r="U2928" s="226"/>
      <c r="V2928" s="226"/>
      <c r="W2928" s="227"/>
      <c r="X2928" s="220"/>
      <c r="Z2928" s="227"/>
      <c r="AA2928" s="220"/>
      <c r="AB2928" s="221"/>
      <c r="AC2928" s="229"/>
      <c r="AD2928" s="230"/>
      <c r="AE2928" s="230"/>
      <c r="AF2928" s="230"/>
      <c r="AG2928" s="227"/>
    </row>
    <row r="2929" spans="1:33" x14ac:dyDescent="0.25">
      <c r="A2929" s="32"/>
      <c r="B2929" s="306"/>
      <c r="C2929" s="307"/>
      <c r="D2929" s="312"/>
      <c r="E2929" s="301"/>
      <c r="F2929" s="232"/>
      <c r="J2929" s="306"/>
      <c r="K2929" s="306"/>
      <c r="L2929" s="313"/>
      <c r="M2929" s="219"/>
      <c r="N2929" s="218"/>
      <c r="S2929" s="224"/>
      <c r="T2929" s="228"/>
      <c r="U2929" s="226"/>
      <c r="V2929" s="226"/>
      <c r="W2929" s="227"/>
      <c r="X2929" s="220"/>
      <c r="Z2929" s="227"/>
      <c r="AA2929" s="220"/>
      <c r="AB2929" s="221"/>
      <c r="AC2929" s="229"/>
      <c r="AD2929" s="230"/>
      <c r="AE2929" s="230"/>
      <c r="AF2929" s="230"/>
      <c r="AG2929" s="227"/>
    </row>
    <row r="2930" spans="1:33" x14ac:dyDescent="0.25">
      <c r="A2930" s="32"/>
      <c r="B2930" s="306"/>
      <c r="C2930" s="307"/>
      <c r="D2930" s="312"/>
      <c r="E2930" s="301"/>
      <c r="F2930" s="232"/>
      <c r="J2930" s="306"/>
      <c r="K2930" s="306"/>
      <c r="L2930" s="313"/>
      <c r="M2930" s="219"/>
      <c r="N2930" s="218"/>
      <c r="S2930" s="224"/>
      <c r="T2930" s="228"/>
      <c r="U2930" s="226"/>
      <c r="V2930" s="226"/>
      <c r="W2930" s="227"/>
      <c r="X2930" s="220"/>
      <c r="Z2930" s="227"/>
      <c r="AA2930" s="220"/>
      <c r="AB2930" s="221"/>
      <c r="AC2930" s="229"/>
      <c r="AD2930" s="230"/>
      <c r="AE2930" s="230"/>
      <c r="AF2930" s="230"/>
      <c r="AG2930" s="227"/>
    </row>
    <row r="2931" spans="1:33" x14ac:dyDescent="0.25">
      <c r="A2931" s="32"/>
      <c r="B2931" s="306"/>
      <c r="C2931" s="307"/>
      <c r="D2931" s="312"/>
      <c r="E2931" s="301"/>
      <c r="F2931" s="232"/>
      <c r="J2931" s="306"/>
      <c r="K2931" s="306"/>
      <c r="L2931" s="313"/>
      <c r="M2931" s="219"/>
      <c r="N2931" s="218"/>
      <c r="S2931" s="224"/>
      <c r="T2931" s="228"/>
      <c r="U2931" s="226"/>
      <c r="V2931" s="226"/>
      <c r="W2931" s="227"/>
      <c r="X2931" s="220"/>
      <c r="Z2931" s="227"/>
      <c r="AA2931" s="220"/>
      <c r="AB2931" s="221"/>
      <c r="AC2931" s="229"/>
      <c r="AD2931" s="230"/>
      <c r="AE2931" s="230"/>
      <c r="AF2931" s="230"/>
      <c r="AG2931" s="227"/>
    </row>
    <row r="2932" spans="1:33" x14ac:dyDescent="0.25">
      <c r="A2932" s="32"/>
      <c r="B2932" s="306"/>
      <c r="C2932" s="307"/>
      <c r="D2932" s="312"/>
      <c r="E2932" s="301"/>
      <c r="F2932" s="232"/>
      <c r="J2932" s="306"/>
      <c r="K2932" s="306"/>
      <c r="L2932" s="313"/>
      <c r="M2932" s="219"/>
      <c r="N2932" s="218"/>
      <c r="S2932" s="224"/>
      <c r="T2932" s="228"/>
      <c r="U2932" s="226"/>
      <c r="V2932" s="226"/>
      <c r="W2932" s="227"/>
      <c r="X2932" s="220"/>
      <c r="Z2932" s="227"/>
      <c r="AA2932" s="220"/>
      <c r="AB2932" s="221"/>
      <c r="AC2932" s="229"/>
      <c r="AD2932" s="230"/>
      <c r="AE2932" s="230"/>
      <c r="AF2932" s="230"/>
      <c r="AG2932" s="227"/>
    </row>
    <row r="2933" spans="1:33" x14ac:dyDescent="0.25">
      <c r="A2933" s="32"/>
      <c r="B2933" s="306"/>
      <c r="C2933" s="307"/>
      <c r="D2933" s="312"/>
      <c r="E2933" s="301"/>
      <c r="F2933" s="232"/>
      <c r="J2933" s="306"/>
      <c r="K2933" s="306"/>
      <c r="L2933" s="313"/>
      <c r="M2933" s="219"/>
      <c r="N2933" s="218"/>
      <c r="S2933" s="224"/>
      <c r="T2933" s="228"/>
      <c r="U2933" s="226"/>
      <c r="V2933" s="226"/>
      <c r="W2933" s="227"/>
      <c r="X2933" s="220"/>
      <c r="Z2933" s="227"/>
      <c r="AA2933" s="220"/>
      <c r="AB2933" s="221"/>
      <c r="AC2933" s="229"/>
      <c r="AD2933" s="230"/>
      <c r="AE2933" s="230"/>
      <c r="AF2933" s="230"/>
      <c r="AG2933" s="227"/>
    </row>
    <row r="2934" spans="1:33" x14ac:dyDescent="0.25">
      <c r="A2934" s="32"/>
      <c r="B2934" s="306"/>
      <c r="C2934" s="307"/>
      <c r="D2934" s="312"/>
      <c r="E2934" s="301"/>
      <c r="F2934" s="232"/>
      <c r="J2934" s="306"/>
      <c r="K2934" s="306"/>
      <c r="L2934" s="313"/>
      <c r="M2934" s="219"/>
      <c r="N2934" s="218"/>
      <c r="S2934" s="224"/>
      <c r="T2934" s="228"/>
      <c r="U2934" s="226"/>
      <c r="V2934" s="226"/>
      <c r="W2934" s="227"/>
      <c r="X2934" s="220"/>
      <c r="Z2934" s="227"/>
      <c r="AA2934" s="220"/>
      <c r="AB2934" s="221"/>
      <c r="AC2934" s="229"/>
      <c r="AD2934" s="230"/>
      <c r="AE2934" s="230"/>
      <c r="AF2934" s="230"/>
      <c r="AG2934" s="227"/>
    </row>
    <row r="2935" spans="1:33" x14ac:dyDescent="0.25">
      <c r="A2935" s="32"/>
      <c r="B2935" s="306"/>
      <c r="C2935" s="307"/>
      <c r="D2935" s="312"/>
      <c r="E2935" s="301"/>
      <c r="F2935" s="232"/>
      <c r="J2935" s="306"/>
      <c r="K2935" s="306"/>
      <c r="L2935" s="313"/>
      <c r="M2935" s="219"/>
      <c r="N2935" s="218"/>
      <c r="S2935" s="224"/>
      <c r="T2935" s="228"/>
      <c r="U2935" s="226"/>
      <c r="V2935" s="226"/>
      <c r="W2935" s="227"/>
      <c r="X2935" s="220"/>
      <c r="Z2935" s="227"/>
      <c r="AA2935" s="220"/>
      <c r="AB2935" s="221"/>
      <c r="AC2935" s="229"/>
      <c r="AD2935" s="230"/>
      <c r="AE2935" s="230"/>
      <c r="AF2935" s="230"/>
      <c r="AG2935" s="227"/>
    </row>
    <row r="2936" spans="1:33" x14ac:dyDescent="0.25">
      <c r="A2936" s="32"/>
      <c r="B2936" s="306"/>
      <c r="C2936" s="307"/>
      <c r="D2936" s="312"/>
      <c r="E2936" s="301"/>
      <c r="F2936" s="232"/>
      <c r="J2936" s="306"/>
      <c r="K2936" s="306"/>
      <c r="L2936" s="313"/>
      <c r="M2936" s="219"/>
      <c r="N2936" s="218"/>
      <c r="S2936" s="224"/>
      <c r="T2936" s="228"/>
      <c r="U2936" s="226"/>
      <c r="V2936" s="226"/>
      <c r="W2936" s="227"/>
      <c r="X2936" s="220"/>
      <c r="Z2936" s="227"/>
      <c r="AA2936" s="220"/>
      <c r="AB2936" s="221"/>
      <c r="AC2936" s="229"/>
      <c r="AD2936" s="230"/>
      <c r="AE2936" s="230"/>
      <c r="AF2936" s="230"/>
      <c r="AG2936" s="227"/>
    </row>
    <row r="2937" spans="1:33" x14ac:dyDescent="0.25">
      <c r="A2937" s="32"/>
      <c r="B2937" s="306"/>
      <c r="C2937" s="307"/>
      <c r="D2937" s="312"/>
      <c r="E2937" s="301"/>
      <c r="F2937" s="232"/>
      <c r="J2937" s="306"/>
      <c r="K2937" s="306"/>
      <c r="L2937" s="313"/>
      <c r="M2937" s="219"/>
      <c r="N2937" s="218"/>
      <c r="S2937" s="224"/>
      <c r="T2937" s="228"/>
      <c r="U2937" s="226"/>
      <c r="V2937" s="226"/>
      <c r="W2937" s="227"/>
      <c r="X2937" s="220"/>
      <c r="Z2937" s="227"/>
      <c r="AA2937" s="220"/>
      <c r="AB2937" s="221"/>
      <c r="AC2937" s="229"/>
      <c r="AD2937" s="230"/>
      <c r="AE2937" s="230"/>
      <c r="AF2937" s="230"/>
      <c r="AG2937" s="227"/>
    </row>
    <row r="2938" spans="1:33" x14ac:dyDescent="0.25">
      <c r="A2938" s="32"/>
      <c r="B2938" s="306"/>
      <c r="C2938" s="307"/>
      <c r="D2938" s="312"/>
      <c r="E2938" s="301"/>
      <c r="F2938" s="232"/>
      <c r="J2938" s="306"/>
      <c r="K2938" s="306"/>
      <c r="L2938" s="313"/>
      <c r="M2938" s="219"/>
      <c r="N2938" s="218"/>
      <c r="S2938" s="224"/>
      <c r="T2938" s="228"/>
      <c r="U2938" s="226"/>
      <c r="V2938" s="226"/>
      <c r="W2938" s="227"/>
      <c r="X2938" s="220"/>
      <c r="Z2938" s="227"/>
      <c r="AA2938" s="220"/>
      <c r="AB2938" s="221"/>
      <c r="AC2938" s="229"/>
      <c r="AD2938" s="230"/>
      <c r="AE2938" s="230"/>
      <c r="AF2938" s="230"/>
      <c r="AG2938" s="227"/>
    </row>
    <row r="2939" spans="1:33" x14ac:dyDescent="0.25">
      <c r="A2939" s="32"/>
      <c r="B2939" s="306"/>
      <c r="C2939" s="307"/>
      <c r="D2939" s="312"/>
      <c r="E2939" s="301"/>
      <c r="F2939" s="232"/>
      <c r="J2939" s="306"/>
      <c r="K2939" s="306"/>
      <c r="L2939" s="313"/>
      <c r="M2939" s="219"/>
      <c r="N2939" s="218"/>
      <c r="S2939" s="224"/>
      <c r="T2939" s="228"/>
      <c r="U2939" s="226"/>
      <c r="V2939" s="226"/>
      <c r="W2939" s="227"/>
      <c r="X2939" s="220"/>
      <c r="Z2939" s="227"/>
      <c r="AA2939" s="220"/>
      <c r="AB2939" s="221"/>
      <c r="AC2939" s="229"/>
      <c r="AD2939" s="230"/>
      <c r="AE2939" s="230"/>
      <c r="AF2939" s="230"/>
      <c r="AG2939" s="227"/>
    </row>
    <row r="2940" spans="1:33" x14ac:dyDescent="0.25">
      <c r="A2940" s="32"/>
      <c r="B2940" s="306"/>
      <c r="C2940" s="307"/>
      <c r="D2940" s="312"/>
      <c r="E2940" s="301"/>
      <c r="F2940" s="232"/>
      <c r="J2940" s="306"/>
      <c r="K2940" s="306"/>
      <c r="L2940" s="313"/>
      <c r="M2940" s="219"/>
      <c r="N2940" s="218"/>
      <c r="S2940" s="224"/>
      <c r="T2940" s="228"/>
      <c r="U2940" s="226"/>
      <c r="V2940" s="226"/>
      <c r="W2940" s="227"/>
      <c r="X2940" s="220"/>
      <c r="Z2940" s="227"/>
      <c r="AA2940" s="220"/>
      <c r="AB2940" s="221"/>
      <c r="AC2940" s="229"/>
      <c r="AD2940" s="230"/>
      <c r="AE2940" s="230"/>
      <c r="AF2940" s="230"/>
      <c r="AG2940" s="227"/>
    </row>
    <row r="2941" spans="1:33" x14ac:dyDescent="0.25">
      <c r="A2941" s="32"/>
      <c r="B2941" s="306"/>
      <c r="C2941" s="307"/>
      <c r="D2941" s="312"/>
      <c r="E2941" s="301"/>
      <c r="F2941" s="232"/>
      <c r="J2941" s="306"/>
      <c r="K2941" s="306"/>
      <c r="L2941" s="313"/>
      <c r="M2941" s="219"/>
      <c r="N2941" s="218"/>
      <c r="S2941" s="224"/>
      <c r="T2941" s="228"/>
      <c r="U2941" s="226"/>
      <c r="V2941" s="226"/>
      <c r="W2941" s="227"/>
      <c r="X2941" s="220"/>
      <c r="Z2941" s="227"/>
      <c r="AA2941" s="220"/>
      <c r="AB2941" s="221"/>
      <c r="AC2941" s="229"/>
      <c r="AD2941" s="230"/>
      <c r="AE2941" s="230"/>
      <c r="AF2941" s="230"/>
      <c r="AG2941" s="227"/>
    </row>
    <row r="2942" spans="1:33" x14ac:dyDescent="0.25">
      <c r="A2942" s="32"/>
      <c r="B2942" s="306"/>
      <c r="C2942" s="307"/>
      <c r="D2942" s="312"/>
      <c r="E2942" s="301"/>
      <c r="F2942" s="232"/>
      <c r="J2942" s="306"/>
      <c r="K2942" s="306"/>
      <c r="L2942" s="313"/>
      <c r="M2942" s="219"/>
      <c r="N2942" s="218"/>
      <c r="S2942" s="224"/>
      <c r="T2942" s="228"/>
      <c r="U2942" s="226"/>
      <c r="V2942" s="226"/>
      <c r="W2942" s="227"/>
      <c r="X2942" s="220"/>
      <c r="Z2942" s="227"/>
      <c r="AA2942" s="220"/>
      <c r="AB2942" s="221"/>
      <c r="AC2942" s="229"/>
      <c r="AD2942" s="230"/>
      <c r="AE2942" s="230"/>
      <c r="AF2942" s="230"/>
      <c r="AG2942" s="227"/>
    </row>
    <row r="2943" spans="1:33" x14ac:dyDescent="0.25">
      <c r="A2943" s="32"/>
      <c r="B2943" s="306"/>
      <c r="C2943" s="307"/>
      <c r="D2943" s="312"/>
      <c r="E2943" s="301"/>
      <c r="F2943" s="232"/>
      <c r="J2943" s="306"/>
      <c r="K2943" s="306"/>
      <c r="L2943" s="313"/>
      <c r="M2943" s="219"/>
      <c r="N2943" s="218"/>
      <c r="S2943" s="224"/>
      <c r="T2943" s="228"/>
      <c r="U2943" s="226"/>
      <c r="V2943" s="226"/>
      <c r="W2943" s="227"/>
      <c r="X2943" s="220"/>
      <c r="Z2943" s="227"/>
      <c r="AA2943" s="220"/>
      <c r="AB2943" s="221"/>
      <c r="AC2943" s="229"/>
      <c r="AD2943" s="230"/>
      <c r="AE2943" s="230"/>
      <c r="AF2943" s="230"/>
      <c r="AG2943" s="227"/>
    </row>
    <row r="2944" spans="1:33" x14ac:dyDescent="0.25">
      <c r="A2944" s="32"/>
      <c r="B2944" s="306"/>
      <c r="C2944" s="307"/>
      <c r="D2944" s="312"/>
      <c r="E2944" s="301"/>
      <c r="F2944" s="232"/>
      <c r="J2944" s="306"/>
      <c r="K2944" s="306"/>
      <c r="L2944" s="313"/>
      <c r="M2944" s="219"/>
      <c r="N2944" s="218"/>
      <c r="S2944" s="224"/>
      <c r="T2944" s="228"/>
      <c r="U2944" s="226"/>
      <c r="V2944" s="226"/>
      <c r="W2944" s="227"/>
      <c r="X2944" s="220"/>
      <c r="Z2944" s="227"/>
      <c r="AA2944" s="220"/>
      <c r="AB2944" s="221"/>
      <c r="AC2944" s="229"/>
      <c r="AD2944" s="230"/>
      <c r="AE2944" s="230"/>
      <c r="AF2944" s="230"/>
      <c r="AG2944" s="227"/>
    </row>
    <row r="2945" spans="1:33" x14ac:dyDescent="0.25">
      <c r="A2945" s="32"/>
      <c r="B2945" s="306"/>
      <c r="C2945" s="307"/>
      <c r="D2945" s="312"/>
      <c r="E2945" s="301"/>
      <c r="F2945" s="232"/>
      <c r="J2945" s="306"/>
      <c r="K2945" s="306"/>
      <c r="L2945" s="313"/>
      <c r="M2945" s="219"/>
      <c r="N2945" s="218"/>
      <c r="S2945" s="224"/>
      <c r="T2945" s="228"/>
      <c r="U2945" s="226"/>
      <c r="V2945" s="226"/>
      <c r="W2945" s="227"/>
      <c r="X2945" s="220"/>
      <c r="Z2945" s="227"/>
      <c r="AA2945" s="220"/>
      <c r="AB2945" s="221"/>
      <c r="AC2945" s="229"/>
      <c r="AD2945" s="230"/>
      <c r="AE2945" s="230"/>
      <c r="AF2945" s="230"/>
      <c r="AG2945" s="227"/>
    </row>
    <row r="2946" spans="1:33" x14ac:dyDescent="0.25">
      <c r="A2946" s="32"/>
      <c r="B2946" s="306"/>
      <c r="C2946" s="307"/>
      <c r="D2946" s="312"/>
      <c r="E2946" s="301"/>
      <c r="F2946" s="232"/>
      <c r="J2946" s="306"/>
      <c r="K2946" s="306"/>
      <c r="L2946" s="313"/>
      <c r="M2946" s="219"/>
      <c r="N2946" s="218"/>
      <c r="S2946" s="224"/>
      <c r="T2946" s="228"/>
      <c r="U2946" s="226"/>
      <c r="V2946" s="226"/>
      <c r="W2946" s="227"/>
      <c r="X2946" s="220"/>
      <c r="Z2946" s="227"/>
      <c r="AA2946" s="220"/>
      <c r="AB2946" s="221"/>
      <c r="AC2946" s="229"/>
      <c r="AD2946" s="230"/>
      <c r="AE2946" s="230"/>
      <c r="AF2946" s="230"/>
      <c r="AG2946" s="227"/>
    </row>
    <row r="2947" spans="1:33" x14ac:dyDescent="0.25">
      <c r="A2947" s="32"/>
      <c r="B2947" s="306"/>
      <c r="C2947" s="307"/>
      <c r="D2947" s="312"/>
      <c r="E2947" s="301"/>
      <c r="F2947" s="232"/>
      <c r="J2947" s="306"/>
      <c r="K2947" s="306"/>
      <c r="L2947" s="313"/>
      <c r="M2947" s="219"/>
      <c r="N2947" s="218"/>
      <c r="S2947" s="224"/>
      <c r="T2947" s="228"/>
      <c r="U2947" s="226"/>
      <c r="V2947" s="226"/>
      <c r="W2947" s="227"/>
      <c r="X2947" s="220"/>
      <c r="Z2947" s="227"/>
      <c r="AA2947" s="220"/>
      <c r="AB2947" s="221"/>
      <c r="AC2947" s="229"/>
      <c r="AD2947" s="230"/>
      <c r="AE2947" s="230"/>
      <c r="AF2947" s="230"/>
      <c r="AG2947" s="227"/>
    </row>
    <row r="2948" spans="1:33" x14ac:dyDescent="0.25">
      <c r="A2948" s="32"/>
      <c r="B2948" s="306"/>
      <c r="C2948" s="307"/>
      <c r="D2948" s="312"/>
      <c r="E2948" s="301"/>
      <c r="F2948" s="232"/>
      <c r="J2948" s="306"/>
      <c r="K2948" s="306"/>
      <c r="L2948" s="313"/>
      <c r="M2948" s="219"/>
      <c r="N2948" s="218"/>
      <c r="S2948" s="224"/>
      <c r="T2948" s="228"/>
      <c r="U2948" s="226"/>
      <c r="V2948" s="226"/>
      <c r="W2948" s="227"/>
      <c r="X2948" s="220"/>
      <c r="Z2948" s="227"/>
      <c r="AA2948" s="220"/>
      <c r="AB2948" s="221"/>
      <c r="AC2948" s="229"/>
      <c r="AD2948" s="230"/>
      <c r="AE2948" s="230"/>
      <c r="AF2948" s="230"/>
      <c r="AG2948" s="227"/>
    </row>
    <row r="2949" spans="1:33" x14ac:dyDescent="0.25">
      <c r="A2949" s="32"/>
      <c r="B2949" s="306"/>
      <c r="C2949" s="307"/>
      <c r="D2949" s="312"/>
      <c r="E2949" s="301"/>
      <c r="F2949" s="232"/>
      <c r="J2949" s="306"/>
      <c r="K2949" s="306"/>
      <c r="L2949" s="313"/>
      <c r="M2949" s="219"/>
      <c r="N2949" s="218"/>
      <c r="S2949" s="224"/>
      <c r="T2949" s="228"/>
      <c r="U2949" s="226"/>
      <c r="V2949" s="226"/>
      <c r="W2949" s="227"/>
      <c r="X2949" s="220"/>
      <c r="Z2949" s="227"/>
      <c r="AA2949" s="220"/>
      <c r="AB2949" s="221"/>
      <c r="AC2949" s="229"/>
      <c r="AD2949" s="230"/>
      <c r="AE2949" s="230"/>
      <c r="AF2949" s="230"/>
      <c r="AG2949" s="227"/>
    </row>
    <row r="2950" spans="1:33" x14ac:dyDescent="0.25">
      <c r="A2950" s="32"/>
      <c r="B2950" s="306"/>
      <c r="C2950" s="307"/>
      <c r="D2950" s="312"/>
      <c r="E2950" s="301"/>
      <c r="F2950" s="232"/>
      <c r="J2950" s="306"/>
      <c r="K2950" s="306"/>
      <c r="L2950" s="313"/>
      <c r="M2950" s="219"/>
      <c r="N2950" s="218"/>
      <c r="S2950" s="224"/>
      <c r="T2950" s="228"/>
      <c r="U2950" s="226"/>
      <c r="V2950" s="226"/>
      <c r="W2950" s="227"/>
      <c r="X2950" s="220"/>
      <c r="Z2950" s="227"/>
      <c r="AA2950" s="220"/>
      <c r="AB2950" s="221"/>
      <c r="AC2950" s="229"/>
      <c r="AD2950" s="230"/>
      <c r="AE2950" s="230"/>
      <c r="AF2950" s="230"/>
      <c r="AG2950" s="227"/>
    </row>
    <row r="2951" spans="1:33" x14ac:dyDescent="0.25">
      <c r="A2951" s="32"/>
      <c r="B2951" s="306"/>
      <c r="C2951" s="307"/>
      <c r="D2951" s="312"/>
      <c r="E2951" s="301"/>
      <c r="F2951" s="232"/>
      <c r="J2951" s="306"/>
      <c r="K2951" s="306"/>
      <c r="L2951" s="313"/>
      <c r="M2951" s="219"/>
      <c r="N2951" s="218"/>
      <c r="S2951" s="224"/>
      <c r="T2951" s="228"/>
      <c r="U2951" s="226"/>
      <c r="V2951" s="226"/>
      <c r="W2951" s="227"/>
      <c r="X2951" s="220"/>
      <c r="Z2951" s="227"/>
      <c r="AA2951" s="220"/>
      <c r="AB2951" s="221"/>
      <c r="AC2951" s="229"/>
      <c r="AD2951" s="230"/>
      <c r="AE2951" s="230"/>
      <c r="AF2951" s="230"/>
      <c r="AG2951" s="227"/>
    </row>
    <row r="2952" spans="1:33" x14ac:dyDescent="0.25">
      <c r="A2952" s="32"/>
      <c r="B2952" s="306"/>
      <c r="C2952" s="307"/>
      <c r="D2952" s="312"/>
      <c r="E2952" s="301"/>
      <c r="F2952" s="232"/>
      <c r="J2952" s="306"/>
      <c r="K2952" s="306"/>
      <c r="L2952" s="313"/>
      <c r="M2952" s="219"/>
      <c r="N2952" s="218"/>
      <c r="S2952" s="224"/>
      <c r="T2952" s="228"/>
      <c r="U2952" s="226"/>
      <c r="V2952" s="226"/>
      <c r="W2952" s="227"/>
      <c r="X2952" s="220"/>
      <c r="Z2952" s="227"/>
      <c r="AA2952" s="220"/>
      <c r="AB2952" s="221"/>
      <c r="AC2952" s="229"/>
      <c r="AD2952" s="230"/>
      <c r="AE2952" s="230"/>
      <c r="AF2952" s="230"/>
      <c r="AG2952" s="227"/>
    </row>
    <row r="2953" spans="1:33" x14ac:dyDescent="0.25">
      <c r="A2953" s="32"/>
      <c r="B2953" s="306"/>
      <c r="C2953" s="307"/>
      <c r="D2953" s="312"/>
      <c r="E2953" s="301"/>
      <c r="F2953" s="232"/>
      <c r="J2953" s="306"/>
      <c r="K2953" s="306"/>
      <c r="L2953" s="313"/>
      <c r="M2953" s="219"/>
      <c r="N2953" s="218"/>
      <c r="S2953" s="224"/>
      <c r="T2953" s="228"/>
      <c r="U2953" s="226"/>
      <c r="V2953" s="226"/>
      <c r="W2953" s="227"/>
      <c r="X2953" s="220"/>
      <c r="Z2953" s="227"/>
      <c r="AA2953" s="220"/>
      <c r="AB2953" s="221"/>
      <c r="AC2953" s="229"/>
      <c r="AD2953" s="230"/>
      <c r="AE2953" s="230"/>
      <c r="AF2953" s="230"/>
      <c r="AG2953" s="227"/>
    </row>
    <row r="2954" spans="1:33" x14ac:dyDescent="0.25">
      <c r="A2954" s="32"/>
      <c r="B2954" s="306"/>
      <c r="C2954" s="307"/>
      <c r="D2954" s="312"/>
      <c r="E2954" s="301"/>
      <c r="F2954" s="232"/>
      <c r="J2954" s="306"/>
      <c r="K2954" s="306"/>
      <c r="L2954" s="313"/>
      <c r="M2954" s="219"/>
      <c r="N2954" s="218"/>
      <c r="S2954" s="224"/>
      <c r="T2954" s="228"/>
      <c r="U2954" s="226"/>
      <c r="V2954" s="226"/>
      <c r="W2954" s="227"/>
      <c r="X2954" s="220"/>
      <c r="Z2954" s="227"/>
      <c r="AA2954" s="220"/>
      <c r="AB2954" s="221"/>
      <c r="AC2954" s="229"/>
      <c r="AD2954" s="230"/>
      <c r="AE2954" s="230"/>
      <c r="AF2954" s="230"/>
      <c r="AG2954" s="227"/>
    </row>
    <row r="2955" spans="1:33" x14ac:dyDescent="0.25">
      <c r="A2955" s="32"/>
      <c r="B2955" s="306"/>
      <c r="C2955" s="307"/>
      <c r="D2955" s="312"/>
      <c r="E2955" s="301"/>
      <c r="F2955" s="232"/>
      <c r="J2955" s="306"/>
      <c r="K2955" s="306"/>
      <c r="L2955" s="313"/>
      <c r="M2955" s="219"/>
      <c r="N2955" s="218"/>
      <c r="S2955" s="224"/>
      <c r="T2955" s="228"/>
      <c r="U2955" s="226"/>
      <c r="V2955" s="226"/>
      <c r="W2955" s="227"/>
      <c r="X2955" s="220"/>
      <c r="Z2955" s="227"/>
      <c r="AA2955" s="220"/>
      <c r="AB2955" s="221"/>
      <c r="AC2955" s="229"/>
      <c r="AD2955" s="230"/>
      <c r="AE2955" s="230"/>
      <c r="AF2955" s="230"/>
      <c r="AG2955" s="227"/>
    </row>
    <row r="2956" spans="1:33" x14ac:dyDescent="0.25">
      <c r="A2956" s="32"/>
      <c r="B2956" s="306"/>
      <c r="C2956" s="307"/>
      <c r="D2956" s="312"/>
      <c r="E2956" s="301"/>
      <c r="F2956" s="232"/>
      <c r="J2956" s="306"/>
      <c r="K2956" s="306"/>
      <c r="L2956" s="313"/>
      <c r="M2956" s="219"/>
      <c r="N2956" s="218"/>
      <c r="S2956" s="224"/>
      <c r="T2956" s="228"/>
      <c r="U2956" s="226"/>
      <c r="V2956" s="226"/>
      <c r="W2956" s="227"/>
      <c r="X2956" s="220"/>
      <c r="Z2956" s="227"/>
      <c r="AA2956" s="220"/>
      <c r="AB2956" s="221"/>
      <c r="AC2956" s="229"/>
      <c r="AD2956" s="230"/>
      <c r="AE2956" s="230"/>
      <c r="AF2956" s="230"/>
      <c r="AG2956" s="227"/>
    </row>
    <row r="2957" spans="1:33" x14ac:dyDescent="0.25">
      <c r="A2957" s="32"/>
      <c r="B2957" s="306"/>
      <c r="C2957" s="307"/>
      <c r="D2957" s="312"/>
      <c r="E2957" s="301"/>
      <c r="F2957" s="232"/>
      <c r="J2957" s="306"/>
      <c r="K2957" s="306"/>
      <c r="L2957" s="313"/>
      <c r="M2957" s="219"/>
      <c r="N2957" s="218"/>
      <c r="S2957" s="224"/>
      <c r="T2957" s="228"/>
      <c r="U2957" s="226"/>
      <c r="V2957" s="226"/>
      <c r="W2957" s="227"/>
      <c r="X2957" s="220"/>
      <c r="Z2957" s="227"/>
      <c r="AA2957" s="220"/>
      <c r="AB2957" s="221"/>
      <c r="AC2957" s="229"/>
      <c r="AD2957" s="230"/>
      <c r="AE2957" s="230"/>
      <c r="AF2957" s="230"/>
      <c r="AG2957" s="227"/>
    </row>
    <row r="2958" spans="1:33" x14ac:dyDescent="0.25">
      <c r="A2958" s="32"/>
      <c r="B2958" s="306"/>
      <c r="C2958" s="307"/>
      <c r="D2958" s="312"/>
      <c r="E2958" s="301"/>
      <c r="F2958" s="232"/>
      <c r="J2958" s="306"/>
      <c r="K2958" s="306"/>
      <c r="L2958" s="313"/>
      <c r="M2958" s="219"/>
      <c r="N2958" s="218"/>
      <c r="S2958" s="224"/>
      <c r="T2958" s="228"/>
      <c r="U2958" s="226"/>
      <c r="V2958" s="226"/>
      <c r="W2958" s="227"/>
      <c r="X2958" s="220"/>
      <c r="Z2958" s="227"/>
      <c r="AA2958" s="220"/>
      <c r="AB2958" s="221"/>
      <c r="AC2958" s="229"/>
      <c r="AD2958" s="230"/>
      <c r="AE2958" s="230"/>
      <c r="AF2958" s="230"/>
      <c r="AG2958" s="227"/>
    </row>
    <row r="2959" spans="1:33" x14ac:dyDescent="0.25">
      <c r="A2959" s="32"/>
      <c r="B2959" s="306"/>
      <c r="C2959" s="307"/>
      <c r="D2959" s="312"/>
      <c r="E2959" s="301"/>
      <c r="F2959" s="232"/>
      <c r="J2959" s="306"/>
      <c r="K2959" s="306"/>
      <c r="L2959" s="313"/>
      <c r="M2959" s="219"/>
      <c r="N2959" s="218"/>
      <c r="S2959" s="224"/>
      <c r="T2959" s="228"/>
      <c r="U2959" s="226"/>
      <c r="V2959" s="226"/>
      <c r="W2959" s="227"/>
      <c r="X2959" s="220"/>
      <c r="Z2959" s="227"/>
      <c r="AA2959" s="220"/>
      <c r="AB2959" s="221"/>
      <c r="AC2959" s="229"/>
      <c r="AD2959" s="230"/>
      <c r="AE2959" s="230"/>
      <c r="AF2959" s="230"/>
      <c r="AG2959" s="227"/>
    </row>
    <row r="2960" spans="1:33" x14ac:dyDescent="0.25">
      <c r="A2960" s="32"/>
      <c r="B2960" s="306"/>
      <c r="C2960" s="307"/>
      <c r="D2960" s="312"/>
      <c r="E2960" s="301"/>
      <c r="F2960" s="232"/>
      <c r="J2960" s="306"/>
      <c r="K2960" s="306"/>
      <c r="L2960" s="313"/>
      <c r="M2960" s="219"/>
      <c r="N2960" s="218"/>
      <c r="S2960" s="224"/>
      <c r="T2960" s="228"/>
      <c r="U2960" s="226"/>
      <c r="V2960" s="226"/>
      <c r="W2960" s="227"/>
      <c r="X2960" s="220"/>
      <c r="Z2960" s="227"/>
      <c r="AA2960" s="220"/>
      <c r="AB2960" s="221"/>
      <c r="AC2960" s="229"/>
      <c r="AD2960" s="230"/>
      <c r="AE2960" s="230"/>
      <c r="AF2960" s="230"/>
      <c r="AG2960" s="227"/>
    </row>
    <row r="2961" spans="1:33" x14ac:dyDescent="0.25">
      <c r="A2961" s="32"/>
      <c r="B2961" s="306"/>
      <c r="C2961" s="307"/>
      <c r="D2961" s="312"/>
      <c r="E2961" s="301"/>
      <c r="F2961" s="232"/>
      <c r="J2961" s="306"/>
      <c r="K2961" s="306"/>
      <c r="L2961" s="313"/>
      <c r="M2961" s="219"/>
      <c r="N2961" s="218"/>
      <c r="S2961" s="224"/>
      <c r="T2961" s="228"/>
      <c r="U2961" s="226"/>
      <c r="V2961" s="226"/>
      <c r="W2961" s="227"/>
      <c r="X2961" s="220"/>
      <c r="Z2961" s="227"/>
      <c r="AA2961" s="220"/>
      <c r="AB2961" s="221"/>
      <c r="AC2961" s="229"/>
      <c r="AD2961" s="230"/>
      <c r="AE2961" s="230"/>
      <c r="AF2961" s="230"/>
      <c r="AG2961" s="227"/>
    </row>
    <row r="2962" spans="1:33" x14ac:dyDescent="0.25">
      <c r="A2962" s="32"/>
      <c r="B2962" s="306"/>
      <c r="C2962" s="307"/>
      <c r="D2962" s="312"/>
      <c r="E2962" s="301"/>
      <c r="F2962" s="232"/>
      <c r="J2962" s="306"/>
      <c r="K2962" s="306"/>
      <c r="L2962" s="313"/>
      <c r="M2962" s="219"/>
      <c r="N2962" s="218"/>
      <c r="S2962" s="224"/>
      <c r="T2962" s="228"/>
      <c r="U2962" s="226"/>
      <c r="V2962" s="226"/>
      <c r="W2962" s="227"/>
      <c r="X2962" s="220"/>
      <c r="Z2962" s="227"/>
      <c r="AA2962" s="220"/>
      <c r="AB2962" s="221"/>
      <c r="AC2962" s="229"/>
      <c r="AD2962" s="230"/>
      <c r="AE2962" s="230"/>
      <c r="AF2962" s="230"/>
      <c r="AG2962" s="227"/>
    </row>
    <row r="2963" spans="1:33" x14ac:dyDescent="0.25">
      <c r="A2963" s="32"/>
      <c r="B2963" s="306"/>
      <c r="C2963" s="307"/>
      <c r="D2963" s="312"/>
      <c r="E2963" s="301"/>
      <c r="F2963" s="232"/>
      <c r="J2963" s="306"/>
      <c r="K2963" s="306"/>
      <c r="L2963" s="313"/>
      <c r="M2963" s="219"/>
      <c r="N2963" s="218"/>
      <c r="S2963" s="224"/>
      <c r="T2963" s="228"/>
      <c r="U2963" s="226"/>
      <c r="V2963" s="226"/>
      <c r="W2963" s="227"/>
      <c r="X2963" s="220"/>
      <c r="Z2963" s="227"/>
      <c r="AA2963" s="220"/>
      <c r="AB2963" s="221"/>
      <c r="AC2963" s="229"/>
      <c r="AD2963" s="230"/>
      <c r="AE2963" s="230"/>
      <c r="AF2963" s="230"/>
      <c r="AG2963" s="227"/>
    </row>
    <row r="2964" spans="1:33" x14ac:dyDescent="0.25">
      <c r="A2964" s="32"/>
      <c r="B2964" s="306"/>
      <c r="C2964" s="307"/>
      <c r="D2964" s="312"/>
      <c r="E2964" s="301"/>
      <c r="F2964" s="232"/>
      <c r="J2964" s="306"/>
      <c r="K2964" s="306"/>
      <c r="L2964" s="313"/>
      <c r="M2964" s="219"/>
      <c r="N2964" s="218"/>
      <c r="S2964" s="224"/>
      <c r="T2964" s="228"/>
      <c r="U2964" s="226"/>
      <c r="V2964" s="226"/>
      <c r="W2964" s="227"/>
      <c r="X2964" s="220"/>
      <c r="Z2964" s="227"/>
      <c r="AA2964" s="220"/>
      <c r="AB2964" s="221"/>
      <c r="AC2964" s="229"/>
      <c r="AD2964" s="230"/>
      <c r="AE2964" s="230"/>
      <c r="AF2964" s="230"/>
      <c r="AG2964" s="227"/>
    </row>
    <row r="2965" spans="1:33" x14ac:dyDescent="0.25">
      <c r="A2965" s="32"/>
      <c r="B2965" s="306"/>
      <c r="C2965" s="307"/>
      <c r="D2965" s="312"/>
      <c r="E2965" s="301"/>
      <c r="F2965" s="232"/>
      <c r="J2965" s="306"/>
      <c r="K2965" s="306"/>
      <c r="L2965" s="313"/>
      <c r="M2965" s="219"/>
      <c r="N2965" s="218"/>
      <c r="S2965" s="224"/>
      <c r="T2965" s="228"/>
      <c r="U2965" s="226"/>
      <c r="V2965" s="226"/>
      <c r="W2965" s="227"/>
      <c r="X2965" s="220"/>
      <c r="Z2965" s="227"/>
      <c r="AA2965" s="220"/>
      <c r="AB2965" s="221"/>
      <c r="AC2965" s="229"/>
      <c r="AD2965" s="230"/>
      <c r="AE2965" s="230"/>
      <c r="AF2965" s="230"/>
      <c r="AG2965" s="227"/>
    </row>
    <row r="2966" spans="1:33" x14ac:dyDescent="0.25">
      <c r="A2966" s="32"/>
      <c r="B2966" s="306"/>
      <c r="C2966" s="307"/>
      <c r="D2966" s="312"/>
      <c r="E2966" s="301"/>
      <c r="F2966" s="232"/>
      <c r="J2966" s="306"/>
      <c r="K2966" s="306"/>
      <c r="L2966" s="313"/>
      <c r="M2966" s="219"/>
      <c r="N2966" s="218"/>
      <c r="S2966" s="224"/>
      <c r="T2966" s="228"/>
      <c r="U2966" s="226"/>
      <c r="V2966" s="226"/>
      <c r="W2966" s="227"/>
      <c r="X2966" s="220"/>
      <c r="Z2966" s="227"/>
      <c r="AA2966" s="220"/>
      <c r="AB2966" s="221"/>
      <c r="AC2966" s="229"/>
      <c r="AD2966" s="230"/>
      <c r="AE2966" s="230"/>
      <c r="AF2966" s="230"/>
      <c r="AG2966" s="227"/>
    </row>
    <row r="2967" spans="1:33" x14ac:dyDescent="0.25">
      <c r="A2967" s="32"/>
      <c r="B2967" s="306"/>
      <c r="C2967" s="307"/>
      <c r="D2967" s="312"/>
      <c r="E2967" s="301"/>
      <c r="F2967" s="232"/>
      <c r="J2967" s="306"/>
      <c r="K2967" s="306"/>
      <c r="L2967" s="313"/>
      <c r="M2967" s="219"/>
      <c r="N2967" s="218"/>
      <c r="S2967" s="224"/>
      <c r="T2967" s="228"/>
      <c r="U2967" s="226"/>
      <c r="V2967" s="226"/>
      <c r="W2967" s="227"/>
      <c r="X2967" s="220"/>
      <c r="Z2967" s="227"/>
      <c r="AA2967" s="220"/>
      <c r="AB2967" s="221"/>
      <c r="AC2967" s="229"/>
      <c r="AD2967" s="230"/>
      <c r="AE2967" s="230"/>
      <c r="AF2967" s="230"/>
      <c r="AG2967" s="227"/>
    </row>
    <row r="2968" spans="1:33" x14ac:dyDescent="0.25">
      <c r="A2968" s="32"/>
      <c r="B2968" s="306"/>
      <c r="C2968" s="307"/>
      <c r="D2968" s="312"/>
      <c r="E2968" s="301"/>
      <c r="F2968" s="232"/>
      <c r="J2968" s="306"/>
      <c r="K2968" s="306"/>
      <c r="L2968" s="313"/>
      <c r="M2968" s="219"/>
      <c r="N2968" s="218"/>
      <c r="S2968" s="224"/>
      <c r="T2968" s="228"/>
      <c r="U2968" s="226"/>
      <c r="V2968" s="226"/>
      <c r="W2968" s="227"/>
      <c r="X2968" s="220"/>
      <c r="Z2968" s="227"/>
      <c r="AA2968" s="220"/>
      <c r="AB2968" s="221"/>
      <c r="AC2968" s="229"/>
      <c r="AD2968" s="230"/>
      <c r="AE2968" s="230"/>
      <c r="AF2968" s="230"/>
      <c r="AG2968" s="227"/>
    </row>
    <row r="2969" spans="1:33" x14ac:dyDescent="0.25">
      <c r="A2969" s="32"/>
      <c r="B2969" s="306"/>
      <c r="C2969" s="307"/>
      <c r="D2969" s="312"/>
      <c r="E2969" s="301"/>
      <c r="F2969" s="232"/>
      <c r="J2969" s="306"/>
      <c r="K2969" s="306"/>
      <c r="L2969" s="313"/>
      <c r="M2969" s="219"/>
      <c r="N2969" s="218"/>
      <c r="S2969" s="224"/>
      <c r="T2969" s="228"/>
      <c r="U2969" s="226"/>
      <c r="V2969" s="226"/>
      <c r="W2969" s="227"/>
      <c r="X2969" s="220"/>
      <c r="Z2969" s="227"/>
      <c r="AA2969" s="220"/>
      <c r="AB2969" s="221"/>
      <c r="AC2969" s="229"/>
      <c r="AD2969" s="230"/>
      <c r="AE2969" s="230"/>
      <c r="AF2969" s="230"/>
      <c r="AG2969" s="227"/>
    </row>
    <row r="2970" spans="1:33" x14ac:dyDescent="0.25">
      <c r="A2970" s="32"/>
      <c r="B2970" s="306"/>
      <c r="C2970" s="307"/>
      <c r="D2970" s="312"/>
      <c r="E2970" s="301"/>
      <c r="F2970" s="232"/>
      <c r="J2970" s="306"/>
      <c r="K2970" s="306"/>
      <c r="L2970" s="313"/>
      <c r="M2970" s="219"/>
      <c r="N2970" s="218"/>
      <c r="S2970" s="224"/>
      <c r="T2970" s="228"/>
      <c r="U2970" s="226"/>
      <c r="V2970" s="226"/>
      <c r="W2970" s="227"/>
      <c r="X2970" s="220"/>
      <c r="Z2970" s="227"/>
      <c r="AA2970" s="220"/>
      <c r="AB2970" s="221"/>
      <c r="AC2970" s="229"/>
      <c r="AD2970" s="230"/>
      <c r="AE2970" s="230"/>
      <c r="AF2970" s="230"/>
      <c r="AG2970" s="227"/>
    </row>
    <row r="2971" spans="1:33" x14ac:dyDescent="0.25">
      <c r="A2971" s="32"/>
      <c r="B2971" s="306"/>
      <c r="C2971" s="307"/>
      <c r="D2971" s="312"/>
      <c r="E2971" s="301"/>
      <c r="F2971" s="232"/>
      <c r="J2971" s="306"/>
      <c r="K2971" s="306"/>
      <c r="L2971" s="313"/>
      <c r="M2971" s="219"/>
      <c r="N2971" s="218"/>
      <c r="S2971" s="224"/>
      <c r="T2971" s="228"/>
      <c r="U2971" s="226"/>
      <c r="V2971" s="226"/>
      <c r="W2971" s="227"/>
      <c r="X2971" s="220"/>
      <c r="Z2971" s="227"/>
      <c r="AA2971" s="220"/>
      <c r="AB2971" s="221"/>
      <c r="AC2971" s="229"/>
      <c r="AD2971" s="230"/>
      <c r="AE2971" s="230"/>
      <c r="AF2971" s="230"/>
      <c r="AG2971" s="227"/>
    </row>
    <row r="2972" spans="1:33" x14ac:dyDescent="0.25">
      <c r="A2972" s="32"/>
      <c r="B2972" s="306"/>
      <c r="C2972" s="307"/>
      <c r="D2972" s="312"/>
      <c r="E2972" s="301"/>
      <c r="F2972" s="232"/>
      <c r="J2972" s="306"/>
      <c r="K2972" s="306"/>
      <c r="L2972" s="313"/>
      <c r="M2972" s="219"/>
      <c r="N2972" s="218"/>
      <c r="S2972" s="224"/>
      <c r="T2972" s="228"/>
      <c r="U2972" s="226"/>
      <c r="V2972" s="226"/>
      <c r="W2972" s="227"/>
      <c r="X2972" s="220"/>
      <c r="Z2972" s="227"/>
      <c r="AA2972" s="220"/>
      <c r="AB2972" s="221"/>
      <c r="AC2972" s="229"/>
      <c r="AD2972" s="230"/>
      <c r="AE2972" s="230"/>
      <c r="AF2972" s="230"/>
      <c r="AG2972" s="227"/>
    </row>
    <row r="2973" spans="1:33" x14ac:dyDescent="0.25">
      <c r="A2973" s="32"/>
      <c r="B2973" s="306"/>
      <c r="C2973" s="307"/>
      <c r="D2973" s="312"/>
      <c r="E2973" s="301"/>
      <c r="F2973" s="232"/>
      <c r="J2973" s="306"/>
      <c r="K2973" s="306"/>
      <c r="L2973" s="313"/>
      <c r="M2973" s="219"/>
      <c r="N2973" s="218"/>
      <c r="S2973" s="224"/>
      <c r="T2973" s="228"/>
      <c r="U2973" s="226"/>
      <c r="V2973" s="226"/>
      <c r="W2973" s="227"/>
      <c r="X2973" s="220"/>
      <c r="Z2973" s="227"/>
      <c r="AA2973" s="220"/>
      <c r="AB2973" s="221"/>
      <c r="AC2973" s="229"/>
      <c r="AD2973" s="230"/>
      <c r="AE2973" s="230"/>
      <c r="AF2973" s="230"/>
      <c r="AG2973" s="227"/>
    </row>
    <row r="2974" spans="1:33" x14ac:dyDescent="0.25">
      <c r="A2974" s="32"/>
      <c r="B2974" s="306"/>
      <c r="C2974" s="307"/>
      <c r="D2974" s="312"/>
      <c r="E2974" s="301"/>
      <c r="F2974" s="232"/>
      <c r="J2974" s="306"/>
      <c r="K2974" s="306"/>
      <c r="L2974" s="313"/>
      <c r="M2974" s="219"/>
      <c r="N2974" s="218"/>
      <c r="S2974" s="224"/>
      <c r="T2974" s="228"/>
      <c r="U2974" s="226"/>
      <c r="V2974" s="226"/>
      <c r="W2974" s="227"/>
      <c r="X2974" s="220"/>
      <c r="Z2974" s="227"/>
      <c r="AA2974" s="220"/>
      <c r="AB2974" s="221"/>
      <c r="AC2974" s="229"/>
      <c r="AD2974" s="230"/>
      <c r="AE2974" s="230"/>
      <c r="AF2974" s="230"/>
      <c r="AG2974" s="227"/>
    </row>
    <row r="2975" spans="1:33" x14ac:dyDescent="0.25">
      <c r="A2975" s="32"/>
      <c r="B2975" s="306"/>
      <c r="C2975" s="307"/>
      <c r="D2975" s="312"/>
      <c r="E2975" s="301"/>
      <c r="F2975" s="232"/>
      <c r="J2975" s="306"/>
      <c r="K2975" s="306"/>
      <c r="L2975" s="313"/>
      <c r="M2975" s="219"/>
      <c r="N2975" s="218"/>
      <c r="S2975" s="224"/>
      <c r="T2975" s="228"/>
      <c r="U2975" s="226"/>
      <c r="V2975" s="226"/>
      <c r="W2975" s="227"/>
      <c r="X2975" s="220"/>
      <c r="Z2975" s="227"/>
      <c r="AA2975" s="220"/>
      <c r="AB2975" s="221"/>
      <c r="AC2975" s="229"/>
      <c r="AD2975" s="230"/>
      <c r="AE2975" s="230"/>
      <c r="AF2975" s="230"/>
      <c r="AG2975" s="227"/>
    </row>
    <row r="2976" spans="1:33" x14ac:dyDescent="0.25">
      <c r="A2976" s="32"/>
      <c r="B2976" s="306"/>
      <c r="C2976" s="307"/>
      <c r="D2976" s="312"/>
      <c r="E2976" s="301"/>
      <c r="F2976" s="232"/>
      <c r="J2976" s="306"/>
      <c r="K2976" s="306"/>
      <c r="L2976" s="313"/>
      <c r="M2976" s="219"/>
      <c r="N2976" s="218"/>
      <c r="S2976" s="224"/>
      <c r="T2976" s="228"/>
      <c r="U2976" s="226"/>
      <c r="V2976" s="226"/>
      <c r="W2976" s="227"/>
      <c r="X2976" s="220"/>
      <c r="Z2976" s="227"/>
      <c r="AA2976" s="220"/>
      <c r="AB2976" s="221"/>
      <c r="AC2976" s="229"/>
      <c r="AD2976" s="230"/>
      <c r="AE2976" s="230"/>
      <c r="AF2976" s="230"/>
      <c r="AG2976" s="227"/>
    </row>
    <row r="2977" spans="1:33" x14ac:dyDescent="0.25">
      <c r="A2977" s="32"/>
      <c r="B2977" s="306"/>
      <c r="C2977" s="307"/>
      <c r="D2977" s="312"/>
      <c r="E2977" s="301"/>
      <c r="F2977" s="232"/>
      <c r="J2977" s="306"/>
      <c r="K2977" s="306"/>
      <c r="L2977" s="313"/>
      <c r="M2977" s="219"/>
      <c r="N2977" s="218"/>
      <c r="S2977" s="224"/>
      <c r="T2977" s="228"/>
      <c r="U2977" s="226"/>
      <c r="V2977" s="226"/>
      <c r="W2977" s="227"/>
      <c r="X2977" s="220"/>
      <c r="Z2977" s="227"/>
      <c r="AA2977" s="220"/>
      <c r="AB2977" s="221"/>
      <c r="AC2977" s="229"/>
      <c r="AD2977" s="230"/>
      <c r="AE2977" s="230"/>
      <c r="AF2977" s="230"/>
      <c r="AG2977" s="227"/>
    </row>
    <row r="2978" spans="1:33" x14ac:dyDescent="0.25">
      <c r="A2978" s="32"/>
      <c r="B2978" s="306"/>
      <c r="C2978" s="307"/>
      <c r="D2978" s="312"/>
      <c r="E2978" s="301"/>
      <c r="F2978" s="232"/>
      <c r="J2978" s="306"/>
      <c r="K2978" s="306"/>
      <c r="L2978" s="313"/>
      <c r="M2978" s="219"/>
      <c r="N2978" s="218"/>
      <c r="S2978" s="224"/>
      <c r="T2978" s="228"/>
      <c r="U2978" s="226"/>
      <c r="V2978" s="226"/>
      <c r="W2978" s="227"/>
      <c r="X2978" s="220"/>
      <c r="Z2978" s="227"/>
      <c r="AA2978" s="220"/>
      <c r="AB2978" s="221"/>
      <c r="AC2978" s="229"/>
      <c r="AD2978" s="230"/>
      <c r="AE2978" s="230"/>
      <c r="AF2978" s="230"/>
      <c r="AG2978" s="227"/>
    </row>
    <row r="2979" spans="1:33" x14ac:dyDescent="0.25">
      <c r="A2979" s="32"/>
      <c r="B2979" s="306"/>
      <c r="C2979" s="307"/>
      <c r="D2979" s="312"/>
      <c r="E2979" s="301"/>
      <c r="F2979" s="232"/>
      <c r="J2979" s="306"/>
      <c r="K2979" s="306"/>
      <c r="L2979" s="313"/>
      <c r="M2979" s="219"/>
      <c r="N2979" s="218"/>
      <c r="S2979" s="224"/>
      <c r="T2979" s="228"/>
      <c r="U2979" s="226"/>
      <c r="V2979" s="226"/>
      <c r="W2979" s="227"/>
      <c r="X2979" s="220"/>
      <c r="Z2979" s="227"/>
      <c r="AA2979" s="220"/>
      <c r="AB2979" s="221"/>
      <c r="AC2979" s="229"/>
      <c r="AD2979" s="230"/>
      <c r="AE2979" s="230"/>
      <c r="AF2979" s="230"/>
      <c r="AG2979" s="227"/>
    </row>
    <row r="2980" spans="1:33" x14ac:dyDescent="0.25">
      <c r="A2980" s="32"/>
      <c r="B2980" s="306"/>
      <c r="C2980" s="307"/>
      <c r="D2980" s="312"/>
      <c r="E2980" s="301"/>
      <c r="F2980" s="232"/>
      <c r="J2980" s="306"/>
      <c r="K2980" s="306"/>
      <c r="L2980" s="313"/>
      <c r="M2980" s="219"/>
      <c r="N2980" s="218"/>
      <c r="S2980" s="224"/>
      <c r="T2980" s="228"/>
      <c r="U2980" s="226"/>
      <c r="V2980" s="226"/>
      <c r="W2980" s="227"/>
      <c r="X2980" s="220"/>
      <c r="Z2980" s="227"/>
      <c r="AA2980" s="220"/>
      <c r="AB2980" s="221"/>
      <c r="AC2980" s="229"/>
      <c r="AD2980" s="230"/>
      <c r="AE2980" s="230"/>
      <c r="AF2980" s="230"/>
      <c r="AG2980" s="227"/>
    </row>
    <row r="2981" spans="1:33" x14ac:dyDescent="0.25">
      <c r="A2981" s="32"/>
      <c r="B2981" s="306"/>
      <c r="C2981" s="307"/>
      <c r="D2981" s="312"/>
      <c r="E2981" s="301"/>
      <c r="F2981" s="232"/>
      <c r="J2981" s="306"/>
      <c r="K2981" s="306"/>
      <c r="L2981" s="313"/>
      <c r="M2981" s="219"/>
      <c r="N2981" s="218"/>
      <c r="S2981" s="224"/>
      <c r="T2981" s="228"/>
      <c r="U2981" s="226"/>
      <c r="V2981" s="226"/>
      <c r="W2981" s="227"/>
      <c r="X2981" s="220"/>
      <c r="Z2981" s="227"/>
      <c r="AA2981" s="220"/>
      <c r="AB2981" s="221"/>
      <c r="AC2981" s="229"/>
      <c r="AD2981" s="230"/>
      <c r="AE2981" s="230"/>
      <c r="AF2981" s="230"/>
      <c r="AG2981" s="227"/>
    </row>
    <row r="2982" spans="1:33" x14ac:dyDescent="0.25">
      <c r="A2982" s="32"/>
      <c r="B2982" s="306"/>
      <c r="C2982" s="307"/>
      <c r="D2982" s="312"/>
      <c r="E2982" s="301"/>
      <c r="F2982" s="232"/>
      <c r="J2982" s="306"/>
      <c r="K2982" s="306"/>
      <c r="L2982" s="313"/>
      <c r="M2982" s="219"/>
      <c r="N2982" s="218"/>
      <c r="S2982" s="224"/>
      <c r="T2982" s="228"/>
      <c r="U2982" s="226"/>
      <c r="V2982" s="226"/>
      <c r="W2982" s="227"/>
      <c r="X2982" s="220"/>
      <c r="Z2982" s="227"/>
      <c r="AA2982" s="220"/>
      <c r="AB2982" s="221"/>
      <c r="AC2982" s="229"/>
      <c r="AD2982" s="230"/>
      <c r="AE2982" s="230"/>
      <c r="AF2982" s="230"/>
      <c r="AG2982" s="227"/>
    </row>
    <row r="2983" spans="1:33" x14ac:dyDescent="0.25">
      <c r="A2983" s="32"/>
      <c r="B2983" s="306"/>
      <c r="C2983" s="307"/>
      <c r="D2983" s="312"/>
      <c r="E2983" s="301"/>
      <c r="F2983" s="232"/>
      <c r="J2983" s="306"/>
      <c r="K2983" s="306"/>
      <c r="L2983" s="313"/>
      <c r="M2983" s="219"/>
      <c r="N2983" s="218"/>
      <c r="S2983" s="224"/>
      <c r="T2983" s="228"/>
      <c r="U2983" s="226"/>
      <c r="V2983" s="226"/>
      <c r="W2983" s="227"/>
      <c r="X2983" s="220"/>
      <c r="Z2983" s="227"/>
      <c r="AA2983" s="220"/>
      <c r="AB2983" s="221"/>
      <c r="AC2983" s="229"/>
      <c r="AD2983" s="230"/>
      <c r="AE2983" s="230"/>
      <c r="AF2983" s="230"/>
      <c r="AG2983" s="227"/>
    </row>
    <row r="2984" spans="1:33" x14ac:dyDescent="0.25">
      <c r="A2984" s="32"/>
      <c r="B2984" s="306"/>
      <c r="C2984" s="307"/>
      <c r="D2984" s="312"/>
      <c r="E2984" s="301"/>
      <c r="F2984" s="232"/>
      <c r="J2984" s="306"/>
      <c r="K2984" s="306"/>
      <c r="L2984" s="313"/>
      <c r="M2984" s="219"/>
      <c r="N2984" s="218"/>
      <c r="S2984" s="224"/>
      <c r="T2984" s="228"/>
      <c r="U2984" s="226"/>
      <c r="V2984" s="226"/>
      <c r="W2984" s="227"/>
      <c r="X2984" s="220"/>
      <c r="Z2984" s="227"/>
      <c r="AA2984" s="220"/>
      <c r="AB2984" s="221"/>
      <c r="AC2984" s="229"/>
      <c r="AD2984" s="230"/>
      <c r="AE2984" s="230"/>
      <c r="AF2984" s="230"/>
      <c r="AG2984" s="227"/>
    </row>
    <row r="2985" spans="1:33" x14ac:dyDescent="0.25">
      <c r="A2985" s="32"/>
      <c r="B2985" s="306"/>
      <c r="C2985" s="307"/>
      <c r="D2985" s="312"/>
      <c r="E2985" s="301"/>
      <c r="F2985" s="232"/>
      <c r="J2985" s="306"/>
      <c r="K2985" s="306"/>
      <c r="L2985" s="313"/>
      <c r="M2985" s="219"/>
      <c r="N2985" s="218"/>
      <c r="S2985" s="224"/>
      <c r="T2985" s="228"/>
      <c r="U2985" s="226"/>
      <c r="V2985" s="226"/>
      <c r="W2985" s="227"/>
      <c r="X2985" s="220"/>
      <c r="Z2985" s="227"/>
      <c r="AA2985" s="220"/>
      <c r="AB2985" s="221"/>
      <c r="AC2985" s="229"/>
      <c r="AD2985" s="230"/>
      <c r="AE2985" s="230"/>
      <c r="AF2985" s="230"/>
      <c r="AG2985" s="227"/>
    </row>
    <row r="2986" spans="1:33" x14ac:dyDescent="0.25">
      <c r="A2986" s="32"/>
      <c r="B2986" s="306"/>
      <c r="C2986" s="307"/>
      <c r="D2986" s="312"/>
      <c r="E2986" s="301"/>
      <c r="F2986" s="232"/>
      <c r="J2986" s="306"/>
      <c r="K2986" s="306"/>
      <c r="L2986" s="313"/>
      <c r="M2986" s="219"/>
      <c r="N2986" s="218"/>
      <c r="S2986" s="224"/>
      <c r="T2986" s="228"/>
      <c r="U2986" s="226"/>
      <c r="V2986" s="226"/>
      <c r="W2986" s="227"/>
      <c r="X2986" s="220"/>
      <c r="Z2986" s="227"/>
      <c r="AA2986" s="220"/>
      <c r="AB2986" s="221"/>
      <c r="AC2986" s="229"/>
      <c r="AD2986" s="230"/>
      <c r="AE2986" s="230"/>
      <c r="AF2986" s="230"/>
      <c r="AG2986" s="227"/>
    </row>
    <row r="2987" spans="1:33" x14ac:dyDescent="0.25">
      <c r="A2987" s="32"/>
      <c r="B2987" s="306"/>
      <c r="C2987" s="307"/>
      <c r="D2987" s="312"/>
      <c r="E2987" s="301"/>
      <c r="F2987" s="232"/>
      <c r="J2987" s="306"/>
      <c r="K2987" s="306"/>
      <c r="L2987" s="313"/>
      <c r="M2987" s="219"/>
      <c r="N2987" s="218"/>
      <c r="S2987" s="224"/>
      <c r="T2987" s="228"/>
      <c r="U2987" s="226"/>
      <c r="V2987" s="226"/>
      <c r="W2987" s="227"/>
      <c r="X2987" s="220"/>
      <c r="Z2987" s="227"/>
      <c r="AA2987" s="220"/>
      <c r="AB2987" s="221"/>
      <c r="AC2987" s="229"/>
      <c r="AD2987" s="230"/>
      <c r="AE2987" s="230"/>
      <c r="AF2987" s="230"/>
      <c r="AG2987" s="227"/>
    </row>
    <row r="2988" spans="1:33" x14ac:dyDescent="0.25">
      <c r="A2988" s="32"/>
      <c r="B2988" s="306"/>
      <c r="C2988" s="307"/>
      <c r="D2988" s="312"/>
      <c r="E2988" s="301"/>
      <c r="F2988" s="232"/>
      <c r="J2988" s="306"/>
      <c r="K2988" s="306"/>
      <c r="L2988" s="313"/>
      <c r="M2988" s="219"/>
      <c r="N2988" s="218"/>
      <c r="S2988" s="224"/>
      <c r="T2988" s="228"/>
      <c r="U2988" s="226"/>
      <c r="V2988" s="226"/>
      <c r="W2988" s="227"/>
      <c r="X2988" s="220"/>
      <c r="Z2988" s="227"/>
      <c r="AA2988" s="220"/>
      <c r="AB2988" s="221"/>
      <c r="AC2988" s="229"/>
      <c r="AD2988" s="230"/>
      <c r="AE2988" s="230"/>
      <c r="AF2988" s="230"/>
      <c r="AG2988" s="227"/>
    </row>
    <row r="2989" spans="1:33" x14ac:dyDescent="0.25">
      <c r="A2989" s="32"/>
      <c r="B2989" s="306"/>
      <c r="C2989" s="307"/>
      <c r="D2989" s="312"/>
      <c r="E2989" s="301"/>
      <c r="F2989" s="232"/>
      <c r="J2989" s="306"/>
      <c r="K2989" s="306"/>
      <c r="L2989" s="313"/>
      <c r="M2989" s="219"/>
      <c r="N2989" s="218"/>
      <c r="S2989" s="224"/>
      <c r="T2989" s="228"/>
      <c r="U2989" s="226"/>
      <c r="V2989" s="226"/>
      <c r="W2989" s="227"/>
      <c r="X2989" s="220"/>
      <c r="Z2989" s="227"/>
      <c r="AA2989" s="220"/>
      <c r="AB2989" s="221"/>
      <c r="AC2989" s="229"/>
      <c r="AD2989" s="230"/>
      <c r="AE2989" s="230"/>
      <c r="AF2989" s="230"/>
      <c r="AG2989" s="227"/>
    </row>
    <row r="2990" spans="1:33" x14ac:dyDescent="0.25">
      <c r="A2990" s="32"/>
      <c r="B2990" s="306"/>
      <c r="C2990" s="307"/>
      <c r="D2990" s="312"/>
      <c r="E2990" s="301"/>
      <c r="F2990" s="232"/>
      <c r="J2990" s="306"/>
      <c r="K2990" s="306"/>
      <c r="L2990" s="313"/>
      <c r="M2990" s="219"/>
      <c r="N2990" s="218"/>
      <c r="S2990" s="224"/>
      <c r="T2990" s="228"/>
      <c r="U2990" s="226"/>
      <c r="V2990" s="226"/>
      <c r="W2990" s="227"/>
      <c r="X2990" s="220"/>
      <c r="Z2990" s="227"/>
      <c r="AA2990" s="220"/>
      <c r="AB2990" s="221"/>
      <c r="AC2990" s="229"/>
      <c r="AD2990" s="230"/>
      <c r="AE2990" s="230"/>
      <c r="AF2990" s="230"/>
      <c r="AG2990" s="227"/>
    </row>
    <row r="2991" spans="1:33" x14ac:dyDescent="0.25">
      <c r="A2991" s="32"/>
      <c r="B2991" s="306"/>
      <c r="C2991" s="307"/>
      <c r="D2991" s="312"/>
      <c r="E2991" s="301"/>
      <c r="F2991" s="232"/>
      <c r="J2991" s="306"/>
      <c r="K2991" s="306"/>
      <c r="L2991" s="313"/>
      <c r="M2991" s="219"/>
      <c r="N2991" s="218"/>
      <c r="S2991" s="224"/>
      <c r="T2991" s="228"/>
      <c r="U2991" s="226"/>
      <c r="V2991" s="226"/>
      <c r="W2991" s="227"/>
      <c r="X2991" s="220"/>
      <c r="Z2991" s="227"/>
      <c r="AA2991" s="220"/>
      <c r="AB2991" s="221"/>
      <c r="AC2991" s="229"/>
      <c r="AD2991" s="230"/>
      <c r="AE2991" s="230"/>
      <c r="AF2991" s="230"/>
      <c r="AG2991" s="227"/>
    </row>
    <row r="2992" spans="1:33" x14ac:dyDescent="0.25">
      <c r="A2992" s="32"/>
      <c r="B2992" s="306"/>
      <c r="C2992" s="307"/>
      <c r="D2992" s="312"/>
      <c r="E2992" s="301"/>
      <c r="F2992" s="232"/>
      <c r="J2992" s="306"/>
      <c r="K2992" s="306"/>
      <c r="L2992" s="313"/>
      <c r="M2992" s="219"/>
      <c r="N2992" s="218"/>
      <c r="S2992" s="224"/>
      <c r="T2992" s="228"/>
      <c r="U2992" s="226"/>
      <c r="V2992" s="226"/>
      <c r="W2992" s="227"/>
      <c r="X2992" s="220"/>
      <c r="Z2992" s="227"/>
      <c r="AA2992" s="220"/>
      <c r="AB2992" s="221"/>
      <c r="AC2992" s="229"/>
      <c r="AD2992" s="230"/>
      <c r="AE2992" s="230"/>
      <c r="AF2992" s="230"/>
      <c r="AG2992" s="227"/>
    </row>
    <row r="2993" spans="1:33" x14ac:dyDescent="0.25">
      <c r="A2993" s="32"/>
      <c r="B2993" s="306"/>
      <c r="C2993" s="307"/>
      <c r="D2993" s="312"/>
      <c r="E2993" s="301"/>
      <c r="F2993" s="232"/>
      <c r="J2993" s="306"/>
      <c r="K2993" s="306"/>
      <c r="L2993" s="313"/>
      <c r="M2993" s="219"/>
      <c r="N2993" s="218"/>
      <c r="S2993" s="224"/>
      <c r="T2993" s="228"/>
      <c r="U2993" s="226"/>
      <c r="V2993" s="226"/>
      <c r="W2993" s="227"/>
      <c r="X2993" s="220"/>
      <c r="Z2993" s="227"/>
      <c r="AA2993" s="220"/>
      <c r="AB2993" s="221"/>
      <c r="AC2993" s="229"/>
      <c r="AD2993" s="230"/>
      <c r="AE2993" s="230"/>
      <c r="AF2993" s="230"/>
      <c r="AG2993" s="227"/>
    </row>
    <row r="2994" spans="1:33" x14ac:dyDescent="0.25">
      <c r="A2994" s="32"/>
      <c r="B2994" s="306"/>
      <c r="C2994" s="307"/>
      <c r="D2994" s="312"/>
      <c r="E2994" s="301"/>
      <c r="F2994" s="232"/>
      <c r="J2994" s="306"/>
      <c r="K2994" s="306"/>
      <c r="L2994" s="313"/>
      <c r="M2994" s="219"/>
      <c r="N2994" s="218"/>
      <c r="S2994" s="224"/>
      <c r="T2994" s="228"/>
      <c r="U2994" s="226"/>
      <c r="V2994" s="226"/>
      <c r="W2994" s="227"/>
      <c r="X2994" s="220"/>
      <c r="Z2994" s="227"/>
      <c r="AA2994" s="220"/>
      <c r="AB2994" s="221"/>
      <c r="AC2994" s="229"/>
      <c r="AD2994" s="230"/>
      <c r="AE2994" s="230"/>
      <c r="AF2994" s="230"/>
      <c r="AG2994" s="227"/>
    </row>
    <row r="2995" spans="1:33" x14ac:dyDescent="0.25">
      <c r="A2995" s="32"/>
      <c r="B2995" s="306"/>
      <c r="C2995" s="307"/>
      <c r="D2995" s="312"/>
      <c r="E2995" s="301"/>
      <c r="F2995" s="232"/>
      <c r="J2995" s="306"/>
      <c r="K2995" s="306"/>
      <c r="L2995" s="313"/>
      <c r="M2995" s="219"/>
      <c r="N2995" s="218"/>
      <c r="S2995" s="224"/>
      <c r="T2995" s="228"/>
      <c r="U2995" s="226"/>
      <c r="V2995" s="226"/>
      <c r="W2995" s="227"/>
      <c r="X2995" s="220"/>
      <c r="Z2995" s="227"/>
      <c r="AA2995" s="220"/>
      <c r="AB2995" s="221"/>
      <c r="AC2995" s="229"/>
      <c r="AD2995" s="230"/>
      <c r="AE2995" s="230"/>
      <c r="AF2995" s="230"/>
      <c r="AG2995" s="227"/>
    </row>
    <row r="2996" spans="1:33" x14ac:dyDescent="0.25">
      <c r="A2996" s="32"/>
      <c r="B2996" s="306"/>
      <c r="C2996" s="307"/>
      <c r="D2996" s="312"/>
      <c r="E2996" s="301"/>
      <c r="F2996" s="232"/>
      <c r="J2996" s="306"/>
      <c r="K2996" s="306"/>
      <c r="L2996" s="313"/>
      <c r="M2996" s="219"/>
      <c r="N2996" s="218"/>
      <c r="S2996" s="224"/>
      <c r="T2996" s="228"/>
      <c r="U2996" s="226"/>
      <c r="V2996" s="226"/>
      <c r="W2996" s="227"/>
      <c r="X2996" s="220"/>
      <c r="Z2996" s="227"/>
      <c r="AA2996" s="220"/>
      <c r="AB2996" s="221"/>
      <c r="AC2996" s="229"/>
      <c r="AD2996" s="230"/>
      <c r="AE2996" s="230"/>
      <c r="AF2996" s="230"/>
      <c r="AG2996" s="227"/>
    </row>
    <row r="2997" spans="1:33" x14ac:dyDescent="0.25">
      <c r="A2997" s="32"/>
      <c r="B2997" s="306"/>
      <c r="C2997" s="307"/>
      <c r="D2997" s="312"/>
      <c r="E2997" s="301"/>
      <c r="F2997" s="232"/>
      <c r="J2997" s="306"/>
      <c r="K2997" s="306"/>
      <c r="L2997" s="313"/>
      <c r="M2997" s="219"/>
      <c r="N2997" s="218"/>
      <c r="S2997" s="224"/>
      <c r="T2997" s="228"/>
      <c r="U2997" s="226"/>
      <c r="V2997" s="226"/>
      <c r="W2997" s="227"/>
      <c r="X2997" s="220"/>
      <c r="Z2997" s="227"/>
      <c r="AA2997" s="220"/>
      <c r="AB2997" s="221"/>
      <c r="AC2997" s="229"/>
      <c r="AD2997" s="230"/>
      <c r="AE2997" s="230"/>
      <c r="AF2997" s="230"/>
      <c r="AG2997" s="227"/>
    </row>
    <row r="2998" spans="1:33" x14ac:dyDescent="0.25">
      <c r="A2998" s="32"/>
      <c r="B2998" s="306"/>
      <c r="C2998" s="307"/>
      <c r="D2998" s="312"/>
      <c r="E2998" s="301"/>
      <c r="F2998" s="232"/>
      <c r="J2998" s="306"/>
      <c r="K2998" s="306"/>
      <c r="L2998" s="313"/>
      <c r="M2998" s="219"/>
      <c r="N2998" s="218"/>
      <c r="S2998" s="224"/>
      <c r="T2998" s="228"/>
      <c r="U2998" s="226"/>
      <c r="V2998" s="226"/>
      <c r="W2998" s="227"/>
      <c r="X2998" s="220"/>
      <c r="Z2998" s="227"/>
      <c r="AA2998" s="220"/>
      <c r="AB2998" s="221"/>
      <c r="AC2998" s="229"/>
      <c r="AD2998" s="230"/>
      <c r="AE2998" s="230"/>
      <c r="AF2998" s="230"/>
      <c r="AG2998" s="227"/>
    </row>
    <row r="2999" spans="1:33" x14ac:dyDescent="0.25">
      <c r="A2999" s="32"/>
      <c r="B2999" s="306"/>
      <c r="C2999" s="307"/>
      <c r="D2999" s="312"/>
      <c r="E2999" s="301"/>
      <c r="F2999" s="232"/>
      <c r="J2999" s="306"/>
      <c r="K2999" s="306"/>
      <c r="L2999" s="313"/>
      <c r="M2999" s="219"/>
      <c r="N2999" s="218"/>
      <c r="S2999" s="224"/>
      <c r="T2999" s="228"/>
      <c r="U2999" s="226"/>
      <c r="V2999" s="226"/>
      <c r="W2999" s="227"/>
      <c r="X2999" s="220"/>
      <c r="Z2999" s="227"/>
      <c r="AA2999" s="220"/>
      <c r="AB2999" s="221"/>
      <c r="AC2999" s="229"/>
      <c r="AD2999" s="230"/>
      <c r="AE2999" s="230"/>
      <c r="AF2999" s="230"/>
      <c r="AG2999" s="227"/>
    </row>
    <row r="3000" spans="1:33" x14ac:dyDescent="0.25">
      <c r="A3000" s="32"/>
      <c r="B3000" s="306"/>
      <c r="C3000" s="307"/>
      <c r="D3000" s="312"/>
      <c r="E3000" s="301"/>
      <c r="F3000" s="232"/>
      <c r="J3000" s="306"/>
      <c r="K3000" s="306"/>
      <c r="L3000" s="313"/>
      <c r="M3000" s="219"/>
      <c r="N3000" s="218"/>
      <c r="S3000" s="224"/>
      <c r="T3000" s="228"/>
      <c r="U3000" s="226"/>
      <c r="V3000" s="226"/>
      <c r="W3000" s="227"/>
      <c r="X3000" s="220"/>
      <c r="Z3000" s="227"/>
      <c r="AA3000" s="220"/>
      <c r="AB3000" s="221"/>
      <c r="AC3000" s="229"/>
      <c r="AD3000" s="230"/>
      <c r="AE3000" s="230"/>
      <c r="AF3000" s="230"/>
      <c r="AG3000" s="227"/>
    </row>
    <row r="3001" spans="1:33" x14ac:dyDescent="0.25">
      <c r="A3001" s="32"/>
      <c r="B3001" s="306"/>
      <c r="C3001" s="307"/>
      <c r="D3001" s="312"/>
      <c r="E3001" s="301"/>
      <c r="F3001" s="232"/>
      <c r="J3001" s="306"/>
      <c r="K3001" s="306"/>
      <c r="L3001" s="313"/>
      <c r="M3001" s="219"/>
      <c r="N3001" s="218"/>
      <c r="S3001" s="224"/>
      <c r="T3001" s="228"/>
      <c r="U3001" s="226"/>
      <c r="V3001" s="226"/>
      <c r="W3001" s="227"/>
      <c r="X3001" s="220"/>
      <c r="Z3001" s="227"/>
      <c r="AA3001" s="220"/>
      <c r="AB3001" s="221"/>
      <c r="AC3001" s="229"/>
      <c r="AD3001" s="230"/>
      <c r="AE3001" s="230"/>
      <c r="AF3001" s="230"/>
      <c r="AG3001" s="227"/>
    </row>
    <row r="3002" spans="1:33" x14ac:dyDescent="0.25">
      <c r="A3002" s="32"/>
      <c r="B3002" s="306"/>
      <c r="C3002" s="307"/>
      <c r="D3002" s="312"/>
      <c r="E3002" s="301"/>
      <c r="F3002" s="232"/>
      <c r="J3002" s="306"/>
      <c r="K3002" s="306"/>
      <c r="L3002" s="313"/>
      <c r="M3002" s="219"/>
      <c r="N3002" s="218"/>
      <c r="S3002" s="224"/>
      <c r="T3002" s="228"/>
      <c r="U3002" s="226"/>
      <c r="V3002" s="226"/>
      <c r="W3002" s="227"/>
      <c r="X3002" s="220"/>
      <c r="Z3002" s="227"/>
      <c r="AA3002" s="220"/>
      <c r="AB3002" s="221"/>
      <c r="AC3002" s="229"/>
      <c r="AD3002" s="230"/>
      <c r="AE3002" s="230"/>
      <c r="AF3002" s="230"/>
      <c r="AG3002" s="227"/>
    </row>
    <row r="3003" spans="1:33" x14ac:dyDescent="0.25">
      <c r="A3003" s="32"/>
      <c r="B3003" s="306"/>
      <c r="C3003" s="307"/>
      <c r="D3003" s="312"/>
      <c r="E3003" s="301"/>
      <c r="F3003" s="232"/>
      <c r="J3003" s="306"/>
      <c r="K3003" s="306"/>
      <c r="L3003" s="313"/>
      <c r="M3003" s="219"/>
      <c r="N3003" s="218"/>
      <c r="S3003" s="224"/>
      <c r="T3003" s="228"/>
      <c r="U3003" s="226"/>
      <c r="V3003" s="226"/>
      <c r="W3003" s="227"/>
      <c r="X3003" s="220"/>
      <c r="Z3003" s="227"/>
      <c r="AA3003" s="220"/>
      <c r="AB3003" s="221"/>
      <c r="AC3003" s="229"/>
      <c r="AD3003" s="230"/>
      <c r="AE3003" s="230"/>
      <c r="AF3003" s="230"/>
      <c r="AG3003" s="227"/>
    </row>
    <row r="3004" spans="1:33" x14ac:dyDescent="0.25">
      <c r="A3004" s="32"/>
      <c r="B3004" s="306"/>
      <c r="C3004" s="307"/>
      <c r="D3004" s="312"/>
      <c r="E3004" s="314"/>
      <c r="F3004" s="232"/>
      <c r="J3004" s="306"/>
      <c r="K3004" s="306"/>
      <c r="L3004" s="313"/>
      <c r="M3004" s="219"/>
      <c r="N3004" s="218"/>
      <c r="S3004" s="224"/>
      <c r="T3004" s="228"/>
      <c r="U3004" s="226"/>
      <c r="V3004" s="226"/>
      <c r="W3004" s="227"/>
      <c r="X3004" s="220"/>
      <c r="Z3004" s="227"/>
      <c r="AA3004" s="220"/>
      <c r="AB3004" s="221"/>
      <c r="AC3004" s="229"/>
      <c r="AD3004" s="230"/>
      <c r="AE3004" s="230"/>
      <c r="AF3004" s="230"/>
      <c r="AG3004" s="227"/>
    </row>
    <row r="3005" spans="1:33" x14ac:dyDescent="0.25">
      <c r="A3005" s="32"/>
      <c r="B3005" s="306"/>
      <c r="C3005" s="307"/>
      <c r="D3005" s="312"/>
      <c r="E3005" s="314"/>
      <c r="F3005" s="232"/>
      <c r="J3005" s="306"/>
      <c r="K3005" s="306"/>
      <c r="L3005" s="313"/>
      <c r="M3005" s="219"/>
      <c r="N3005" s="218"/>
      <c r="S3005" s="224"/>
      <c r="T3005" s="228"/>
      <c r="U3005" s="226"/>
      <c r="V3005" s="226"/>
      <c r="W3005" s="227"/>
      <c r="X3005" s="220"/>
      <c r="Z3005" s="227"/>
      <c r="AA3005" s="220"/>
      <c r="AB3005" s="221"/>
      <c r="AC3005" s="229"/>
      <c r="AD3005" s="230"/>
      <c r="AE3005" s="230"/>
      <c r="AF3005" s="230"/>
      <c r="AG3005" s="227"/>
    </row>
    <row r="3006" spans="1:33" x14ac:dyDescent="0.25">
      <c r="A3006" s="32"/>
      <c r="B3006" s="306"/>
      <c r="C3006" s="307"/>
      <c r="D3006" s="312"/>
      <c r="E3006" s="314"/>
      <c r="F3006" s="232"/>
      <c r="J3006" s="306"/>
      <c r="K3006" s="306"/>
      <c r="L3006" s="313"/>
      <c r="M3006" s="219"/>
      <c r="N3006" s="218"/>
      <c r="S3006" s="224"/>
      <c r="T3006" s="228"/>
      <c r="U3006" s="226"/>
      <c r="V3006" s="226"/>
      <c r="W3006" s="227"/>
      <c r="X3006" s="220"/>
      <c r="Z3006" s="227"/>
      <c r="AA3006" s="220"/>
      <c r="AB3006" s="221"/>
      <c r="AC3006" s="229"/>
      <c r="AD3006" s="230"/>
      <c r="AE3006" s="230"/>
      <c r="AF3006" s="230"/>
      <c r="AG3006" s="227"/>
    </row>
    <row r="3007" spans="1:33" ht="0.75" customHeight="1" x14ac:dyDescent="0.25">
      <c r="A3007" s="32"/>
      <c r="B3007" s="306"/>
      <c r="C3007" s="307"/>
      <c r="D3007" s="312"/>
      <c r="E3007" s="314"/>
      <c r="F3007" s="232"/>
      <c r="J3007" s="306"/>
      <c r="K3007" s="306"/>
      <c r="L3007" s="313"/>
      <c r="M3007" s="219"/>
      <c r="N3007" s="218"/>
      <c r="S3007" s="224"/>
      <c r="T3007" s="228"/>
      <c r="U3007" s="226"/>
      <c r="V3007" s="226"/>
      <c r="W3007" s="227"/>
      <c r="X3007" s="220"/>
      <c r="Z3007" s="227"/>
      <c r="AA3007" s="220"/>
      <c r="AB3007" s="221"/>
      <c r="AC3007" s="229"/>
      <c r="AD3007" s="230"/>
      <c r="AE3007" s="230"/>
      <c r="AF3007" s="230"/>
      <c r="AG3007" s="227"/>
    </row>
    <row r="3008" spans="1:33" ht="18" customHeight="1" x14ac:dyDescent="0.25">
      <c r="A3008" s="32"/>
      <c r="B3008" s="306"/>
      <c r="C3008" s="307"/>
      <c r="D3008" s="312"/>
      <c r="E3008" s="314"/>
      <c r="F3008" s="232"/>
      <c r="J3008" s="306"/>
      <c r="K3008" s="306"/>
      <c r="L3008" s="313"/>
      <c r="M3008" s="219"/>
      <c r="N3008" s="218"/>
      <c r="S3008" s="224"/>
      <c r="T3008" s="228"/>
      <c r="U3008" s="226"/>
      <c r="V3008" s="226"/>
      <c r="W3008" s="227"/>
      <c r="X3008" s="220"/>
      <c r="Z3008" s="227"/>
      <c r="AA3008" s="220"/>
      <c r="AB3008" s="221"/>
      <c r="AC3008" s="229"/>
      <c r="AD3008" s="230"/>
      <c r="AE3008" s="230"/>
      <c r="AF3008" s="230"/>
      <c r="AG3008" s="227"/>
    </row>
    <row r="3009" spans="1:33" x14ac:dyDescent="0.25">
      <c r="A3009" s="32"/>
      <c r="B3009" s="306"/>
      <c r="C3009" s="307"/>
      <c r="D3009" s="218"/>
      <c r="E3009" s="301"/>
      <c r="F3009" s="306"/>
      <c r="G3009" s="308"/>
      <c r="H3009" s="306"/>
      <c r="I3009" s="306"/>
      <c r="J3009" s="306"/>
      <c r="K3009" s="306"/>
      <c r="L3009" s="41"/>
      <c r="M3009" s="219"/>
      <c r="N3009" s="218"/>
      <c r="S3009" s="224"/>
      <c r="T3009" s="225"/>
      <c r="U3009" s="226"/>
      <c r="V3009" s="226"/>
      <c r="W3009" s="303"/>
      <c r="X3009" s="220"/>
      <c r="Z3009" s="227"/>
      <c r="AA3009" s="220"/>
      <c r="AB3009" s="221"/>
      <c r="AC3009" s="229"/>
      <c r="AD3009" s="230"/>
      <c r="AE3009" s="230"/>
      <c r="AF3009" s="230"/>
      <c r="AG3009" s="227"/>
    </row>
    <row r="3010" spans="1:33" x14ac:dyDescent="0.25">
      <c r="A3010" s="32"/>
      <c r="B3010" s="306"/>
      <c r="C3010" s="307"/>
      <c r="D3010" s="218"/>
      <c r="E3010" s="301"/>
      <c r="F3010" s="306"/>
      <c r="G3010" s="308"/>
      <c r="H3010" s="306"/>
      <c r="I3010" s="306"/>
      <c r="J3010" s="306"/>
      <c r="K3010" s="306"/>
      <c r="L3010" s="41"/>
      <c r="M3010" s="219"/>
      <c r="N3010" s="218"/>
      <c r="S3010" s="224"/>
      <c r="T3010" s="225"/>
      <c r="U3010" s="226"/>
      <c r="V3010" s="226"/>
      <c r="W3010" s="303"/>
      <c r="X3010" s="220"/>
      <c r="Z3010" s="227"/>
      <c r="AA3010" s="220"/>
      <c r="AB3010" s="221"/>
      <c r="AC3010" s="229"/>
      <c r="AD3010" s="230"/>
      <c r="AE3010" s="230"/>
      <c r="AF3010" s="230"/>
      <c r="AG3010" s="227"/>
    </row>
    <row r="3011" spans="1:33" x14ac:dyDescent="0.25">
      <c r="A3011" s="32"/>
      <c r="B3011" s="306"/>
      <c r="C3011" s="306"/>
      <c r="D3011" s="392"/>
      <c r="E3011" s="307"/>
      <c r="J3011" s="306"/>
      <c r="K3011" s="306"/>
      <c r="L3011" s="313"/>
      <c r="M3011" s="313"/>
    </row>
    <row r="3012" spans="1:33" x14ac:dyDescent="0.25">
      <c r="A3012" s="32"/>
      <c r="B3012" s="306"/>
      <c r="C3012" s="306"/>
      <c r="D3012" s="306"/>
      <c r="E3012" s="307"/>
      <c r="J3012" s="306"/>
      <c r="K3012" s="306"/>
      <c r="L3012" s="313"/>
      <c r="M3012" s="313"/>
    </row>
    <row r="3013" spans="1:33" x14ac:dyDescent="0.25">
      <c r="A3013" s="32"/>
      <c r="B3013" s="306"/>
      <c r="C3013" s="306"/>
      <c r="D3013" s="306"/>
      <c r="E3013" s="307"/>
      <c r="J3013" s="306"/>
      <c r="K3013" s="306"/>
      <c r="L3013" s="313"/>
      <c r="M3013" s="313"/>
    </row>
    <row r="3014" spans="1:33" x14ac:dyDescent="0.25">
      <c r="A3014" s="32"/>
      <c r="B3014" s="306"/>
      <c r="C3014" s="306"/>
      <c r="D3014" s="306"/>
      <c r="E3014" s="307"/>
      <c r="J3014" s="306"/>
      <c r="K3014" s="306"/>
      <c r="L3014" s="313"/>
      <c r="M3014" s="313"/>
    </row>
    <row r="3015" spans="1:33" x14ac:dyDescent="0.25">
      <c r="A3015" s="32"/>
      <c r="B3015" s="306"/>
      <c r="C3015" s="306"/>
      <c r="D3015" s="306"/>
      <c r="E3015" s="307"/>
      <c r="J3015" s="306"/>
      <c r="K3015" s="306"/>
      <c r="L3015" s="313"/>
      <c r="M3015" s="313"/>
    </row>
    <row r="3016" spans="1:33" x14ac:dyDescent="0.25">
      <c r="A3016" s="32"/>
      <c r="B3016" s="306"/>
      <c r="C3016" s="306"/>
      <c r="D3016" s="306"/>
      <c r="E3016" s="307"/>
      <c r="J3016" s="306"/>
      <c r="K3016" s="306"/>
      <c r="L3016" s="313"/>
      <c r="M3016" s="313"/>
    </row>
    <row r="3017" spans="1:33" x14ac:dyDescent="0.25">
      <c r="A3017" s="32"/>
      <c r="B3017" s="306"/>
      <c r="C3017" s="306"/>
      <c r="D3017" s="306"/>
      <c r="E3017" s="307"/>
      <c r="J3017" s="306"/>
      <c r="K3017" s="306"/>
      <c r="L3017" s="313"/>
      <c r="M3017" s="313"/>
    </row>
    <row r="3018" spans="1:33" x14ac:dyDescent="0.25">
      <c r="A3018" s="32"/>
      <c r="B3018" s="306"/>
      <c r="C3018" s="306"/>
      <c r="D3018" s="306"/>
      <c r="E3018" s="307"/>
      <c r="J3018" s="306"/>
      <c r="K3018" s="306"/>
      <c r="L3018" s="313"/>
      <c r="M3018" s="313"/>
    </row>
    <row r="3019" spans="1:33" x14ac:dyDescent="0.25">
      <c r="A3019" s="32"/>
      <c r="B3019" s="306"/>
      <c r="C3019" s="306"/>
      <c r="D3019" s="306"/>
      <c r="E3019" s="307"/>
      <c r="J3019" s="306"/>
      <c r="K3019" s="306"/>
      <c r="L3019" s="313"/>
      <c r="M3019" s="313"/>
    </row>
    <row r="3020" spans="1:33" x14ac:dyDescent="0.25">
      <c r="A3020" s="32"/>
      <c r="B3020" s="306"/>
      <c r="C3020" s="306"/>
      <c r="D3020" s="306"/>
      <c r="E3020" s="307"/>
      <c r="J3020" s="306"/>
      <c r="K3020" s="306"/>
      <c r="L3020" s="313"/>
      <c r="M3020" s="313"/>
    </row>
    <row r="3021" spans="1:33" x14ac:dyDescent="0.25">
      <c r="A3021" s="32"/>
      <c r="B3021" s="306"/>
      <c r="C3021" s="306"/>
      <c r="D3021" s="306"/>
      <c r="E3021" s="307"/>
      <c r="J3021" s="306"/>
      <c r="K3021" s="306"/>
      <c r="L3021" s="313"/>
      <c r="M3021" s="313"/>
    </row>
    <row r="3022" spans="1:33" x14ac:dyDescent="0.25">
      <c r="A3022" s="32"/>
      <c r="B3022" s="306"/>
      <c r="C3022" s="306"/>
      <c r="D3022" s="306"/>
      <c r="E3022" s="307"/>
      <c r="J3022" s="306"/>
      <c r="K3022" s="306"/>
      <c r="L3022" s="313"/>
      <c r="M3022" s="313"/>
    </row>
  </sheetData>
  <sheetProtection insertHyperlinks="0" autoFilter="0"/>
  <protectedRanges>
    <protectedRange sqref="F3009:AG3010 F4:BA3008" name="Tartomány1"/>
    <protectedRange sqref="D4:D3010" name="Tartomány2"/>
    <protectedRange sqref="C4:C3010" name="Tartomány3"/>
  </protectedRanges>
  <autoFilter ref="A3:AF3022" xr:uid="{00000000-0001-0000-0000-000000000000}"/>
  <dataConsolidate/>
  <mergeCells count="6">
    <mergeCell ref="X2:Z2"/>
    <mergeCell ref="AA2:AB2"/>
    <mergeCell ref="AC2:AF2"/>
    <mergeCell ref="D2:L2"/>
    <mergeCell ref="A2:C2"/>
    <mergeCell ref="N2:W2"/>
  </mergeCells>
  <phoneticPr fontId="27" type="noConversion"/>
  <conditionalFormatting sqref="A4:A3022">
    <cfRule type="expression" dxfId="18" priority="36">
      <formula>COUNTA($D4)=0</formula>
    </cfRule>
  </conditionalFormatting>
  <dataValidations count="6">
    <dataValidation type="date" allowBlank="1" showInputMessage="1" showErrorMessage="1" sqref="X150:X154 X4:X27 X37:X42 H3000:I3008 X58:X63 X122:X136 X67:X111 X116:X118 X148 X51:X54 X45:X46 X143:X145 X159:X3010 D4:D3010" xr:uid="{C902AD85-B79C-422E-B3CD-DBB8090B4439}">
      <formula1>45658</formula1>
      <formula2>54789</formula2>
    </dataValidation>
    <dataValidation type="custom" allowBlank="1" showInputMessage="1" showErrorMessage="1" errorTitle="Missing fields" error="Please first fill out the animal and project informations before injecting the animal! _x000a_(Arrival data, OGR number, Proj #, Project)" sqref="X28:X36 X43:X44 X55:X57 X64:X66 X149 X155:X158 X119:X121 X112:X115 X137:X142 N3002:N3008 X47:X50 X146:X147" xr:uid="{84F8F367-15E4-4D28-A8F0-2A988E3BC448}">
      <formula1>M28=1</formula1>
    </dataValidation>
    <dataValidation type="date" operator="greaterThan" allowBlank="1" showInputMessage="1" showErrorMessage="1" sqref="AA4:AA421 AA3009:AA3010" xr:uid="{C5F901AE-0336-4315-BF6D-658BDC42F100}">
      <formula1>36526</formula1>
    </dataValidation>
    <dataValidation type="whole" allowBlank="1" showInputMessage="1" showErrorMessage="1" sqref="E1:E2 E3004:E3008 E3011:E1048574" xr:uid="{187371EE-03EE-4976-A6AD-77EE25726901}">
      <formula1>0</formula1>
      <formula2>400</formula2>
    </dataValidation>
    <dataValidation type="date" allowBlank="1" showInputMessage="1" showErrorMessage="1" sqref="N4:N3001 N3009:N3010" xr:uid="{418A60AA-DE62-4B1F-9336-48BA87F077E2}">
      <formula1>36526</formula1>
      <formula2>72686</formula2>
    </dataValidation>
    <dataValidation allowBlank="1" showInputMessage="1" showErrorMessage="1" sqref="E3" xr:uid="{4E483BA6-1F50-4596-A1D1-3BC4306ECFB8}"/>
  </dataValidations>
  <pageMargins left="0.7" right="0.7" top="0.75" bottom="0.75" header="0.3" footer="0.3"/>
  <pageSetup paperSize="9" scale="32" fitToHeight="0" orientation="landscape" r:id="rId1"/>
  <extLst>
    <ext xmlns:x14="http://schemas.microsoft.com/office/spreadsheetml/2009/9/main" uri="{78C0D931-6437-407d-A8EE-F0AAD7539E65}">
      <x14:conditionalFormattings>
        <x14:conditionalFormatting xmlns:xm="http://schemas.microsoft.com/office/excel/2006/main">
          <x14:cfRule type="expression" priority="39" id="{22D57FA2-4D2D-4F73-8866-C255C9750265}">
            <xm:f>$C4=Stats!$E$11</xm:f>
            <x14:dxf>
              <fill>
                <patternFill>
                  <bgColor theme="7" tint="0.59996337778862885"/>
                </patternFill>
              </fill>
            </x14:dxf>
          </x14:cfRule>
          <xm:sqref>A4:R3010 A3011:A3022 X4:Y3010 AA4:AB3010</xm:sqref>
        </x14:conditionalFormatting>
        <x14:conditionalFormatting xmlns:xm="http://schemas.microsoft.com/office/excel/2006/main">
          <x14:cfRule type="expression" priority="35" id="{596C2CA0-91A4-44ED-9DDD-5230B75A1080}">
            <xm:f>$B4=Stats!$E$7</xm:f>
            <x14:dxf>
              <fill>
                <patternFill>
                  <bgColor theme="5" tint="0.39994506668294322"/>
                </patternFill>
              </fill>
            </x14:dxf>
          </x14:cfRule>
          <x14:cfRule type="expression" priority="106" id="{8763FF2F-BC54-49AA-82DC-A41BAF51C0D6}">
            <xm:f>$C4=Stats!$E$13</xm:f>
            <x14:dxf>
              <fill>
                <patternFill>
                  <bgColor theme="4" tint="0.39994506668294322"/>
                </patternFill>
              </fill>
            </x14:dxf>
          </x14:cfRule>
          <x14:cfRule type="expression" priority="110" id="{BE261FA0-6FE2-4E30-B26F-1E1B69E69889}">
            <xm:f>$C4=Stats!$E$12</xm:f>
            <x14:dxf>
              <fill>
                <patternFill>
                  <bgColor theme="9" tint="0.39994506668294322"/>
                </patternFill>
              </fill>
            </x14:dxf>
          </x14:cfRule>
          <x14:cfRule type="expression" priority="114" id="{0F12A8C4-45A9-4182-9B42-DC8288802A65}">
            <xm:f>$C4=Stats!$E$14</xm:f>
            <x14:dxf>
              <fill>
                <patternFill>
                  <bgColor theme="8" tint="-0.499984740745262"/>
                </patternFill>
              </fill>
            </x14:dxf>
          </x14:cfRule>
          <x14:cfRule type="expression" priority="115" id="{67D9765C-B238-48A5-A78B-AD41A4FF614B}">
            <xm:f>$C4=Stats!$E$15</xm:f>
            <x14:dxf>
              <fill>
                <patternFill>
                  <bgColor theme="7" tint="-0.499984740745262"/>
                </patternFill>
              </fill>
            </x14:dxf>
          </x14:cfRule>
          <xm:sqref>A4:R3010 X4:Y3010 AA4:AB3010 A3011:A3022</xm:sqref>
        </x14:conditionalFormatting>
      </x14:conditionalFormattings>
    </ext>
    <ext xmlns:x14="http://schemas.microsoft.com/office/spreadsheetml/2009/9/main" uri="{CCE6A557-97BC-4b89-ADB6-D9C93CAAB3DF}">
      <x14:dataValidations xmlns:xm="http://schemas.microsoft.com/office/excel/2006/main" count="14">
        <x14:dataValidation type="list" allowBlank="1" showInputMessage="1" showErrorMessage="1" xr:uid="{47E853BB-2167-4EBC-9895-75F2391976A5}">
          <x14:formula1>
            <xm:f>Stats!$I$4:$I$889</xm:f>
          </x14:formula1>
          <xm:sqref>P43:P44 Q4:Q3010</xm:sqref>
        </x14:dataValidation>
        <x14:dataValidation type="list" allowBlank="1" showInputMessage="1" showErrorMessage="1" xr:uid="{1E33680F-80A7-43A3-9DD4-DF55CBD37029}">
          <x14:formula1>
            <xm:f>Stats!$E$18:$E$36</xm:f>
          </x14:formula1>
          <xm:sqref>L4:L3018</xm:sqref>
        </x14:dataValidation>
        <x14:dataValidation type="list" allowBlank="1" showInputMessage="1" showErrorMessage="1" xr:uid="{25545247-67AA-4F6D-9453-C1E6D34E2316}">
          <x14:formula1>
            <xm:f>Stats!$I$4:$I$455</xm:f>
          </x14:formula1>
          <xm:sqref>P4:P42 P45:P3010</xm:sqref>
        </x14:dataValidation>
        <x14:dataValidation type="list" allowBlank="1" showInputMessage="1" showErrorMessage="1" xr:uid="{DB374FA2-06C0-4013-9976-9F50BF6134A5}">
          <x14:formula1>
            <xm:f>Stats!$G$4:$G$16</xm:f>
          </x14:formula1>
          <xm:sqref>H51:H148 H4:H46 H153:H227 H389:H2999</xm:sqref>
        </x14:dataValidation>
        <x14:dataValidation type="list" allowBlank="1" showInputMessage="1" showErrorMessage="1" xr:uid="{554409BB-6963-4E17-8A94-B41E31FA1923}">
          <x14:formula1>
            <xm:f>Stats!$I$4:$I$899</xm:f>
          </x14:formula1>
          <xm:sqref>R4:R3010</xm:sqref>
        </x14:dataValidation>
        <x14:dataValidation type="list" operator="greaterThan" allowBlank="1" showInputMessage="1" showErrorMessage="1" xr:uid="{9E6696F8-9227-4C25-8160-518F7AAFE2B3}">
          <x14:formula1>
            <xm:f>Stats!$G$22:$G$28</xm:f>
          </x14:formula1>
          <xm:sqref>AB4:AB57 AB59:AB3010</xm:sqref>
        </x14:dataValidation>
        <x14:dataValidation type="list" allowBlank="1" showInputMessage="1" showErrorMessage="1" xr:uid="{78CF1CD4-02FC-46F6-B598-0A26E60B87C8}">
          <x14:formula1>
            <xm:f>Stats!$E$38:$E$44</xm:f>
          </x14:formula1>
          <xm:sqref>J3009:J3010 J4:J1753</xm:sqref>
        </x14:dataValidation>
        <x14:dataValidation type="list" operator="greaterThan" allowBlank="1" showInputMessage="1" showErrorMessage="1" xr:uid="{28091F5C-2936-4937-9A9B-28E03C876E1B}">
          <x14:formula1>
            <xm:f>Stats!$E$11:$E$15</xm:f>
          </x14:formula1>
          <xm:sqref>C4:C3010</xm:sqref>
        </x14:dataValidation>
        <x14:dataValidation type="list" allowBlank="1" showInputMessage="1" showErrorMessage="1" xr:uid="{027032F7-B454-4B96-81DE-E47727CCF48A}">
          <x14:formula1>
            <xm:f>Stats!$E$52:$E$69</xm:f>
          </x14:formula1>
          <xm:sqref>K1:K188 K368:K3008 K3011:K1048574</xm:sqref>
        </x14:dataValidation>
        <x14:dataValidation type="list" allowBlank="1" showInputMessage="1" showErrorMessage="1" xr:uid="{61837E0A-9DC7-473C-82A5-9438CB2C320A}">
          <x14:formula1>
            <xm:f>Stats!$G$4:$G$17</xm:f>
          </x14:formula1>
          <xm:sqref>H149:H152</xm:sqref>
        </x14:dataValidation>
        <x14:dataValidation type="list" allowBlank="1" showInputMessage="1" showErrorMessage="1" xr:uid="{791ADE5C-B6F0-493D-B74B-C9B3EBF61705}">
          <x14:formula1>
            <xm:f>Stats!$G$4:$G$22</xm:f>
          </x14:formula1>
          <xm:sqref>H3009:H3010 H228:H388</xm:sqref>
        </x14:dataValidation>
        <x14:dataValidation type="list" allowBlank="1" showInputMessage="1" showErrorMessage="1" xr:uid="{3B311FEE-3BDD-4C91-97CE-3E5CA48491CF}">
          <x14:formula1>
            <xm:f>Stats!$E$52:$E$73</xm:f>
          </x14:formula1>
          <xm:sqref>K3009:K3010 K189:K367</xm:sqref>
        </x14:dataValidation>
        <x14:dataValidation type="list" allowBlank="1" showInputMessage="1" showErrorMessage="1" xr:uid="{54CDE9F7-AE5E-465D-A9AB-7CDD00C8D91A}">
          <x14:formula1>
            <xm:f>Stats!$E$47:$E$48</xm:f>
          </x14:formula1>
          <xm:sqref>I1:I1048574</xm:sqref>
        </x14:dataValidation>
        <x14:dataValidation type="list" allowBlank="1" showInputMessage="1" showErrorMessage="1" xr:uid="{12A445EE-84B3-434B-8090-CFE2C15C40DB}">
          <x14:formula1>
            <xm:f>Stats!$B$3:$B$52</xm:f>
          </x14:formula1>
          <xm:sqref>O4:O3010 Y4:Y3010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391CA6-89EB-42E1-B00A-4FC61D85C433}">
  <dimension ref="A1:I22"/>
  <sheetViews>
    <sheetView zoomScale="85" zoomScaleNormal="85" workbookViewId="0">
      <selection activeCell="E26" sqref="E26"/>
    </sheetView>
  </sheetViews>
  <sheetFormatPr defaultColWidth="9.140625" defaultRowHeight="15" x14ac:dyDescent="0.25"/>
  <cols>
    <col min="1" max="1" width="17.42578125" style="12" bestFit="1" customWidth="1"/>
    <col min="2" max="5" width="11.42578125" style="12" customWidth="1"/>
    <col min="6" max="6" width="10.85546875" style="12" customWidth="1"/>
    <col min="7" max="7" width="9.42578125" style="12" customWidth="1"/>
    <col min="8" max="8" width="16" style="12" customWidth="1"/>
    <col min="9" max="9" width="11" style="12" customWidth="1"/>
    <col min="10" max="10" width="7.5703125" style="12" bestFit="1" customWidth="1"/>
    <col min="11" max="11" width="10.28515625" style="12" bestFit="1" customWidth="1"/>
    <col min="12" max="12" width="4.5703125" style="12" bestFit="1" customWidth="1"/>
    <col min="13" max="13" width="6.28515625" style="12" bestFit="1" customWidth="1"/>
    <col min="14" max="14" width="10.28515625" style="12" bestFit="1" customWidth="1"/>
    <col min="15" max="16384" width="9.140625" style="12"/>
  </cols>
  <sheetData>
    <row r="1" spans="1:9" ht="18.75" x14ac:dyDescent="0.3">
      <c r="A1" s="397" t="s">
        <v>3053</v>
      </c>
      <c r="B1" s="397"/>
      <c r="C1" s="397"/>
      <c r="D1" s="397"/>
      <c r="E1" s="397"/>
      <c r="F1" s="397"/>
      <c r="H1" s="397" t="s">
        <v>3054</v>
      </c>
      <c r="I1" s="397"/>
    </row>
    <row r="2" spans="1:9" ht="18.75" x14ac:dyDescent="0.3">
      <c r="A2" s="398" t="s">
        <v>20</v>
      </c>
      <c r="B2" s="399" t="s">
        <v>10</v>
      </c>
      <c r="C2" s="399"/>
      <c r="D2" s="399"/>
      <c r="E2" s="399"/>
      <c r="F2" s="400" t="s">
        <v>3055</v>
      </c>
      <c r="H2" s="15"/>
      <c r="I2" s="15"/>
    </row>
    <row r="3" spans="1:9" x14ac:dyDescent="0.25">
      <c r="A3" s="398"/>
      <c r="B3" s="15" t="s">
        <v>3056</v>
      </c>
      <c r="C3" s="15" t="s">
        <v>3057</v>
      </c>
      <c r="D3" s="15" t="s">
        <v>3058</v>
      </c>
      <c r="E3" s="15" t="s">
        <v>3059</v>
      </c>
      <c r="F3" s="400"/>
      <c r="H3" s="15" t="s">
        <v>16</v>
      </c>
      <c r="I3" s="15" t="s">
        <v>3060</v>
      </c>
    </row>
    <row r="4" spans="1:9" x14ac:dyDescent="0.25">
      <c r="A4" s="14"/>
      <c r="B4" s="12">
        <f>COUNTIFS('old -- All injections Dobos'!$C$2:$C$3002,'Summary Liliom'!$A4,'old -- All injections Dobos'!$B$2:$B$3002,'Summary Liliom'!B$3)</f>
        <v>0</v>
      </c>
      <c r="C4" s="12">
        <f>COUNTIFS('old -- All injections Dobos'!$C$2:$C$3002,'Summary Liliom'!$A4,'old -- All injections Dobos'!$B$2:$B$3002,'Summary Liliom'!C$3)</f>
        <v>0</v>
      </c>
      <c r="D4" s="12">
        <f>COUNTIFS('old -- All injections Dobos'!$C$2:$C$3002,'Summary Liliom'!$A4,'old -- All injections Dobos'!$B$2:$B$3002,'Summary Liliom'!D$3)</f>
        <v>0</v>
      </c>
      <c r="E4" s="12">
        <f>COUNTIFS('old -- All injections Dobos'!$C$2:$C$3002,'Summary Liliom'!$A4,'old -- All injections Dobos'!$B$2:$B$3002,'Summary Liliom'!E$3)</f>
        <v>0</v>
      </c>
      <c r="F4" s="13">
        <f t="shared" ref="F4:F20" si="0">SUM(C4:E4)</f>
        <v>0</v>
      </c>
      <c r="H4" s="12" t="str">
        <f>IF(COUNTA(Stats!G4)=1,Stats!G4,"")</f>
        <v>BAC-pva/gfp</v>
      </c>
      <c r="I4" s="12">
        <f>COUNTIFS('old -- All injections Dobos'!J$2:J$3002,'Summary Liliom'!$H4)</f>
        <v>10</v>
      </c>
    </row>
    <row r="5" spans="1:9" x14ac:dyDescent="0.25">
      <c r="A5" s="14" t="str">
        <f>IF(COUNTA(Stats!E20)=1,Stats!E20,"")</f>
        <v>ASO</v>
      </c>
      <c r="B5" s="12">
        <f>COUNTIFS('old -- All injections Dobos'!$C$2:$C$3002,'Summary Liliom'!$A5,'old -- All injections Dobos'!$B$2:$B$3002,'Summary Liliom'!B$3)</f>
        <v>86</v>
      </c>
      <c r="C5" s="12">
        <f>COUNTIFS('old -- All injections Dobos'!$C$2:$C$3002,'Summary Liliom'!$A5,'old -- All injections Dobos'!$B$2:$B$3002,'Summary Liliom'!C$3)</f>
        <v>0</v>
      </c>
      <c r="D5" s="12">
        <f>COUNTIFS('old -- All injections Dobos'!$C$2:$C$3002,'Summary Liliom'!$A5,'old -- All injections Dobos'!$B$2:$B$3002,'Summary Liliom'!D$3)</f>
        <v>0</v>
      </c>
      <c r="E5" s="12">
        <f>COUNTIFS('old -- All injections Dobos'!$C$2:$C$3002,'Summary Liliom'!$A5,'old -- All injections Dobos'!$B$2:$B$3002,'Summary Liliom'!E$3)</f>
        <v>0</v>
      </c>
      <c r="F5" s="13">
        <f t="shared" si="0"/>
        <v>0</v>
      </c>
      <c r="H5" s="12" t="str">
        <f>IF(COUNTA(Stats!G5)=1,Stats!G5,"")</f>
        <v>C57Bl/6J</v>
      </c>
      <c r="I5" s="12">
        <f>COUNTIFS('old -- All injections Dobos'!J$2:J$3002,'Summary Liliom'!$H5)</f>
        <v>0</v>
      </c>
    </row>
    <row r="6" spans="1:9" x14ac:dyDescent="0.25">
      <c r="A6" s="14" t="str">
        <f>IF(COUNTA(Stats!E21)=1,Stats!E21,"")</f>
        <v>Collaboration</v>
      </c>
      <c r="B6" s="12">
        <f>COUNTIFS('old -- All injections Dobos'!$C$2:$C$3002,'Summary Liliom'!$A6,'old -- All injections Dobos'!$B$2:$B$3002,'Summary Liliom'!B$3)</f>
        <v>39</v>
      </c>
      <c r="C6" s="12">
        <f>COUNTIFS('old -- All injections Dobos'!$C$2:$C$3002,'Summary Liliom'!$A6,'old -- All injections Dobos'!$B$2:$B$3002,'Summary Liliom'!C$3)</f>
        <v>0</v>
      </c>
      <c r="D6" s="12">
        <f>COUNTIFS('old -- All injections Dobos'!$C$2:$C$3002,'Summary Liliom'!$A6,'old -- All injections Dobos'!$B$2:$B$3002,'Summary Liliom'!D$3)</f>
        <v>0</v>
      </c>
      <c r="E6" s="12">
        <f>COUNTIFS('old -- All injections Dobos'!$C$2:$C$3002,'Summary Liliom'!$A6,'old -- All injections Dobos'!$B$2:$B$3002,'Summary Liliom'!E$3)</f>
        <v>0</v>
      </c>
      <c r="F6" s="13">
        <f t="shared" si="0"/>
        <v>0</v>
      </c>
      <c r="H6" s="12" t="str">
        <f>IF(COUNTA(Stats!G6)=1,Stats!G6,"")</f>
        <v>C57Bl6/NTac</v>
      </c>
      <c r="I6" s="12">
        <f>COUNTIFS('old -- All injections Dobos'!J$2:J$3002,'Summary Liliom'!$H6)</f>
        <v>0</v>
      </c>
    </row>
    <row r="7" spans="1:9" x14ac:dyDescent="0.25">
      <c r="A7" s="14" t="str">
        <f>IF(COUNTA(Stats!E22)=1,Stats!E22,"")</f>
        <v>Columna</v>
      </c>
      <c r="B7" s="12">
        <f>COUNTIFS('old -- All injections Dobos'!$C$2:$C$3002,'Summary Liliom'!$A7,'old -- All injections Dobos'!$B$2:$B$3002,'Summary Liliom'!B$3)</f>
        <v>222</v>
      </c>
      <c r="C7" s="12">
        <f>COUNTIFS('old -- All injections Dobos'!$C$2:$C$3002,'Summary Liliom'!$A7,'old -- All injections Dobos'!$B$2:$B$3002,'Summary Liliom'!C$3)</f>
        <v>0</v>
      </c>
      <c r="D7" s="12">
        <f>COUNTIFS('old -- All injections Dobos'!$C$2:$C$3002,'Summary Liliom'!$A7,'old -- All injections Dobos'!$B$2:$B$3002,'Summary Liliom'!D$3)</f>
        <v>0</v>
      </c>
      <c r="E7" s="12">
        <f>COUNTIFS('old -- All injections Dobos'!$C$2:$C$3002,'Summary Liliom'!$A7,'old -- All injections Dobos'!$B$2:$B$3002,'Summary Liliom'!E$3)</f>
        <v>0</v>
      </c>
      <c r="F7" s="13">
        <f t="shared" si="0"/>
        <v>0</v>
      </c>
      <c r="H7" s="12" t="str">
        <f>IF(COUNTA(Stats!G7)=1,Stats!G7,"")</f>
        <v>FVB/Ant</v>
      </c>
      <c r="I7" s="12">
        <f>COUNTIFS('old -- All injections Dobos'!J$2:J$3002,'Summary Liliom'!$H7)</f>
        <v>9</v>
      </c>
    </row>
    <row r="8" spans="1:9" x14ac:dyDescent="0.25">
      <c r="A8" s="14" t="str">
        <f>IF(COUNTA(Stats!E23)=1,Stats!E23,"")</f>
        <v>MS23</v>
      </c>
      <c r="B8" s="12">
        <f>COUNTIFS('old -- All injections Dobos'!$C$2:$C$3002,'Summary Liliom'!$A8,'old -- All injections Dobos'!$B$2:$B$3002,'Summary Liliom'!B$3)</f>
        <v>80</v>
      </c>
      <c r="C8" s="12">
        <f>COUNTIFS('old -- All injections Dobos'!$C$2:$C$3002,'Summary Liliom'!$A8,'old -- All injections Dobos'!$B$2:$B$3002,'Summary Liliom'!C$3)</f>
        <v>0</v>
      </c>
      <c r="D8" s="12">
        <f>COUNTIFS('old -- All injections Dobos'!$C$2:$C$3002,'Summary Liliom'!$A8,'old -- All injections Dobos'!$B$2:$B$3002,'Summary Liliom'!D$3)</f>
        <v>0</v>
      </c>
      <c r="E8" s="12">
        <f>COUNTIFS('old -- All injections Dobos'!$C$2:$C$3002,'Summary Liliom'!$A8,'old -- All injections Dobos'!$B$2:$B$3002,'Summary Liliom'!E$3)</f>
        <v>0</v>
      </c>
      <c r="F8" s="13">
        <f t="shared" si="0"/>
        <v>0</v>
      </c>
      <c r="H8" s="12" t="str">
        <f>IF(COUNTA(Stats!G8)=1,Stats!G8,"")</f>
        <v>PV-FLP</v>
      </c>
      <c r="I8" s="12">
        <f>COUNTIFS('old -- All injections Dobos'!J$2:J$3002,'Summary Liliom'!$H8)</f>
        <v>3</v>
      </c>
    </row>
    <row r="9" spans="1:9" x14ac:dyDescent="0.25">
      <c r="A9" s="14" t="str">
        <f>IF(COUNTA(Stats!E24)=1,Stats!E24,"")</f>
        <v>MS71</v>
      </c>
      <c r="B9" s="12">
        <f>COUNTIFS('old -- All injections Dobos'!$C$2:$C$3002,'Summary Liliom'!$A9,'old -- All injections Dobos'!$B$2:$B$3002,'Summary Liliom'!B$3)</f>
        <v>5</v>
      </c>
      <c r="C9" s="12">
        <f>COUNTIFS('old -- All injections Dobos'!$C$2:$C$3002,'Summary Liliom'!$A9,'old -- All injections Dobos'!$B$2:$B$3002,'Summary Liliom'!C$3)</f>
        <v>0</v>
      </c>
      <c r="D9" s="12">
        <f>COUNTIFS('old -- All injections Dobos'!$C$2:$C$3002,'Summary Liliom'!$A9,'old -- All injections Dobos'!$B$2:$B$3002,'Summary Liliom'!D$3)</f>
        <v>0</v>
      </c>
      <c r="E9" s="12">
        <f>COUNTIFS('old -- All injections Dobos'!$C$2:$C$3002,'Summary Liliom'!$A9,'old -- All injections Dobos'!$B$2:$B$3002,'Summary Liliom'!E$3)</f>
        <v>0</v>
      </c>
      <c r="F9" s="13">
        <f t="shared" si="0"/>
        <v>0</v>
      </c>
      <c r="H9" s="12" t="str">
        <f>IF(COUNTA(Stats!G9)=1,Stats!G9,"")</f>
        <v>TG_GCaMP6s_DA</v>
      </c>
      <c r="I9" s="12">
        <f>COUNTIFS('old -- All injections Dobos'!J$2:J$3002,'Summary Liliom'!$H9)</f>
        <v>0</v>
      </c>
    </row>
    <row r="10" spans="1:9" x14ac:dyDescent="0.25">
      <c r="A10" s="14" t="str">
        <f>IF(COUNTA(Stats!E25)=1,Stats!E25,"")</f>
        <v>Moculus</v>
      </c>
      <c r="B10" s="12">
        <f ca="1">COUNTIFS('old -- All injections Dobos'!$C$2:$C$3002,'Summary Liliom'!$A10,'old -- All injections Dobos'!$B$2:$B$3002,'Summary Liliom'!B$3)</f>
        <v>68</v>
      </c>
      <c r="C10" s="12">
        <f ca="1">COUNTIFS('old -- All injections Dobos'!$C$2:$C$3002,'Summary Liliom'!$A10,'old -- All injections Dobos'!$B$2:$B$3002,'Summary Liliom'!C$3)</f>
        <v>0</v>
      </c>
      <c r="D10" s="12">
        <f ca="1">COUNTIFS('old -- All injections Dobos'!$C$2:$C$3002,'Summary Liliom'!$A10,'old -- All injections Dobos'!$B$2:$B$3002,'Summary Liliom'!D$3)</f>
        <v>0</v>
      </c>
      <c r="E10" s="12">
        <f ca="1">COUNTIFS('old -- All injections Dobos'!$C$2:$C$3002,'Summary Liliom'!$A10,'old -- All injections Dobos'!$B$2:$B$3002,'Summary Liliom'!E$3)</f>
        <v>0</v>
      </c>
      <c r="F10" s="13">
        <f t="shared" ca="1" si="0"/>
        <v>0</v>
      </c>
      <c r="H10" s="12" t="str">
        <f>IF(COUNTA(Stats!G10)=1,Stats!G10,"")</f>
        <v>TG_GCaMP6F(82)</v>
      </c>
      <c r="I10" s="12">
        <f>COUNTIFS('old -- All injections Dobos'!J$2:J$3002,'Summary Liliom'!$H10)</f>
        <v>0</v>
      </c>
    </row>
    <row r="11" spans="1:9" x14ac:dyDescent="0.25">
      <c r="A11" s="14" t="str">
        <f>IF(COUNTA(Stats!E26)=1,Stats!E26,"")</f>
        <v>Multilayer</v>
      </c>
      <c r="B11" s="12">
        <f>COUNTIFS('old -- All injections Dobos'!$C$2:$C$3002,'Summary Liliom'!$A11,'old -- All injections Dobos'!$B$2:$B$3002,'Summary Liliom'!B$3)</f>
        <v>5</v>
      </c>
      <c r="C11" s="12">
        <f>COUNTIFS('old -- All injections Dobos'!$C$2:$C$3002,'Summary Liliom'!$A11,'old -- All injections Dobos'!$B$2:$B$3002,'Summary Liliom'!C$3)</f>
        <v>0</v>
      </c>
      <c r="D11" s="12">
        <f>COUNTIFS('old -- All injections Dobos'!$C$2:$C$3002,'Summary Liliom'!$A11,'old -- All injections Dobos'!$B$2:$B$3002,'Summary Liliom'!D$3)</f>
        <v>0</v>
      </c>
      <c r="E11" s="12">
        <f>COUNTIFS('old -- All injections Dobos'!$C$2:$C$3002,'Summary Liliom'!$A11,'old -- All injections Dobos'!$B$2:$B$3002,'Summary Liliom'!E$3)</f>
        <v>0</v>
      </c>
      <c r="F11" s="13">
        <f t="shared" si="0"/>
        <v>0</v>
      </c>
      <c r="H11" s="12" t="str">
        <f>IF(COUNTA(Stats!G11)=1,Stats!G11,"")</f>
        <v>TG82</v>
      </c>
      <c r="I11" s="12">
        <f>COUNTIFS('old -- All injections Dobos'!J$2:J$3002,'Summary Liliom'!$H11)</f>
        <v>3</v>
      </c>
    </row>
    <row r="12" spans="1:9" x14ac:dyDescent="0.25">
      <c r="A12" s="14" t="str">
        <f>IF(COUNTA(Stats!E27)=1,Stats!E27,"")</f>
        <v>Photostim</v>
      </c>
      <c r="B12" s="12">
        <f>COUNTIFS('old -- All injections Dobos'!$C$2:$C$3002,'Summary Liliom'!$A12,'old -- All injections Dobos'!$B$2:$B$3002,'Summary Liliom'!B$3)</f>
        <v>602</v>
      </c>
      <c r="C12" s="12">
        <f>COUNTIFS('old -- All injections Dobos'!$C$2:$C$3002,'Summary Liliom'!$A12,'old -- All injections Dobos'!$B$2:$B$3002,'Summary Liliom'!C$3)</f>
        <v>0</v>
      </c>
      <c r="D12" s="12">
        <f>COUNTIFS('old -- All injections Dobos'!$C$2:$C$3002,'Summary Liliom'!$A12,'old -- All injections Dobos'!$B$2:$B$3002,'Summary Liliom'!D$3)</f>
        <v>0</v>
      </c>
      <c r="E12" s="12">
        <f>COUNTIFS('old -- All injections Dobos'!$C$2:$C$3002,'Summary Liliom'!$A12,'old -- All injections Dobos'!$B$2:$B$3002,'Summary Liliom'!E$3)</f>
        <v>0</v>
      </c>
      <c r="F12" s="13">
        <f t="shared" si="0"/>
        <v>0</v>
      </c>
      <c r="H12" s="12" t="str">
        <f>IF(COUNTA(Stats!G12)=1,Stats!G12,"")</f>
        <v>Thy1-Cre</v>
      </c>
      <c r="I12" s="12">
        <f>COUNTIFS('old -- All injections Dobos'!J$2:J$3002,'Summary Liliom'!$H12)</f>
        <v>936</v>
      </c>
    </row>
    <row r="13" spans="1:9" x14ac:dyDescent="0.25">
      <c r="A13" s="14" t="str">
        <f>IF(COUNTA(Stats!E28)=1,Stats!E28,"")</f>
        <v>Spectral demixing</v>
      </c>
      <c r="B13" s="12">
        <f>COUNTIFS('old -- All injections Dobos'!$C$2:$C$3002,'Summary Liliom'!$A13,'old -- All injections Dobos'!$B$2:$B$3002,'Summary Liliom'!B$3)</f>
        <v>3</v>
      </c>
      <c r="C13" s="12">
        <f>COUNTIFS('old -- All injections Dobos'!$C$2:$C$3002,'Summary Liliom'!$A13,'old -- All injections Dobos'!$B$2:$B$3002,'Summary Liliom'!C$3)</f>
        <v>0</v>
      </c>
      <c r="D13" s="12">
        <f>COUNTIFS('old -- All injections Dobos'!$C$2:$C$3002,'Summary Liliom'!$A13,'old -- All injections Dobos'!$B$2:$B$3002,'Summary Liliom'!D$3)</f>
        <v>0</v>
      </c>
      <c r="E13" s="12">
        <f>COUNTIFS('old -- All injections Dobos'!$C$2:$C$3002,'Summary Liliom'!$A13,'old -- All injections Dobos'!$B$2:$B$3002,'Summary Liliom'!E$3)</f>
        <v>0</v>
      </c>
      <c r="F13" s="13">
        <f t="shared" si="0"/>
        <v>0</v>
      </c>
      <c r="H13" s="12" t="str">
        <f>IF(COUNTA(Stats!G13)=1,Stats!G13,"")</f>
        <v>VIP-cre</v>
      </c>
      <c r="I13" s="12">
        <f>COUNTIFS('old -- All injections Dobos'!J$2:J$3002,'Summary Liliom'!$H13)</f>
        <v>26</v>
      </c>
    </row>
    <row r="14" spans="1:9" x14ac:dyDescent="0.25">
      <c r="A14" s="14" t="str">
        <f>IF(COUNTA(Stats!E29)=1,Stats!E29,"")</f>
        <v>Treadmill</v>
      </c>
      <c r="B14" s="12">
        <f>COUNTIFS('old -- All injections Dobos'!$C$2:$C$3002,'Summary Liliom'!$A14,'old -- All injections Dobos'!$B$2:$B$3002,'Summary Liliom'!B$3)</f>
        <v>2</v>
      </c>
      <c r="C14" s="12">
        <f>COUNTIFS('old -- All injections Dobos'!$C$2:$C$3002,'Summary Liliom'!$A14,'old -- All injections Dobos'!$B$2:$B$3002,'Summary Liliom'!C$3)</f>
        <v>0</v>
      </c>
      <c r="D14" s="12">
        <f>COUNTIFS('old -- All injections Dobos'!$C$2:$C$3002,'Summary Liliom'!$A14,'old -- All injections Dobos'!$B$2:$B$3002,'Summary Liliom'!D$3)</f>
        <v>0</v>
      </c>
      <c r="E14" s="12">
        <f>COUNTIFS('old -- All injections Dobos'!$C$2:$C$3002,'Summary Liliom'!$A14,'old -- All injections Dobos'!$B$2:$B$3002,'Summary Liliom'!E$3)</f>
        <v>0</v>
      </c>
      <c r="F14" s="13">
        <f t="shared" si="0"/>
        <v>0</v>
      </c>
      <c r="H14" s="12" t="str">
        <f>IF(COUNTA(Stats!G14)=1,Stats!G14,"")</f>
        <v>Rbp4-Cre</v>
      </c>
      <c r="I14" s="12">
        <f>COUNTIFS('old -- All injections Dobos'!J$2:J$3002,'Summary Liliom'!$H14)</f>
        <v>19</v>
      </c>
    </row>
    <row r="15" spans="1:9" x14ac:dyDescent="0.25">
      <c r="A15" s="14" t="str">
        <f>IF(COUNTA(Stats!E30)=1,Stats!E30,"")</f>
        <v>Uncage</v>
      </c>
      <c r="B15" s="12">
        <f>COUNTIFS('old -- All injections Dobos'!$C$2:$C$3002,'Summary Liliom'!$A15,'old -- All injections Dobos'!$B$2:$B$3002,'Summary Liliom'!B$3)</f>
        <v>8</v>
      </c>
      <c r="C15" s="12">
        <f>COUNTIFS('old -- All injections Dobos'!$C$2:$C$3002,'Summary Liliom'!$A15,'old -- All injections Dobos'!$B$2:$B$3002,'Summary Liliom'!C$3)</f>
        <v>0</v>
      </c>
      <c r="D15" s="12">
        <f>COUNTIFS('old -- All injections Dobos'!$C$2:$C$3002,'Summary Liliom'!$A15,'old -- All injections Dobos'!$B$2:$B$3002,'Summary Liliom'!D$3)</f>
        <v>0</v>
      </c>
      <c r="E15" s="12">
        <f>COUNTIFS('old -- All injections Dobos'!$C$2:$C$3002,'Summary Liliom'!$A15,'old -- All injections Dobos'!$B$2:$B$3002,'Summary Liliom'!E$3)</f>
        <v>0</v>
      </c>
      <c r="F15" s="13">
        <f t="shared" si="0"/>
        <v>0</v>
      </c>
      <c r="H15" s="12" t="str">
        <f>IF(COUNTA(Stats!G15)=1,Stats!G15,"")</f>
        <v>BAC_Scnn1a/cre(Tg3Aibs)</v>
      </c>
    </row>
    <row r="16" spans="1:9" x14ac:dyDescent="0.25">
      <c r="A16" s="14" t="str">
        <f>IF(COUNTA(Stats!E31)=1,Stats!E31,"")</f>
        <v>Vírus teszt</v>
      </c>
      <c r="B16" s="12">
        <f>COUNTIFS('old -- All injections Dobos'!$C$2:$C$3002,'Summary Liliom'!$A16,'old -- All injections Dobos'!$B$2:$B$3002,'Summary Liliom'!B$3)</f>
        <v>6</v>
      </c>
      <c r="C16" s="12">
        <f>COUNTIFS('old -- All injections Dobos'!$C$2:$C$3002,'Summary Liliom'!$A16,'old -- All injections Dobos'!$B$2:$B$3002,'Summary Liliom'!C$3)</f>
        <v>0</v>
      </c>
      <c r="D16" s="12">
        <f>COUNTIFS('old -- All injections Dobos'!$C$2:$C$3002,'Summary Liliom'!$A16,'old -- All injections Dobos'!$B$2:$B$3002,'Summary Liliom'!D$3)</f>
        <v>0</v>
      </c>
      <c r="E16" s="12">
        <f>COUNTIFS('old -- All injections Dobos'!$C$2:$C$3002,'Summary Liliom'!$A16,'old -- All injections Dobos'!$B$2:$B$3002,'Summary Liliom'!E$3)</f>
        <v>0</v>
      </c>
      <c r="F16" s="13">
        <f t="shared" si="0"/>
        <v>0</v>
      </c>
      <c r="H16" s="16" t="s">
        <v>3061</v>
      </c>
      <c r="I16" s="17">
        <f>SUM(I4:I14)</f>
        <v>1006</v>
      </c>
    </row>
    <row r="17" spans="1:6" x14ac:dyDescent="0.25">
      <c r="A17" s="14" t="str">
        <f>IF(COUNTA(Stats!E32)=1,Stats!E32,"")</f>
        <v>VSD</v>
      </c>
      <c r="B17" s="12">
        <f>COUNTIFS('old -- All injections Dobos'!$C$2:$C$3002,'Summary Liliom'!$A17,'old -- All injections Dobos'!$B$2:$B$3002,'Summary Liliom'!B$3)</f>
        <v>140</v>
      </c>
      <c r="C17" s="12">
        <f>COUNTIFS('old -- All injections Dobos'!$C$2:$C$3002,'Summary Liliom'!$A17,'old -- All injections Dobos'!$B$2:$B$3002,'Summary Liliom'!C$3)</f>
        <v>0</v>
      </c>
      <c r="D17" s="12">
        <f>COUNTIFS('old -- All injections Dobos'!$C$2:$C$3002,'Summary Liliom'!$A17,'old -- All injections Dobos'!$B$2:$B$3002,'Summary Liliom'!D$3)</f>
        <v>0</v>
      </c>
      <c r="E17" s="12">
        <f>COUNTIFS('old -- All injections Dobos'!$C$2:$C$3002,'Summary Liliom'!$A17,'old -- All injections Dobos'!$B$2:$B$3002,'Summary Liliom'!E$3)</f>
        <v>0</v>
      </c>
      <c r="F17" s="13">
        <f t="shared" si="0"/>
        <v>0</v>
      </c>
    </row>
    <row r="18" spans="1:6" x14ac:dyDescent="0.25">
      <c r="A18" s="14" t="str">
        <f>IF(COUNTA(Stats!E33)=1,Stats!E33,"")</f>
        <v>VIP</v>
      </c>
      <c r="B18" s="12">
        <f>COUNTIFS('old -- All injections Dobos'!$C$2:$C$3002,'Summary Liliom'!$A18,'old -- All injections Dobos'!$B$2:$B$3002,'Summary Liliom'!B$3)</f>
        <v>108</v>
      </c>
      <c r="C18" s="12">
        <f>COUNTIFS('old -- All injections Dobos'!$C$2:$C$3002,'Summary Liliom'!$A18,'old -- All injections Dobos'!$B$2:$B$3002,'Summary Liliom'!C$3)</f>
        <v>0</v>
      </c>
      <c r="D18" s="12">
        <f>COUNTIFS('old -- All injections Dobos'!$C$2:$C$3002,'Summary Liliom'!$A18,'old -- All injections Dobos'!$B$2:$B$3002,'Summary Liliom'!D$3)</f>
        <v>0</v>
      </c>
      <c r="E18" s="12">
        <f>COUNTIFS('old -- All injections Dobos'!$C$2:$C$3002,'Summary Liliom'!$A18,'old -- All injections Dobos'!$B$2:$B$3002,'Summary Liliom'!E$3)</f>
        <v>0</v>
      </c>
      <c r="F18" s="13">
        <f t="shared" si="0"/>
        <v>0</v>
      </c>
    </row>
    <row r="19" spans="1:6" x14ac:dyDescent="0.25">
      <c r="A19" s="14"/>
      <c r="B19" s="12">
        <f>COUNTIFS('old -- All injections Dobos'!$C$2:$C$3002,'Summary Liliom'!$A19,'old -- All injections Dobos'!$B$2:$B$3002,'Summary Liliom'!B$3)</f>
        <v>0</v>
      </c>
      <c r="C19" s="12">
        <f>COUNTIFS('old -- All injections Dobos'!$C$2:$C$3002,'Summary Liliom'!$A19,'old -- All injections Dobos'!$B$2:$B$3002,'Summary Liliom'!C$3)</f>
        <v>0</v>
      </c>
      <c r="D19" s="12">
        <f>COUNTIFS('old -- All injections Dobos'!$C$2:$C$3002,'Summary Liliom'!$A19,'old -- All injections Dobos'!$B$2:$B$3002,'Summary Liliom'!D$3)</f>
        <v>0</v>
      </c>
      <c r="E19" s="12">
        <f>COUNTIFS('old -- All injections Dobos'!$C$2:$C$3002,'Summary Liliom'!$A19,'old -- All injections Dobos'!$B$2:$B$3002,'Summary Liliom'!E$3)</f>
        <v>0</v>
      </c>
      <c r="F19" s="13">
        <f t="shared" si="0"/>
        <v>0</v>
      </c>
    </row>
    <row r="20" spans="1:6" x14ac:dyDescent="0.25">
      <c r="A20" s="14"/>
      <c r="B20" s="12">
        <f>COUNTIFS('old -- All injections Dobos'!$C$2:$C$3002,'Summary Liliom'!$A20,'old -- All injections Dobos'!$B$2:$B$3002,'Summary Liliom'!B$3)</f>
        <v>0</v>
      </c>
      <c r="C20" s="12">
        <f>COUNTIFS('old -- All injections Dobos'!$C$2:$C$3002,'Summary Liliom'!$A20,'old -- All injections Dobos'!$B$2:$B$3002,'Summary Liliom'!C$3)</f>
        <v>0</v>
      </c>
      <c r="D20" s="12">
        <f>COUNTIFS('old -- All injections Dobos'!$C$2:$C$3002,'Summary Liliom'!$A20,'old -- All injections Dobos'!$B$2:$B$3002,'Summary Liliom'!D$3)</f>
        <v>0</v>
      </c>
      <c r="E20" s="12">
        <f>COUNTIFS('old -- All injections Dobos'!$C$2:$C$3002,'Summary Liliom'!$A20,'old -- All injections Dobos'!$B$2:$B$3002,'Summary Liliom'!E$3)</f>
        <v>0</v>
      </c>
      <c r="F20" s="13">
        <f t="shared" si="0"/>
        <v>0</v>
      </c>
    </row>
    <row r="21" spans="1:6" x14ac:dyDescent="0.25">
      <c r="A21" s="14" t="s">
        <v>3061</v>
      </c>
      <c r="B21" s="16">
        <f ca="1">SUM(B4:B20)</f>
        <v>1374</v>
      </c>
      <c r="C21" s="16">
        <f t="shared" ref="C21:F21" ca="1" si="1">SUM(C4:C20)</f>
        <v>0</v>
      </c>
      <c r="D21" s="16">
        <f t="shared" ca="1" si="1"/>
        <v>0</v>
      </c>
      <c r="E21" s="16">
        <f t="shared" ca="1" si="1"/>
        <v>0</v>
      </c>
      <c r="F21" s="17">
        <f t="shared" ca="1" si="1"/>
        <v>0</v>
      </c>
    </row>
    <row r="22" spans="1:6" x14ac:dyDescent="0.25">
      <c r="A22" s="12" t="str">
        <f>IF(COUNTA(Stats!E43)=1,Stats!E43,"")</f>
        <v/>
      </c>
    </row>
  </sheetData>
  <mergeCells count="5">
    <mergeCell ref="A1:F1"/>
    <mergeCell ref="H1:I1"/>
    <mergeCell ref="A2:A3"/>
    <mergeCell ref="B2:E2"/>
    <mergeCell ref="F2:F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9C65C-3681-4997-A0DB-50972DB3B9D2}">
  <dimension ref="A1:D1"/>
  <sheetViews>
    <sheetView zoomScale="85" zoomScaleNormal="85" workbookViewId="0">
      <selection activeCell="P27" sqref="P27"/>
    </sheetView>
  </sheetViews>
  <sheetFormatPr defaultRowHeight="15" x14ac:dyDescent="0.25"/>
  <sheetData>
    <row r="1" spans="1:4" x14ac:dyDescent="0.25">
      <c r="A1" t="s">
        <v>3062</v>
      </c>
      <c r="D1" s="233" t="s">
        <v>3063</v>
      </c>
    </row>
  </sheetData>
  <hyperlinks>
    <hyperlink ref="D1" r:id="rId1" display="fsdafadfasdf" xr:uid="{F19DE7AC-2EC6-4F44-BE71-A3D91F26D576}"/>
  </hyperlink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30B6E-B6BD-4D26-A830-0734BBC6AC26}">
  <dimension ref="A1:I22"/>
  <sheetViews>
    <sheetView zoomScale="70" zoomScaleNormal="70" workbookViewId="0">
      <selection activeCell="M11" sqref="M11"/>
    </sheetView>
  </sheetViews>
  <sheetFormatPr defaultColWidth="9.140625" defaultRowHeight="15" x14ac:dyDescent="0.25"/>
  <cols>
    <col min="1" max="1" width="17.42578125" style="12" bestFit="1" customWidth="1"/>
    <col min="2" max="5" width="11.42578125" style="12" customWidth="1"/>
    <col min="6" max="6" width="10.85546875" style="12" customWidth="1"/>
    <col min="7" max="7" width="9.42578125" style="12" customWidth="1"/>
    <col min="8" max="8" width="16" style="12" customWidth="1"/>
    <col min="9" max="9" width="11" style="12" customWidth="1"/>
    <col min="10" max="10" width="7.5703125" style="12" bestFit="1" customWidth="1"/>
    <col min="11" max="11" width="10.28515625" style="12" bestFit="1" customWidth="1"/>
    <col min="12" max="12" width="4.5703125" style="12" bestFit="1" customWidth="1"/>
    <col min="13" max="13" width="6.28515625" style="12" bestFit="1" customWidth="1"/>
    <col min="14" max="14" width="10.28515625" style="12" bestFit="1" customWidth="1"/>
    <col min="15" max="16384" width="9.140625" style="12"/>
  </cols>
  <sheetData>
    <row r="1" spans="1:9" ht="18.75" x14ac:dyDescent="0.3">
      <c r="A1" s="397" t="s">
        <v>3053</v>
      </c>
      <c r="B1" s="397"/>
      <c r="C1" s="397"/>
      <c r="D1" s="397"/>
      <c r="E1" s="397"/>
      <c r="F1" s="397"/>
      <c r="H1" s="397" t="s">
        <v>3054</v>
      </c>
      <c r="I1" s="397"/>
    </row>
    <row r="2" spans="1:9" ht="18.75" x14ac:dyDescent="0.3">
      <c r="A2" s="398" t="s">
        <v>20</v>
      </c>
      <c r="B2" s="399" t="s">
        <v>10</v>
      </c>
      <c r="C2" s="399"/>
      <c r="D2" s="399"/>
      <c r="E2" s="399"/>
      <c r="F2" s="400" t="s">
        <v>3055</v>
      </c>
      <c r="H2" s="15"/>
      <c r="I2" s="15"/>
    </row>
    <row r="3" spans="1:9" x14ac:dyDescent="0.25">
      <c r="A3" s="398"/>
      <c r="B3" s="15" t="s">
        <v>3056</v>
      </c>
      <c r="C3" s="15" t="s">
        <v>3057</v>
      </c>
      <c r="D3" s="15" t="s">
        <v>3058</v>
      </c>
      <c r="E3" s="15" t="s">
        <v>3059</v>
      </c>
      <c r="F3" s="400"/>
      <c r="H3" s="15" t="s">
        <v>16</v>
      </c>
      <c r="I3" s="15" t="s">
        <v>3060</v>
      </c>
    </row>
    <row r="4" spans="1:9" x14ac:dyDescent="0.25">
      <c r="A4" s="14"/>
      <c r="B4" s="12">
        <f>COUNTIFS('old -- All injections Dobos'!$C$2:$C$3002,'old -- Summary Dobos'!$A4,'old -- All injections Dobos'!$B$2:$B$3002,'old -- Summary Dobos'!B$3)</f>
        <v>0</v>
      </c>
      <c r="C4" s="12">
        <f>COUNTIFS('old -- All injections Dobos'!$C$2:$C$3002,'old -- Summary Dobos'!$A4,'old -- All injections Dobos'!$B$2:$B$3002,'old -- Summary Dobos'!C$3)</f>
        <v>0</v>
      </c>
      <c r="D4" s="12">
        <f>COUNTIFS('old -- All injections Dobos'!$C$2:$C$3002,'old -- Summary Dobos'!$A4,'old -- All injections Dobos'!$B$2:$B$3002,'old -- Summary Dobos'!D$3)</f>
        <v>0</v>
      </c>
      <c r="E4" s="12">
        <f>COUNTIFS('old -- All injections Dobos'!$C$2:$C$3002,'old -- Summary Dobos'!$A4,'old -- All injections Dobos'!$B$2:$B$3002,'old -- Summary Dobos'!E$3)</f>
        <v>0</v>
      </c>
      <c r="F4" s="13">
        <f t="shared" ref="F4:F20" si="0">SUM(C4:E4)</f>
        <v>0</v>
      </c>
      <c r="H4" s="12" t="str">
        <f>IF(COUNTA(Stats!G4)=1,Stats!G4,"")</f>
        <v>BAC-pva/gfp</v>
      </c>
      <c r="I4" s="12">
        <f>COUNTIFS('old -- All injections Dobos'!J$2:J$3002,'old -- Summary Dobos'!$H4)</f>
        <v>10</v>
      </c>
    </row>
    <row r="5" spans="1:9" x14ac:dyDescent="0.25">
      <c r="A5" s="14" t="str">
        <f>IF(COUNTA(Stats!E20)=1,Stats!E20,"")</f>
        <v>ASO</v>
      </c>
      <c r="B5" s="12">
        <f>COUNTIFS('old -- All injections Dobos'!$C$2:$C$3002,'old -- Summary Dobos'!$A5,'old -- All injections Dobos'!$B$2:$B$3002,'old -- Summary Dobos'!B$3)</f>
        <v>86</v>
      </c>
      <c r="C5" s="12">
        <f>COUNTIFS('old -- All injections Dobos'!$C$2:$C$3002,'old -- Summary Dobos'!$A5,'old -- All injections Dobos'!$B$2:$B$3002,'old -- Summary Dobos'!C$3)</f>
        <v>0</v>
      </c>
      <c r="D5" s="12">
        <f>COUNTIFS('old -- All injections Dobos'!$C$2:$C$3002,'old -- Summary Dobos'!$A5,'old -- All injections Dobos'!$B$2:$B$3002,'old -- Summary Dobos'!D$3)</f>
        <v>0</v>
      </c>
      <c r="E5" s="12">
        <f>COUNTIFS('old -- All injections Dobos'!$C$2:$C$3002,'old -- Summary Dobos'!$A5,'old -- All injections Dobos'!$B$2:$B$3002,'old -- Summary Dobos'!E$3)</f>
        <v>0</v>
      </c>
      <c r="F5" s="13">
        <f t="shared" si="0"/>
        <v>0</v>
      </c>
      <c r="H5" s="12" t="str">
        <f>IF(COUNTA(Stats!G5)=1,Stats!G5,"")</f>
        <v>C57Bl/6J</v>
      </c>
      <c r="I5" s="12">
        <f>COUNTIFS('old -- All injections Dobos'!J$2:J$3002,'old -- Summary Dobos'!$H5)</f>
        <v>0</v>
      </c>
    </row>
    <row r="6" spans="1:9" x14ac:dyDescent="0.25">
      <c r="A6" s="14" t="str">
        <f>IF(COUNTA(Stats!E21)=1,Stats!E21,"")</f>
        <v>Collaboration</v>
      </c>
      <c r="B6" s="12">
        <f>COUNTIFS('old -- All injections Dobos'!$C$2:$C$3002,'old -- Summary Dobos'!$A6,'old -- All injections Dobos'!$B$2:$B$3002,'old -- Summary Dobos'!B$3)</f>
        <v>39</v>
      </c>
      <c r="C6" s="12">
        <f>COUNTIFS('old -- All injections Dobos'!$C$2:$C$3002,'old -- Summary Dobos'!$A6,'old -- All injections Dobos'!$B$2:$B$3002,'old -- Summary Dobos'!C$3)</f>
        <v>0</v>
      </c>
      <c r="D6" s="12">
        <f>COUNTIFS('old -- All injections Dobos'!$C$2:$C$3002,'old -- Summary Dobos'!$A6,'old -- All injections Dobos'!$B$2:$B$3002,'old -- Summary Dobos'!D$3)</f>
        <v>0</v>
      </c>
      <c r="E6" s="12">
        <f>COUNTIFS('old -- All injections Dobos'!$C$2:$C$3002,'old -- Summary Dobos'!$A6,'old -- All injections Dobos'!$B$2:$B$3002,'old -- Summary Dobos'!E$3)</f>
        <v>0</v>
      </c>
      <c r="F6" s="13">
        <f t="shared" si="0"/>
        <v>0</v>
      </c>
      <c r="H6" s="12" t="str">
        <f>IF(COUNTA(Stats!G6)=1,Stats!G6,"")</f>
        <v>C57Bl6/NTac</v>
      </c>
      <c r="I6" s="12">
        <f>COUNTIFS('old -- All injections Dobos'!J$2:J$3002,'old -- Summary Dobos'!$H6)</f>
        <v>0</v>
      </c>
    </row>
    <row r="7" spans="1:9" x14ac:dyDescent="0.25">
      <c r="A7" s="14" t="str">
        <f>IF(COUNTA(Stats!E22)=1,Stats!E22,"")</f>
        <v>Columna</v>
      </c>
      <c r="B7" s="12">
        <f>COUNTIFS('old -- All injections Dobos'!$C$2:$C$3002,'old -- Summary Dobos'!$A7,'old -- All injections Dobos'!$B$2:$B$3002,'old -- Summary Dobos'!B$3)</f>
        <v>222</v>
      </c>
      <c r="C7" s="12">
        <f>COUNTIFS('old -- All injections Dobos'!$C$2:$C$3002,'old -- Summary Dobos'!$A7,'old -- All injections Dobos'!$B$2:$B$3002,'old -- Summary Dobos'!C$3)</f>
        <v>0</v>
      </c>
      <c r="D7" s="12">
        <f>COUNTIFS('old -- All injections Dobos'!$C$2:$C$3002,'old -- Summary Dobos'!$A7,'old -- All injections Dobos'!$B$2:$B$3002,'old -- Summary Dobos'!D$3)</f>
        <v>0</v>
      </c>
      <c r="E7" s="12">
        <f>COUNTIFS('old -- All injections Dobos'!$C$2:$C$3002,'old -- Summary Dobos'!$A7,'old -- All injections Dobos'!$B$2:$B$3002,'old -- Summary Dobos'!E$3)</f>
        <v>0</v>
      </c>
      <c r="F7" s="13">
        <f t="shared" si="0"/>
        <v>0</v>
      </c>
      <c r="H7" s="12" t="str">
        <f>IF(COUNTA(Stats!G7)=1,Stats!G7,"")</f>
        <v>FVB/Ant</v>
      </c>
      <c r="I7" s="12">
        <f>COUNTIFS('old -- All injections Dobos'!J$2:J$3002,'old -- Summary Dobos'!$H7)</f>
        <v>9</v>
      </c>
    </row>
    <row r="8" spans="1:9" x14ac:dyDescent="0.25">
      <c r="A8" s="14" t="str">
        <f>IF(COUNTA(Stats!E23)=1,Stats!E23,"")</f>
        <v>MS23</v>
      </c>
      <c r="B8" s="12">
        <f>COUNTIFS('old -- All injections Dobos'!$C$2:$C$3002,'old -- Summary Dobos'!$A8,'old -- All injections Dobos'!$B$2:$B$3002,'old -- Summary Dobos'!B$3)</f>
        <v>80</v>
      </c>
      <c r="C8" s="12">
        <f>COUNTIFS('old -- All injections Dobos'!$C$2:$C$3002,'old -- Summary Dobos'!$A8,'old -- All injections Dobos'!$B$2:$B$3002,'old -- Summary Dobos'!C$3)</f>
        <v>0</v>
      </c>
      <c r="D8" s="12">
        <f>COUNTIFS('old -- All injections Dobos'!$C$2:$C$3002,'old -- Summary Dobos'!$A8,'old -- All injections Dobos'!$B$2:$B$3002,'old -- Summary Dobos'!D$3)</f>
        <v>0</v>
      </c>
      <c r="E8" s="12">
        <f>COUNTIFS('old -- All injections Dobos'!$C$2:$C$3002,'old -- Summary Dobos'!$A8,'old -- All injections Dobos'!$B$2:$B$3002,'old -- Summary Dobos'!E$3)</f>
        <v>0</v>
      </c>
      <c r="F8" s="13">
        <f t="shared" si="0"/>
        <v>0</v>
      </c>
      <c r="H8" s="12" t="str">
        <f>IF(COUNTA(Stats!G8)=1,Stats!G8,"")</f>
        <v>PV-FLP</v>
      </c>
      <c r="I8" s="12">
        <f>COUNTIFS('old -- All injections Dobos'!J$2:J$3002,'old -- Summary Dobos'!$H8)</f>
        <v>3</v>
      </c>
    </row>
    <row r="9" spans="1:9" x14ac:dyDescent="0.25">
      <c r="A9" s="14" t="str">
        <f>IF(COUNTA(Stats!E24)=1,Stats!E24,"")</f>
        <v>MS71</v>
      </c>
      <c r="B9" s="12">
        <f>COUNTIFS('old -- All injections Dobos'!$C$2:$C$3002,'old -- Summary Dobos'!$A9,'old -- All injections Dobos'!$B$2:$B$3002,'old -- Summary Dobos'!B$3)</f>
        <v>5</v>
      </c>
      <c r="C9" s="12">
        <f>COUNTIFS('old -- All injections Dobos'!$C$2:$C$3002,'old -- Summary Dobos'!$A9,'old -- All injections Dobos'!$B$2:$B$3002,'old -- Summary Dobos'!C$3)</f>
        <v>0</v>
      </c>
      <c r="D9" s="12">
        <f>COUNTIFS('old -- All injections Dobos'!$C$2:$C$3002,'old -- Summary Dobos'!$A9,'old -- All injections Dobos'!$B$2:$B$3002,'old -- Summary Dobos'!D$3)</f>
        <v>0</v>
      </c>
      <c r="E9" s="12">
        <f>COUNTIFS('old -- All injections Dobos'!$C$2:$C$3002,'old -- Summary Dobos'!$A9,'old -- All injections Dobos'!$B$2:$B$3002,'old -- Summary Dobos'!E$3)</f>
        <v>0</v>
      </c>
      <c r="F9" s="13">
        <f t="shared" si="0"/>
        <v>0</v>
      </c>
      <c r="H9" s="12" t="str">
        <f>IF(COUNTA(Stats!G9)=1,Stats!G9,"")</f>
        <v>TG_GCaMP6s_DA</v>
      </c>
      <c r="I9" s="12">
        <f>COUNTIFS('old -- All injections Dobos'!J$2:J$3002,'old -- Summary Dobos'!$H9)</f>
        <v>0</v>
      </c>
    </row>
    <row r="10" spans="1:9" x14ac:dyDescent="0.25">
      <c r="A10" s="14" t="str">
        <f>IF(COUNTA(Stats!E25)=1,Stats!E25,"")</f>
        <v>Moculus</v>
      </c>
      <c r="B10" s="12">
        <f ca="1">COUNTIFS('old -- All injections Dobos'!$C$2:$C$3002,'old -- Summary Dobos'!$A10,'old -- All injections Dobos'!$B$2:$B$3002,'old -- Summary Dobos'!B$3)</f>
        <v>68</v>
      </c>
      <c r="C10" s="12">
        <f ca="1">COUNTIFS('old -- All injections Dobos'!$C$2:$C$3002,'old -- Summary Dobos'!$A10,'old -- All injections Dobos'!$B$2:$B$3002,'old -- Summary Dobos'!C$3)</f>
        <v>0</v>
      </c>
      <c r="D10" s="12">
        <f ca="1">COUNTIFS('old -- All injections Dobos'!$C$2:$C$3002,'old -- Summary Dobos'!$A10,'old -- All injections Dobos'!$B$2:$B$3002,'old -- Summary Dobos'!D$3)</f>
        <v>0</v>
      </c>
      <c r="E10" s="12">
        <f ca="1">COUNTIFS('old -- All injections Dobos'!$C$2:$C$3002,'old -- Summary Dobos'!$A10,'old -- All injections Dobos'!$B$2:$B$3002,'old -- Summary Dobos'!E$3)</f>
        <v>0</v>
      </c>
      <c r="F10" s="13">
        <f t="shared" ca="1" si="0"/>
        <v>0</v>
      </c>
      <c r="H10" s="12" t="str">
        <f>IF(COUNTA(Stats!G10)=1,Stats!G10,"")</f>
        <v>TG_GCaMP6F(82)</v>
      </c>
      <c r="I10" s="12">
        <f>COUNTIFS('old -- All injections Dobos'!J$2:J$3002,'old -- Summary Dobos'!$H10)</f>
        <v>0</v>
      </c>
    </row>
    <row r="11" spans="1:9" x14ac:dyDescent="0.25">
      <c r="A11" s="14" t="str">
        <f>IF(COUNTA(Stats!E26)=1,Stats!E26,"")</f>
        <v>Multilayer</v>
      </c>
      <c r="B11" s="12">
        <f>COUNTIFS('old -- All injections Dobos'!$C$2:$C$3002,'old -- Summary Dobos'!$A11,'old -- All injections Dobos'!$B$2:$B$3002,'old -- Summary Dobos'!B$3)</f>
        <v>5</v>
      </c>
      <c r="C11" s="12">
        <f>COUNTIFS('old -- All injections Dobos'!$C$2:$C$3002,'old -- Summary Dobos'!$A11,'old -- All injections Dobos'!$B$2:$B$3002,'old -- Summary Dobos'!C$3)</f>
        <v>0</v>
      </c>
      <c r="D11" s="12">
        <f>COUNTIFS('old -- All injections Dobos'!$C$2:$C$3002,'old -- Summary Dobos'!$A11,'old -- All injections Dobos'!$B$2:$B$3002,'old -- Summary Dobos'!D$3)</f>
        <v>0</v>
      </c>
      <c r="E11" s="12">
        <f>COUNTIFS('old -- All injections Dobos'!$C$2:$C$3002,'old -- Summary Dobos'!$A11,'old -- All injections Dobos'!$B$2:$B$3002,'old -- Summary Dobos'!E$3)</f>
        <v>0</v>
      </c>
      <c r="F11" s="13">
        <f t="shared" si="0"/>
        <v>0</v>
      </c>
      <c r="H11" s="12" t="str">
        <f>IF(COUNTA(Stats!G11)=1,Stats!G11,"")</f>
        <v>TG82</v>
      </c>
      <c r="I11" s="12">
        <f>COUNTIFS('old -- All injections Dobos'!J$2:J$3002,'old -- Summary Dobos'!$H11)</f>
        <v>3</v>
      </c>
    </row>
    <row r="12" spans="1:9" x14ac:dyDescent="0.25">
      <c r="A12" s="14" t="str">
        <f>IF(COUNTA(Stats!E27)=1,Stats!E27,"")</f>
        <v>Photostim</v>
      </c>
      <c r="B12" s="12">
        <f>COUNTIFS('old -- All injections Dobos'!$C$2:$C$3002,'old -- Summary Dobos'!$A12,'old -- All injections Dobos'!$B$2:$B$3002,'old -- Summary Dobos'!B$3)</f>
        <v>602</v>
      </c>
      <c r="C12" s="12">
        <f>COUNTIFS('old -- All injections Dobos'!$C$2:$C$3002,'old -- Summary Dobos'!$A12,'old -- All injections Dobos'!$B$2:$B$3002,'old -- Summary Dobos'!C$3)</f>
        <v>0</v>
      </c>
      <c r="D12" s="12">
        <f>COUNTIFS('old -- All injections Dobos'!$C$2:$C$3002,'old -- Summary Dobos'!$A12,'old -- All injections Dobos'!$B$2:$B$3002,'old -- Summary Dobos'!D$3)</f>
        <v>0</v>
      </c>
      <c r="E12" s="12">
        <f>COUNTIFS('old -- All injections Dobos'!$C$2:$C$3002,'old -- Summary Dobos'!$A12,'old -- All injections Dobos'!$B$2:$B$3002,'old -- Summary Dobos'!E$3)</f>
        <v>0</v>
      </c>
      <c r="F12" s="13">
        <f t="shared" si="0"/>
        <v>0</v>
      </c>
      <c r="H12" s="12" t="str">
        <f>IF(COUNTA(Stats!G12)=1,Stats!G12,"")</f>
        <v>Thy1-Cre</v>
      </c>
      <c r="I12" s="12">
        <f>COUNTIFS('old -- All injections Dobos'!J$2:J$3002,'old -- Summary Dobos'!$H12)</f>
        <v>936</v>
      </c>
    </row>
    <row r="13" spans="1:9" x14ac:dyDescent="0.25">
      <c r="A13" s="14" t="str">
        <f>IF(COUNTA(Stats!E28)=1,Stats!E28,"")</f>
        <v>Spectral demixing</v>
      </c>
      <c r="B13" s="12">
        <f>COUNTIFS('old -- All injections Dobos'!$C$2:$C$3002,'old -- Summary Dobos'!$A13,'old -- All injections Dobos'!$B$2:$B$3002,'old -- Summary Dobos'!B$3)</f>
        <v>3</v>
      </c>
      <c r="C13" s="12">
        <f>COUNTIFS('old -- All injections Dobos'!$C$2:$C$3002,'old -- Summary Dobos'!$A13,'old -- All injections Dobos'!$B$2:$B$3002,'old -- Summary Dobos'!C$3)</f>
        <v>0</v>
      </c>
      <c r="D13" s="12">
        <f>COUNTIFS('old -- All injections Dobos'!$C$2:$C$3002,'old -- Summary Dobos'!$A13,'old -- All injections Dobos'!$B$2:$B$3002,'old -- Summary Dobos'!D$3)</f>
        <v>0</v>
      </c>
      <c r="E13" s="12">
        <f>COUNTIFS('old -- All injections Dobos'!$C$2:$C$3002,'old -- Summary Dobos'!$A13,'old -- All injections Dobos'!$B$2:$B$3002,'old -- Summary Dobos'!E$3)</f>
        <v>0</v>
      </c>
      <c r="F13" s="13">
        <f t="shared" si="0"/>
        <v>0</v>
      </c>
      <c r="H13" s="12" t="str">
        <f>IF(COUNTA(Stats!G13)=1,Stats!G13,"")</f>
        <v>VIP-cre</v>
      </c>
      <c r="I13" s="12">
        <f>COUNTIFS('old -- All injections Dobos'!J$2:J$3002,'old -- Summary Dobos'!$H13)</f>
        <v>26</v>
      </c>
    </row>
    <row r="14" spans="1:9" x14ac:dyDescent="0.25">
      <c r="A14" s="14" t="str">
        <f>IF(COUNTA(Stats!E29)=1,Stats!E29,"")</f>
        <v>Treadmill</v>
      </c>
      <c r="B14" s="12">
        <f>COUNTIFS('old -- All injections Dobos'!$C$2:$C$3002,'old -- Summary Dobos'!$A14,'old -- All injections Dobos'!$B$2:$B$3002,'old -- Summary Dobos'!B$3)</f>
        <v>2</v>
      </c>
      <c r="C14" s="12">
        <f>COUNTIFS('old -- All injections Dobos'!$C$2:$C$3002,'old -- Summary Dobos'!$A14,'old -- All injections Dobos'!$B$2:$B$3002,'old -- Summary Dobos'!C$3)</f>
        <v>0</v>
      </c>
      <c r="D14" s="12">
        <f>COUNTIFS('old -- All injections Dobos'!$C$2:$C$3002,'old -- Summary Dobos'!$A14,'old -- All injections Dobos'!$B$2:$B$3002,'old -- Summary Dobos'!D$3)</f>
        <v>0</v>
      </c>
      <c r="E14" s="12">
        <f>COUNTIFS('old -- All injections Dobos'!$C$2:$C$3002,'old -- Summary Dobos'!$A14,'old -- All injections Dobos'!$B$2:$B$3002,'old -- Summary Dobos'!E$3)</f>
        <v>0</v>
      </c>
      <c r="F14" s="13">
        <f t="shared" si="0"/>
        <v>0</v>
      </c>
      <c r="H14" s="12" t="str">
        <f>IF(COUNTA(Stats!G14)=1,Stats!G14,"")</f>
        <v>Rbp4-Cre</v>
      </c>
      <c r="I14" s="12">
        <f>COUNTIFS('old -- All injections Dobos'!J$2:J$3002,'old -- Summary Dobos'!$H14)</f>
        <v>19</v>
      </c>
    </row>
    <row r="15" spans="1:9" x14ac:dyDescent="0.25">
      <c r="A15" s="14" t="str">
        <f>IF(COUNTA(Stats!E30)=1,Stats!E30,"")</f>
        <v>Uncage</v>
      </c>
      <c r="B15" s="12">
        <f>COUNTIFS('old -- All injections Dobos'!$C$2:$C$3002,'old -- Summary Dobos'!$A15,'old -- All injections Dobos'!$B$2:$B$3002,'old -- Summary Dobos'!B$3)</f>
        <v>8</v>
      </c>
      <c r="C15" s="12">
        <f>COUNTIFS('old -- All injections Dobos'!$C$2:$C$3002,'old -- Summary Dobos'!$A15,'old -- All injections Dobos'!$B$2:$B$3002,'old -- Summary Dobos'!C$3)</f>
        <v>0</v>
      </c>
      <c r="D15" s="12">
        <f>COUNTIFS('old -- All injections Dobos'!$C$2:$C$3002,'old -- Summary Dobos'!$A15,'old -- All injections Dobos'!$B$2:$B$3002,'old -- Summary Dobos'!D$3)</f>
        <v>0</v>
      </c>
      <c r="E15" s="12">
        <f>COUNTIFS('old -- All injections Dobos'!$C$2:$C$3002,'old -- Summary Dobos'!$A15,'old -- All injections Dobos'!$B$2:$B$3002,'old -- Summary Dobos'!E$3)</f>
        <v>0</v>
      </c>
      <c r="F15" s="13">
        <f t="shared" si="0"/>
        <v>0</v>
      </c>
      <c r="H15" s="12" t="str">
        <f>IF(COUNTA(Stats!G15)=1,Stats!G15,"")</f>
        <v>BAC_Scnn1a/cre(Tg3Aibs)</v>
      </c>
    </row>
    <row r="16" spans="1:9" x14ac:dyDescent="0.25">
      <c r="A16" s="14" t="str">
        <f>IF(COUNTA(Stats!E31)=1,Stats!E31,"")</f>
        <v>Vírus teszt</v>
      </c>
      <c r="B16" s="12">
        <f>COUNTIFS('old -- All injections Dobos'!$C$2:$C$3002,'old -- Summary Dobos'!$A16,'old -- All injections Dobos'!$B$2:$B$3002,'old -- Summary Dobos'!B$3)</f>
        <v>6</v>
      </c>
      <c r="C16" s="12">
        <f>COUNTIFS('old -- All injections Dobos'!$C$2:$C$3002,'old -- Summary Dobos'!$A16,'old -- All injections Dobos'!$B$2:$B$3002,'old -- Summary Dobos'!C$3)</f>
        <v>0</v>
      </c>
      <c r="D16" s="12">
        <f>COUNTIFS('old -- All injections Dobos'!$C$2:$C$3002,'old -- Summary Dobos'!$A16,'old -- All injections Dobos'!$B$2:$B$3002,'old -- Summary Dobos'!D$3)</f>
        <v>0</v>
      </c>
      <c r="E16" s="12">
        <f>COUNTIFS('old -- All injections Dobos'!$C$2:$C$3002,'old -- Summary Dobos'!$A16,'old -- All injections Dobos'!$B$2:$B$3002,'old -- Summary Dobos'!E$3)</f>
        <v>0</v>
      </c>
      <c r="F16" s="13">
        <f t="shared" si="0"/>
        <v>0</v>
      </c>
      <c r="H16" s="16" t="s">
        <v>3061</v>
      </c>
      <c r="I16" s="17">
        <f>SUM(I4:I14)</f>
        <v>1006</v>
      </c>
    </row>
    <row r="17" spans="1:6" x14ac:dyDescent="0.25">
      <c r="A17" s="14" t="str">
        <f>IF(COUNTA(Stats!E32)=1,Stats!E32,"")</f>
        <v>VSD</v>
      </c>
      <c r="B17" s="12">
        <f>COUNTIFS('old -- All injections Dobos'!$C$2:$C$3002,'old -- Summary Dobos'!$A17,'old -- All injections Dobos'!$B$2:$B$3002,'old -- Summary Dobos'!B$3)</f>
        <v>140</v>
      </c>
      <c r="C17" s="12">
        <f>COUNTIFS('old -- All injections Dobos'!$C$2:$C$3002,'old -- Summary Dobos'!$A17,'old -- All injections Dobos'!$B$2:$B$3002,'old -- Summary Dobos'!C$3)</f>
        <v>0</v>
      </c>
      <c r="D17" s="12">
        <f>COUNTIFS('old -- All injections Dobos'!$C$2:$C$3002,'old -- Summary Dobos'!$A17,'old -- All injections Dobos'!$B$2:$B$3002,'old -- Summary Dobos'!D$3)</f>
        <v>0</v>
      </c>
      <c r="E17" s="12">
        <f>COUNTIFS('old -- All injections Dobos'!$C$2:$C$3002,'old -- Summary Dobos'!$A17,'old -- All injections Dobos'!$B$2:$B$3002,'old -- Summary Dobos'!E$3)</f>
        <v>0</v>
      </c>
      <c r="F17" s="13">
        <f t="shared" si="0"/>
        <v>0</v>
      </c>
    </row>
    <row r="18" spans="1:6" x14ac:dyDescent="0.25">
      <c r="A18" s="14" t="str">
        <f>IF(COUNTA(Stats!E33)=1,Stats!E33,"")</f>
        <v>VIP</v>
      </c>
      <c r="B18" s="12">
        <f>COUNTIFS('old -- All injections Dobos'!$C$2:$C$3002,'old -- Summary Dobos'!$A18,'old -- All injections Dobos'!$B$2:$B$3002,'old -- Summary Dobos'!B$3)</f>
        <v>108</v>
      </c>
      <c r="C18" s="12">
        <f>COUNTIFS('old -- All injections Dobos'!$C$2:$C$3002,'old -- Summary Dobos'!$A18,'old -- All injections Dobos'!$B$2:$B$3002,'old -- Summary Dobos'!C$3)</f>
        <v>0</v>
      </c>
      <c r="D18" s="12">
        <f>COUNTIFS('old -- All injections Dobos'!$C$2:$C$3002,'old -- Summary Dobos'!$A18,'old -- All injections Dobos'!$B$2:$B$3002,'old -- Summary Dobos'!D$3)</f>
        <v>0</v>
      </c>
      <c r="E18" s="12">
        <f>COUNTIFS('old -- All injections Dobos'!$C$2:$C$3002,'old -- Summary Dobos'!$A18,'old -- All injections Dobos'!$B$2:$B$3002,'old -- Summary Dobos'!E$3)</f>
        <v>0</v>
      </c>
      <c r="F18" s="13">
        <f t="shared" si="0"/>
        <v>0</v>
      </c>
    </row>
    <row r="19" spans="1:6" x14ac:dyDescent="0.25">
      <c r="A19" s="14"/>
      <c r="B19" s="12">
        <f>COUNTIFS('old -- All injections Dobos'!$C$2:$C$3002,'old -- Summary Dobos'!$A19,'old -- All injections Dobos'!$B$2:$B$3002,'old -- Summary Dobos'!B$3)</f>
        <v>0</v>
      </c>
      <c r="C19" s="12">
        <f>COUNTIFS('old -- All injections Dobos'!$C$2:$C$3002,'old -- Summary Dobos'!$A19,'old -- All injections Dobos'!$B$2:$B$3002,'old -- Summary Dobos'!C$3)</f>
        <v>0</v>
      </c>
      <c r="D19" s="12">
        <f>COUNTIFS('old -- All injections Dobos'!$C$2:$C$3002,'old -- Summary Dobos'!$A19,'old -- All injections Dobos'!$B$2:$B$3002,'old -- Summary Dobos'!D$3)</f>
        <v>0</v>
      </c>
      <c r="E19" s="12">
        <f>COUNTIFS('old -- All injections Dobos'!$C$2:$C$3002,'old -- Summary Dobos'!$A19,'old -- All injections Dobos'!$B$2:$B$3002,'old -- Summary Dobos'!E$3)</f>
        <v>0</v>
      </c>
      <c r="F19" s="13">
        <f t="shared" si="0"/>
        <v>0</v>
      </c>
    </row>
    <row r="20" spans="1:6" x14ac:dyDescent="0.25">
      <c r="A20" s="14"/>
      <c r="B20" s="12">
        <f>COUNTIFS('old -- All injections Dobos'!$C$2:$C$3002,'old -- Summary Dobos'!$A20,'old -- All injections Dobos'!$B$2:$B$3002,'old -- Summary Dobos'!B$3)</f>
        <v>0</v>
      </c>
      <c r="C20" s="12">
        <f>COUNTIFS('old -- All injections Dobos'!$C$2:$C$3002,'old -- Summary Dobos'!$A20,'old -- All injections Dobos'!$B$2:$B$3002,'old -- Summary Dobos'!C$3)</f>
        <v>0</v>
      </c>
      <c r="D20" s="12">
        <f>COUNTIFS('old -- All injections Dobos'!$C$2:$C$3002,'old -- Summary Dobos'!$A20,'old -- All injections Dobos'!$B$2:$B$3002,'old -- Summary Dobos'!D$3)</f>
        <v>0</v>
      </c>
      <c r="E20" s="12">
        <f>COUNTIFS('old -- All injections Dobos'!$C$2:$C$3002,'old -- Summary Dobos'!$A20,'old -- All injections Dobos'!$B$2:$B$3002,'old -- Summary Dobos'!E$3)</f>
        <v>0</v>
      </c>
      <c r="F20" s="13">
        <f t="shared" si="0"/>
        <v>0</v>
      </c>
    </row>
    <row r="21" spans="1:6" x14ac:dyDescent="0.25">
      <c r="A21" s="14" t="s">
        <v>3061</v>
      </c>
      <c r="B21" s="16">
        <f ca="1">SUM(B4:B20)</f>
        <v>1374</v>
      </c>
      <c r="C21" s="16">
        <f t="shared" ref="C21:F21" ca="1" si="1">SUM(C4:C20)</f>
        <v>0</v>
      </c>
      <c r="D21" s="16">
        <f t="shared" ca="1" si="1"/>
        <v>0</v>
      </c>
      <c r="E21" s="16">
        <f t="shared" ca="1" si="1"/>
        <v>0</v>
      </c>
      <c r="F21" s="17">
        <f t="shared" ca="1" si="1"/>
        <v>0</v>
      </c>
    </row>
    <row r="22" spans="1:6" x14ac:dyDescent="0.25">
      <c r="A22" s="12" t="str">
        <f>IF(COUNTA(Stats!E43)=1,Stats!E43,"")</f>
        <v/>
      </c>
    </row>
  </sheetData>
  <mergeCells count="5">
    <mergeCell ref="H1:I1"/>
    <mergeCell ref="B2:E2"/>
    <mergeCell ref="F2:F3"/>
    <mergeCell ref="A1:F1"/>
    <mergeCell ref="A2:A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D4C6D-CFC2-4647-ADBD-467ECFF092A4}">
  <dimension ref="A1:G18"/>
  <sheetViews>
    <sheetView workbookViewId="0">
      <selection activeCell="B8" sqref="B8"/>
    </sheetView>
  </sheetViews>
  <sheetFormatPr defaultRowHeight="15" x14ac:dyDescent="0.25"/>
  <cols>
    <col min="2" max="2" width="35.42578125" customWidth="1"/>
  </cols>
  <sheetData>
    <row r="1" spans="1:7" s="2" customFormat="1" ht="22.5" customHeight="1" x14ac:dyDescent="0.25"/>
    <row r="2" spans="1:7" s="2" customFormat="1" ht="22.5" customHeight="1" x14ac:dyDescent="0.25"/>
    <row r="3" spans="1:7" s="2" customFormat="1" ht="17.25" customHeight="1" x14ac:dyDescent="0.25">
      <c r="B3" s="5" t="s">
        <v>3064</v>
      </c>
    </row>
    <row r="4" spans="1:7" s="2" customFormat="1" ht="32.25" customHeight="1" x14ac:dyDescent="0.25">
      <c r="B4" s="7" t="s">
        <v>3065</v>
      </c>
    </row>
    <row r="5" spans="1:7" x14ac:dyDescent="0.25">
      <c r="A5" s="2"/>
      <c r="B5" s="4" t="s">
        <v>3066</v>
      </c>
    </row>
    <row r="6" spans="1:7" x14ac:dyDescent="0.25">
      <c r="A6" s="2"/>
      <c r="B6" s="3" t="s">
        <v>3067</v>
      </c>
      <c r="G6" s="8">
        <v>0.4</v>
      </c>
    </row>
    <row r="7" spans="1:7" x14ac:dyDescent="0.25">
      <c r="B7" s="9" t="s">
        <v>3068</v>
      </c>
    </row>
    <row r="16" spans="1:7" x14ac:dyDescent="0.25">
      <c r="B16" t="s">
        <v>3069</v>
      </c>
    </row>
    <row r="17" spans="2:2" x14ac:dyDescent="0.25">
      <c r="B17" s="6"/>
    </row>
    <row r="18" spans="2:2" x14ac:dyDescent="0.25">
      <c r="B18" s="1"/>
    </row>
  </sheetData>
  <pageMargins left="0.7" right="0.7" top="0.75" bottom="0.75" header="0.3" footer="0.3"/>
  <drawing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FBF773-4233-4D5A-828E-455EE94F6D42}">
  <dimension ref="A1:AT1095"/>
  <sheetViews>
    <sheetView zoomScaleNormal="100" workbookViewId="0">
      <selection activeCell="B52" sqref="B52"/>
    </sheetView>
  </sheetViews>
  <sheetFormatPr defaultColWidth="9.140625" defaultRowHeight="15" x14ac:dyDescent="0.25"/>
  <cols>
    <col min="1" max="1" width="7.5703125" customWidth="1"/>
    <col min="2" max="2" width="24" bestFit="1" customWidth="1"/>
    <col min="5" max="5" width="21.5703125" customWidth="1"/>
    <col min="6" max="6" width="7.7109375" customWidth="1"/>
    <col min="7" max="7" width="24.140625" customWidth="1"/>
    <col min="8" max="8" width="7.140625" customWidth="1"/>
    <col min="10" max="10" width="7.140625" customWidth="1"/>
    <col min="12" max="12" width="13.42578125" bestFit="1" customWidth="1"/>
    <col min="13" max="13" width="9.7109375" customWidth="1"/>
    <col min="14" max="15" width="12.28515625" customWidth="1"/>
    <col min="16" max="16" width="6.28515625" customWidth="1"/>
    <col min="17" max="17" width="7.5703125" customWidth="1"/>
    <col min="18" max="18" width="5.42578125" customWidth="1"/>
    <col min="19" max="19" width="5.7109375" customWidth="1"/>
    <col min="20" max="20" width="12.42578125" bestFit="1" customWidth="1"/>
    <col min="21" max="21" width="11.28515625" bestFit="1" customWidth="1"/>
    <col min="22" max="23" width="10.140625" bestFit="1" customWidth="1"/>
    <col min="30" max="30" width="12.42578125" bestFit="1" customWidth="1"/>
    <col min="31" max="31" width="9.7109375" customWidth="1"/>
    <col min="32" max="32" width="12.28515625" customWidth="1"/>
    <col min="33" max="33" width="10.85546875" customWidth="1"/>
    <col min="34" max="34" width="5.28515625" customWidth="1"/>
    <col min="35" max="35" width="6.5703125" customWidth="1"/>
    <col min="36" max="36" width="5.42578125" customWidth="1"/>
    <col min="37" max="37" width="5.7109375" customWidth="1"/>
    <col min="38" max="38" width="12.42578125" bestFit="1" customWidth="1"/>
    <col min="39" max="39" width="11.28515625" bestFit="1" customWidth="1"/>
    <col min="41" max="41" width="10.140625" bestFit="1" customWidth="1"/>
  </cols>
  <sheetData>
    <row r="1" spans="1:46" ht="21" x14ac:dyDescent="0.35">
      <c r="A1" s="401" t="s">
        <v>3070</v>
      </c>
      <c r="B1" s="401"/>
      <c r="C1" s="401"/>
      <c r="D1" s="401"/>
      <c r="E1" s="401"/>
      <c r="F1" s="401"/>
      <c r="G1" s="401"/>
      <c r="H1" s="401"/>
      <c r="I1" s="401"/>
      <c r="J1" s="401"/>
      <c r="L1" s="401" t="s">
        <v>3071</v>
      </c>
      <c r="M1" s="401"/>
      <c r="N1" s="401"/>
      <c r="O1" s="401"/>
      <c r="P1" s="401"/>
      <c r="Q1" s="401"/>
      <c r="R1" s="401"/>
      <c r="S1" s="401"/>
      <c r="T1" s="401"/>
      <c r="U1" s="401"/>
      <c r="V1" s="401"/>
      <c r="W1" s="401"/>
      <c r="X1" s="401"/>
      <c r="Y1" s="401"/>
      <c r="Z1" s="401"/>
      <c r="AA1" s="401"/>
      <c r="AB1" s="401"/>
      <c r="AD1" s="401" t="s">
        <v>3071</v>
      </c>
      <c r="AE1" s="401"/>
      <c r="AF1" s="401"/>
      <c r="AG1" s="401"/>
      <c r="AH1" s="401"/>
      <c r="AI1" s="401"/>
      <c r="AJ1" s="401"/>
      <c r="AK1" s="401"/>
      <c r="AL1" s="401"/>
      <c r="AM1" s="401"/>
      <c r="AN1" s="401"/>
      <c r="AO1" s="401"/>
      <c r="AP1" s="401"/>
      <c r="AQ1" s="401"/>
      <c r="AR1" s="401"/>
      <c r="AS1" s="401"/>
      <c r="AT1" s="401"/>
    </row>
    <row r="2" spans="1:46" x14ac:dyDescent="0.25">
      <c r="A2" s="12"/>
      <c r="B2" s="12"/>
      <c r="C2" s="12"/>
      <c r="D2" s="12"/>
      <c r="E2" s="12"/>
      <c r="F2" s="12"/>
      <c r="G2" s="12"/>
      <c r="H2" s="12"/>
      <c r="I2" s="12"/>
      <c r="J2" s="12"/>
      <c r="L2" s="12"/>
      <c r="M2" s="12"/>
      <c r="N2" s="12"/>
      <c r="O2" s="12"/>
      <c r="P2" s="12"/>
      <c r="Q2" s="12"/>
      <c r="R2" s="12"/>
      <c r="S2" s="12"/>
      <c r="T2" s="12"/>
      <c r="U2" s="12"/>
      <c r="V2" s="12"/>
      <c r="W2" s="12"/>
      <c r="X2" s="12"/>
      <c r="Y2" s="12"/>
      <c r="Z2" s="12"/>
      <c r="AA2" s="12"/>
      <c r="AB2" s="12"/>
      <c r="AD2" s="12"/>
      <c r="AE2" s="12"/>
      <c r="AF2" s="12"/>
      <c r="AG2" s="12"/>
      <c r="AH2" s="12"/>
      <c r="AI2" s="12"/>
      <c r="AJ2" s="12"/>
      <c r="AK2" s="12"/>
      <c r="AL2" s="12"/>
      <c r="AM2" s="12"/>
      <c r="AN2" s="12"/>
      <c r="AO2" s="12"/>
      <c r="AP2" s="12"/>
      <c r="AQ2" s="12"/>
      <c r="AR2" s="12"/>
      <c r="AS2" s="12"/>
      <c r="AT2" s="12"/>
    </row>
    <row r="3" spans="1:46" ht="15.75" x14ac:dyDescent="0.25">
      <c r="A3" s="26" t="s">
        <v>3072</v>
      </c>
      <c r="B3" s="193" t="s">
        <v>3073</v>
      </c>
      <c r="C3" s="18">
        <f>COUNTIF('old -- All injections Dobos'!$H$2:$H$3002,B3)</f>
        <v>41</v>
      </c>
      <c r="D3" s="23"/>
      <c r="E3" s="26" t="s">
        <v>10</v>
      </c>
      <c r="F3" s="24"/>
      <c r="G3" s="27" t="s">
        <v>3074</v>
      </c>
      <c r="H3" s="12"/>
      <c r="I3" s="26" t="s">
        <v>3075</v>
      </c>
      <c r="J3" s="12"/>
      <c r="L3" s="12" t="s">
        <v>3076</v>
      </c>
      <c r="M3" s="12" t="s">
        <v>3077</v>
      </c>
      <c r="N3" s="12" t="s">
        <v>3078</v>
      </c>
      <c r="O3" s="12" t="s">
        <v>3079</v>
      </c>
      <c r="P3" s="12" t="s">
        <v>3080</v>
      </c>
      <c r="Q3" s="12" t="s">
        <v>3081</v>
      </c>
      <c r="R3" s="12" t="s">
        <v>3061</v>
      </c>
      <c r="S3" s="12"/>
      <c r="T3" s="28" t="s">
        <v>3082</v>
      </c>
      <c r="U3" s="29"/>
      <c r="V3" s="12"/>
      <c r="W3" s="24" t="s">
        <v>3083</v>
      </c>
      <c r="X3" s="12"/>
      <c r="Y3" s="12"/>
      <c r="Z3" s="12"/>
      <c r="AA3" s="12"/>
      <c r="AB3" s="12"/>
      <c r="AD3" s="382" t="s">
        <v>3076</v>
      </c>
      <c r="AE3" t="s">
        <v>3077</v>
      </c>
      <c r="AF3" s="12" t="s">
        <v>3078</v>
      </c>
      <c r="AG3" s="12" t="s">
        <v>3079</v>
      </c>
      <c r="AH3" s="12" t="s">
        <v>3080</v>
      </c>
      <c r="AI3" s="12" t="s">
        <v>3081</v>
      </c>
      <c r="AJ3" s="12" t="s">
        <v>3061</v>
      </c>
      <c r="AK3" s="12"/>
      <c r="AL3" s="28" t="s">
        <v>3082</v>
      </c>
      <c r="AM3" s="29"/>
      <c r="AN3" s="12"/>
      <c r="AO3" s="24" t="s">
        <v>3083</v>
      </c>
      <c r="AP3" s="12"/>
      <c r="AQ3" s="12"/>
      <c r="AR3" s="12"/>
      <c r="AS3" s="12"/>
      <c r="AT3" s="12"/>
    </row>
    <row r="4" spans="1:46" ht="15.75" x14ac:dyDescent="0.25">
      <c r="A4" s="18"/>
      <c r="B4" s="193" t="s">
        <v>3084</v>
      </c>
      <c r="C4" s="18">
        <f>COUNTIF('old -- All injections Dobos'!$H$2:$H$3002,B4)</f>
        <v>0</v>
      </c>
      <c r="D4" s="12"/>
      <c r="E4" s="18" t="s">
        <v>3057</v>
      </c>
      <c r="F4" s="24"/>
      <c r="G4" s="18" t="s">
        <v>3085</v>
      </c>
      <c r="H4" s="12"/>
      <c r="I4" s="20" t="s">
        <v>3086</v>
      </c>
      <c r="J4" s="12"/>
      <c r="K4" s="11"/>
      <c r="L4" s="31">
        <v>43028</v>
      </c>
      <c r="M4" s="12">
        <v>2</v>
      </c>
      <c r="N4" s="197">
        <f>L4</f>
        <v>43028</v>
      </c>
      <c r="O4" s="197">
        <f>DATE(YEAR(N4),MONTH(N4),1)</f>
        <v>43009</v>
      </c>
      <c r="P4" s="384">
        <f>M4</f>
        <v>2</v>
      </c>
      <c r="Q4" s="384">
        <f>N4-$N$4</f>
        <v>0</v>
      </c>
      <c r="R4" s="12">
        <f>M4</f>
        <v>2</v>
      </c>
      <c r="S4" s="12"/>
      <c r="T4" s="28" t="s">
        <v>3087</v>
      </c>
      <c r="U4" s="28" t="s">
        <v>3088</v>
      </c>
      <c r="V4" s="12"/>
      <c r="W4" s="385" t="s">
        <v>3089</v>
      </c>
      <c r="X4" s="385" t="s">
        <v>3090</v>
      </c>
      <c r="Y4" s="385" t="s">
        <v>3091</v>
      </c>
      <c r="Z4" s="12"/>
      <c r="AA4" s="12"/>
      <c r="AB4" s="12"/>
      <c r="AD4" s="31" t="s">
        <v>71</v>
      </c>
      <c r="AE4" s="384">
        <v>6</v>
      </c>
      <c r="AF4" s="197" t="str">
        <f>AD4</f>
        <v>-</v>
      </c>
      <c r="AG4" s="197"/>
      <c r="AH4" s="384"/>
      <c r="AI4" s="384"/>
      <c r="AJ4" s="12"/>
      <c r="AK4" s="12"/>
      <c r="AL4" s="28" t="s">
        <v>3087</v>
      </c>
      <c r="AM4" s="28" t="s">
        <v>3088</v>
      </c>
      <c r="AN4" s="12"/>
      <c r="AO4" s="385" t="s">
        <v>3089</v>
      </c>
      <c r="AP4" s="385" t="s">
        <v>3090</v>
      </c>
      <c r="AQ4" s="385" t="s">
        <v>3091</v>
      </c>
      <c r="AR4" s="12"/>
      <c r="AS4" s="12"/>
      <c r="AT4" s="12"/>
    </row>
    <row r="5" spans="1:46" ht="15.75" x14ac:dyDescent="0.25">
      <c r="A5" s="18"/>
      <c r="B5" s="193" t="s">
        <v>3092</v>
      </c>
      <c r="C5" s="18">
        <f>COUNTIF('old -- All injections Dobos'!$H$2:$H$3002,B5)</f>
        <v>0</v>
      </c>
      <c r="D5" s="12"/>
      <c r="E5" s="18" t="s">
        <v>3058</v>
      </c>
      <c r="F5" s="25"/>
      <c r="G5" s="18" t="s">
        <v>43</v>
      </c>
      <c r="H5" s="12"/>
      <c r="I5" s="20" t="s">
        <v>3093</v>
      </c>
      <c r="J5" s="12"/>
      <c r="K5" s="10"/>
      <c r="L5" s="31">
        <v>43031</v>
      </c>
      <c r="M5" s="12">
        <v>1</v>
      </c>
      <c r="N5" s="197">
        <f t="shared" ref="N5:N68" si="0">L5</f>
        <v>43031</v>
      </c>
      <c r="O5" s="197">
        <f t="shared" ref="O5:O68" si="1">DATE(YEAR(N5),MONTH(N5),1)</f>
        <v>43009</v>
      </c>
      <c r="P5" s="384">
        <f t="shared" ref="P5:P68" si="2">M5</f>
        <v>1</v>
      </c>
      <c r="Q5" s="384">
        <f t="shared" ref="Q5:Q68" si="3">N5-$N$4</f>
        <v>3</v>
      </c>
      <c r="R5" s="12">
        <f t="shared" ref="R5:R68" si="4">R4+M5</f>
        <v>3</v>
      </c>
      <c r="S5" s="12"/>
      <c r="T5" s="30">
        <f>SUM(C3:C50)</f>
        <v>1306</v>
      </c>
      <c r="U5" s="30">
        <f>R297</f>
        <v>1007</v>
      </c>
      <c r="V5" s="12"/>
      <c r="W5" s="387">
        <f>Q452*5/7</f>
        <v>1842.1428571428571</v>
      </c>
      <c r="X5" s="387">
        <f>R452</f>
        <v>1465</v>
      </c>
      <c r="Y5" s="386">
        <f>X5/W5</f>
        <v>0.79526948429623889</v>
      </c>
      <c r="Z5" s="12"/>
      <c r="AA5" s="12"/>
      <c r="AB5" s="12"/>
      <c r="AD5" s="31">
        <v>45687</v>
      </c>
      <c r="AE5" s="384">
        <v>4</v>
      </c>
      <c r="AF5" s="197">
        <f t="shared" ref="AF5:AF18" si="5">AD5</f>
        <v>45687</v>
      </c>
      <c r="AG5" s="197"/>
      <c r="AH5" s="384"/>
      <c r="AI5" s="384"/>
      <c r="AJ5" s="12"/>
      <c r="AK5" s="12"/>
      <c r="AL5" s="30">
        <f>SUM(AE3:AE50)</f>
        <v>144</v>
      </c>
      <c r="AM5" s="30">
        <f>AJ297</f>
        <v>0</v>
      </c>
      <c r="AN5" s="12"/>
      <c r="AO5" s="388">
        <f>AI63*5/7</f>
        <v>121.42857142857143</v>
      </c>
      <c r="AP5" s="388">
        <f>AJ63</f>
        <v>142</v>
      </c>
      <c r="AQ5" s="386">
        <f>AP5/AO5</f>
        <v>1.1694117647058824</v>
      </c>
      <c r="AR5" s="12"/>
      <c r="AS5" s="12"/>
      <c r="AT5" s="12"/>
    </row>
    <row r="6" spans="1:46" x14ac:dyDescent="0.25">
      <c r="A6" s="18"/>
      <c r="B6" s="193" t="s">
        <v>3094</v>
      </c>
      <c r="C6" s="18">
        <f>COUNTIF('old -- All injections Dobos'!$H$2:$H$3002,B6)</f>
        <v>0</v>
      </c>
      <c r="D6" s="12"/>
      <c r="E6" s="18" t="s">
        <v>3059</v>
      </c>
      <c r="F6" s="24"/>
      <c r="G6" s="18" t="s">
        <v>354</v>
      </c>
      <c r="H6" s="12"/>
      <c r="I6" s="21" t="str">
        <f>IF(COUNTA('[1]Virus production'!A2)=1,('[1]Virus production'!A2),"")</f>
        <v>AG1</v>
      </c>
      <c r="J6" s="12"/>
      <c r="L6" s="31">
        <v>43035</v>
      </c>
      <c r="M6" s="12">
        <v>2</v>
      </c>
      <c r="N6" s="197">
        <f t="shared" si="0"/>
        <v>43035</v>
      </c>
      <c r="O6" s="197">
        <f t="shared" si="1"/>
        <v>43009</v>
      </c>
      <c r="P6" s="384">
        <f t="shared" si="2"/>
        <v>2</v>
      </c>
      <c r="Q6" s="384">
        <f t="shared" si="3"/>
        <v>7</v>
      </c>
      <c r="R6" s="12">
        <f t="shared" si="4"/>
        <v>5</v>
      </c>
      <c r="S6" s="12"/>
      <c r="T6" s="12"/>
      <c r="U6" s="12"/>
      <c r="V6" s="12"/>
      <c r="W6" s="12"/>
      <c r="X6" s="12"/>
      <c r="Y6" s="12"/>
      <c r="Z6" s="12"/>
      <c r="AA6" s="12"/>
      <c r="AB6" s="12"/>
      <c r="AD6" s="31">
        <v>45688</v>
      </c>
      <c r="AE6" s="384">
        <v>11</v>
      </c>
      <c r="AF6" s="197">
        <f t="shared" si="5"/>
        <v>45688</v>
      </c>
      <c r="AG6" s="197"/>
      <c r="AH6" s="384"/>
      <c r="AI6" s="384"/>
      <c r="AJ6" s="12"/>
      <c r="AK6" s="12"/>
      <c r="AL6" s="12"/>
      <c r="AM6" s="12"/>
      <c r="AN6" s="12"/>
      <c r="AO6" s="12"/>
      <c r="AP6" s="12"/>
      <c r="AQ6" s="12"/>
      <c r="AR6" s="12"/>
      <c r="AS6" s="12"/>
      <c r="AT6" s="12"/>
    </row>
    <row r="7" spans="1:46" x14ac:dyDescent="0.25">
      <c r="A7" s="18"/>
      <c r="B7" s="196" t="s">
        <v>241</v>
      </c>
      <c r="C7" s="18">
        <f>COUNTIF('old -- All injections Dobos'!$H$2:$H$3002,B7)</f>
        <v>0</v>
      </c>
      <c r="D7" s="12"/>
      <c r="E7" s="18" t="s">
        <v>3056</v>
      </c>
      <c r="F7" s="25"/>
      <c r="G7" s="18" t="s">
        <v>3095</v>
      </c>
      <c r="H7" s="12"/>
      <c r="I7" s="21" t="str">
        <f>IF(COUNTA('[1]Virus production'!A3)=1,('[1]Virus production'!A3),"")</f>
        <v>AG2</v>
      </c>
      <c r="J7" s="12"/>
      <c r="L7" s="31">
        <v>43039</v>
      </c>
      <c r="M7" s="12">
        <v>1</v>
      </c>
      <c r="N7" s="197">
        <f t="shared" si="0"/>
        <v>43039</v>
      </c>
      <c r="O7" s="197">
        <f t="shared" si="1"/>
        <v>43009</v>
      </c>
      <c r="P7" s="384">
        <f t="shared" si="2"/>
        <v>1</v>
      </c>
      <c r="Q7" s="384">
        <f t="shared" si="3"/>
        <v>11</v>
      </c>
      <c r="R7" s="12">
        <f t="shared" si="4"/>
        <v>6</v>
      </c>
      <c r="S7" s="12"/>
      <c r="T7" s="12"/>
      <c r="U7" s="12"/>
      <c r="V7" s="12"/>
      <c r="W7" s="12"/>
      <c r="X7" s="12"/>
      <c r="Y7" s="12"/>
      <c r="Z7" s="12"/>
      <c r="AA7" s="12"/>
      <c r="AB7" s="12"/>
      <c r="AD7" s="31">
        <v>45718</v>
      </c>
      <c r="AE7" s="384">
        <v>6</v>
      </c>
      <c r="AF7" s="197">
        <f t="shared" si="5"/>
        <v>45718</v>
      </c>
      <c r="AG7" s="197"/>
      <c r="AH7" s="384"/>
      <c r="AI7" s="384"/>
      <c r="AJ7" s="12"/>
      <c r="AK7" s="12"/>
      <c r="AL7" s="12"/>
      <c r="AM7" s="12"/>
      <c r="AN7" s="12"/>
      <c r="AO7" s="12"/>
      <c r="AP7" s="12"/>
      <c r="AQ7" s="12"/>
      <c r="AR7" s="12"/>
      <c r="AS7" s="12"/>
      <c r="AT7" s="12"/>
    </row>
    <row r="8" spans="1:46" x14ac:dyDescent="0.25">
      <c r="A8" s="18"/>
      <c r="B8" s="193" t="s">
        <v>3096</v>
      </c>
      <c r="C8" s="18">
        <f>COUNTIF('old -- All injections Dobos'!$H$2:$H$3002,B8)</f>
        <v>0</v>
      </c>
      <c r="D8" s="12"/>
      <c r="E8" s="18"/>
      <c r="F8" s="12"/>
      <c r="G8" s="18" t="s">
        <v>3097</v>
      </c>
      <c r="H8" s="12"/>
      <c r="I8" s="21" t="str">
        <f>IF(COUNTA('[1]Virus production'!A4)=1,('[1]Virus production'!A4),"")</f>
        <v>AG3</v>
      </c>
      <c r="J8" s="12"/>
      <c r="L8" s="31">
        <v>43040</v>
      </c>
      <c r="M8" s="12">
        <v>2</v>
      </c>
      <c r="N8" s="197">
        <f t="shared" si="0"/>
        <v>43040</v>
      </c>
      <c r="O8" s="197">
        <f t="shared" si="1"/>
        <v>43040</v>
      </c>
      <c r="P8" s="384">
        <f t="shared" si="2"/>
        <v>2</v>
      </c>
      <c r="Q8" s="384">
        <f t="shared" si="3"/>
        <v>12</v>
      </c>
      <c r="R8" s="12">
        <f t="shared" si="4"/>
        <v>8</v>
      </c>
      <c r="S8" s="12"/>
      <c r="T8" s="12"/>
      <c r="U8" s="12"/>
      <c r="V8" s="12"/>
      <c r="W8" s="12"/>
      <c r="X8" s="12"/>
      <c r="Y8" s="12"/>
      <c r="Z8" s="12"/>
      <c r="AA8" s="12"/>
      <c r="AB8" s="12"/>
      <c r="AD8" s="31">
        <v>45720</v>
      </c>
      <c r="AE8" s="384">
        <v>5</v>
      </c>
      <c r="AF8" s="197">
        <f t="shared" si="5"/>
        <v>45720</v>
      </c>
      <c r="AG8" s="197"/>
      <c r="AH8" s="384"/>
      <c r="AI8" s="384"/>
      <c r="AJ8" s="12"/>
      <c r="AK8" s="12"/>
      <c r="AL8" s="12"/>
      <c r="AM8" s="12"/>
      <c r="AN8" s="12"/>
      <c r="AO8" s="12"/>
      <c r="AP8" s="12"/>
      <c r="AQ8" s="12"/>
      <c r="AR8" s="12"/>
      <c r="AS8" s="12"/>
      <c r="AT8" s="12"/>
    </row>
    <row r="9" spans="1:46" x14ac:dyDescent="0.25">
      <c r="A9" s="18"/>
      <c r="B9" s="193" t="s">
        <v>3098</v>
      </c>
      <c r="C9" s="18">
        <f>COUNTIF('old -- All injections Dobos'!$H$2:$H$3002,B9)</f>
        <v>0</v>
      </c>
      <c r="D9" s="12"/>
      <c r="E9" s="12"/>
      <c r="F9" s="12"/>
      <c r="G9" s="18" t="s">
        <v>131</v>
      </c>
      <c r="H9" s="12"/>
      <c r="I9" s="21" t="str">
        <f>IF(COUNTA('[1]Virus production'!A5)=1,('[1]Virus production'!A5),"")</f>
        <v>AG4</v>
      </c>
      <c r="J9" s="12"/>
      <c r="L9" s="31">
        <v>43041</v>
      </c>
      <c r="M9" s="12">
        <v>2</v>
      </c>
      <c r="N9" s="197">
        <f t="shared" si="0"/>
        <v>43041</v>
      </c>
      <c r="O9" s="197">
        <f t="shared" si="1"/>
        <v>43040</v>
      </c>
      <c r="P9" s="384">
        <f t="shared" si="2"/>
        <v>2</v>
      </c>
      <c r="Q9" s="384">
        <f t="shared" si="3"/>
        <v>13</v>
      </c>
      <c r="R9" s="12">
        <f t="shared" si="4"/>
        <v>10</v>
      </c>
      <c r="S9" s="12"/>
      <c r="T9" s="12"/>
      <c r="U9" s="12"/>
      <c r="V9" s="12"/>
      <c r="W9" s="12"/>
      <c r="X9" s="12"/>
      <c r="Y9" s="12"/>
      <c r="Z9" s="12"/>
      <c r="AA9" s="12"/>
      <c r="AB9" s="12"/>
      <c r="AD9" s="31">
        <v>45721</v>
      </c>
      <c r="AE9" s="384">
        <v>4</v>
      </c>
      <c r="AF9" s="197">
        <f t="shared" si="5"/>
        <v>45721</v>
      </c>
      <c r="AG9" s="197"/>
      <c r="AH9" s="384"/>
      <c r="AI9" s="384"/>
      <c r="AJ9" s="12"/>
      <c r="AK9" s="12"/>
      <c r="AL9" s="12"/>
      <c r="AM9" s="12"/>
      <c r="AN9" s="12"/>
      <c r="AO9" s="12"/>
      <c r="AP9" s="12"/>
      <c r="AQ9" s="12"/>
      <c r="AR9" s="12"/>
      <c r="AS9" s="12"/>
      <c r="AT9" s="12"/>
    </row>
    <row r="10" spans="1:46" x14ac:dyDescent="0.25">
      <c r="A10" s="18"/>
      <c r="B10" s="194" t="s">
        <v>3099</v>
      </c>
      <c r="C10" s="18">
        <f>COUNTIF('old -- All injections Dobos'!$H$2:$H$3002,B10)</f>
        <v>15</v>
      </c>
      <c r="D10" s="12"/>
      <c r="E10" s="26" t="s">
        <v>3100</v>
      </c>
      <c r="F10" s="23"/>
      <c r="G10" s="18" t="s">
        <v>763</v>
      </c>
      <c r="H10" s="12"/>
      <c r="I10" s="21" t="str">
        <f>IF(COUNTA('[1]Virus production'!A6)=1,('[1]Virus production'!A6),"")</f>
        <v>AG5</v>
      </c>
      <c r="J10" s="12"/>
      <c r="L10" s="31">
        <v>43047</v>
      </c>
      <c r="M10" s="12">
        <v>10</v>
      </c>
      <c r="N10" s="197">
        <f t="shared" si="0"/>
        <v>43047</v>
      </c>
      <c r="O10" s="197">
        <f t="shared" si="1"/>
        <v>43040</v>
      </c>
      <c r="P10" s="384">
        <f t="shared" si="2"/>
        <v>10</v>
      </c>
      <c r="Q10" s="384">
        <f t="shared" si="3"/>
        <v>19</v>
      </c>
      <c r="R10" s="12">
        <f t="shared" si="4"/>
        <v>20</v>
      </c>
      <c r="S10" s="12"/>
      <c r="T10" s="12"/>
      <c r="U10" s="12"/>
      <c r="V10" s="12"/>
      <c r="W10" s="12"/>
      <c r="X10" s="12"/>
      <c r="Y10" s="12"/>
      <c r="Z10" s="12"/>
      <c r="AA10" s="12"/>
      <c r="AB10" s="12"/>
      <c r="AD10" s="31">
        <v>45723</v>
      </c>
      <c r="AE10" s="384">
        <v>4</v>
      </c>
      <c r="AF10" s="197">
        <f t="shared" si="5"/>
        <v>45723</v>
      </c>
      <c r="AG10" s="12" t="s">
        <v>3079</v>
      </c>
      <c r="AH10" s="12" t="s">
        <v>3080</v>
      </c>
      <c r="AI10" s="384"/>
      <c r="AJ10" s="12"/>
      <c r="AK10" s="12"/>
      <c r="AL10" s="12"/>
      <c r="AM10" s="12"/>
      <c r="AN10" s="12"/>
      <c r="AO10" s="12"/>
      <c r="AP10" s="12"/>
      <c r="AQ10" s="12"/>
      <c r="AR10" s="12"/>
      <c r="AS10" s="12"/>
      <c r="AT10" s="12"/>
    </row>
    <row r="11" spans="1:46" x14ac:dyDescent="0.25">
      <c r="A11" s="18"/>
      <c r="B11" s="196" t="s">
        <v>3101</v>
      </c>
      <c r="C11" s="18">
        <f>COUNTIF('old -- All injections Dobos'!$H$2:$H$3002,B11)</f>
        <v>6</v>
      </c>
      <c r="D11" s="12"/>
      <c r="E11" s="18" t="s">
        <v>204</v>
      </c>
      <c r="F11" s="12"/>
      <c r="G11" s="18" t="s">
        <v>3102</v>
      </c>
      <c r="H11" s="12"/>
      <c r="I11" s="21" t="str">
        <f>IF(COUNTA('[1]Virus production'!A7)=1,('[1]Virus production'!A7),"")</f>
        <v>AG6</v>
      </c>
      <c r="J11" s="12"/>
      <c r="L11" s="31">
        <v>43048</v>
      </c>
      <c r="M11" s="12">
        <v>6</v>
      </c>
      <c r="N11" s="197">
        <f t="shared" si="0"/>
        <v>43048</v>
      </c>
      <c r="O11" s="197">
        <f t="shared" si="1"/>
        <v>43040</v>
      </c>
      <c r="P11" s="384">
        <f t="shared" si="2"/>
        <v>6</v>
      </c>
      <c r="Q11" s="384">
        <f t="shared" si="3"/>
        <v>20</v>
      </c>
      <c r="R11" s="12">
        <f t="shared" si="4"/>
        <v>26</v>
      </c>
      <c r="S11" s="12"/>
      <c r="T11" s="12"/>
      <c r="U11" s="12"/>
      <c r="V11" s="12"/>
      <c r="W11" s="12"/>
      <c r="X11" s="12"/>
      <c r="Y11" s="12"/>
      <c r="Z11" s="12"/>
      <c r="AA11" s="12"/>
      <c r="AB11" s="12"/>
      <c r="AD11" s="31">
        <v>45812</v>
      </c>
      <c r="AE11" s="384">
        <v>4</v>
      </c>
      <c r="AF11" s="197">
        <f t="shared" si="5"/>
        <v>45812</v>
      </c>
      <c r="AG11" s="197">
        <f t="shared" ref="AG11:AG63" si="6">DATE(YEAR(AF11),MONTH(AF11),1)</f>
        <v>45809</v>
      </c>
      <c r="AH11" s="384">
        <f t="shared" ref="AH11:AH18" si="7">AE11</f>
        <v>4</v>
      </c>
      <c r="AI11" s="384">
        <f>AF11-$AF$11</f>
        <v>0</v>
      </c>
      <c r="AJ11" s="12">
        <f t="shared" ref="AJ11:AJ42" si="8">AJ10+AE11</f>
        <v>4</v>
      </c>
      <c r="AK11" s="12"/>
      <c r="AL11" s="12"/>
      <c r="AM11" s="12"/>
      <c r="AN11" s="12"/>
      <c r="AO11" s="12"/>
      <c r="AP11" s="12"/>
      <c r="AQ11" s="12"/>
      <c r="AR11" s="12"/>
      <c r="AS11" s="12"/>
      <c r="AT11" s="12"/>
    </row>
    <row r="12" spans="1:46" x14ac:dyDescent="0.25">
      <c r="A12" s="18"/>
      <c r="B12" s="195" t="s">
        <v>3103</v>
      </c>
      <c r="C12" s="18">
        <f>COUNTIF('old -- All injections Dobos'!$H$2:$H$3002,B12)</f>
        <v>0</v>
      </c>
      <c r="D12" s="12"/>
      <c r="E12" s="18" t="s">
        <v>325</v>
      </c>
      <c r="F12" s="12"/>
      <c r="G12" s="18" t="s">
        <v>152</v>
      </c>
      <c r="H12" s="12"/>
      <c r="I12" s="21" t="str">
        <f>IF(COUNTA('[1]Virus production'!A8)=1,('[1]Virus production'!A8),"")</f>
        <v>AG7</v>
      </c>
      <c r="J12" s="12"/>
      <c r="L12" s="31">
        <v>43049</v>
      </c>
      <c r="M12" s="12">
        <v>4</v>
      </c>
      <c r="N12" s="197">
        <f t="shared" si="0"/>
        <v>43049</v>
      </c>
      <c r="O12" s="197">
        <f t="shared" si="1"/>
        <v>43040</v>
      </c>
      <c r="P12" s="384">
        <f t="shared" si="2"/>
        <v>4</v>
      </c>
      <c r="Q12" s="384">
        <f t="shared" si="3"/>
        <v>21</v>
      </c>
      <c r="R12" s="12">
        <f t="shared" si="4"/>
        <v>30</v>
      </c>
      <c r="S12" s="12"/>
      <c r="T12" s="12"/>
      <c r="U12" s="12"/>
      <c r="V12" s="12"/>
      <c r="W12" s="12"/>
      <c r="X12" s="12"/>
      <c r="Y12" s="12"/>
      <c r="Z12" s="12"/>
      <c r="AA12" s="12"/>
      <c r="AB12" s="12"/>
      <c r="AD12" s="31">
        <v>45813</v>
      </c>
      <c r="AE12" s="384">
        <v>4</v>
      </c>
      <c r="AF12" s="197">
        <f t="shared" si="5"/>
        <v>45813</v>
      </c>
      <c r="AG12" s="197">
        <f t="shared" si="6"/>
        <v>45809</v>
      </c>
      <c r="AH12" s="384">
        <f t="shared" si="7"/>
        <v>4</v>
      </c>
      <c r="AI12" s="384">
        <f t="shared" ref="AI12:AI63" si="9">AF12-$AF$11</f>
        <v>1</v>
      </c>
      <c r="AJ12" s="12">
        <f t="shared" si="8"/>
        <v>8</v>
      </c>
      <c r="AK12" s="12"/>
      <c r="AL12" s="12"/>
      <c r="AM12" s="12"/>
      <c r="AN12" s="12"/>
      <c r="AO12" s="12"/>
      <c r="AP12" s="12"/>
      <c r="AQ12" s="12"/>
      <c r="AR12" s="12"/>
      <c r="AS12" s="12"/>
      <c r="AT12" s="12"/>
    </row>
    <row r="13" spans="1:46" x14ac:dyDescent="0.25">
      <c r="A13" s="18"/>
      <c r="B13" s="34" t="s">
        <v>241</v>
      </c>
      <c r="C13" s="18">
        <f>COUNTIF('old -- All injections Dobos'!$H$2:$H$3002,B13)</f>
        <v>0</v>
      </c>
      <c r="D13" s="12"/>
      <c r="E13" s="18" t="s">
        <v>59</v>
      </c>
      <c r="F13" s="12"/>
      <c r="G13" s="18" t="s">
        <v>302</v>
      </c>
      <c r="H13" s="12"/>
      <c r="I13" s="21" t="str">
        <f>IF(COUNTA('[1]Virus production'!A9)=1,('[1]Virus production'!A9),"")</f>
        <v>AG8</v>
      </c>
      <c r="J13" s="12"/>
      <c r="L13" s="31">
        <v>43052</v>
      </c>
      <c r="M13" s="12">
        <v>3</v>
      </c>
      <c r="N13" s="197">
        <f t="shared" si="0"/>
        <v>43052</v>
      </c>
      <c r="O13" s="197">
        <f t="shared" si="1"/>
        <v>43040</v>
      </c>
      <c r="P13" s="384">
        <f t="shared" si="2"/>
        <v>3</v>
      </c>
      <c r="Q13" s="384">
        <f t="shared" si="3"/>
        <v>24</v>
      </c>
      <c r="R13" s="12">
        <f t="shared" si="4"/>
        <v>33</v>
      </c>
      <c r="S13" s="12"/>
      <c r="T13" s="12"/>
      <c r="U13" s="12"/>
      <c r="V13" s="12"/>
      <c r="W13" s="12"/>
      <c r="X13" s="12"/>
      <c r="Y13" s="12"/>
      <c r="Z13" s="12"/>
      <c r="AA13" s="12"/>
      <c r="AB13" s="12"/>
      <c r="AD13" s="31">
        <v>45814</v>
      </c>
      <c r="AE13" s="384">
        <v>6</v>
      </c>
      <c r="AF13" s="197">
        <f t="shared" si="5"/>
        <v>45814</v>
      </c>
      <c r="AG13" s="197">
        <f t="shared" si="6"/>
        <v>45809</v>
      </c>
      <c r="AH13" s="384">
        <f t="shared" si="7"/>
        <v>6</v>
      </c>
      <c r="AI13" s="384">
        <f t="shared" si="9"/>
        <v>2</v>
      </c>
      <c r="AJ13" s="12">
        <f t="shared" si="8"/>
        <v>14</v>
      </c>
      <c r="AK13" s="12"/>
      <c r="AL13" s="12"/>
      <c r="AM13" s="12"/>
      <c r="AN13" s="12"/>
      <c r="AO13" s="12"/>
      <c r="AP13" s="12"/>
      <c r="AQ13" s="12"/>
      <c r="AR13" s="12"/>
      <c r="AS13" s="12"/>
      <c r="AT13" s="12"/>
    </row>
    <row r="14" spans="1:46" x14ac:dyDescent="0.25">
      <c r="A14" s="18"/>
      <c r="B14" s="193" t="s">
        <v>3104</v>
      </c>
      <c r="C14" s="18">
        <f>COUNTIF('old -- All injections Dobos'!$H$2:$H$3002,B14)</f>
        <v>19</v>
      </c>
      <c r="D14" s="12"/>
      <c r="E14" s="18" t="s">
        <v>407</v>
      </c>
      <c r="F14" s="12"/>
      <c r="G14" s="18" t="s">
        <v>261</v>
      </c>
      <c r="H14" s="12"/>
      <c r="I14" s="21" t="str">
        <f>IF(COUNTA('[1]Virus production'!A10)=1,('[1]Virus production'!A10),"")</f>
        <v>AG9</v>
      </c>
      <c r="J14" s="12"/>
      <c r="L14" s="31">
        <v>43063</v>
      </c>
      <c r="M14" s="12">
        <v>5</v>
      </c>
      <c r="N14" s="197">
        <f t="shared" si="0"/>
        <v>43063</v>
      </c>
      <c r="O14" s="197">
        <f t="shared" si="1"/>
        <v>43040</v>
      </c>
      <c r="P14" s="384">
        <f t="shared" si="2"/>
        <v>5</v>
      </c>
      <c r="Q14" s="384">
        <f t="shared" si="3"/>
        <v>35</v>
      </c>
      <c r="R14" s="12">
        <f t="shared" si="4"/>
        <v>38</v>
      </c>
      <c r="S14" s="12"/>
      <c r="T14" s="12"/>
      <c r="U14" s="12"/>
      <c r="V14" s="12"/>
      <c r="W14" s="12"/>
      <c r="X14" s="12"/>
      <c r="Y14" s="12"/>
      <c r="Z14" s="12"/>
      <c r="AA14" s="12"/>
      <c r="AB14" s="12"/>
      <c r="AD14" s="31">
        <v>45818</v>
      </c>
      <c r="AE14" s="384">
        <v>2</v>
      </c>
      <c r="AF14" s="197">
        <f t="shared" si="5"/>
        <v>45818</v>
      </c>
      <c r="AG14" s="197">
        <f t="shared" si="6"/>
        <v>45809</v>
      </c>
      <c r="AH14" s="384">
        <f t="shared" si="7"/>
        <v>2</v>
      </c>
      <c r="AI14" s="384">
        <f t="shared" si="9"/>
        <v>6</v>
      </c>
      <c r="AJ14" s="12">
        <f t="shared" si="8"/>
        <v>16</v>
      </c>
      <c r="AK14" s="12"/>
      <c r="AL14" s="12"/>
      <c r="AM14" s="12"/>
      <c r="AN14" s="12"/>
      <c r="AO14" s="12"/>
      <c r="AP14" s="12"/>
      <c r="AQ14" s="12"/>
      <c r="AR14" s="12"/>
      <c r="AS14" s="12"/>
      <c r="AT14" s="12"/>
    </row>
    <row r="15" spans="1:46" x14ac:dyDescent="0.25">
      <c r="A15" s="18"/>
      <c r="B15" s="193" t="s">
        <v>3105</v>
      </c>
      <c r="C15" s="18">
        <f>COUNTIF('old -- All injections Dobos'!$H$2:$H$3002,B15)</f>
        <v>0</v>
      </c>
      <c r="D15" s="12"/>
      <c r="E15" s="18" t="s">
        <v>192</v>
      </c>
      <c r="F15" s="12"/>
      <c r="G15" s="18" t="s">
        <v>239</v>
      </c>
      <c r="H15" s="12"/>
      <c r="I15" s="21" t="str">
        <f>IF(COUNTA('[1]Virus production'!A11)=1,('[1]Virus production'!A11),"")</f>
        <v>AG10</v>
      </c>
      <c r="J15" s="12"/>
      <c r="L15" s="31">
        <v>43074</v>
      </c>
      <c r="M15" s="12">
        <v>5</v>
      </c>
      <c r="N15" s="197">
        <f t="shared" si="0"/>
        <v>43074</v>
      </c>
      <c r="O15" s="197">
        <f t="shared" si="1"/>
        <v>43070</v>
      </c>
      <c r="P15" s="384">
        <f t="shared" si="2"/>
        <v>5</v>
      </c>
      <c r="Q15" s="384">
        <f t="shared" si="3"/>
        <v>46</v>
      </c>
      <c r="R15" s="12">
        <f t="shared" si="4"/>
        <v>43</v>
      </c>
      <c r="S15" s="12"/>
      <c r="T15" s="12"/>
      <c r="U15" s="12"/>
      <c r="V15" s="12"/>
      <c r="W15" s="12"/>
      <c r="X15" s="12"/>
      <c r="Y15" s="12"/>
      <c r="Z15" s="12"/>
      <c r="AA15" s="12"/>
      <c r="AB15" s="12"/>
      <c r="AD15" s="31">
        <v>45819</v>
      </c>
      <c r="AE15" s="384">
        <v>2</v>
      </c>
      <c r="AF15" s="197">
        <f t="shared" si="5"/>
        <v>45819</v>
      </c>
      <c r="AG15" s="197">
        <f t="shared" si="6"/>
        <v>45809</v>
      </c>
      <c r="AH15" s="384">
        <f t="shared" si="7"/>
        <v>2</v>
      </c>
      <c r="AI15" s="384">
        <f t="shared" si="9"/>
        <v>7</v>
      </c>
      <c r="AJ15" s="12">
        <f t="shared" si="8"/>
        <v>18</v>
      </c>
      <c r="AK15" s="12"/>
      <c r="AL15" s="12"/>
      <c r="AM15" s="12"/>
      <c r="AN15" s="12"/>
      <c r="AO15" s="12"/>
      <c r="AP15" s="12"/>
      <c r="AQ15" s="12"/>
      <c r="AR15" s="12"/>
      <c r="AS15" s="12"/>
      <c r="AT15" s="12"/>
    </row>
    <row r="16" spans="1:46" x14ac:dyDescent="0.25">
      <c r="A16" s="18"/>
      <c r="B16" s="193" t="s">
        <v>153</v>
      </c>
      <c r="C16" s="18">
        <f>COUNTIF('old -- All injections Dobos'!$H$2:$H$3002,B16)</f>
        <v>13</v>
      </c>
      <c r="D16" s="12"/>
      <c r="E16" s="12"/>
      <c r="F16" s="12"/>
      <c r="G16" s="18" t="s">
        <v>271</v>
      </c>
      <c r="H16" s="12"/>
      <c r="I16" s="21" t="str">
        <f>IF(COUNTA('[1]Virus production'!A12)=1,('[1]Virus production'!A12),"")</f>
        <v>AG11</v>
      </c>
      <c r="J16" s="12"/>
      <c r="L16" s="31">
        <v>43077</v>
      </c>
      <c r="M16" s="12">
        <v>7</v>
      </c>
      <c r="N16" s="197">
        <f t="shared" si="0"/>
        <v>43077</v>
      </c>
      <c r="O16" s="197">
        <f t="shared" si="1"/>
        <v>43070</v>
      </c>
      <c r="P16" s="384">
        <f t="shared" si="2"/>
        <v>7</v>
      </c>
      <c r="Q16" s="384">
        <f t="shared" si="3"/>
        <v>49</v>
      </c>
      <c r="R16" s="12">
        <f t="shared" si="4"/>
        <v>50</v>
      </c>
      <c r="S16" s="12"/>
      <c r="T16" s="12"/>
      <c r="U16" s="12"/>
      <c r="V16" s="12"/>
      <c r="W16" s="12"/>
      <c r="X16" s="12"/>
      <c r="Y16" s="12"/>
      <c r="Z16" s="12"/>
      <c r="AA16" s="12"/>
      <c r="AB16" s="12"/>
      <c r="AD16" s="31">
        <v>45820</v>
      </c>
      <c r="AE16" s="384">
        <v>3</v>
      </c>
      <c r="AF16" s="197">
        <f t="shared" si="5"/>
        <v>45820</v>
      </c>
      <c r="AG16" s="197">
        <f t="shared" si="6"/>
        <v>45809</v>
      </c>
      <c r="AH16" s="384">
        <f t="shared" si="7"/>
        <v>3</v>
      </c>
      <c r="AI16" s="384">
        <f t="shared" si="9"/>
        <v>8</v>
      </c>
      <c r="AJ16" s="12">
        <f t="shared" si="8"/>
        <v>21</v>
      </c>
      <c r="AK16" s="12"/>
      <c r="AL16" s="12"/>
      <c r="AM16" s="12"/>
      <c r="AN16" s="12"/>
      <c r="AO16" s="12"/>
      <c r="AP16" s="12"/>
      <c r="AQ16" s="12"/>
      <c r="AR16" s="12"/>
      <c r="AS16" s="12"/>
      <c r="AT16" s="12"/>
    </row>
    <row r="17" spans="1:46" x14ac:dyDescent="0.25">
      <c r="A17" s="18"/>
      <c r="B17" s="193" t="s">
        <v>3106</v>
      </c>
      <c r="C17" s="18">
        <f>COUNTIF('old -- All injections Dobos'!$H$2:$H$3002,B17)</f>
        <v>4</v>
      </c>
      <c r="D17" s="12"/>
      <c r="E17" s="23"/>
      <c r="F17" s="23"/>
      <c r="G17" s="243" t="s">
        <v>565</v>
      </c>
      <c r="H17" s="12"/>
      <c r="I17" s="21" t="str">
        <f>IF(COUNTA('[1]Virus production'!A13)=1,('[1]Virus production'!A13),"")</f>
        <v>AG12</v>
      </c>
      <c r="J17" s="12"/>
      <c r="L17" s="31">
        <v>43078</v>
      </c>
      <c r="M17" s="12">
        <v>2</v>
      </c>
      <c r="N17" s="197">
        <f t="shared" si="0"/>
        <v>43078</v>
      </c>
      <c r="O17" s="197">
        <f t="shared" si="1"/>
        <v>43070</v>
      </c>
      <c r="P17" s="384">
        <f t="shared" si="2"/>
        <v>2</v>
      </c>
      <c r="Q17" s="384">
        <f t="shared" si="3"/>
        <v>50</v>
      </c>
      <c r="R17" s="12">
        <f t="shared" si="4"/>
        <v>52</v>
      </c>
      <c r="S17" s="12"/>
      <c r="T17" s="12"/>
      <c r="U17" s="12"/>
      <c r="V17" s="12"/>
      <c r="W17" s="12"/>
      <c r="X17" s="12"/>
      <c r="Y17" s="12"/>
      <c r="Z17" s="12"/>
      <c r="AA17" s="12"/>
      <c r="AB17" s="12"/>
      <c r="AD17" s="31">
        <v>45826</v>
      </c>
      <c r="AE17" s="384">
        <v>4</v>
      </c>
      <c r="AF17" s="197">
        <f t="shared" si="5"/>
        <v>45826</v>
      </c>
      <c r="AG17" s="197">
        <f t="shared" si="6"/>
        <v>45809</v>
      </c>
      <c r="AH17" s="384">
        <f t="shared" si="7"/>
        <v>4</v>
      </c>
      <c r="AI17" s="384">
        <f t="shared" si="9"/>
        <v>14</v>
      </c>
      <c r="AJ17" s="12">
        <f t="shared" si="8"/>
        <v>25</v>
      </c>
      <c r="AK17" s="12"/>
      <c r="AL17" s="12"/>
      <c r="AM17" s="12"/>
      <c r="AN17" s="12"/>
      <c r="AO17" s="12"/>
      <c r="AP17" s="12"/>
      <c r="AQ17" s="12"/>
      <c r="AR17" s="12"/>
      <c r="AS17" s="12"/>
      <c r="AT17" s="12"/>
    </row>
    <row r="18" spans="1:46" x14ac:dyDescent="0.25">
      <c r="A18" s="18"/>
      <c r="B18" s="193" t="s">
        <v>3107</v>
      </c>
      <c r="C18" s="18">
        <f>COUNTIF('old -- All injections Dobos'!$H$2:$H$3002,B18)</f>
        <v>0</v>
      </c>
      <c r="D18" s="12"/>
      <c r="E18" s="27" t="s">
        <v>3108</v>
      </c>
      <c r="F18" s="23"/>
      <c r="G18" s="243" t="s">
        <v>900</v>
      </c>
      <c r="H18" s="12"/>
      <c r="I18" s="21" t="str">
        <f>IF(COUNTA('[1]Virus production'!A14)=1,('[1]Virus production'!A14),"")</f>
        <v>AG13</v>
      </c>
      <c r="J18" s="12"/>
      <c r="L18" s="31">
        <v>43091</v>
      </c>
      <c r="M18" s="12">
        <v>3</v>
      </c>
      <c r="N18" s="197">
        <f t="shared" si="0"/>
        <v>43091</v>
      </c>
      <c r="O18" s="197">
        <f t="shared" si="1"/>
        <v>43070</v>
      </c>
      <c r="P18" s="384">
        <f t="shared" si="2"/>
        <v>3</v>
      </c>
      <c r="Q18" s="384">
        <f t="shared" si="3"/>
        <v>63</v>
      </c>
      <c r="R18" s="12">
        <f t="shared" si="4"/>
        <v>55</v>
      </c>
      <c r="S18" s="12"/>
      <c r="T18" s="12"/>
      <c r="U18" s="12"/>
      <c r="V18" s="12"/>
      <c r="W18" s="12"/>
      <c r="X18" s="12"/>
      <c r="Y18" s="12"/>
      <c r="Z18" s="12"/>
      <c r="AA18" s="12"/>
      <c r="AB18" s="12"/>
      <c r="AD18" s="31">
        <v>45827</v>
      </c>
      <c r="AE18" s="384">
        <v>2</v>
      </c>
      <c r="AF18" s="197">
        <f t="shared" si="5"/>
        <v>45827</v>
      </c>
      <c r="AG18" s="197">
        <f t="shared" si="6"/>
        <v>45809</v>
      </c>
      <c r="AH18" s="384">
        <f t="shared" si="7"/>
        <v>2</v>
      </c>
      <c r="AI18" s="384">
        <f t="shared" si="9"/>
        <v>15</v>
      </c>
      <c r="AJ18" s="12">
        <f t="shared" si="8"/>
        <v>27</v>
      </c>
      <c r="AK18" s="12"/>
      <c r="AL18" s="12"/>
      <c r="AM18" s="12"/>
      <c r="AN18" s="12"/>
      <c r="AO18" s="12"/>
      <c r="AP18" s="12"/>
      <c r="AQ18" s="12"/>
      <c r="AR18" s="12"/>
      <c r="AS18" s="12"/>
      <c r="AT18" s="12"/>
    </row>
    <row r="19" spans="1:46" x14ac:dyDescent="0.25">
      <c r="A19" s="18"/>
      <c r="B19" s="193" t="s">
        <v>3109</v>
      </c>
      <c r="C19" s="18">
        <f>COUNTIF('old -- All injections Dobos'!$H$2:$H$3002,B19)</f>
        <v>0</v>
      </c>
      <c r="D19" s="12"/>
      <c r="E19" s="18" t="s">
        <v>46</v>
      </c>
      <c r="F19" s="12"/>
      <c r="G19" s="12"/>
      <c r="H19" s="12"/>
      <c r="I19" s="21" t="str">
        <f>IF(COUNTA('[1]Virus production'!A15)=1,('[1]Virus production'!A15),"")</f>
        <v>AG14</v>
      </c>
      <c r="J19" s="12"/>
      <c r="L19" s="31">
        <v>43094</v>
      </c>
      <c r="M19" s="12">
        <v>6</v>
      </c>
      <c r="N19" s="197">
        <f t="shared" si="0"/>
        <v>43094</v>
      </c>
      <c r="O19" s="197">
        <f t="shared" si="1"/>
        <v>43070</v>
      </c>
      <c r="P19" s="384">
        <f t="shared" si="2"/>
        <v>6</v>
      </c>
      <c r="Q19" s="384">
        <f t="shared" si="3"/>
        <v>66</v>
      </c>
      <c r="R19" s="12">
        <f t="shared" si="4"/>
        <v>61</v>
      </c>
      <c r="S19" s="12"/>
      <c r="T19" s="12"/>
      <c r="U19" s="12"/>
      <c r="V19" s="12"/>
      <c r="W19" s="12"/>
      <c r="X19" s="12"/>
      <c r="Y19" s="12"/>
      <c r="Z19" s="12"/>
      <c r="AA19" s="12"/>
      <c r="AB19" s="12"/>
      <c r="AD19" s="31">
        <v>45828</v>
      </c>
      <c r="AE19" s="384">
        <v>1</v>
      </c>
      <c r="AF19" s="197">
        <f t="shared" ref="AF19:AF63" si="10">AD19</f>
        <v>45828</v>
      </c>
      <c r="AG19" s="197">
        <f t="shared" si="6"/>
        <v>45809</v>
      </c>
      <c r="AH19" s="384">
        <f t="shared" ref="AH19:AH23" si="11">AE19</f>
        <v>1</v>
      </c>
      <c r="AI19" s="384">
        <f t="shared" si="9"/>
        <v>16</v>
      </c>
      <c r="AJ19" s="12">
        <f t="shared" si="8"/>
        <v>28</v>
      </c>
      <c r="AK19" s="12"/>
      <c r="AL19" s="12"/>
      <c r="AM19" s="12"/>
      <c r="AN19" s="12"/>
      <c r="AO19" s="12"/>
      <c r="AP19" s="12"/>
      <c r="AQ19" s="12"/>
      <c r="AR19" s="12"/>
      <c r="AS19" s="12"/>
      <c r="AT19" s="12"/>
    </row>
    <row r="20" spans="1:46" x14ac:dyDescent="0.25">
      <c r="A20" s="18"/>
      <c r="B20" s="193" t="s">
        <v>3110</v>
      </c>
      <c r="C20" s="18">
        <f>COUNTIF('old -- All injections Dobos'!$H$2:$H$3002,B20)</f>
        <v>1</v>
      </c>
      <c r="D20" s="12"/>
      <c r="E20" s="18" t="s">
        <v>3111</v>
      </c>
      <c r="F20" s="12"/>
      <c r="G20" s="12"/>
      <c r="H20" s="12"/>
      <c r="I20" s="21" t="str">
        <f>IF(COUNTA('[1]Virus production'!A16)=1,('[1]Virus production'!A16),"")</f>
        <v>AG15</v>
      </c>
      <c r="J20" s="12"/>
      <c r="L20" s="31">
        <v>43098</v>
      </c>
      <c r="M20" s="12">
        <v>7</v>
      </c>
      <c r="N20" s="197">
        <f t="shared" si="0"/>
        <v>43098</v>
      </c>
      <c r="O20" s="197">
        <f t="shared" si="1"/>
        <v>43070</v>
      </c>
      <c r="P20" s="384">
        <f t="shared" si="2"/>
        <v>7</v>
      </c>
      <c r="Q20" s="384">
        <f t="shared" si="3"/>
        <v>70</v>
      </c>
      <c r="R20" s="12">
        <f t="shared" si="4"/>
        <v>68</v>
      </c>
      <c r="S20" s="12"/>
      <c r="T20" s="12"/>
      <c r="U20" s="12"/>
      <c r="V20" s="12"/>
      <c r="W20" s="12"/>
      <c r="X20" s="12"/>
      <c r="Y20" s="12"/>
      <c r="Z20" s="12"/>
      <c r="AA20" s="12"/>
      <c r="AB20" s="12"/>
      <c r="AD20" s="31">
        <v>45833</v>
      </c>
      <c r="AE20" s="384">
        <v>1</v>
      </c>
      <c r="AF20" s="197">
        <f t="shared" si="10"/>
        <v>45833</v>
      </c>
      <c r="AG20" s="197">
        <f t="shared" si="6"/>
        <v>45809</v>
      </c>
      <c r="AH20" s="384">
        <f t="shared" si="11"/>
        <v>1</v>
      </c>
      <c r="AI20" s="384">
        <f t="shared" si="9"/>
        <v>21</v>
      </c>
      <c r="AJ20" s="12">
        <f t="shared" si="8"/>
        <v>29</v>
      </c>
      <c r="AK20" s="12"/>
      <c r="AL20" s="12"/>
      <c r="AM20" s="12"/>
      <c r="AN20" s="12"/>
      <c r="AO20" s="12"/>
      <c r="AP20" s="12"/>
      <c r="AQ20" s="12"/>
      <c r="AR20" s="12"/>
      <c r="AS20" s="12"/>
      <c r="AT20" s="12"/>
    </row>
    <row r="21" spans="1:46" x14ac:dyDescent="0.25">
      <c r="A21" s="18"/>
      <c r="B21" s="193" t="s">
        <v>3112</v>
      </c>
      <c r="C21" s="18">
        <f>COUNTIF('old -- All injections Dobos'!$H$2:$H$3002,B21)</f>
        <v>0</v>
      </c>
      <c r="D21" s="12"/>
      <c r="E21" s="18" t="s">
        <v>3113</v>
      </c>
      <c r="F21" s="12"/>
      <c r="G21" s="27" t="s">
        <v>7</v>
      </c>
      <c r="H21" s="12"/>
      <c r="I21" s="21" t="str">
        <f>IF(COUNTA('[1]Virus production'!A17)=1,('[1]Virus production'!A17),"")</f>
        <v>AG16</v>
      </c>
      <c r="J21" s="12"/>
      <c r="L21" s="31">
        <v>43111</v>
      </c>
      <c r="M21" s="12">
        <v>4</v>
      </c>
      <c r="N21" s="197">
        <f t="shared" si="0"/>
        <v>43111</v>
      </c>
      <c r="O21" s="197">
        <f t="shared" si="1"/>
        <v>43101</v>
      </c>
      <c r="P21" s="384">
        <f t="shared" si="2"/>
        <v>4</v>
      </c>
      <c r="Q21" s="384">
        <f t="shared" si="3"/>
        <v>83</v>
      </c>
      <c r="R21" s="12">
        <f t="shared" si="4"/>
        <v>72</v>
      </c>
      <c r="S21" s="12"/>
      <c r="T21" s="12"/>
      <c r="U21" s="12"/>
      <c r="V21" s="12"/>
      <c r="W21" s="12"/>
      <c r="X21" s="12"/>
      <c r="Y21" s="12"/>
      <c r="Z21" s="12"/>
      <c r="AA21" s="12"/>
      <c r="AB21" s="12"/>
      <c r="AD21" s="31">
        <v>45835</v>
      </c>
      <c r="AE21" s="384">
        <v>1</v>
      </c>
      <c r="AF21" s="197">
        <f t="shared" si="10"/>
        <v>45835</v>
      </c>
      <c r="AG21" s="197">
        <f t="shared" si="6"/>
        <v>45809</v>
      </c>
      <c r="AH21" s="384">
        <f t="shared" si="11"/>
        <v>1</v>
      </c>
      <c r="AI21" s="384">
        <f t="shared" si="9"/>
        <v>23</v>
      </c>
      <c r="AJ21" s="12">
        <f t="shared" si="8"/>
        <v>30</v>
      </c>
      <c r="AK21" s="12"/>
      <c r="AL21" s="12"/>
      <c r="AM21" s="12"/>
      <c r="AN21" s="12"/>
      <c r="AO21" s="12"/>
      <c r="AP21" s="12"/>
      <c r="AQ21" s="12"/>
      <c r="AR21" s="12"/>
      <c r="AS21" s="12"/>
      <c r="AT21" s="12"/>
    </row>
    <row r="22" spans="1:46" x14ac:dyDescent="0.25">
      <c r="A22" s="18"/>
      <c r="B22" s="193" t="s">
        <v>3114</v>
      </c>
      <c r="C22" s="18">
        <f>COUNTIF('old -- All injections Dobos'!$H$2:$H$3002,B22)</f>
        <v>0</v>
      </c>
      <c r="D22" s="12"/>
      <c r="E22" s="18" t="s">
        <v>3115</v>
      </c>
      <c r="F22" s="12"/>
      <c r="G22" s="18" t="s">
        <v>366</v>
      </c>
      <c r="H22" s="12"/>
      <c r="I22" s="21" t="str">
        <f>IF(COUNTA('[1]Virus production'!A18)=1,('[1]Virus production'!A18),"")</f>
        <v>AG17</v>
      </c>
      <c r="J22" s="12"/>
      <c r="L22" s="31">
        <v>43122</v>
      </c>
      <c r="M22" s="12">
        <v>6</v>
      </c>
      <c r="N22" s="197">
        <f t="shared" si="0"/>
        <v>43122</v>
      </c>
      <c r="O22" s="197">
        <f t="shared" si="1"/>
        <v>43101</v>
      </c>
      <c r="P22" s="384">
        <f t="shared" si="2"/>
        <v>6</v>
      </c>
      <c r="Q22" s="384">
        <f t="shared" si="3"/>
        <v>94</v>
      </c>
      <c r="R22" s="12">
        <f t="shared" si="4"/>
        <v>78</v>
      </c>
      <c r="S22" s="12"/>
      <c r="T22" s="12"/>
      <c r="U22" s="12"/>
      <c r="V22" s="12"/>
      <c r="W22" s="12"/>
      <c r="X22" s="12"/>
      <c r="Y22" s="12"/>
      <c r="Z22" s="12"/>
      <c r="AA22" s="12"/>
      <c r="AB22" s="12"/>
      <c r="AD22" s="31">
        <v>45836</v>
      </c>
      <c r="AE22" s="384">
        <v>2</v>
      </c>
      <c r="AF22" s="197">
        <f t="shared" si="10"/>
        <v>45836</v>
      </c>
      <c r="AG22" s="197">
        <f t="shared" si="6"/>
        <v>45809</v>
      </c>
      <c r="AH22" s="384">
        <f t="shared" si="11"/>
        <v>2</v>
      </c>
      <c r="AI22" s="384">
        <f t="shared" si="9"/>
        <v>24</v>
      </c>
      <c r="AJ22" s="12">
        <f t="shared" si="8"/>
        <v>32</v>
      </c>
      <c r="AK22" s="12"/>
      <c r="AL22" s="12"/>
      <c r="AM22" s="12"/>
      <c r="AN22" s="12"/>
      <c r="AO22" s="12"/>
      <c r="AP22" s="12"/>
      <c r="AQ22" s="12"/>
      <c r="AR22" s="12"/>
      <c r="AS22" s="12"/>
      <c r="AT22" s="12"/>
    </row>
    <row r="23" spans="1:46" x14ac:dyDescent="0.25">
      <c r="A23" s="18"/>
      <c r="B23" s="193" t="s">
        <v>3116</v>
      </c>
      <c r="C23" s="18">
        <f>COUNTIF('old -- All injections Dobos'!$H$2:$H$3002,B23)</f>
        <v>0</v>
      </c>
      <c r="D23" s="12"/>
      <c r="E23" s="18" t="s">
        <v>3117</v>
      </c>
      <c r="F23" s="12"/>
      <c r="G23" s="18" t="s">
        <v>1032</v>
      </c>
      <c r="H23" s="12"/>
      <c r="I23" s="21" t="str">
        <f>IF(COUNTA('[1]Virus production'!A19)=1,('[1]Virus production'!A19),"")</f>
        <v>AG18</v>
      </c>
      <c r="J23" s="12"/>
      <c r="L23" s="31">
        <v>43123</v>
      </c>
      <c r="M23" s="12">
        <v>3</v>
      </c>
      <c r="N23" s="197">
        <f t="shared" si="0"/>
        <v>43123</v>
      </c>
      <c r="O23" s="197">
        <f t="shared" si="1"/>
        <v>43101</v>
      </c>
      <c r="P23" s="384">
        <f t="shared" si="2"/>
        <v>3</v>
      </c>
      <c r="Q23" s="384">
        <f t="shared" si="3"/>
        <v>95</v>
      </c>
      <c r="R23" s="12">
        <f t="shared" si="4"/>
        <v>81</v>
      </c>
      <c r="S23" s="12"/>
      <c r="T23" s="12"/>
      <c r="U23" s="12"/>
      <c r="V23" s="12"/>
      <c r="W23" s="12"/>
      <c r="X23" s="12"/>
      <c r="Y23" s="12"/>
      <c r="Z23" s="12"/>
      <c r="AA23" s="12"/>
      <c r="AB23" s="12"/>
      <c r="AD23" s="31">
        <v>45837</v>
      </c>
      <c r="AE23" s="384">
        <v>2</v>
      </c>
      <c r="AF23" s="197">
        <f t="shared" si="10"/>
        <v>45837</v>
      </c>
      <c r="AG23" s="197">
        <f t="shared" si="6"/>
        <v>45809</v>
      </c>
      <c r="AH23" s="384">
        <f t="shared" si="11"/>
        <v>2</v>
      </c>
      <c r="AI23" s="384">
        <f t="shared" si="9"/>
        <v>25</v>
      </c>
      <c r="AJ23" s="12">
        <f t="shared" si="8"/>
        <v>34</v>
      </c>
      <c r="AK23" s="12"/>
      <c r="AL23" s="12"/>
      <c r="AM23" s="12"/>
      <c r="AN23" s="12"/>
      <c r="AO23" s="12"/>
      <c r="AP23" s="12"/>
      <c r="AQ23" s="12"/>
      <c r="AR23" s="12"/>
      <c r="AS23" s="12"/>
      <c r="AT23" s="12"/>
    </row>
    <row r="24" spans="1:46" x14ac:dyDescent="0.25">
      <c r="A24" s="18"/>
      <c r="B24" s="193" t="s">
        <v>3118</v>
      </c>
      <c r="C24" s="18">
        <f>COUNTIF('old -- All injections Dobos'!$H$2:$H$3002,B24)</f>
        <v>58</v>
      </c>
      <c r="D24" s="12"/>
      <c r="E24" s="18" t="s">
        <v>3119</v>
      </c>
      <c r="F24" s="12"/>
      <c r="G24" s="18" t="s">
        <v>81</v>
      </c>
      <c r="H24" s="12"/>
      <c r="I24" s="21" t="str">
        <f>IF(COUNTA('[1]Virus production'!A20)=1,('[1]Virus production'!A20),"")</f>
        <v>AG19</v>
      </c>
      <c r="J24" s="12"/>
      <c r="L24" s="31">
        <v>43124</v>
      </c>
      <c r="M24" s="12">
        <v>6</v>
      </c>
      <c r="N24" s="197">
        <f t="shared" si="0"/>
        <v>43124</v>
      </c>
      <c r="O24" s="197">
        <f t="shared" si="1"/>
        <v>43101</v>
      </c>
      <c r="P24" s="384">
        <f t="shared" si="2"/>
        <v>6</v>
      </c>
      <c r="Q24" s="384">
        <f t="shared" si="3"/>
        <v>96</v>
      </c>
      <c r="R24" s="12">
        <f t="shared" si="4"/>
        <v>87</v>
      </c>
      <c r="S24" s="12"/>
      <c r="T24" s="12"/>
      <c r="U24" s="12"/>
      <c r="V24" s="12"/>
      <c r="W24" s="12"/>
      <c r="X24" s="12"/>
      <c r="Y24" s="12"/>
      <c r="Z24" s="12"/>
      <c r="AA24" s="12"/>
      <c r="AB24" s="12"/>
      <c r="AD24" s="31">
        <v>45838</v>
      </c>
      <c r="AE24" s="384">
        <v>2</v>
      </c>
      <c r="AF24" s="197">
        <f t="shared" si="10"/>
        <v>45838</v>
      </c>
      <c r="AG24" s="197">
        <f t="shared" si="6"/>
        <v>45809</v>
      </c>
      <c r="AH24" s="384">
        <f t="shared" ref="AH24:AH63" si="12">AE24</f>
        <v>2</v>
      </c>
      <c r="AI24" s="384">
        <f t="shared" si="9"/>
        <v>26</v>
      </c>
      <c r="AJ24" s="12">
        <f t="shared" si="8"/>
        <v>36</v>
      </c>
      <c r="AK24" s="12"/>
      <c r="AL24" s="12"/>
      <c r="AM24" s="12"/>
      <c r="AN24" s="12"/>
      <c r="AO24" s="12"/>
      <c r="AP24" s="12"/>
      <c r="AQ24" s="12"/>
      <c r="AR24" s="12"/>
      <c r="AS24" s="12"/>
      <c r="AT24" s="12"/>
    </row>
    <row r="25" spans="1:46" x14ac:dyDescent="0.25">
      <c r="A25" s="18"/>
      <c r="B25" s="193" t="s">
        <v>3120</v>
      </c>
      <c r="C25" s="18">
        <f>COUNTIF('old -- All injections Dobos'!$H$2:$H$3002,B25)</f>
        <v>0</v>
      </c>
      <c r="D25" s="12"/>
      <c r="E25" s="18" t="s">
        <v>62</v>
      </c>
      <c r="F25" s="24"/>
      <c r="G25" s="18" t="s">
        <v>160</v>
      </c>
      <c r="H25" s="12"/>
      <c r="I25" s="21" t="str">
        <f>IF(COUNTA('[1]Virus production'!A21)=1,('[1]Virus production'!A21),"")</f>
        <v>AG20</v>
      </c>
      <c r="J25" s="12"/>
      <c r="L25" s="31">
        <v>43126</v>
      </c>
      <c r="M25" s="12">
        <v>7</v>
      </c>
      <c r="N25" s="197">
        <f t="shared" si="0"/>
        <v>43126</v>
      </c>
      <c r="O25" s="197">
        <f t="shared" si="1"/>
        <v>43101</v>
      </c>
      <c r="P25" s="384">
        <f t="shared" si="2"/>
        <v>7</v>
      </c>
      <c r="Q25" s="384">
        <f t="shared" si="3"/>
        <v>98</v>
      </c>
      <c r="R25" s="12">
        <f t="shared" si="4"/>
        <v>94</v>
      </c>
      <c r="S25" s="12"/>
      <c r="T25" s="12"/>
      <c r="U25" s="12"/>
      <c r="V25" s="12"/>
      <c r="W25" s="12"/>
      <c r="X25" s="12"/>
      <c r="Y25" s="12"/>
      <c r="Z25" s="12"/>
      <c r="AA25" s="12"/>
      <c r="AB25" s="12"/>
      <c r="AD25" s="31">
        <v>45839</v>
      </c>
      <c r="AE25" s="384">
        <v>3</v>
      </c>
      <c r="AF25" s="197">
        <f t="shared" si="10"/>
        <v>45839</v>
      </c>
      <c r="AG25" s="197">
        <f t="shared" si="6"/>
        <v>45839</v>
      </c>
      <c r="AH25" s="384">
        <f t="shared" si="12"/>
        <v>3</v>
      </c>
      <c r="AI25" s="384">
        <f t="shared" si="9"/>
        <v>27</v>
      </c>
      <c r="AJ25" s="12">
        <f t="shared" si="8"/>
        <v>39</v>
      </c>
      <c r="AK25" s="12"/>
      <c r="AL25" s="12"/>
      <c r="AM25" s="12"/>
      <c r="AN25" s="12"/>
      <c r="AO25" s="12"/>
      <c r="AP25" s="12"/>
      <c r="AQ25" s="12"/>
      <c r="AR25" s="12"/>
      <c r="AS25" s="12"/>
      <c r="AT25" s="12"/>
    </row>
    <row r="26" spans="1:46" x14ac:dyDescent="0.25">
      <c r="A26" s="18"/>
      <c r="B26" s="193" t="s">
        <v>3121</v>
      </c>
      <c r="C26" s="18">
        <f>COUNTIF('old -- All injections Dobos'!$H$2:$H$3002,B26)</f>
        <v>0</v>
      </c>
      <c r="D26" s="12"/>
      <c r="E26" s="18" t="s">
        <v>3122</v>
      </c>
      <c r="F26" s="12"/>
      <c r="G26" s="18" t="s">
        <v>54</v>
      </c>
      <c r="H26" s="12"/>
      <c r="I26" s="21" t="str">
        <f>IF(COUNTA('[1]Virus production'!A22)=1,('[1]Virus production'!A22),"")</f>
        <v>AG21</v>
      </c>
      <c r="J26" s="12"/>
      <c r="L26" s="31">
        <v>43131</v>
      </c>
      <c r="M26" s="12">
        <v>7</v>
      </c>
      <c r="N26" s="197">
        <f t="shared" si="0"/>
        <v>43131</v>
      </c>
      <c r="O26" s="197">
        <f t="shared" si="1"/>
        <v>43101</v>
      </c>
      <c r="P26" s="384">
        <f t="shared" si="2"/>
        <v>7</v>
      </c>
      <c r="Q26" s="384">
        <f t="shared" si="3"/>
        <v>103</v>
      </c>
      <c r="R26" s="12">
        <f t="shared" si="4"/>
        <v>101</v>
      </c>
      <c r="S26" s="12"/>
      <c r="T26" s="12"/>
      <c r="U26" s="12"/>
      <c r="V26" s="12"/>
      <c r="W26" s="12"/>
      <c r="X26" s="12"/>
      <c r="Y26" s="12"/>
      <c r="Z26" s="12"/>
      <c r="AA26" s="12"/>
      <c r="AB26" s="12"/>
      <c r="AD26" s="31">
        <v>45840</v>
      </c>
      <c r="AE26" s="384">
        <v>3</v>
      </c>
      <c r="AF26" s="197">
        <f t="shared" si="10"/>
        <v>45840</v>
      </c>
      <c r="AG26" s="197">
        <f t="shared" si="6"/>
        <v>45839</v>
      </c>
      <c r="AH26" s="384">
        <f t="shared" si="12"/>
        <v>3</v>
      </c>
      <c r="AI26" s="384">
        <f t="shared" si="9"/>
        <v>28</v>
      </c>
      <c r="AJ26" s="12">
        <f t="shared" si="8"/>
        <v>42</v>
      </c>
      <c r="AK26" s="12"/>
      <c r="AL26" s="12"/>
      <c r="AM26" s="12"/>
      <c r="AN26" s="12"/>
      <c r="AO26" s="12"/>
      <c r="AP26" s="12"/>
      <c r="AQ26" s="12"/>
      <c r="AR26" s="12"/>
      <c r="AS26" s="12"/>
      <c r="AT26" s="12"/>
    </row>
    <row r="27" spans="1:46" x14ac:dyDescent="0.25">
      <c r="A27" s="18"/>
      <c r="B27" s="390" t="s">
        <v>621</v>
      </c>
      <c r="C27" s="18">
        <f>COUNTIF('old -- All injections Dobos'!$H$2:$H$3002,#REF!)</f>
        <v>0</v>
      </c>
      <c r="D27" s="12"/>
      <c r="E27" s="18" t="s">
        <v>284</v>
      </c>
      <c r="F27" s="12"/>
      <c r="G27" s="18" t="s">
        <v>75</v>
      </c>
      <c r="H27" s="12"/>
      <c r="I27" s="21" t="str">
        <f>IF(COUNTA('[1]Virus production'!A23)=1,('[1]Virus production'!A23),"")</f>
        <v>AG22</v>
      </c>
      <c r="J27" s="12"/>
      <c r="L27" s="31">
        <v>43133</v>
      </c>
      <c r="M27" s="12">
        <v>3</v>
      </c>
      <c r="N27" s="197">
        <f t="shared" si="0"/>
        <v>43133</v>
      </c>
      <c r="O27" s="197">
        <f t="shared" si="1"/>
        <v>43132</v>
      </c>
      <c r="P27" s="384">
        <f t="shared" si="2"/>
        <v>3</v>
      </c>
      <c r="Q27" s="384">
        <f t="shared" si="3"/>
        <v>105</v>
      </c>
      <c r="R27" s="12">
        <f t="shared" si="4"/>
        <v>104</v>
      </c>
      <c r="S27" s="12"/>
      <c r="T27" s="12"/>
      <c r="U27" s="12"/>
      <c r="V27" s="12"/>
      <c r="W27" s="12"/>
      <c r="X27" s="12"/>
      <c r="Y27" s="12"/>
      <c r="Z27" s="12"/>
      <c r="AA27" s="12"/>
      <c r="AB27" s="12"/>
      <c r="AD27" s="31">
        <v>45841</v>
      </c>
      <c r="AE27" s="384">
        <v>2</v>
      </c>
      <c r="AF27" s="197">
        <f t="shared" si="10"/>
        <v>45841</v>
      </c>
      <c r="AG27" s="197">
        <f t="shared" si="6"/>
        <v>45839</v>
      </c>
      <c r="AH27" s="384">
        <f t="shared" si="12"/>
        <v>2</v>
      </c>
      <c r="AI27" s="384">
        <f t="shared" si="9"/>
        <v>29</v>
      </c>
      <c r="AJ27" s="12">
        <f t="shared" si="8"/>
        <v>44</v>
      </c>
      <c r="AK27" s="12"/>
      <c r="AL27" s="12"/>
      <c r="AM27" s="12"/>
      <c r="AN27" s="12"/>
      <c r="AO27" s="12"/>
      <c r="AP27" s="12"/>
      <c r="AQ27" s="12"/>
      <c r="AR27" s="12"/>
      <c r="AS27" s="12"/>
      <c r="AT27" s="12"/>
    </row>
    <row r="28" spans="1:46" x14ac:dyDescent="0.25">
      <c r="A28" s="18"/>
      <c r="B28" s="194" t="s">
        <v>3123</v>
      </c>
      <c r="C28" s="18">
        <f>COUNTIF('old -- All injections Dobos'!$H$2:$H$3002,B28)</f>
        <v>0</v>
      </c>
      <c r="D28" s="12"/>
      <c r="E28" s="18" t="s">
        <v>3124</v>
      </c>
      <c r="F28" s="12"/>
      <c r="G28" s="243" t="s">
        <v>133</v>
      </c>
      <c r="H28" s="12"/>
      <c r="I28" s="21" t="str">
        <f>IF(COUNTA('[1]Virus production'!A24)=1,('[1]Virus production'!A24),"")</f>
        <v>AG23</v>
      </c>
      <c r="J28" s="12"/>
      <c r="L28" s="31">
        <v>43139</v>
      </c>
      <c r="M28" s="12">
        <v>3</v>
      </c>
      <c r="N28" s="197">
        <f t="shared" si="0"/>
        <v>43139</v>
      </c>
      <c r="O28" s="197">
        <f t="shared" si="1"/>
        <v>43132</v>
      </c>
      <c r="P28" s="384">
        <f t="shared" si="2"/>
        <v>3</v>
      </c>
      <c r="Q28" s="384">
        <f t="shared" si="3"/>
        <v>111</v>
      </c>
      <c r="R28" s="12">
        <f t="shared" si="4"/>
        <v>107</v>
      </c>
      <c r="S28" s="12"/>
      <c r="T28" s="12"/>
      <c r="U28" s="12"/>
      <c r="V28" s="12"/>
      <c r="W28" s="12"/>
      <c r="X28" s="12"/>
      <c r="Y28" s="12"/>
      <c r="Z28" s="12"/>
      <c r="AA28" s="12"/>
      <c r="AB28" s="12"/>
      <c r="AD28" s="31">
        <v>45842</v>
      </c>
      <c r="AE28" s="384">
        <v>3</v>
      </c>
      <c r="AF28" s="197">
        <f t="shared" si="10"/>
        <v>45842</v>
      </c>
      <c r="AG28" s="197">
        <f t="shared" si="6"/>
        <v>45839</v>
      </c>
      <c r="AH28" s="384">
        <f t="shared" si="12"/>
        <v>3</v>
      </c>
      <c r="AI28" s="384">
        <f t="shared" si="9"/>
        <v>30</v>
      </c>
      <c r="AJ28" s="12">
        <f t="shared" si="8"/>
        <v>47</v>
      </c>
      <c r="AK28" s="12"/>
      <c r="AL28" s="12"/>
      <c r="AM28" s="12"/>
      <c r="AN28" s="12"/>
      <c r="AO28" s="12"/>
      <c r="AP28" s="12"/>
      <c r="AQ28" s="12"/>
      <c r="AR28" s="12"/>
      <c r="AS28" s="12"/>
      <c r="AT28" s="12"/>
    </row>
    <row r="29" spans="1:46" x14ac:dyDescent="0.25">
      <c r="A29" s="18"/>
      <c r="B29" s="194" t="s">
        <v>385</v>
      </c>
      <c r="C29" s="18">
        <f>COUNTIF('old -- All injections Dobos'!$H$2:$H$3002,B29)</f>
        <v>30</v>
      </c>
      <c r="D29" s="12"/>
      <c r="E29" s="18" t="s">
        <v>3125</v>
      </c>
      <c r="F29" s="12"/>
      <c r="G29" s="12"/>
      <c r="H29" s="12"/>
      <c r="I29" s="21" t="str">
        <f>IF(COUNTA('[1]Virus production'!A25)=1,('[1]Virus production'!A25),"")</f>
        <v>AG24</v>
      </c>
      <c r="J29" s="12"/>
      <c r="L29" s="31">
        <v>43140</v>
      </c>
      <c r="M29" s="12">
        <v>3</v>
      </c>
      <c r="N29" s="197">
        <f t="shared" si="0"/>
        <v>43140</v>
      </c>
      <c r="O29" s="197">
        <f t="shared" si="1"/>
        <v>43132</v>
      </c>
      <c r="P29" s="384">
        <f t="shared" si="2"/>
        <v>3</v>
      </c>
      <c r="Q29" s="384">
        <f t="shared" si="3"/>
        <v>112</v>
      </c>
      <c r="R29" s="12">
        <f t="shared" si="4"/>
        <v>110</v>
      </c>
      <c r="S29" s="12"/>
      <c r="T29" s="12"/>
      <c r="U29" s="12"/>
      <c r="V29" s="12"/>
      <c r="W29" s="12"/>
      <c r="X29" s="12"/>
      <c r="Y29" s="12"/>
      <c r="Z29" s="12"/>
      <c r="AA29" s="12"/>
      <c r="AB29" s="12"/>
      <c r="AD29" s="31">
        <v>45846</v>
      </c>
      <c r="AE29" s="384">
        <v>4</v>
      </c>
      <c r="AF29" s="197">
        <f t="shared" si="10"/>
        <v>45846</v>
      </c>
      <c r="AG29" s="197">
        <f t="shared" si="6"/>
        <v>45839</v>
      </c>
      <c r="AH29" s="384">
        <f t="shared" si="12"/>
        <v>4</v>
      </c>
      <c r="AI29" s="384">
        <f t="shared" si="9"/>
        <v>34</v>
      </c>
      <c r="AJ29" s="12">
        <f t="shared" si="8"/>
        <v>51</v>
      </c>
      <c r="AK29" s="12"/>
      <c r="AL29" s="12"/>
      <c r="AM29" s="12"/>
      <c r="AN29" s="12"/>
      <c r="AO29" s="12"/>
      <c r="AP29" s="12"/>
      <c r="AQ29" s="12"/>
      <c r="AR29" s="12"/>
      <c r="AS29" s="12"/>
      <c r="AT29" s="12"/>
    </row>
    <row r="30" spans="1:46" x14ac:dyDescent="0.25">
      <c r="A30" s="18"/>
      <c r="B30" s="193" t="s">
        <v>3126</v>
      </c>
      <c r="C30" s="18">
        <f>COUNTIF('old -- All injections Dobos'!$H$2:$H$3002,B30)</f>
        <v>0</v>
      </c>
      <c r="D30" s="12"/>
      <c r="E30" s="18" t="s">
        <v>3127</v>
      </c>
      <c r="F30" s="12"/>
      <c r="G30" s="12"/>
      <c r="H30" s="12"/>
      <c r="I30" s="21" t="str">
        <f>IF(COUNTA('[1]Virus production'!A26)=1,('[1]Virus production'!A26),"")</f>
        <v>AG25</v>
      </c>
      <c r="J30" s="12"/>
      <c r="L30" s="31">
        <v>43144</v>
      </c>
      <c r="M30" s="12">
        <v>8</v>
      </c>
      <c r="N30" s="197">
        <f t="shared" si="0"/>
        <v>43144</v>
      </c>
      <c r="O30" s="197">
        <f t="shared" si="1"/>
        <v>43132</v>
      </c>
      <c r="P30" s="384">
        <f t="shared" si="2"/>
        <v>8</v>
      </c>
      <c r="Q30" s="384">
        <f t="shared" si="3"/>
        <v>116</v>
      </c>
      <c r="R30" s="12">
        <f t="shared" si="4"/>
        <v>118</v>
      </c>
      <c r="S30" s="12"/>
      <c r="T30" s="12"/>
      <c r="U30" s="12"/>
      <c r="V30" s="12"/>
      <c r="W30" s="12"/>
      <c r="X30" s="12"/>
      <c r="Y30" s="12"/>
      <c r="Z30" s="12"/>
      <c r="AA30" s="12"/>
      <c r="AB30" s="12"/>
      <c r="AD30" s="31">
        <v>45847</v>
      </c>
      <c r="AE30" s="384">
        <v>1</v>
      </c>
      <c r="AF30" s="197">
        <f t="shared" si="10"/>
        <v>45847</v>
      </c>
      <c r="AG30" s="197">
        <f t="shared" si="6"/>
        <v>45839</v>
      </c>
      <c r="AH30" s="384">
        <f t="shared" si="12"/>
        <v>1</v>
      </c>
      <c r="AI30" s="384">
        <f t="shared" si="9"/>
        <v>35</v>
      </c>
      <c r="AJ30" s="12">
        <f t="shared" si="8"/>
        <v>52</v>
      </c>
      <c r="AK30" s="12"/>
      <c r="AL30" s="12"/>
      <c r="AM30" s="12"/>
      <c r="AN30" s="12"/>
      <c r="AO30" s="12"/>
      <c r="AP30" s="12"/>
      <c r="AQ30" s="12"/>
      <c r="AR30" s="12"/>
      <c r="AS30" s="12"/>
      <c r="AT30" s="12"/>
    </row>
    <row r="31" spans="1:46" x14ac:dyDescent="0.25">
      <c r="A31" s="18"/>
      <c r="B31" s="194" t="s">
        <v>3128</v>
      </c>
      <c r="C31" s="18">
        <f>COUNTIF('old -- All injections Dobos'!$H$2:$H$3002,B31)</f>
        <v>267</v>
      </c>
      <c r="D31" s="12"/>
      <c r="E31" s="18" t="s">
        <v>3129</v>
      </c>
      <c r="F31" s="12"/>
      <c r="G31" s="12"/>
      <c r="H31" s="12"/>
      <c r="I31" s="21" t="str">
        <f>IF(COUNTA('[1]Virus production'!A27)=1,('[1]Virus production'!A27),"")</f>
        <v>AG26</v>
      </c>
      <c r="J31" s="12"/>
      <c r="L31" s="31">
        <v>43147</v>
      </c>
      <c r="M31" s="12">
        <v>7</v>
      </c>
      <c r="N31" s="197">
        <f t="shared" si="0"/>
        <v>43147</v>
      </c>
      <c r="O31" s="197">
        <f t="shared" si="1"/>
        <v>43132</v>
      </c>
      <c r="P31" s="384">
        <f t="shared" si="2"/>
        <v>7</v>
      </c>
      <c r="Q31" s="384">
        <f t="shared" si="3"/>
        <v>119</v>
      </c>
      <c r="R31" s="12">
        <f t="shared" si="4"/>
        <v>125</v>
      </c>
      <c r="S31" s="12"/>
      <c r="T31" s="12"/>
      <c r="U31" s="12"/>
      <c r="V31" s="12"/>
      <c r="W31" s="12"/>
      <c r="X31" s="12"/>
      <c r="Y31" s="12"/>
      <c r="Z31" s="12"/>
      <c r="AA31" s="12"/>
      <c r="AB31" s="12"/>
      <c r="AD31" s="31">
        <v>45848</v>
      </c>
      <c r="AE31" s="384">
        <v>3</v>
      </c>
      <c r="AF31" s="197">
        <f t="shared" si="10"/>
        <v>45848</v>
      </c>
      <c r="AG31" s="197">
        <f t="shared" si="6"/>
        <v>45839</v>
      </c>
      <c r="AH31" s="384">
        <f t="shared" si="12"/>
        <v>3</v>
      </c>
      <c r="AI31" s="384">
        <f t="shared" si="9"/>
        <v>36</v>
      </c>
      <c r="AJ31" s="12">
        <f t="shared" si="8"/>
        <v>55</v>
      </c>
      <c r="AK31" s="12"/>
      <c r="AL31" s="12"/>
      <c r="AM31" s="12"/>
      <c r="AN31" s="12"/>
      <c r="AO31" s="12"/>
      <c r="AP31" s="12"/>
      <c r="AQ31" s="12"/>
      <c r="AR31" s="12"/>
      <c r="AS31" s="12"/>
      <c r="AT31" s="12"/>
    </row>
    <row r="32" spans="1:46" x14ac:dyDescent="0.25">
      <c r="A32" s="18"/>
      <c r="B32" s="194" t="s">
        <v>3130</v>
      </c>
      <c r="C32" s="18">
        <f>COUNTIF('old -- All injections Dobos'!$H$2:$H$3002,B32)</f>
        <v>18</v>
      </c>
      <c r="D32" s="12"/>
      <c r="E32" s="18" t="s">
        <v>413</v>
      </c>
      <c r="F32" s="12"/>
      <c r="G32" s="12"/>
      <c r="H32" s="12"/>
      <c r="I32" s="21" t="str">
        <f>IF(COUNTA('[1]Virus production'!A28)=1,('[1]Virus production'!A28),"")</f>
        <v>AG27</v>
      </c>
      <c r="J32" s="12"/>
      <c r="L32" s="31">
        <v>43157</v>
      </c>
      <c r="M32" s="12">
        <v>3</v>
      </c>
      <c r="N32" s="197">
        <f t="shared" si="0"/>
        <v>43157</v>
      </c>
      <c r="O32" s="197">
        <f t="shared" si="1"/>
        <v>43132</v>
      </c>
      <c r="P32" s="384">
        <f t="shared" si="2"/>
        <v>3</v>
      </c>
      <c r="Q32" s="384">
        <f t="shared" si="3"/>
        <v>129</v>
      </c>
      <c r="R32" s="12">
        <f t="shared" si="4"/>
        <v>128</v>
      </c>
      <c r="S32" s="12"/>
      <c r="T32" s="12"/>
      <c r="U32" s="12"/>
      <c r="V32" s="12"/>
      <c r="W32" s="12"/>
      <c r="X32" s="12"/>
      <c r="Y32" s="12"/>
      <c r="Z32" s="12"/>
      <c r="AA32" s="12"/>
      <c r="AB32" s="12"/>
      <c r="AD32" s="31">
        <v>45849</v>
      </c>
      <c r="AE32" s="384">
        <v>3</v>
      </c>
      <c r="AF32" s="197">
        <f t="shared" si="10"/>
        <v>45849</v>
      </c>
      <c r="AG32" s="197">
        <f t="shared" si="6"/>
        <v>45839</v>
      </c>
      <c r="AH32" s="384">
        <f t="shared" si="12"/>
        <v>3</v>
      </c>
      <c r="AI32" s="384">
        <f t="shared" si="9"/>
        <v>37</v>
      </c>
      <c r="AJ32" s="12">
        <f t="shared" si="8"/>
        <v>58</v>
      </c>
      <c r="AK32" s="12"/>
      <c r="AL32" s="12"/>
      <c r="AM32" s="12"/>
      <c r="AN32" s="12"/>
      <c r="AO32" s="12"/>
      <c r="AP32" s="12"/>
      <c r="AQ32" s="12"/>
      <c r="AR32" s="12"/>
      <c r="AS32" s="12"/>
      <c r="AT32" s="12"/>
    </row>
    <row r="33" spans="1:46" x14ac:dyDescent="0.25">
      <c r="A33" s="18"/>
      <c r="B33" s="193" t="s">
        <v>3131</v>
      </c>
      <c r="C33" s="18">
        <f>COUNTIF('old -- All injections Dobos'!$H$2:$H$3002,B33)</f>
        <v>0</v>
      </c>
      <c r="D33" s="12"/>
      <c r="E33" s="18" t="s">
        <v>240</v>
      </c>
      <c r="F33" s="12"/>
      <c r="G33" s="12"/>
      <c r="H33" s="12"/>
      <c r="I33" s="21" t="str">
        <f>IF(COUNTA('[1]Virus production'!A29)=1,('[1]Virus production'!A29),"")</f>
        <v>AG28</v>
      </c>
      <c r="J33" s="12"/>
      <c r="L33" s="31">
        <v>43158</v>
      </c>
      <c r="M33" s="12">
        <v>5</v>
      </c>
      <c r="N33" s="197">
        <f t="shared" si="0"/>
        <v>43158</v>
      </c>
      <c r="O33" s="197">
        <f t="shared" si="1"/>
        <v>43132</v>
      </c>
      <c r="P33" s="384">
        <f t="shared" si="2"/>
        <v>5</v>
      </c>
      <c r="Q33" s="384">
        <f t="shared" si="3"/>
        <v>130</v>
      </c>
      <c r="R33" s="12">
        <f t="shared" si="4"/>
        <v>133</v>
      </c>
      <c r="S33" s="12"/>
      <c r="T33" s="12"/>
      <c r="U33" s="12"/>
      <c r="V33" s="12"/>
      <c r="W33" s="12"/>
      <c r="X33" s="12"/>
      <c r="Y33" s="12"/>
      <c r="Z33" s="12"/>
      <c r="AA33" s="12"/>
      <c r="AB33" s="12"/>
      <c r="AD33" s="31">
        <v>45852</v>
      </c>
      <c r="AE33" s="384">
        <v>1</v>
      </c>
      <c r="AF33" s="197">
        <f t="shared" si="10"/>
        <v>45852</v>
      </c>
      <c r="AG33" s="197">
        <f t="shared" si="6"/>
        <v>45839</v>
      </c>
      <c r="AH33" s="384">
        <f t="shared" si="12"/>
        <v>1</v>
      </c>
      <c r="AI33" s="384">
        <f t="shared" si="9"/>
        <v>40</v>
      </c>
      <c r="AJ33" s="12">
        <f t="shared" si="8"/>
        <v>59</v>
      </c>
      <c r="AK33" s="12"/>
      <c r="AL33" s="12"/>
      <c r="AM33" s="12"/>
      <c r="AN33" s="12"/>
      <c r="AO33" s="12"/>
      <c r="AP33" s="12"/>
      <c r="AQ33" s="12"/>
      <c r="AR33" s="12"/>
      <c r="AS33" s="12"/>
      <c r="AT33" s="12"/>
    </row>
    <row r="34" spans="1:46" x14ac:dyDescent="0.25">
      <c r="A34" s="18"/>
      <c r="B34" s="194" t="s">
        <v>3132</v>
      </c>
      <c r="C34" s="18">
        <f>COUNTIF('old -- All injections Dobos'!$H$2:$H$3002,B34)</f>
        <v>5</v>
      </c>
      <c r="D34" s="12"/>
      <c r="E34" s="18" t="s">
        <v>3133</v>
      </c>
      <c r="F34" s="12"/>
      <c r="G34" s="12"/>
      <c r="H34" s="12"/>
      <c r="I34" s="21" t="str">
        <f>IF(COUNTA('[1]Virus production'!A30)=1,('[1]Virus production'!A30),"")</f>
        <v>AG29</v>
      </c>
      <c r="J34" s="12"/>
      <c r="L34" s="31">
        <v>43160</v>
      </c>
      <c r="M34" s="12">
        <v>3</v>
      </c>
      <c r="N34" s="197">
        <f t="shared" si="0"/>
        <v>43160</v>
      </c>
      <c r="O34" s="197">
        <f t="shared" si="1"/>
        <v>43160</v>
      </c>
      <c r="P34" s="384">
        <f t="shared" si="2"/>
        <v>3</v>
      </c>
      <c r="Q34" s="384">
        <f t="shared" si="3"/>
        <v>132</v>
      </c>
      <c r="R34" s="12">
        <f t="shared" si="4"/>
        <v>136</v>
      </c>
      <c r="S34" s="12"/>
      <c r="T34" s="12"/>
      <c r="U34" s="12"/>
      <c r="V34" s="12"/>
      <c r="W34" s="12"/>
      <c r="X34" s="12"/>
      <c r="Y34" s="12"/>
      <c r="Z34" s="12"/>
      <c r="AA34" s="12"/>
      <c r="AB34" s="12"/>
      <c r="AD34" s="31">
        <v>45853</v>
      </c>
      <c r="AE34" s="384">
        <v>1</v>
      </c>
      <c r="AF34" s="197">
        <f t="shared" si="10"/>
        <v>45853</v>
      </c>
      <c r="AG34" s="197">
        <f t="shared" si="6"/>
        <v>45839</v>
      </c>
      <c r="AH34" s="384">
        <f t="shared" si="12"/>
        <v>1</v>
      </c>
      <c r="AI34" s="384">
        <f t="shared" si="9"/>
        <v>41</v>
      </c>
      <c r="AJ34" s="12">
        <f t="shared" si="8"/>
        <v>60</v>
      </c>
      <c r="AK34" s="12"/>
      <c r="AL34" s="12"/>
      <c r="AM34" s="12"/>
      <c r="AN34" s="12"/>
      <c r="AO34" s="12"/>
      <c r="AP34" s="12"/>
      <c r="AQ34" s="12"/>
      <c r="AR34" s="12"/>
      <c r="AS34" s="12"/>
      <c r="AT34" s="12"/>
    </row>
    <row r="35" spans="1:46" x14ac:dyDescent="0.25">
      <c r="A35" s="18"/>
      <c r="B35" s="193" t="s">
        <v>3134</v>
      </c>
      <c r="C35" s="18">
        <f>COUNTIF('old -- All injections Dobos'!$H$2:$H$3002,B35)</f>
        <v>0</v>
      </c>
      <c r="D35" s="12"/>
      <c r="E35" s="18" t="s">
        <v>356</v>
      </c>
      <c r="F35" s="12"/>
      <c r="G35" s="12"/>
      <c r="H35" s="12"/>
      <c r="I35" s="21" t="str">
        <f>IF(COUNTA('[1]Virus production'!A31)=1,('[1]Virus production'!A31),"")</f>
        <v>AG30</v>
      </c>
      <c r="J35" s="12"/>
      <c r="L35" s="31">
        <v>43175</v>
      </c>
      <c r="M35" s="12">
        <v>3</v>
      </c>
      <c r="N35" s="197">
        <f t="shared" si="0"/>
        <v>43175</v>
      </c>
      <c r="O35" s="197">
        <f t="shared" si="1"/>
        <v>43160</v>
      </c>
      <c r="P35" s="384">
        <f t="shared" si="2"/>
        <v>3</v>
      </c>
      <c r="Q35" s="384">
        <f t="shared" si="3"/>
        <v>147</v>
      </c>
      <c r="R35" s="12">
        <f t="shared" si="4"/>
        <v>139</v>
      </c>
      <c r="S35" s="12"/>
      <c r="T35" s="12"/>
      <c r="U35" s="12"/>
      <c r="V35" s="12"/>
      <c r="W35" s="12"/>
      <c r="X35" s="12"/>
      <c r="Y35" s="12"/>
      <c r="Z35" s="12"/>
      <c r="AA35" s="12"/>
      <c r="AB35" s="12"/>
      <c r="AD35" s="31">
        <v>45855</v>
      </c>
      <c r="AE35" s="384">
        <v>2</v>
      </c>
      <c r="AF35" s="197">
        <f t="shared" si="10"/>
        <v>45855</v>
      </c>
      <c r="AG35" s="197">
        <f t="shared" si="6"/>
        <v>45839</v>
      </c>
      <c r="AH35" s="384">
        <f t="shared" si="12"/>
        <v>2</v>
      </c>
      <c r="AI35" s="384">
        <f t="shared" si="9"/>
        <v>43</v>
      </c>
      <c r="AJ35" s="12">
        <f t="shared" si="8"/>
        <v>62</v>
      </c>
      <c r="AK35" s="12"/>
      <c r="AL35" s="12"/>
      <c r="AM35" s="12"/>
      <c r="AN35" s="12"/>
      <c r="AO35" s="12"/>
      <c r="AP35" s="12"/>
      <c r="AQ35" s="12"/>
      <c r="AR35" s="12"/>
      <c r="AS35" s="12"/>
      <c r="AT35" s="12"/>
    </row>
    <row r="36" spans="1:46" x14ac:dyDescent="0.25">
      <c r="A36" s="18"/>
      <c r="B36" s="193" t="s">
        <v>3135</v>
      </c>
      <c r="C36" s="18">
        <f>COUNTIF('old -- All injections Dobos'!$H$2:$H$3002,B36)</f>
        <v>4</v>
      </c>
      <c r="D36" s="12"/>
      <c r="E36" s="18" t="s">
        <v>207</v>
      </c>
      <c r="F36" s="12"/>
      <c r="G36" s="12"/>
      <c r="H36" s="12"/>
      <c r="I36" s="21" t="str">
        <f>IF(COUNTA('[1]Virus production'!A32)=1,('[1]Virus production'!A32),"")</f>
        <v>AG31</v>
      </c>
      <c r="J36" s="12"/>
      <c r="L36" s="31">
        <v>43178</v>
      </c>
      <c r="M36" s="12">
        <v>4</v>
      </c>
      <c r="N36" s="197">
        <f t="shared" si="0"/>
        <v>43178</v>
      </c>
      <c r="O36" s="197">
        <f t="shared" si="1"/>
        <v>43160</v>
      </c>
      <c r="P36" s="384">
        <f t="shared" si="2"/>
        <v>4</v>
      </c>
      <c r="Q36" s="384">
        <f t="shared" si="3"/>
        <v>150</v>
      </c>
      <c r="R36" s="12">
        <f t="shared" si="4"/>
        <v>143</v>
      </c>
      <c r="S36" s="12"/>
      <c r="T36" s="12"/>
      <c r="U36" s="12"/>
      <c r="V36" s="12"/>
      <c r="W36" s="12"/>
      <c r="X36" s="12"/>
      <c r="Y36" s="12"/>
      <c r="Z36" s="12"/>
      <c r="AA36" s="12"/>
      <c r="AB36" s="12"/>
      <c r="AD36" s="31">
        <v>45856</v>
      </c>
      <c r="AE36" s="384">
        <v>2</v>
      </c>
      <c r="AF36" s="197">
        <f t="shared" si="10"/>
        <v>45856</v>
      </c>
      <c r="AG36" s="197">
        <f t="shared" si="6"/>
        <v>45839</v>
      </c>
      <c r="AH36" s="384">
        <f t="shared" si="12"/>
        <v>2</v>
      </c>
      <c r="AI36" s="384">
        <f t="shared" si="9"/>
        <v>44</v>
      </c>
      <c r="AJ36" s="12">
        <f t="shared" si="8"/>
        <v>64</v>
      </c>
      <c r="AK36" s="12"/>
      <c r="AL36" s="12"/>
      <c r="AM36" s="12"/>
      <c r="AN36" s="12"/>
      <c r="AO36" s="12"/>
      <c r="AP36" s="12"/>
      <c r="AQ36" s="12"/>
      <c r="AR36" s="12"/>
      <c r="AS36" s="12"/>
      <c r="AT36" s="12"/>
    </row>
    <row r="37" spans="1:46" x14ac:dyDescent="0.25">
      <c r="A37" s="18"/>
      <c r="B37" s="193" t="s">
        <v>3136</v>
      </c>
      <c r="C37" s="18">
        <f>COUNTIF('old -- All injections Dobos'!$H$2:$H$3002,B37)</f>
        <v>0</v>
      </c>
      <c r="D37" s="12"/>
      <c r="E37" s="12"/>
      <c r="F37" s="12"/>
      <c r="G37" s="12"/>
      <c r="H37" s="12"/>
      <c r="I37" s="21" t="str">
        <f>IF(COUNTA('[1]Virus production'!A33)=1,('[1]Virus production'!A33),"")</f>
        <v>AG32</v>
      </c>
      <c r="J37" s="12"/>
      <c r="L37" s="31">
        <v>43192</v>
      </c>
      <c r="M37" s="12">
        <v>2</v>
      </c>
      <c r="N37" s="197">
        <f t="shared" si="0"/>
        <v>43192</v>
      </c>
      <c r="O37" s="197">
        <f t="shared" si="1"/>
        <v>43191</v>
      </c>
      <c r="P37" s="384">
        <f t="shared" si="2"/>
        <v>2</v>
      </c>
      <c r="Q37" s="384">
        <f t="shared" si="3"/>
        <v>164</v>
      </c>
      <c r="R37" s="12">
        <f t="shared" si="4"/>
        <v>145</v>
      </c>
      <c r="S37" s="12"/>
      <c r="T37" s="12"/>
      <c r="U37" s="12"/>
      <c r="V37" s="12"/>
      <c r="W37" s="12"/>
      <c r="X37" s="12"/>
      <c r="Y37" s="12"/>
      <c r="Z37" s="12"/>
      <c r="AA37" s="12"/>
      <c r="AB37" s="12"/>
      <c r="AD37" s="31">
        <v>45857</v>
      </c>
      <c r="AE37" s="384">
        <v>3</v>
      </c>
      <c r="AF37" s="197">
        <f t="shared" si="10"/>
        <v>45857</v>
      </c>
      <c r="AG37" s="197">
        <f t="shared" si="6"/>
        <v>45839</v>
      </c>
      <c r="AH37" s="384">
        <f t="shared" si="12"/>
        <v>3</v>
      </c>
      <c r="AI37" s="384">
        <f t="shared" si="9"/>
        <v>45</v>
      </c>
      <c r="AJ37" s="12">
        <f t="shared" si="8"/>
        <v>67</v>
      </c>
      <c r="AK37" s="12"/>
      <c r="AL37" s="12"/>
      <c r="AM37" s="12"/>
      <c r="AN37" s="12"/>
      <c r="AO37" s="12"/>
      <c r="AP37" s="12"/>
      <c r="AQ37" s="12"/>
      <c r="AR37" s="12"/>
      <c r="AS37" s="12"/>
      <c r="AT37" s="12"/>
    </row>
    <row r="38" spans="1:46" x14ac:dyDescent="0.25">
      <c r="A38" s="18"/>
      <c r="B38" s="194" t="s">
        <v>3137</v>
      </c>
      <c r="C38" s="18">
        <f>COUNTIF('old -- All injections Dobos'!$H$2:$H$3002,B38)</f>
        <v>0</v>
      </c>
      <c r="D38" s="12"/>
      <c r="E38" s="27" t="s">
        <v>3138</v>
      </c>
      <c r="F38" s="18"/>
      <c r="G38" s="12"/>
      <c r="H38" s="12"/>
      <c r="I38" s="21" t="str">
        <f>IF(COUNTA('[1]Virus production'!A34)=1,('[1]Virus production'!A34),"")</f>
        <v>AG33</v>
      </c>
      <c r="J38" s="12"/>
      <c r="L38" s="31">
        <v>43194</v>
      </c>
      <c r="M38" s="12">
        <v>1</v>
      </c>
      <c r="N38" s="197">
        <f t="shared" si="0"/>
        <v>43194</v>
      </c>
      <c r="O38" s="197">
        <f t="shared" si="1"/>
        <v>43191</v>
      </c>
      <c r="P38" s="384">
        <f t="shared" si="2"/>
        <v>1</v>
      </c>
      <c r="Q38" s="384">
        <f t="shared" si="3"/>
        <v>166</v>
      </c>
      <c r="R38" s="12">
        <f t="shared" si="4"/>
        <v>146</v>
      </c>
      <c r="S38" s="12"/>
      <c r="T38" s="12"/>
      <c r="U38" s="12"/>
      <c r="V38" s="12"/>
      <c r="W38" s="12"/>
      <c r="X38" s="12"/>
      <c r="Y38" s="12"/>
      <c r="Z38" s="12"/>
      <c r="AA38" s="12"/>
      <c r="AB38" s="12"/>
      <c r="AD38" s="31">
        <v>45858</v>
      </c>
      <c r="AE38" s="384">
        <v>3</v>
      </c>
      <c r="AF38" s="197">
        <f t="shared" si="10"/>
        <v>45858</v>
      </c>
      <c r="AG38" s="197">
        <f t="shared" si="6"/>
        <v>45839</v>
      </c>
      <c r="AH38" s="384">
        <f t="shared" si="12"/>
        <v>3</v>
      </c>
      <c r="AI38" s="384">
        <f t="shared" si="9"/>
        <v>46</v>
      </c>
      <c r="AJ38" s="12">
        <f t="shared" si="8"/>
        <v>70</v>
      </c>
      <c r="AK38" s="12"/>
      <c r="AL38" s="12"/>
      <c r="AM38" s="12"/>
      <c r="AN38" s="12"/>
      <c r="AO38" s="12"/>
      <c r="AP38" s="12"/>
      <c r="AQ38" s="12"/>
      <c r="AR38" s="12"/>
      <c r="AS38" s="12"/>
      <c r="AT38" s="12"/>
    </row>
    <row r="39" spans="1:46" ht="15.75" customHeight="1" x14ac:dyDescent="0.25">
      <c r="A39" s="18"/>
      <c r="B39" s="196" t="s">
        <v>285</v>
      </c>
      <c r="C39" s="18">
        <f>COUNTIF('old -- All injections Dobos'!$H$2:$H$3002,B39)</f>
        <v>34</v>
      </c>
      <c r="D39" s="12"/>
      <c r="E39" s="243" t="s">
        <v>206</v>
      </c>
      <c r="F39" s="18"/>
      <c r="G39" s="12"/>
      <c r="H39" s="12"/>
      <c r="I39" s="21" t="str">
        <f>IF(COUNTA('[1]Virus production'!A35)=1,('[1]Virus production'!A35),"")</f>
        <v>AG34</v>
      </c>
      <c r="J39" s="12"/>
      <c r="L39" s="31">
        <v>43195</v>
      </c>
      <c r="M39" s="12">
        <v>1</v>
      </c>
      <c r="N39" s="197">
        <f t="shared" si="0"/>
        <v>43195</v>
      </c>
      <c r="O39" s="197">
        <f t="shared" si="1"/>
        <v>43191</v>
      </c>
      <c r="P39" s="384">
        <f t="shared" si="2"/>
        <v>1</v>
      </c>
      <c r="Q39" s="384">
        <f t="shared" si="3"/>
        <v>167</v>
      </c>
      <c r="R39" s="12">
        <f t="shared" si="4"/>
        <v>147</v>
      </c>
      <c r="S39" s="12"/>
      <c r="T39" s="12"/>
      <c r="U39" s="12"/>
      <c r="V39" s="12"/>
      <c r="W39" s="12"/>
      <c r="X39" s="12"/>
      <c r="Y39" s="12"/>
      <c r="Z39" s="12"/>
      <c r="AA39" s="12"/>
      <c r="AB39" s="12"/>
      <c r="AD39" s="31">
        <v>45859</v>
      </c>
      <c r="AE39" s="384">
        <v>2</v>
      </c>
      <c r="AF39" s="197">
        <f t="shared" si="10"/>
        <v>45859</v>
      </c>
      <c r="AG39" s="197">
        <f t="shared" si="6"/>
        <v>45839</v>
      </c>
      <c r="AH39" s="384">
        <f t="shared" si="12"/>
        <v>2</v>
      </c>
      <c r="AI39" s="384">
        <f t="shared" si="9"/>
        <v>47</v>
      </c>
      <c r="AJ39" s="12">
        <f t="shared" si="8"/>
        <v>72</v>
      </c>
      <c r="AK39" s="12"/>
      <c r="AL39" s="12"/>
      <c r="AM39" s="12"/>
      <c r="AN39" s="12"/>
      <c r="AO39" s="12"/>
      <c r="AP39" s="12"/>
      <c r="AQ39" s="12"/>
      <c r="AR39" s="12"/>
      <c r="AS39" s="12"/>
      <c r="AT39" s="12"/>
    </row>
    <row r="40" spans="1:46" x14ac:dyDescent="0.25">
      <c r="A40" s="18"/>
      <c r="B40" s="194" t="s">
        <v>98</v>
      </c>
      <c r="C40" s="18">
        <f>COUNTIF('old -- All injections Dobos'!$H$2:$H$3002,B40)</f>
        <v>99</v>
      </c>
      <c r="D40" s="12"/>
      <c r="E40" s="18"/>
      <c r="F40" s="18"/>
      <c r="G40" s="12"/>
      <c r="H40" s="12"/>
      <c r="I40" s="21" t="str">
        <f>IF(COUNTA('[1]Virus production'!A36)=1,('[1]Virus production'!A36),"")</f>
        <v>AG35?</v>
      </c>
      <c r="J40" s="12"/>
      <c r="L40" s="31">
        <v>43200</v>
      </c>
      <c r="M40" s="12">
        <v>4</v>
      </c>
      <c r="N40" s="197">
        <f t="shared" si="0"/>
        <v>43200</v>
      </c>
      <c r="O40" s="197">
        <f t="shared" si="1"/>
        <v>43191</v>
      </c>
      <c r="P40" s="384">
        <f t="shared" si="2"/>
        <v>4</v>
      </c>
      <c r="Q40" s="384">
        <f t="shared" si="3"/>
        <v>172</v>
      </c>
      <c r="R40" s="12">
        <f t="shared" si="4"/>
        <v>151</v>
      </c>
      <c r="S40" s="12"/>
      <c r="T40" s="12"/>
      <c r="U40" s="12"/>
      <c r="V40" s="12"/>
      <c r="W40" s="12"/>
      <c r="X40" s="12"/>
      <c r="Y40" s="12"/>
      <c r="Z40" s="12"/>
      <c r="AA40" s="12"/>
      <c r="AB40" s="12"/>
      <c r="AD40" s="31">
        <v>45860</v>
      </c>
      <c r="AE40" s="384">
        <v>7</v>
      </c>
      <c r="AF40" s="197">
        <f t="shared" si="10"/>
        <v>45860</v>
      </c>
      <c r="AG40" s="197">
        <f t="shared" si="6"/>
        <v>45839</v>
      </c>
      <c r="AH40" s="384">
        <f t="shared" si="12"/>
        <v>7</v>
      </c>
      <c r="AI40" s="384">
        <f t="shared" si="9"/>
        <v>48</v>
      </c>
      <c r="AJ40" s="12">
        <f t="shared" si="8"/>
        <v>79</v>
      </c>
      <c r="AK40" s="12"/>
      <c r="AL40" s="12"/>
      <c r="AM40" s="12"/>
      <c r="AN40" s="12"/>
      <c r="AO40" s="12"/>
      <c r="AP40" s="12"/>
      <c r="AQ40" s="12"/>
      <c r="AR40" s="12"/>
      <c r="AS40" s="12"/>
      <c r="AT40" s="12"/>
    </row>
    <row r="41" spans="1:46" ht="16.5" customHeight="1" x14ac:dyDescent="0.25">
      <c r="A41" s="18"/>
      <c r="C41" s="18">
        <f>COUNTIF('old -- All injections Dobos'!$H$2:$H$3002,B27)</f>
        <v>0</v>
      </c>
      <c r="D41" s="12"/>
      <c r="E41" s="18"/>
      <c r="F41" s="18"/>
      <c r="G41" s="12"/>
      <c r="H41" s="12"/>
      <c r="I41" s="21" t="str">
        <f>IF(COUNTA('[1]Virus production'!A37)=1,('[1]Virus production'!A37),"")</f>
        <v>AG36</v>
      </c>
      <c r="J41" s="12"/>
      <c r="L41" s="31">
        <v>43202</v>
      </c>
      <c r="M41" s="12">
        <v>8</v>
      </c>
      <c r="N41" s="197">
        <f t="shared" si="0"/>
        <v>43202</v>
      </c>
      <c r="O41" s="197">
        <f t="shared" si="1"/>
        <v>43191</v>
      </c>
      <c r="P41" s="384">
        <f t="shared" si="2"/>
        <v>8</v>
      </c>
      <c r="Q41" s="384">
        <f t="shared" si="3"/>
        <v>174</v>
      </c>
      <c r="R41" s="12">
        <f t="shared" si="4"/>
        <v>159</v>
      </c>
      <c r="S41" s="12"/>
      <c r="T41" s="12"/>
      <c r="U41" s="12"/>
      <c r="V41" s="12"/>
      <c r="W41" s="12"/>
      <c r="X41" s="12"/>
      <c r="Y41" s="12"/>
      <c r="Z41" s="12"/>
      <c r="AA41" s="12"/>
      <c r="AB41" s="12"/>
      <c r="AD41" s="31">
        <v>45861</v>
      </c>
      <c r="AE41" s="384">
        <v>3</v>
      </c>
      <c r="AF41" s="197">
        <f t="shared" si="10"/>
        <v>45861</v>
      </c>
      <c r="AG41" s="197">
        <f t="shared" si="6"/>
        <v>45839</v>
      </c>
      <c r="AH41" s="384">
        <f t="shared" si="12"/>
        <v>3</v>
      </c>
      <c r="AI41" s="384">
        <f t="shared" si="9"/>
        <v>49</v>
      </c>
      <c r="AJ41" s="12">
        <f t="shared" si="8"/>
        <v>82</v>
      </c>
      <c r="AK41" s="12"/>
      <c r="AL41" s="12"/>
      <c r="AM41" s="12"/>
      <c r="AN41" s="12"/>
      <c r="AO41" s="12"/>
      <c r="AP41" s="12"/>
      <c r="AQ41" s="12"/>
      <c r="AR41" s="12"/>
      <c r="AS41" s="12"/>
      <c r="AT41" s="12"/>
    </row>
    <row r="42" spans="1:46" x14ac:dyDescent="0.25">
      <c r="A42" s="19" t="s">
        <v>3111</v>
      </c>
      <c r="B42" s="194" t="s">
        <v>3139</v>
      </c>
      <c r="C42" s="18">
        <f>COUNTIF('old -- All injections Dobos'!$H$2:$H$3002,B42)</f>
        <v>150</v>
      </c>
      <c r="D42" s="12"/>
      <c r="E42" s="18"/>
      <c r="F42" s="18"/>
      <c r="G42" s="12"/>
      <c r="H42" s="12"/>
      <c r="I42" s="21" t="str">
        <f>IF(COUNTA('[1]Virus production'!A38)=1,('[1]Virus production'!A38),"")</f>
        <v>AG37</v>
      </c>
      <c r="J42" s="12"/>
      <c r="L42" s="31">
        <v>43203</v>
      </c>
      <c r="M42" s="12">
        <v>2</v>
      </c>
      <c r="N42" s="197">
        <f t="shared" si="0"/>
        <v>43203</v>
      </c>
      <c r="O42" s="197">
        <f t="shared" si="1"/>
        <v>43191</v>
      </c>
      <c r="P42" s="384">
        <f t="shared" si="2"/>
        <v>2</v>
      </c>
      <c r="Q42" s="384">
        <f t="shared" si="3"/>
        <v>175</v>
      </c>
      <c r="R42" s="12">
        <f t="shared" si="4"/>
        <v>161</v>
      </c>
      <c r="S42" s="12"/>
      <c r="T42" s="12"/>
      <c r="U42" s="12"/>
      <c r="V42" s="12"/>
      <c r="W42" s="12"/>
      <c r="X42" s="12"/>
      <c r="Y42" s="12"/>
      <c r="Z42" s="12"/>
      <c r="AA42" s="12"/>
      <c r="AB42" s="12"/>
      <c r="AD42" s="31">
        <v>45902</v>
      </c>
      <c r="AE42" s="384">
        <v>1</v>
      </c>
      <c r="AF42" s="197">
        <f t="shared" si="10"/>
        <v>45902</v>
      </c>
      <c r="AG42" s="197">
        <f t="shared" si="6"/>
        <v>45901</v>
      </c>
      <c r="AH42" s="384">
        <f t="shared" si="12"/>
        <v>1</v>
      </c>
      <c r="AI42" s="384">
        <f t="shared" si="9"/>
        <v>90</v>
      </c>
      <c r="AJ42" s="12">
        <f t="shared" si="8"/>
        <v>83</v>
      </c>
      <c r="AK42" s="12"/>
      <c r="AL42" s="12"/>
      <c r="AM42" s="12"/>
      <c r="AN42" s="12"/>
      <c r="AO42" s="12"/>
      <c r="AP42" s="12"/>
      <c r="AQ42" s="12"/>
      <c r="AR42" s="12"/>
      <c r="AS42" s="12"/>
      <c r="AT42" s="12"/>
    </row>
    <row r="43" spans="1:46" x14ac:dyDescent="0.25">
      <c r="A43" s="18"/>
      <c r="B43" s="196" t="s">
        <v>3140</v>
      </c>
      <c r="C43" s="18">
        <f>COUNTIF('old -- All injections Dobos'!$H$2:$H$3002,B43)</f>
        <v>90</v>
      </c>
      <c r="D43" s="12"/>
      <c r="E43" s="18"/>
      <c r="F43" s="18"/>
      <c r="G43" s="12"/>
      <c r="H43" s="12"/>
      <c r="I43" s="21" t="str">
        <f>IF(COUNTA('[1]Virus production'!A39)=1,('[1]Virus production'!A39),"")</f>
        <v>AG38</v>
      </c>
      <c r="J43" s="12"/>
      <c r="L43" s="31">
        <v>43204</v>
      </c>
      <c r="M43" s="12">
        <v>3</v>
      </c>
      <c r="N43" s="197">
        <f t="shared" si="0"/>
        <v>43204</v>
      </c>
      <c r="O43" s="197">
        <f t="shared" si="1"/>
        <v>43191</v>
      </c>
      <c r="P43" s="384">
        <f t="shared" si="2"/>
        <v>3</v>
      </c>
      <c r="Q43" s="384">
        <f t="shared" si="3"/>
        <v>176</v>
      </c>
      <c r="R43" s="12">
        <f t="shared" si="4"/>
        <v>164</v>
      </c>
      <c r="S43" s="12"/>
      <c r="T43" s="12"/>
      <c r="U43" s="384"/>
      <c r="V43" s="12"/>
      <c r="W43" s="12"/>
      <c r="X43" s="12"/>
      <c r="Y43" s="12"/>
      <c r="Z43" s="12"/>
      <c r="AA43" s="12"/>
      <c r="AB43" s="12"/>
      <c r="AD43" s="31">
        <v>45906</v>
      </c>
      <c r="AE43" s="384">
        <v>1</v>
      </c>
      <c r="AF43" s="197">
        <f t="shared" si="10"/>
        <v>45906</v>
      </c>
      <c r="AG43" s="197">
        <f t="shared" si="6"/>
        <v>45901</v>
      </c>
      <c r="AH43" s="384">
        <f t="shared" si="12"/>
        <v>1</v>
      </c>
      <c r="AI43" s="384">
        <f t="shared" si="9"/>
        <v>94</v>
      </c>
      <c r="AJ43" s="12">
        <f t="shared" ref="AJ43:AJ63" si="13">AJ42+AE43</f>
        <v>84</v>
      </c>
      <c r="AK43" s="12"/>
      <c r="AL43" s="12"/>
      <c r="AM43" s="12"/>
      <c r="AN43" s="12"/>
      <c r="AO43" s="12"/>
      <c r="AP43" s="12"/>
      <c r="AQ43" s="12"/>
      <c r="AR43" s="12"/>
      <c r="AS43" s="12"/>
      <c r="AT43" s="12"/>
    </row>
    <row r="44" spans="1:46" x14ac:dyDescent="0.25">
      <c r="A44" s="19" t="s">
        <v>3141</v>
      </c>
      <c r="B44" s="196" t="s">
        <v>3142</v>
      </c>
      <c r="C44" s="18">
        <f>COUNTIF('old -- All injections Dobos'!$H$2:$H$3002,B44)</f>
        <v>190</v>
      </c>
      <c r="D44" s="12"/>
      <c r="E44" s="18"/>
      <c r="F44" s="18"/>
      <c r="G44" s="12"/>
      <c r="H44" s="12"/>
      <c r="I44" s="21" t="str">
        <f>IF(COUNTA('[1]Virus production'!A40)=1,('[1]Virus production'!A40),"")</f>
        <v>AG39</v>
      </c>
      <c r="J44" s="12"/>
      <c r="L44" s="31">
        <v>43205</v>
      </c>
      <c r="M44" s="12">
        <v>3</v>
      </c>
      <c r="N44" s="197">
        <f t="shared" si="0"/>
        <v>43205</v>
      </c>
      <c r="O44" s="197">
        <f t="shared" si="1"/>
        <v>43191</v>
      </c>
      <c r="P44" s="384">
        <f t="shared" si="2"/>
        <v>3</v>
      </c>
      <c r="Q44" s="384">
        <f t="shared" si="3"/>
        <v>177</v>
      </c>
      <c r="R44" s="12">
        <f t="shared" si="4"/>
        <v>167</v>
      </c>
      <c r="S44" s="12"/>
      <c r="T44" s="31"/>
      <c r="U44" s="384"/>
      <c r="V44" s="384"/>
      <c r="W44" s="12"/>
      <c r="X44" s="12"/>
      <c r="Y44" s="12"/>
      <c r="Z44" s="12"/>
      <c r="AA44" s="12"/>
      <c r="AB44" s="12"/>
      <c r="AD44" s="31">
        <v>45909</v>
      </c>
      <c r="AE44" s="384">
        <v>2</v>
      </c>
      <c r="AF44" s="197">
        <f t="shared" si="10"/>
        <v>45909</v>
      </c>
      <c r="AG44" s="197">
        <f t="shared" si="6"/>
        <v>45901</v>
      </c>
      <c r="AH44" s="384">
        <f t="shared" si="12"/>
        <v>2</v>
      </c>
      <c r="AI44" s="384">
        <f t="shared" si="9"/>
        <v>97</v>
      </c>
      <c r="AJ44" s="12">
        <f t="shared" si="13"/>
        <v>86</v>
      </c>
      <c r="AK44" s="12"/>
      <c r="AL44" s="12"/>
      <c r="AM44" s="12"/>
      <c r="AN44" s="12"/>
      <c r="AO44" s="12"/>
      <c r="AP44" s="12"/>
      <c r="AQ44" s="12"/>
      <c r="AR44" s="12"/>
      <c r="AS44" s="12"/>
      <c r="AT44" s="12"/>
    </row>
    <row r="45" spans="1:46" x14ac:dyDescent="0.25">
      <c r="A45" s="18"/>
      <c r="B45" s="196" t="s">
        <v>3143</v>
      </c>
      <c r="C45" s="18">
        <f>COUNTIF('old -- All injections Dobos'!$H$2:$H$3002,B45)</f>
        <v>13</v>
      </c>
      <c r="D45" s="12"/>
      <c r="E45" s="12"/>
      <c r="F45" s="12"/>
      <c r="G45" s="12"/>
      <c r="H45" s="12"/>
      <c r="I45" s="21" t="str">
        <f>IF(COUNTA('[1]Virus production'!A41)=1,('[1]Virus production'!A41),"")</f>
        <v>AG40</v>
      </c>
      <c r="J45" s="12"/>
      <c r="L45" s="31">
        <v>43206</v>
      </c>
      <c r="M45" s="12">
        <v>4</v>
      </c>
      <c r="N45" s="197">
        <f t="shared" si="0"/>
        <v>43206</v>
      </c>
      <c r="O45" s="197">
        <f t="shared" si="1"/>
        <v>43191</v>
      </c>
      <c r="P45" s="384">
        <f t="shared" si="2"/>
        <v>4</v>
      </c>
      <c r="Q45" s="384">
        <f t="shared" si="3"/>
        <v>178</v>
      </c>
      <c r="R45" s="12">
        <f t="shared" si="4"/>
        <v>171</v>
      </c>
      <c r="S45" s="12"/>
      <c r="T45" s="31" t="s">
        <v>3076</v>
      </c>
      <c r="U45" s="384" t="s">
        <v>3144</v>
      </c>
      <c r="V45" s="384"/>
      <c r="W45" s="12"/>
      <c r="X45" s="12"/>
      <c r="Y45" s="12"/>
      <c r="Z45" s="12"/>
      <c r="AA45" s="12"/>
      <c r="AB45" s="12"/>
      <c r="AD45" s="31">
        <v>45910</v>
      </c>
      <c r="AE45" s="384">
        <v>2</v>
      </c>
      <c r="AF45" s="197">
        <f t="shared" si="10"/>
        <v>45910</v>
      </c>
      <c r="AG45" s="197">
        <f t="shared" si="6"/>
        <v>45901</v>
      </c>
      <c r="AH45" s="384">
        <f t="shared" si="12"/>
        <v>2</v>
      </c>
      <c r="AI45" s="384">
        <f t="shared" si="9"/>
        <v>98</v>
      </c>
      <c r="AJ45" s="12">
        <f t="shared" si="13"/>
        <v>88</v>
      </c>
      <c r="AK45" s="12"/>
      <c r="AL45" s="12" t="s">
        <v>3076</v>
      </c>
      <c r="AM45" s="12" t="s">
        <v>3144</v>
      </c>
      <c r="AN45" s="12"/>
      <c r="AO45" s="12"/>
      <c r="AP45" s="12"/>
      <c r="AQ45" s="12"/>
      <c r="AR45" s="12"/>
      <c r="AS45" s="12"/>
      <c r="AT45" s="12"/>
    </row>
    <row r="46" spans="1:46" x14ac:dyDescent="0.25">
      <c r="A46" s="18"/>
      <c r="B46" s="196" t="s">
        <v>3145</v>
      </c>
      <c r="C46" s="18">
        <f>COUNTIF('old -- All injections Dobos'!$H$2:$H$3002,B46)</f>
        <v>63</v>
      </c>
      <c r="D46" s="12"/>
      <c r="E46" s="27" t="s">
        <v>17</v>
      </c>
      <c r="F46" s="12"/>
      <c r="G46" s="12"/>
      <c r="H46" s="12"/>
      <c r="I46" s="21" t="str">
        <f>IF(COUNTA('[1]Virus production'!A42)=1,('[1]Virus production'!A42),"")</f>
        <v>AG41</v>
      </c>
      <c r="J46" s="12"/>
      <c r="L46" s="31">
        <v>43208</v>
      </c>
      <c r="M46" s="12">
        <v>3</v>
      </c>
      <c r="N46" s="197">
        <f t="shared" si="0"/>
        <v>43208</v>
      </c>
      <c r="O46" s="197">
        <f t="shared" si="1"/>
        <v>43191</v>
      </c>
      <c r="P46" s="384">
        <f t="shared" si="2"/>
        <v>3</v>
      </c>
      <c r="Q46" s="384">
        <f t="shared" si="3"/>
        <v>180</v>
      </c>
      <c r="R46" s="12">
        <f t="shared" si="4"/>
        <v>174</v>
      </c>
      <c r="S46" s="12"/>
      <c r="T46" s="31" t="s">
        <v>3146</v>
      </c>
      <c r="U46" s="384">
        <v>0</v>
      </c>
      <c r="V46" s="384"/>
      <c r="W46" s="12"/>
      <c r="X46" s="12"/>
      <c r="Y46" s="12"/>
      <c r="Z46" s="12"/>
      <c r="AA46" s="12"/>
      <c r="AB46" s="12"/>
      <c r="AD46" s="31">
        <v>45912</v>
      </c>
      <c r="AE46" s="384">
        <v>1</v>
      </c>
      <c r="AF46" s="197">
        <f t="shared" si="10"/>
        <v>45912</v>
      </c>
      <c r="AG46" s="197">
        <f t="shared" si="6"/>
        <v>45901</v>
      </c>
      <c r="AH46" s="384">
        <f t="shared" si="12"/>
        <v>1</v>
      </c>
      <c r="AI46" s="384">
        <f t="shared" si="9"/>
        <v>100</v>
      </c>
      <c r="AJ46" s="12">
        <f t="shared" si="13"/>
        <v>89</v>
      </c>
      <c r="AK46" s="12"/>
      <c r="AL46" s="198" t="s">
        <v>3147</v>
      </c>
      <c r="AM46" s="384">
        <v>36</v>
      </c>
      <c r="AN46" s="12"/>
      <c r="AO46" s="12"/>
      <c r="AP46" s="12"/>
      <c r="AQ46" s="12"/>
      <c r="AR46" s="12"/>
      <c r="AS46" s="12"/>
      <c r="AT46" s="12"/>
    </row>
    <row r="47" spans="1:46" x14ac:dyDescent="0.25">
      <c r="A47" s="18"/>
      <c r="B47" s="196" t="s">
        <v>3148</v>
      </c>
      <c r="C47" s="18">
        <f>COUNTIF('old -- All injections Dobos'!$H$2:$H$3002,B47)</f>
        <v>108</v>
      </c>
      <c r="D47" s="12"/>
      <c r="E47" s="193" t="s">
        <v>44</v>
      </c>
      <c r="F47" s="12"/>
      <c r="G47" s="12"/>
      <c r="H47" s="12"/>
      <c r="I47" s="21" t="str">
        <f>IF(COUNTA('[1]Virus production'!A43)=1,('[1]Virus production'!A43),"")</f>
        <v>AG42</v>
      </c>
      <c r="J47" s="12"/>
      <c r="L47" s="31">
        <v>43210</v>
      </c>
      <c r="M47" s="12">
        <v>3</v>
      </c>
      <c r="N47" s="197">
        <f t="shared" si="0"/>
        <v>43210</v>
      </c>
      <c r="O47" s="197">
        <f t="shared" si="1"/>
        <v>43191</v>
      </c>
      <c r="P47" s="384">
        <f t="shared" si="2"/>
        <v>3</v>
      </c>
      <c r="Q47" s="384">
        <f t="shared" si="3"/>
        <v>182</v>
      </c>
      <c r="R47" s="12">
        <f t="shared" si="4"/>
        <v>177</v>
      </c>
      <c r="S47" s="12"/>
      <c r="T47" s="31">
        <v>43009</v>
      </c>
      <c r="U47" s="384">
        <v>6</v>
      </c>
      <c r="V47" s="389">
        <f>T47</f>
        <v>43009</v>
      </c>
      <c r="W47" s="384">
        <f>U47</f>
        <v>6</v>
      </c>
      <c r="X47" s="12"/>
      <c r="Y47" s="12"/>
      <c r="Z47" s="12"/>
      <c r="AA47" s="12"/>
      <c r="AB47" s="12"/>
      <c r="AD47" s="31">
        <v>45915</v>
      </c>
      <c r="AE47" s="384">
        <v>5</v>
      </c>
      <c r="AF47" s="197">
        <f t="shared" si="10"/>
        <v>45915</v>
      </c>
      <c r="AG47" s="197">
        <f t="shared" si="6"/>
        <v>45901</v>
      </c>
      <c r="AH47" s="384">
        <f t="shared" si="12"/>
        <v>5</v>
      </c>
      <c r="AI47" s="384">
        <f t="shared" si="9"/>
        <v>103</v>
      </c>
      <c r="AJ47" s="12">
        <f t="shared" si="13"/>
        <v>94</v>
      </c>
      <c r="AK47" s="12"/>
      <c r="AL47" s="198" t="s">
        <v>3149</v>
      </c>
      <c r="AM47" s="384">
        <v>46</v>
      </c>
      <c r="AN47" s="12"/>
      <c r="AO47" s="12"/>
      <c r="AP47" s="12"/>
      <c r="AQ47" s="12"/>
      <c r="AR47" s="12"/>
      <c r="AS47" s="12"/>
      <c r="AT47" s="12"/>
    </row>
    <row r="48" spans="1:46" x14ac:dyDescent="0.25">
      <c r="A48" s="18"/>
      <c r="B48" s="196" t="s">
        <v>3150</v>
      </c>
      <c r="C48" s="18">
        <f>COUNTIF('old -- All injections Dobos'!$H$2:$H$3002,B48)</f>
        <v>7</v>
      </c>
      <c r="D48" s="12"/>
      <c r="E48" s="193" t="s">
        <v>114</v>
      </c>
      <c r="F48" s="12"/>
      <c r="G48" s="12"/>
      <c r="H48" s="12"/>
      <c r="I48" s="21" t="str">
        <f>IF(COUNTA('[1]Virus production'!A44)=1,('[1]Virus production'!A44),"")</f>
        <v>AG43</v>
      </c>
      <c r="J48" s="12"/>
      <c r="L48" s="31">
        <v>43235</v>
      </c>
      <c r="M48" s="12">
        <v>3</v>
      </c>
      <c r="N48" s="197">
        <f t="shared" si="0"/>
        <v>43235</v>
      </c>
      <c r="O48" s="197">
        <f t="shared" si="1"/>
        <v>43221</v>
      </c>
      <c r="P48" s="384">
        <f t="shared" si="2"/>
        <v>3</v>
      </c>
      <c r="Q48" s="384">
        <f t="shared" si="3"/>
        <v>207</v>
      </c>
      <c r="R48" s="12">
        <f t="shared" si="4"/>
        <v>180</v>
      </c>
      <c r="S48" s="12"/>
      <c r="T48" s="31">
        <v>43040</v>
      </c>
      <c r="U48" s="384">
        <v>32</v>
      </c>
      <c r="V48" s="389">
        <f t="shared" ref="V48:V111" si="14">T48</f>
        <v>43040</v>
      </c>
      <c r="W48" s="384">
        <f t="shared" ref="W48:W111" si="15">U48</f>
        <v>32</v>
      </c>
      <c r="X48" s="12"/>
      <c r="Y48" s="12"/>
      <c r="Z48" s="12"/>
      <c r="AA48" s="12"/>
      <c r="AB48" s="12"/>
      <c r="AD48" s="31">
        <v>45920</v>
      </c>
      <c r="AE48" s="384">
        <v>4</v>
      </c>
      <c r="AF48" s="197">
        <f t="shared" si="10"/>
        <v>45920</v>
      </c>
      <c r="AG48" s="197">
        <f t="shared" si="6"/>
        <v>45901</v>
      </c>
      <c r="AH48" s="384">
        <f t="shared" si="12"/>
        <v>4</v>
      </c>
      <c r="AI48" s="384">
        <f t="shared" si="9"/>
        <v>108</v>
      </c>
      <c r="AJ48" s="12">
        <f t="shared" si="13"/>
        <v>98</v>
      </c>
      <c r="AK48" s="12"/>
      <c r="AL48" s="198" t="s">
        <v>3151</v>
      </c>
      <c r="AM48" s="384">
        <v>25</v>
      </c>
      <c r="AN48" s="12"/>
      <c r="AO48" s="12"/>
      <c r="AP48" s="12"/>
      <c r="AQ48" s="12"/>
      <c r="AR48" s="12"/>
      <c r="AS48" s="12"/>
      <c r="AT48" s="12"/>
    </row>
    <row r="49" spans="1:46" x14ac:dyDescent="0.25">
      <c r="A49" s="18"/>
      <c r="B49" s="196" t="s">
        <v>3152</v>
      </c>
      <c r="C49" s="18">
        <f>COUNTIF('old -- All injections Dobos'!$H$2:$H$3002,B49)</f>
        <v>31</v>
      </c>
      <c r="D49" s="12"/>
      <c r="E49" s="12"/>
      <c r="F49" s="12"/>
      <c r="G49" s="12"/>
      <c r="H49" s="12"/>
      <c r="I49" s="21" t="str">
        <f>IF(COUNTA('[1]Virus production'!A45)=1,('[1]Virus production'!A45),"")</f>
        <v>AG44</v>
      </c>
      <c r="J49" s="12"/>
      <c r="L49" s="31">
        <v>43236</v>
      </c>
      <c r="M49" s="12">
        <v>4</v>
      </c>
      <c r="N49" s="197">
        <f t="shared" si="0"/>
        <v>43236</v>
      </c>
      <c r="O49" s="197">
        <f t="shared" si="1"/>
        <v>43221</v>
      </c>
      <c r="P49" s="384">
        <f t="shared" si="2"/>
        <v>4</v>
      </c>
      <c r="Q49" s="384">
        <f t="shared" si="3"/>
        <v>208</v>
      </c>
      <c r="R49" s="12">
        <f t="shared" si="4"/>
        <v>184</v>
      </c>
      <c r="S49" s="12"/>
      <c r="T49" s="31">
        <v>43070</v>
      </c>
      <c r="U49" s="384">
        <v>30</v>
      </c>
      <c r="V49" s="389">
        <f t="shared" si="14"/>
        <v>43070</v>
      </c>
      <c r="W49" s="384">
        <f t="shared" si="15"/>
        <v>30</v>
      </c>
      <c r="X49" s="12"/>
      <c r="Y49" s="12"/>
      <c r="Z49" s="12"/>
      <c r="AA49" s="12"/>
      <c r="AB49" s="12"/>
      <c r="AD49" s="31">
        <v>45922</v>
      </c>
      <c r="AE49" s="384">
        <v>2</v>
      </c>
      <c r="AF49" s="197">
        <f t="shared" si="10"/>
        <v>45922</v>
      </c>
      <c r="AG49" s="197">
        <f t="shared" si="6"/>
        <v>45901</v>
      </c>
      <c r="AH49" s="384">
        <f t="shared" si="12"/>
        <v>2</v>
      </c>
      <c r="AI49" s="384">
        <f t="shared" si="9"/>
        <v>110</v>
      </c>
      <c r="AJ49" s="12">
        <f t="shared" si="13"/>
        <v>100</v>
      </c>
      <c r="AK49" s="12"/>
      <c r="AL49" s="198" t="s">
        <v>3153</v>
      </c>
      <c r="AM49" s="384">
        <v>11</v>
      </c>
      <c r="AN49" s="12"/>
      <c r="AO49" s="12"/>
      <c r="AP49" s="12"/>
      <c r="AQ49" s="12"/>
      <c r="AR49" s="12"/>
      <c r="AS49" s="12"/>
      <c r="AT49" s="12"/>
    </row>
    <row r="50" spans="1:46" x14ac:dyDescent="0.25">
      <c r="A50" s="18"/>
      <c r="B50" s="196" t="s">
        <v>3154</v>
      </c>
      <c r="C50" s="18">
        <f>COUNTIF('old -- All injections Dobos'!$H$2:$H$3002,B50)</f>
        <v>40</v>
      </c>
      <c r="D50" s="12"/>
      <c r="E50" s="12"/>
      <c r="F50" s="12"/>
      <c r="G50" s="12"/>
      <c r="H50" s="12"/>
      <c r="I50" s="21" t="str">
        <f>IF(COUNTA('[1]Virus production'!A46)=1,('[1]Virus production'!A46),"")</f>
        <v>AG45</v>
      </c>
      <c r="J50" s="12"/>
      <c r="L50" s="31">
        <v>43238</v>
      </c>
      <c r="M50" s="12">
        <v>2</v>
      </c>
      <c r="N50" s="197">
        <f t="shared" si="0"/>
        <v>43238</v>
      </c>
      <c r="O50" s="197">
        <f t="shared" si="1"/>
        <v>43221</v>
      </c>
      <c r="P50" s="384">
        <f t="shared" si="2"/>
        <v>2</v>
      </c>
      <c r="Q50" s="384">
        <f t="shared" si="3"/>
        <v>210</v>
      </c>
      <c r="R50" s="12">
        <f t="shared" si="4"/>
        <v>186</v>
      </c>
      <c r="S50" s="12"/>
      <c r="T50" s="31">
        <v>43101</v>
      </c>
      <c r="U50" s="384">
        <v>33</v>
      </c>
      <c r="V50" s="389">
        <f t="shared" si="14"/>
        <v>43101</v>
      </c>
      <c r="W50" s="384">
        <f t="shared" si="15"/>
        <v>33</v>
      </c>
      <c r="X50" s="12"/>
      <c r="Y50" s="12"/>
      <c r="Z50" s="12"/>
      <c r="AA50" s="12"/>
      <c r="AB50" s="12"/>
      <c r="AD50" s="31">
        <v>45923</v>
      </c>
      <c r="AE50" s="384">
        <v>4</v>
      </c>
      <c r="AF50" s="197">
        <f t="shared" si="10"/>
        <v>45923</v>
      </c>
      <c r="AG50" s="197">
        <f t="shared" si="6"/>
        <v>45901</v>
      </c>
      <c r="AH50" s="384">
        <f t="shared" si="12"/>
        <v>4</v>
      </c>
      <c r="AI50" s="384">
        <f t="shared" si="9"/>
        <v>111</v>
      </c>
      <c r="AJ50" s="12">
        <f t="shared" si="13"/>
        <v>104</v>
      </c>
      <c r="AK50" s="12"/>
      <c r="AL50" s="198" t="s">
        <v>3155</v>
      </c>
      <c r="AM50" s="384">
        <v>24</v>
      </c>
      <c r="AN50" s="12"/>
      <c r="AO50" s="12"/>
      <c r="AP50" s="12"/>
      <c r="AQ50" s="12"/>
      <c r="AR50" s="12"/>
      <c r="AS50" s="12"/>
      <c r="AT50" s="12"/>
    </row>
    <row r="51" spans="1:46" x14ac:dyDescent="0.25">
      <c r="A51" s="18"/>
      <c r="B51" s="196" t="s">
        <v>3156</v>
      </c>
      <c r="C51" s="18">
        <f>COUNTIF('old -- All injections Dobos'!$H$2:$H$3002,B51)</f>
        <v>11</v>
      </c>
      <c r="D51" s="12"/>
      <c r="E51" s="27" t="s">
        <v>3157</v>
      </c>
      <c r="F51" s="12"/>
      <c r="G51" s="12"/>
      <c r="H51" s="12"/>
      <c r="I51" s="21" t="str">
        <f>IF(COUNTA('[1]Virus production'!A47)=1,('[1]Virus production'!A47),"")</f>
        <v>AG46</v>
      </c>
      <c r="J51" s="12"/>
      <c r="L51" s="31">
        <v>43242</v>
      </c>
      <c r="M51" s="12">
        <v>3</v>
      </c>
      <c r="N51" s="197">
        <f t="shared" si="0"/>
        <v>43242</v>
      </c>
      <c r="O51" s="197">
        <f t="shared" si="1"/>
        <v>43221</v>
      </c>
      <c r="P51" s="384">
        <f t="shared" si="2"/>
        <v>3</v>
      </c>
      <c r="Q51" s="384">
        <f t="shared" si="3"/>
        <v>214</v>
      </c>
      <c r="R51" s="12">
        <f t="shared" si="4"/>
        <v>189</v>
      </c>
      <c r="S51" s="12"/>
      <c r="T51" s="31">
        <v>43132</v>
      </c>
      <c r="U51" s="384">
        <v>32</v>
      </c>
      <c r="V51" s="389">
        <f t="shared" si="14"/>
        <v>43132</v>
      </c>
      <c r="W51" s="384">
        <f t="shared" si="15"/>
        <v>32</v>
      </c>
      <c r="X51" s="12"/>
      <c r="Y51" s="12"/>
      <c r="Z51" s="12"/>
      <c r="AA51" s="12"/>
      <c r="AB51" s="12"/>
      <c r="AD51" s="31">
        <v>45924</v>
      </c>
      <c r="AE51" s="384">
        <v>3</v>
      </c>
      <c r="AF51" s="197">
        <f t="shared" si="10"/>
        <v>45924</v>
      </c>
      <c r="AG51" s="197">
        <f t="shared" si="6"/>
        <v>45901</v>
      </c>
      <c r="AH51" s="384">
        <f t="shared" si="12"/>
        <v>3</v>
      </c>
      <c r="AI51" s="384">
        <f t="shared" si="9"/>
        <v>112</v>
      </c>
      <c r="AJ51" s="12">
        <f t="shared" si="13"/>
        <v>107</v>
      </c>
      <c r="AK51" s="12"/>
      <c r="AL51" s="198" t="s">
        <v>3158</v>
      </c>
      <c r="AM51" s="384">
        <v>142</v>
      </c>
      <c r="AN51" s="12"/>
      <c r="AO51" s="12"/>
      <c r="AP51" s="12"/>
      <c r="AQ51" s="12"/>
      <c r="AR51" s="12"/>
      <c r="AS51" s="12"/>
      <c r="AT51" s="12"/>
    </row>
    <row r="52" spans="1:46" x14ac:dyDescent="0.25">
      <c r="A52" s="18"/>
      <c r="B52" s="196" t="s">
        <v>285</v>
      </c>
      <c r="C52" s="18"/>
      <c r="D52" s="12"/>
      <c r="E52" s="193" t="s">
        <v>321</v>
      </c>
      <c r="F52" s="12"/>
      <c r="G52" s="12"/>
      <c r="H52" s="12"/>
      <c r="I52" s="21" t="str">
        <f>IF(COUNTA('[1]Virus production'!A48)=1,('[1]Virus production'!A48),"")</f>
        <v>AG47</v>
      </c>
      <c r="J52" s="12"/>
      <c r="L52" s="31">
        <v>43251</v>
      </c>
      <c r="M52" s="12">
        <v>3</v>
      </c>
      <c r="N52" s="197">
        <f t="shared" si="0"/>
        <v>43251</v>
      </c>
      <c r="O52" s="197">
        <f t="shared" si="1"/>
        <v>43221</v>
      </c>
      <c r="P52" s="384">
        <f t="shared" si="2"/>
        <v>3</v>
      </c>
      <c r="Q52" s="384">
        <f t="shared" si="3"/>
        <v>223</v>
      </c>
      <c r="R52" s="12">
        <f t="shared" si="4"/>
        <v>192</v>
      </c>
      <c r="S52" s="12"/>
      <c r="T52" s="31">
        <v>43160</v>
      </c>
      <c r="U52" s="384">
        <v>10</v>
      </c>
      <c r="V52" s="389">
        <f t="shared" si="14"/>
        <v>43160</v>
      </c>
      <c r="W52" s="384">
        <f t="shared" si="15"/>
        <v>10</v>
      </c>
      <c r="X52" s="12"/>
      <c r="Y52" s="12"/>
      <c r="Z52" s="12"/>
      <c r="AA52" s="12"/>
      <c r="AB52" s="12"/>
      <c r="AD52" s="31">
        <v>45935</v>
      </c>
      <c r="AE52" s="384">
        <v>2</v>
      </c>
      <c r="AF52" s="197">
        <f t="shared" si="10"/>
        <v>45935</v>
      </c>
      <c r="AG52" s="197">
        <f t="shared" si="6"/>
        <v>45931</v>
      </c>
      <c r="AH52" s="384">
        <f t="shared" si="12"/>
        <v>2</v>
      </c>
      <c r="AI52" s="384">
        <f t="shared" si="9"/>
        <v>123</v>
      </c>
      <c r="AJ52" s="12">
        <f t="shared" si="13"/>
        <v>109</v>
      </c>
      <c r="AK52" s="12"/>
      <c r="AL52" s="12"/>
      <c r="AM52" s="12"/>
      <c r="AN52" s="12"/>
      <c r="AO52" s="12"/>
      <c r="AP52" s="12"/>
      <c r="AQ52" s="12"/>
      <c r="AR52" s="12"/>
      <c r="AS52" s="12"/>
      <c r="AT52" s="12"/>
    </row>
    <row r="53" spans="1:46" x14ac:dyDescent="0.25">
      <c r="A53" s="12"/>
      <c r="B53" s="12"/>
      <c r="C53" s="12"/>
      <c r="D53" s="12"/>
      <c r="E53" s="193" t="s">
        <v>3159</v>
      </c>
      <c r="F53" s="12"/>
      <c r="G53" s="12"/>
      <c r="H53" s="12"/>
      <c r="I53" s="20" t="s">
        <v>3160</v>
      </c>
      <c r="J53" s="12"/>
      <c r="L53" s="31">
        <v>43264</v>
      </c>
      <c r="M53" s="12">
        <v>9</v>
      </c>
      <c r="N53" s="197">
        <f t="shared" si="0"/>
        <v>43264</v>
      </c>
      <c r="O53" s="197">
        <f t="shared" si="1"/>
        <v>43252</v>
      </c>
      <c r="P53" s="384">
        <f t="shared" si="2"/>
        <v>9</v>
      </c>
      <c r="Q53" s="384">
        <f t="shared" si="3"/>
        <v>236</v>
      </c>
      <c r="R53" s="12">
        <f t="shared" si="4"/>
        <v>201</v>
      </c>
      <c r="S53" s="12"/>
      <c r="T53" s="31">
        <v>43191</v>
      </c>
      <c r="U53" s="384">
        <v>34</v>
      </c>
      <c r="V53" s="389">
        <f t="shared" si="14"/>
        <v>43191</v>
      </c>
      <c r="W53" s="384">
        <f t="shared" si="15"/>
        <v>34</v>
      </c>
      <c r="X53" s="12"/>
      <c r="Y53" s="12"/>
      <c r="Z53" s="12"/>
      <c r="AA53" s="12"/>
      <c r="AB53" s="12"/>
      <c r="AD53" s="31">
        <v>45936</v>
      </c>
      <c r="AE53" s="384">
        <v>2</v>
      </c>
      <c r="AF53" s="197">
        <f t="shared" si="10"/>
        <v>45936</v>
      </c>
      <c r="AG53" s="197">
        <f t="shared" si="6"/>
        <v>45931</v>
      </c>
      <c r="AH53" s="384">
        <f t="shared" si="12"/>
        <v>2</v>
      </c>
      <c r="AI53" s="384">
        <f t="shared" si="9"/>
        <v>124</v>
      </c>
      <c r="AJ53" s="12">
        <f t="shared" si="13"/>
        <v>111</v>
      </c>
      <c r="AK53" s="12"/>
      <c r="AL53" s="12"/>
      <c r="AM53" s="12"/>
      <c r="AN53" s="12"/>
      <c r="AO53" s="12"/>
      <c r="AP53" s="12"/>
      <c r="AQ53" s="12"/>
      <c r="AR53" s="12"/>
      <c r="AS53" s="12"/>
      <c r="AT53" s="12"/>
    </row>
    <row r="54" spans="1:46" x14ac:dyDescent="0.25">
      <c r="A54" s="12"/>
      <c r="B54" s="12"/>
      <c r="C54" s="12"/>
      <c r="D54" s="12"/>
      <c r="E54" s="193" t="s">
        <v>581</v>
      </c>
      <c r="F54" s="12"/>
      <c r="G54" s="12"/>
      <c r="H54" s="12"/>
      <c r="I54" s="21" t="str">
        <f>IF(COUNTA('[1]Virus production'!A49)=1,('[1]Virus production'!A49),"")</f>
        <v>AG48</v>
      </c>
      <c r="J54" s="12"/>
      <c r="L54" s="31">
        <v>43267</v>
      </c>
      <c r="M54" s="12">
        <v>4</v>
      </c>
      <c r="N54" s="197">
        <f t="shared" si="0"/>
        <v>43267</v>
      </c>
      <c r="O54" s="197">
        <f t="shared" si="1"/>
        <v>43252</v>
      </c>
      <c r="P54" s="384">
        <f t="shared" si="2"/>
        <v>4</v>
      </c>
      <c r="Q54" s="384">
        <f t="shared" si="3"/>
        <v>239</v>
      </c>
      <c r="R54" s="12">
        <f t="shared" si="4"/>
        <v>205</v>
      </c>
      <c r="S54" s="12"/>
      <c r="T54" s="31">
        <v>43221</v>
      </c>
      <c r="U54" s="384">
        <v>15</v>
      </c>
      <c r="V54" s="389">
        <f t="shared" si="14"/>
        <v>43221</v>
      </c>
      <c r="W54" s="384">
        <f t="shared" si="15"/>
        <v>15</v>
      </c>
      <c r="X54" s="12"/>
      <c r="Y54" s="12"/>
      <c r="Z54" s="12"/>
      <c r="AA54" s="12"/>
      <c r="AB54" s="12"/>
      <c r="AD54" s="31">
        <v>45941</v>
      </c>
      <c r="AE54" s="384">
        <v>4</v>
      </c>
      <c r="AF54" s="197">
        <f t="shared" si="10"/>
        <v>45941</v>
      </c>
      <c r="AG54" s="197">
        <f t="shared" si="6"/>
        <v>45931</v>
      </c>
      <c r="AH54" s="384">
        <f t="shared" si="12"/>
        <v>4</v>
      </c>
      <c r="AI54" s="384">
        <f t="shared" si="9"/>
        <v>129</v>
      </c>
      <c r="AJ54" s="12">
        <f t="shared" si="13"/>
        <v>115</v>
      </c>
      <c r="AK54" s="12"/>
      <c r="AL54" s="12"/>
      <c r="AM54" s="12"/>
      <c r="AN54" s="12"/>
      <c r="AO54" s="12"/>
      <c r="AP54" s="12"/>
      <c r="AQ54" s="12"/>
      <c r="AR54" s="12"/>
      <c r="AS54" s="12"/>
      <c r="AT54" s="12"/>
    </row>
    <row r="55" spans="1:46" x14ac:dyDescent="0.25">
      <c r="A55" s="12"/>
      <c r="B55" s="12"/>
      <c r="C55" s="12"/>
      <c r="D55" s="12"/>
      <c r="E55" s="193" t="s">
        <v>3161</v>
      </c>
      <c r="F55" s="12"/>
      <c r="G55" s="12"/>
      <c r="H55" s="12"/>
      <c r="I55" s="21" t="str">
        <f>IF(COUNTA('[1]Virus production'!A50)=1,('[1]Virus production'!A50),"")</f>
        <v>AG49</v>
      </c>
      <c r="J55" s="12"/>
      <c r="L55" s="31">
        <v>43278</v>
      </c>
      <c r="M55" s="12">
        <v>4</v>
      </c>
      <c r="N55" s="197">
        <f t="shared" si="0"/>
        <v>43278</v>
      </c>
      <c r="O55" s="197">
        <f t="shared" si="1"/>
        <v>43252</v>
      </c>
      <c r="P55" s="384">
        <f t="shared" si="2"/>
        <v>4</v>
      </c>
      <c r="Q55" s="384">
        <f t="shared" si="3"/>
        <v>250</v>
      </c>
      <c r="R55" s="12">
        <f t="shared" si="4"/>
        <v>209</v>
      </c>
      <c r="S55" s="12"/>
      <c r="T55" s="31">
        <v>43252</v>
      </c>
      <c r="U55" s="384">
        <v>17</v>
      </c>
      <c r="V55" s="389">
        <f t="shared" si="14"/>
        <v>43252</v>
      </c>
      <c r="W55" s="384">
        <f t="shared" si="15"/>
        <v>17</v>
      </c>
      <c r="X55" s="12"/>
      <c r="Y55" s="12"/>
      <c r="Z55" s="12"/>
      <c r="AA55" s="12"/>
      <c r="AB55" s="12"/>
      <c r="AD55" s="31">
        <v>45943</v>
      </c>
      <c r="AE55" s="384">
        <v>3</v>
      </c>
      <c r="AF55" s="197">
        <f t="shared" si="10"/>
        <v>45943</v>
      </c>
      <c r="AG55" s="197">
        <f t="shared" si="6"/>
        <v>45931</v>
      </c>
      <c r="AH55" s="384">
        <f t="shared" si="12"/>
        <v>3</v>
      </c>
      <c r="AI55" s="384">
        <f t="shared" si="9"/>
        <v>131</v>
      </c>
      <c r="AJ55" s="12">
        <f t="shared" si="13"/>
        <v>118</v>
      </c>
      <c r="AK55" s="12"/>
      <c r="AL55" s="12"/>
      <c r="AM55" s="12"/>
      <c r="AN55" s="12"/>
      <c r="AO55" s="12"/>
      <c r="AP55" s="12"/>
      <c r="AQ55" s="12"/>
      <c r="AR55" s="12"/>
      <c r="AS55" s="12"/>
      <c r="AT55" s="12"/>
    </row>
    <row r="56" spans="1:46" x14ac:dyDescent="0.25">
      <c r="A56" s="12"/>
      <c r="B56" s="12"/>
      <c r="C56" s="12"/>
      <c r="D56" s="12"/>
      <c r="E56" s="193" t="s">
        <v>3162</v>
      </c>
      <c r="F56" s="12"/>
      <c r="G56" s="12"/>
      <c r="H56" s="12"/>
      <c r="I56" s="21" t="str">
        <f>IF(COUNTA('[1]Virus production'!A51)=1,('[1]Virus production'!A51),"")</f>
        <v>AG50</v>
      </c>
      <c r="J56" s="12"/>
      <c r="L56" s="31">
        <v>43286</v>
      </c>
      <c r="M56" s="12">
        <v>4</v>
      </c>
      <c r="N56" s="197">
        <f t="shared" si="0"/>
        <v>43286</v>
      </c>
      <c r="O56" s="197">
        <f t="shared" si="1"/>
        <v>43282</v>
      </c>
      <c r="P56" s="384">
        <f t="shared" si="2"/>
        <v>4</v>
      </c>
      <c r="Q56" s="384">
        <f t="shared" si="3"/>
        <v>258</v>
      </c>
      <c r="R56" s="12">
        <f t="shared" si="4"/>
        <v>213</v>
      </c>
      <c r="S56" s="12"/>
      <c r="T56" s="31">
        <v>43282</v>
      </c>
      <c r="U56" s="384">
        <v>17</v>
      </c>
      <c r="V56" s="389">
        <f t="shared" si="14"/>
        <v>43282</v>
      </c>
      <c r="W56" s="384">
        <f t="shared" si="15"/>
        <v>17</v>
      </c>
      <c r="X56" s="12"/>
      <c r="Y56" s="12"/>
      <c r="Z56" s="12"/>
      <c r="AA56" s="12"/>
      <c r="AB56" s="12"/>
      <c r="AD56" s="31">
        <v>45964</v>
      </c>
      <c r="AE56" s="384">
        <v>6</v>
      </c>
      <c r="AF56" s="197">
        <f t="shared" si="10"/>
        <v>45964</v>
      </c>
      <c r="AG56" s="197">
        <f t="shared" si="6"/>
        <v>45962</v>
      </c>
      <c r="AH56" s="384">
        <f t="shared" si="12"/>
        <v>6</v>
      </c>
      <c r="AI56" s="384">
        <f t="shared" si="9"/>
        <v>152</v>
      </c>
      <c r="AJ56" s="12">
        <f t="shared" si="13"/>
        <v>124</v>
      </c>
      <c r="AK56" s="12"/>
      <c r="AL56" s="12"/>
      <c r="AM56" s="12"/>
      <c r="AN56" s="12"/>
      <c r="AO56" s="12"/>
      <c r="AP56" s="12"/>
      <c r="AQ56" s="12"/>
      <c r="AR56" s="12"/>
      <c r="AS56" s="12"/>
      <c r="AT56" s="12"/>
    </row>
    <row r="57" spans="1:46" x14ac:dyDescent="0.25">
      <c r="A57" s="12"/>
      <c r="B57" s="12"/>
      <c r="C57" s="12"/>
      <c r="D57" s="12"/>
      <c r="E57" s="193" t="s">
        <v>3163</v>
      </c>
      <c r="F57" s="12"/>
      <c r="G57" s="12"/>
      <c r="H57" s="12"/>
      <c r="I57" s="21" t="str">
        <f>IF(COUNTA('[1]Virus production'!A52)=1,('[1]Virus production'!A52),"")</f>
        <v>AG51</v>
      </c>
      <c r="J57" s="12"/>
      <c r="L57" s="31">
        <v>43299</v>
      </c>
      <c r="M57" s="12">
        <v>3</v>
      </c>
      <c r="N57" s="197">
        <f t="shared" si="0"/>
        <v>43299</v>
      </c>
      <c r="O57" s="197">
        <f t="shared" si="1"/>
        <v>43282</v>
      </c>
      <c r="P57" s="384">
        <f t="shared" si="2"/>
        <v>3</v>
      </c>
      <c r="Q57" s="384">
        <f t="shared" si="3"/>
        <v>271</v>
      </c>
      <c r="R57" s="12">
        <f t="shared" si="4"/>
        <v>216</v>
      </c>
      <c r="S57" s="12"/>
      <c r="T57" s="31">
        <v>43313</v>
      </c>
      <c r="U57" s="384">
        <v>18</v>
      </c>
      <c r="V57" s="389">
        <f t="shared" si="14"/>
        <v>43313</v>
      </c>
      <c r="W57" s="384">
        <f t="shared" si="15"/>
        <v>18</v>
      </c>
      <c r="X57" s="12"/>
      <c r="Y57" s="12"/>
      <c r="Z57" s="12"/>
      <c r="AA57" s="12"/>
      <c r="AB57" s="12"/>
      <c r="AD57" s="31">
        <v>45965</v>
      </c>
      <c r="AE57" s="384">
        <v>5</v>
      </c>
      <c r="AF57" s="197">
        <f t="shared" si="10"/>
        <v>45965</v>
      </c>
      <c r="AG57" s="197">
        <f t="shared" si="6"/>
        <v>45962</v>
      </c>
      <c r="AH57" s="384">
        <f t="shared" si="12"/>
        <v>5</v>
      </c>
      <c r="AI57" s="384">
        <f t="shared" si="9"/>
        <v>153</v>
      </c>
      <c r="AJ57" s="12">
        <f t="shared" si="13"/>
        <v>129</v>
      </c>
      <c r="AK57" s="12"/>
      <c r="AL57" s="12"/>
      <c r="AM57" s="12"/>
      <c r="AN57" s="12"/>
      <c r="AO57" s="12"/>
      <c r="AP57" s="12"/>
      <c r="AQ57" s="12"/>
      <c r="AR57" s="12"/>
      <c r="AS57" s="12"/>
      <c r="AT57" s="12"/>
    </row>
    <row r="58" spans="1:46" x14ac:dyDescent="0.25">
      <c r="A58" s="12"/>
      <c r="B58" s="12"/>
      <c r="C58" s="12"/>
      <c r="D58" s="12"/>
      <c r="E58" s="193" t="s">
        <v>355</v>
      </c>
      <c r="F58" s="12"/>
      <c r="G58" s="12"/>
      <c r="H58" s="12"/>
      <c r="I58" s="20" t="s">
        <v>3164</v>
      </c>
      <c r="J58" s="12"/>
      <c r="L58" s="31">
        <v>43301</v>
      </c>
      <c r="M58" s="12">
        <v>5</v>
      </c>
      <c r="N58" s="197">
        <f t="shared" si="0"/>
        <v>43301</v>
      </c>
      <c r="O58" s="197">
        <f t="shared" si="1"/>
        <v>43282</v>
      </c>
      <c r="P58" s="384">
        <f t="shared" si="2"/>
        <v>5</v>
      </c>
      <c r="Q58" s="384">
        <f t="shared" si="3"/>
        <v>273</v>
      </c>
      <c r="R58" s="12">
        <f t="shared" si="4"/>
        <v>221</v>
      </c>
      <c r="S58" s="12"/>
      <c r="T58" s="31">
        <v>43344</v>
      </c>
      <c r="U58" s="384">
        <v>20</v>
      </c>
      <c r="V58" s="389">
        <f t="shared" si="14"/>
        <v>43344</v>
      </c>
      <c r="W58" s="384">
        <f t="shared" si="15"/>
        <v>20</v>
      </c>
      <c r="X58" s="12"/>
      <c r="Y58" s="12"/>
      <c r="Z58" s="12"/>
      <c r="AA58" s="12"/>
      <c r="AB58" s="12"/>
      <c r="AD58" s="31">
        <v>45966</v>
      </c>
      <c r="AE58" s="384">
        <v>2</v>
      </c>
      <c r="AF58" s="197">
        <f t="shared" si="10"/>
        <v>45966</v>
      </c>
      <c r="AG58" s="197">
        <f t="shared" si="6"/>
        <v>45962</v>
      </c>
      <c r="AH58" s="384">
        <f t="shared" si="12"/>
        <v>2</v>
      </c>
      <c r="AI58" s="384">
        <f t="shared" si="9"/>
        <v>154</v>
      </c>
      <c r="AJ58" s="12">
        <f t="shared" si="13"/>
        <v>131</v>
      </c>
      <c r="AK58" s="12"/>
      <c r="AL58" s="12"/>
      <c r="AM58" s="12"/>
      <c r="AN58" s="12"/>
      <c r="AO58" s="12"/>
      <c r="AP58" s="12"/>
      <c r="AQ58" s="12"/>
      <c r="AR58" s="12"/>
      <c r="AS58" s="12"/>
      <c r="AT58" s="12"/>
    </row>
    <row r="59" spans="1:46" x14ac:dyDescent="0.25">
      <c r="A59" s="12"/>
      <c r="B59" s="12"/>
      <c r="C59" s="12"/>
      <c r="D59" s="12"/>
      <c r="E59" s="193" t="s">
        <v>3165</v>
      </c>
      <c r="F59" s="12"/>
      <c r="G59" s="12"/>
      <c r="H59" s="12"/>
      <c r="I59" s="20" t="s">
        <v>3166</v>
      </c>
      <c r="J59" s="12"/>
      <c r="L59" s="31">
        <v>43302</v>
      </c>
      <c r="M59" s="12">
        <v>1</v>
      </c>
      <c r="N59" s="197">
        <f t="shared" si="0"/>
        <v>43302</v>
      </c>
      <c r="O59" s="197">
        <f t="shared" si="1"/>
        <v>43282</v>
      </c>
      <c r="P59" s="384">
        <f t="shared" si="2"/>
        <v>1</v>
      </c>
      <c r="Q59" s="384">
        <f t="shared" si="3"/>
        <v>274</v>
      </c>
      <c r="R59" s="12">
        <f t="shared" si="4"/>
        <v>222</v>
      </c>
      <c r="S59" s="12"/>
      <c r="T59" s="31">
        <v>43374</v>
      </c>
      <c r="U59" s="384">
        <v>24</v>
      </c>
      <c r="V59" s="389">
        <f t="shared" si="14"/>
        <v>43374</v>
      </c>
      <c r="W59" s="384">
        <f t="shared" si="15"/>
        <v>24</v>
      </c>
      <c r="X59" s="12"/>
      <c r="Y59" s="12"/>
      <c r="Z59" s="12"/>
      <c r="AA59" s="12"/>
      <c r="AB59" s="12"/>
      <c r="AD59" s="31">
        <v>45973</v>
      </c>
      <c r="AE59" s="384">
        <v>2</v>
      </c>
      <c r="AF59" s="197">
        <f t="shared" si="10"/>
        <v>45973</v>
      </c>
      <c r="AG59" s="197">
        <f t="shared" si="6"/>
        <v>45962</v>
      </c>
      <c r="AH59" s="384">
        <f t="shared" si="12"/>
        <v>2</v>
      </c>
      <c r="AI59" s="384">
        <f t="shared" si="9"/>
        <v>161</v>
      </c>
      <c r="AJ59" s="12">
        <f t="shared" si="13"/>
        <v>133</v>
      </c>
      <c r="AK59" s="12"/>
      <c r="AL59" s="12"/>
      <c r="AM59" s="12"/>
      <c r="AN59" s="12"/>
      <c r="AO59" s="12"/>
      <c r="AP59" s="12"/>
      <c r="AQ59" s="12"/>
      <c r="AR59" s="12"/>
      <c r="AS59" s="12"/>
      <c r="AT59" s="12"/>
    </row>
    <row r="60" spans="1:46" x14ac:dyDescent="0.25">
      <c r="A60" s="12"/>
      <c r="B60" s="12"/>
      <c r="C60" s="12"/>
      <c r="D60" s="12"/>
      <c r="E60" s="193" t="s">
        <v>3167</v>
      </c>
      <c r="F60" s="12"/>
      <c r="G60" s="12"/>
      <c r="H60" s="12"/>
      <c r="I60" s="21" t="str">
        <f>IF(COUNTA('[1]Virus production'!A53)=1,('[1]Virus production'!A53),"")</f>
        <v>AG52</v>
      </c>
      <c r="J60" s="12"/>
      <c r="L60" s="31">
        <v>43304</v>
      </c>
      <c r="M60" s="12">
        <v>4</v>
      </c>
      <c r="N60" s="197">
        <f t="shared" si="0"/>
        <v>43304</v>
      </c>
      <c r="O60" s="197">
        <f t="shared" si="1"/>
        <v>43282</v>
      </c>
      <c r="P60" s="384">
        <f t="shared" si="2"/>
        <v>4</v>
      </c>
      <c r="Q60" s="384">
        <f t="shared" si="3"/>
        <v>276</v>
      </c>
      <c r="R60" s="12">
        <f t="shared" si="4"/>
        <v>226</v>
      </c>
      <c r="S60" s="12"/>
      <c r="T60" s="31">
        <v>43405</v>
      </c>
      <c r="U60" s="384">
        <v>23</v>
      </c>
      <c r="V60" s="389">
        <f t="shared" si="14"/>
        <v>43405</v>
      </c>
      <c r="W60" s="384">
        <f t="shared" si="15"/>
        <v>23</v>
      </c>
      <c r="X60" s="12"/>
      <c r="Y60" s="12"/>
      <c r="Z60" s="12"/>
      <c r="AA60" s="12"/>
      <c r="AB60" s="12"/>
      <c r="AD60" s="31">
        <v>45974</v>
      </c>
      <c r="AE60" s="384">
        <v>2</v>
      </c>
      <c r="AF60" s="197">
        <f t="shared" si="10"/>
        <v>45974</v>
      </c>
      <c r="AG60" s="197">
        <f t="shared" si="6"/>
        <v>45962</v>
      </c>
      <c r="AH60" s="384">
        <f t="shared" si="12"/>
        <v>2</v>
      </c>
      <c r="AI60" s="384">
        <f t="shared" si="9"/>
        <v>162</v>
      </c>
      <c r="AJ60" s="12">
        <f t="shared" si="13"/>
        <v>135</v>
      </c>
      <c r="AK60" s="12"/>
      <c r="AL60" s="12"/>
      <c r="AM60" s="12"/>
      <c r="AN60" s="12"/>
      <c r="AO60" s="12"/>
      <c r="AP60" s="12"/>
      <c r="AQ60" s="12"/>
      <c r="AR60" s="12"/>
      <c r="AS60" s="12"/>
      <c r="AT60" s="12"/>
    </row>
    <row r="61" spans="1:46" x14ac:dyDescent="0.25">
      <c r="A61" s="12"/>
      <c r="B61" s="12"/>
      <c r="C61" s="12"/>
      <c r="D61" s="12"/>
      <c r="E61" s="193" t="s">
        <v>3168</v>
      </c>
      <c r="F61" s="12"/>
      <c r="G61" s="12"/>
      <c r="H61" s="12"/>
      <c r="I61" s="21" t="str">
        <f>IF(COUNTA('[1]Virus production'!A54)=1,('[1]Virus production'!A54),"")</f>
        <v>AG53</v>
      </c>
      <c r="J61" s="12"/>
      <c r="L61" s="31">
        <v>43318</v>
      </c>
      <c r="M61" s="12">
        <v>4</v>
      </c>
      <c r="N61" s="197">
        <f t="shared" si="0"/>
        <v>43318</v>
      </c>
      <c r="O61" s="197">
        <f t="shared" si="1"/>
        <v>43313</v>
      </c>
      <c r="P61" s="384">
        <f t="shared" si="2"/>
        <v>4</v>
      </c>
      <c r="Q61" s="384">
        <f t="shared" si="3"/>
        <v>290</v>
      </c>
      <c r="R61" s="12">
        <f t="shared" si="4"/>
        <v>230</v>
      </c>
      <c r="S61" s="12"/>
      <c r="T61" s="31">
        <v>43435</v>
      </c>
      <c r="U61" s="384">
        <v>15</v>
      </c>
      <c r="V61" s="389">
        <f t="shared" si="14"/>
        <v>43435</v>
      </c>
      <c r="W61" s="384">
        <f t="shared" si="15"/>
        <v>15</v>
      </c>
      <c r="X61" s="12"/>
      <c r="Y61" s="12"/>
      <c r="Z61" s="12"/>
      <c r="AA61" s="12"/>
      <c r="AB61" s="12"/>
      <c r="AD61" s="31">
        <v>45980</v>
      </c>
      <c r="AE61" s="384">
        <v>3</v>
      </c>
      <c r="AF61" s="197">
        <f t="shared" si="10"/>
        <v>45980</v>
      </c>
      <c r="AG61" s="197">
        <f t="shared" si="6"/>
        <v>45962</v>
      </c>
      <c r="AH61" s="384">
        <f t="shared" si="12"/>
        <v>3</v>
      </c>
      <c r="AI61" s="384">
        <f t="shared" si="9"/>
        <v>168</v>
      </c>
      <c r="AJ61" s="12">
        <f t="shared" si="13"/>
        <v>138</v>
      </c>
      <c r="AK61" s="12"/>
      <c r="AL61" s="12"/>
      <c r="AM61" s="12"/>
      <c r="AN61" s="12"/>
      <c r="AO61" s="12"/>
      <c r="AP61" s="12"/>
      <c r="AQ61" s="12"/>
      <c r="AR61" s="12"/>
      <c r="AS61" s="12"/>
      <c r="AT61" s="12"/>
    </row>
    <row r="62" spans="1:46" x14ac:dyDescent="0.25">
      <c r="A62" s="12"/>
      <c r="B62" s="12"/>
      <c r="C62" s="12"/>
      <c r="D62" s="12"/>
      <c r="E62" s="391" t="s">
        <v>937</v>
      </c>
      <c r="F62" s="12"/>
      <c r="G62" s="12"/>
      <c r="H62" s="12"/>
      <c r="I62" s="21" t="str">
        <f>IF(COUNTA('[1]Virus production'!A55)=1,('[1]Virus production'!A55),"")</f>
        <v>AG54</v>
      </c>
      <c r="J62" s="12"/>
      <c r="L62" s="31">
        <v>43321</v>
      </c>
      <c r="M62" s="12">
        <v>2</v>
      </c>
      <c r="N62" s="197">
        <f t="shared" si="0"/>
        <v>43321</v>
      </c>
      <c r="O62" s="197">
        <f t="shared" si="1"/>
        <v>43313</v>
      </c>
      <c r="P62" s="384">
        <f t="shared" si="2"/>
        <v>2</v>
      </c>
      <c r="Q62" s="384">
        <f t="shared" si="3"/>
        <v>293</v>
      </c>
      <c r="R62" s="12">
        <f t="shared" si="4"/>
        <v>232</v>
      </c>
      <c r="S62" s="12"/>
      <c r="T62" s="31">
        <v>43466</v>
      </c>
      <c r="U62" s="384">
        <v>25</v>
      </c>
      <c r="V62" s="389">
        <f t="shared" si="14"/>
        <v>43466</v>
      </c>
      <c r="W62" s="384">
        <f t="shared" si="15"/>
        <v>25</v>
      </c>
      <c r="X62" s="12"/>
      <c r="Y62" s="12"/>
      <c r="Z62" s="12"/>
      <c r="AA62" s="12"/>
      <c r="AB62" s="12"/>
      <c r="AD62" s="31">
        <v>45981</v>
      </c>
      <c r="AE62" s="384">
        <v>2</v>
      </c>
      <c r="AF62" s="197">
        <f t="shared" si="10"/>
        <v>45981</v>
      </c>
      <c r="AG62" s="197">
        <f t="shared" si="6"/>
        <v>45962</v>
      </c>
      <c r="AH62" s="384">
        <f t="shared" si="12"/>
        <v>2</v>
      </c>
      <c r="AI62" s="384">
        <f t="shared" si="9"/>
        <v>169</v>
      </c>
      <c r="AJ62" s="12">
        <f t="shared" si="13"/>
        <v>140</v>
      </c>
      <c r="AK62" s="12"/>
      <c r="AL62" s="12"/>
      <c r="AM62" s="12"/>
      <c r="AN62" s="12"/>
      <c r="AO62" s="12"/>
      <c r="AP62" s="12"/>
      <c r="AQ62" s="12"/>
      <c r="AR62" s="12"/>
      <c r="AS62" s="12"/>
      <c r="AT62" s="12"/>
    </row>
    <row r="63" spans="1:46" x14ac:dyDescent="0.25">
      <c r="A63" s="12"/>
      <c r="B63" s="12"/>
      <c r="C63" s="12"/>
      <c r="D63" s="12"/>
      <c r="E63" s="193" t="s">
        <v>248</v>
      </c>
      <c r="F63" s="12"/>
      <c r="G63" s="12"/>
      <c r="H63" s="12"/>
      <c r="I63" s="21" t="str">
        <f>IF(COUNTA('[1]Virus production'!A56)=1,('[1]Virus production'!A56),"")</f>
        <v>AG55</v>
      </c>
      <c r="J63" s="12"/>
      <c r="L63" s="31">
        <v>43322</v>
      </c>
      <c r="M63" s="12">
        <v>2</v>
      </c>
      <c r="N63" s="197">
        <f t="shared" si="0"/>
        <v>43322</v>
      </c>
      <c r="O63" s="197">
        <f t="shared" si="1"/>
        <v>43313</v>
      </c>
      <c r="P63" s="384">
        <f t="shared" si="2"/>
        <v>2</v>
      </c>
      <c r="Q63" s="384">
        <f t="shared" si="3"/>
        <v>294</v>
      </c>
      <c r="R63" s="12">
        <f t="shared" si="4"/>
        <v>234</v>
      </c>
      <c r="S63" s="12"/>
      <c r="T63" s="31">
        <v>43497</v>
      </c>
      <c r="U63" s="384">
        <v>18</v>
      </c>
      <c r="V63" s="389">
        <f t="shared" si="14"/>
        <v>43497</v>
      </c>
      <c r="W63" s="384">
        <f t="shared" si="15"/>
        <v>18</v>
      </c>
      <c r="X63" s="12"/>
      <c r="Y63" s="12"/>
      <c r="Z63" s="12"/>
      <c r="AA63" s="12"/>
      <c r="AB63" s="12"/>
      <c r="AD63" s="31">
        <v>45982</v>
      </c>
      <c r="AE63" s="384">
        <v>2</v>
      </c>
      <c r="AF63" s="197">
        <f t="shared" si="10"/>
        <v>45982</v>
      </c>
      <c r="AG63" s="197">
        <f t="shared" si="6"/>
        <v>45962</v>
      </c>
      <c r="AH63" s="384">
        <f t="shared" si="12"/>
        <v>2</v>
      </c>
      <c r="AI63" s="384">
        <f t="shared" si="9"/>
        <v>170</v>
      </c>
      <c r="AJ63" s="12">
        <f t="shared" si="13"/>
        <v>142</v>
      </c>
      <c r="AK63" s="12"/>
      <c r="AL63" s="12"/>
      <c r="AM63" s="12"/>
      <c r="AN63" s="12"/>
      <c r="AO63" s="12"/>
      <c r="AP63" s="12"/>
      <c r="AQ63" s="12"/>
      <c r="AR63" s="12"/>
      <c r="AS63" s="12"/>
      <c r="AT63" s="12"/>
    </row>
    <row r="64" spans="1:46" x14ac:dyDescent="0.25">
      <c r="A64" s="12"/>
      <c r="B64" s="12"/>
      <c r="C64" s="12"/>
      <c r="D64" s="12"/>
      <c r="E64" s="193" t="s">
        <v>3169</v>
      </c>
      <c r="F64" s="12"/>
      <c r="G64" s="12"/>
      <c r="H64" s="12"/>
      <c r="I64" s="21" t="str">
        <f>IF(COUNTA('[1]Virus production'!A57)=1,('[1]Virus production'!A57),"")</f>
        <v/>
      </c>
      <c r="J64" s="12"/>
      <c r="L64" s="31">
        <v>43326</v>
      </c>
      <c r="M64" s="12">
        <v>3</v>
      </c>
      <c r="N64" s="197">
        <f t="shared" si="0"/>
        <v>43326</v>
      </c>
      <c r="O64" s="197">
        <f t="shared" si="1"/>
        <v>43313</v>
      </c>
      <c r="P64" s="384">
        <f t="shared" si="2"/>
        <v>3</v>
      </c>
      <c r="Q64" s="384">
        <f t="shared" si="3"/>
        <v>298</v>
      </c>
      <c r="R64" s="12">
        <f t="shared" si="4"/>
        <v>237</v>
      </c>
      <c r="S64" s="12"/>
      <c r="T64" s="31">
        <v>43525</v>
      </c>
      <c r="U64" s="384">
        <v>14</v>
      </c>
      <c r="V64" s="389">
        <f t="shared" si="14"/>
        <v>43525</v>
      </c>
      <c r="W64" s="384">
        <f t="shared" si="15"/>
        <v>14</v>
      </c>
      <c r="X64" s="12"/>
      <c r="Y64" s="12"/>
      <c r="Z64" s="12"/>
      <c r="AA64" s="12"/>
      <c r="AB64" s="12"/>
      <c r="AD64" s="31" t="s">
        <v>3170</v>
      </c>
      <c r="AE64" s="384"/>
      <c r="AF64" s="197"/>
      <c r="AG64" s="197"/>
      <c r="AH64" s="384"/>
      <c r="AI64" s="384"/>
      <c r="AJ64" s="12"/>
      <c r="AK64" s="12"/>
      <c r="AL64" s="12"/>
      <c r="AM64" s="12"/>
      <c r="AN64" s="12"/>
      <c r="AO64" s="12"/>
      <c r="AP64" s="12"/>
      <c r="AQ64" s="12"/>
      <c r="AR64" s="12"/>
      <c r="AS64" s="12"/>
      <c r="AT64" s="12"/>
    </row>
    <row r="65" spans="1:46" x14ac:dyDescent="0.25">
      <c r="A65" s="12"/>
      <c r="B65" s="12"/>
      <c r="C65" s="12"/>
      <c r="D65" s="12"/>
      <c r="E65" s="193" t="s">
        <v>272</v>
      </c>
      <c r="F65" s="12"/>
      <c r="G65" s="12"/>
      <c r="H65" s="12"/>
      <c r="I65" s="22" t="s">
        <v>3171</v>
      </c>
      <c r="J65" s="12"/>
      <c r="L65" s="31">
        <v>43328</v>
      </c>
      <c r="M65" s="12">
        <v>2</v>
      </c>
      <c r="N65" s="197">
        <f t="shared" si="0"/>
        <v>43328</v>
      </c>
      <c r="O65" s="197">
        <f t="shared" si="1"/>
        <v>43313</v>
      </c>
      <c r="P65" s="384">
        <f t="shared" si="2"/>
        <v>2</v>
      </c>
      <c r="Q65" s="384">
        <f t="shared" si="3"/>
        <v>300</v>
      </c>
      <c r="R65" s="12">
        <f t="shared" si="4"/>
        <v>239</v>
      </c>
      <c r="S65" s="12"/>
      <c r="T65" s="31">
        <v>43556</v>
      </c>
      <c r="U65" s="384">
        <v>13</v>
      </c>
      <c r="V65" s="389">
        <f t="shared" si="14"/>
        <v>43556</v>
      </c>
      <c r="W65" s="384">
        <f t="shared" si="15"/>
        <v>13</v>
      </c>
      <c r="X65" s="12"/>
      <c r="Y65" s="12"/>
      <c r="Z65" s="12"/>
      <c r="AA65" s="12"/>
      <c r="AB65" s="12"/>
      <c r="AD65" s="31" t="s">
        <v>3158</v>
      </c>
      <c r="AE65" s="384">
        <v>182</v>
      </c>
      <c r="AF65" s="197"/>
      <c r="AG65" s="197"/>
      <c r="AH65" s="384"/>
      <c r="AI65" s="384"/>
      <c r="AJ65" s="12"/>
      <c r="AK65" s="12"/>
      <c r="AL65" s="12"/>
      <c r="AM65" s="12"/>
      <c r="AN65" s="12"/>
      <c r="AO65" s="12"/>
      <c r="AP65" s="12"/>
      <c r="AQ65" s="12"/>
      <c r="AR65" s="12"/>
      <c r="AS65" s="12"/>
      <c r="AT65" s="12"/>
    </row>
    <row r="66" spans="1:46" x14ac:dyDescent="0.25">
      <c r="A66" s="12"/>
      <c r="B66" s="12"/>
      <c r="C66" s="12"/>
      <c r="D66" s="12"/>
      <c r="E66" s="193" t="s">
        <v>283</v>
      </c>
      <c r="F66" s="12"/>
      <c r="G66" s="12"/>
      <c r="H66" s="12"/>
      <c r="I66" s="21" t="str">
        <f>IF(COUNTA('[1]Virus production'!A58)=1,('[1]Virus production'!A58),"")</f>
        <v/>
      </c>
      <c r="J66" s="12"/>
      <c r="L66" s="31">
        <v>43339</v>
      </c>
      <c r="M66" s="12">
        <v>3</v>
      </c>
      <c r="N66" s="197">
        <f t="shared" si="0"/>
        <v>43339</v>
      </c>
      <c r="O66" s="197">
        <f t="shared" si="1"/>
        <v>43313</v>
      </c>
      <c r="P66" s="384">
        <f t="shared" si="2"/>
        <v>3</v>
      </c>
      <c r="Q66" s="384">
        <f t="shared" si="3"/>
        <v>311</v>
      </c>
      <c r="R66" s="12">
        <f t="shared" si="4"/>
        <v>242</v>
      </c>
      <c r="S66" s="12"/>
      <c r="T66" s="31">
        <v>43586</v>
      </c>
      <c r="U66" s="384">
        <v>6</v>
      </c>
      <c r="V66" s="389">
        <f t="shared" si="14"/>
        <v>43586</v>
      </c>
      <c r="W66" s="384">
        <f t="shared" si="15"/>
        <v>6</v>
      </c>
      <c r="X66" s="12"/>
      <c r="Y66" s="12"/>
      <c r="Z66" s="12"/>
      <c r="AA66" s="12"/>
      <c r="AB66" s="12"/>
      <c r="AD66" s="31"/>
      <c r="AE66" s="384"/>
      <c r="AF66" s="197"/>
      <c r="AG66" s="197"/>
      <c r="AH66" s="197"/>
      <c r="AI66" s="197"/>
      <c r="AJ66" s="12"/>
      <c r="AK66" s="12"/>
      <c r="AL66" s="12"/>
      <c r="AM66" s="12"/>
      <c r="AN66" s="12"/>
      <c r="AO66" s="12"/>
      <c r="AP66" s="12"/>
      <c r="AQ66" s="12"/>
      <c r="AR66" s="12"/>
      <c r="AS66" s="12"/>
      <c r="AT66" s="12"/>
    </row>
    <row r="67" spans="1:46" x14ac:dyDescent="0.25">
      <c r="A67" s="12"/>
      <c r="B67" s="12"/>
      <c r="C67" s="12"/>
      <c r="D67" s="12"/>
      <c r="E67" s="193" t="s">
        <v>419</v>
      </c>
      <c r="F67" s="12"/>
      <c r="G67" s="12"/>
      <c r="H67" s="12"/>
      <c r="I67" s="20" t="s">
        <v>3172</v>
      </c>
      <c r="J67" s="12"/>
      <c r="L67" s="31">
        <v>43343</v>
      </c>
      <c r="M67" s="12">
        <v>2</v>
      </c>
      <c r="N67" s="197">
        <f t="shared" si="0"/>
        <v>43343</v>
      </c>
      <c r="O67" s="197">
        <f t="shared" si="1"/>
        <v>43313</v>
      </c>
      <c r="P67" s="384">
        <f t="shared" si="2"/>
        <v>2</v>
      </c>
      <c r="Q67" s="384">
        <f t="shared" si="3"/>
        <v>315</v>
      </c>
      <c r="R67" s="12">
        <f t="shared" si="4"/>
        <v>244</v>
      </c>
      <c r="S67" s="12"/>
      <c r="T67" s="31">
        <v>43617</v>
      </c>
      <c r="U67" s="384">
        <v>28</v>
      </c>
      <c r="V67" s="389">
        <f t="shared" si="14"/>
        <v>43617</v>
      </c>
      <c r="W67" s="384">
        <f t="shared" si="15"/>
        <v>28</v>
      </c>
      <c r="X67" s="12"/>
      <c r="Y67" s="12"/>
      <c r="Z67" s="12"/>
      <c r="AA67" s="12"/>
      <c r="AB67" s="12"/>
      <c r="AD67" s="31"/>
      <c r="AE67" s="384"/>
      <c r="AF67" s="197"/>
      <c r="AG67" s="197"/>
      <c r="AH67" s="197"/>
      <c r="AI67" s="197"/>
      <c r="AJ67" s="12"/>
      <c r="AK67" s="12"/>
      <c r="AL67" s="12"/>
      <c r="AM67" s="12"/>
      <c r="AN67" s="12"/>
      <c r="AO67" s="12"/>
      <c r="AP67" s="12"/>
      <c r="AQ67" s="12"/>
      <c r="AR67" s="12"/>
      <c r="AS67" s="12"/>
      <c r="AT67" s="12"/>
    </row>
    <row r="68" spans="1:46" x14ac:dyDescent="0.25">
      <c r="A68" s="12"/>
      <c r="B68" s="12"/>
      <c r="C68" s="12"/>
      <c r="D68" s="12"/>
      <c r="E68" s="193" t="s">
        <v>132</v>
      </c>
      <c r="F68" s="12"/>
      <c r="G68" s="12"/>
      <c r="H68" s="12"/>
      <c r="I68" s="20" t="s">
        <v>3173</v>
      </c>
      <c r="J68" s="12"/>
      <c r="L68" s="31">
        <v>43353</v>
      </c>
      <c r="M68" s="12">
        <v>4</v>
      </c>
      <c r="N68" s="197">
        <f t="shared" si="0"/>
        <v>43353</v>
      </c>
      <c r="O68" s="197">
        <f t="shared" si="1"/>
        <v>43344</v>
      </c>
      <c r="P68" s="384">
        <f t="shared" si="2"/>
        <v>4</v>
      </c>
      <c r="Q68" s="384">
        <f t="shared" si="3"/>
        <v>325</v>
      </c>
      <c r="R68" s="12">
        <f t="shared" si="4"/>
        <v>248</v>
      </c>
      <c r="S68" s="12"/>
      <c r="T68" s="31">
        <v>43647</v>
      </c>
      <c r="U68" s="384">
        <v>23</v>
      </c>
      <c r="V68" s="389">
        <f t="shared" si="14"/>
        <v>43647</v>
      </c>
      <c r="W68" s="384">
        <f t="shared" si="15"/>
        <v>23</v>
      </c>
      <c r="X68" s="12"/>
      <c r="Y68" s="12"/>
      <c r="Z68" s="12"/>
      <c r="AA68" s="12"/>
      <c r="AB68" s="12"/>
      <c r="AD68" s="31"/>
      <c r="AE68" s="384"/>
      <c r="AF68" s="197"/>
      <c r="AG68" s="197"/>
      <c r="AH68" s="197"/>
      <c r="AI68" s="197"/>
      <c r="AJ68" s="12"/>
      <c r="AK68" s="12"/>
      <c r="AL68" s="12"/>
      <c r="AM68" s="12"/>
      <c r="AN68" s="12"/>
      <c r="AO68" s="12"/>
      <c r="AP68" s="12"/>
      <c r="AQ68" s="12"/>
      <c r="AR68" s="12"/>
      <c r="AS68" s="12"/>
      <c r="AT68" s="12"/>
    </row>
    <row r="69" spans="1:46" x14ac:dyDescent="0.25">
      <c r="A69" s="12"/>
      <c r="B69" s="12"/>
      <c r="C69" s="12"/>
      <c r="D69" s="12"/>
      <c r="E69" s="193" t="s">
        <v>61</v>
      </c>
      <c r="F69" s="12"/>
      <c r="G69" s="12"/>
      <c r="H69" s="12"/>
      <c r="I69" s="21" t="str">
        <f>IF(COUNTA('[1]Virus production'!A59)=1,('[1]Virus production'!A59),"")</f>
        <v>AAV2</v>
      </c>
      <c r="J69" s="12"/>
      <c r="L69" s="31">
        <v>43354</v>
      </c>
      <c r="M69" s="12">
        <v>5</v>
      </c>
      <c r="N69" s="197">
        <f t="shared" ref="N69:N132" si="16">L69</f>
        <v>43354</v>
      </c>
      <c r="O69" s="197">
        <f t="shared" ref="O69:O132" si="17">DATE(YEAR(N69),MONTH(N69),1)</f>
        <v>43344</v>
      </c>
      <c r="P69" s="384">
        <f t="shared" ref="P69:P132" si="18">M69</f>
        <v>5</v>
      </c>
      <c r="Q69" s="384">
        <f t="shared" ref="Q69:Q132" si="19">N69-$N$4</f>
        <v>326</v>
      </c>
      <c r="R69" s="12">
        <f t="shared" ref="R69:R132" si="20">R68+M69</f>
        <v>253</v>
      </c>
      <c r="S69" s="12"/>
      <c r="T69" s="31">
        <v>43678</v>
      </c>
      <c r="U69" s="384">
        <v>11</v>
      </c>
      <c r="V69" s="389">
        <f t="shared" si="14"/>
        <v>43678</v>
      </c>
      <c r="W69" s="384">
        <f t="shared" si="15"/>
        <v>11</v>
      </c>
      <c r="X69" s="12"/>
      <c r="Y69" s="12"/>
      <c r="Z69" s="12"/>
      <c r="AA69" s="12"/>
      <c r="AB69" s="12"/>
      <c r="AD69" s="31"/>
      <c r="AE69" s="384"/>
      <c r="AF69" s="197"/>
      <c r="AG69" s="197"/>
      <c r="AH69" s="197"/>
      <c r="AI69" s="197"/>
      <c r="AJ69" s="12"/>
      <c r="AK69" s="12"/>
      <c r="AL69" s="12"/>
      <c r="AM69" s="12"/>
      <c r="AN69" s="12"/>
      <c r="AO69" s="12"/>
      <c r="AP69" s="12"/>
      <c r="AQ69" s="12"/>
      <c r="AR69" s="12"/>
      <c r="AS69" s="12"/>
      <c r="AT69" s="12"/>
    </row>
    <row r="70" spans="1:46" x14ac:dyDescent="0.25">
      <c r="A70" s="12"/>
      <c r="B70" s="12"/>
      <c r="C70" s="12"/>
      <c r="D70" s="12"/>
      <c r="E70" s="193" t="s">
        <v>394</v>
      </c>
      <c r="F70" s="12"/>
      <c r="G70" s="12"/>
      <c r="H70" s="12"/>
      <c r="I70" s="21" t="str">
        <f>IF(COUNTA('[1]Virus production'!A60)=1,('[1]Virus production'!A60),"")</f>
        <v>AAV3a</v>
      </c>
      <c r="J70" s="12"/>
      <c r="L70" s="31">
        <v>43355</v>
      </c>
      <c r="M70" s="12">
        <v>4</v>
      </c>
      <c r="N70" s="197">
        <f t="shared" si="16"/>
        <v>43355</v>
      </c>
      <c r="O70" s="197">
        <f t="shared" si="17"/>
        <v>43344</v>
      </c>
      <c r="P70" s="384">
        <f t="shared" si="18"/>
        <v>4</v>
      </c>
      <c r="Q70" s="384">
        <f t="shared" si="19"/>
        <v>327</v>
      </c>
      <c r="R70" s="12">
        <f t="shared" si="20"/>
        <v>257</v>
      </c>
      <c r="S70" s="12"/>
      <c r="T70" s="31">
        <v>43709</v>
      </c>
      <c r="U70" s="384">
        <v>27</v>
      </c>
      <c r="V70" s="389">
        <f t="shared" si="14"/>
        <v>43709</v>
      </c>
      <c r="W70" s="384">
        <f t="shared" si="15"/>
        <v>27</v>
      </c>
      <c r="X70" s="12"/>
      <c r="Y70" s="12"/>
      <c r="Z70" s="12"/>
      <c r="AA70" s="12"/>
      <c r="AB70" s="12"/>
      <c r="AD70" s="31"/>
      <c r="AE70" s="384"/>
      <c r="AF70" s="197"/>
      <c r="AG70" s="197"/>
      <c r="AH70" s="197"/>
      <c r="AI70" s="197"/>
      <c r="AJ70" s="12"/>
      <c r="AK70" s="12"/>
      <c r="AL70" s="12"/>
      <c r="AM70" s="12"/>
      <c r="AN70" s="12"/>
      <c r="AO70" s="12"/>
      <c r="AP70" s="12"/>
      <c r="AQ70" s="12"/>
      <c r="AR70" s="12"/>
      <c r="AS70" s="12"/>
      <c r="AT70" s="12"/>
    </row>
    <row r="71" spans="1:46" x14ac:dyDescent="0.25">
      <c r="A71" s="12"/>
      <c r="B71" s="12"/>
      <c r="C71" s="12"/>
      <c r="D71" s="12"/>
      <c r="E71" s="12"/>
      <c r="F71" s="12"/>
      <c r="G71" s="12"/>
      <c r="H71" s="12"/>
      <c r="I71" s="21" t="str">
        <f>IF(COUNTA('[1]Virus production'!A61)=1,('[1]Virus production'!A61),"")</f>
        <v>AAV4</v>
      </c>
      <c r="J71" s="12"/>
      <c r="L71" s="31">
        <v>43360</v>
      </c>
      <c r="M71" s="12">
        <v>4</v>
      </c>
      <c r="N71" s="197">
        <f t="shared" si="16"/>
        <v>43360</v>
      </c>
      <c r="O71" s="197">
        <f t="shared" si="17"/>
        <v>43344</v>
      </c>
      <c r="P71" s="384">
        <f t="shared" si="18"/>
        <v>4</v>
      </c>
      <c r="Q71" s="384">
        <f t="shared" si="19"/>
        <v>332</v>
      </c>
      <c r="R71" s="12">
        <f t="shared" si="20"/>
        <v>261</v>
      </c>
      <c r="S71" s="12"/>
      <c r="T71" s="31">
        <v>43739</v>
      </c>
      <c r="U71" s="384">
        <v>10</v>
      </c>
      <c r="V71" s="389">
        <f t="shared" si="14"/>
        <v>43739</v>
      </c>
      <c r="W71" s="384">
        <f t="shared" si="15"/>
        <v>10</v>
      </c>
      <c r="X71" s="12"/>
      <c r="Y71" s="12"/>
      <c r="Z71" s="12"/>
      <c r="AA71" s="12"/>
      <c r="AB71" s="12"/>
      <c r="AD71" s="31"/>
      <c r="AE71" s="384"/>
      <c r="AF71" s="197"/>
      <c r="AG71" s="197"/>
      <c r="AH71" s="197"/>
      <c r="AI71" s="197"/>
      <c r="AJ71" s="12"/>
      <c r="AK71" s="12"/>
      <c r="AL71" s="12"/>
      <c r="AM71" s="12"/>
      <c r="AN71" s="12"/>
      <c r="AO71" s="12"/>
      <c r="AP71" s="12"/>
      <c r="AQ71" s="12"/>
      <c r="AR71" s="12"/>
      <c r="AS71" s="12"/>
      <c r="AT71" s="12"/>
    </row>
    <row r="72" spans="1:46" x14ac:dyDescent="0.25">
      <c r="A72" s="12"/>
      <c r="B72" s="12"/>
      <c r="C72" s="12"/>
      <c r="D72" s="12"/>
      <c r="E72" s="12"/>
      <c r="F72" s="12"/>
      <c r="G72" s="12"/>
      <c r="H72" s="12"/>
      <c r="I72" s="21" t="str">
        <f>IF(COUNTA('[1]Virus production'!A62)=1,('[1]Virus production'!A62),"")</f>
        <v>AAV15a</v>
      </c>
      <c r="J72" s="12"/>
      <c r="L72" s="31">
        <v>43370</v>
      </c>
      <c r="M72" s="12">
        <v>3</v>
      </c>
      <c r="N72" s="197">
        <f t="shared" si="16"/>
        <v>43370</v>
      </c>
      <c r="O72" s="197">
        <f t="shared" si="17"/>
        <v>43344</v>
      </c>
      <c r="P72" s="384">
        <f t="shared" si="18"/>
        <v>3</v>
      </c>
      <c r="Q72" s="384">
        <f t="shared" si="19"/>
        <v>342</v>
      </c>
      <c r="R72" s="12">
        <f t="shared" si="20"/>
        <v>264</v>
      </c>
      <c r="S72" s="12"/>
      <c r="T72" s="31">
        <v>43770</v>
      </c>
      <c r="U72" s="384">
        <v>7</v>
      </c>
      <c r="V72" s="389">
        <f t="shared" si="14"/>
        <v>43770</v>
      </c>
      <c r="W72" s="384">
        <f t="shared" si="15"/>
        <v>7</v>
      </c>
      <c r="X72" s="12"/>
      <c r="Y72" s="12"/>
      <c r="Z72" s="12"/>
      <c r="AA72" s="12"/>
      <c r="AB72" s="12"/>
      <c r="AD72" s="31"/>
      <c r="AE72" s="384"/>
      <c r="AF72" s="197"/>
      <c r="AG72" s="197"/>
      <c r="AH72" s="197"/>
      <c r="AI72" s="197"/>
      <c r="AJ72" s="12"/>
      <c r="AK72" s="12"/>
      <c r="AL72" s="12"/>
      <c r="AM72" s="12"/>
      <c r="AN72" s="12"/>
      <c r="AO72" s="12"/>
      <c r="AP72" s="12"/>
      <c r="AQ72" s="12"/>
      <c r="AR72" s="12"/>
      <c r="AS72" s="12"/>
      <c r="AT72" s="12"/>
    </row>
    <row r="73" spans="1:46" x14ac:dyDescent="0.25">
      <c r="A73" s="12"/>
      <c r="B73" s="12"/>
      <c r="C73" s="12"/>
      <c r="D73" s="12"/>
      <c r="E73" s="12"/>
      <c r="F73" s="12"/>
      <c r="G73" s="12"/>
      <c r="H73" s="12"/>
      <c r="I73" s="20" t="s">
        <v>3174</v>
      </c>
      <c r="J73" s="12"/>
      <c r="L73" s="31">
        <v>43383</v>
      </c>
      <c r="M73" s="12">
        <v>3</v>
      </c>
      <c r="N73" s="197">
        <f t="shared" si="16"/>
        <v>43383</v>
      </c>
      <c r="O73" s="197">
        <f t="shared" si="17"/>
        <v>43374</v>
      </c>
      <c r="P73" s="384">
        <f t="shared" si="18"/>
        <v>3</v>
      </c>
      <c r="Q73" s="384">
        <f t="shared" si="19"/>
        <v>355</v>
      </c>
      <c r="R73" s="12">
        <f t="shared" si="20"/>
        <v>267</v>
      </c>
      <c r="S73" s="12"/>
      <c r="T73" s="31">
        <v>43831</v>
      </c>
      <c r="U73" s="384">
        <v>2</v>
      </c>
      <c r="V73" s="389">
        <f t="shared" si="14"/>
        <v>43831</v>
      </c>
      <c r="W73" s="384">
        <f t="shared" si="15"/>
        <v>2</v>
      </c>
      <c r="X73" s="12"/>
      <c r="Y73" s="12"/>
      <c r="Z73" s="12"/>
      <c r="AA73" s="12"/>
      <c r="AB73" s="12"/>
      <c r="AD73" s="31"/>
      <c r="AE73" s="12"/>
      <c r="AF73" s="197"/>
      <c r="AG73" s="197"/>
      <c r="AH73" s="197"/>
      <c r="AI73" s="197"/>
      <c r="AJ73" s="12"/>
      <c r="AK73" s="12"/>
      <c r="AL73" s="12"/>
      <c r="AM73" s="12"/>
      <c r="AN73" s="12"/>
      <c r="AO73" s="12"/>
      <c r="AP73" s="12"/>
      <c r="AQ73" s="12"/>
      <c r="AR73" s="12"/>
      <c r="AS73" s="12"/>
      <c r="AT73" s="12"/>
    </row>
    <row r="74" spans="1:46" x14ac:dyDescent="0.25">
      <c r="A74" s="12"/>
      <c r="B74" s="12"/>
      <c r="C74" s="12"/>
      <c r="D74" s="12"/>
      <c r="E74" s="12"/>
      <c r="F74" s="12"/>
      <c r="G74" s="12"/>
      <c r="H74" s="12"/>
      <c r="I74" s="21" t="str">
        <f>IF(COUNTA('[1]Virus production'!A63)=1,('[1]Virus production'!A63),"")</f>
        <v>AAV16</v>
      </c>
      <c r="J74" s="12"/>
      <c r="L74" s="31">
        <v>43388</v>
      </c>
      <c r="M74" s="12">
        <v>3</v>
      </c>
      <c r="N74" s="197">
        <f t="shared" si="16"/>
        <v>43388</v>
      </c>
      <c r="O74" s="197">
        <f t="shared" si="17"/>
        <v>43374</v>
      </c>
      <c r="P74" s="384">
        <f t="shared" si="18"/>
        <v>3</v>
      </c>
      <c r="Q74" s="384">
        <f t="shared" si="19"/>
        <v>360</v>
      </c>
      <c r="R74" s="12">
        <f t="shared" si="20"/>
        <v>270</v>
      </c>
      <c r="S74" s="12"/>
      <c r="T74" s="31">
        <v>43862</v>
      </c>
      <c r="U74" s="384">
        <v>15</v>
      </c>
      <c r="V74" s="389">
        <f t="shared" si="14"/>
        <v>43862</v>
      </c>
      <c r="W74" s="384">
        <f t="shared" si="15"/>
        <v>15</v>
      </c>
      <c r="X74" s="12"/>
      <c r="Y74" s="12"/>
      <c r="Z74" s="12"/>
      <c r="AA74" s="12"/>
      <c r="AB74" s="12"/>
      <c r="AD74" s="31"/>
      <c r="AE74" s="12"/>
      <c r="AF74" s="197"/>
      <c r="AG74" s="197"/>
      <c r="AH74" s="197"/>
      <c r="AI74" s="197"/>
      <c r="AJ74" s="12"/>
      <c r="AK74" s="12"/>
      <c r="AL74" s="12"/>
      <c r="AM74" s="12"/>
      <c r="AN74" s="12"/>
      <c r="AO74" s="12"/>
      <c r="AP74" s="12"/>
      <c r="AQ74" s="12"/>
      <c r="AR74" s="12"/>
      <c r="AS74" s="12"/>
      <c r="AT74" s="12"/>
    </row>
    <row r="75" spans="1:46" x14ac:dyDescent="0.25">
      <c r="A75" s="12"/>
      <c r="B75" s="12"/>
      <c r="C75" s="12"/>
      <c r="D75" s="12"/>
      <c r="E75" s="12"/>
      <c r="F75" s="12"/>
      <c r="G75" s="12"/>
      <c r="H75" s="12"/>
      <c r="I75" s="21" t="str">
        <f>IF(COUNTA('[1]Virus production'!A64)=1,('[1]Virus production'!A64),"")</f>
        <v>AAV17</v>
      </c>
      <c r="J75" s="12"/>
      <c r="L75" s="31">
        <v>43389</v>
      </c>
      <c r="M75" s="12">
        <v>10</v>
      </c>
      <c r="N75" s="197">
        <f t="shared" si="16"/>
        <v>43389</v>
      </c>
      <c r="O75" s="197">
        <f t="shared" si="17"/>
        <v>43374</v>
      </c>
      <c r="P75" s="384">
        <f t="shared" si="18"/>
        <v>10</v>
      </c>
      <c r="Q75" s="384">
        <f t="shared" si="19"/>
        <v>361</v>
      </c>
      <c r="R75" s="12">
        <f t="shared" si="20"/>
        <v>280</v>
      </c>
      <c r="S75" s="12"/>
      <c r="T75" s="31">
        <v>43891</v>
      </c>
      <c r="U75" s="384">
        <v>18</v>
      </c>
      <c r="V75" s="389">
        <f t="shared" si="14"/>
        <v>43891</v>
      </c>
      <c r="W75" s="384">
        <f t="shared" si="15"/>
        <v>18</v>
      </c>
      <c r="X75" s="12"/>
      <c r="Y75" s="12"/>
      <c r="Z75" s="12"/>
      <c r="AA75" s="12"/>
      <c r="AB75" s="12"/>
      <c r="AD75" s="31"/>
      <c r="AE75" s="12"/>
      <c r="AF75" s="197"/>
      <c r="AG75" s="197"/>
      <c r="AH75" s="197"/>
      <c r="AI75" s="197"/>
      <c r="AJ75" s="12"/>
      <c r="AK75" s="12"/>
      <c r="AL75" s="12"/>
      <c r="AM75" s="12"/>
      <c r="AN75" s="12"/>
      <c r="AO75" s="12"/>
      <c r="AP75" s="12"/>
      <c r="AQ75" s="12"/>
      <c r="AR75" s="12"/>
      <c r="AS75" s="12"/>
      <c r="AT75" s="12"/>
    </row>
    <row r="76" spans="1:46" x14ac:dyDescent="0.25">
      <c r="A76" s="12"/>
      <c r="B76" s="12"/>
      <c r="C76" s="12"/>
      <c r="D76" s="12"/>
      <c r="E76" s="12"/>
      <c r="F76" s="12"/>
      <c r="G76" s="12"/>
      <c r="H76" s="12"/>
      <c r="I76" s="21" t="str">
        <f>IF(COUNTA('[1]Virus production'!A65)=1,('[1]Virus production'!A65),"")</f>
        <v>AAV18</v>
      </c>
      <c r="J76" s="12"/>
      <c r="L76" s="31">
        <v>43391</v>
      </c>
      <c r="M76" s="12">
        <v>3</v>
      </c>
      <c r="N76" s="197">
        <f t="shared" si="16"/>
        <v>43391</v>
      </c>
      <c r="O76" s="197">
        <f t="shared" si="17"/>
        <v>43374</v>
      </c>
      <c r="P76" s="384">
        <f t="shared" si="18"/>
        <v>3</v>
      </c>
      <c r="Q76" s="384">
        <f t="shared" si="19"/>
        <v>363</v>
      </c>
      <c r="R76" s="12">
        <f t="shared" si="20"/>
        <v>283</v>
      </c>
      <c r="S76" s="12"/>
      <c r="T76" s="31">
        <v>43922</v>
      </c>
      <c r="U76" s="384">
        <v>11</v>
      </c>
      <c r="V76" s="389">
        <f t="shared" si="14"/>
        <v>43922</v>
      </c>
      <c r="W76" s="384">
        <f t="shared" si="15"/>
        <v>11</v>
      </c>
      <c r="X76" s="12"/>
      <c r="Y76" s="12"/>
      <c r="Z76" s="12"/>
      <c r="AA76" s="12"/>
      <c r="AB76" s="12"/>
      <c r="AD76" s="31"/>
      <c r="AE76" s="12"/>
      <c r="AF76" s="197"/>
      <c r="AG76" s="197"/>
      <c r="AH76" s="197"/>
      <c r="AI76" s="197"/>
      <c r="AJ76" s="12"/>
      <c r="AK76" s="12"/>
      <c r="AL76" s="12"/>
      <c r="AM76" s="12"/>
      <c r="AN76" s="12"/>
      <c r="AO76" s="12"/>
      <c r="AP76" s="12"/>
      <c r="AQ76" s="12"/>
      <c r="AR76" s="12"/>
      <c r="AS76" s="12"/>
      <c r="AT76" s="12"/>
    </row>
    <row r="77" spans="1:46" x14ac:dyDescent="0.25">
      <c r="A77" s="12"/>
      <c r="B77" s="12"/>
      <c r="C77" s="12"/>
      <c r="D77" s="12"/>
      <c r="E77" s="12"/>
      <c r="F77" s="12"/>
      <c r="G77" s="12"/>
      <c r="H77" s="12"/>
      <c r="I77" s="21" t="str">
        <f>IF(COUNTA('[1]Virus production'!A66)=1,('[1]Virus production'!A66),"")</f>
        <v>AAV24</v>
      </c>
      <c r="J77" s="12"/>
      <c r="L77" s="31">
        <v>43392</v>
      </c>
      <c r="M77" s="12">
        <v>2</v>
      </c>
      <c r="N77" s="197">
        <f t="shared" si="16"/>
        <v>43392</v>
      </c>
      <c r="O77" s="197">
        <f t="shared" si="17"/>
        <v>43374</v>
      </c>
      <c r="P77" s="384">
        <f t="shared" si="18"/>
        <v>2</v>
      </c>
      <c r="Q77" s="384">
        <f t="shared" si="19"/>
        <v>364</v>
      </c>
      <c r="R77" s="12">
        <f t="shared" si="20"/>
        <v>285</v>
      </c>
      <c r="S77" s="12"/>
      <c r="T77" s="31">
        <v>43952</v>
      </c>
      <c r="U77" s="384">
        <v>10</v>
      </c>
      <c r="V77" s="389">
        <f t="shared" si="14"/>
        <v>43952</v>
      </c>
      <c r="W77" s="384">
        <f t="shared" si="15"/>
        <v>10</v>
      </c>
      <c r="X77" s="12"/>
      <c r="Y77" s="12"/>
      <c r="Z77" s="12"/>
      <c r="AA77" s="12"/>
      <c r="AB77" s="12"/>
      <c r="AD77" s="31"/>
      <c r="AE77" s="12"/>
      <c r="AF77" s="197"/>
      <c r="AG77" s="197"/>
      <c r="AH77" s="197"/>
      <c r="AI77" s="197"/>
      <c r="AJ77" s="12"/>
      <c r="AK77" s="12"/>
      <c r="AL77" s="12"/>
      <c r="AM77" s="12"/>
      <c r="AN77" s="12"/>
      <c r="AO77" s="12"/>
      <c r="AP77" s="12"/>
      <c r="AQ77" s="12"/>
      <c r="AR77" s="12"/>
      <c r="AS77" s="12"/>
      <c r="AT77" s="12"/>
    </row>
    <row r="78" spans="1:46" x14ac:dyDescent="0.25">
      <c r="A78" s="12"/>
      <c r="B78" s="12"/>
      <c r="C78" s="12"/>
      <c r="D78" s="12"/>
      <c r="E78" s="12"/>
      <c r="F78" s="12"/>
      <c r="G78" s="12"/>
      <c r="H78" s="12"/>
      <c r="I78" s="21" t="str">
        <f>IF(COUNTA('[1]Virus production'!A67)=1,('[1]Virus production'!A67),"")</f>
        <v>AAV25</v>
      </c>
      <c r="J78" s="12"/>
      <c r="L78" s="31">
        <v>43403</v>
      </c>
      <c r="M78" s="12">
        <v>3</v>
      </c>
      <c r="N78" s="197">
        <f t="shared" si="16"/>
        <v>43403</v>
      </c>
      <c r="O78" s="197">
        <f t="shared" si="17"/>
        <v>43374</v>
      </c>
      <c r="P78" s="384">
        <f t="shared" si="18"/>
        <v>3</v>
      </c>
      <c r="Q78" s="384">
        <f t="shared" si="19"/>
        <v>375</v>
      </c>
      <c r="R78" s="12">
        <f t="shared" si="20"/>
        <v>288</v>
      </c>
      <c r="S78" s="12"/>
      <c r="T78" s="31">
        <v>43983</v>
      </c>
      <c r="U78" s="384">
        <v>17</v>
      </c>
      <c r="V78" s="389">
        <f t="shared" si="14"/>
        <v>43983</v>
      </c>
      <c r="W78" s="384">
        <f t="shared" si="15"/>
        <v>17</v>
      </c>
      <c r="X78" s="12"/>
      <c r="Y78" s="12"/>
      <c r="Z78" s="12"/>
      <c r="AA78" s="12"/>
      <c r="AB78" s="12"/>
      <c r="AD78" s="31"/>
      <c r="AE78" s="12"/>
      <c r="AF78" s="197"/>
      <c r="AG78" s="197"/>
      <c r="AH78" s="197"/>
      <c r="AI78" s="197"/>
      <c r="AJ78" s="12"/>
      <c r="AK78" s="12"/>
      <c r="AL78" s="12"/>
      <c r="AM78" s="12"/>
      <c r="AN78" s="12"/>
      <c r="AO78" s="12"/>
      <c r="AP78" s="12"/>
      <c r="AQ78" s="12"/>
      <c r="AR78" s="12"/>
      <c r="AS78" s="12"/>
      <c r="AT78" s="12"/>
    </row>
    <row r="79" spans="1:46" x14ac:dyDescent="0.25">
      <c r="A79" s="12"/>
      <c r="B79" s="12"/>
      <c r="C79" s="12"/>
      <c r="D79" s="12"/>
      <c r="E79" s="12"/>
      <c r="F79" s="12"/>
      <c r="G79" s="12"/>
      <c r="H79" s="12"/>
      <c r="I79" s="21" t="str">
        <f>IF(COUNTA('[1]Virus production'!A68)=1,('[1]Virus production'!A68),"")</f>
        <v>AAV26</v>
      </c>
      <c r="J79" s="12"/>
      <c r="L79" s="31">
        <v>43409</v>
      </c>
      <c r="M79" s="12">
        <v>4</v>
      </c>
      <c r="N79" s="197">
        <f t="shared" si="16"/>
        <v>43409</v>
      </c>
      <c r="O79" s="197">
        <f t="shared" si="17"/>
        <v>43405</v>
      </c>
      <c r="P79" s="384">
        <f t="shared" si="18"/>
        <v>4</v>
      </c>
      <c r="Q79" s="384">
        <f t="shared" si="19"/>
        <v>381</v>
      </c>
      <c r="R79" s="12">
        <f t="shared" si="20"/>
        <v>292</v>
      </c>
      <c r="S79" s="12"/>
      <c r="T79" s="31">
        <v>44013</v>
      </c>
      <c r="U79" s="384">
        <v>30</v>
      </c>
      <c r="V79" s="389">
        <f t="shared" si="14"/>
        <v>44013</v>
      </c>
      <c r="W79" s="384">
        <f t="shared" si="15"/>
        <v>30</v>
      </c>
      <c r="X79" s="12"/>
      <c r="Y79" s="12"/>
      <c r="Z79" s="12"/>
      <c r="AA79" s="12"/>
      <c r="AB79" s="12"/>
      <c r="AD79" s="31"/>
      <c r="AE79" s="12"/>
      <c r="AF79" s="197"/>
      <c r="AG79" s="197"/>
      <c r="AH79" s="197"/>
      <c r="AI79" s="197"/>
      <c r="AJ79" s="12"/>
      <c r="AK79" s="12"/>
      <c r="AL79" s="12"/>
      <c r="AM79" s="12"/>
      <c r="AN79" s="12"/>
      <c r="AO79" s="12"/>
      <c r="AP79" s="12"/>
      <c r="AQ79" s="12"/>
      <c r="AR79" s="12"/>
      <c r="AS79" s="12"/>
      <c r="AT79" s="12"/>
    </row>
    <row r="80" spans="1:46" x14ac:dyDescent="0.25">
      <c r="A80" s="12"/>
      <c r="B80" s="12"/>
      <c r="C80" s="12"/>
      <c r="D80" s="12"/>
      <c r="E80" s="12"/>
      <c r="F80" s="12"/>
      <c r="G80" s="12"/>
      <c r="H80" s="12"/>
      <c r="I80" s="20" t="s">
        <v>3175</v>
      </c>
      <c r="J80" s="12"/>
      <c r="L80" s="31">
        <v>43416</v>
      </c>
      <c r="M80" s="12">
        <v>4</v>
      </c>
      <c r="N80" s="197">
        <f t="shared" si="16"/>
        <v>43416</v>
      </c>
      <c r="O80" s="197">
        <f t="shared" si="17"/>
        <v>43405</v>
      </c>
      <c r="P80" s="384">
        <f t="shared" si="18"/>
        <v>4</v>
      </c>
      <c r="Q80" s="384">
        <f t="shared" si="19"/>
        <v>388</v>
      </c>
      <c r="R80" s="12">
        <f t="shared" si="20"/>
        <v>296</v>
      </c>
      <c r="S80" s="12"/>
      <c r="T80" s="31">
        <v>44044</v>
      </c>
      <c r="U80" s="384">
        <v>24</v>
      </c>
      <c r="V80" s="389">
        <f t="shared" si="14"/>
        <v>44044</v>
      </c>
      <c r="W80" s="384">
        <f t="shared" si="15"/>
        <v>24</v>
      </c>
      <c r="X80" s="12"/>
      <c r="Y80" s="12"/>
      <c r="Z80" s="12"/>
      <c r="AA80" s="12"/>
      <c r="AB80" s="12"/>
      <c r="AD80" s="31"/>
      <c r="AE80" s="12"/>
      <c r="AF80" s="197"/>
      <c r="AG80" s="197"/>
      <c r="AH80" s="197"/>
      <c r="AI80" s="197"/>
      <c r="AJ80" s="12"/>
      <c r="AK80" s="12"/>
      <c r="AL80" s="12"/>
      <c r="AM80" s="12"/>
      <c r="AN80" s="12"/>
      <c r="AO80" s="12"/>
      <c r="AP80" s="12"/>
      <c r="AQ80" s="12"/>
      <c r="AR80" s="12"/>
      <c r="AS80" s="12"/>
      <c r="AT80" s="12"/>
    </row>
    <row r="81" spans="1:46" x14ac:dyDescent="0.25">
      <c r="A81" s="12"/>
      <c r="B81" s="12"/>
      <c r="C81" s="12"/>
      <c r="D81" s="12"/>
      <c r="E81" s="12"/>
      <c r="F81" s="12"/>
      <c r="G81" s="12"/>
      <c r="H81" s="12"/>
      <c r="I81" s="20" t="s">
        <v>3176</v>
      </c>
      <c r="J81" s="12"/>
      <c r="L81" s="31">
        <v>43423</v>
      </c>
      <c r="M81" s="12">
        <v>4</v>
      </c>
      <c r="N81" s="197">
        <f t="shared" si="16"/>
        <v>43423</v>
      </c>
      <c r="O81" s="197">
        <f t="shared" si="17"/>
        <v>43405</v>
      </c>
      <c r="P81" s="384">
        <f t="shared" si="18"/>
        <v>4</v>
      </c>
      <c r="Q81" s="384">
        <f t="shared" si="19"/>
        <v>395</v>
      </c>
      <c r="R81" s="12">
        <f t="shared" si="20"/>
        <v>300</v>
      </c>
      <c r="S81" s="12"/>
      <c r="T81" s="31">
        <v>44075</v>
      </c>
      <c r="U81" s="384">
        <v>16</v>
      </c>
      <c r="V81" s="389">
        <f t="shared" si="14"/>
        <v>44075</v>
      </c>
      <c r="W81" s="384">
        <f t="shared" si="15"/>
        <v>16</v>
      </c>
      <c r="X81" s="12"/>
      <c r="Y81" s="12"/>
      <c r="Z81" s="12"/>
      <c r="AA81" s="12"/>
      <c r="AB81" s="12"/>
      <c r="AD81" s="31"/>
      <c r="AE81" s="12"/>
      <c r="AF81" s="197"/>
      <c r="AG81" s="197"/>
      <c r="AH81" s="197"/>
      <c r="AI81" s="197"/>
      <c r="AJ81" s="12"/>
      <c r="AK81" s="12"/>
      <c r="AL81" s="12"/>
      <c r="AM81" s="12"/>
      <c r="AN81" s="12"/>
      <c r="AO81" s="12"/>
      <c r="AP81" s="12"/>
      <c r="AQ81" s="12"/>
      <c r="AR81" s="12"/>
      <c r="AS81" s="12"/>
      <c r="AT81" s="12"/>
    </row>
    <row r="82" spans="1:46" x14ac:dyDescent="0.25">
      <c r="A82" s="12"/>
      <c r="B82" s="12"/>
      <c r="C82" s="12"/>
      <c r="D82" s="12"/>
      <c r="E82" s="12"/>
      <c r="F82" s="12"/>
      <c r="G82" s="12"/>
      <c r="H82" s="12"/>
      <c r="I82" s="21" t="str">
        <f>IF(COUNTA('[1]Virus production'!A69)=1,('[1]Virus production'!A69),"")</f>
        <v>AAV28</v>
      </c>
      <c r="J82" s="12"/>
      <c r="L82" s="31">
        <v>43429</v>
      </c>
      <c r="M82" s="12">
        <v>5</v>
      </c>
      <c r="N82" s="197">
        <f t="shared" si="16"/>
        <v>43429</v>
      </c>
      <c r="O82" s="197">
        <f t="shared" si="17"/>
        <v>43405</v>
      </c>
      <c r="P82" s="384">
        <f t="shared" si="18"/>
        <v>5</v>
      </c>
      <c r="Q82" s="384">
        <f t="shared" si="19"/>
        <v>401</v>
      </c>
      <c r="R82" s="12">
        <f t="shared" si="20"/>
        <v>305</v>
      </c>
      <c r="S82" s="12"/>
      <c r="T82" s="31">
        <v>44105</v>
      </c>
      <c r="U82" s="384">
        <v>8</v>
      </c>
      <c r="V82" s="389">
        <f t="shared" si="14"/>
        <v>44105</v>
      </c>
      <c r="W82" s="384">
        <f t="shared" si="15"/>
        <v>8</v>
      </c>
      <c r="X82" s="12"/>
      <c r="Y82" s="12"/>
      <c r="Z82" s="12"/>
      <c r="AA82" s="12"/>
      <c r="AB82" s="12"/>
      <c r="AD82" s="31"/>
      <c r="AE82" s="12"/>
      <c r="AF82" s="197"/>
      <c r="AG82" s="197"/>
      <c r="AH82" s="197"/>
      <c r="AI82" s="197"/>
      <c r="AJ82" s="12"/>
      <c r="AK82" s="12"/>
      <c r="AL82" s="12"/>
      <c r="AM82" s="12"/>
      <c r="AN82" s="12"/>
      <c r="AO82" s="12"/>
      <c r="AP82" s="12"/>
      <c r="AQ82" s="12"/>
      <c r="AR82" s="12"/>
      <c r="AS82" s="12"/>
      <c r="AT82" s="12"/>
    </row>
    <row r="83" spans="1:46" x14ac:dyDescent="0.25">
      <c r="A83" s="12"/>
      <c r="B83" s="12"/>
      <c r="C83" s="12"/>
      <c r="D83" s="12"/>
      <c r="E83" s="12"/>
      <c r="F83" s="12"/>
      <c r="G83" s="12"/>
      <c r="H83" s="12"/>
      <c r="I83" s="21" t="str">
        <f>IF(COUNTA('[1]Virus production'!A70)=1,('[1]Virus production'!A70),"")</f>
        <v>AAV29</v>
      </c>
      <c r="J83" s="12"/>
      <c r="L83" s="31">
        <v>43431</v>
      </c>
      <c r="M83" s="12">
        <v>3</v>
      </c>
      <c r="N83" s="197">
        <f t="shared" si="16"/>
        <v>43431</v>
      </c>
      <c r="O83" s="197">
        <f t="shared" si="17"/>
        <v>43405</v>
      </c>
      <c r="P83" s="384">
        <f t="shared" si="18"/>
        <v>3</v>
      </c>
      <c r="Q83" s="384">
        <f t="shared" si="19"/>
        <v>403</v>
      </c>
      <c r="R83" s="12">
        <f t="shared" si="20"/>
        <v>308</v>
      </c>
      <c r="S83" s="12"/>
      <c r="T83" s="31">
        <v>44136</v>
      </c>
      <c r="U83" s="384">
        <v>16</v>
      </c>
      <c r="V83" s="389">
        <f t="shared" si="14"/>
        <v>44136</v>
      </c>
      <c r="W83" s="384">
        <f t="shared" si="15"/>
        <v>16</v>
      </c>
      <c r="X83" s="12"/>
      <c r="Y83" s="12"/>
      <c r="Z83" s="12"/>
      <c r="AA83" s="12"/>
      <c r="AB83" s="12"/>
      <c r="AD83" s="31"/>
      <c r="AE83" s="12"/>
      <c r="AF83" s="197"/>
      <c r="AG83" s="197"/>
      <c r="AH83" s="197"/>
      <c r="AI83" s="197"/>
      <c r="AJ83" s="12"/>
      <c r="AK83" s="12"/>
      <c r="AL83" s="12"/>
      <c r="AM83" s="12"/>
      <c r="AN83" s="12"/>
      <c r="AO83" s="12"/>
      <c r="AP83" s="12"/>
      <c r="AQ83" s="12"/>
      <c r="AR83" s="12"/>
      <c r="AS83" s="12"/>
      <c r="AT83" s="12"/>
    </row>
    <row r="84" spans="1:46" x14ac:dyDescent="0.25">
      <c r="A84" s="12"/>
      <c r="B84" s="12"/>
      <c r="C84" s="12"/>
      <c r="D84" s="12"/>
      <c r="E84" s="12"/>
      <c r="F84" s="12"/>
      <c r="G84" s="12"/>
      <c r="H84" s="12"/>
      <c r="I84" s="21" t="str">
        <f>IF(COUNTA('[1]Virus production'!A71)=1,('[1]Virus production'!A71),"")</f>
        <v>AAV39</v>
      </c>
      <c r="J84" s="12"/>
      <c r="L84" s="31">
        <v>43433</v>
      </c>
      <c r="M84" s="12">
        <v>3</v>
      </c>
      <c r="N84" s="197">
        <f t="shared" si="16"/>
        <v>43433</v>
      </c>
      <c r="O84" s="197">
        <f t="shared" si="17"/>
        <v>43405</v>
      </c>
      <c r="P84" s="384">
        <f t="shared" si="18"/>
        <v>3</v>
      </c>
      <c r="Q84" s="384">
        <f t="shared" si="19"/>
        <v>405</v>
      </c>
      <c r="R84" s="12">
        <f t="shared" si="20"/>
        <v>311</v>
      </c>
      <c r="S84" s="12"/>
      <c r="T84" s="31">
        <v>44166</v>
      </c>
      <c r="U84" s="384">
        <v>15</v>
      </c>
      <c r="V84" s="389">
        <f t="shared" si="14"/>
        <v>44166</v>
      </c>
      <c r="W84" s="384">
        <f t="shared" si="15"/>
        <v>15</v>
      </c>
      <c r="X84" s="12"/>
      <c r="Y84" s="12"/>
      <c r="Z84" s="12"/>
      <c r="AA84" s="12"/>
      <c r="AB84" s="12"/>
      <c r="AD84" s="31"/>
      <c r="AE84" s="12"/>
      <c r="AF84" s="197"/>
      <c r="AG84" s="197"/>
      <c r="AH84" s="197"/>
      <c r="AI84" s="197"/>
      <c r="AJ84" s="12"/>
      <c r="AK84" s="12"/>
      <c r="AL84" s="12"/>
      <c r="AM84" s="12"/>
      <c r="AN84" s="12"/>
      <c r="AO84" s="12"/>
      <c r="AP84" s="12"/>
      <c r="AQ84" s="12"/>
      <c r="AR84" s="12"/>
      <c r="AS84" s="12"/>
      <c r="AT84" s="12"/>
    </row>
    <row r="85" spans="1:46" x14ac:dyDescent="0.25">
      <c r="A85" s="12"/>
      <c r="B85" s="12"/>
      <c r="C85" s="12"/>
      <c r="D85" s="12"/>
      <c r="E85" s="12"/>
      <c r="F85" s="12"/>
      <c r="G85" s="12"/>
      <c r="H85" s="12"/>
      <c r="I85" s="21" t="str">
        <f>IF(COUNTA('[1]Virus production'!A73)=1,('[1]Virus production'!A73),"")</f>
        <v>AAV60</v>
      </c>
      <c r="J85" s="12"/>
      <c r="L85" s="31">
        <v>43446</v>
      </c>
      <c r="M85" s="12">
        <v>3</v>
      </c>
      <c r="N85" s="197">
        <f t="shared" si="16"/>
        <v>43446</v>
      </c>
      <c r="O85" s="197">
        <f t="shared" si="17"/>
        <v>43435</v>
      </c>
      <c r="P85" s="384">
        <f t="shared" si="18"/>
        <v>3</v>
      </c>
      <c r="Q85" s="384">
        <f t="shared" si="19"/>
        <v>418</v>
      </c>
      <c r="R85" s="12">
        <f t="shared" si="20"/>
        <v>314</v>
      </c>
      <c r="S85" s="12"/>
      <c r="T85" s="31">
        <v>44197</v>
      </c>
      <c r="U85" s="384">
        <v>11</v>
      </c>
      <c r="V85" s="389">
        <f t="shared" si="14"/>
        <v>44197</v>
      </c>
      <c r="W85" s="384">
        <f t="shared" si="15"/>
        <v>11</v>
      </c>
      <c r="X85" s="12"/>
      <c r="Y85" s="12"/>
      <c r="Z85" s="12"/>
      <c r="AA85" s="12"/>
      <c r="AB85" s="12"/>
      <c r="AD85" s="31"/>
      <c r="AE85" s="12"/>
      <c r="AF85" s="197"/>
      <c r="AG85" s="197"/>
      <c r="AH85" s="197"/>
      <c r="AI85" s="197"/>
      <c r="AJ85" s="12"/>
      <c r="AK85" s="12"/>
      <c r="AL85" s="12"/>
      <c r="AM85" s="12"/>
      <c r="AN85" s="12"/>
      <c r="AO85" s="12"/>
      <c r="AP85" s="12"/>
      <c r="AQ85" s="12"/>
      <c r="AR85" s="12"/>
      <c r="AS85" s="12"/>
      <c r="AT85" s="12"/>
    </row>
    <row r="86" spans="1:46" x14ac:dyDescent="0.25">
      <c r="A86" s="12"/>
      <c r="B86" s="12"/>
      <c r="C86" s="12"/>
      <c r="D86" s="12"/>
      <c r="E86" s="12"/>
      <c r="F86" s="12"/>
      <c r="G86" s="12"/>
      <c r="H86" s="12"/>
      <c r="I86" s="21" t="str">
        <f>IF(COUNTA('[1]Virus production'!A74)=1,('[1]Virus production'!A74),"")</f>
        <v>AAV61</v>
      </c>
      <c r="J86" s="12"/>
      <c r="L86" s="31">
        <v>43449</v>
      </c>
      <c r="M86" s="12">
        <v>5</v>
      </c>
      <c r="N86" s="197">
        <f t="shared" si="16"/>
        <v>43449</v>
      </c>
      <c r="O86" s="197">
        <f t="shared" si="17"/>
        <v>43435</v>
      </c>
      <c r="P86" s="384">
        <f t="shared" si="18"/>
        <v>5</v>
      </c>
      <c r="Q86" s="384">
        <f t="shared" si="19"/>
        <v>421</v>
      </c>
      <c r="R86" s="12">
        <f t="shared" si="20"/>
        <v>319</v>
      </c>
      <c r="S86" s="12"/>
      <c r="T86" s="31">
        <v>44228</v>
      </c>
      <c r="U86" s="384">
        <v>18</v>
      </c>
      <c r="V86" s="389">
        <f t="shared" si="14"/>
        <v>44228</v>
      </c>
      <c r="W86" s="384">
        <f t="shared" si="15"/>
        <v>18</v>
      </c>
      <c r="X86" s="12"/>
      <c r="Y86" s="12"/>
      <c r="Z86" s="12"/>
      <c r="AA86" s="12"/>
      <c r="AB86" s="12"/>
      <c r="AD86" s="31"/>
      <c r="AE86" s="12"/>
      <c r="AF86" s="197"/>
      <c r="AG86" s="197"/>
      <c r="AH86" s="197"/>
      <c r="AI86" s="197"/>
      <c r="AJ86" s="12"/>
      <c r="AK86" s="12"/>
      <c r="AL86" s="12"/>
      <c r="AM86" s="12"/>
      <c r="AN86" s="12"/>
      <c r="AO86" s="12"/>
      <c r="AP86" s="12"/>
      <c r="AQ86" s="12"/>
      <c r="AR86" s="12"/>
      <c r="AS86" s="12"/>
      <c r="AT86" s="12"/>
    </row>
    <row r="87" spans="1:46" x14ac:dyDescent="0.25">
      <c r="A87" s="12"/>
      <c r="B87" s="12"/>
      <c r="C87" s="12"/>
      <c r="D87" s="12"/>
      <c r="E87" s="12"/>
      <c r="F87" s="12"/>
      <c r="G87" s="12"/>
      <c r="H87" s="12"/>
      <c r="I87" s="21" t="str">
        <f>IF(COUNTA('[1]Virus production'!A75)=1,('[1]Virus production'!A75),"")</f>
        <v>AAV62</v>
      </c>
      <c r="J87" s="12"/>
      <c r="L87" s="31">
        <v>43452</v>
      </c>
      <c r="M87" s="12">
        <v>2</v>
      </c>
      <c r="N87" s="197">
        <f t="shared" si="16"/>
        <v>43452</v>
      </c>
      <c r="O87" s="197">
        <f t="shared" si="17"/>
        <v>43435</v>
      </c>
      <c r="P87" s="384">
        <f t="shared" si="18"/>
        <v>2</v>
      </c>
      <c r="Q87" s="384">
        <f t="shared" si="19"/>
        <v>424</v>
      </c>
      <c r="R87" s="12">
        <f t="shared" si="20"/>
        <v>321</v>
      </c>
      <c r="S87" s="12"/>
      <c r="T87" s="31">
        <v>44256</v>
      </c>
      <c r="U87" s="384">
        <v>13</v>
      </c>
      <c r="V87" s="389">
        <f t="shared" si="14"/>
        <v>44256</v>
      </c>
      <c r="W87" s="384">
        <f t="shared" si="15"/>
        <v>13</v>
      </c>
      <c r="X87" s="12"/>
      <c r="Y87" s="12"/>
      <c r="Z87" s="12"/>
      <c r="AA87" s="12"/>
      <c r="AB87" s="12"/>
      <c r="AD87" s="31"/>
      <c r="AE87" s="12"/>
      <c r="AF87" s="197"/>
      <c r="AG87" s="197"/>
      <c r="AH87" s="197"/>
      <c r="AI87" s="197"/>
      <c r="AJ87" s="12"/>
      <c r="AK87" s="12"/>
      <c r="AL87" s="12"/>
      <c r="AM87" s="12"/>
      <c r="AN87" s="12"/>
      <c r="AO87" s="12"/>
      <c r="AP87" s="12"/>
      <c r="AQ87" s="12"/>
      <c r="AR87" s="12"/>
      <c r="AS87" s="12"/>
      <c r="AT87" s="12"/>
    </row>
    <row r="88" spans="1:46" x14ac:dyDescent="0.25">
      <c r="A88" s="12"/>
      <c r="B88" s="12"/>
      <c r="C88" s="12"/>
      <c r="D88" s="12"/>
      <c r="E88" s="12"/>
      <c r="F88" s="12"/>
      <c r="G88" s="12"/>
      <c r="H88" s="12"/>
      <c r="I88" s="21" t="str">
        <f>IF(COUNTA('[1]Virus production'!A76)=1,('[1]Virus production'!A76),"")</f>
        <v>AAV68</v>
      </c>
      <c r="J88" s="12"/>
      <c r="L88" s="31">
        <v>43453</v>
      </c>
      <c r="M88" s="12">
        <v>3</v>
      </c>
      <c r="N88" s="197">
        <f t="shared" si="16"/>
        <v>43453</v>
      </c>
      <c r="O88" s="197">
        <f t="shared" si="17"/>
        <v>43435</v>
      </c>
      <c r="P88" s="384">
        <f t="shared" si="18"/>
        <v>3</v>
      </c>
      <c r="Q88" s="384">
        <f t="shared" si="19"/>
        <v>425</v>
      </c>
      <c r="R88" s="12">
        <f t="shared" si="20"/>
        <v>324</v>
      </c>
      <c r="S88" s="12"/>
      <c r="T88" s="31">
        <v>44287</v>
      </c>
      <c r="U88" s="384">
        <v>4</v>
      </c>
      <c r="V88" s="389">
        <f t="shared" si="14"/>
        <v>44287</v>
      </c>
      <c r="W88" s="384">
        <f t="shared" si="15"/>
        <v>4</v>
      </c>
      <c r="X88" s="12"/>
      <c r="Y88" s="12"/>
      <c r="Z88" s="12"/>
      <c r="AA88" s="12"/>
      <c r="AB88" s="12"/>
      <c r="AD88" s="31"/>
      <c r="AE88" s="12"/>
      <c r="AF88" s="197"/>
      <c r="AG88" s="197"/>
      <c r="AH88" s="197"/>
      <c r="AI88" s="197"/>
      <c r="AJ88" s="12"/>
      <c r="AK88" s="12"/>
      <c r="AL88" s="12"/>
      <c r="AM88" s="12"/>
      <c r="AN88" s="12"/>
      <c r="AO88" s="12"/>
      <c r="AP88" s="12"/>
      <c r="AQ88" s="12"/>
      <c r="AR88" s="12"/>
      <c r="AS88" s="12"/>
      <c r="AT88" s="12"/>
    </row>
    <row r="89" spans="1:46" x14ac:dyDescent="0.25">
      <c r="A89" s="12"/>
      <c r="B89" s="12"/>
      <c r="C89" s="12"/>
      <c r="D89" s="12"/>
      <c r="E89" s="12"/>
      <c r="F89" s="12"/>
      <c r="G89" s="12"/>
      <c r="H89" s="12"/>
      <c r="I89" s="21" t="str">
        <f>IF(COUNTA('[1]Virus production'!A77)=1,('[1]Virus production'!A77),"")</f>
        <v>AAV69</v>
      </c>
      <c r="J89" s="12"/>
      <c r="L89" s="31">
        <v>43454</v>
      </c>
      <c r="M89" s="12">
        <v>2</v>
      </c>
      <c r="N89" s="197">
        <f t="shared" si="16"/>
        <v>43454</v>
      </c>
      <c r="O89" s="197">
        <f t="shared" si="17"/>
        <v>43435</v>
      </c>
      <c r="P89" s="384">
        <f t="shared" si="18"/>
        <v>2</v>
      </c>
      <c r="Q89" s="384">
        <f t="shared" si="19"/>
        <v>426</v>
      </c>
      <c r="R89" s="12">
        <f t="shared" si="20"/>
        <v>326</v>
      </c>
      <c r="S89" s="12"/>
      <c r="T89" s="31">
        <v>44317</v>
      </c>
      <c r="U89" s="384">
        <v>14</v>
      </c>
      <c r="V89" s="389">
        <f t="shared" si="14"/>
        <v>44317</v>
      </c>
      <c r="W89" s="384">
        <f t="shared" si="15"/>
        <v>14</v>
      </c>
      <c r="X89" s="12"/>
      <c r="Y89" s="12"/>
      <c r="Z89" s="12"/>
      <c r="AA89" s="12"/>
      <c r="AB89" s="12"/>
      <c r="AD89" s="31"/>
      <c r="AE89" s="12"/>
      <c r="AF89" s="197"/>
      <c r="AG89" s="197"/>
      <c r="AH89" s="197"/>
      <c r="AI89" s="197"/>
      <c r="AJ89" s="12"/>
      <c r="AK89" s="12"/>
      <c r="AL89" s="12"/>
      <c r="AM89" s="12"/>
      <c r="AN89" s="12"/>
      <c r="AO89" s="12"/>
      <c r="AP89" s="12"/>
      <c r="AQ89" s="12"/>
      <c r="AR89" s="12"/>
      <c r="AS89" s="12"/>
      <c r="AT89" s="12"/>
    </row>
    <row r="90" spans="1:46" x14ac:dyDescent="0.25">
      <c r="A90" s="12"/>
      <c r="B90" s="12"/>
      <c r="C90" s="12"/>
      <c r="D90" s="12"/>
      <c r="E90" s="12"/>
      <c r="F90" s="12"/>
      <c r="G90" s="12"/>
      <c r="H90" s="12"/>
      <c r="I90" s="21" t="str">
        <f>IF(COUNTA('[1]Virus production'!A78)=1,('[1]Virus production'!A78),"")</f>
        <v>AAV70</v>
      </c>
      <c r="J90" s="12"/>
      <c r="L90" s="31">
        <v>43467</v>
      </c>
      <c r="M90" s="12">
        <v>5</v>
      </c>
      <c r="N90" s="197">
        <f t="shared" si="16"/>
        <v>43467</v>
      </c>
      <c r="O90" s="197">
        <f t="shared" si="17"/>
        <v>43466</v>
      </c>
      <c r="P90" s="384">
        <f t="shared" si="18"/>
        <v>5</v>
      </c>
      <c r="Q90" s="384">
        <f t="shared" si="19"/>
        <v>439</v>
      </c>
      <c r="R90" s="12">
        <f t="shared" si="20"/>
        <v>331</v>
      </c>
      <c r="S90" s="12"/>
      <c r="T90" s="31">
        <v>44348</v>
      </c>
      <c r="U90" s="384">
        <v>8</v>
      </c>
      <c r="V90" s="389">
        <f t="shared" si="14"/>
        <v>44348</v>
      </c>
      <c r="W90" s="384">
        <f t="shared" si="15"/>
        <v>8</v>
      </c>
      <c r="X90" s="12"/>
      <c r="Y90" s="12"/>
      <c r="Z90" s="12"/>
      <c r="AA90" s="12"/>
      <c r="AB90" s="12"/>
      <c r="AD90" s="31"/>
      <c r="AE90" s="12"/>
      <c r="AF90" s="197"/>
      <c r="AG90" s="197"/>
      <c r="AH90" s="197"/>
      <c r="AI90" s="197"/>
      <c r="AJ90" s="12"/>
      <c r="AK90" s="12"/>
      <c r="AL90" s="12"/>
      <c r="AM90" s="12"/>
      <c r="AN90" s="12"/>
      <c r="AO90" s="12"/>
      <c r="AP90" s="12"/>
      <c r="AQ90" s="12"/>
      <c r="AR90" s="12"/>
      <c r="AS90" s="12"/>
      <c r="AT90" s="12"/>
    </row>
    <row r="91" spans="1:46" x14ac:dyDescent="0.25">
      <c r="A91" s="12"/>
      <c r="B91" s="12"/>
      <c r="C91" s="12"/>
      <c r="D91" s="12"/>
      <c r="E91" s="12"/>
      <c r="F91" s="12"/>
      <c r="G91" s="12"/>
      <c r="H91" s="12"/>
      <c r="I91" s="21" t="str">
        <f>IF(COUNTA('[1]Virus production'!A79)=1,('[1]Virus production'!A79),"")</f>
        <v>AAV72</v>
      </c>
      <c r="J91" s="12"/>
      <c r="L91" s="31">
        <v>43473</v>
      </c>
      <c r="M91" s="12">
        <v>2</v>
      </c>
      <c r="N91" s="197">
        <f t="shared" si="16"/>
        <v>43473</v>
      </c>
      <c r="O91" s="197">
        <f t="shared" si="17"/>
        <v>43466</v>
      </c>
      <c r="P91" s="384">
        <f t="shared" si="18"/>
        <v>2</v>
      </c>
      <c r="Q91" s="384">
        <f t="shared" si="19"/>
        <v>445</v>
      </c>
      <c r="R91" s="12">
        <f t="shared" si="20"/>
        <v>333</v>
      </c>
      <c r="S91" s="12"/>
      <c r="T91" s="31">
        <v>44378</v>
      </c>
      <c r="U91" s="384">
        <v>16</v>
      </c>
      <c r="V91" s="389">
        <f t="shared" si="14"/>
        <v>44378</v>
      </c>
      <c r="W91" s="384">
        <f t="shared" si="15"/>
        <v>16</v>
      </c>
      <c r="X91" s="12"/>
      <c r="Y91" s="12"/>
      <c r="Z91" s="12"/>
      <c r="AA91" s="12"/>
      <c r="AB91" s="12"/>
      <c r="AD91" s="31"/>
      <c r="AE91" s="12"/>
      <c r="AF91" s="197"/>
      <c r="AG91" s="197"/>
      <c r="AH91" s="197"/>
      <c r="AI91" s="197"/>
      <c r="AJ91" s="12"/>
      <c r="AK91" s="12"/>
      <c r="AL91" s="12"/>
      <c r="AM91" s="12"/>
      <c r="AN91" s="12"/>
      <c r="AO91" s="12"/>
      <c r="AP91" s="12"/>
      <c r="AQ91" s="12"/>
      <c r="AR91" s="12"/>
      <c r="AS91" s="12"/>
      <c r="AT91" s="12"/>
    </row>
    <row r="92" spans="1:46" x14ac:dyDescent="0.25">
      <c r="A92" s="12"/>
      <c r="B92" s="12"/>
      <c r="C92" s="12"/>
      <c r="D92" s="12"/>
      <c r="E92" s="12"/>
      <c r="F92" s="12"/>
      <c r="G92" s="12"/>
      <c r="H92" s="12"/>
      <c r="I92" s="21" t="str">
        <f>IF(COUNTA('[1]Virus production'!A80)=1,('[1]Virus production'!A80),"")</f>
        <v>AAV75</v>
      </c>
      <c r="J92" s="12"/>
      <c r="L92" s="31">
        <v>43479</v>
      </c>
      <c r="M92" s="12">
        <v>2</v>
      </c>
      <c r="N92" s="197">
        <f t="shared" si="16"/>
        <v>43479</v>
      </c>
      <c r="O92" s="197">
        <f t="shared" si="17"/>
        <v>43466</v>
      </c>
      <c r="P92" s="384">
        <f t="shared" si="18"/>
        <v>2</v>
      </c>
      <c r="Q92" s="384">
        <f t="shared" si="19"/>
        <v>451</v>
      </c>
      <c r="R92" s="12">
        <f t="shared" si="20"/>
        <v>335</v>
      </c>
      <c r="S92" s="12"/>
      <c r="T92" s="31">
        <v>44409</v>
      </c>
      <c r="U92" s="384">
        <v>25</v>
      </c>
      <c r="V92" s="389">
        <f t="shared" si="14"/>
        <v>44409</v>
      </c>
      <c r="W92" s="384">
        <f t="shared" si="15"/>
        <v>25</v>
      </c>
      <c r="X92" s="12"/>
      <c r="Y92" s="12"/>
      <c r="Z92" s="12"/>
      <c r="AA92" s="12"/>
      <c r="AB92" s="12"/>
      <c r="AD92" s="31"/>
      <c r="AE92" s="12"/>
      <c r="AF92" s="197"/>
      <c r="AG92" s="197"/>
      <c r="AH92" s="197"/>
      <c r="AI92" s="197"/>
      <c r="AJ92" s="12"/>
      <c r="AK92" s="12"/>
      <c r="AL92" s="12"/>
      <c r="AM92" s="12"/>
      <c r="AN92" s="12"/>
      <c r="AO92" s="12"/>
      <c r="AP92" s="12"/>
      <c r="AQ92" s="12"/>
      <c r="AR92" s="12"/>
      <c r="AS92" s="12"/>
      <c r="AT92" s="12"/>
    </row>
    <row r="93" spans="1:46" x14ac:dyDescent="0.25">
      <c r="A93" s="12"/>
      <c r="B93" s="12"/>
      <c r="C93" s="12"/>
      <c r="D93" s="12"/>
      <c r="E93" s="12"/>
      <c r="F93" s="12"/>
      <c r="G93" s="12"/>
      <c r="H93" s="12"/>
      <c r="I93" s="21" t="str">
        <f>IF(COUNTA('[1]Virus production'!A81)=1,('[1]Virus production'!A81),"")</f>
        <v>AAV76</v>
      </c>
      <c r="J93" s="12"/>
      <c r="L93" s="31">
        <v>43486</v>
      </c>
      <c r="M93" s="12">
        <v>3</v>
      </c>
      <c r="N93" s="197">
        <f t="shared" si="16"/>
        <v>43486</v>
      </c>
      <c r="O93" s="197">
        <f t="shared" si="17"/>
        <v>43466</v>
      </c>
      <c r="P93" s="384">
        <f t="shared" si="18"/>
        <v>3</v>
      </c>
      <c r="Q93" s="384">
        <f t="shared" si="19"/>
        <v>458</v>
      </c>
      <c r="R93" s="12">
        <f t="shared" si="20"/>
        <v>338</v>
      </c>
      <c r="S93" s="12"/>
      <c r="T93" s="31">
        <v>44440</v>
      </c>
      <c r="U93" s="384">
        <v>18</v>
      </c>
      <c r="V93" s="389">
        <f t="shared" si="14"/>
        <v>44440</v>
      </c>
      <c r="W93" s="384">
        <f t="shared" si="15"/>
        <v>18</v>
      </c>
      <c r="X93" s="12"/>
      <c r="Y93" s="12"/>
      <c r="Z93" s="12"/>
      <c r="AA93" s="12"/>
      <c r="AB93" s="12"/>
      <c r="AD93" s="31"/>
      <c r="AE93" s="12"/>
      <c r="AF93" s="197"/>
      <c r="AG93" s="197"/>
      <c r="AH93" s="197"/>
      <c r="AI93" s="197"/>
      <c r="AJ93" s="12"/>
      <c r="AK93" s="12"/>
      <c r="AL93" s="12"/>
      <c r="AM93" s="12"/>
      <c r="AN93" s="12"/>
      <c r="AO93" s="12"/>
      <c r="AP93" s="12"/>
      <c r="AQ93" s="12"/>
      <c r="AR93" s="12"/>
      <c r="AS93" s="12"/>
      <c r="AT93" s="12"/>
    </row>
    <row r="94" spans="1:46" x14ac:dyDescent="0.25">
      <c r="A94" s="12"/>
      <c r="B94" s="12"/>
      <c r="C94" s="12"/>
      <c r="D94" s="12"/>
      <c r="E94" s="12"/>
      <c r="F94" s="12"/>
      <c r="G94" s="12"/>
      <c r="H94" s="12"/>
      <c r="I94" s="21" t="str">
        <f>IF(COUNTA('[1]Virus production'!A82)=1,('[1]Virus production'!A82),"")</f>
        <v>AAV89</v>
      </c>
      <c r="J94" s="12"/>
      <c r="L94" s="31">
        <v>43488</v>
      </c>
      <c r="M94" s="12">
        <v>6</v>
      </c>
      <c r="N94" s="197">
        <f t="shared" si="16"/>
        <v>43488</v>
      </c>
      <c r="O94" s="197">
        <f t="shared" si="17"/>
        <v>43466</v>
      </c>
      <c r="P94" s="384">
        <f t="shared" si="18"/>
        <v>6</v>
      </c>
      <c r="Q94" s="384">
        <f t="shared" si="19"/>
        <v>460</v>
      </c>
      <c r="R94" s="12">
        <f t="shared" si="20"/>
        <v>344</v>
      </c>
      <c r="S94" s="12"/>
      <c r="T94" s="31">
        <v>44470</v>
      </c>
      <c r="U94" s="384">
        <v>15</v>
      </c>
      <c r="V94" s="389">
        <f t="shared" si="14"/>
        <v>44470</v>
      </c>
      <c r="W94" s="384">
        <f t="shared" si="15"/>
        <v>15</v>
      </c>
      <c r="X94" s="12"/>
      <c r="Y94" s="12"/>
      <c r="Z94" s="12"/>
      <c r="AA94" s="12"/>
      <c r="AB94" s="12"/>
      <c r="AD94" s="31"/>
      <c r="AE94" s="12"/>
      <c r="AF94" s="197"/>
      <c r="AG94" s="197"/>
      <c r="AH94" s="197"/>
      <c r="AI94" s="197"/>
      <c r="AJ94" s="12"/>
      <c r="AK94" s="12"/>
      <c r="AL94" s="12"/>
      <c r="AM94" s="12"/>
      <c r="AN94" s="12"/>
      <c r="AO94" s="12"/>
      <c r="AP94" s="12"/>
      <c r="AQ94" s="12"/>
      <c r="AR94" s="12"/>
      <c r="AS94" s="12"/>
      <c r="AT94" s="12"/>
    </row>
    <row r="95" spans="1:46" x14ac:dyDescent="0.25">
      <c r="A95" s="12"/>
      <c r="B95" s="12"/>
      <c r="C95" s="12"/>
      <c r="D95" s="12"/>
      <c r="E95" s="12"/>
      <c r="F95" s="12"/>
      <c r="G95" s="12"/>
      <c r="H95" s="12"/>
      <c r="I95" s="21" t="str">
        <f>IF(COUNTA('[1]Virus production'!A83)=1,('[1]Virus production'!A83),"")</f>
        <v>AAV90</v>
      </c>
      <c r="J95" s="12"/>
      <c r="L95" s="31">
        <v>43494</v>
      </c>
      <c r="M95" s="12">
        <v>7</v>
      </c>
      <c r="N95" s="197">
        <f t="shared" si="16"/>
        <v>43494</v>
      </c>
      <c r="O95" s="197">
        <f t="shared" si="17"/>
        <v>43466</v>
      </c>
      <c r="P95" s="384">
        <f t="shared" si="18"/>
        <v>7</v>
      </c>
      <c r="Q95" s="384">
        <f t="shared" si="19"/>
        <v>466</v>
      </c>
      <c r="R95" s="12">
        <f t="shared" si="20"/>
        <v>351</v>
      </c>
      <c r="S95" s="12"/>
      <c r="T95" s="31">
        <v>44501</v>
      </c>
      <c r="U95" s="384">
        <v>3</v>
      </c>
      <c r="V95" s="389">
        <f t="shared" si="14"/>
        <v>44501</v>
      </c>
      <c r="W95" s="384">
        <f t="shared" si="15"/>
        <v>3</v>
      </c>
      <c r="X95" s="12"/>
      <c r="Y95" s="12"/>
      <c r="Z95" s="12"/>
      <c r="AA95" s="12"/>
      <c r="AB95" s="12"/>
      <c r="AD95" s="31"/>
      <c r="AE95" s="12"/>
      <c r="AF95" s="197"/>
      <c r="AG95" s="197"/>
      <c r="AH95" s="197"/>
      <c r="AI95" s="197"/>
      <c r="AJ95" s="12"/>
      <c r="AK95" s="12"/>
      <c r="AL95" s="12"/>
      <c r="AM95" s="12"/>
      <c r="AN95" s="12"/>
      <c r="AO95" s="12"/>
      <c r="AP95" s="12"/>
      <c r="AQ95" s="12"/>
      <c r="AR95" s="12"/>
      <c r="AS95" s="12"/>
      <c r="AT95" s="12"/>
    </row>
    <row r="96" spans="1:46" x14ac:dyDescent="0.25">
      <c r="A96" s="12"/>
      <c r="B96" s="12"/>
      <c r="C96" s="12"/>
      <c r="D96" s="12"/>
      <c r="E96" s="12"/>
      <c r="F96" s="12"/>
      <c r="G96" s="12"/>
      <c r="H96" s="12"/>
      <c r="I96" s="21" t="str">
        <f>IF(COUNTA('[1]Virus production'!A84)=1,('[1]Virus production'!A84),"")</f>
        <v>AAV91</v>
      </c>
      <c r="J96" s="12"/>
      <c r="L96" s="31">
        <v>43497</v>
      </c>
      <c r="M96" s="12">
        <v>4</v>
      </c>
      <c r="N96" s="197">
        <f t="shared" si="16"/>
        <v>43497</v>
      </c>
      <c r="O96" s="197">
        <f t="shared" si="17"/>
        <v>43497</v>
      </c>
      <c r="P96" s="384">
        <f t="shared" si="18"/>
        <v>4</v>
      </c>
      <c r="Q96" s="384">
        <f t="shared" si="19"/>
        <v>469</v>
      </c>
      <c r="R96" s="12">
        <f t="shared" si="20"/>
        <v>355</v>
      </c>
      <c r="S96" s="12"/>
      <c r="T96" s="31">
        <v>44531</v>
      </c>
      <c r="U96" s="384">
        <v>10</v>
      </c>
      <c r="V96" s="389">
        <f t="shared" si="14"/>
        <v>44531</v>
      </c>
      <c r="W96" s="384">
        <f t="shared" si="15"/>
        <v>10</v>
      </c>
      <c r="X96" s="12"/>
      <c r="Y96" s="12"/>
      <c r="Z96" s="12"/>
      <c r="AA96" s="12"/>
      <c r="AB96" s="12"/>
      <c r="AD96" s="31"/>
      <c r="AE96" s="12"/>
      <c r="AF96" s="197"/>
      <c r="AG96" s="197"/>
      <c r="AH96" s="197"/>
      <c r="AI96" s="197"/>
      <c r="AJ96" s="12"/>
      <c r="AK96" s="12"/>
      <c r="AL96" s="12"/>
      <c r="AM96" s="12"/>
      <c r="AN96" s="12"/>
      <c r="AO96" s="12"/>
      <c r="AP96" s="12"/>
      <c r="AQ96" s="12"/>
      <c r="AR96" s="12"/>
      <c r="AS96" s="12"/>
      <c r="AT96" s="12"/>
    </row>
    <row r="97" spans="1:46" x14ac:dyDescent="0.25">
      <c r="A97" s="12"/>
      <c r="B97" s="12"/>
      <c r="C97" s="12"/>
      <c r="D97" s="12"/>
      <c r="E97" s="12"/>
      <c r="F97" s="12"/>
      <c r="G97" s="12"/>
      <c r="H97" s="12"/>
      <c r="I97" s="21" t="str">
        <f>IF(COUNTA('[1]Virus production'!A85)=1,('[1]Virus production'!A85),"")</f>
        <v>AAV92</v>
      </c>
      <c r="J97" s="12"/>
      <c r="L97" s="31">
        <v>43507</v>
      </c>
      <c r="M97" s="12">
        <v>4</v>
      </c>
      <c r="N97" s="197">
        <f t="shared" si="16"/>
        <v>43507</v>
      </c>
      <c r="O97" s="197">
        <f t="shared" si="17"/>
        <v>43497</v>
      </c>
      <c r="P97" s="384">
        <f t="shared" si="18"/>
        <v>4</v>
      </c>
      <c r="Q97" s="384">
        <f t="shared" si="19"/>
        <v>479</v>
      </c>
      <c r="R97" s="12">
        <f t="shared" si="20"/>
        <v>359</v>
      </c>
      <c r="S97" s="12"/>
      <c r="T97" s="31">
        <v>44562</v>
      </c>
      <c r="U97" s="384">
        <v>16</v>
      </c>
      <c r="V97" s="389">
        <f t="shared" si="14"/>
        <v>44562</v>
      </c>
      <c r="W97" s="384">
        <f t="shared" si="15"/>
        <v>16</v>
      </c>
      <c r="X97" s="12"/>
      <c r="Y97" s="12"/>
      <c r="Z97" s="12"/>
      <c r="AA97" s="12"/>
      <c r="AB97" s="12"/>
      <c r="AD97" s="31"/>
      <c r="AE97" s="12"/>
      <c r="AF97" s="197"/>
      <c r="AG97" s="197"/>
      <c r="AH97" s="197"/>
      <c r="AI97" s="197"/>
      <c r="AJ97" s="12"/>
      <c r="AK97" s="12"/>
      <c r="AL97" s="12"/>
      <c r="AM97" s="12"/>
      <c r="AN97" s="12"/>
      <c r="AO97" s="12"/>
      <c r="AP97" s="12"/>
      <c r="AQ97" s="12"/>
      <c r="AR97" s="12"/>
      <c r="AS97" s="12"/>
      <c r="AT97" s="12"/>
    </row>
    <row r="98" spans="1:46" x14ac:dyDescent="0.25">
      <c r="A98" s="12"/>
      <c r="B98" s="12"/>
      <c r="C98" s="12"/>
      <c r="D98" s="12"/>
      <c r="E98" s="12"/>
      <c r="F98" s="12"/>
      <c r="G98" s="12"/>
      <c r="H98" s="12"/>
      <c r="I98" s="21" t="str">
        <f>IF(COUNTA('[1]Virus production'!A86)=1,('[1]Virus production'!A86),"")</f>
        <v/>
      </c>
      <c r="J98" s="12"/>
      <c r="L98" s="31">
        <v>43516</v>
      </c>
      <c r="M98" s="12">
        <v>6</v>
      </c>
      <c r="N98" s="197">
        <f t="shared" si="16"/>
        <v>43516</v>
      </c>
      <c r="O98" s="197">
        <f t="shared" si="17"/>
        <v>43497</v>
      </c>
      <c r="P98" s="384">
        <f t="shared" si="18"/>
        <v>6</v>
      </c>
      <c r="Q98" s="384">
        <f t="shared" si="19"/>
        <v>488</v>
      </c>
      <c r="R98" s="12">
        <f t="shared" si="20"/>
        <v>365</v>
      </c>
      <c r="S98" s="12"/>
      <c r="T98" s="31">
        <v>44593</v>
      </c>
      <c r="U98" s="384">
        <v>18</v>
      </c>
      <c r="V98" s="389">
        <f t="shared" si="14"/>
        <v>44593</v>
      </c>
      <c r="W98" s="384">
        <f t="shared" si="15"/>
        <v>18</v>
      </c>
      <c r="X98" s="12"/>
      <c r="Y98" s="12"/>
      <c r="Z98" s="12"/>
      <c r="AA98" s="12"/>
      <c r="AB98" s="12"/>
      <c r="AD98" s="31"/>
      <c r="AE98" s="12"/>
      <c r="AF98" s="197"/>
      <c r="AG98" s="197"/>
      <c r="AH98" s="197"/>
      <c r="AI98" s="197"/>
      <c r="AJ98" s="12"/>
      <c r="AK98" s="12"/>
      <c r="AL98" s="12"/>
      <c r="AM98" s="12"/>
      <c r="AN98" s="12"/>
      <c r="AO98" s="12"/>
      <c r="AP98" s="12"/>
      <c r="AQ98" s="12"/>
      <c r="AR98" s="12"/>
      <c r="AS98" s="12"/>
      <c r="AT98" s="12"/>
    </row>
    <row r="99" spans="1:46" x14ac:dyDescent="0.25">
      <c r="A99" s="12"/>
      <c r="B99" s="12"/>
      <c r="C99" s="12"/>
      <c r="D99" s="12"/>
      <c r="E99" s="12"/>
      <c r="F99" s="12"/>
      <c r="G99" s="12"/>
      <c r="H99" s="12"/>
      <c r="I99" s="21" t="str">
        <f>IF(COUNTA('[1]Virus production'!A87)=1,('[1]Virus production'!A87),"")</f>
        <v/>
      </c>
      <c r="J99" s="12"/>
      <c r="L99" s="31">
        <v>43521</v>
      </c>
      <c r="M99" s="12">
        <v>4</v>
      </c>
      <c r="N99" s="197">
        <f t="shared" si="16"/>
        <v>43521</v>
      </c>
      <c r="O99" s="197">
        <f t="shared" si="17"/>
        <v>43497</v>
      </c>
      <c r="P99" s="384">
        <f t="shared" si="18"/>
        <v>4</v>
      </c>
      <c r="Q99" s="384">
        <f t="shared" si="19"/>
        <v>493</v>
      </c>
      <c r="R99" s="12">
        <f t="shared" si="20"/>
        <v>369</v>
      </c>
      <c r="S99" s="12"/>
      <c r="T99" s="31">
        <v>44621</v>
      </c>
      <c r="U99" s="384">
        <v>25</v>
      </c>
      <c r="V99" s="389">
        <f t="shared" si="14"/>
        <v>44621</v>
      </c>
      <c r="W99" s="384">
        <f t="shared" si="15"/>
        <v>25</v>
      </c>
      <c r="X99" s="12"/>
      <c r="Y99" s="12"/>
      <c r="Z99" s="12"/>
      <c r="AA99" s="12"/>
      <c r="AB99" s="12"/>
      <c r="AD99" s="31"/>
      <c r="AE99" s="12"/>
      <c r="AF99" s="197"/>
      <c r="AG99" s="197"/>
      <c r="AH99" s="197"/>
      <c r="AI99" s="197"/>
      <c r="AJ99" s="12"/>
      <c r="AK99" s="12"/>
      <c r="AL99" s="12"/>
      <c r="AM99" s="12"/>
      <c r="AN99" s="12"/>
      <c r="AO99" s="12"/>
      <c r="AP99" s="12"/>
      <c r="AQ99" s="12"/>
      <c r="AR99" s="12"/>
      <c r="AS99" s="12"/>
      <c r="AT99" s="12"/>
    </row>
    <row r="100" spans="1:46" x14ac:dyDescent="0.25">
      <c r="A100" s="12"/>
      <c r="B100" s="12"/>
      <c r="C100" s="12"/>
      <c r="D100" s="12"/>
      <c r="E100" s="12"/>
      <c r="F100" s="12"/>
      <c r="G100" s="12"/>
      <c r="H100" s="12"/>
      <c r="I100" s="21" t="str">
        <f>IF(COUNTA('[1]Virus production'!A88)=1,('[1]Virus production'!A88),"")</f>
        <v/>
      </c>
      <c r="J100" s="12"/>
      <c r="L100" s="31">
        <v>43528</v>
      </c>
      <c r="M100" s="12">
        <v>3</v>
      </c>
      <c r="N100" s="197">
        <f t="shared" si="16"/>
        <v>43528</v>
      </c>
      <c r="O100" s="197">
        <f t="shared" si="17"/>
        <v>43525</v>
      </c>
      <c r="P100" s="384">
        <f t="shared" si="18"/>
        <v>3</v>
      </c>
      <c r="Q100" s="384">
        <f t="shared" si="19"/>
        <v>500</v>
      </c>
      <c r="R100" s="12">
        <f t="shared" si="20"/>
        <v>372</v>
      </c>
      <c r="S100" s="12"/>
      <c r="T100" s="31">
        <v>44652</v>
      </c>
      <c r="U100" s="384">
        <v>10</v>
      </c>
      <c r="V100" s="389">
        <f t="shared" si="14"/>
        <v>44652</v>
      </c>
      <c r="W100" s="384">
        <f t="shared" si="15"/>
        <v>10</v>
      </c>
      <c r="X100" s="12"/>
      <c r="Y100" s="12"/>
      <c r="Z100" s="12"/>
      <c r="AA100" s="12"/>
      <c r="AB100" s="12"/>
      <c r="AD100" s="31"/>
      <c r="AE100" s="12"/>
      <c r="AF100" s="197"/>
      <c r="AG100" s="197"/>
      <c r="AH100" s="197"/>
      <c r="AI100" s="197"/>
      <c r="AJ100" s="12"/>
      <c r="AK100" s="12"/>
      <c r="AL100" s="12"/>
      <c r="AM100" s="12"/>
      <c r="AN100" s="12"/>
      <c r="AO100" s="12"/>
      <c r="AP100" s="12"/>
      <c r="AQ100" s="12"/>
      <c r="AR100" s="12"/>
      <c r="AS100" s="12"/>
      <c r="AT100" s="12"/>
    </row>
    <row r="101" spans="1:46" x14ac:dyDescent="0.25">
      <c r="A101" s="12"/>
      <c r="B101" s="12"/>
      <c r="C101" s="12"/>
      <c r="D101" s="12"/>
      <c r="E101" s="12"/>
      <c r="F101" s="12"/>
      <c r="G101" s="12"/>
      <c r="H101" s="12"/>
      <c r="I101" s="21" t="str">
        <f>IF(COUNTA('[1]Virus production'!A89)=1,('[1]Virus production'!A89),"")</f>
        <v>AAV93</v>
      </c>
      <c r="J101" s="12"/>
      <c r="L101" s="31">
        <v>43530</v>
      </c>
      <c r="M101" s="12">
        <v>2</v>
      </c>
      <c r="N101" s="197">
        <f t="shared" si="16"/>
        <v>43530</v>
      </c>
      <c r="O101" s="197">
        <f t="shared" si="17"/>
        <v>43525</v>
      </c>
      <c r="P101" s="384">
        <f t="shared" si="18"/>
        <v>2</v>
      </c>
      <c r="Q101" s="384">
        <f t="shared" si="19"/>
        <v>502</v>
      </c>
      <c r="R101" s="12">
        <f t="shared" si="20"/>
        <v>374</v>
      </c>
      <c r="S101" s="12"/>
      <c r="T101" s="31">
        <v>44682</v>
      </c>
      <c r="U101" s="384">
        <v>4</v>
      </c>
      <c r="V101" s="389">
        <f t="shared" si="14"/>
        <v>44682</v>
      </c>
      <c r="W101" s="384">
        <f t="shared" si="15"/>
        <v>4</v>
      </c>
      <c r="X101" s="12"/>
      <c r="Y101" s="12"/>
      <c r="Z101" s="12"/>
      <c r="AA101" s="12"/>
      <c r="AB101" s="12"/>
      <c r="AD101" s="31"/>
      <c r="AE101" s="12"/>
      <c r="AF101" s="197"/>
      <c r="AG101" s="197"/>
      <c r="AH101" s="197"/>
      <c r="AI101" s="197"/>
      <c r="AJ101" s="12"/>
      <c r="AK101" s="12"/>
      <c r="AL101" s="12"/>
      <c r="AM101" s="12"/>
      <c r="AN101" s="12"/>
      <c r="AO101" s="12"/>
      <c r="AP101" s="12"/>
      <c r="AQ101" s="12"/>
      <c r="AR101" s="12"/>
      <c r="AS101" s="12"/>
      <c r="AT101" s="12"/>
    </row>
    <row r="102" spans="1:46" x14ac:dyDescent="0.25">
      <c r="A102" s="12"/>
      <c r="B102" s="12"/>
      <c r="C102" s="12"/>
      <c r="D102" s="12"/>
      <c r="E102" s="12"/>
      <c r="F102" s="12"/>
      <c r="G102" s="12"/>
      <c r="H102" s="12"/>
      <c r="I102" s="21" t="str">
        <f>IF(COUNTA('[1]Virus production'!A90)=1,('[1]Virus production'!A90),"")</f>
        <v>AAV94</v>
      </c>
      <c r="J102" s="12"/>
      <c r="L102" s="31">
        <v>43544</v>
      </c>
      <c r="M102" s="12">
        <v>1</v>
      </c>
      <c r="N102" s="197">
        <f t="shared" si="16"/>
        <v>43544</v>
      </c>
      <c r="O102" s="197">
        <f t="shared" si="17"/>
        <v>43525</v>
      </c>
      <c r="P102" s="384">
        <f t="shared" si="18"/>
        <v>1</v>
      </c>
      <c r="Q102" s="384">
        <f t="shared" si="19"/>
        <v>516</v>
      </c>
      <c r="R102" s="12">
        <f t="shared" si="20"/>
        <v>375</v>
      </c>
      <c r="S102" s="12"/>
      <c r="T102" s="31">
        <v>44713</v>
      </c>
      <c r="U102" s="384">
        <v>19</v>
      </c>
      <c r="V102" s="389">
        <f t="shared" si="14"/>
        <v>44713</v>
      </c>
      <c r="W102" s="384">
        <f t="shared" si="15"/>
        <v>19</v>
      </c>
      <c r="X102" s="12"/>
      <c r="Y102" s="12"/>
      <c r="Z102" s="12"/>
      <c r="AA102" s="12"/>
      <c r="AB102" s="12"/>
      <c r="AD102" s="31"/>
      <c r="AE102" s="12"/>
      <c r="AF102" s="197"/>
      <c r="AG102" s="197"/>
      <c r="AH102" s="197"/>
      <c r="AI102" s="197"/>
      <c r="AJ102" s="12"/>
      <c r="AK102" s="12"/>
      <c r="AL102" s="12"/>
      <c r="AM102" s="12"/>
      <c r="AN102" s="12"/>
      <c r="AO102" s="12"/>
      <c r="AP102" s="12"/>
      <c r="AQ102" s="12"/>
      <c r="AR102" s="12"/>
      <c r="AS102" s="12"/>
      <c r="AT102" s="12"/>
    </row>
    <row r="103" spans="1:46" x14ac:dyDescent="0.25">
      <c r="A103" s="12"/>
      <c r="B103" s="12"/>
      <c r="C103" s="12"/>
      <c r="D103" s="12"/>
      <c r="E103" s="12"/>
      <c r="F103" s="12"/>
      <c r="G103" s="12"/>
      <c r="H103" s="12"/>
      <c r="I103" s="21" t="str">
        <f>IF(COUNTA('[1]Virus production'!A91)=1,('[1]Virus production'!A91),"")</f>
        <v>AAV95</v>
      </c>
      <c r="J103" s="12"/>
      <c r="L103" s="31">
        <v>43545</v>
      </c>
      <c r="M103" s="12">
        <v>4</v>
      </c>
      <c r="N103" s="197">
        <f t="shared" si="16"/>
        <v>43545</v>
      </c>
      <c r="O103" s="197">
        <f t="shared" si="17"/>
        <v>43525</v>
      </c>
      <c r="P103" s="384">
        <f t="shared" si="18"/>
        <v>4</v>
      </c>
      <c r="Q103" s="384">
        <f t="shared" si="19"/>
        <v>517</v>
      </c>
      <c r="R103" s="12">
        <f t="shared" si="20"/>
        <v>379</v>
      </c>
      <c r="S103" s="12"/>
      <c r="T103" s="31">
        <v>44743</v>
      </c>
      <c r="U103" s="384">
        <v>27</v>
      </c>
      <c r="V103" s="389">
        <f t="shared" si="14"/>
        <v>44743</v>
      </c>
      <c r="W103" s="384">
        <f t="shared" si="15"/>
        <v>27</v>
      </c>
      <c r="X103" s="12"/>
      <c r="Y103" s="12"/>
      <c r="Z103" s="12"/>
      <c r="AA103" s="12"/>
      <c r="AB103" s="12"/>
      <c r="AD103" s="31"/>
      <c r="AE103" s="12"/>
      <c r="AF103" s="197"/>
      <c r="AG103" s="197"/>
      <c r="AH103" s="197"/>
      <c r="AI103" s="197"/>
      <c r="AJ103" s="12"/>
      <c r="AK103" s="12"/>
      <c r="AL103" s="12"/>
      <c r="AM103" s="12"/>
      <c r="AN103" s="12"/>
      <c r="AO103" s="12"/>
      <c r="AP103" s="12"/>
      <c r="AQ103" s="12"/>
      <c r="AR103" s="12"/>
      <c r="AS103" s="12"/>
      <c r="AT103" s="12"/>
    </row>
    <row r="104" spans="1:46" x14ac:dyDescent="0.25">
      <c r="A104" s="12"/>
      <c r="B104" s="12"/>
      <c r="C104" s="12"/>
      <c r="D104" s="12"/>
      <c r="E104" s="12"/>
      <c r="F104" s="12"/>
      <c r="G104" s="12"/>
      <c r="H104" s="12"/>
      <c r="I104" s="21" t="s">
        <v>3177</v>
      </c>
      <c r="J104" s="12"/>
      <c r="L104" s="31">
        <v>43552</v>
      </c>
      <c r="M104" s="12">
        <v>2</v>
      </c>
      <c r="N104" s="197">
        <f t="shared" si="16"/>
        <v>43552</v>
      </c>
      <c r="O104" s="197">
        <f t="shared" si="17"/>
        <v>43525</v>
      </c>
      <c r="P104" s="384">
        <f t="shared" si="18"/>
        <v>2</v>
      </c>
      <c r="Q104" s="384">
        <f t="shared" si="19"/>
        <v>524</v>
      </c>
      <c r="R104" s="12">
        <f t="shared" si="20"/>
        <v>381</v>
      </c>
      <c r="S104" s="12"/>
      <c r="T104" s="31">
        <v>44774</v>
      </c>
      <c r="U104" s="384">
        <v>27</v>
      </c>
      <c r="V104" s="389">
        <f t="shared" si="14"/>
        <v>44774</v>
      </c>
      <c r="W104" s="384">
        <f t="shared" si="15"/>
        <v>27</v>
      </c>
      <c r="X104" s="12"/>
      <c r="Y104" s="12"/>
      <c r="Z104" s="12"/>
      <c r="AA104" s="12"/>
      <c r="AB104" s="12"/>
      <c r="AD104" s="31"/>
      <c r="AE104" s="12"/>
      <c r="AF104" s="197"/>
      <c r="AG104" s="197"/>
      <c r="AH104" s="197"/>
      <c r="AI104" s="197"/>
      <c r="AJ104" s="12"/>
      <c r="AK104" s="12"/>
      <c r="AL104" s="12"/>
      <c r="AM104" s="12"/>
      <c r="AN104" s="12"/>
      <c r="AO104" s="12"/>
      <c r="AP104" s="12"/>
      <c r="AQ104" s="12"/>
      <c r="AR104" s="12"/>
      <c r="AS104" s="12"/>
      <c r="AT104" s="12"/>
    </row>
    <row r="105" spans="1:46" x14ac:dyDescent="0.25">
      <c r="A105" s="12"/>
      <c r="B105" s="12"/>
      <c r="C105" s="12"/>
      <c r="D105" s="12"/>
      <c r="E105" s="12"/>
      <c r="F105" s="12"/>
      <c r="G105" s="12"/>
      <c r="H105" s="12"/>
      <c r="I105" s="21" t="str">
        <f>IF(COUNTA('[1]Virus production'!A92)=1,('[1]Virus production'!A92),"")</f>
        <v>AAV96</v>
      </c>
      <c r="J105" s="12"/>
      <c r="L105" s="31">
        <v>43553</v>
      </c>
      <c r="M105" s="12">
        <v>2</v>
      </c>
      <c r="N105" s="197">
        <f t="shared" si="16"/>
        <v>43553</v>
      </c>
      <c r="O105" s="197">
        <f t="shared" si="17"/>
        <v>43525</v>
      </c>
      <c r="P105" s="384">
        <f t="shared" si="18"/>
        <v>2</v>
      </c>
      <c r="Q105" s="384">
        <f t="shared" si="19"/>
        <v>525</v>
      </c>
      <c r="R105" s="12">
        <f t="shared" si="20"/>
        <v>383</v>
      </c>
      <c r="S105" s="12"/>
      <c r="T105" s="31">
        <v>44805</v>
      </c>
      <c r="U105" s="384">
        <v>17</v>
      </c>
      <c r="V105" s="389">
        <f t="shared" si="14"/>
        <v>44805</v>
      </c>
      <c r="W105" s="384">
        <f t="shared" si="15"/>
        <v>17</v>
      </c>
      <c r="X105" s="12"/>
      <c r="Y105" s="12"/>
      <c r="Z105" s="12"/>
      <c r="AA105" s="12"/>
      <c r="AB105" s="12"/>
      <c r="AD105" s="31"/>
      <c r="AE105" s="12"/>
      <c r="AF105" s="197"/>
      <c r="AG105" s="197"/>
      <c r="AH105" s="197"/>
      <c r="AI105" s="197"/>
      <c r="AJ105" s="12"/>
      <c r="AK105" s="12"/>
      <c r="AL105" s="12"/>
      <c r="AM105" s="12"/>
      <c r="AN105" s="12"/>
      <c r="AO105" s="12"/>
      <c r="AP105" s="12"/>
      <c r="AQ105" s="12"/>
      <c r="AR105" s="12"/>
      <c r="AS105" s="12"/>
      <c r="AT105" s="12"/>
    </row>
    <row r="106" spans="1:46" x14ac:dyDescent="0.25">
      <c r="A106" s="12"/>
      <c r="B106" s="12"/>
      <c r="C106" s="12"/>
      <c r="D106" s="12"/>
      <c r="E106" s="12"/>
      <c r="F106" s="12"/>
      <c r="G106" s="12"/>
      <c r="H106" s="12"/>
      <c r="I106" s="21" t="str">
        <f>IF(COUNTA('[1]Virus production'!A93)=1,('[1]Virus production'!A93),"")</f>
        <v>AAV97</v>
      </c>
      <c r="J106" s="12"/>
      <c r="L106" s="31">
        <v>43566</v>
      </c>
      <c r="M106" s="12">
        <v>3</v>
      </c>
      <c r="N106" s="197">
        <f t="shared" si="16"/>
        <v>43566</v>
      </c>
      <c r="O106" s="197">
        <f t="shared" si="17"/>
        <v>43556</v>
      </c>
      <c r="P106" s="384">
        <f t="shared" si="18"/>
        <v>3</v>
      </c>
      <c r="Q106" s="384">
        <f t="shared" si="19"/>
        <v>538</v>
      </c>
      <c r="R106" s="12">
        <f t="shared" si="20"/>
        <v>386</v>
      </c>
      <c r="S106" s="12"/>
      <c r="T106" s="31">
        <v>44835</v>
      </c>
      <c r="U106" s="384">
        <v>11</v>
      </c>
      <c r="V106" s="389">
        <f t="shared" si="14"/>
        <v>44835</v>
      </c>
      <c r="W106" s="384">
        <f t="shared" si="15"/>
        <v>11</v>
      </c>
      <c r="X106" s="12"/>
      <c r="Y106" s="12"/>
      <c r="Z106" s="12"/>
      <c r="AA106" s="12"/>
      <c r="AB106" s="12"/>
      <c r="AD106" s="31"/>
      <c r="AE106" s="12"/>
      <c r="AF106" s="197"/>
      <c r="AG106" s="197"/>
      <c r="AH106" s="197"/>
      <c r="AI106" s="197"/>
      <c r="AJ106" s="12"/>
      <c r="AK106" s="12"/>
      <c r="AL106" s="12"/>
      <c r="AM106" s="12"/>
      <c r="AN106" s="12"/>
      <c r="AO106" s="12"/>
      <c r="AP106" s="12"/>
      <c r="AQ106" s="12"/>
      <c r="AR106" s="12"/>
      <c r="AS106" s="12"/>
      <c r="AT106" s="12"/>
    </row>
    <row r="107" spans="1:46" x14ac:dyDescent="0.25">
      <c r="A107" s="12"/>
      <c r="B107" s="12"/>
      <c r="C107" s="12"/>
      <c r="D107" s="12"/>
      <c r="E107" s="12"/>
      <c r="F107" s="12"/>
      <c r="G107" s="12"/>
      <c r="H107" s="12"/>
      <c r="I107" s="21" t="str">
        <f>IF(COUNTA('[1]Virus production'!A94)=1,('[1]Virus production'!A94),"")</f>
        <v>AAV98</v>
      </c>
      <c r="J107" s="12"/>
      <c r="L107" s="31">
        <v>43567</v>
      </c>
      <c r="M107" s="12">
        <v>5</v>
      </c>
      <c r="N107" s="197">
        <f t="shared" si="16"/>
        <v>43567</v>
      </c>
      <c r="O107" s="197">
        <f t="shared" si="17"/>
        <v>43556</v>
      </c>
      <c r="P107" s="384">
        <f t="shared" si="18"/>
        <v>5</v>
      </c>
      <c r="Q107" s="384">
        <f t="shared" si="19"/>
        <v>539</v>
      </c>
      <c r="R107" s="12">
        <f t="shared" si="20"/>
        <v>391</v>
      </c>
      <c r="S107" s="12"/>
      <c r="T107" s="31">
        <v>44866</v>
      </c>
      <c r="U107" s="384">
        <v>6</v>
      </c>
      <c r="V107" s="389">
        <f t="shared" si="14"/>
        <v>44866</v>
      </c>
      <c r="W107" s="384">
        <f t="shared" si="15"/>
        <v>6</v>
      </c>
      <c r="X107" s="12"/>
      <c r="Y107" s="12"/>
      <c r="Z107" s="12"/>
      <c r="AA107" s="12"/>
      <c r="AB107" s="12"/>
      <c r="AD107" s="31"/>
      <c r="AE107" s="12"/>
      <c r="AF107" s="197"/>
      <c r="AG107" s="197"/>
      <c r="AH107" s="197"/>
      <c r="AI107" s="197"/>
      <c r="AJ107" s="12"/>
      <c r="AK107" s="12"/>
      <c r="AL107" s="12"/>
      <c r="AM107" s="12"/>
      <c r="AN107" s="12"/>
      <c r="AO107" s="12"/>
      <c r="AP107" s="12"/>
      <c r="AQ107" s="12"/>
      <c r="AR107" s="12"/>
      <c r="AS107" s="12"/>
      <c r="AT107" s="12"/>
    </row>
    <row r="108" spans="1:46" x14ac:dyDescent="0.25">
      <c r="A108" s="12"/>
      <c r="B108" s="12"/>
      <c r="C108" s="12"/>
      <c r="D108" s="12"/>
      <c r="E108" s="12"/>
      <c r="F108" s="12"/>
      <c r="G108" s="12"/>
      <c r="H108" s="12"/>
      <c r="I108" s="21" t="str">
        <f>IF(COUNTA('[1]Virus production'!A95)=1,('[1]Virus production'!A95),"")</f>
        <v>AAV99</v>
      </c>
      <c r="J108" s="12"/>
      <c r="L108" s="31">
        <v>43579</v>
      </c>
      <c r="M108" s="12">
        <v>3</v>
      </c>
      <c r="N108" s="197">
        <f t="shared" si="16"/>
        <v>43579</v>
      </c>
      <c r="O108" s="197">
        <f t="shared" si="17"/>
        <v>43556</v>
      </c>
      <c r="P108" s="384">
        <f t="shared" si="18"/>
        <v>3</v>
      </c>
      <c r="Q108" s="384">
        <f t="shared" si="19"/>
        <v>551</v>
      </c>
      <c r="R108" s="12">
        <f t="shared" si="20"/>
        <v>394</v>
      </c>
      <c r="S108" s="12"/>
      <c r="T108" s="31">
        <v>44896</v>
      </c>
      <c r="U108" s="384">
        <v>14</v>
      </c>
      <c r="V108" s="389">
        <f t="shared" si="14"/>
        <v>44896</v>
      </c>
      <c r="W108" s="384">
        <f t="shared" si="15"/>
        <v>14</v>
      </c>
      <c r="X108" s="12"/>
      <c r="Y108" s="12"/>
      <c r="Z108" s="12"/>
      <c r="AA108" s="12"/>
      <c r="AB108" s="12"/>
      <c r="AD108" s="31"/>
      <c r="AE108" s="12"/>
      <c r="AF108" s="197"/>
      <c r="AG108" s="197"/>
      <c r="AH108" s="197"/>
      <c r="AI108" s="197"/>
      <c r="AJ108" s="12"/>
      <c r="AK108" s="12"/>
      <c r="AL108" s="12"/>
      <c r="AM108" s="12"/>
      <c r="AN108" s="12"/>
      <c r="AO108" s="12"/>
      <c r="AP108" s="12"/>
      <c r="AQ108" s="12"/>
      <c r="AR108" s="12"/>
      <c r="AS108" s="12"/>
      <c r="AT108" s="12"/>
    </row>
    <row r="109" spans="1:46" x14ac:dyDescent="0.25">
      <c r="A109" s="12"/>
      <c r="B109" s="12"/>
      <c r="C109" s="12"/>
      <c r="D109" s="12"/>
      <c r="E109" s="12"/>
      <c r="F109" s="12"/>
      <c r="G109" s="12"/>
      <c r="H109" s="12"/>
      <c r="I109" s="21" t="str">
        <f>IF(COUNTA('[1]Virus production'!A96)=1,('[1]Virus production'!A96),"")</f>
        <v>AAV100</v>
      </c>
      <c r="J109" s="12"/>
      <c r="L109" s="31">
        <v>43580</v>
      </c>
      <c r="M109" s="12">
        <v>2</v>
      </c>
      <c r="N109" s="197">
        <f t="shared" si="16"/>
        <v>43580</v>
      </c>
      <c r="O109" s="197">
        <f t="shared" si="17"/>
        <v>43556</v>
      </c>
      <c r="P109" s="384">
        <f t="shared" si="18"/>
        <v>2</v>
      </c>
      <c r="Q109" s="384">
        <f t="shared" si="19"/>
        <v>552</v>
      </c>
      <c r="R109" s="12">
        <f t="shared" si="20"/>
        <v>396</v>
      </c>
      <c r="S109" s="12"/>
      <c r="T109" s="31">
        <v>44927</v>
      </c>
      <c r="U109" s="384">
        <v>18</v>
      </c>
      <c r="V109" s="389">
        <f t="shared" si="14"/>
        <v>44927</v>
      </c>
      <c r="W109" s="384">
        <f t="shared" si="15"/>
        <v>18</v>
      </c>
      <c r="X109" s="12"/>
      <c r="Y109" s="12"/>
      <c r="Z109" s="12"/>
      <c r="AA109" s="12"/>
      <c r="AB109" s="12"/>
      <c r="AD109" s="31"/>
      <c r="AE109" s="12"/>
      <c r="AF109" s="197"/>
      <c r="AG109" s="197"/>
      <c r="AH109" s="197"/>
      <c r="AI109" s="197"/>
      <c r="AJ109" s="12"/>
      <c r="AK109" s="12"/>
      <c r="AL109" s="12"/>
      <c r="AM109" s="12"/>
      <c r="AN109" s="12"/>
      <c r="AO109" s="12"/>
      <c r="AP109" s="12"/>
      <c r="AQ109" s="12"/>
      <c r="AR109" s="12"/>
      <c r="AS109" s="12"/>
      <c r="AT109" s="12"/>
    </row>
    <row r="110" spans="1:46" x14ac:dyDescent="0.25">
      <c r="A110" s="12"/>
      <c r="B110" s="12"/>
      <c r="C110" s="12"/>
      <c r="D110" s="12"/>
      <c r="E110" s="12"/>
      <c r="F110" s="12"/>
      <c r="G110" s="12"/>
      <c r="H110" s="12"/>
      <c r="I110" s="21" t="str">
        <f>IF(COUNTA('[1]Virus production'!A97)=1,('[1]Virus production'!A97),"")</f>
        <v>AAV101</v>
      </c>
      <c r="J110" s="12"/>
      <c r="L110" s="31">
        <v>43598</v>
      </c>
      <c r="M110" s="12">
        <v>2</v>
      </c>
      <c r="N110" s="197">
        <f t="shared" si="16"/>
        <v>43598</v>
      </c>
      <c r="O110" s="197">
        <f t="shared" si="17"/>
        <v>43586</v>
      </c>
      <c r="P110" s="384">
        <f t="shared" si="18"/>
        <v>2</v>
      </c>
      <c r="Q110" s="384">
        <f t="shared" si="19"/>
        <v>570</v>
      </c>
      <c r="R110" s="12">
        <f t="shared" si="20"/>
        <v>398</v>
      </c>
      <c r="S110" s="12"/>
      <c r="T110" s="31">
        <v>44958</v>
      </c>
      <c r="U110" s="384">
        <v>8</v>
      </c>
      <c r="V110" s="389">
        <f t="shared" si="14"/>
        <v>44958</v>
      </c>
      <c r="W110" s="384">
        <f t="shared" si="15"/>
        <v>8</v>
      </c>
      <c r="X110" s="12"/>
      <c r="Y110" s="12"/>
      <c r="Z110" s="12"/>
      <c r="AA110" s="12"/>
      <c r="AB110" s="12"/>
      <c r="AD110" s="31"/>
      <c r="AE110" s="12"/>
      <c r="AF110" s="197"/>
      <c r="AG110" s="197"/>
      <c r="AH110" s="197"/>
      <c r="AI110" s="197"/>
      <c r="AJ110" s="12"/>
      <c r="AK110" s="12"/>
      <c r="AL110" s="12"/>
      <c r="AM110" s="12"/>
      <c r="AN110" s="12"/>
      <c r="AO110" s="12"/>
      <c r="AP110" s="12"/>
      <c r="AQ110" s="12"/>
      <c r="AR110" s="12"/>
      <c r="AS110" s="12"/>
      <c r="AT110" s="12"/>
    </row>
    <row r="111" spans="1:46" x14ac:dyDescent="0.25">
      <c r="A111" s="12"/>
      <c r="B111" s="12"/>
      <c r="C111" s="12"/>
      <c r="D111" s="12"/>
      <c r="E111" s="12"/>
      <c r="F111" s="12"/>
      <c r="G111" s="12"/>
      <c r="H111" s="12"/>
      <c r="I111" s="21" t="str">
        <f>IF(COUNTA('[1]Virus production'!A98)=1,('[1]Virus production'!A98),"")</f>
        <v>AAV102</v>
      </c>
      <c r="J111" s="12"/>
      <c r="L111" s="31">
        <v>43599</v>
      </c>
      <c r="M111" s="12">
        <v>4</v>
      </c>
      <c r="N111" s="197">
        <f t="shared" si="16"/>
        <v>43599</v>
      </c>
      <c r="O111" s="197">
        <f t="shared" si="17"/>
        <v>43586</v>
      </c>
      <c r="P111" s="384">
        <f t="shared" si="18"/>
        <v>4</v>
      </c>
      <c r="Q111" s="384">
        <f t="shared" si="19"/>
        <v>571</v>
      </c>
      <c r="R111" s="12">
        <f t="shared" si="20"/>
        <v>402</v>
      </c>
      <c r="S111" s="12"/>
      <c r="T111" s="31">
        <v>44986</v>
      </c>
      <c r="U111" s="384">
        <v>22</v>
      </c>
      <c r="V111" s="389">
        <f t="shared" si="14"/>
        <v>44986</v>
      </c>
      <c r="W111" s="384">
        <f t="shared" si="15"/>
        <v>22</v>
      </c>
      <c r="X111" s="12"/>
      <c r="Y111" s="12"/>
      <c r="Z111" s="12"/>
      <c r="AA111" s="12"/>
      <c r="AB111" s="12"/>
      <c r="AD111" s="31"/>
      <c r="AE111" s="12"/>
      <c r="AF111" s="197"/>
      <c r="AG111" s="197"/>
      <c r="AH111" s="197"/>
      <c r="AI111" s="197"/>
      <c r="AJ111" s="12"/>
      <c r="AK111" s="12"/>
      <c r="AL111" s="12"/>
      <c r="AM111" s="12"/>
      <c r="AN111" s="12"/>
      <c r="AO111" s="12"/>
      <c r="AP111" s="12"/>
      <c r="AQ111" s="12"/>
      <c r="AR111" s="12"/>
      <c r="AS111" s="12"/>
      <c r="AT111" s="12"/>
    </row>
    <row r="112" spans="1:46" x14ac:dyDescent="0.25">
      <c r="A112" s="12"/>
      <c r="B112" s="12"/>
      <c r="C112" s="12"/>
      <c r="D112" s="12"/>
      <c r="E112" s="12"/>
      <c r="F112" s="12"/>
      <c r="G112" s="12"/>
      <c r="H112" s="12"/>
      <c r="I112" s="21" t="str">
        <f>IF(COUNTA('[1]Virus production'!A99)=1,('[1]Virus production'!A99),"")</f>
        <v>AAV103</v>
      </c>
      <c r="J112" s="12"/>
      <c r="L112" s="31">
        <v>43617</v>
      </c>
      <c r="M112" s="12">
        <v>3</v>
      </c>
      <c r="N112" s="197">
        <f t="shared" si="16"/>
        <v>43617</v>
      </c>
      <c r="O112" s="197">
        <f t="shared" si="17"/>
        <v>43617</v>
      </c>
      <c r="P112" s="384">
        <f t="shared" si="18"/>
        <v>3</v>
      </c>
      <c r="Q112" s="384">
        <f t="shared" si="19"/>
        <v>589</v>
      </c>
      <c r="R112" s="12">
        <f t="shared" si="20"/>
        <v>405</v>
      </c>
      <c r="S112" s="12"/>
      <c r="T112" s="31">
        <v>45017</v>
      </c>
      <c r="U112" s="384">
        <v>8</v>
      </c>
      <c r="V112" s="389">
        <f t="shared" ref="V112:V131" si="21">T112</f>
        <v>45017</v>
      </c>
      <c r="W112" s="384">
        <f t="shared" ref="W112:W131" si="22">U112</f>
        <v>8</v>
      </c>
      <c r="X112" s="12"/>
      <c r="Y112" s="12"/>
      <c r="Z112" s="12"/>
      <c r="AA112" s="12"/>
      <c r="AB112" s="12"/>
      <c r="AD112" s="31"/>
      <c r="AE112" s="12"/>
      <c r="AF112" s="197"/>
      <c r="AG112" s="197"/>
      <c r="AH112" s="197"/>
      <c r="AI112" s="197"/>
      <c r="AJ112" s="12"/>
      <c r="AK112" s="12"/>
      <c r="AL112" s="12"/>
      <c r="AM112" s="12"/>
      <c r="AN112" s="12"/>
      <c r="AO112" s="12"/>
      <c r="AP112" s="12"/>
      <c r="AQ112" s="12"/>
      <c r="AR112" s="12"/>
      <c r="AS112" s="12"/>
      <c r="AT112" s="12"/>
    </row>
    <row r="113" spans="1:46" x14ac:dyDescent="0.25">
      <c r="A113" s="12"/>
      <c r="B113" s="12"/>
      <c r="C113" s="12"/>
      <c r="D113" s="12"/>
      <c r="E113" s="12"/>
      <c r="F113" s="12"/>
      <c r="G113" s="12"/>
      <c r="H113" s="12"/>
      <c r="I113" s="21" t="str">
        <f>IF(COUNTA('[1]Virus production'!A100)=1,('[1]Virus production'!A100),"")</f>
        <v>AAV104</v>
      </c>
      <c r="J113" s="12"/>
      <c r="L113" s="31">
        <v>43620</v>
      </c>
      <c r="M113" s="12">
        <v>3</v>
      </c>
      <c r="N113" s="197">
        <f t="shared" si="16"/>
        <v>43620</v>
      </c>
      <c r="O113" s="197">
        <f t="shared" si="17"/>
        <v>43617</v>
      </c>
      <c r="P113" s="384">
        <f t="shared" si="18"/>
        <v>3</v>
      </c>
      <c r="Q113" s="384">
        <f t="shared" si="19"/>
        <v>592</v>
      </c>
      <c r="R113" s="12">
        <f t="shared" si="20"/>
        <v>408</v>
      </c>
      <c r="S113" s="12"/>
      <c r="T113" s="31">
        <v>45047</v>
      </c>
      <c r="U113" s="384">
        <v>14</v>
      </c>
      <c r="V113" s="389">
        <f t="shared" si="21"/>
        <v>45047</v>
      </c>
      <c r="W113" s="384">
        <f t="shared" si="22"/>
        <v>14</v>
      </c>
      <c r="X113" s="12"/>
      <c r="Y113" s="12"/>
      <c r="Z113" s="12"/>
      <c r="AA113" s="12"/>
      <c r="AB113" s="12"/>
      <c r="AD113" s="31"/>
      <c r="AE113" s="12"/>
      <c r="AF113" s="197"/>
      <c r="AG113" s="197"/>
      <c r="AH113" s="197"/>
      <c r="AI113" s="197"/>
      <c r="AJ113" s="12"/>
      <c r="AK113" s="12"/>
      <c r="AL113" s="12"/>
      <c r="AM113" s="12"/>
      <c r="AN113" s="12"/>
      <c r="AO113" s="12"/>
      <c r="AP113" s="12"/>
      <c r="AQ113" s="12"/>
      <c r="AR113" s="12"/>
      <c r="AS113" s="12"/>
      <c r="AT113" s="12"/>
    </row>
    <row r="114" spans="1:46" x14ac:dyDescent="0.25">
      <c r="A114" s="12"/>
      <c r="B114" s="12"/>
      <c r="C114" s="12"/>
      <c r="D114" s="12"/>
      <c r="E114" s="12"/>
      <c r="F114" s="12"/>
      <c r="G114" s="12"/>
      <c r="H114" s="12"/>
      <c r="I114" s="21" t="str">
        <f>IF(COUNTA('[1]Virus production'!A101)=1,('[1]Virus production'!A101),"")</f>
        <v>AAV105</v>
      </c>
      <c r="J114" s="12"/>
      <c r="L114" s="31">
        <v>43628</v>
      </c>
      <c r="M114" s="12">
        <v>3</v>
      </c>
      <c r="N114" s="197">
        <f t="shared" si="16"/>
        <v>43628</v>
      </c>
      <c r="O114" s="197">
        <f t="shared" si="17"/>
        <v>43617</v>
      </c>
      <c r="P114" s="384">
        <f t="shared" si="18"/>
        <v>3</v>
      </c>
      <c r="Q114" s="384">
        <f t="shared" si="19"/>
        <v>600</v>
      </c>
      <c r="R114" s="12">
        <f t="shared" si="20"/>
        <v>411</v>
      </c>
      <c r="S114" s="12"/>
      <c r="T114" s="31">
        <v>45078</v>
      </c>
      <c r="U114" s="384">
        <v>4</v>
      </c>
      <c r="V114" s="389">
        <f t="shared" si="21"/>
        <v>45078</v>
      </c>
      <c r="W114" s="384">
        <f t="shared" si="22"/>
        <v>4</v>
      </c>
      <c r="X114" s="12"/>
      <c r="Y114" s="12"/>
      <c r="Z114" s="12"/>
      <c r="AA114" s="12"/>
      <c r="AB114" s="12"/>
      <c r="AD114" s="31"/>
      <c r="AE114" s="12"/>
      <c r="AF114" s="197"/>
      <c r="AG114" s="197"/>
      <c r="AH114" s="197"/>
      <c r="AI114" s="197"/>
      <c r="AJ114" s="12"/>
      <c r="AK114" s="12"/>
      <c r="AL114" s="12"/>
      <c r="AM114" s="12"/>
      <c r="AN114" s="12"/>
      <c r="AO114" s="12"/>
      <c r="AP114" s="12"/>
      <c r="AQ114" s="12"/>
      <c r="AR114" s="12"/>
      <c r="AS114" s="12"/>
      <c r="AT114" s="12"/>
    </row>
    <row r="115" spans="1:46" x14ac:dyDescent="0.25">
      <c r="A115" s="12"/>
      <c r="B115" s="12"/>
      <c r="C115" s="12"/>
      <c r="D115" s="12"/>
      <c r="E115" s="12"/>
      <c r="F115" s="12"/>
      <c r="G115" s="12"/>
      <c r="H115" s="12"/>
      <c r="I115" s="21" t="str">
        <f>IF(COUNTA('[1]Virus production'!A102)=1,('[1]Virus production'!A102),"")</f>
        <v>AAV106</v>
      </c>
      <c r="J115" s="12"/>
      <c r="L115" s="31">
        <v>43630</v>
      </c>
      <c r="M115" s="12">
        <v>3</v>
      </c>
      <c r="N115" s="197">
        <f t="shared" si="16"/>
        <v>43630</v>
      </c>
      <c r="O115" s="197">
        <f t="shared" si="17"/>
        <v>43617</v>
      </c>
      <c r="P115" s="384">
        <f t="shared" si="18"/>
        <v>3</v>
      </c>
      <c r="Q115" s="384">
        <f t="shared" si="19"/>
        <v>602</v>
      </c>
      <c r="R115" s="12">
        <f t="shared" si="20"/>
        <v>414</v>
      </c>
      <c r="S115" s="12"/>
      <c r="T115" s="31">
        <v>45108</v>
      </c>
      <c r="U115" s="384">
        <v>17</v>
      </c>
      <c r="V115" s="389">
        <f t="shared" si="21"/>
        <v>45108</v>
      </c>
      <c r="W115" s="384">
        <f t="shared" si="22"/>
        <v>17</v>
      </c>
      <c r="X115" s="12"/>
      <c r="Y115" s="12"/>
      <c r="Z115" s="12"/>
      <c r="AA115" s="12"/>
      <c r="AB115" s="12"/>
      <c r="AD115" s="31"/>
      <c r="AE115" s="12"/>
      <c r="AF115" s="197"/>
      <c r="AG115" s="197"/>
      <c r="AH115" s="197"/>
      <c r="AI115" s="197"/>
      <c r="AJ115" s="12"/>
      <c r="AK115" s="12"/>
      <c r="AL115" s="12"/>
      <c r="AM115" s="12"/>
      <c r="AN115" s="12"/>
      <c r="AO115" s="12"/>
      <c r="AP115" s="12"/>
      <c r="AQ115" s="12"/>
      <c r="AR115" s="12"/>
      <c r="AS115" s="12"/>
      <c r="AT115" s="12"/>
    </row>
    <row r="116" spans="1:46" x14ac:dyDescent="0.25">
      <c r="A116" s="12"/>
      <c r="B116" s="12"/>
      <c r="C116" s="12"/>
      <c r="D116" s="12"/>
      <c r="E116" s="12"/>
      <c r="F116" s="12"/>
      <c r="G116" s="12"/>
      <c r="H116" s="12"/>
      <c r="I116" s="21" t="str">
        <f>IF(COUNTA('[1]Virus production'!A103)=1,('[1]Virus production'!A103),"")</f>
        <v>AAV107</v>
      </c>
      <c r="J116" s="12"/>
      <c r="L116" s="31">
        <v>43634</v>
      </c>
      <c r="M116" s="12">
        <v>4</v>
      </c>
      <c r="N116" s="197">
        <f t="shared" si="16"/>
        <v>43634</v>
      </c>
      <c r="O116" s="197">
        <f t="shared" si="17"/>
        <v>43617</v>
      </c>
      <c r="P116" s="384">
        <f t="shared" si="18"/>
        <v>4</v>
      </c>
      <c r="Q116" s="384">
        <f t="shared" si="19"/>
        <v>606</v>
      </c>
      <c r="R116" s="12">
        <f t="shared" si="20"/>
        <v>418</v>
      </c>
      <c r="S116" s="12"/>
      <c r="T116" s="31">
        <v>45139</v>
      </c>
      <c r="U116" s="384">
        <v>8</v>
      </c>
      <c r="V116" s="389">
        <f t="shared" si="21"/>
        <v>45139</v>
      </c>
      <c r="W116" s="384">
        <f t="shared" si="22"/>
        <v>8</v>
      </c>
      <c r="X116" s="12"/>
      <c r="Y116" s="12"/>
      <c r="Z116" s="12"/>
      <c r="AA116" s="12"/>
      <c r="AB116" s="12"/>
      <c r="AD116" s="31"/>
      <c r="AE116" s="12"/>
      <c r="AF116" s="197"/>
      <c r="AG116" s="197"/>
      <c r="AH116" s="197"/>
      <c r="AI116" s="197"/>
      <c r="AJ116" s="12"/>
      <c r="AK116" s="12"/>
      <c r="AL116" s="12"/>
      <c r="AM116" s="12"/>
      <c r="AN116" s="12"/>
      <c r="AO116" s="12"/>
      <c r="AP116" s="12"/>
      <c r="AQ116" s="12"/>
      <c r="AR116" s="12"/>
      <c r="AS116" s="12"/>
      <c r="AT116" s="12"/>
    </row>
    <row r="117" spans="1:46" x14ac:dyDescent="0.25">
      <c r="A117" s="12"/>
      <c r="B117" s="12"/>
      <c r="C117" s="12"/>
      <c r="D117" s="12"/>
      <c r="E117" s="12"/>
      <c r="F117" s="12"/>
      <c r="G117" s="12"/>
      <c r="H117" s="12"/>
      <c r="I117" s="21" t="str">
        <f>IF(COUNTA('[1]Virus production'!A104)=1,('[1]Virus production'!A104),"")</f>
        <v>AAV108</v>
      </c>
      <c r="J117" s="12"/>
      <c r="L117" s="31">
        <v>43635</v>
      </c>
      <c r="M117" s="12">
        <v>3</v>
      </c>
      <c r="N117" s="197">
        <f t="shared" si="16"/>
        <v>43635</v>
      </c>
      <c r="O117" s="197">
        <f t="shared" si="17"/>
        <v>43617</v>
      </c>
      <c r="P117" s="384">
        <f t="shared" si="18"/>
        <v>3</v>
      </c>
      <c r="Q117" s="384">
        <f t="shared" si="19"/>
        <v>607</v>
      </c>
      <c r="R117" s="12">
        <f t="shared" si="20"/>
        <v>421</v>
      </c>
      <c r="S117" s="12"/>
      <c r="T117" s="31">
        <v>45170</v>
      </c>
      <c r="U117" s="384">
        <v>5</v>
      </c>
      <c r="V117" s="389">
        <f t="shared" si="21"/>
        <v>45170</v>
      </c>
      <c r="W117" s="384">
        <f t="shared" si="22"/>
        <v>5</v>
      </c>
      <c r="X117" s="12"/>
      <c r="Y117" s="12"/>
      <c r="Z117" s="12"/>
      <c r="AA117" s="12"/>
      <c r="AB117" s="12"/>
      <c r="AD117" s="31"/>
      <c r="AE117" s="12"/>
      <c r="AF117" s="197"/>
      <c r="AG117" s="197"/>
      <c r="AH117" s="197"/>
      <c r="AI117" s="197"/>
      <c r="AJ117" s="12"/>
      <c r="AK117" s="12"/>
      <c r="AL117" s="12"/>
      <c r="AM117" s="12"/>
      <c r="AN117" s="12"/>
      <c r="AO117" s="12"/>
      <c r="AP117" s="12"/>
      <c r="AQ117" s="12"/>
      <c r="AR117" s="12"/>
      <c r="AS117" s="12"/>
      <c r="AT117" s="12"/>
    </row>
    <row r="118" spans="1:46" x14ac:dyDescent="0.25">
      <c r="A118" s="12"/>
      <c r="B118" s="12"/>
      <c r="C118" s="12"/>
      <c r="D118" s="12"/>
      <c r="E118" s="12"/>
      <c r="F118" s="12"/>
      <c r="G118" s="12"/>
      <c r="H118" s="12"/>
      <c r="I118" s="21" t="str">
        <f>IF(COUNTA('[1]Virus production'!A105)=1,('[1]Virus production'!A105),"")</f>
        <v>AAV109</v>
      </c>
      <c r="J118" s="12"/>
      <c r="L118" s="31">
        <v>43637</v>
      </c>
      <c r="M118" s="12">
        <v>3</v>
      </c>
      <c r="N118" s="197">
        <f t="shared" si="16"/>
        <v>43637</v>
      </c>
      <c r="O118" s="197">
        <f t="shared" si="17"/>
        <v>43617</v>
      </c>
      <c r="P118" s="384">
        <f t="shared" si="18"/>
        <v>3</v>
      </c>
      <c r="Q118" s="384">
        <f t="shared" si="19"/>
        <v>609</v>
      </c>
      <c r="R118" s="12">
        <f t="shared" si="20"/>
        <v>424</v>
      </c>
      <c r="S118" s="12"/>
      <c r="T118" s="31">
        <v>45200</v>
      </c>
      <c r="U118" s="384">
        <v>14</v>
      </c>
      <c r="V118" s="389">
        <f t="shared" si="21"/>
        <v>45200</v>
      </c>
      <c r="W118" s="384">
        <f t="shared" si="22"/>
        <v>14</v>
      </c>
      <c r="X118" s="12"/>
      <c r="Y118" s="12"/>
      <c r="Z118" s="12"/>
      <c r="AA118" s="12"/>
      <c r="AB118" s="12"/>
      <c r="AD118" s="31"/>
      <c r="AE118" s="12"/>
      <c r="AF118" s="197"/>
      <c r="AG118" s="197"/>
      <c r="AH118" s="197"/>
      <c r="AI118" s="197"/>
      <c r="AJ118" s="12"/>
      <c r="AK118" s="12"/>
      <c r="AL118" s="12"/>
      <c r="AM118" s="12"/>
      <c r="AN118" s="12"/>
      <c r="AO118" s="12"/>
      <c r="AP118" s="12"/>
      <c r="AQ118" s="12"/>
      <c r="AR118" s="12"/>
      <c r="AS118" s="12"/>
      <c r="AT118" s="12"/>
    </row>
    <row r="119" spans="1:46" x14ac:dyDescent="0.25">
      <c r="A119" s="12"/>
      <c r="B119" s="12"/>
      <c r="C119" s="12"/>
      <c r="D119" s="12"/>
      <c r="E119" s="12"/>
      <c r="F119" s="12"/>
      <c r="G119" s="12"/>
      <c r="H119" s="12"/>
      <c r="I119" s="21" t="str">
        <f>IF(COUNTA('[1]Virus production'!A106)=1,('[1]Virus production'!A106),"")</f>
        <v>AAV110</v>
      </c>
      <c r="J119" s="12"/>
      <c r="L119" s="31">
        <v>43641</v>
      </c>
      <c r="M119" s="12">
        <v>3</v>
      </c>
      <c r="N119" s="197">
        <f t="shared" si="16"/>
        <v>43641</v>
      </c>
      <c r="O119" s="197">
        <f t="shared" si="17"/>
        <v>43617</v>
      </c>
      <c r="P119" s="384">
        <f t="shared" si="18"/>
        <v>3</v>
      </c>
      <c r="Q119" s="384">
        <f t="shared" si="19"/>
        <v>613</v>
      </c>
      <c r="R119" s="12">
        <f t="shared" si="20"/>
        <v>427</v>
      </c>
      <c r="S119" s="12"/>
      <c r="T119" s="31">
        <v>45231</v>
      </c>
      <c r="U119" s="384">
        <v>14</v>
      </c>
      <c r="V119" s="389">
        <f t="shared" si="21"/>
        <v>45231</v>
      </c>
      <c r="W119" s="384">
        <f t="shared" si="22"/>
        <v>14</v>
      </c>
      <c r="X119" s="12"/>
      <c r="Y119" s="12"/>
      <c r="Z119" s="12"/>
      <c r="AA119" s="12"/>
      <c r="AB119" s="12"/>
      <c r="AD119" s="31"/>
      <c r="AE119" s="12"/>
      <c r="AF119" s="197"/>
      <c r="AG119" s="197"/>
      <c r="AH119" s="197"/>
      <c r="AI119" s="197"/>
      <c r="AJ119" s="12"/>
      <c r="AK119" s="12"/>
      <c r="AL119" s="12"/>
      <c r="AM119" s="12"/>
      <c r="AN119" s="12"/>
      <c r="AO119" s="12"/>
      <c r="AP119" s="12"/>
      <c r="AQ119" s="12"/>
      <c r="AR119" s="12"/>
      <c r="AS119" s="12"/>
      <c r="AT119" s="12"/>
    </row>
    <row r="120" spans="1:46" x14ac:dyDescent="0.25">
      <c r="A120" s="12"/>
      <c r="B120" s="12"/>
      <c r="C120" s="12"/>
      <c r="D120" s="12"/>
      <c r="E120" s="12"/>
      <c r="F120" s="12"/>
      <c r="G120" s="12"/>
      <c r="H120" s="12"/>
      <c r="I120" s="21" t="str">
        <f>IF(COUNTA('[1]Virus production'!A107)=1,('[1]Virus production'!A107),"")</f>
        <v>AAV111</v>
      </c>
      <c r="J120" s="12"/>
      <c r="L120" s="31">
        <v>43642</v>
      </c>
      <c r="M120" s="12">
        <v>3</v>
      </c>
      <c r="N120" s="197">
        <f t="shared" si="16"/>
        <v>43642</v>
      </c>
      <c r="O120" s="197">
        <f t="shared" si="17"/>
        <v>43617</v>
      </c>
      <c r="P120" s="384">
        <f t="shared" si="18"/>
        <v>3</v>
      </c>
      <c r="Q120" s="384">
        <f t="shared" si="19"/>
        <v>614</v>
      </c>
      <c r="R120" s="12">
        <f t="shared" si="20"/>
        <v>430</v>
      </c>
      <c r="S120" s="12"/>
      <c r="T120" s="31">
        <v>45261</v>
      </c>
      <c r="U120" s="384">
        <v>8</v>
      </c>
      <c r="V120" s="389">
        <f t="shared" si="21"/>
        <v>45261</v>
      </c>
      <c r="W120" s="384">
        <f t="shared" si="22"/>
        <v>8</v>
      </c>
      <c r="X120" s="12"/>
      <c r="Y120" s="12"/>
      <c r="Z120" s="12"/>
      <c r="AA120" s="12"/>
      <c r="AB120" s="12"/>
      <c r="AD120" s="31"/>
      <c r="AE120" s="12"/>
      <c r="AF120" s="197"/>
      <c r="AG120" s="197"/>
      <c r="AH120" s="197"/>
      <c r="AI120" s="197"/>
      <c r="AJ120" s="12"/>
      <c r="AK120" s="12"/>
      <c r="AL120" s="12"/>
      <c r="AM120" s="12"/>
      <c r="AN120" s="12"/>
      <c r="AO120" s="12"/>
      <c r="AP120" s="12"/>
      <c r="AQ120" s="12"/>
      <c r="AR120" s="12"/>
      <c r="AS120" s="12"/>
      <c r="AT120" s="12"/>
    </row>
    <row r="121" spans="1:46" x14ac:dyDescent="0.25">
      <c r="A121" s="12"/>
      <c r="B121" s="12"/>
      <c r="C121" s="12"/>
      <c r="D121" s="12"/>
      <c r="E121" s="12"/>
      <c r="F121" s="12"/>
      <c r="G121" s="12"/>
      <c r="H121" s="12"/>
      <c r="I121" s="21" t="str">
        <f>IF(COUNTA('[1]Virus production'!A108)=1,('[1]Virus production'!A108),"")</f>
        <v>AAV112</v>
      </c>
      <c r="J121" s="12"/>
      <c r="L121" s="31">
        <v>43649</v>
      </c>
      <c r="M121" s="12">
        <v>3</v>
      </c>
      <c r="N121" s="197">
        <f t="shared" si="16"/>
        <v>43649</v>
      </c>
      <c r="O121" s="197">
        <f t="shared" si="17"/>
        <v>43647</v>
      </c>
      <c r="P121" s="384">
        <f t="shared" si="18"/>
        <v>3</v>
      </c>
      <c r="Q121" s="384">
        <f t="shared" si="19"/>
        <v>621</v>
      </c>
      <c r="R121" s="12">
        <f t="shared" si="20"/>
        <v>433</v>
      </c>
      <c r="S121" s="12"/>
      <c r="T121" s="31">
        <v>45292</v>
      </c>
      <c r="U121" s="384">
        <v>73</v>
      </c>
      <c r="V121" s="389">
        <f t="shared" si="21"/>
        <v>45292</v>
      </c>
      <c r="W121" s="384">
        <f t="shared" si="22"/>
        <v>73</v>
      </c>
      <c r="X121" s="12"/>
      <c r="Y121" s="12"/>
      <c r="Z121" s="12"/>
      <c r="AA121" s="12"/>
      <c r="AB121" s="12"/>
      <c r="AD121" s="31"/>
      <c r="AE121" s="12"/>
      <c r="AF121" s="197"/>
      <c r="AG121" s="197"/>
      <c r="AH121" s="197"/>
      <c r="AI121" s="197"/>
      <c r="AJ121" s="12"/>
      <c r="AK121" s="12"/>
      <c r="AL121" s="12"/>
      <c r="AM121" s="12"/>
      <c r="AN121" s="12"/>
      <c r="AO121" s="12"/>
      <c r="AP121" s="12"/>
      <c r="AQ121" s="12"/>
      <c r="AR121" s="12"/>
      <c r="AS121" s="12"/>
      <c r="AT121" s="12"/>
    </row>
    <row r="122" spans="1:46" x14ac:dyDescent="0.25">
      <c r="A122" s="12"/>
      <c r="B122" s="12"/>
      <c r="C122" s="12"/>
      <c r="D122" s="12"/>
      <c r="E122" s="12"/>
      <c r="F122" s="12"/>
      <c r="G122" s="12"/>
      <c r="H122" s="12"/>
      <c r="I122" s="21" t="str">
        <f>IF(COUNTA('[1]Virus production'!A109)=1,('[1]Virus production'!A109),"")</f>
        <v>AAV113</v>
      </c>
      <c r="J122" s="12"/>
      <c r="L122" s="31">
        <v>43661</v>
      </c>
      <c r="M122" s="12">
        <v>3</v>
      </c>
      <c r="N122" s="197">
        <f t="shared" si="16"/>
        <v>43661</v>
      </c>
      <c r="O122" s="197">
        <f t="shared" si="17"/>
        <v>43647</v>
      </c>
      <c r="P122" s="384">
        <f t="shared" si="18"/>
        <v>3</v>
      </c>
      <c r="Q122" s="384">
        <f t="shared" si="19"/>
        <v>633</v>
      </c>
      <c r="R122" s="12">
        <f t="shared" si="20"/>
        <v>436</v>
      </c>
      <c r="S122" s="12"/>
      <c r="T122" s="31">
        <v>45323</v>
      </c>
      <c r="U122" s="384">
        <v>6</v>
      </c>
      <c r="V122" s="389">
        <f t="shared" si="21"/>
        <v>45323</v>
      </c>
      <c r="W122" s="384">
        <f t="shared" si="22"/>
        <v>6</v>
      </c>
      <c r="X122" s="12"/>
      <c r="Y122" s="12"/>
      <c r="Z122" s="12"/>
      <c r="AA122" s="12"/>
      <c r="AB122" s="12"/>
      <c r="AD122" s="31"/>
      <c r="AE122" s="12"/>
      <c r="AF122" s="197"/>
      <c r="AG122" s="197"/>
      <c r="AH122" s="197"/>
      <c r="AI122" s="197"/>
      <c r="AJ122" s="12"/>
      <c r="AK122" s="12"/>
      <c r="AL122" s="12"/>
      <c r="AM122" s="12"/>
      <c r="AN122" s="12"/>
      <c r="AO122" s="12"/>
      <c r="AP122" s="12"/>
      <c r="AQ122" s="12"/>
      <c r="AR122" s="12"/>
      <c r="AS122" s="12"/>
      <c r="AT122" s="12"/>
    </row>
    <row r="123" spans="1:46" x14ac:dyDescent="0.25">
      <c r="A123" s="12"/>
      <c r="B123" s="12"/>
      <c r="C123" s="12"/>
      <c r="D123" s="12"/>
      <c r="E123" s="12"/>
      <c r="F123" s="12"/>
      <c r="G123" s="12"/>
      <c r="H123" s="12"/>
      <c r="I123" s="21" t="str">
        <f>IF(COUNTA('[1]Virus production'!A110)=1,('[1]Virus production'!A110),"")</f>
        <v/>
      </c>
      <c r="J123" s="12"/>
      <c r="L123" s="31">
        <v>43662</v>
      </c>
      <c r="M123" s="12">
        <v>4</v>
      </c>
      <c r="N123" s="197">
        <f t="shared" si="16"/>
        <v>43662</v>
      </c>
      <c r="O123" s="197">
        <f t="shared" si="17"/>
        <v>43647</v>
      </c>
      <c r="P123" s="384">
        <f t="shared" si="18"/>
        <v>4</v>
      </c>
      <c r="Q123" s="384">
        <f t="shared" si="19"/>
        <v>634</v>
      </c>
      <c r="R123" s="12">
        <f t="shared" si="20"/>
        <v>440</v>
      </c>
      <c r="S123" s="12"/>
      <c r="T123" s="31">
        <v>45352</v>
      </c>
      <c r="U123" s="384">
        <v>22</v>
      </c>
      <c r="V123" s="389">
        <f t="shared" si="21"/>
        <v>45352</v>
      </c>
      <c r="W123" s="384">
        <f t="shared" si="22"/>
        <v>22</v>
      </c>
      <c r="X123" s="12"/>
      <c r="Y123" s="12"/>
      <c r="Z123" s="12"/>
      <c r="AA123" s="12"/>
      <c r="AB123" s="12"/>
      <c r="AD123" s="31"/>
      <c r="AE123" s="12"/>
      <c r="AF123" s="197"/>
      <c r="AG123" s="197"/>
      <c r="AH123" s="197"/>
      <c r="AI123" s="197"/>
      <c r="AJ123" s="12"/>
      <c r="AK123" s="12"/>
      <c r="AL123" s="12"/>
      <c r="AM123" s="12"/>
      <c r="AN123" s="12"/>
      <c r="AO123" s="12"/>
      <c r="AP123" s="12"/>
      <c r="AQ123" s="12"/>
      <c r="AR123" s="12"/>
      <c r="AS123" s="12"/>
      <c r="AT123" s="12"/>
    </row>
    <row r="124" spans="1:46" x14ac:dyDescent="0.25">
      <c r="A124" s="12"/>
      <c r="B124" s="12"/>
      <c r="C124" s="12"/>
      <c r="D124" s="12"/>
      <c r="E124" s="12"/>
      <c r="F124" s="12"/>
      <c r="G124" s="12"/>
      <c r="H124" s="12"/>
      <c r="I124" s="21" t="str">
        <f>IF(COUNTA('[1]Virus production'!A111)=1,('[1]Virus production'!A111),"")</f>
        <v>AAV114</v>
      </c>
      <c r="J124" s="12"/>
      <c r="L124" s="31">
        <v>43664</v>
      </c>
      <c r="M124" s="12">
        <v>3</v>
      </c>
      <c r="N124" s="197">
        <f t="shared" si="16"/>
        <v>43664</v>
      </c>
      <c r="O124" s="197">
        <f t="shared" si="17"/>
        <v>43647</v>
      </c>
      <c r="P124" s="384">
        <f t="shared" si="18"/>
        <v>3</v>
      </c>
      <c r="Q124" s="384">
        <f t="shared" si="19"/>
        <v>636</v>
      </c>
      <c r="R124" s="12">
        <f t="shared" si="20"/>
        <v>443</v>
      </c>
      <c r="S124" s="12"/>
      <c r="T124" s="31">
        <v>45383</v>
      </c>
      <c r="U124" s="384">
        <v>17</v>
      </c>
      <c r="V124" s="389">
        <f t="shared" si="21"/>
        <v>45383</v>
      </c>
      <c r="W124" s="384">
        <f t="shared" si="22"/>
        <v>17</v>
      </c>
      <c r="X124" s="12"/>
      <c r="Y124" s="12"/>
      <c r="Z124" s="12"/>
      <c r="AA124" s="12"/>
      <c r="AB124" s="12"/>
      <c r="AD124" s="31"/>
      <c r="AE124" s="12"/>
      <c r="AF124" s="197"/>
      <c r="AG124" s="197"/>
      <c r="AH124" s="197"/>
      <c r="AI124" s="197"/>
      <c r="AJ124" s="12"/>
      <c r="AK124" s="12"/>
      <c r="AL124" s="12"/>
      <c r="AM124" s="12"/>
      <c r="AN124" s="12"/>
      <c r="AO124" s="12"/>
      <c r="AP124" s="12"/>
      <c r="AQ124" s="12"/>
      <c r="AR124" s="12"/>
      <c r="AS124" s="12"/>
      <c r="AT124" s="12"/>
    </row>
    <row r="125" spans="1:46" x14ac:dyDescent="0.25">
      <c r="A125" s="12"/>
      <c r="B125" s="12"/>
      <c r="C125" s="12"/>
      <c r="D125" s="12"/>
      <c r="E125" s="12"/>
      <c r="F125" s="12"/>
      <c r="G125" s="12"/>
      <c r="H125" s="12"/>
      <c r="I125" s="21" t="str">
        <f>IF(COUNTA('[1]Virus production'!A112)=1,('[1]Virus production'!A112),"")</f>
        <v>AAV115</v>
      </c>
      <c r="J125" s="12"/>
      <c r="L125" s="31">
        <v>43669</v>
      </c>
      <c r="M125" s="12">
        <v>3</v>
      </c>
      <c r="N125" s="197">
        <f t="shared" si="16"/>
        <v>43669</v>
      </c>
      <c r="O125" s="197">
        <f t="shared" si="17"/>
        <v>43647</v>
      </c>
      <c r="P125" s="384">
        <f t="shared" si="18"/>
        <v>3</v>
      </c>
      <c r="Q125" s="384">
        <f t="shared" si="19"/>
        <v>641</v>
      </c>
      <c r="R125" s="12">
        <f t="shared" si="20"/>
        <v>446</v>
      </c>
      <c r="S125" s="12"/>
      <c r="T125" s="31">
        <v>45413</v>
      </c>
      <c r="U125" s="384">
        <v>12</v>
      </c>
      <c r="V125" s="389">
        <f t="shared" si="21"/>
        <v>45413</v>
      </c>
      <c r="W125" s="384">
        <f t="shared" si="22"/>
        <v>12</v>
      </c>
      <c r="X125" s="12"/>
      <c r="Y125" s="12"/>
      <c r="Z125" s="12"/>
      <c r="AA125" s="12"/>
      <c r="AB125" s="12"/>
      <c r="AD125" s="31"/>
      <c r="AE125" s="12"/>
      <c r="AF125" s="197"/>
      <c r="AG125" s="197"/>
      <c r="AH125" s="197"/>
      <c r="AI125" s="197"/>
      <c r="AJ125" s="12"/>
      <c r="AK125" s="12"/>
      <c r="AL125" s="12"/>
      <c r="AM125" s="12"/>
      <c r="AN125" s="12"/>
      <c r="AO125" s="12"/>
      <c r="AP125" s="12"/>
      <c r="AQ125" s="12"/>
      <c r="AR125" s="12"/>
      <c r="AS125" s="12"/>
      <c r="AT125" s="12"/>
    </row>
    <row r="126" spans="1:46" x14ac:dyDescent="0.25">
      <c r="A126" s="12"/>
      <c r="B126" s="12"/>
      <c r="C126" s="12"/>
      <c r="D126" s="12"/>
      <c r="E126" s="12"/>
      <c r="F126" s="12"/>
      <c r="G126" s="12"/>
      <c r="H126" s="12"/>
      <c r="I126" s="21" t="str">
        <f>IF(COUNTA('[1]Virus production'!A113)=1,('[1]Virus production'!A113),"")</f>
        <v>AAV116</v>
      </c>
      <c r="J126" s="12"/>
      <c r="L126" s="31">
        <v>43671</v>
      </c>
      <c r="M126" s="12">
        <v>1</v>
      </c>
      <c r="N126" s="197">
        <f t="shared" si="16"/>
        <v>43671</v>
      </c>
      <c r="O126" s="197">
        <f t="shared" si="17"/>
        <v>43647</v>
      </c>
      <c r="P126" s="384">
        <f t="shared" si="18"/>
        <v>1</v>
      </c>
      <c r="Q126" s="384">
        <f t="shared" si="19"/>
        <v>643</v>
      </c>
      <c r="R126" s="12">
        <f t="shared" si="20"/>
        <v>447</v>
      </c>
      <c r="S126" s="12"/>
      <c r="T126" s="31">
        <v>45444</v>
      </c>
      <c r="U126" s="384">
        <v>26</v>
      </c>
      <c r="V126" s="389">
        <f t="shared" si="21"/>
        <v>45444</v>
      </c>
      <c r="W126" s="384">
        <f t="shared" si="22"/>
        <v>26</v>
      </c>
      <c r="X126" s="12"/>
      <c r="Y126" s="12"/>
      <c r="Z126" s="12"/>
      <c r="AA126" s="12"/>
      <c r="AB126" s="12"/>
      <c r="AD126" s="31"/>
      <c r="AE126" s="12"/>
      <c r="AF126" s="197"/>
      <c r="AG126" s="197"/>
      <c r="AH126" s="197"/>
      <c r="AI126" s="197"/>
      <c r="AJ126" s="12"/>
      <c r="AK126" s="12"/>
      <c r="AL126" s="12"/>
      <c r="AM126" s="12"/>
      <c r="AN126" s="12"/>
      <c r="AO126" s="12"/>
      <c r="AP126" s="12"/>
      <c r="AQ126" s="12"/>
      <c r="AR126" s="12"/>
      <c r="AS126" s="12"/>
      <c r="AT126" s="12"/>
    </row>
    <row r="127" spans="1:46" x14ac:dyDescent="0.25">
      <c r="A127" s="12"/>
      <c r="B127" s="12"/>
      <c r="C127" s="12"/>
      <c r="D127" s="12"/>
      <c r="E127" s="12"/>
      <c r="F127" s="12"/>
      <c r="G127" s="12"/>
      <c r="H127" s="12"/>
      <c r="I127" s="21" t="str">
        <f>IF(COUNTA('[1]Virus production'!A114)=1,('[1]Virus production'!A114),"")</f>
        <v>AAV117</v>
      </c>
      <c r="J127" s="12"/>
      <c r="L127" s="31">
        <v>43675</v>
      </c>
      <c r="M127" s="12">
        <v>1</v>
      </c>
      <c r="N127" s="197">
        <f t="shared" si="16"/>
        <v>43675</v>
      </c>
      <c r="O127" s="197">
        <f t="shared" si="17"/>
        <v>43647</v>
      </c>
      <c r="P127" s="384">
        <f t="shared" si="18"/>
        <v>1</v>
      </c>
      <c r="Q127" s="384">
        <f t="shared" si="19"/>
        <v>647</v>
      </c>
      <c r="R127" s="12">
        <f t="shared" si="20"/>
        <v>448</v>
      </c>
      <c r="S127" s="12"/>
      <c r="T127" s="31">
        <v>45474</v>
      </c>
      <c r="U127" s="384">
        <v>45</v>
      </c>
      <c r="V127" s="389">
        <f t="shared" si="21"/>
        <v>45474</v>
      </c>
      <c r="W127" s="384">
        <f t="shared" si="22"/>
        <v>45</v>
      </c>
      <c r="X127" s="12"/>
      <c r="Y127" s="12"/>
      <c r="Z127" s="12"/>
      <c r="AA127" s="12"/>
      <c r="AB127" s="12"/>
      <c r="AD127" s="31"/>
      <c r="AE127" s="12"/>
      <c r="AF127" s="197"/>
      <c r="AG127" s="197"/>
      <c r="AH127" s="197"/>
      <c r="AI127" s="197"/>
      <c r="AJ127" s="12"/>
      <c r="AK127" s="12"/>
      <c r="AL127" s="12"/>
      <c r="AM127" s="12"/>
      <c r="AN127" s="12"/>
      <c r="AO127" s="12"/>
      <c r="AP127" s="12"/>
      <c r="AQ127" s="12"/>
      <c r="AR127" s="12"/>
      <c r="AS127" s="12"/>
      <c r="AT127" s="12"/>
    </row>
    <row r="128" spans="1:46" x14ac:dyDescent="0.25">
      <c r="A128" s="12"/>
      <c r="B128" s="12"/>
      <c r="C128" s="12"/>
      <c r="D128" s="12"/>
      <c r="E128" s="12"/>
      <c r="F128" s="12"/>
      <c r="G128" s="12"/>
      <c r="H128" s="12"/>
      <c r="I128" s="21" t="str">
        <f>IF(COUNTA('[1]Virus production'!A115)=1,('[1]Virus production'!A115),"")</f>
        <v>AAV118</v>
      </c>
      <c r="J128" s="12"/>
      <c r="L128" s="31">
        <v>43676</v>
      </c>
      <c r="M128" s="12">
        <v>4</v>
      </c>
      <c r="N128" s="197">
        <f t="shared" si="16"/>
        <v>43676</v>
      </c>
      <c r="O128" s="197">
        <f t="shared" si="17"/>
        <v>43647</v>
      </c>
      <c r="P128" s="384">
        <f t="shared" si="18"/>
        <v>4</v>
      </c>
      <c r="Q128" s="384">
        <f t="shared" si="19"/>
        <v>648</v>
      </c>
      <c r="R128" s="12">
        <f t="shared" si="20"/>
        <v>452</v>
      </c>
      <c r="S128" s="12"/>
      <c r="T128" s="31">
        <v>45505</v>
      </c>
      <c r="U128" s="384">
        <v>15</v>
      </c>
      <c r="V128" s="389">
        <f t="shared" si="21"/>
        <v>45505</v>
      </c>
      <c r="W128" s="384">
        <f t="shared" si="22"/>
        <v>15</v>
      </c>
      <c r="X128" s="12"/>
      <c r="Y128" s="12"/>
      <c r="Z128" s="12"/>
      <c r="AA128" s="12"/>
      <c r="AB128" s="12"/>
      <c r="AD128" s="31"/>
      <c r="AE128" s="12"/>
      <c r="AF128" s="197"/>
      <c r="AG128" s="197"/>
      <c r="AH128" s="197"/>
      <c r="AI128" s="197"/>
      <c r="AJ128" s="12"/>
      <c r="AK128" s="12"/>
      <c r="AL128" s="12"/>
      <c r="AM128" s="12"/>
      <c r="AN128" s="12"/>
      <c r="AO128" s="12"/>
      <c r="AP128" s="12"/>
      <c r="AQ128" s="12"/>
      <c r="AR128" s="12"/>
      <c r="AS128" s="12"/>
      <c r="AT128" s="12"/>
    </row>
    <row r="129" spans="1:46" x14ac:dyDescent="0.25">
      <c r="A129" s="12"/>
      <c r="B129" s="12"/>
      <c r="C129" s="12"/>
      <c r="D129" s="12"/>
      <c r="E129" s="12"/>
      <c r="F129" s="12"/>
      <c r="G129" s="12"/>
      <c r="H129" s="12"/>
      <c r="I129" s="21" t="str">
        <f>IF(COUNTA('[1]Virus production'!A116)=1,('[1]Virus production'!A116),"")</f>
        <v>AAV119</v>
      </c>
      <c r="J129" s="12"/>
      <c r="L129" s="31">
        <v>43677</v>
      </c>
      <c r="M129" s="12">
        <v>1</v>
      </c>
      <c r="N129" s="197">
        <f t="shared" si="16"/>
        <v>43677</v>
      </c>
      <c r="O129" s="197">
        <f t="shared" si="17"/>
        <v>43647</v>
      </c>
      <c r="P129" s="384">
        <f t="shared" si="18"/>
        <v>1</v>
      </c>
      <c r="Q129" s="384">
        <f t="shared" si="19"/>
        <v>649</v>
      </c>
      <c r="R129" s="12">
        <f t="shared" si="20"/>
        <v>453</v>
      </c>
      <c r="S129" s="12"/>
      <c r="T129" s="31">
        <v>45536</v>
      </c>
      <c r="U129" s="384">
        <v>20</v>
      </c>
      <c r="V129" s="389">
        <f t="shared" si="21"/>
        <v>45536</v>
      </c>
      <c r="W129" s="384">
        <f t="shared" si="22"/>
        <v>20</v>
      </c>
      <c r="X129" s="12"/>
      <c r="Y129" s="12"/>
      <c r="Z129" s="12"/>
      <c r="AA129" s="12"/>
      <c r="AB129" s="12"/>
      <c r="AD129" s="31"/>
      <c r="AE129" s="12"/>
      <c r="AF129" s="197"/>
      <c r="AG129" s="197"/>
      <c r="AH129" s="197"/>
      <c r="AI129" s="197"/>
      <c r="AJ129" s="12"/>
      <c r="AK129" s="12"/>
      <c r="AL129" s="12"/>
      <c r="AM129" s="12"/>
      <c r="AN129" s="12"/>
      <c r="AO129" s="12"/>
      <c r="AP129" s="12"/>
      <c r="AQ129" s="12"/>
      <c r="AR129" s="12"/>
      <c r="AS129" s="12"/>
      <c r="AT129" s="12"/>
    </row>
    <row r="130" spans="1:46" x14ac:dyDescent="0.25">
      <c r="A130" s="12"/>
      <c r="B130" s="12"/>
      <c r="C130" s="12"/>
      <c r="D130" s="12"/>
      <c r="E130" s="12"/>
      <c r="F130" s="12"/>
      <c r="G130" s="12"/>
      <c r="H130" s="12"/>
      <c r="I130" s="21" t="str">
        <f>IF(COUNTA('[1]Virus production'!A117)=1,('[1]Virus production'!A117),"")</f>
        <v>AAV120</v>
      </c>
      <c r="J130" s="12"/>
      <c r="L130" s="31">
        <v>43682</v>
      </c>
      <c r="M130" s="12">
        <v>3</v>
      </c>
      <c r="N130" s="197">
        <f t="shared" si="16"/>
        <v>43682</v>
      </c>
      <c r="O130" s="197">
        <f t="shared" si="17"/>
        <v>43678</v>
      </c>
      <c r="P130" s="384">
        <f t="shared" si="18"/>
        <v>3</v>
      </c>
      <c r="Q130" s="384">
        <f t="shared" si="19"/>
        <v>654</v>
      </c>
      <c r="R130" s="12">
        <f t="shared" si="20"/>
        <v>456</v>
      </c>
      <c r="S130" s="12"/>
      <c r="T130" s="31">
        <v>45566</v>
      </c>
      <c r="U130" s="384">
        <v>46</v>
      </c>
      <c r="V130" s="389">
        <f t="shared" si="21"/>
        <v>45566</v>
      </c>
      <c r="W130" s="384">
        <f t="shared" si="22"/>
        <v>46</v>
      </c>
      <c r="X130" s="12"/>
      <c r="Y130" s="12"/>
      <c r="Z130" s="12"/>
      <c r="AA130" s="12"/>
      <c r="AB130" s="12"/>
      <c r="AD130" s="31"/>
      <c r="AE130" s="12"/>
      <c r="AF130" s="197"/>
      <c r="AG130" s="197"/>
      <c r="AH130" s="197"/>
      <c r="AI130" s="197"/>
      <c r="AJ130" s="12"/>
      <c r="AK130" s="12"/>
      <c r="AL130" s="12"/>
      <c r="AM130" s="12"/>
      <c r="AN130" s="12"/>
      <c r="AO130" s="12"/>
      <c r="AP130" s="12"/>
      <c r="AQ130" s="12"/>
      <c r="AR130" s="12"/>
      <c r="AS130" s="12"/>
      <c r="AT130" s="12"/>
    </row>
    <row r="131" spans="1:46" x14ac:dyDescent="0.25">
      <c r="A131" s="12"/>
      <c r="B131" s="12"/>
      <c r="C131" s="12"/>
      <c r="D131" s="12"/>
      <c r="E131" s="12"/>
      <c r="F131" s="12"/>
      <c r="G131" s="12"/>
      <c r="H131" s="12"/>
      <c r="I131" s="21" t="str">
        <f>IF(COUNTA('[1]Virus production'!A118)=1,('[1]Virus production'!A118),"")</f>
        <v>AAV121</v>
      </c>
      <c r="J131" s="12"/>
      <c r="L131" s="31">
        <v>43684</v>
      </c>
      <c r="M131" s="12">
        <v>4</v>
      </c>
      <c r="N131" s="197">
        <f t="shared" si="16"/>
        <v>43684</v>
      </c>
      <c r="O131" s="197">
        <f t="shared" si="17"/>
        <v>43678</v>
      </c>
      <c r="P131" s="384">
        <f t="shared" si="18"/>
        <v>4</v>
      </c>
      <c r="Q131" s="384">
        <f t="shared" si="19"/>
        <v>656</v>
      </c>
      <c r="R131" s="12">
        <f t="shared" si="20"/>
        <v>460</v>
      </c>
      <c r="S131" s="12"/>
      <c r="T131" s="31">
        <v>45597</v>
      </c>
      <c r="U131" s="384">
        <v>4</v>
      </c>
      <c r="V131" s="389">
        <f t="shared" si="21"/>
        <v>45597</v>
      </c>
      <c r="W131" s="384">
        <f t="shared" si="22"/>
        <v>4</v>
      </c>
      <c r="X131" s="12"/>
      <c r="Y131" s="12"/>
      <c r="Z131" s="12"/>
      <c r="AA131" s="12"/>
      <c r="AB131" s="12"/>
      <c r="AD131" s="31"/>
      <c r="AE131" s="12"/>
      <c r="AF131" s="197"/>
      <c r="AG131" s="197"/>
      <c r="AH131" s="197"/>
      <c r="AI131" s="197"/>
      <c r="AJ131" s="12"/>
      <c r="AK131" s="12"/>
      <c r="AL131" s="12"/>
      <c r="AM131" s="12"/>
      <c r="AN131" s="12"/>
      <c r="AO131" s="12"/>
      <c r="AP131" s="12"/>
      <c r="AQ131" s="12"/>
      <c r="AR131" s="12"/>
      <c r="AS131" s="12"/>
      <c r="AT131" s="12"/>
    </row>
    <row r="132" spans="1:46" x14ac:dyDescent="0.25">
      <c r="A132" s="12"/>
      <c r="B132" s="12"/>
      <c r="C132" s="12"/>
      <c r="D132" s="12"/>
      <c r="E132" s="12"/>
      <c r="F132" s="12"/>
      <c r="G132" s="12"/>
      <c r="H132" s="12"/>
      <c r="I132" s="21" t="str">
        <f>IF(COUNTA('[1]Virus production'!A119)=1,('[1]Virus production'!A119),"")</f>
        <v>AAV122</v>
      </c>
      <c r="J132" s="12"/>
      <c r="L132" s="31">
        <v>43692</v>
      </c>
      <c r="M132" s="12">
        <v>4</v>
      </c>
      <c r="N132" s="197">
        <f t="shared" si="16"/>
        <v>43692</v>
      </c>
      <c r="O132" s="197">
        <f t="shared" si="17"/>
        <v>43678</v>
      </c>
      <c r="P132" s="384">
        <f t="shared" si="18"/>
        <v>4</v>
      </c>
      <c r="Q132" s="384">
        <f t="shared" si="19"/>
        <v>664</v>
      </c>
      <c r="R132" s="12">
        <f t="shared" si="20"/>
        <v>464</v>
      </c>
      <c r="S132" s="12"/>
      <c r="T132" s="31" t="s">
        <v>3158</v>
      </c>
      <c r="U132" s="384">
        <v>1465</v>
      </c>
      <c r="V132" s="389"/>
      <c r="W132" s="384"/>
      <c r="X132" s="12"/>
      <c r="Y132" s="12"/>
      <c r="Z132" s="12"/>
      <c r="AA132" s="12"/>
      <c r="AB132" s="12"/>
      <c r="AD132" s="31"/>
      <c r="AE132" s="12"/>
      <c r="AF132" s="197"/>
      <c r="AG132" s="197"/>
      <c r="AH132" s="197"/>
      <c r="AI132" s="197"/>
      <c r="AJ132" s="12"/>
      <c r="AK132" s="12"/>
      <c r="AL132" s="12"/>
      <c r="AM132" s="12"/>
      <c r="AN132" s="12"/>
      <c r="AO132" s="12"/>
      <c r="AP132" s="12"/>
      <c r="AQ132" s="12"/>
      <c r="AR132" s="12"/>
      <c r="AS132" s="12"/>
      <c r="AT132" s="12"/>
    </row>
    <row r="133" spans="1:46" x14ac:dyDescent="0.25">
      <c r="A133" s="12"/>
      <c r="B133" s="12"/>
      <c r="C133" s="12"/>
      <c r="D133" s="12"/>
      <c r="E133" s="12"/>
      <c r="F133" s="12"/>
      <c r="G133" s="12"/>
      <c r="H133" s="12"/>
      <c r="I133" s="21" t="str">
        <f>IF(COUNTA('[1]Virus production'!A120)=1,('[1]Virus production'!A120),"")</f>
        <v>AAV123</v>
      </c>
      <c r="J133" s="12"/>
      <c r="L133" s="31">
        <v>43712</v>
      </c>
      <c r="M133" s="12">
        <v>1</v>
      </c>
      <c r="N133" s="197">
        <f t="shared" ref="N133:N196" si="23">L133</f>
        <v>43712</v>
      </c>
      <c r="O133" s="197">
        <f t="shared" ref="O133:O196" si="24">DATE(YEAR(N133),MONTH(N133),1)</f>
        <v>43709</v>
      </c>
      <c r="P133" s="384">
        <f t="shared" ref="P133:P196" si="25">M133</f>
        <v>1</v>
      </c>
      <c r="Q133" s="384">
        <f t="shared" ref="Q133:Q196" si="26">N133-$N$4</f>
        <v>684</v>
      </c>
      <c r="R133" s="12">
        <f t="shared" ref="R133:R196" si="27">R132+M133</f>
        <v>465</v>
      </c>
      <c r="S133" s="12"/>
      <c r="T133" s="12"/>
      <c r="U133" s="384"/>
      <c r="V133" s="12"/>
      <c r="W133" s="12"/>
      <c r="X133" s="12"/>
      <c r="Y133" s="12"/>
      <c r="Z133" s="12"/>
      <c r="AA133" s="12"/>
      <c r="AB133" s="12"/>
      <c r="AD133" s="31"/>
      <c r="AE133" s="12"/>
      <c r="AF133" s="197"/>
      <c r="AG133" s="197"/>
      <c r="AH133" s="197"/>
      <c r="AI133" s="197"/>
      <c r="AJ133" s="12"/>
      <c r="AK133" s="12"/>
      <c r="AL133" s="12"/>
      <c r="AM133" s="12"/>
      <c r="AN133" s="12"/>
      <c r="AO133" s="12"/>
      <c r="AP133" s="12"/>
      <c r="AQ133" s="12"/>
      <c r="AR133" s="12"/>
      <c r="AS133" s="12"/>
      <c r="AT133" s="12"/>
    </row>
    <row r="134" spans="1:46" x14ac:dyDescent="0.25">
      <c r="A134" s="12"/>
      <c r="B134" s="12"/>
      <c r="C134" s="12"/>
      <c r="D134" s="12"/>
      <c r="E134" s="12"/>
      <c r="F134" s="12"/>
      <c r="G134" s="12"/>
      <c r="H134" s="12"/>
      <c r="I134" s="21" t="str">
        <f>IF(COUNTA('[1]Virus production'!A121)=1,('[1]Virus production'!A121),"")</f>
        <v>AAV124</v>
      </c>
      <c r="J134" s="12"/>
      <c r="L134" s="31">
        <v>43713</v>
      </c>
      <c r="M134" s="12">
        <v>2</v>
      </c>
      <c r="N134" s="197">
        <f t="shared" si="23"/>
        <v>43713</v>
      </c>
      <c r="O134" s="197">
        <f t="shared" si="24"/>
        <v>43709</v>
      </c>
      <c r="P134" s="384">
        <f t="shared" si="25"/>
        <v>2</v>
      </c>
      <c r="Q134" s="384">
        <f t="shared" si="26"/>
        <v>685</v>
      </c>
      <c r="R134" s="12">
        <f t="shared" si="27"/>
        <v>467</v>
      </c>
      <c r="S134" s="12"/>
      <c r="T134" s="12"/>
      <c r="U134" s="384"/>
      <c r="V134" s="12"/>
      <c r="W134" s="12"/>
      <c r="X134" s="12"/>
      <c r="Y134" s="12"/>
      <c r="Z134" s="12"/>
      <c r="AA134" s="12"/>
      <c r="AB134" s="12"/>
      <c r="AD134" s="31"/>
      <c r="AE134" s="12"/>
      <c r="AF134" s="197"/>
      <c r="AG134" s="197"/>
      <c r="AH134" s="197"/>
      <c r="AI134" s="197"/>
      <c r="AJ134" s="12"/>
      <c r="AK134" s="12"/>
      <c r="AL134" s="12"/>
      <c r="AM134" s="12"/>
      <c r="AN134" s="12"/>
      <c r="AO134" s="12"/>
      <c r="AP134" s="12"/>
      <c r="AQ134" s="12"/>
      <c r="AR134" s="12"/>
      <c r="AS134" s="12"/>
      <c r="AT134" s="12"/>
    </row>
    <row r="135" spans="1:46" x14ac:dyDescent="0.25">
      <c r="A135" s="12"/>
      <c r="B135" s="12"/>
      <c r="C135" s="12"/>
      <c r="D135" s="12"/>
      <c r="E135" s="12"/>
      <c r="F135" s="12"/>
      <c r="G135" s="12"/>
      <c r="H135" s="12"/>
      <c r="I135" s="21" t="str">
        <f>IF(COUNTA('[1]Virus production'!A122)=1,('[1]Virus production'!A122),"")</f>
        <v>AAV125</v>
      </c>
      <c r="J135" s="12"/>
      <c r="L135" s="31">
        <v>43732</v>
      </c>
      <c r="M135" s="12">
        <v>8</v>
      </c>
      <c r="N135" s="197">
        <f t="shared" si="23"/>
        <v>43732</v>
      </c>
      <c r="O135" s="197">
        <f t="shared" si="24"/>
        <v>43709</v>
      </c>
      <c r="P135" s="384">
        <f t="shared" si="25"/>
        <v>8</v>
      </c>
      <c r="Q135" s="384">
        <f t="shared" si="26"/>
        <v>704</v>
      </c>
      <c r="R135" s="12">
        <f t="shared" si="27"/>
        <v>475</v>
      </c>
      <c r="S135" s="12"/>
      <c r="T135" s="12"/>
      <c r="U135" s="384"/>
      <c r="V135" s="12"/>
      <c r="W135" s="12"/>
      <c r="X135" s="12"/>
      <c r="Y135" s="12"/>
      <c r="Z135" s="12"/>
      <c r="AA135" s="12"/>
      <c r="AB135" s="12"/>
      <c r="AD135" s="31"/>
      <c r="AE135" s="12"/>
      <c r="AF135" s="197"/>
      <c r="AG135" s="197"/>
      <c r="AH135" s="197"/>
      <c r="AI135" s="197"/>
      <c r="AJ135" s="12"/>
      <c r="AK135" s="12"/>
      <c r="AL135" s="12"/>
      <c r="AM135" s="12"/>
      <c r="AN135" s="12"/>
      <c r="AO135" s="12"/>
      <c r="AP135" s="12"/>
      <c r="AQ135" s="12"/>
      <c r="AR135" s="12"/>
      <c r="AS135" s="12"/>
      <c r="AT135" s="12"/>
    </row>
    <row r="136" spans="1:46" x14ac:dyDescent="0.25">
      <c r="A136" s="12"/>
      <c r="B136" s="12"/>
      <c r="C136" s="12"/>
      <c r="D136" s="12"/>
      <c r="E136" s="12"/>
      <c r="F136" s="12"/>
      <c r="G136" s="12"/>
      <c r="H136" s="12"/>
      <c r="I136" s="21" t="str">
        <f>IF(COUNTA('[1]Virus production'!A123)=1,('[1]Virus production'!A123),"")</f>
        <v>AAV126</v>
      </c>
      <c r="J136" s="12"/>
      <c r="L136" s="31">
        <v>43733</v>
      </c>
      <c r="M136" s="12">
        <v>4</v>
      </c>
      <c r="N136" s="197">
        <f t="shared" si="23"/>
        <v>43733</v>
      </c>
      <c r="O136" s="197">
        <f t="shared" si="24"/>
        <v>43709</v>
      </c>
      <c r="P136" s="384">
        <f t="shared" si="25"/>
        <v>4</v>
      </c>
      <c r="Q136" s="384">
        <f t="shared" si="26"/>
        <v>705</v>
      </c>
      <c r="R136" s="12">
        <f t="shared" si="27"/>
        <v>479</v>
      </c>
      <c r="S136" s="12"/>
      <c r="T136" s="12"/>
      <c r="U136" s="384"/>
      <c r="V136" s="12"/>
      <c r="W136" s="12"/>
      <c r="X136" s="12"/>
      <c r="Y136" s="12"/>
      <c r="Z136" s="12"/>
      <c r="AA136" s="12"/>
      <c r="AB136" s="12"/>
      <c r="AD136" s="31"/>
      <c r="AE136" s="12"/>
      <c r="AF136" s="197"/>
      <c r="AG136" s="197"/>
      <c r="AH136" s="197"/>
      <c r="AI136" s="197"/>
      <c r="AJ136" s="12"/>
      <c r="AK136" s="12"/>
      <c r="AL136" s="12"/>
      <c r="AM136" s="12"/>
      <c r="AN136" s="12"/>
      <c r="AO136" s="12"/>
      <c r="AP136" s="12"/>
      <c r="AQ136" s="12"/>
      <c r="AR136" s="12"/>
      <c r="AS136" s="12"/>
      <c r="AT136" s="12"/>
    </row>
    <row r="137" spans="1:46" x14ac:dyDescent="0.25">
      <c r="A137" s="12"/>
      <c r="B137" s="12"/>
      <c r="C137" s="12"/>
      <c r="D137" s="12"/>
      <c r="E137" s="12"/>
      <c r="F137" s="12"/>
      <c r="G137" s="12"/>
      <c r="H137" s="12"/>
      <c r="I137" s="21" t="str">
        <f>IF(COUNTA('[1]Virus production'!A124)=1,('[1]Virus production'!A124),"")</f>
        <v>AAV127</v>
      </c>
      <c r="J137" s="12"/>
      <c r="L137" s="31">
        <v>43734</v>
      </c>
      <c r="M137" s="12">
        <v>3</v>
      </c>
      <c r="N137" s="197">
        <f t="shared" si="23"/>
        <v>43734</v>
      </c>
      <c r="O137" s="197">
        <f t="shared" si="24"/>
        <v>43709</v>
      </c>
      <c r="P137" s="384">
        <f t="shared" si="25"/>
        <v>3</v>
      </c>
      <c r="Q137" s="384">
        <f t="shared" si="26"/>
        <v>706</v>
      </c>
      <c r="R137" s="12">
        <f t="shared" si="27"/>
        <v>482</v>
      </c>
      <c r="S137" s="12"/>
      <c r="T137" s="12"/>
      <c r="U137" s="384"/>
      <c r="V137" s="12"/>
      <c r="W137" s="12"/>
      <c r="X137" s="12"/>
      <c r="Y137" s="12"/>
      <c r="Z137" s="12"/>
      <c r="AA137" s="12"/>
      <c r="AB137" s="12"/>
      <c r="AD137" s="31"/>
      <c r="AE137" s="12"/>
      <c r="AF137" s="197"/>
      <c r="AG137" s="197"/>
      <c r="AH137" s="197"/>
      <c r="AI137" s="197"/>
      <c r="AJ137" s="12"/>
      <c r="AK137" s="12"/>
      <c r="AL137" s="12"/>
      <c r="AM137" s="12"/>
      <c r="AN137" s="12"/>
      <c r="AO137" s="12"/>
      <c r="AP137" s="12"/>
      <c r="AQ137" s="12"/>
      <c r="AR137" s="12"/>
      <c r="AS137" s="12"/>
      <c r="AT137" s="12"/>
    </row>
    <row r="138" spans="1:46" x14ac:dyDescent="0.25">
      <c r="A138" s="12"/>
      <c r="B138" s="12"/>
      <c r="C138" s="12"/>
      <c r="D138" s="12"/>
      <c r="E138" s="12"/>
      <c r="F138" s="12"/>
      <c r="G138" s="12"/>
      <c r="H138" s="12"/>
      <c r="I138" s="21" t="str">
        <f>IF(COUNTA('[1]Virus production'!A125)=1,('[1]Virus production'!A125),"")</f>
        <v>AAV128</v>
      </c>
      <c r="J138" s="12"/>
      <c r="L138" s="31">
        <v>43735</v>
      </c>
      <c r="M138" s="12">
        <v>3</v>
      </c>
      <c r="N138" s="197">
        <f t="shared" si="23"/>
        <v>43735</v>
      </c>
      <c r="O138" s="197">
        <f t="shared" si="24"/>
        <v>43709</v>
      </c>
      <c r="P138" s="384">
        <f t="shared" si="25"/>
        <v>3</v>
      </c>
      <c r="Q138" s="384">
        <f t="shared" si="26"/>
        <v>707</v>
      </c>
      <c r="R138" s="12">
        <f t="shared" si="27"/>
        <v>485</v>
      </c>
      <c r="S138" s="12"/>
      <c r="T138" s="12"/>
      <c r="U138" s="384"/>
      <c r="V138" s="12"/>
      <c r="W138" s="12"/>
      <c r="X138" s="12"/>
      <c r="Y138" s="12"/>
      <c r="Z138" s="12"/>
      <c r="AA138" s="12"/>
      <c r="AB138" s="12"/>
      <c r="AD138" s="31"/>
      <c r="AE138" s="12"/>
      <c r="AF138" s="197"/>
      <c r="AG138" s="197"/>
      <c r="AH138" s="197"/>
      <c r="AI138" s="197"/>
      <c r="AJ138" s="12"/>
      <c r="AK138" s="12"/>
      <c r="AL138" s="12"/>
      <c r="AM138" s="12"/>
      <c r="AN138" s="12"/>
      <c r="AO138" s="12"/>
      <c r="AP138" s="12"/>
      <c r="AQ138" s="12"/>
      <c r="AR138" s="12"/>
      <c r="AS138" s="12"/>
      <c r="AT138" s="12"/>
    </row>
    <row r="139" spans="1:46" x14ac:dyDescent="0.25">
      <c r="A139" s="12"/>
      <c r="B139" s="12"/>
      <c r="C139" s="12"/>
      <c r="D139" s="12"/>
      <c r="E139" s="12"/>
      <c r="F139" s="12"/>
      <c r="G139" s="12"/>
      <c r="H139" s="12"/>
      <c r="I139" s="21" t="str">
        <f>IF(COUNTA('[1]Virus production'!A126)=1,('[1]Virus production'!A126),"")</f>
        <v>AAV129</v>
      </c>
      <c r="J139" s="12"/>
      <c r="L139" s="31">
        <v>43738</v>
      </c>
      <c r="M139" s="12">
        <v>6</v>
      </c>
      <c r="N139" s="197">
        <f t="shared" si="23"/>
        <v>43738</v>
      </c>
      <c r="O139" s="197">
        <f t="shared" si="24"/>
        <v>43709</v>
      </c>
      <c r="P139" s="384">
        <f t="shared" si="25"/>
        <v>6</v>
      </c>
      <c r="Q139" s="384">
        <f t="shared" si="26"/>
        <v>710</v>
      </c>
      <c r="R139" s="12">
        <f t="shared" si="27"/>
        <v>491</v>
      </c>
      <c r="S139" s="12"/>
      <c r="T139" s="12"/>
      <c r="U139" s="384"/>
      <c r="V139" s="12"/>
      <c r="W139" s="12"/>
      <c r="X139" s="12"/>
      <c r="Y139" s="12"/>
      <c r="Z139" s="12"/>
      <c r="AA139" s="12"/>
      <c r="AB139" s="12"/>
      <c r="AD139" s="31"/>
      <c r="AE139" s="12"/>
      <c r="AF139" s="197"/>
      <c r="AG139" s="197"/>
      <c r="AH139" s="197"/>
      <c r="AI139" s="197"/>
      <c r="AJ139" s="12"/>
      <c r="AK139" s="12"/>
      <c r="AL139" s="12"/>
      <c r="AM139" s="12"/>
      <c r="AN139" s="12"/>
      <c r="AO139" s="12"/>
      <c r="AP139" s="12"/>
      <c r="AQ139" s="12"/>
      <c r="AR139" s="12"/>
      <c r="AS139" s="12"/>
      <c r="AT139" s="12"/>
    </row>
    <row r="140" spans="1:46" x14ac:dyDescent="0.25">
      <c r="A140" s="12"/>
      <c r="B140" s="12"/>
      <c r="C140" s="12"/>
      <c r="D140" s="12"/>
      <c r="E140" s="12"/>
      <c r="F140" s="12"/>
      <c r="G140" s="12"/>
      <c r="H140" s="12"/>
      <c r="I140" s="21" t="str">
        <f>IF(COUNTA('[1]Virus production'!A127)=1,('[1]Virus production'!A127),"")</f>
        <v>AAV130</v>
      </c>
      <c r="J140" s="12"/>
      <c r="L140" s="31">
        <v>43739</v>
      </c>
      <c r="M140" s="12">
        <v>1</v>
      </c>
      <c r="N140" s="197">
        <f t="shared" si="23"/>
        <v>43739</v>
      </c>
      <c r="O140" s="197">
        <f t="shared" si="24"/>
        <v>43739</v>
      </c>
      <c r="P140" s="384">
        <f t="shared" si="25"/>
        <v>1</v>
      </c>
      <c r="Q140" s="384">
        <f t="shared" si="26"/>
        <v>711</v>
      </c>
      <c r="R140" s="12">
        <f t="shared" si="27"/>
        <v>492</v>
      </c>
      <c r="S140" s="12"/>
      <c r="T140" s="12"/>
      <c r="U140" s="384"/>
      <c r="V140" s="12"/>
      <c r="W140" s="12"/>
      <c r="X140" s="12"/>
      <c r="Y140" s="12"/>
      <c r="Z140" s="12"/>
      <c r="AA140" s="12"/>
      <c r="AB140" s="12"/>
      <c r="AD140" s="31"/>
      <c r="AE140" s="12"/>
      <c r="AF140" s="197"/>
      <c r="AG140" s="197"/>
      <c r="AH140" s="197"/>
      <c r="AI140" s="197"/>
      <c r="AJ140" s="12"/>
      <c r="AK140" s="12"/>
      <c r="AL140" s="12"/>
      <c r="AM140" s="12"/>
      <c r="AN140" s="12"/>
      <c r="AO140" s="12"/>
      <c r="AP140" s="12"/>
      <c r="AQ140" s="12"/>
      <c r="AR140" s="12"/>
      <c r="AS140" s="12"/>
      <c r="AT140" s="12"/>
    </row>
    <row r="141" spans="1:46" x14ac:dyDescent="0.25">
      <c r="A141" s="12"/>
      <c r="B141" s="12"/>
      <c r="C141" s="12"/>
      <c r="D141" s="12"/>
      <c r="E141" s="12"/>
      <c r="F141" s="12"/>
      <c r="G141" s="12"/>
      <c r="H141" s="12"/>
      <c r="I141" s="21" t="str">
        <f>IF(COUNTA('[1]Virus production'!A128)=1,('[1]Virus production'!A128),"")</f>
        <v>AAV131</v>
      </c>
      <c r="J141" s="12"/>
      <c r="L141" s="31">
        <v>43741</v>
      </c>
      <c r="M141" s="12">
        <v>2</v>
      </c>
      <c r="N141" s="197">
        <f t="shared" si="23"/>
        <v>43741</v>
      </c>
      <c r="O141" s="197">
        <f t="shared" si="24"/>
        <v>43739</v>
      </c>
      <c r="P141" s="384">
        <f t="shared" si="25"/>
        <v>2</v>
      </c>
      <c r="Q141" s="384">
        <f t="shared" si="26"/>
        <v>713</v>
      </c>
      <c r="R141" s="12">
        <f t="shared" si="27"/>
        <v>494</v>
      </c>
      <c r="S141" s="12"/>
      <c r="T141" s="12"/>
      <c r="U141" s="384"/>
      <c r="V141" s="12"/>
      <c r="W141" s="12"/>
      <c r="X141" s="12"/>
      <c r="Y141" s="12"/>
      <c r="Z141" s="12"/>
      <c r="AA141" s="12"/>
      <c r="AB141" s="12"/>
      <c r="AD141" s="31"/>
      <c r="AE141" s="12"/>
      <c r="AF141" s="197"/>
      <c r="AG141" s="197"/>
      <c r="AH141" s="197"/>
      <c r="AI141" s="197"/>
      <c r="AJ141" s="12"/>
      <c r="AK141" s="12"/>
      <c r="AL141" s="12"/>
      <c r="AM141" s="12"/>
      <c r="AN141" s="12"/>
      <c r="AO141" s="12"/>
      <c r="AP141" s="12"/>
      <c r="AQ141" s="12"/>
      <c r="AR141" s="12"/>
      <c r="AS141" s="12"/>
      <c r="AT141" s="12"/>
    </row>
    <row r="142" spans="1:46" x14ac:dyDescent="0.25">
      <c r="A142" s="12"/>
      <c r="B142" s="12"/>
      <c r="C142" s="12"/>
      <c r="D142" s="12"/>
      <c r="E142" s="12"/>
      <c r="F142" s="12"/>
      <c r="G142" s="12"/>
      <c r="H142" s="12"/>
      <c r="I142" s="21" t="str">
        <f>IF(COUNTA('[1]Virus production'!A129)=1,('[1]Virus production'!A129),"")</f>
        <v>AAV132</v>
      </c>
      <c r="J142" s="12"/>
      <c r="L142" s="31">
        <v>43742</v>
      </c>
      <c r="M142" s="12">
        <v>2</v>
      </c>
      <c r="N142" s="197">
        <f t="shared" si="23"/>
        <v>43742</v>
      </c>
      <c r="O142" s="197">
        <f t="shared" si="24"/>
        <v>43739</v>
      </c>
      <c r="P142" s="384">
        <f t="shared" si="25"/>
        <v>2</v>
      </c>
      <c r="Q142" s="384">
        <f t="shared" si="26"/>
        <v>714</v>
      </c>
      <c r="R142" s="12">
        <f t="shared" si="27"/>
        <v>496</v>
      </c>
      <c r="S142" s="12"/>
      <c r="T142" s="12"/>
      <c r="U142" s="384"/>
      <c r="V142" s="12"/>
      <c r="W142" s="12"/>
      <c r="X142" s="12"/>
      <c r="Y142" s="12"/>
      <c r="Z142" s="12"/>
      <c r="AA142" s="12"/>
      <c r="AB142" s="12"/>
      <c r="AD142" s="31"/>
      <c r="AE142" s="12"/>
      <c r="AF142" s="197"/>
      <c r="AG142" s="197"/>
      <c r="AH142" s="197"/>
      <c r="AI142" s="197"/>
      <c r="AJ142" s="12"/>
      <c r="AK142" s="12"/>
      <c r="AL142" s="12"/>
      <c r="AM142" s="12"/>
      <c r="AN142" s="12"/>
      <c r="AO142" s="12"/>
      <c r="AP142" s="12"/>
      <c r="AQ142" s="12"/>
      <c r="AR142" s="12"/>
      <c r="AS142" s="12"/>
      <c r="AT142" s="12"/>
    </row>
    <row r="143" spans="1:46" x14ac:dyDescent="0.25">
      <c r="A143" s="12"/>
      <c r="B143" s="12"/>
      <c r="C143" s="12"/>
      <c r="D143" s="12"/>
      <c r="E143" s="12"/>
      <c r="F143" s="12"/>
      <c r="G143" s="12"/>
      <c r="H143" s="12"/>
      <c r="I143" s="21" t="str">
        <f>IF(COUNTA('[1]Virus production'!A130)=1,('[1]Virus production'!A130),"")</f>
        <v>AAV133</v>
      </c>
      <c r="J143" s="12"/>
      <c r="L143" s="31">
        <v>43746</v>
      </c>
      <c r="M143" s="12">
        <v>3</v>
      </c>
      <c r="N143" s="197">
        <f t="shared" si="23"/>
        <v>43746</v>
      </c>
      <c r="O143" s="197">
        <f t="shared" si="24"/>
        <v>43739</v>
      </c>
      <c r="P143" s="384">
        <f t="shared" si="25"/>
        <v>3</v>
      </c>
      <c r="Q143" s="384">
        <f t="shared" si="26"/>
        <v>718</v>
      </c>
      <c r="R143" s="12">
        <f t="shared" si="27"/>
        <v>499</v>
      </c>
      <c r="S143" s="12"/>
      <c r="T143" s="12"/>
      <c r="U143" s="384"/>
      <c r="V143" s="12"/>
      <c r="W143" s="12"/>
      <c r="X143" s="12"/>
      <c r="Y143" s="12"/>
      <c r="Z143" s="12"/>
      <c r="AA143" s="12"/>
      <c r="AB143" s="12"/>
      <c r="AD143" s="31"/>
      <c r="AE143" s="12"/>
      <c r="AF143" s="197"/>
      <c r="AG143" s="197"/>
      <c r="AH143" s="197"/>
      <c r="AI143" s="197"/>
      <c r="AJ143" s="12"/>
      <c r="AK143" s="12"/>
      <c r="AL143" s="12"/>
      <c r="AM143" s="12"/>
      <c r="AN143" s="12"/>
      <c r="AO143" s="12"/>
      <c r="AP143" s="12"/>
      <c r="AQ143" s="12"/>
      <c r="AR143" s="12"/>
      <c r="AS143" s="12"/>
      <c r="AT143" s="12"/>
    </row>
    <row r="144" spans="1:46" x14ac:dyDescent="0.25">
      <c r="A144" s="12"/>
      <c r="B144" s="12"/>
      <c r="C144" s="12"/>
      <c r="D144" s="12"/>
      <c r="E144" s="12"/>
      <c r="F144" s="12"/>
      <c r="G144" s="12"/>
      <c r="H144" s="12"/>
      <c r="I144" s="21" t="str">
        <f>IF(COUNTA('[1]Virus production'!A131)=1,('[1]Virus production'!A131),"")</f>
        <v>AAV134</v>
      </c>
      <c r="J144" s="12"/>
      <c r="L144" s="31">
        <v>43776</v>
      </c>
      <c r="M144" s="12">
        <v>4</v>
      </c>
      <c r="N144" s="197">
        <f t="shared" si="23"/>
        <v>43776</v>
      </c>
      <c r="O144" s="197">
        <f t="shared" si="24"/>
        <v>43770</v>
      </c>
      <c r="P144" s="384">
        <f t="shared" si="25"/>
        <v>4</v>
      </c>
      <c r="Q144" s="384">
        <f t="shared" si="26"/>
        <v>748</v>
      </c>
      <c r="R144" s="12">
        <f t="shared" si="27"/>
        <v>503</v>
      </c>
      <c r="S144" s="12"/>
      <c r="T144" s="12"/>
      <c r="U144" s="384"/>
      <c r="V144" s="12"/>
      <c r="W144" s="12"/>
      <c r="X144" s="12"/>
      <c r="Y144" s="12"/>
      <c r="Z144" s="12"/>
      <c r="AA144" s="12"/>
      <c r="AB144" s="12"/>
      <c r="AD144" s="31"/>
      <c r="AE144" s="12"/>
      <c r="AF144" s="197"/>
      <c r="AG144" s="197"/>
      <c r="AH144" s="197"/>
      <c r="AI144" s="197"/>
      <c r="AJ144" s="12"/>
      <c r="AK144" s="12"/>
      <c r="AL144" s="12"/>
      <c r="AM144" s="12"/>
      <c r="AN144" s="12"/>
      <c r="AO144" s="12"/>
      <c r="AP144" s="12"/>
      <c r="AQ144" s="12"/>
      <c r="AR144" s="12"/>
      <c r="AS144" s="12"/>
      <c r="AT144" s="12"/>
    </row>
    <row r="145" spans="1:46" x14ac:dyDescent="0.25">
      <c r="A145" s="12"/>
      <c r="B145" s="12"/>
      <c r="C145" s="12"/>
      <c r="D145" s="12"/>
      <c r="E145" s="12"/>
      <c r="F145" s="12"/>
      <c r="G145" s="12"/>
      <c r="H145" s="12"/>
      <c r="I145" s="21" t="str">
        <f>IF(COUNTA('[1]Virus production'!A132)=1,('[1]Virus production'!A132),"")</f>
        <v>AAV135</v>
      </c>
      <c r="J145" s="12"/>
      <c r="L145" s="31">
        <v>43794</v>
      </c>
      <c r="M145" s="12">
        <v>1</v>
      </c>
      <c r="N145" s="197">
        <f t="shared" si="23"/>
        <v>43794</v>
      </c>
      <c r="O145" s="197">
        <f t="shared" si="24"/>
        <v>43770</v>
      </c>
      <c r="P145" s="384">
        <f t="shared" si="25"/>
        <v>1</v>
      </c>
      <c r="Q145" s="384">
        <f t="shared" si="26"/>
        <v>766</v>
      </c>
      <c r="R145" s="12">
        <f t="shared" si="27"/>
        <v>504</v>
      </c>
      <c r="S145" s="12"/>
      <c r="T145" s="12"/>
      <c r="U145" s="384"/>
      <c r="V145" s="12"/>
      <c r="W145" s="12"/>
      <c r="X145" s="12"/>
      <c r="Y145" s="12"/>
      <c r="Z145" s="12"/>
      <c r="AA145" s="12"/>
      <c r="AB145" s="12"/>
      <c r="AD145" s="31"/>
      <c r="AE145" s="12"/>
      <c r="AF145" s="197"/>
      <c r="AG145" s="197"/>
      <c r="AH145" s="197"/>
      <c r="AI145" s="197"/>
      <c r="AJ145" s="12"/>
      <c r="AK145" s="12"/>
      <c r="AL145" s="12"/>
      <c r="AM145" s="12"/>
      <c r="AN145" s="12"/>
      <c r="AO145" s="12"/>
      <c r="AP145" s="12"/>
      <c r="AQ145" s="12"/>
      <c r="AR145" s="12"/>
      <c r="AS145" s="12"/>
      <c r="AT145" s="12"/>
    </row>
    <row r="146" spans="1:46" x14ac:dyDescent="0.25">
      <c r="A146" s="12"/>
      <c r="B146" s="12"/>
      <c r="C146" s="12"/>
      <c r="D146" s="12"/>
      <c r="E146" s="12"/>
      <c r="F146" s="12"/>
      <c r="G146" s="12"/>
      <c r="H146" s="12"/>
      <c r="I146" s="21" t="str">
        <f>IF(COUNTA('[1]Virus production'!A133)=1,('[1]Virus production'!A133),"")</f>
        <v>AAV136</v>
      </c>
      <c r="J146" s="12"/>
      <c r="L146" s="31">
        <v>43797</v>
      </c>
      <c r="M146" s="12">
        <v>1</v>
      </c>
      <c r="N146" s="197">
        <f t="shared" si="23"/>
        <v>43797</v>
      </c>
      <c r="O146" s="197">
        <f t="shared" si="24"/>
        <v>43770</v>
      </c>
      <c r="P146" s="384">
        <f t="shared" si="25"/>
        <v>1</v>
      </c>
      <c r="Q146" s="384">
        <f t="shared" si="26"/>
        <v>769</v>
      </c>
      <c r="R146" s="12">
        <f t="shared" si="27"/>
        <v>505</v>
      </c>
      <c r="S146" s="12"/>
      <c r="T146" s="12"/>
      <c r="U146" s="384"/>
      <c r="V146" s="12"/>
      <c r="W146" s="12"/>
      <c r="X146" s="12"/>
      <c r="Y146" s="12"/>
      <c r="Z146" s="12"/>
      <c r="AA146" s="12"/>
      <c r="AB146" s="12"/>
      <c r="AD146" s="31"/>
      <c r="AE146" s="12"/>
      <c r="AF146" s="197"/>
      <c r="AG146" s="197"/>
      <c r="AH146" s="197"/>
      <c r="AI146" s="197"/>
      <c r="AJ146" s="12"/>
      <c r="AK146" s="12"/>
      <c r="AL146" s="12"/>
      <c r="AM146" s="12"/>
      <c r="AN146" s="12"/>
      <c r="AO146" s="12"/>
      <c r="AP146" s="12"/>
      <c r="AQ146" s="12"/>
      <c r="AR146" s="12"/>
      <c r="AS146" s="12"/>
      <c r="AT146" s="12"/>
    </row>
    <row r="147" spans="1:46" x14ac:dyDescent="0.25">
      <c r="A147" s="12"/>
      <c r="B147" s="12"/>
      <c r="C147" s="12"/>
      <c r="D147" s="12"/>
      <c r="E147" s="12"/>
      <c r="F147" s="12"/>
      <c r="G147" s="12"/>
      <c r="H147" s="12"/>
      <c r="I147" s="21" t="str">
        <f>IF(COUNTA('[1]Virus production'!A134)=1,('[1]Virus production'!A134),"")</f>
        <v>AAV137</v>
      </c>
      <c r="J147" s="12"/>
      <c r="L147" s="31">
        <v>43798</v>
      </c>
      <c r="M147" s="12">
        <v>1</v>
      </c>
      <c r="N147" s="197">
        <f t="shared" si="23"/>
        <v>43798</v>
      </c>
      <c r="O147" s="197">
        <f t="shared" si="24"/>
        <v>43770</v>
      </c>
      <c r="P147" s="384">
        <f t="shared" si="25"/>
        <v>1</v>
      </c>
      <c r="Q147" s="384">
        <f t="shared" si="26"/>
        <v>770</v>
      </c>
      <c r="R147" s="12">
        <f t="shared" si="27"/>
        <v>506</v>
      </c>
      <c r="S147" s="12"/>
      <c r="T147" s="12"/>
      <c r="U147" s="384"/>
      <c r="V147" s="12"/>
      <c r="W147" s="12"/>
      <c r="X147" s="12"/>
      <c r="Y147" s="12"/>
      <c r="Z147" s="12"/>
      <c r="AA147" s="12"/>
      <c r="AB147" s="12"/>
      <c r="AD147" s="31"/>
      <c r="AE147" s="12"/>
      <c r="AF147" s="197"/>
      <c r="AG147" s="197"/>
      <c r="AH147" s="197"/>
      <c r="AI147" s="197"/>
      <c r="AJ147" s="12"/>
      <c r="AK147" s="12"/>
      <c r="AL147" s="12"/>
      <c r="AM147" s="12"/>
      <c r="AN147" s="12"/>
      <c r="AO147" s="12"/>
      <c r="AP147" s="12"/>
      <c r="AQ147" s="12"/>
      <c r="AR147" s="12"/>
      <c r="AS147" s="12"/>
      <c r="AT147" s="12"/>
    </row>
    <row r="148" spans="1:46" x14ac:dyDescent="0.25">
      <c r="A148" s="12"/>
      <c r="B148" s="12"/>
      <c r="C148" s="12"/>
      <c r="D148" s="12"/>
      <c r="E148" s="12"/>
      <c r="F148" s="12"/>
      <c r="G148" s="12"/>
      <c r="H148" s="12"/>
      <c r="I148" s="21" t="str">
        <f>IF(COUNTA('[1]Virus production'!A135)=1,('[1]Virus production'!A135),"")</f>
        <v>AAV138</v>
      </c>
      <c r="J148" s="12"/>
      <c r="L148" s="31">
        <v>43861</v>
      </c>
      <c r="M148" s="12">
        <v>2</v>
      </c>
      <c r="N148" s="197">
        <f t="shared" si="23"/>
        <v>43861</v>
      </c>
      <c r="O148" s="197">
        <f t="shared" si="24"/>
        <v>43831</v>
      </c>
      <c r="P148" s="384">
        <f t="shared" si="25"/>
        <v>2</v>
      </c>
      <c r="Q148" s="384">
        <f t="shared" si="26"/>
        <v>833</v>
      </c>
      <c r="R148" s="12">
        <f t="shared" si="27"/>
        <v>508</v>
      </c>
      <c r="S148" s="12"/>
      <c r="T148" s="12"/>
      <c r="U148" s="384"/>
      <c r="V148" s="12"/>
      <c r="W148" s="12"/>
      <c r="X148" s="12"/>
      <c r="Y148" s="12"/>
      <c r="Z148" s="12"/>
      <c r="AA148" s="12"/>
      <c r="AB148" s="12"/>
      <c r="AD148" s="31"/>
      <c r="AE148" s="12"/>
      <c r="AF148" s="197"/>
      <c r="AG148" s="197"/>
      <c r="AH148" s="197"/>
      <c r="AI148" s="197"/>
      <c r="AJ148" s="12"/>
      <c r="AK148" s="12"/>
      <c r="AL148" s="12"/>
      <c r="AM148" s="12"/>
      <c r="AN148" s="12"/>
      <c r="AO148" s="12"/>
      <c r="AP148" s="12"/>
      <c r="AQ148" s="12"/>
      <c r="AR148" s="12"/>
      <c r="AS148" s="12"/>
      <c r="AT148" s="12"/>
    </row>
    <row r="149" spans="1:46" x14ac:dyDescent="0.25">
      <c r="A149" s="12"/>
      <c r="B149" s="12"/>
      <c r="C149" s="12"/>
      <c r="D149" s="12"/>
      <c r="E149" s="12"/>
      <c r="F149" s="12"/>
      <c r="G149" s="12"/>
      <c r="H149" s="12"/>
      <c r="I149" s="21" t="str">
        <f>IF(COUNTA('[1]Virus production'!A136)=1,('[1]Virus production'!A136),"")</f>
        <v>AAV139</v>
      </c>
      <c r="J149" s="12"/>
      <c r="L149" s="31">
        <v>43872</v>
      </c>
      <c r="M149" s="12">
        <v>5</v>
      </c>
      <c r="N149" s="197">
        <f t="shared" si="23"/>
        <v>43872</v>
      </c>
      <c r="O149" s="197">
        <f t="shared" si="24"/>
        <v>43862</v>
      </c>
      <c r="P149" s="384">
        <f t="shared" si="25"/>
        <v>5</v>
      </c>
      <c r="Q149" s="384">
        <f t="shared" si="26"/>
        <v>844</v>
      </c>
      <c r="R149" s="12">
        <f t="shared" si="27"/>
        <v>513</v>
      </c>
      <c r="S149" s="12"/>
      <c r="T149" s="12"/>
      <c r="U149" s="384"/>
      <c r="V149" s="12"/>
      <c r="W149" s="12"/>
      <c r="X149" s="12"/>
      <c r="Y149" s="12"/>
      <c r="Z149" s="12"/>
      <c r="AA149" s="12"/>
      <c r="AB149" s="12"/>
      <c r="AD149" s="31"/>
      <c r="AE149" s="12"/>
      <c r="AF149" s="197"/>
      <c r="AG149" s="197"/>
      <c r="AH149" s="197"/>
      <c r="AI149" s="197"/>
      <c r="AJ149" s="12"/>
      <c r="AK149" s="12"/>
      <c r="AL149" s="12"/>
      <c r="AM149" s="12"/>
      <c r="AN149" s="12"/>
      <c r="AO149" s="12"/>
      <c r="AP149" s="12"/>
      <c r="AQ149" s="12"/>
      <c r="AR149" s="12"/>
      <c r="AS149" s="12"/>
      <c r="AT149" s="12"/>
    </row>
    <row r="150" spans="1:46" x14ac:dyDescent="0.25">
      <c r="A150" s="12"/>
      <c r="B150" s="12"/>
      <c r="C150" s="12"/>
      <c r="D150" s="12"/>
      <c r="E150" s="12"/>
      <c r="F150" s="12"/>
      <c r="G150" s="12"/>
      <c r="H150" s="12"/>
      <c r="I150" s="21" t="str">
        <f>IF(COUNTA('[1]Virus production'!A137)=1,('[1]Virus production'!A137),"")</f>
        <v>AAV140</v>
      </c>
      <c r="J150" s="12"/>
      <c r="L150" s="31">
        <v>43878</v>
      </c>
      <c r="M150" s="12">
        <v>2</v>
      </c>
      <c r="N150" s="197">
        <f t="shared" si="23"/>
        <v>43878</v>
      </c>
      <c r="O150" s="197">
        <f t="shared" si="24"/>
        <v>43862</v>
      </c>
      <c r="P150" s="384">
        <f t="shared" si="25"/>
        <v>2</v>
      </c>
      <c r="Q150" s="384">
        <f t="shared" si="26"/>
        <v>850</v>
      </c>
      <c r="R150" s="12">
        <f t="shared" si="27"/>
        <v>515</v>
      </c>
      <c r="S150" s="12"/>
      <c r="T150" s="12"/>
      <c r="U150" s="384"/>
      <c r="V150" s="12"/>
      <c r="W150" s="12"/>
      <c r="X150" s="12"/>
      <c r="Y150" s="12"/>
      <c r="Z150" s="12"/>
      <c r="AA150" s="12"/>
      <c r="AB150" s="12"/>
      <c r="AD150" s="31"/>
      <c r="AE150" s="12"/>
      <c r="AF150" s="197"/>
      <c r="AG150" s="197"/>
      <c r="AH150" s="197"/>
      <c r="AI150" s="197"/>
      <c r="AJ150" s="12"/>
      <c r="AK150" s="12"/>
      <c r="AL150" s="12"/>
      <c r="AM150" s="12"/>
      <c r="AN150" s="12"/>
      <c r="AO150" s="12"/>
      <c r="AP150" s="12"/>
      <c r="AQ150" s="12"/>
      <c r="AR150" s="12"/>
      <c r="AS150" s="12"/>
      <c r="AT150" s="12"/>
    </row>
    <row r="151" spans="1:46" x14ac:dyDescent="0.25">
      <c r="A151" s="12"/>
      <c r="B151" s="12"/>
      <c r="C151" s="12"/>
      <c r="D151" s="12"/>
      <c r="E151" s="12"/>
      <c r="F151" s="12"/>
      <c r="G151" s="12"/>
      <c r="H151" s="12"/>
      <c r="I151" s="21" t="str">
        <f>IF(COUNTA('[1]Virus production'!A138)=1,('[1]Virus production'!A138),"")</f>
        <v>AAV141</v>
      </c>
      <c r="J151" s="12"/>
      <c r="L151" s="31">
        <v>43881</v>
      </c>
      <c r="M151" s="12">
        <v>1</v>
      </c>
      <c r="N151" s="197">
        <f t="shared" si="23"/>
        <v>43881</v>
      </c>
      <c r="O151" s="197">
        <f t="shared" si="24"/>
        <v>43862</v>
      </c>
      <c r="P151" s="384">
        <f t="shared" si="25"/>
        <v>1</v>
      </c>
      <c r="Q151" s="384">
        <f t="shared" si="26"/>
        <v>853</v>
      </c>
      <c r="R151" s="12">
        <f t="shared" si="27"/>
        <v>516</v>
      </c>
      <c r="S151" s="12"/>
      <c r="T151" s="12"/>
      <c r="U151" s="384"/>
      <c r="V151" s="12"/>
      <c r="W151" s="12"/>
      <c r="X151" s="12"/>
      <c r="Y151" s="12"/>
      <c r="Z151" s="12"/>
      <c r="AA151" s="12"/>
      <c r="AB151" s="12"/>
      <c r="AD151" s="31"/>
      <c r="AE151" s="12"/>
      <c r="AF151" s="197"/>
      <c r="AG151" s="197"/>
      <c r="AH151" s="197"/>
      <c r="AI151" s="197"/>
      <c r="AJ151" s="12"/>
      <c r="AK151" s="12"/>
      <c r="AL151" s="12"/>
      <c r="AM151" s="12"/>
      <c r="AN151" s="12"/>
      <c r="AO151" s="12"/>
      <c r="AP151" s="12"/>
      <c r="AQ151" s="12"/>
      <c r="AR151" s="12"/>
      <c r="AS151" s="12"/>
      <c r="AT151" s="12"/>
    </row>
    <row r="152" spans="1:46" x14ac:dyDescent="0.25">
      <c r="A152" s="12"/>
      <c r="B152" s="12"/>
      <c r="C152" s="12"/>
      <c r="D152" s="12"/>
      <c r="E152" s="12"/>
      <c r="F152" s="12"/>
      <c r="G152" s="12"/>
      <c r="H152" s="12"/>
      <c r="I152" s="21" t="str">
        <f>IF(COUNTA('[1]Virus production'!A139)=1,('[1]Virus production'!A139),"")</f>
        <v>AAV142</v>
      </c>
      <c r="J152" s="12"/>
      <c r="L152" s="31">
        <v>43882</v>
      </c>
      <c r="M152" s="12">
        <v>2</v>
      </c>
      <c r="N152" s="197">
        <f t="shared" si="23"/>
        <v>43882</v>
      </c>
      <c r="O152" s="197">
        <f t="shared" si="24"/>
        <v>43862</v>
      </c>
      <c r="P152" s="384">
        <f t="shared" si="25"/>
        <v>2</v>
      </c>
      <c r="Q152" s="384">
        <f t="shared" si="26"/>
        <v>854</v>
      </c>
      <c r="R152" s="12">
        <f t="shared" si="27"/>
        <v>518</v>
      </c>
      <c r="S152" s="12"/>
      <c r="T152" s="12"/>
      <c r="U152" s="384"/>
      <c r="V152" s="12"/>
      <c r="W152" s="12"/>
      <c r="X152" s="12"/>
      <c r="Y152" s="12"/>
      <c r="Z152" s="12"/>
      <c r="AA152" s="12"/>
      <c r="AB152" s="12"/>
      <c r="AD152" s="31"/>
      <c r="AE152" s="12"/>
      <c r="AF152" s="197"/>
      <c r="AG152" s="197"/>
      <c r="AH152" s="197"/>
      <c r="AI152" s="197"/>
      <c r="AJ152" s="12"/>
      <c r="AK152" s="12"/>
      <c r="AL152" s="12"/>
      <c r="AM152" s="12"/>
      <c r="AN152" s="12"/>
      <c r="AO152" s="12"/>
      <c r="AP152" s="12"/>
      <c r="AQ152" s="12"/>
      <c r="AR152" s="12"/>
      <c r="AS152" s="12"/>
      <c r="AT152" s="12"/>
    </row>
    <row r="153" spans="1:46" x14ac:dyDescent="0.25">
      <c r="A153" s="12"/>
      <c r="B153" s="12"/>
      <c r="C153" s="12"/>
      <c r="D153" s="12"/>
      <c r="E153" s="12"/>
      <c r="F153" s="12"/>
      <c r="G153" s="12"/>
      <c r="H153" s="12"/>
      <c r="I153" s="21" t="str">
        <f>IF(COUNTA('[1]Virus production'!A140)=1,('[1]Virus production'!A140),"")</f>
        <v>AAV143</v>
      </c>
      <c r="J153" s="12"/>
      <c r="L153" s="31">
        <v>43888</v>
      </c>
      <c r="M153" s="12">
        <v>1</v>
      </c>
      <c r="N153" s="197">
        <f t="shared" si="23"/>
        <v>43888</v>
      </c>
      <c r="O153" s="197">
        <f t="shared" si="24"/>
        <v>43862</v>
      </c>
      <c r="P153" s="384">
        <f t="shared" si="25"/>
        <v>1</v>
      </c>
      <c r="Q153" s="384">
        <f t="shared" si="26"/>
        <v>860</v>
      </c>
      <c r="R153" s="12">
        <f t="shared" si="27"/>
        <v>519</v>
      </c>
      <c r="S153" s="12"/>
      <c r="T153" s="12"/>
      <c r="U153" s="384"/>
      <c r="V153" s="12"/>
      <c r="W153" s="12"/>
      <c r="X153" s="12"/>
      <c r="Y153" s="12"/>
      <c r="Z153" s="12"/>
      <c r="AA153" s="12"/>
      <c r="AB153" s="12"/>
      <c r="AD153" s="31"/>
      <c r="AE153" s="12"/>
      <c r="AF153" s="197"/>
      <c r="AG153" s="197"/>
      <c r="AH153" s="197"/>
      <c r="AI153" s="197"/>
      <c r="AJ153" s="12"/>
      <c r="AK153" s="12"/>
      <c r="AL153" s="12"/>
      <c r="AM153" s="12"/>
      <c r="AN153" s="12"/>
      <c r="AO153" s="12"/>
      <c r="AP153" s="12"/>
      <c r="AQ153" s="12"/>
      <c r="AR153" s="12"/>
      <c r="AS153" s="12"/>
      <c r="AT153" s="12"/>
    </row>
    <row r="154" spans="1:46" x14ac:dyDescent="0.25">
      <c r="A154" s="12"/>
      <c r="B154" s="12"/>
      <c r="C154" s="12"/>
      <c r="D154" s="12"/>
      <c r="E154" s="12"/>
      <c r="F154" s="12"/>
      <c r="G154" s="12"/>
      <c r="H154" s="12"/>
      <c r="I154" s="21" t="str">
        <f>IF(COUNTA('[1]Virus production'!A141)=1,('[1]Virus production'!A141),"")</f>
        <v>AAV144</v>
      </c>
      <c r="J154" s="12"/>
      <c r="L154" s="31">
        <v>43889</v>
      </c>
      <c r="M154" s="12">
        <v>4</v>
      </c>
      <c r="N154" s="197">
        <f t="shared" si="23"/>
        <v>43889</v>
      </c>
      <c r="O154" s="197">
        <f t="shared" si="24"/>
        <v>43862</v>
      </c>
      <c r="P154" s="384">
        <f t="shared" si="25"/>
        <v>4</v>
      </c>
      <c r="Q154" s="384">
        <f t="shared" si="26"/>
        <v>861</v>
      </c>
      <c r="R154" s="12">
        <f t="shared" si="27"/>
        <v>523</v>
      </c>
      <c r="S154" s="12"/>
      <c r="T154" s="12"/>
      <c r="U154" s="384"/>
      <c r="V154" s="12"/>
      <c r="W154" s="12"/>
      <c r="X154" s="12"/>
      <c r="Y154" s="12"/>
      <c r="Z154" s="12"/>
      <c r="AA154" s="12"/>
      <c r="AB154" s="12"/>
      <c r="AD154" s="31"/>
      <c r="AE154" s="12"/>
      <c r="AF154" s="197"/>
      <c r="AG154" s="197"/>
      <c r="AH154" s="197"/>
      <c r="AI154" s="197"/>
      <c r="AJ154" s="12"/>
      <c r="AK154" s="12"/>
      <c r="AL154" s="12"/>
      <c r="AM154" s="12"/>
      <c r="AN154" s="12"/>
      <c r="AO154" s="12"/>
      <c r="AP154" s="12"/>
      <c r="AQ154" s="12"/>
      <c r="AR154" s="12"/>
      <c r="AS154" s="12"/>
      <c r="AT154" s="12"/>
    </row>
    <row r="155" spans="1:46" x14ac:dyDescent="0.25">
      <c r="A155" s="12"/>
      <c r="B155" s="12"/>
      <c r="C155" s="12"/>
      <c r="D155" s="12"/>
      <c r="E155" s="12"/>
      <c r="F155" s="12"/>
      <c r="G155" s="12"/>
      <c r="H155" s="12"/>
      <c r="I155" s="21" t="str">
        <f>IF(COUNTA('[1]Virus production'!A142)=1,('[1]Virus production'!A142),"")</f>
        <v>AAV145</v>
      </c>
      <c r="J155" s="12"/>
      <c r="L155" s="31">
        <v>43896</v>
      </c>
      <c r="M155" s="12">
        <v>1</v>
      </c>
      <c r="N155" s="197">
        <f t="shared" si="23"/>
        <v>43896</v>
      </c>
      <c r="O155" s="197">
        <f t="shared" si="24"/>
        <v>43891</v>
      </c>
      <c r="P155" s="384">
        <f t="shared" si="25"/>
        <v>1</v>
      </c>
      <c r="Q155" s="384">
        <f t="shared" si="26"/>
        <v>868</v>
      </c>
      <c r="R155" s="12">
        <f t="shared" si="27"/>
        <v>524</v>
      </c>
      <c r="S155" s="12"/>
      <c r="T155" s="12"/>
      <c r="U155" s="384"/>
      <c r="V155" s="12"/>
      <c r="W155" s="12"/>
      <c r="X155" s="12"/>
      <c r="Y155" s="12"/>
      <c r="Z155" s="12"/>
      <c r="AA155" s="12"/>
      <c r="AB155" s="12"/>
      <c r="AD155" s="31"/>
      <c r="AE155" s="12"/>
      <c r="AF155" s="197"/>
      <c r="AG155" s="197"/>
      <c r="AH155" s="197"/>
      <c r="AI155" s="197"/>
      <c r="AJ155" s="12"/>
      <c r="AK155" s="12"/>
      <c r="AL155" s="12"/>
      <c r="AM155" s="12"/>
      <c r="AN155" s="12"/>
      <c r="AO155" s="12"/>
      <c r="AP155" s="12"/>
      <c r="AQ155" s="12"/>
      <c r="AR155" s="12"/>
      <c r="AS155" s="12"/>
      <c r="AT155" s="12"/>
    </row>
    <row r="156" spans="1:46" x14ac:dyDescent="0.25">
      <c r="A156" s="12"/>
      <c r="B156" s="12"/>
      <c r="C156" s="12"/>
      <c r="D156" s="12"/>
      <c r="E156" s="12"/>
      <c r="F156" s="12"/>
      <c r="G156" s="12"/>
      <c r="H156" s="12"/>
      <c r="I156" s="21" t="str">
        <f>IF(COUNTA('[1]Virus production'!A143)=1,('[1]Virus production'!A143),"")</f>
        <v>AAV146</v>
      </c>
      <c r="J156" s="12"/>
      <c r="L156" s="31">
        <v>43902</v>
      </c>
      <c r="M156" s="12">
        <v>1</v>
      </c>
      <c r="N156" s="197">
        <f t="shared" si="23"/>
        <v>43902</v>
      </c>
      <c r="O156" s="197">
        <f t="shared" si="24"/>
        <v>43891</v>
      </c>
      <c r="P156" s="384">
        <f t="shared" si="25"/>
        <v>1</v>
      </c>
      <c r="Q156" s="384">
        <f t="shared" si="26"/>
        <v>874</v>
      </c>
      <c r="R156" s="12">
        <f t="shared" si="27"/>
        <v>525</v>
      </c>
      <c r="S156" s="12"/>
      <c r="T156" s="12"/>
      <c r="U156" s="384"/>
      <c r="V156" s="12"/>
      <c r="W156" s="12"/>
      <c r="X156" s="12"/>
      <c r="Y156" s="12"/>
      <c r="Z156" s="12"/>
      <c r="AA156" s="12"/>
      <c r="AB156" s="12"/>
      <c r="AD156" s="31"/>
      <c r="AE156" s="12"/>
      <c r="AF156" s="197"/>
      <c r="AG156" s="197"/>
      <c r="AH156" s="197"/>
      <c r="AI156" s="197"/>
      <c r="AJ156" s="12"/>
      <c r="AK156" s="12"/>
      <c r="AL156" s="12"/>
      <c r="AM156" s="12"/>
      <c r="AN156" s="12"/>
      <c r="AO156" s="12"/>
      <c r="AP156" s="12"/>
      <c r="AQ156" s="12"/>
      <c r="AR156" s="12"/>
      <c r="AS156" s="12"/>
      <c r="AT156" s="12"/>
    </row>
    <row r="157" spans="1:46" x14ac:dyDescent="0.25">
      <c r="A157" s="12"/>
      <c r="B157" s="12"/>
      <c r="C157" s="12"/>
      <c r="D157" s="12"/>
      <c r="E157" s="12"/>
      <c r="F157" s="12"/>
      <c r="G157" s="12"/>
      <c r="H157" s="12"/>
      <c r="I157" s="21" t="str">
        <f>IF(COUNTA('[1]Virus production'!A144)=1,('[1]Virus production'!A144),"")</f>
        <v>AAV147</v>
      </c>
      <c r="J157" s="12"/>
      <c r="L157" s="31">
        <v>43903</v>
      </c>
      <c r="M157" s="12">
        <v>1</v>
      </c>
      <c r="N157" s="197">
        <f t="shared" si="23"/>
        <v>43903</v>
      </c>
      <c r="O157" s="197">
        <f t="shared" si="24"/>
        <v>43891</v>
      </c>
      <c r="P157" s="384">
        <f t="shared" si="25"/>
        <v>1</v>
      </c>
      <c r="Q157" s="384">
        <f t="shared" si="26"/>
        <v>875</v>
      </c>
      <c r="R157" s="12">
        <f t="shared" si="27"/>
        <v>526</v>
      </c>
      <c r="S157" s="12"/>
      <c r="T157" s="12"/>
      <c r="U157" s="384"/>
      <c r="V157" s="12"/>
      <c r="W157" s="12"/>
      <c r="X157" s="12"/>
      <c r="Y157" s="12"/>
      <c r="Z157" s="12"/>
      <c r="AA157" s="12"/>
      <c r="AB157" s="12"/>
      <c r="AD157" s="31"/>
      <c r="AE157" s="12"/>
      <c r="AF157" s="197"/>
      <c r="AG157" s="197"/>
      <c r="AH157" s="197"/>
      <c r="AI157" s="197"/>
      <c r="AJ157" s="12"/>
      <c r="AK157" s="12"/>
      <c r="AL157" s="12"/>
      <c r="AM157" s="12"/>
      <c r="AN157" s="12"/>
      <c r="AO157" s="12"/>
      <c r="AP157" s="12"/>
      <c r="AQ157" s="12"/>
      <c r="AR157" s="12"/>
      <c r="AS157" s="12"/>
      <c r="AT157" s="12"/>
    </row>
    <row r="158" spans="1:46" x14ac:dyDescent="0.25">
      <c r="A158" s="12"/>
      <c r="B158" s="12"/>
      <c r="C158" s="12"/>
      <c r="D158" s="12"/>
      <c r="E158" s="12"/>
      <c r="F158" s="12"/>
      <c r="G158" s="12"/>
      <c r="H158" s="12"/>
      <c r="I158" s="21" t="str">
        <f>IF(COUNTA('[1]Virus production'!A145)=1,('[1]Virus production'!A145),"")</f>
        <v>AAV148</v>
      </c>
      <c r="J158" s="12"/>
      <c r="L158" s="31">
        <v>43909</v>
      </c>
      <c r="M158" s="12">
        <v>1</v>
      </c>
      <c r="N158" s="197">
        <f t="shared" si="23"/>
        <v>43909</v>
      </c>
      <c r="O158" s="197">
        <f t="shared" si="24"/>
        <v>43891</v>
      </c>
      <c r="P158" s="384">
        <f t="shared" si="25"/>
        <v>1</v>
      </c>
      <c r="Q158" s="384">
        <f t="shared" si="26"/>
        <v>881</v>
      </c>
      <c r="R158" s="12">
        <f t="shared" si="27"/>
        <v>527</v>
      </c>
      <c r="S158" s="12"/>
      <c r="T158" s="12"/>
      <c r="U158" s="384"/>
      <c r="V158" s="12"/>
      <c r="W158" s="12"/>
      <c r="X158" s="12"/>
      <c r="Y158" s="12"/>
      <c r="Z158" s="12"/>
      <c r="AA158" s="12"/>
      <c r="AB158" s="12"/>
      <c r="AD158" s="31"/>
      <c r="AE158" s="12"/>
      <c r="AF158" s="197"/>
      <c r="AG158" s="197"/>
      <c r="AH158" s="197"/>
      <c r="AI158" s="197"/>
      <c r="AJ158" s="12"/>
      <c r="AK158" s="12"/>
      <c r="AL158" s="12"/>
      <c r="AM158" s="12"/>
      <c r="AN158" s="12"/>
      <c r="AO158" s="12"/>
      <c r="AP158" s="12"/>
      <c r="AQ158" s="12"/>
      <c r="AR158" s="12"/>
      <c r="AS158" s="12"/>
      <c r="AT158" s="12"/>
    </row>
    <row r="159" spans="1:46" x14ac:dyDescent="0.25">
      <c r="A159" s="12"/>
      <c r="B159" s="12"/>
      <c r="C159" s="12"/>
      <c r="D159" s="12"/>
      <c r="E159" s="12"/>
      <c r="F159" s="12"/>
      <c r="G159" s="12"/>
      <c r="H159" s="12"/>
      <c r="I159" s="21" t="str">
        <f>IF(COUNTA('[1]Virus production'!A146)=1,('[1]Virus production'!A146),"")</f>
        <v>AAV149</v>
      </c>
      <c r="J159" s="12"/>
      <c r="L159" s="31">
        <v>43913</v>
      </c>
      <c r="M159" s="12">
        <v>4</v>
      </c>
      <c r="N159" s="197">
        <f t="shared" si="23"/>
        <v>43913</v>
      </c>
      <c r="O159" s="197">
        <f t="shared" si="24"/>
        <v>43891</v>
      </c>
      <c r="P159" s="384">
        <f t="shared" si="25"/>
        <v>4</v>
      </c>
      <c r="Q159" s="384">
        <f t="shared" si="26"/>
        <v>885</v>
      </c>
      <c r="R159" s="12">
        <f t="shared" si="27"/>
        <v>531</v>
      </c>
      <c r="S159" s="12"/>
      <c r="T159" s="12"/>
      <c r="U159" s="384"/>
      <c r="V159" s="12"/>
      <c r="W159" s="12"/>
      <c r="X159" s="12"/>
      <c r="Y159" s="12"/>
      <c r="Z159" s="12"/>
      <c r="AA159" s="12"/>
      <c r="AB159" s="12"/>
      <c r="AD159" s="31"/>
      <c r="AE159" s="12"/>
      <c r="AF159" s="197"/>
      <c r="AG159" s="197"/>
      <c r="AH159" s="197"/>
      <c r="AI159" s="197"/>
      <c r="AJ159" s="12"/>
      <c r="AK159" s="12"/>
      <c r="AL159" s="12"/>
      <c r="AM159" s="12"/>
      <c r="AN159" s="12"/>
      <c r="AO159" s="12"/>
      <c r="AP159" s="12"/>
      <c r="AQ159" s="12"/>
      <c r="AR159" s="12"/>
      <c r="AS159" s="12"/>
      <c r="AT159" s="12"/>
    </row>
    <row r="160" spans="1:46" x14ac:dyDescent="0.25">
      <c r="A160" s="12"/>
      <c r="B160" s="12"/>
      <c r="C160" s="12"/>
      <c r="D160" s="12"/>
      <c r="E160" s="12"/>
      <c r="F160" s="12"/>
      <c r="G160" s="12"/>
      <c r="H160" s="12"/>
      <c r="I160" s="21" t="str">
        <f>IF(COUNTA('[1]Virus production'!A147)=1,('[1]Virus production'!A147),"")</f>
        <v>AAV150</v>
      </c>
      <c r="J160" s="12"/>
      <c r="L160" s="31">
        <v>43914</v>
      </c>
      <c r="M160" s="12">
        <v>4</v>
      </c>
      <c r="N160" s="197">
        <f t="shared" si="23"/>
        <v>43914</v>
      </c>
      <c r="O160" s="197">
        <f t="shared" si="24"/>
        <v>43891</v>
      </c>
      <c r="P160" s="384">
        <f t="shared" si="25"/>
        <v>4</v>
      </c>
      <c r="Q160" s="384">
        <f t="shared" si="26"/>
        <v>886</v>
      </c>
      <c r="R160" s="12">
        <f t="shared" si="27"/>
        <v>535</v>
      </c>
      <c r="S160" s="12"/>
      <c r="T160" s="12"/>
      <c r="U160" s="384"/>
      <c r="V160" s="12"/>
      <c r="W160" s="12"/>
      <c r="X160" s="12"/>
      <c r="Y160" s="12"/>
      <c r="Z160" s="12"/>
      <c r="AA160" s="12"/>
      <c r="AB160" s="12"/>
      <c r="AD160" s="31"/>
      <c r="AE160" s="12"/>
      <c r="AF160" s="197"/>
      <c r="AG160" s="197"/>
      <c r="AH160" s="197"/>
      <c r="AI160" s="197"/>
      <c r="AJ160" s="12"/>
      <c r="AK160" s="12"/>
      <c r="AL160" s="12"/>
      <c r="AM160" s="12"/>
      <c r="AN160" s="12"/>
      <c r="AO160" s="12"/>
      <c r="AP160" s="12"/>
      <c r="AQ160" s="12"/>
      <c r="AR160" s="12"/>
      <c r="AS160" s="12"/>
      <c r="AT160" s="12"/>
    </row>
    <row r="161" spans="1:46" x14ac:dyDescent="0.25">
      <c r="A161" s="12"/>
      <c r="B161" s="12"/>
      <c r="C161" s="12"/>
      <c r="D161" s="12"/>
      <c r="E161" s="12"/>
      <c r="F161" s="12"/>
      <c r="G161" s="12"/>
      <c r="H161" s="12"/>
      <c r="I161" s="21" t="str">
        <f>IF(COUNTA('[1]Virus production'!A148)=1,('[1]Virus production'!A148),"")</f>
        <v>AAV151</v>
      </c>
      <c r="J161" s="12"/>
      <c r="L161" s="31">
        <v>43915</v>
      </c>
      <c r="M161" s="12">
        <v>4</v>
      </c>
      <c r="N161" s="197">
        <f t="shared" si="23"/>
        <v>43915</v>
      </c>
      <c r="O161" s="197">
        <f t="shared" si="24"/>
        <v>43891</v>
      </c>
      <c r="P161" s="384">
        <f t="shared" si="25"/>
        <v>4</v>
      </c>
      <c r="Q161" s="384">
        <f t="shared" si="26"/>
        <v>887</v>
      </c>
      <c r="R161" s="12">
        <f t="shared" si="27"/>
        <v>539</v>
      </c>
      <c r="S161" s="12"/>
      <c r="T161" s="12"/>
      <c r="U161" s="384"/>
      <c r="V161" s="12"/>
      <c r="W161" s="12"/>
      <c r="X161" s="12"/>
      <c r="Y161" s="12"/>
      <c r="Z161" s="12"/>
      <c r="AA161" s="12"/>
      <c r="AB161" s="12"/>
      <c r="AD161" s="31"/>
      <c r="AE161" s="12"/>
      <c r="AF161" s="197"/>
      <c r="AG161" s="197"/>
      <c r="AH161" s="197"/>
      <c r="AI161" s="197"/>
      <c r="AJ161" s="12"/>
      <c r="AK161" s="12"/>
      <c r="AL161" s="12"/>
      <c r="AM161" s="12"/>
      <c r="AN161" s="12"/>
      <c r="AO161" s="12"/>
      <c r="AP161" s="12"/>
      <c r="AQ161" s="12"/>
      <c r="AR161" s="12"/>
      <c r="AS161" s="12"/>
      <c r="AT161" s="12"/>
    </row>
    <row r="162" spans="1:46" x14ac:dyDescent="0.25">
      <c r="A162" s="12"/>
      <c r="B162" s="12"/>
      <c r="C162" s="12"/>
      <c r="D162" s="12"/>
      <c r="E162" s="12"/>
      <c r="F162" s="12"/>
      <c r="G162" s="12"/>
      <c r="H162" s="12"/>
      <c r="I162" s="21" t="str">
        <f>IF(COUNTA('[1]Virus production'!A149)=1,('[1]Virus production'!A149),"")</f>
        <v>AAV152</v>
      </c>
      <c r="J162" s="12"/>
      <c r="L162" s="31">
        <v>43916</v>
      </c>
      <c r="M162" s="12">
        <v>1</v>
      </c>
      <c r="N162" s="197">
        <f t="shared" si="23"/>
        <v>43916</v>
      </c>
      <c r="O162" s="197">
        <f t="shared" si="24"/>
        <v>43891</v>
      </c>
      <c r="P162" s="384">
        <f t="shared" si="25"/>
        <v>1</v>
      </c>
      <c r="Q162" s="384">
        <f t="shared" si="26"/>
        <v>888</v>
      </c>
      <c r="R162" s="12">
        <f t="shared" si="27"/>
        <v>540</v>
      </c>
      <c r="S162" s="12"/>
      <c r="T162" s="12"/>
      <c r="U162" s="384"/>
      <c r="V162" s="12"/>
      <c r="W162" s="12"/>
      <c r="X162" s="12"/>
      <c r="Y162" s="12"/>
      <c r="Z162" s="12"/>
      <c r="AA162" s="12"/>
      <c r="AB162" s="12"/>
      <c r="AD162" s="31"/>
      <c r="AE162" s="12"/>
      <c r="AF162" s="197"/>
      <c r="AG162" s="197"/>
      <c r="AH162" s="197"/>
      <c r="AI162" s="197"/>
      <c r="AJ162" s="12"/>
      <c r="AK162" s="12"/>
      <c r="AL162" s="12"/>
      <c r="AM162" s="12"/>
      <c r="AN162" s="12"/>
      <c r="AO162" s="12"/>
      <c r="AP162" s="12"/>
      <c r="AQ162" s="12"/>
      <c r="AR162" s="12"/>
      <c r="AS162" s="12"/>
      <c r="AT162" s="12"/>
    </row>
    <row r="163" spans="1:46" x14ac:dyDescent="0.25">
      <c r="A163" s="12"/>
      <c r="B163" s="12"/>
      <c r="C163" s="12"/>
      <c r="D163" s="12"/>
      <c r="E163" s="12"/>
      <c r="F163" s="12"/>
      <c r="G163" s="12"/>
      <c r="H163" s="12"/>
      <c r="I163" s="21" t="str">
        <f>IF(COUNTA('[1]Virus production'!A150)=1,('[1]Virus production'!A150),"")</f>
        <v>AAV153</v>
      </c>
      <c r="J163" s="12"/>
      <c r="L163" s="31">
        <v>43917</v>
      </c>
      <c r="M163" s="12">
        <v>1</v>
      </c>
      <c r="N163" s="197">
        <f t="shared" si="23"/>
        <v>43917</v>
      </c>
      <c r="O163" s="197">
        <f t="shared" si="24"/>
        <v>43891</v>
      </c>
      <c r="P163" s="384">
        <f t="shared" si="25"/>
        <v>1</v>
      </c>
      <c r="Q163" s="384">
        <f t="shared" si="26"/>
        <v>889</v>
      </c>
      <c r="R163" s="12">
        <f t="shared" si="27"/>
        <v>541</v>
      </c>
      <c r="S163" s="12"/>
      <c r="T163" s="12"/>
      <c r="U163" s="384"/>
      <c r="V163" s="12"/>
      <c r="W163" s="12"/>
      <c r="X163" s="12"/>
      <c r="Y163" s="12"/>
      <c r="Z163" s="12"/>
      <c r="AA163" s="12"/>
      <c r="AB163" s="12"/>
      <c r="AD163" s="31"/>
      <c r="AE163" s="12"/>
      <c r="AF163" s="197"/>
      <c r="AG163" s="197"/>
      <c r="AH163" s="197"/>
      <c r="AI163" s="197"/>
      <c r="AJ163" s="12"/>
      <c r="AK163" s="12"/>
      <c r="AL163" s="12"/>
      <c r="AM163" s="12"/>
      <c r="AN163" s="12"/>
      <c r="AO163" s="12"/>
      <c r="AP163" s="12"/>
      <c r="AQ163" s="12"/>
      <c r="AR163" s="12"/>
      <c r="AS163" s="12"/>
      <c r="AT163" s="12"/>
    </row>
    <row r="164" spans="1:46" x14ac:dyDescent="0.25">
      <c r="A164" s="12"/>
      <c r="B164" s="12"/>
      <c r="C164" s="12"/>
      <c r="D164" s="12"/>
      <c r="E164" s="12"/>
      <c r="F164" s="12"/>
      <c r="G164" s="12"/>
      <c r="H164" s="12"/>
      <c r="I164" s="21" t="str">
        <f>IF(COUNTA('[1]Virus production'!A151)=1,('[1]Virus production'!A151),"")</f>
        <v>AAV154</v>
      </c>
      <c r="J164" s="12"/>
      <c r="L164" s="31">
        <v>43922</v>
      </c>
      <c r="M164" s="12">
        <v>6</v>
      </c>
      <c r="N164" s="197">
        <f t="shared" si="23"/>
        <v>43922</v>
      </c>
      <c r="O164" s="197">
        <f t="shared" si="24"/>
        <v>43922</v>
      </c>
      <c r="P164" s="384">
        <f t="shared" si="25"/>
        <v>6</v>
      </c>
      <c r="Q164" s="384">
        <f t="shared" si="26"/>
        <v>894</v>
      </c>
      <c r="R164" s="12">
        <f t="shared" si="27"/>
        <v>547</v>
      </c>
      <c r="S164" s="12"/>
      <c r="T164" s="12"/>
      <c r="U164" s="384"/>
      <c r="V164" s="12"/>
      <c r="W164" s="12"/>
      <c r="X164" s="12"/>
      <c r="Y164" s="12"/>
      <c r="Z164" s="12"/>
      <c r="AA164" s="12"/>
      <c r="AB164" s="12"/>
      <c r="AD164" s="31"/>
      <c r="AE164" s="12"/>
      <c r="AF164" s="197"/>
      <c r="AG164" s="197"/>
      <c r="AH164" s="197"/>
      <c r="AI164" s="197"/>
      <c r="AJ164" s="12"/>
      <c r="AK164" s="12"/>
      <c r="AL164" s="12"/>
      <c r="AM164" s="12"/>
      <c r="AN164" s="12"/>
      <c r="AO164" s="12"/>
      <c r="AP164" s="12"/>
      <c r="AQ164" s="12"/>
      <c r="AR164" s="12"/>
      <c r="AS164" s="12"/>
      <c r="AT164" s="12"/>
    </row>
    <row r="165" spans="1:46" x14ac:dyDescent="0.25">
      <c r="A165" s="12"/>
      <c r="B165" s="12"/>
      <c r="C165" s="12"/>
      <c r="D165" s="12"/>
      <c r="E165" s="12"/>
      <c r="F165" s="12"/>
      <c r="G165" s="12"/>
      <c r="H165" s="12"/>
      <c r="I165" s="21" t="str">
        <f>IF(COUNTA('[1]Virus production'!A152)=1,('[1]Virus production'!A152),"")</f>
        <v>AAV155</v>
      </c>
      <c r="J165" s="12"/>
      <c r="L165" s="31">
        <v>43928</v>
      </c>
      <c r="M165" s="12">
        <v>4</v>
      </c>
      <c r="N165" s="197">
        <f t="shared" si="23"/>
        <v>43928</v>
      </c>
      <c r="O165" s="197">
        <f t="shared" si="24"/>
        <v>43922</v>
      </c>
      <c r="P165" s="384">
        <f t="shared" si="25"/>
        <v>4</v>
      </c>
      <c r="Q165" s="384">
        <f t="shared" si="26"/>
        <v>900</v>
      </c>
      <c r="R165" s="12">
        <f t="shared" si="27"/>
        <v>551</v>
      </c>
      <c r="S165" s="12"/>
      <c r="T165" s="12"/>
      <c r="U165" s="384"/>
      <c r="V165" s="12"/>
      <c r="W165" s="12"/>
      <c r="X165" s="12"/>
      <c r="Y165" s="12"/>
      <c r="Z165" s="12"/>
      <c r="AA165" s="12"/>
      <c r="AB165" s="12"/>
      <c r="AD165" s="31"/>
      <c r="AE165" s="12"/>
      <c r="AF165" s="197"/>
      <c r="AG165" s="197"/>
      <c r="AH165" s="197"/>
      <c r="AI165" s="197"/>
      <c r="AJ165" s="12"/>
      <c r="AK165" s="12"/>
      <c r="AL165" s="12"/>
      <c r="AM165" s="12"/>
      <c r="AN165" s="12"/>
      <c r="AO165" s="12"/>
      <c r="AP165" s="12"/>
      <c r="AQ165" s="12"/>
      <c r="AR165" s="12"/>
      <c r="AS165" s="12"/>
      <c r="AT165" s="12"/>
    </row>
    <row r="166" spans="1:46" x14ac:dyDescent="0.25">
      <c r="A166" s="12"/>
      <c r="B166" s="12"/>
      <c r="C166" s="12"/>
      <c r="D166" s="12"/>
      <c r="E166" s="12"/>
      <c r="F166" s="12"/>
      <c r="G166" s="12"/>
      <c r="H166" s="12"/>
      <c r="I166" s="21" t="str">
        <f>IF(COUNTA('[1]Virus production'!A153)=1,('[1]Virus production'!A153),"")</f>
        <v>AAV156</v>
      </c>
      <c r="J166" s="12"/>
      <c r="L166" s="31">
        <v>43936</v>
      </c>
      <c r="M166" s="12">
        <v>1</v>
      </c>
      <c r="N166" s="197">
        <f t="shared" si="23"/>
        <v>43936</v>
      </c>
      <c r="O166" s="197">
        <f t="shared" si="24"/>
        <v>43922</v>
      </c>
      <c r="P166" s="384">
        <f t="shared" si="25"/>
        <v>1</v>
      </c>
      <c r="Q166" s="384">
        <f t="shared" si="26"/>
        <v>908</v>
      </c>
      <c r="R166" s="12">
        <f t="shared" si="27"/>
        <v>552</v>
      </c>
      <c r="S166" s="12"/>
      <c r="T166" s="12"/>
      <c r="U166" s="384"/>
      <c r="V166" s="12"/>
      <c r="W166" s="12"/>
      <c r="X166" s="12"/>
      <c r="Y166" s="12"/>
      <c r="Z166" s="12"/>
      <c r="AA166" s="12"/>
      <c r="AB166" s="12"/>
      <c r="AD166" s="31"/>
      <c r="AE166" s="12"/>
      <c r="AF166" s="197"/>
      <c r="AG166" s="197"/>
      <c r="AH166" s="197"/>
      <c r="AI166" s="197"/>
      <c r="AJ166" s="12"/>
      <c r="AK166" s="12"/>
      <c r="AL166" s="12"/>
      <c r="AM166" s="12"/>
      <c r="AN166" s="12"/>
      <c r="AO166" s="12"/>
      <c r="AP166" s="12"/>
      <c r="AQ166" s="12"/>
      <c r="AR166" s="12"/>
      <c r="AS166" s="12"/>
      <c r="AT166" s="12"/>
    </row>
    <row r="167" spans="1:46" x14ac:dyDescent="0.25">
      <c r="A167" s="12"/>
      <c r="B167" s="12"/>
      <c r="C167" s="12"/>
      <c r="D167" s="12"/>
      <c r="E167" s="12"/>
      <c r="F167" s="12"/>
      <c r="G167" s="12"/>
      <c r="H167" s="12"/>
      <c r="I167" s="21" t="str">
        <f>IF(COUNTA('[1]Virus production'!A154)=1,('[1]Virus production'!A154),"")</f>
        <v>AAV157</v>
      </c>
      <c r="J167" s="12"/>
      <c r="L167" s="31">
        <v>43966</v>
      </c>
      <c r="M167" s="12">
        <v>1</v>
      </c>
      <c r="N167" s="197">
        <f t="shared" si="23"/>
        <v>43966</v>
      </c>
      <c r="O167" s="197">
        <f t="shared" si="24"/>
        <v>43952</v>
      </c>
      <c r="P167" s="384">
        <f t="shared" si="25"/>
        <v>1</v>
      </c>
      <c r="Q167" s="384">
        <f t="shared" si="26"/>
        <v>938</v>
      </c>
      <c r="R167" s="12">
        <f t="shared" si="27"/>
        <v>553</v>
      </c>
      <c r="S167" s="12"/>
      <c r="T167" s="12"/>
      <c r="U167" s="384"/>
      <c r="V167" s="12"/>
      <c r="W167" s="12"/>
      <c r="X167" s="12"/>
      <c r="Y167" s="12"/>
      <c r="Z167" s="12"/>
      <c r="AA167" s="12"/>
      <c r="AB167" s="12"/>
      <c r="AD167" s="31"/>
      <c r="AE167" s="12"/>
      <c r="AF167" s="197"/>
      <c r="AG167" s="197"/>
      <c r="AH167" s="197"/>
      <c r="AI167" s="197"/>
      <c r="AJ167" s="12"/>
      <c r="AK167" s="12"/>
      <c r="AL167" s="12"/>
      <c r="AM167" s="12"/>
      <c r="AN167" s="12"/>
      <c r="AO167" s="12"/>
      <c r="AP167" s="12"/>
      <c r="AQ167" s="12"/>
      <c r="AR167" s="12"/>
      <c r="AS167" s="12"/>
      <c r="AT167" s="12"/>
    </row>
    <row r="168" spans="1:46" x14ac:dyDescent="0.25">
      <c r="A168" s="12"/>
      <c r="B168" s="12"/>
      <c r="C168" s="12"/>
      <c r="D168" s="12"/>
      <c r="E168" s="12"/>
      <c r="F168" s="12"/>
      <c r="G168" s="12"/>
      <c r="H168" s="12"/>
      <c r="I168" s="21" t="str">
        <f>IF(COUNTA('[1]Virus production'!A155)=1,('[1]Virus production'!A155),"")</f>
        <v>AAV158</v>
      </c>
      <c r="J168" s="12"/>
      <c r="L168" s="31">
        <v>43969</v>
      </c>
      <c r="M168" s="12">
        <v>1</v>
      </c>
      <c r="N168" s="197">
        <f t="shared" si="23"/>
        <v>43969</v>
      </c>
      <c r="O168" s="197">
        <f t="shared" si="24"/>
        <v>43952</v>
      </c>
      <c r="P168" s="384">
        <f t="shared" si="25"/>
        <v>1</v>
      </c>
      <c r="Q168" s="384">
        <f t="shared" si="26"/>
        <v>941</v>
      </c>
      <c r="R168" s="12">
        <f t="shared" si="27"/>
        <v>554</v>
      </c>
      <c r="S168" s="12"/>
      <c r="T168" s="12"/>
      <c r="U168" s="384"/>
      <c r="V168" s="12"/>
      <c r="W168" s="12"/>
      <c r="X168" s="12"/>
      <c r="Y168" s="12"/>
      <c r="Z168" s="12"/>
      <c r="AA168" s="12"/>
      <c r="AB168" s="12"/>
      <c r="AD168" s="31"/>
      <c r="AE168" s="12"/>
      <c r="AF168" s="197"/>
      <c r="AG168" s="197"/>
      <c r="AH168" s="197"/>
      <c r="AI168" s="197"/>
      <c r="AJ168" s="12"/>
      <c r="AK168" s="12"/>
      <c r="AL168" s="12"/>
      <c r="AM168" s="12"/>
      <c r="AN168" s="12"/>
      <c r="AO168" s="12"/>
      <c r="AP168" s="12"/>
      <c r="AQ168" s="12"/>
      <c r="AR168" s="12"/>
      <c r="AS168" s="12"/>
      <c r="AT168" s="12"/>
    </row>
    <row r="169" spans="1:46" x14ac:dyDescent="0.25">
      <c r="A169" s="12"/>
      <c r="B169" s="12"/>
      <c r="C169" s="12"/>
      <c r="D169" s="12"/>
      <c r="E169" s="12"/>
      <c r="F169" s="12"/>
      <c r="G169" s="12"/>
      <c r="H169" s="12"/>
      <c r="I169" s="21" t="str">
        <f>IF(COUNTA('[1]Virus production'!A156)=1,('[1]Virus production'!A156),"")</f>
        <v>AAV159</v>
      </c>
      <c r="J169" s="12"/>
      <c r="L169" s="31">
        <v>43976</v>
      </c>
      <c r="M169" s="12">
        <v>4</v>
      </c>
      <c r="N169" s="197">
        <f t="shared" si="23"/>
        <v>43976</v>
      </c>
      <c r="O169" s="197">
        <f t="shared" si="24"/>
        <v>43952</v>
      </c>
      <c r="P169" s="384">
        <f t="shared" si="25"/>
        <v>4</v>
      </c>
      <c r="Q169" s="384">
        <f t="shared" si="26"/>
        <v>948</v>
      </c>
      <c r="R169" s="12">
        <f t="shared" si="27"/>
        <v>558</v>
      </c>
      <c r="S169" s="12"/>
      <c r="T169" s="12"/>
      <c r="U169" s="384"/>
      <c r="V169" s="12"/>
      <c r="W169" s="12"/>
      <c r="X169" s="12"/>
      <c r="Y169" s="12"/>
      <c r="Z169" s="12"/>
      <c r="AA169" s="12"/>
      <c r="AB169" s="12"/>
      <c r="AD169" s="31"/>
      <c r="AE169" s="12"/>
      <c r="AF169" s="197"/>
      <c r="AG169" s="197"/>
      <c r="AH169" s="197"/>
      <c r="AI169" s="197"/>
      <c r="AJ169" s="12"/>
      <c r="AK169" s="12"/>
      <c r="AL169" s="12"/>
      <c r="AM169" s="12"/>
      <c r="AN169" s="12"/>
      <c r="AO169" s="12"/>
      <c r="AP169" s="12"/>
      <c r="AQ169" s="12"/>
      <c r="AR169" s="12"/>
      <c r="AS169" s="12"/>
      <c r="AT169" s="12"/>
    </row>
    <row r="170" spans="1:46" x14ac:dyDescent="0.25">
      <c r="A170" s="12"/>
      <c r="B170" s="12"/>
      <c r="C170" s="12"/>
      <c r="D170" s="12"/>
      <c r="E170" s="12"/>
      <c r="F170" s="12"/>
      <c r="G170" s="12"/>
      <c r="H170" s="12"/>
      <c r="I170" s="21" t="str">
        <f>IF(COUNTA('[1]Virus production'!A157)=1,('[1]Virus production'!A157),"")</f>
        <v>AAV160</v>
      </c>
      <c r="J170" s="12"/>
      <c r="L170" s="31">
        <v>43977</v>
      </c>
      <c r="M170" s="12">
        <v>2</v>
      </c>
      <c r="N170" s="197">
        <f t="shared" si="23"/>
        <v>43977</v>
      </c>
      <c r="O170" s="197">
        <f t="shared" si="24"/>
        <v>43952</v>
      </c>
      <c r="P170" s="384">
        <f t="shared" si="25"/>
        <v>2</v>
      </c>
      <c r="Q170" s="384">
        <f t="shared" si="26"/>
        <v>949</v>
      </c>
      <c r="R170" s="12">
        <f t="shared" si="27"/>
        <v>560</v>
      </c>
      <c r="S170" s="12"/>
      <c r="T170" s="12"/>
      <c r="U170" s="384"/>
      <c r="V170" s="12"/>
      <c r="W170" s="12"/>
      <c r="X170" s="12"/>
      <c r="Y170" s="12"/>
      <c r="Z170" s="12"/>
      <c r="AA170" s="12"/>
      <c r="AB170" s="12"/>
      <c r="AD170" s="31"/>
      <c r="AE170" s="12"/>
      <c r="AF170" s="197"/>
      <c r="AG170" s="197"/>
      <c r="AH170" s="197"/>
      <c r="AI170" s="197"/>
      <c r="AJ170" s="12"/>
      <c r="AK170" s="12"/>
      <c r="AL170" s="12"/>
      <c r="AM170" s="12"/>
      <c r="AN170" s="12"/>
      <c r="AO170" s="12"/>
      <c r="AP170" s="12"/>
      <c r="AQ170" s="12"/>
      <c r="AR170" s="12"/>
      <c r="AS170" s="12"/>
      <c r="AT170" s="12"/>
    </row>
    <row r="171" spans="1:46" x14ac:dyDescent="0.25">
      <c r="A171" s="12"/>
      <c r="B171" s="12"/>
      <c r="C171" s="12"/>
      <c r="D171" s="12"/>
      <c r="E171" s="12"/>
      <c r="F171" s="12"/>
      <c r="G171" s="12"/>
      <c r="H171" s="12"/>
      <c r="I171" s="21" t="str">
        <f>IF(COUNTA('[1]Virus production'!A158)=1,('[1]Virus production'!A158),"")</f>
        <v>AAV161</v>
      </c>
      <c r="J171" s="12"/>
      <c r="L171" s="31">
        <v>43979</v>
      </c>
      <c r="M171" s="12">
        <v>2</v>
      </c>
      <c r="N171" s="197">
        <f t="shared" si="23"/>
        <v>43979</v>
      </c>
      <c r="O171" s="197">
        <f t="shared" si="24"/>
        <v>43952</v>
      </c>
      <c r="P171" s="384">
        <f t="shared" si="25"/>
        <v>2</v>
      </c>
      <c r="Q171" s="384">
        <f t="shared" si="26"/>
        <v>951</v>
      </c>
      <c r="R171" s="12">
        <f t="shared" si="27"/>
        <v>562</v>
      </c>
      <c r="S171" s="12"/>
      <c r="T171" s="12"/>
      <c r="U171" s="384"/>
      <c r="V171" s="12"/>
      <c r="W171" s="12"/>
      <c r="X171" s="12"/>
      <c r="Y171" s="12"/>
      <c r="Z171" s="12"/>
      <c r="AA171" s="12"/>
      <c r="AB171" s="12"/>
      <c r="AD171" s="31"/>
      <c r="AE171" s="12"/>
      <c r="AF171" s="197"/>
      <c r="AG171" s="197"/>
      <c r="AH171" s="197"/>
      <c r="AI171" s="197"/>
      <c r="AJ171" s="12"/>
      <c r="AK171" s="12"/>
      <c r="AL171" s="12"/>
      <c r="AM171" s="12"/>
      <c r="AN171" s="12"/>
      <c r="AO171" s="12"/>
      <c r="AP171" s="12"/>
      <c r="AQ171" s="12"/>
      <c r="AR171" s="12"/>
      <c r="AS171" s="12"/>
      <c r="AT171" s="12"/>
    </row>
    <row r="172" spans="1:46" x14ac:dyDescent="0.25">
      <c r="A172" s="12"/>
      <c r="B172" s="12"/>
      <c r="C172" s="12"/>
      <c r="D172" s="12"/>
      <c r="E172" s="12"/>
      <c r="F172" s="12"/>
      <c r="G172" s="12"/>
      <c r="H172" s="12"/>
      <c r="I172" s="21" t="str">
        <f>IF(COUNTA('[1]Virus production'!A159)=1,('[1]Virus production'!A159),"")</f>
        <v>AAV162</v>
      </c>
      <c r="J172" s="12"/>
      <c r="L172" s="31">
        <v>43986</v>
      </c>
      <c r="M172" s="12">
        <v>3</v>
      </c>
      <c r="N172" s="197">
        <f t="shared" si="23"/>
        <v>43986</v>
      </c>
      <c r="O172" s="197">
        <f t="shared" si="24"/>
        <v>43983</v>
      </c>
      <c r="P172" s="384">
        <f t="shared" si="25"/>
        <v>3</v>
      </c>
      <c r="Q172" s="384">
        <f t="shared" si="26"/>
        <v>958</v>
      </c>
      <c r="R172" s="12">
        <f t="shared" si="27"/>
        <v>565</v>
      </c>
      <c r="S172" s="12"/>
      <c r="T172" s="12"/>
      <c r="U172" s="384"/>
      <c r="V172" s="12"/>
      <c r="W172" s="12"/>
      <c r="X172" s="12"/>
      <c r="Y172" s="12"/>
      <c r="Z172" s="12"/>
      <c r="AA172" s="12"/>
      <c r="AB172" s="12"/>
      <c r="AD172" s="31"/>
      <c r="AE172" s="12"/>
      <c r="AF172" s="197"/>
      <c r="AG172" s="197"/>
      <c r="AH172" s="197"/>
      <c r="AI172" s="197"/>
      <c r="AJ172" s="12"/>
      <c r="AK172" s="12"/>
      <c r="AL172" s="12"/>
      <c r="AM172" s="12"/>
      <c r="AN172" s="12"/>
      <c r="AO172" s="12"/>
      <c r="AP172" s="12"/>
      <c r="AQ172" s="12"/>
      <c r="AR172" s="12"/>
      <c r="AS172" s="12"/>
      <c r="AT172" s="12"/>
    </row>
    <row r="173" spans="1:46" x14ac:dyDescent="0.25">
      <c r="A173" s="12"/>
      <c r="B173" s="12"/>
      <c r="C173" s="12"/>
      <c r="D173" s="12"/>
      <c r="E173" s="12"/>
      <c r="F173" s="12"/>
      <c r="G173" s="12"/>
      <c r="H173" s="12"/>
      <c r="I173" s="21" t="str">
        <f>IF(COUNTA('[1]Virus production'!A160)=1,('[1]Virus production'!A160),"")</f>
        <v>AAV163</v>
      </c>
      <c r="J173" s="12"/>
      <c r="L173" s="31">
        <v>43987</v>
      </c>
      <c r="M173" s="12">
        <v>4</v>
      </c>
      <c r="N173" s="197">
        <f t="shared" si="23"/>
        <v>43987</v>
      </c>
      <c r="O173" s="197">
        <f t="shared" si="24"/>
        <v>43983</v>
      </c>
      <c r="P173" s="384">
        <f t="shared" si="25"/>
        <v>4</v>
      </c>
      <c r="Q173" s="384">
        <f t="shared" si="26"/>
        <v>959</v>
      </c>
      <c r="R173" s="12">
        <f t="shared" si="27"/>
        <v>569</v>
      </c>
      <c r="S173" s="12"/>
      <c r="T173" s="12"/>
      <c r="U173" s="384"/>
      <c r="V173" s="12"/>
      <c r="W173" s="12"/>
      <c r="X173" s="12"/>
      <c r="Y173" s="12"/>
      <c r="Z173" s="12"/>
      <c r="AA173" s="12"/>
      <c r="AB173" s="12"/>
      <c r="AD173" s="31"/>
      <c r="AE173" s="12"/>
      <c r="AF173" s="197"/>
      <c r="AG173" s="197"/>
      <c r="AH173" s="197"/>
      <c r="AI173" s="197"/>
      <c r="AJ173" s="12"/>
      <c r="AK173" s="12"/>
      <c r="AL173" s="12"/>
      <c r="AM173" s="12"/>
      <c r="AN173" s="12"/>
      <c r="AO173" s="12"/>
      <c r="AP173" s="12"/>
      <c r="AQ173" s="12"/>
      <c r="AR173" s="12"/>
      <c r="AS173" s="12"/>
      <c r="AT173" s="12"/>
    </row>
    <row r="174" spans="1:46" x14ac:dyDescent="0.25">
      <c r="A174" s="12"/>
      <c r="B174" s="12"/>
      <c r="C174" s="12"/>
      <c r="D174" s="12"/>
      <c r="E174" s="12"/>
      <c r="F174" s="12"/>
      <c r="G174" s="12"/>
      <c r="H174" s="12"/>
      <c r="I174" s="21" t="str">
        <f>IF(COUNTA('[1]Virus production'!A161)=1,('[1]Virus production'!A161),"")</f>
        <v>AAV164</v>
      </c>
      <c r="J174" s="12"/>
      <c r="L174" s="31">
        <v>43993</v>
      </c>
      <c r="M174" s="12">
        <v>4</v>
      </c>
      <c r="N174" s="197">
        <f t="shared" si="23"/>
        <v>43993</v>
      </c>
      <c r="O174" s="197">
        <f t="shared" si="24"/>
        <v>43983</v>
      </c>
      <c r="P174" s="384">
        <f t="shared" si="25"/>
        <v>4</v>
      </c>
      <c r="Q174" s="384">
        <f t="shared" si="26"/>
        <v>965</v>
      </c>
      <c r="R174" s="12">
        <f t="shared" si="27"/>
        <v>573</v>
      </c>
      <c r="S174" s="12"/>
      <c r="T174" s="12"/>
      <c r="U174" s="384"/>
      <c r="V174" s="12"/>
      <c r="W174" s="12"/>
      <c r="X174" s="12"/>
      <c r="Y174" s="12"/>
      <c r="Z174" s="12"/>
      <c r="AA174" s="12"/>
      <c r="AB174" s="12"/>
      <c r="AD174" s="31"/>
      <c r="AE174" s="12"/>
      <c r="AF174" s="197"/>
      <c r="AG174" s="197"/>
      <c r="AH174" s="197"/>
      <c r="AI174" s="197"/>
      <c r="AJ174" s="12"/>
      <c r="AK174" s="12"/>
      <c r="AL174" s="12"/>
      <c r="AM174" s="12"/>
      <c r="AN174" s="12"/>
      <c r="AO174" s="12"/>
      <c r="AP174" s="12"/>
      <c r="AQ174" s="12"/>
      <c r="AR174" s="12"/>
      <c r="AS174" s="12"/>
      <c r="AT174" s="12"/>
    </row>
    <row r="175" spans="1:46" x14ac:dyDescent="0.25">
      <c r="A175" s="12"/>
      <c r="B175" s="12"/>
      <c r="C175" s="12"/>
      <c r="D175" s="12"/>
      <c r="E175" s="12"/>
      <c r="F175" s="12"/>
      <c r="G175" s="12"/>
      <c r="H175" s="12"/>
      <c r="I175" s="21" t="str">
        <f>IF(COUNTA('[1]Virus production'!A162)=1,('[1]Virus production'!A162),"")</f>
        <v>AAV165</v>
      </c>
      <c r="J175" s="12"/>
      <c r="L175" s="31">
        <v>43994</v>
      </c>
      <c r="M175" s="12">
        <v>3</v>
      </c>
      <c r="N175" s="197">
        <f t="shared" si="23"/>
        <v>43994</v>
      </c>
      <c r="O175" s="197">
        <f t="shared" si="24"/>
        <v>43983</v>
      </c>
      <c r="P175" s="384">
        <f t="shared" si="25"/>
        <v>3</v>
      </c>
      <c r="Q175" s="384">
        <f t="shared" si="26"/>
        <v>966</v>
      </c>
      <c r="R175" s="12">
        <f t="shared" si="27"/>
        <v>576</v>
      </c>
      <c r="S175" s="12"/>
      <c r="T175" s="12"/>
      <c r="U175" s="384"/>
      <c r="V175" s="12"/>
      <c r="W175" s="12"/>
      <c r="X175" s="12"/>
      <c r="Y175" s="12"/>
      <c r="Z175" s="12"/>
      <c r="AA175" s="12"/>
      <c r="AB175" s="12"/>
      <c r="AD175" s="31"/>
      <c r="AE175" s="12"/>
      <c r="AF175" s="197"/>
      <c r="AG175" s="197"/>
      <c r="AH175" s="197"/>
      <c r="AI175" s="197"/>
      <c r="AJ175" s="12"/>
      <c r="AK175" s="12"/>
      <c r="AL175" s="12"/>
      <c r="AM175" s="12"/>
      <c r="AN175" s="12"/>
      <c r="AO175" s="12"/>
      <c r="AP175" s="12"/>
      <c r="AQ175" s="12"/>
      <c r="AR175" s="12"/>
      <c r="AS175" s="12"/>
      <c r="AT175" s="12"/>
    </row>
    <row r="176" spans="1:46" x14ac:dyDescent="0.25">
      <c r="A176" s="12"/>
      <c r="B176" s="12"/>
      <c r="C176" s="12"/>
      <c r="D176" s="12"/>
      <c r="E176" s="12"/>
      <c r="F176" s="12"/>
      <c r="G176" s="12"/>
      <c r="H176" s="12"/>
      <c r="I176" s="21" t="str">
        <f>IF(COUNTA('[1]Virus production'!A163)=1,('[1]Virus production'!A163),"")</f>
        <v>AAV166</v>
      </c>
      <c r="J176" s="12"/>
      <c r="L176" s="31">
        <v>44000</v>
      </c>
      <c r="M176" s="12">
        <v>3</v>
      </c>
      <c r="N176" s="197">
        <f t="shared" si="23"/>
        <v>44000</v>
      </c>
      <c r="O176" s="197">
        <f t="shared" si="24"/>
        <v>43983</v>
      </c>
      <c r="P176" s="384">
        <f t="shared" si="25"/>
        <v>3</v>
      </c>
      <c r="Q176" s="384">
        <f t="shared" si="26"/>
        <v>972</v>
      </c>
      <c r="R176" s="12">
        <f t="shared" si="27"/>
        <v>579</v>
      </c>
      <c r="S176" s="12"/>
      <c r="T176" s="12"/>
      <c r="U176" s="384"/>
      <c r="V176" s="12"/>
      <c r="W176" s="12"/>
      <c r="X176" s="12"/>
      <c r="Y176" s="12"/>
      <c r="Z176" s="12"/>
      <c r="AA176" s="12"/>
      <c r="AB176" s="12"/>
      <c r="AD176" s="31"/>
      <c r="AE176" s="12"/>
      <c r="AF176" s="197"/>
      <c r="AG176" s="197"/>
      <c r="AH176" s="197"/>
      <c r="AI176" s="197"/>
      <c r="AJ176" s="12"/>
      <c r="AK176" s="12"/>
      <c r="AL176" s="12"/>
      <c r="AM176" s="12"/>
      <c r="AN176" s="12"/>
      <c r="AO176" s="12"/>
      <c r="AP176" s="12"/>
      <c r="AQ176" s="12"/>
      <c r="AR176" s="12"/>
      <c r="AS176" s="12"/>
      <c r="AT176" s="12"/>
    </row>
    <row r="177" spans="1:46" x14ac:dyDescent="0.25">
      <c r="A177" s="12"/>
      <c r="B177" s="12"/>
      <c r="C177" s="12"/>
      <c r="D177" s="12"/>
      <c r="E177" s="12"/>
      <c r="F177" s="12"/>
      <c r="G177" s="12"/>
      <c r="H177" s="12"/>
      <c r="I177" s="21" t="str">
        <f>IF(COUNTA('[1]Virus production'!A164)=1,('[1]Virus production'!A164),"")</f>
        <v>AAV167</v>
      </c>
      <c r="J177" s="12"/>
      <c r="L177" s="31">
        <v>44013</v>
      </c>
      <c r="M177" s="12">
        <v>6</v>
      </c>
      <c r="N177" s="197">
        <f t="shared" si="23"/>
        <v>44013</v>
      </c>
      <c r="O177" s="197">
        <f t="shared" si="24"/>
        <v>44013</v>
      </c>
      <c r="P177" s="384">
        <f t="shared" si="25"/>
        <v>6</v>
      </c>
      <c r="Q177" s="384">
        <f t="shared" si="26"/>
        <v>985</v>
      </c>
      <c r="R177" s="12">
        <f t="shared" si="27"/>
        <v>585</v>
      </c>
      <c r="S177" s="12"/>
      <c r="T177" s="12"/>
      <c r="U177" s="384"/>
      <c r="V177" s="12"/>
      <c r="W177" s="12"/>
      <c r="X177" s="12"/>
      <c r="Y177" s="12"/>
      <c r="Z177" s="12"/>
      <c r="AA177" s="12"/>
      <c r="AB177" s="12"/>
      <c r="AD177" s="31"/>
      <c r="AE177" s="12"/>
      <c r="AF177" s="197"/>
      <c r="AG177" s="197"/>
      <c r="AH177" s="197"/>
      <c r="AI177" s="197"/>
      <c r="AJ177" s="12"/>
      <c r="AK177" s="12"/>
      <c r="AL177" s="12"/>
      <c r="AM177" s="12"/>
      <c r="AN177" s="12"/>
      <c r="AO177" s="12"/>
      <c r="AP177" s="12"/>
      <c r="AQ177" s="12"/>
      <c r="AR177" s="12"/>
      <c r="AS177" s="12"/>
      <c r="AT177" s="12"/>
    </row>
    <row r="178" spans="1:46" x14ac:dyDescent="0.25">
      <c r="A178" s="12"/>
      <c r="B178" s="12"/>
      <c r="C178" s="12"/>
      <c r="D178" s="12"/>
      <c r="E178" s="12"/>
      <c r="F178" s="12"/>
      <c r="G178" s="12"/>
      <c r="H178" s="12"/>
      <c r="I178" s="21" t="str">
        <f>IF(COUNTA('[1]Virus production'!A165)=1,('[1]Virus production'!A165),"")</f>
        <v>AAV168</v>
      </c>
      <c r="J178" s="12"/>
      <c r="L178" s="31">
        <v>44014</v>
      </c>
      <c r="M178" s="12">
        <v>5</v>
      </c>
      <c r="N178" s="197">
        <f t="shared" si="23"/>
        <v>44014</v>
      </c>
      <c r="O178" s="197">
        <f t="shared" si="24"/>
        <v>44013</v>
      </c>
      <c r="P178" s="384">
        <f t="shared" si="25"/>
        <v>5</v>
      </c>
      <c r="Q178" s="384">
        <f t="shared" si="26"/>
        <v>986</v>
      </c>
      <c r="R178" s="12">
        <f t="shared" si="27"/>
        <v>590</v>
      </c>
      <c r="S178" s="12"/>
      <c r="T178" s="12"/>
      <c r="U178" s="384"/>
      <c r="V178" s="12"/>
      <c r="W178" s="12"/>
      <c r="X178" s="12"/>
      <c r="Y178" s="12"/>
      <c r="Z178" s="12"/>
      <c r="AA178" s="12"/>
      <c r="AB178" s="12"/>
      <c r="AD178" s="31"/>
      <c r="AE178" s="12"/>
      <c r="AF178" s="197"/>
      <c r="AG178" s="197"/>
      <c r="AH178" s="197"/>
      <c r="AI178" s="197"/>
      <c r="AJ178" s="12"/>
      <c r="AK178" s="12"/>
      <c r="AL178" s="12"/>
      <c r="AM178" s="12"/>
      <c r="AN178" s="12"/>
      <c r="AO178" s="12"/>
      <c r="AP178" s="12"/>
      <c r="AQ178" s="12"/>
      <c r="AR178" s="12"/>
      <c r="AS178" s="12"/>
      <c r="AT178" s="12"/>
    </row>
    <row r="179" spans="1:46" x14ac:dyDescent="0.25">
      <c r="A179" s="12"/>
      <c r="B179" s="12"/>
      <c r="C179" s="12"/>
      <c r="D179" s="12"/>
      <c r="E179" s="12"/>
      <c r="F179" s="12"/>
      <c r="G179" s="12"/>
      <c r="H179" s="12"/>
      <c r="I179" s="21" t="str">
        <f>IF(COUNTA('[1]Virus production'!A166)=1,('[1]Virus production'!A166),"")</f>
        <v>AAV169</v>
      </c>
      <c r="J179" s="12"/>
      <c r="L179" s="31">
        <v>44015</v>
      </c>
      <c r="M179" s="12">
        <v>4</v>
      </c>
      <c r="N179" s="197">
        <f t="shared" si="23"/>
        <v>44015</v>
      </c>
      <c r="O179" s="197">
        <f t="shared" si="24"/>
        <v>44013</v>
      </c>
      <c r="P179" s="384">
        <f t="shared" si="25"/>
        <v>4</v>
      </c>
      <c r="Q179" s="384">
        <f t="shared" si="26"/>
        <v>987</v>
      </c>
      <c r="R179" s="12">
        <f t="shared" si="27"/>
        <v>594</v>
      </c>
      <c r="S179" s="12"/>
      <c r="T179" s="12"/>
      <c r="U179" s="384"/>
      <c r="V179" s="12"/>
      <c r="W179" s="12"/>
      <c r="X179" s="12"/>
      <c r="Y179" s="12"/>
      <c r="Z179" s="12"/>
      <c r="AA179" s="12"/>
      <c r="AB179" s="12"/>
      <c r="AD179" s="31"/>
      <c r="AE179" s="12"/>
      <c r="AF179" s="197"/>
      <c r="AG179" s="197"/>
      <c r="AH179" s="197"/>
      <c r="AI179" s="197"/>
      <c r="AJ179" s="12"/>
      <c r="AK179" s="12"/>
      <c r="AL179" s="12"/>
      <c r="AM179" s="12"/>
      <c r="AN179" s="12"/>
      <c r="AO179" s="12"/>
      <c r="AP179" s="12"/>
      <c r="AQ179" s="12"/>
      <c r="AR179" s="12"/>
      <c r="AS179" s="12"/>
      <c r="AT179" s="12"/>
    </row>
    <row r="180" spans="1:46" x14ac:dyDescent="0.25">
      <c r="A180" s="12"/>
      <c r="B180" s="12"/>
      <c r="C180" s="12"/>
      <c r="D180" s="12"/>
      <c r="E180" s="12"/>
      <c r="F180" s="12"/>
      <c r="G180" s="12"/>
      <c r="H180" s="12"/>
      <c r="I180" s="21" t="str">
        <f>IF(COUNTA('[1]Virus production'!A167)=1,('[1]Virus production'!A167),"")</f>
        <v>AAV170</v>
      </c>
      <c r="J180" s="12"/>
      <c r="L180" s="31">
        <v>44027</v>
      </c>
      <c r="M180" s="12">
        <v>5</v>
      </c>
      <c r="N180" s="197">
        <f t="shared" si="23"/>
        <v>44027</v>
      </c>
      <c r="O180" s="197">
        <f t="shared" si="24"/>
        <v>44013</v>
      </c>
      <c r="P180" s="384">
        <f t="shared" si="25"/>
        <v>5</v>
      </c>
      <c r="Q180" s="384">
        <f t="shared" si="26"/>
        <v>999</v>
      </c>
      <c r="R180" s="12">
        <f t="shared" si="27"/>
        <v>599</v>
      </c>
      <c r="S180" s="12"/>
      <c r="T180" s="12"/>
      <c r="U180" s="384"/>
      <c r="V180" s="12"/>
      <c r="W180" s="12"/>
      <c r="X180" s="12"/>
      <c r="Y180" s="12"/>
      <c r="Z180" s="12"/>
      <c r="AA180" s="12"/>
      <c r="AB180" s="12"/>
      <c r="AD180" s="31"/>
      <c r="AE180" s="12"/>
      <c r="AF180" s="197"/>
      <c r="AG180" s="197"/>
      <c r="AH180" s="197"/>
      <c r="AI180" s="197"/>
      <c r="AJ180" s="12"/>
      <c r="AK180" s="12"/>
      <c r="AL180" s="12"/>
      <c r="AM180" s="12"/>
      <c r="AN180" s="12"/>
      <c r="AO180" s="12"/>
      <c r="AP180" s="12"/>
      <c r="AQ180" s="12"/>
      <c r="AR180" s="12"/>
      <c r="AS180" s="12"/>
      <c r="AT180" s="12"/>
    </row>
    <row r="181" spans="1:46" x14ac:dyDescent="0.25">
      <c r="A181" s="12"/>
      <c r="B181" s="12"/>
      <c r="C181" s="12"/>
      <c r="D181" s="12"/>
      <c r="E181" s="12"/>
      <c r="F181" s="12"/>
      <c r="G181" s="12"/>
      <c r="H181" s="12"/>
      <c r="I181" s="21" t="str">
        <f>IF(COUNTA('[1]Virus production'!A168)=1,('[1]Virus production'!A168),"")</f>
        <v>AAV171</v>
      </c>
      <c r="J181" s="12"/>
      <c r="L181" s="31">
        <v>44028</v>
      </c>
      <c r="M181" s="12">
        <v>5</v>
      </c>
      <c r="N181" s="197">
        <f t="shared" si="23"/>
        <v>44028</v>
      </c>
      <c r="O181" s="197">
        <f t="shared" si="24"/>
        <v>44013</v>
      </c>
      <c r="P181" s="384">
        <f t="shared" si="25"/>
        <v>5</v>
      </c>
      <c r="Q181" s="384">
        <f t="shared" si="26"/>
        <v>1000</v>
      </c>
      <c r="R181" s="12">
        <f t="shared" si="27"/>
        <v>604</v>
      </c>
      <c r="S181" s="12"/>
      <c r="T181" s="12"/>
      <c r="U181" s="384"/>
      <c r="V181" s="12"/>
      <c r="W181" s="12"/>
      <c r="X181" s="12"/>
      <c r="Y181" s="12"/>
      <c r="Z181" s="12"/>
      <c r="AA181" s="12"/>
      <c r="AB181" s="12"/>
      <c r="AD181" s="31"/>
      <c r="AE181" s="12"/>
      <c r="AF181" s="197"/>
      <c r="AG181" s="197"/>
      <c r="AH181" s="197"/>
      <c r="AI181" s="197"/>
      <c r="AJ181" s="12"/>
      <c r="AK181" s="12"/>
      <c r="AL181" s="12"/>
      <c r="AM181" s="12"/>
      <c r="AN181" s="12"/>
      <c r="AO181" s="12"/>
      <c r="AP181" s="12"/>
      <c r="AQ181" s="12"/>
      <c r="AR181" s="12"/>
      <c r="AS181" s="12"/>
      <c r="AT181" s="12"/>
    </row>
    <row r="182" spans="1:46" x14ac:dyDescent="0.25">
      <c r="A182" s="12"/>
      <c r="B182" s="12"/>
      <c r="C182" s="12"/>
      <c r="D182" s="12"/>
      <c r="E182" s="12"/>
      <c r="F182" s="12"/>
      <c r="G182" s="12"/>
      <c r="H182" s="12"/>
      <c r="I182" s="21" t="str">
        <f>IF(COUNTA('[1]Virus production'!A169)=1,('[1]Virus production'!A169),"")</f>
        <v>AAV172</v>
      </c>
      <c r="J182" s="12"/>
      <c r="L182" s="31">
        <v>44031</v>
      </c>
      <c r="M182" s="12">
        <v>2</v>
      </c>
      <c r="N182" s="197">
        <f t="shared" si="23"/>
        <v>44031</v>
      </c>
      <c r="O182" s="197">
        <f t="shared" si="24"/>
        <v>44013</v>
      </c>
      <c r="P182" s="384">
        <f t="shared" si="25"/>
        <v>2</v>
      </c>
      <c r="Q182" s="384">
        <f t="shared" si="26"/>
        <v>1003</v>
      </c>
      <c r="R182" s="12">
        <f t="shared" si="27"/>
        <v>606</v>
      </c>
      <c r="S182" s="12"/>
      <c r="T182" s="12"/>
      <c r="U182" s="384"/>
      <c r="V182" s="12"/>
      <c r="W182" s="12"/>
      <c r="X182" s="12"/>
      <c r="Y182" s="12"/>
      <c r="Z182" s="12"/>
      <c r="AA182" s="12"/>
      <c r="AB182" s="12"/>
      <c r="AD182" s="31"/>
      <c r="AE182" s="12"/>
      <c r="AF182" s="197"/>
      <c r="AG182" s="197"/>
      <c r="AH182" s="197"/>
      <c r="AI182" s="197"/>
      <c r="AJ182" s="12"/>
      <c r="AK182" s="12"/>
      <c r="AL182" s="12"/>
      <c r="AM182" s="12"/>
      <c r="AN182" s="12"/>
      <c r="AO182" s="12"/>
      <c r="AP182" s="12"/>
      <c r="AQ182" s="12"/>
      <c r="AR182" s="12"/>
      <c r="AS182" s="12"/>
      <c r="AT182" s="12"/>
    </row>
    <row r="183" spans="1:46" x14ac:dyDescent="0.25">
      <c r="A183" s="12"/>
      <c r="B183" s="12"/>
      <c r="C183" s="12"/>
      <c r="D183" s="12"/>
      <c r="E183" s="12"/>
      <c r="F183" s="12"/>
      <c r="G183" s="12"/>
      <c r="H183" s="12"/>
      <c r="I183" s="21" t="str">
        <f>IF(COUNTA('[1]Virus production'!A170)=1,('[1]Virus production'!A170),"")</f>
        <v>AAV173</v>
      </c>
      <c r="J183" s="12"/>
      <c r="L183" s="31">
        <v>44035</v>
      </c>
      <c r="M183" s="12">
        <v>3</v>
      </c>
      <c r="N183" s="197">
        <f t="shared" si="23"/>
        <v>44035</v>
      </c>
      <c r="O183" s="197">
        <f t="shared" si="24"/>
        <v>44013</v>
      </c>
      <c r="P183" s="384">
        <f t="shared" si="25"/>
        <v>3</v>
      </c>
      <c r="Q183" s="384">
        <f t="shared" si="26"/>
        <v>1007</v>
      </c>
      <c r="R183" s="12">
        <f t="shared" si="27"/>
        <v>609</v>
      </c>
      <c r="S183" s="12"/>
      <c r="T183" s="12"/>
      <c r="U183" s="384"/>
      <c r="V183" s="12"/>
      <c r="W183" s="12"/>
      <c r="X183" s="12"/>
      <c r="Y183" s="12"/>
      <c r="Z183" s="12"/>
      <c r="AA183" s="12"/>
      <c r="AB183" s="12"/>
      <c r="AD183" s="31"/>
      <c r="AE183" s="12"/>
      <c r="AF183" s="197"/>
      <c r="AG183" s="197"/>
      <c r="AH183" s="197"/>
      <c r="AI183" s="197"/>
      <c r="AJ183" s="12"/>
      <c r="AK183" s="12"/>
      <c r="AL183" s="12"/>
      <c r="AM183" s="12"/>
      <c r="AN183" s="12"/>
      <c r="AO183" s="12"/>
      <c r="AP183" s="12"/>
      <c r="AQ183" s="12"/>
      <c r="AR183" s="12"/>
      <c r="AS183" s="12"/>
      <c r="AT183" s="12"/>
    </row>
    <row r="184" spans="1:46" x14ac:dyDescent="0.25">
      <c r="A184" s="12"/>
      <c r="B184" s="12"/>
      <c r="C184" s="12"/>
      <c r="D184" s="12"/>
      <c r="E184" s="12"/>
      <c r="F184" s="12"/>
      <c r="G184" s="12"/>
      <c r="H184" s="12"/>
      <c r="I184" s="21" t="str">
        <f>IF(COUNTA('[1]Virus production'!A171)=1,('[1]Virus production'!A171),"")</f>
        <v>AAV174</v>
      </c>
      <c r="J184" s="12"/>
      <c r="L184" s="31">
        <v>44047</v>
      </c>
      <c r="M184" s="12">
        <v>5</v>
      </c>
      <c r="N184" s="197">
        <f t="shared" si="23"/>
        <v>44047</v>
      </c>
      <c r="O184" s="197">
        <f t="shared" si="24"/>
        <v>44044</v>
      </c>
      <c r="P184" s="384">
        <f t="shared" si="25"/>
        <v>5</v>
      </c>
      <c r="Q184" s="384">
        <f t="shared" si="26"/>
        <v>1019</v>
      </c>
      <c r="R184" s="12">
        <f t="shared" si="27"/>
        <v>614</v>
      </c>
      <c r="S184" s="12"/>
      <c r="T184" s="12"/>
      <c r="U184" s="384"/>
      <c r="V184" s="12"/>
      <c r="W184" s="12"/>
      <c r="X184" s="12"/>
      <c r="Y184" s="12"/>
      <c r="Z184" s="12"/>
      <c r="AA184" s="12"/>
      <c r="AB184" s="12"/>
      <c r="AD184" s="31"/>
      <c r="AE184" s="12"/>
      <c r="AF184" s="197"/>
      <c r="AG184" s="197"/>
      <c r="AH184" s="197"/>
      <c r="AI184" s="197"/>
      <c r="AJ184" s="12"/>
      <c r="AK184" s="12"/>
      <c r="AL184" s="12"/>
      <c r="AM184" s="12"/>
      <c r="AN184" s="12"/>
      <c r="AO184" s="12"/>
      <c r="AP184" s="12"/>
      <c r="AQ184" s="12"/>
      <c r="AR184" s="12"/>
      <c r="AS184" s="12"/>
      <c r="AT184" s="12"/>
    </row>
    <row r="185" spans="1:46" x14ac:dyDescent="0.25">
      <c r="A185" s="12"/>
      <c r="B185" s="12"/>
      <c r="C185" s="12"/>
      <c r="D185" s="12"/>
      <c r="E185" s="12"/>
      <c r="F185" s="12"/>
      <c r="G185" s="12"/>
      <c r="H185" s="12"/>
      <c r="I185" s="21" t="str">
        <f>IF(COUNTA('[1]Virus production'!A172)=1,('[1]Virus production'!A172),"")</f>
        <v>AAV175</v>
      </c>
      <c r="J185" s="12"/>
      <c r="L185" s="31">
        <v>44056</v>
      </c>
      <c r="M185" s="12">
        <v>4</v>
      </c>
      <c r="N185" s="197">
        <f t="shared" si="23"/>
        <v>44056</v>
      </c>
      <c r="O185" s="197">
        <f t="shared" si="24"/>
        <v>44044</v>
      </c>
      <c r="P185" s="384">
        <f t="shared" si="25"/>
        <v>4</v>
      </c>
      <c r="Q185" s="384">
        <f t="shared" si="26"/>
        <v>1028</v>
      </c>
      <c r="R185" s="12">
        <f t="shared" si="27"/>
        <v>618</v>
      </c>
      <c r="S185" s="12"/>
      <c r="T185" s="12"/>
      <c r="U185" s="384"/>
      <c r="V185" s="12"/>
      <c r="W185" s="12"/>
      <c r="X185" s="12"/>
      <c r="Y185" s="12"/>
      <c r="Z185" s="12"/>
      <c r="AA185" s="12"/>
      <c r="AB185" s="12"/>
      <c r="AD185" s="31"/>
      <c r="AE185" s="12"/>
      <c r="AF185" s="197"/>
      <c r="AG185" s="197"/>
      <c r="AH185" s="197"/>
      <c r="AI185" s="197"/>
      <c r="AJ185" s="12"/>
      <c r="AK185" s="12"/>
      <c r="AL185" s="12"/>
      <c r="AM185" s="12"/>
      <c r="AN185" s="12"/>
      <c r="AO185" s="12"/>
      <c r="AP185" s="12"/>
      <c r="AQ185" s="12"/>
      <c r="AR185" s="12"/>
      <c r="AS185" s="12"/>
      <c r="AT185" s="12"/>
    </row>
    <row r="186" spans="1:46" x14ac:dyDescent="0.25">
      <c r="A186" s="12"/>
      <c r="B186" s="12"/>
      <c r="C186" s="12"/>
      <c r="D186" s="12"/>
      <c r="E186" s="12"/>
      <c r="F186" s="12"/>
      <c r="G186" s="12"/>
      <c r="H186" s="12"/>
      <c r="I186" s="21" t="str">
        <f>IF(COUNTA('[1]Virus production'!A173)=1,('[1]Virus production'!A173),"")</f>
        <v>AAV176</v>
      </c>
      <c r="J186" s="12"/>
      <c r="L186" s="31">
        <v>44057</v>
      </c>
      <c r="M186" s="12">
        <v>1</v>
      </c>
      <c r="N186" s="197">
        <f t="shared" si="23"/>
        <v>44057</v>
      </c>
      <c r="O186" s="197">
        <f t="shared" si="24"/>
        <v>44044</v>
      </c>
      <c r="P186" s="384">
        <f t="shared" si="25"/>
        <v>1</v>
      </c>
      <c r="Q186" s="384">
        <f t="shared" si="26"/>
        <v>1029</v>
      </c>
      <c r="R186" s="12">
        <f t="shared" si="27"/>
        <v>619</v>
      </c>
      <c r="S186" s="12"/>
      <c r="T186" s="12"/>
      <c r="U186" s="384"/>
      <c r="V186" s="12"/>
      <c r="W186" s="12"/>
      <c r="X186" s="12"/>
      <c r="Y186" s="12"/>
      <c r="Z186" s="12"/>
      <c r="AA186" s="12"/>
      <c r="AB186" s="12"/>
      <c r="AD186" s="31"/>
      <c r="AE186" s="12"/>
      <c r="AF186" s="197"/>
      <c r="AG186" s="197"/>
      <c r="AH186" s="197"/>
      <c r="AI186" s="197"/>
      <c r="AJ186" s="12"/>
      <c r="AK186" s="12"/>
      <c r="AL186" s="12"/>
      <c r="AM186" s="12"/>
      <c r="AN186" s="12"/>
      <c r="AO186" s="12"/>
      <c r="AP186" s="12"/>
      <c r="AQ186" s="12"/>
      <c r="AR186" s="12"/>
      <c r="AS186" s="12"/>
      <c r="AT186" s="12"/>
    </row>
    <row r="187" spans="1:46" x14ac:dyDescent="0.25">
      <c r="A187" s="12"/>
      <c r="B187" s="12"/>
      <c r="C187" s="12"/>
      <c r="D187" s="12"/>
      <c r="E187" s="12"/>
      <c r="F187" s="12"/>
      <c r="G187" s="12"/>
      <c r="H187" s="12"/>
      <c r="I187" s="21" t="str">
        <f>IF(COUNTA('[1]Virus production'!A174)=1,('[1]Virus production'!A174),"")</f>
        <v>AAV177</v>
      </c>
      <c r="J187" s="12"/>
      <c r="L187" s="31">
        <v>44061</v>
      </c>
      <c r="M187" s="12">
        <v>3</v>
      </c>
      <c r="N187" s="197">
        <f t="shared" si="23"/>
        <v>44061</v>
      </c>
      <c r="O187" s="197">
        <f t="shared" si="24"/>
        <v>44044</v>
      </c>
      <c r="P187" s="384">
        <f t="shared" si="25"/>
        <v>3</v>
      </c>
      <c r="Q187" s="384">
        <f t="shared" si="26"/>
        <v>1033</v>
      </c>
      <c r="R187" s="12">
        <f t="shared" si="27"/>
        <v>622</v>
      </c>
      <c r="S187" s="12"/>
      <c r="T187" s="12"/>
      <c r="U187" s="384"/>
      <c r="V187" s="12"/>
      <c r="W187" s="12"/>
      <c r="X187" s="12"/>
      <c r="Y187" s="12"/>
      <c r="Z187" s="12"/>
      <c r="AA187" s="12"/>
      <c r="AB187" s="12"/>
      <c r="AD187" s="31"/>
      <c r="AE187" s="12"/>
      <c r="AF187" s="197"/>
      <c r="AG187" s="197"/>
      <c r="AH187" s="197"/>
      <c r="AI187" s="197"/>
      <c r="AJ187" s="12"/>
      <c r="AK187" s="12"/>
      <c r="AL187" s="12"/>
      <c r="AM187" s="12"/>
      <c r="AN187" s="12"/>
      <c r="AO187" s="12"/>
      <c r="AP187" s="12"/>
      <c r="AQ187" s="12"/>
      <c r="AR187" s="12"/>
      <c r="AS187" s="12"/>
      <c r="AT187" s="12"/>
    </row>
    <row r="188" spans="1:46" x14ac:dyDescent="0.25">
      <c r="A188" s="12"/>
      <c r="B188" s="12"/>
      <c r="C188" s="12"/>
      <c r="D188" s="12"/>
      <c r="E188" s="12"/>
      <c r="F188" s="12"/>
      <c r="G188" s="12"/>
      <c r="H188" s="12"/>
      <c r="I188" s="21" t="str">
        <f>IF(COUNTA('[1]Virus production'!A175)=1,('[1]Virus production'!A175),"")</f>
        <v>AAV178</v>
      </c>
      <c r="J188" s="12"/>
      <c r="L188" s="31">
        <v>44062</v>
      </c>
      <c r="M188" s="12">
        <v>3</v>
      </c>
      <c r="N188" s="197">
        <f t="shared" si="23"/>
        <v>44062</v>
      </c>
      <c r="O188" s="197">
        <f t="shared" si="24"/>
        <v>44044</v>
      </c>
      <c r="P188" s="384">
        <f t="shared" si="25"/>
        <v>3</v>
      </c>
      <c r="Q188" s="384">
        <f t="shared" si="26"/>
        <v>1034</v>
      </c>
      <c r="R188" s="12">
        <f t="shared" si="27"/>
        <v>625</v>
      </c>
      <c r="S188" s="12"/>
      <c r="T188" s="12"/>
      <c r="U188" s="384"/>
      <c r="V188" s="12"/>
      <c r="W188" s="12"/>
      <c r="X188" s="12"/>
      <c r="Y188" s="12"/>
      <c r="Z188" s="12"/>
      <c r="AA188" s="12"/>
      <c r="AB188" s="12"/>
      <c r="AD188" s="31"/>
      <c r="AE188" s="12"/>
      <c r="AF188" s="197"/>
      <c r="AG188" s="197"/>
      <c r="AH188" s="197"/>
      <c r="AI188" s="197"/>
      <c r="AJ188" s="12"/>
      <c r="AK188" s="12"/>
      <c r="AL188" s="12"/>
      <c r="AM188" s="12"/>
      <c r="AN188" s="12"/>
      <c r="AO188" s="12"/>
      <c r="AP188" s="12"/>
      <c r="AQ188" s="12"/>
      <c r="AR188" s="12"/>
      <c r="AS188" s="12"/>
      <c r="AT188" s="12"/>
    </row>
    <row r="189" spans="1:46" x14ac:dyDescent="0.25">
      <c r="A189" s="12"/>
      <c r="B189" s="12"/>
      <c r="C189" s="12"/>
      <c r="D189" s="12"/>
      <c r="E189" s="12"/>
      <c r="F189" s="12"/>
      <c r="G189" s="12"/>
      <c r="H189" s="12"/>
      <c r="I189" s="21" t="str">
        <f>IF(COUNTA('[1]Virus production'!A176)=1,('[1]Virus production'!A176),"")</f>
        <v>AAV179</v>
      </c>
      <c r="J189" s="12"/>
      <c r="L189" s="31">
        <v>44067</v>
      </c>
      <c r="M189" s="12">
        <v>3</v>
      </c>
      <c r="N189" s="197">
        <f t="shared" si="23"/>
        <v>44067</v>
      </c>
      <c r="O189" s="197">
        <f t="shared" si="24"/>
        <v>44044</v>
      </c>
      <c r="P189" s="384">
        <f t="shared" si="25"/>
        <v>3</v>
      </c>
      <c r="Q189" s="384">
        <f t="shared" si="26"/>
        <v>1039</v>
      </c>
      <c r="R189" s="12">
        <f t="shared" si="27"/>
        <v>628</v>
      </c>
      <c r="S189" s="12"/>
      <c r="T189" s="12"/>
      <c r="U189" s="384"/>
      <c r="V189" s="12"/>
      <c r="W189" s="12"/>
      <c r="X189" s="12"/>
      <c r="Y189" s="12"/>
      <c r="Z189" s="12"/>
      <c r="AA189" s="12"/>
      <c r="AB189" s="12"/>
      <c r="AD189" s="31"/>
      <c r="AE189" s="12"/>
      <c r="AF189" s="197"/>
      <c r="AG189" s="197"/>
      <c r="AH189" s="197"/>
      <c r="AI189" s="197"/>
      <c r="AJ189" s="12"/>
      <c r="AK189" s="12"/>
      <c r="AL189" s="12"/>
      <c r="AM189" s="12"/>
      <c r="AN189" s="12"/>
      <c r="AO189" s="12"/>
      <c r="AP189" s="12"/>
      <c r="AQ189" s="12"/>
      <c r="AR189" s="12"/>
      <c r="AS189" s="12"/>
      <c r="AT189" s="12"/>
    </row>
    <row r="190" spans="1:46" x14ac:dyDescent="0.25">
      <c r="A190" s="12"/>
      <c r="B190" s="12"/>
      <c r="C190" s="12"/>
      <c r="D190" s="12"/>
      <c r="E190" s="12"/>
      <c r="F190" s="12"/>
      <c r="G190" s="12"/>
      <c r="H190" s="12"/>
      <c r="I190" s="21" t="str">
        <f>IF(COUNTA('[1]Virus production'!A177)=1,('[1]Virus production'!A177),"")</f>
        <v>AAV180</v>
      </c>
      <c r="J190" s="12"/>
      <c r="L190" s="31">
        <v>44069</v>
      </c>
      <c r="M190" s="12">
        <v>3</v>
      </c>
      <c r="N190" s="197">
        <f t="shared" si="23"/>
        <v>44069</v>
      </c>
      <c r="O190" s="197">
        <f t="shared" si="24"/>
        <v>44044</v>
      </c>
      <c r="P190" s="384">
        <f t="shared" si="25"/>
        <v>3</v>
      </c>
      <c r="Q190" s="384">
        <f t="shared" si="26"/>
        <v>1041</v>
      </c>
      <c r="R190" s="12">
        <f t="shared" si="27"/>
        <v>631</v>
      </c>
      <c r="S190" s="12"/>
      <c r="T190" s="12"/>
      <c r="U190" s="384"/>
      <c r="V190" s="12"/>
      <c r="W190" s="12"/>
      <c r="X190" s="12"/>
      <c r="Y190" s="12"/>
      <c r="Z190" s="12"/>
      <c r="AA190" s="12"/>
      <c r="AB190" s="12"/>
      <c r="AD190" s="31"/>
      <c r="AE190" s="12"/>
      <c r="AF190" s="197"/>
      <c r="AG190" s="197"/>
      <c r="AH190" s="197"/>
      <c r="AI190" s="197"/>
      <c r="AJ190" s="12"/>
      <c r="AK190" s="12"/>
      <c r="AL190" s="12"/>
      <c r="AM190" s="12"/>
      <c r="AN190" s="12"/>
      <c r="AO190" s="12"/>
      <c r="AP190" s="12"/>
      <c r="AQ190" s="12"/>
      <c r="AR190" s="12"/>
      <c r="AS190" s="12"/>
      <c r="AT190" s="12"/>
    </row>
    <row r="191" spans="1:46" x14ac:dyDescent="0.25">
      <c r="A191" s="12"/>
      <c r="B191" s="12"/>
      <c r="C191" s="12"/>
      <c r="D191" s="12"/>
      <c r="E191" s="12"/>
      <c r="F191" s="12"/>
      <c r="G191" s="12"/>
      <c r="H191" s="12"/>
      <c r="I191" s="21" t="str">
        <f>IF(COUNTA('[1]Virus production'!A178)=1,('[1]Virus production'!A178),"")</f>
        <v>AAV181</v>
      </c>
      <c r="J191" s="12"/>
      <c r="L191" s="31">
        <v>44070</v>
      </c>
      <c r="M191" s="12">
        <v>2</v>
      </c>
      <c r="N191" s="197">
        <f t="shared" si="23"/>
        <v>44070</v>
      </c>
      <c r="O191" s="197">
        <f t="shared" si="24"/>
        <v>44044</v>
      </c>
      <c r="P191" s="384">
        <f t="shared" si="25"/>
        <v>2</v>
      </c>
      <c r="Q191" s="384">
        <f t="shared" si="26"/>
        <v>1042</v>
      </c>
      <c r="R191" s="12">
        <f t="shared" si="27"/>
        <v>633</v>
      </c>
      <c r="S191" s="12"/>
      <c r="T191" s="12"/>
      <c r="U191" s="384"/>
      <c r="V191" s="12"/>
      <c r="W191" s="12"/>
      <c r="X191" s="12"/>
      <c r="Y191" s="12"/>
      <c r="Z191" s="12"/>
      <c r="AA191" s="12"/>
      <c r="AB191" s="12"/>
      <c r="AD191" s="31"/>
      <c r="AE191" s="12"/>
      <c r="AF191" s="197"/>
      <c r="AG191" s="197"/>
      <c r="AH191" s="197"/>
      <c r="AI191" s="197"/>
      <c r="AJ191" s="12"/>
      <c r="AK191" s="12"/>
      <c r="AL191" s="12"/>
      <c r="AM191" s="12"/>
      <c r="AN191" s="12"/>
      <c r="AO191" s="12"/>
      <c r="AP191" s="12"/>
      <c r="AQ191" s="12"/>
      <c r="AR191" s="12"/>
      <c r="AS191" s="12"/>
      <c r="AT191" s="12"/>
    </row>
    <row r="192" spans="1:46" x14ac:dyDescent="0.25">
      <c r="A192" s="12"/>
      <c r="B192" s="12"/>
      <c r="C192" s="12"/>
      <c r="D192" s="12"/>
      <c r="E192" s="12"/>
      <c r="F192" s="12"/>
      <c r="G192" s="12"/>
      <c r="H192" s="12"/>
      <c r="I192" s="21" t="str">
        <f>IF(COUNTA('[1]Virus production'!A179)=1,('[1]Virus production'!A179),"")</f>
        <v>AAV182</v>
      </c>
      <c r="J192" s="12"/>
      <c r="L192" s="31">
        <v>44076</v>
      </c>
      <c r="M192" s="12">
        <v>5</v>
      </c>
      <c r="N192" s="197">
        <f t="shared" si="23"/>
        <v>44076</v>
      </c>
      <c r="O192" s="197">
        <f t="shared" si="24"/>
        <v>44075</v>
      </c>
      <c r="P192" s="384">
        <f t="shared" si="25"/>
        <v>5</v>
      </c>
      <c r="Q192" s="384">
        <f t="shared" si="26"/>
        <v>1048</v>
      </c>
      <c r="R192" s="12">
        <f t="shared" si="27"/>
        <v>638</v>
      </c>
      <c r="S192" s="12"/>
      <c r="T192" s="12"/>
      <c r="U192" s="384"/>
      <c r="V192" s="12"/>
      <c r="W192" s="12"/>
      <c r="X192" s="12"/>
      <c r="Y192" s="12"/>
      <c r="Z192" s="12"/>
      <c r="AA192" s="12"/>
      <c r="AB192" s="12"/>
      <c r="AD192" s="31"/>
      <c r="AE192" s="12"/>
      <c r="AF192" s="197"/>
      <c r="AG192" s="197"/>
      <c r="AH192" s="197"/>
      <c r="AI192" s="197"/>
      <c r="AJ192" s="12"/>
      <c r="AK192" s="12"/>
      <c r="AL192" s="12"/>
      <c r="AM192" s="12"/>
      <c r="AN192" s="12"/>
      <c r="AO192" s="12"/>
      <c r="AP192" s="12"/>
      <c r="AQ192" s="12"/>
      <c r="AR192" s="12"/>
      <c r="AS192" s="12"/>
      <c r="AT192" s="12"/>
    </row>
    <row r="193" spans="1:46" x14ac:dyDescent="0.25">
      <c r="A193" s="12"/>
      <c r="B193" s="12"/>
      <c r="C193" s="12"/>
      <c r="D193" s="12"/>
      <c r="E193" s="12"/>
      <c r="F193" s="12"/>
      <c r="G193" s="12"/>
      <c r="H193" s="12"/>
      <c r="I193" s="21" t="str">
        <f>IF(COUNTA('[1]Virus production'!A180)=1,('[1]Virus production'!A180),"")</f>
        <v>AAV183</v>
      </c>
      <c r="J193" s="12"/>
      <c r="L193" s="31">
        <v>44082</v>
      </c>
      <c r="M193" s="12">
        <v>2</v>
      </c>
      <c r="N193" s="197">
        <f t="shared" si="23"/>
        <v>44082</v>
      </c>
      <c r="O193" s="197">
        <f t="shared" si="24"/>
        <v>44075</v>
      </c>
      <c r="P193" s="384">
        <f t="shared" si="25"/>
        <v>2</v>
      </c>
      <c r="Q193" s="384">
        <f t="shared" si="26"/>
        <v>1054</v>
      </c>
      <c r="R193" s="12">
        <f t="shared" si="27"/>
        <v>640</v>
      </c>
      <c r="S193" s="12"/>
      <c r="T193" s="12"/>
      <c r="U193" s="384"/>
      <c r="V193" s="12"/>
      <c r="W193" s="12"/>
      <c r="X193" s="12"/>
      <c r="Y193" s="12"/>
      <c r="Z193" s="12"/>
      <c r="AA193" s="12"/>
      <c r="AB193" s="12"/>
      <c r="AD193" s="31"/>
      <c r="AE193" s="12"/>
      <c r="AF193" s="197"/>
      <c r="AG193" s="197"/>
      <c r="AH193" s="197"/>
      <c r="AI193" s="197"/>
      <c r="AJ193" s="12"/>
      <c r="AK193" s="12"/>
      <c r="AL193" s="12"/>
      <c r="AM193" s="12"/>
      <c r="AN193" s="12"/>
      <c r="AO193" s="12"/>
      <c r="AP193" s="12"/>
      <c r="AQ193" s="12"/>
      <c r="AR193" s="12"/>
      <c r="AS193" s="12"/>
      <c r="AT193" s="12"/>
    </row>
    <row r="194" spans="1:46" x14ac:dyDescent="0.25">
      <c r="A194" s="12"/>
      <c r="B194" s="12"/>
      <c r="C194" s="12"/>
      <c r="D194" s="12"/>
      <c r="E194" s="12"/>
      <c r="F194" s="12"/>
      <c r="G194" s="12"/>
      <c r="H194" s="12"/>
      <c r="I194" s="21" t="str">
        <f>IF(COUNTA('[1]Virus production'!A181)=1,('[1]Virus production'!A181),"")</f>
        <v>AAV184</v>
      </c>
      <c r="J194" s="12"/>
      <c r="L194" s="31">
        <v>44085</v>
      </c>
      <c r="M194" s="12">
        <v>3</v>
      </c>
      <c r="N194" s="197">
        <f t="shared" si="23"/>
        <v>44085</v>
      </c>
      <c r="O194" s="197">
        <f t="shared" si="24"/>
        <v>44075</v>
      </c>
      <c r="P194" s="384">
        <f t="shared" si="25"/>
        <v>3</v>
      </c>
      <c r="Q194" s="384">
        <f t="shared" si="26"/>
        <v>1057</v>
      </c>
      <c r="R194" s="12">
        <f t="shared" si="27"/>
        <v>643</v>
      </c>
      <c r="S194" s="12"/>
      <c r="T194" s="12"/>
      <c r="U194" s="384"/>
      <c r="V194" s="12"/>
      <c r="W194" s="12"/>
      <c r="X194" s="12"/>
      <c r="Y194" s="12"/>
      <c r="Z194" s="12"/>
      <c r="AA194" s="12"/>
      <c r="AB194" s="12"/>
      <c r="AD194" s="31"/>
      <c r="AE194" s="12"/>
      <c r="AF194" s="197"/>
      <c r="AG194" s="197"/>
      <c r="AH194" s="197"/>
      <c r="AI194" s="197"/>
      <c r="AJ194" s="12"/>
      <c r="AK194" s="12"/>
      <c r="AL194" s="12"/>
      <c r="AM194" s="12"/>
      <c r="AN194" s="12"/>
      <c r="AO194" s="12"/>
      <c r="AP194" s="12"/>
      <c r="AQ194" s="12"/>
      <c r="AR194" s="12"/>
      <c r="AS194" s="12"/>
      <c r="AT194" s="12"/>
    </row>
    <row r="195" spans="1:46" x14ac:dyDescent="0.25">
      <c r="A195" s="12"/>
      <c r="B195" s="12"/>
      <c r="C195" s="12"/>
      <c r="D195" s="12"/>
      <c r="E195" s="12"/>
      <c r="F195" s="12"/>
      <c r="G195" s="12"/>
      <c r="H195" s="12"/>
      <c r="I195" s="21" t="str">
        <f>IF(COUNTA('[1]Virus production'!A182)=1,('[1]Virus production'!A182),"")</f>
        <v>AAV185</v>
      </c>
      <c r="J195" s="12"/>
      <c r="L195" s="31">
        <v>44090</v>
      </c>
      <c r="M195" s="12">
        <v>2</v>
      </c>
      <c r="N195" s="197">
        <f t="shared" si="23"/>
        <v>44090</v>
      </c>
      <c r="O195" s="197">
        <f t="shared" si="24"/>
        <v>44075</v>
      </c>
      <c r="P195" s="384">
        <f t="shared" si="25"/>
        <v>2</v>
      </c>
      <c r="Q195" s="384">
        <f t="shared" si="26"/>
        <v>1062</v>
      </c>
      <c r="R195" s="12">
        <f t="shared" si="27"/>
        <v>645</v>
      </c>
      <c r="S195" s="12"/>
      <c r="T195" s="12"/>
      <c r="U195" s="384"/>
      <c r="V195" s="12"/>
      <c r="W195" s="12"/>
      <c r="X195" s="12"/>
      <c r="Y195" s="12"/>
      <c r="Z195" s="12"/>
      <c r="AA195" s="12"/>
      <c r="AB195" s="12"/>
      <c r="AD195" s="31"/>
      <c r="AE195" s="12"/>
      <c r="AF195" s="197"/>
      <c r="AG195" s="197"/>
      <c r="AH195" s="197"/>
      <c r="AI195" s="197"/>
      <c r="AJ195" s="12"/>
      <c r="AK195" s="12"/>
      <c r="AL195" s="12"/>
      <c r="AM195" s="12"/>
      <c r="AN195" s="12"/>
      <c r="AO195" s="12"/>
      <c r="AP195" s="12"/>
      <c r="AQ195" s="12"/>
      <c r="AR195" s="12"/>
      <c r="AS195" s="12"/>
      <c r="AT195" s="12"/>
    </row>
    <row r="196" spans="1:46" x14ac:dyDescent="0.25">
      <c r="A196" s="12"/>
      <c r="B196" s="12"/>
      <c r="C196" s="12"/>
      <c r="D196" s="12"/>
      <c r="E196" s="12"/>
      <c r="F196" s="12"/>
      <c r="G196" s="12"/>
      <c r="H196" s="12"/>
      <c r="I196" s="21" t="str">
        <f>IF(COUNTA('[1]Virus production'!A183)=1,('[1]Virus production'!A183),"")</f>
        <v>AAV186</v>
      </c>
      <c r="J196" s="12"/>
      <c r="L196" s="31">
        <v>44104</v>
      </c>
      <c r="M196" s="12">
        <v>4</v>
      </c>
      <c r="N196" s="197">
        <f t="shared" si="23"/>
        <v>44104</v>
      </c>
      <c r="O196" s="197">
        <f t="shared" si="24"/>
        <v>44075</v>
      </c>
      <c r="P196" s="384">
        <f t="shared" si="25"/>
        <v>4</v>
      </c>
      <c r="Q196" s="384">
        <f t="shared" si="26"/>
        <v>1076</v>
      </c>
      <c r="R196" s="12">
        <f t="shared" si="27"/>
        <v>649</v>
      </c>
      <c r="S196" s="12"/>
      <c r="T196" s="12"/>
      <c r="U196" s="384"/>
      <c r="V196" s="12"/>
      <c r="W196" s="12"/>
      <c r="X196" s="12"/>
      <c r="Y196" s="12"/>
      <c r="Z196" s="12"/>
      <c r="AA196" s="12"/>
      <c r="AB196" s="12"/>
      <c r="AD196" s="31"/>
      <c r="AE196" s="12"/>
      <c r="AF196" s="197"/>
      <c r="AG196" s="197"/>
      <c r="AH196" s="197"/>
      <c r="AI196" s="197"/>
      <c r="AJ196" s="12"/>
      <c r="AK196" s="12"/>
      <c r="AL196" s="12"/>
      <c r="AM196" s="12"/>
      <c r="AN196" s="12"/>
      <c r="AO196" s="12"/>
      <c r="AP196" s="12"/>
      <c r="AQ196" s="12"/>
      <c r="AR196" s="12"/>
      <c r="AS196" s="12"/>
      <c r="AT196" s="12"/>
    </row>
    <row r="197" spans="1:46" x14ac:dyDescent="0.25">
      <c r="A197" s="12"/>
      <c r="B197" s="12"/>
      <c r="C197" s="12"/>
      <c r="D197" s="12"/>
      <c r="E197" s="12"/>
      <c r="F197" s="12"/>
      <c r="G197" s="12"/>
      <c r="H197" s="12"/>
      <c r="I197" s="21" t="str">
        <f>IF(COUNTA('[1]Virus production'!A184)=1,('[1]Virus production'!A184),"")</f>
        <v>AAV187</v>
      </c>
      <c r="J197" s="12"/>
      <c r="L197" s="31">
        <v>44113</v>
      </c>
      <c r="M197" s="12">
        <v>3</v>
      </c>
      <c r="N197" s="197">
        <f t="shared" ref="N197:N260" si="28">L197</f>
        <v>44113</v>
      </c>
      <c r="O197" s="197">
        <f t="shared" ref="O197:O260" si="29">DATE(YEAR(N197),MONTH(N197),1)</f>
        <v>44105</v>
      </c>
      <c r="P197" s="384">
        <f t="shared" ref="P197:P260" si="30">M197</f>
        <v>3</v>
      </c>
      <c r="Q197" s="384">
        <f t="shared" ref="Q197:Q260" si="31">N197-$N$4</f>
        <v>1085</v>
      </c>
      <c r="R197" s="12">
        <f t="shared" ref="R197:R260" si="32">R196+M197</f>
        <v>652</v>
      </c>
      <c r="S197" s="12"/>
      <c r="T197" s="12"/>
      <c r="U197" s="384"/>
      <c r="V197" s="12"/>
      <c r="W197" s="12"/>
      <c r="X197" s="12"/>
      <c r="Y197" s="12"/>
      <c r="Z197" s="12"/>
      <c r="AA197" s="12"/>
      <c r="AB197" s="12"/>
      <c r="AD197" s="31"/>
      <c r="AE197" s="12"/>
      <c r="AF197" s="197"/>
      <c r="AG197" s="197"/>
      <c r="AH197" s="197"/>
      <c r="AI197" s="197"/>
      <c r="AJ197" s="12"/>
      <c r="AK197" s="12"/>
      <c r="AL197" s="12"/>
      <c r="AM197" s="12"/>
      <c r="AN197" s="12"/>
      <c r="AO197" s="12"/>
      <c r="AP197" s="12"/>
      <c r="AQ197" s="12"/>
      <c r="AR197" s="12"/>
      <c r="AS197" s="12"/>
      <c r="AT197" s="12"/>
    </row>
    <row r="198" spans="1:46" x14ac:dyDescent="0.25">
      <c r="A198" s="12"/>
      <c r="B198" s="12"/>
      <c r="C198" s="12"/>
      <c r="D198" s="12"/>
      <c r="E198" s="12"/>
      <c r="F198" s="12"/>
      <c r="G198" s="12"/>
      <c r="H198" s="12"/>
      <c r="I198" s="21" t="str">
        <f>IF(COUNTA('[1]Virus production'!A185)=1,('[1]Virus production'!A185),"")</f>
        <v>AAV188</v>
      </c>
      <c r="J198" s="12"/>
      <c r="L198" s="31">
        <v>44131</v>
      </c>
      <c r="M198" s="12">
        <v>2</v>
      </c>
      <c r="N198" s="197">
        <f t="shared" si="28"/>
        <v>44131</v>
      </c>
      <c r="O198" s="197">
        <f t="shared" si="29"/>
        <v>44105</v>
      </c>
      <c r="P198" s="384">
        <f t="shared" si="30"/>
        <v>2</v>
      </c>
      <c r="Q198" s="384">
        <f t="shared" si="31"/>
        <v>1103</v>
      </c>
      <c r="R198" s="12">
        <f t="shared" si="32"/>
        <v>654</v>
      </c>
      <c r="S198" s="12"/>
      <c r="T198" s="12"/>
      <c r="U198" s="384"/>
      <c r="V198" s="12"/>
      <c r="W198" s="12"/>
      <c r="X198" s="12"/>
      <c r="Y198" s="12"/>
      <c r="Z198" s="12"/>
      <c r="AA198" s="12"/>
      <c r="AB198" s="12"/>
      <c r="AD198" s="31"/>
      <c r="AE198" s="12"/>
      <c r="AF198" s="197"/>
      <c r="AG198" s="197"/>
      <c r="AH198" s="197"/>
      <c r="AI198" s="197"/>
      <c r="AJ198" s="12"/>
      <c r="AK198" s="12"/>
      <c r="AL198" s="12"/>
      <c r="AM198" s="12"/>
      <c r="AN198" s="12"/>
      <c r="AO198" s="12"/>
      <c r="AP198" s="12"/>
      <c r="AQ198" s="12"/>
      <c r="AR198" s="12"/>
      <c r="AS198" s="12"/>
      <c r="AT198" s="12"/>
    </row>
    <row r="199" spans="1:46" x14ac:dyDescent="0.25">
      <c r="A199" s="12"/>
      <c r="B199" s="12"/>
      <c r="C199" s="12"/>
      <c r="D199" s="12"/>
      <c r="E199" s="12"/>
      <c r="F199" s="12"/>
      <c r="G199" s="12"/>
      <c r="H199" s="12"/>
      <c r="I199" s="21" t="str">
        <f>IF(COUNTA('[1]Virus production'!A186)=1,('[1]Virus production'!A186),"")</f>
        <v>AAV189</v>
      </c>
      <c r="J199" s="12"/>
      <c r="L199" s="31">
        <v>44134</v>
      </c>
      <c r="M199" s="12">
        <v>3</v>
      </c>
      <c r="N199" s="197">
        <f t="shared" si="28"/>
        <v>44134</v>
      </c>
      <c r="O199" s="197">
        <f t="shared" si="29"/>
        <v>44105</v>
      </c>
      <c r="P199" s="384">
        <f t="shared" si="30"/>
        <v>3</v>
      </c>
      <c r="Q199" s="384">
        <f t="shared" si="31"/>
        <v>1106</v>
      </c>
      <c r="R199" s="12">
        <f t="shared" si="32"/>
        <v>657</v>
      </c>
      <c r="S199" s="12"/>
      <c r="T199" s="12"/>
      <c r="U199" s="384"/>
      <c r="V199" s="12"/>
      <c r="W199" s="12"/>
      <c r="X199" s="12"/>
      <c r="Y199" s="12"/>
      <c r="Z199" s="12"/>
      <c r="AA199" s="12"/>
      <c r="AB199" s="12"/>
      <c r="AD199" s="31"/>
      <c r="AE199" s="12"/>
      <c r="AF199" s="197"/>
      <c r="AG199" s="197"/>
      <c r="AH199" s="197"/>
      <c r="AI199" s="197"/>
      <c r="AJ199" s="12"/>
      <c r="AK199" s="12"/>
      <c r="AL199" s="12"/>
      <c r="AM199" s="12"/>
      <c r="AN199" s="12"/>
      <c r="AO199" s="12"/>
      <c r="AP199" s="12"/>
      <c r="AQ199" s="12"/>
      <c r="AR199" s="12"/>
      <c r="AS199" s="12"/>
      <c r="AT199" s="12"/>
    </row>
    <row r="200" spans="1:46" x14ac:dyDescent="0.25">
      <c r="A200" s="12"/>
      <c r="B200" s="12"/>
      <c r="C200" s="12"/>
      <c r="D200" s="12"/>
      <c r="E200" s="12"/>
      <c r="F200" s="12"/>
      <c r="G200" s="12"/>
      <c r="H200" s="12"/>
      <c r="I200" s="21" t="str">
        <f>IF(COUNTA('[1]Virus production'!A187)=1,('[1]Virus production'!A187),"")</f>
        <v>AAV190</v>
      </c>
      <c r="J200" s="12"/>
      <c r="L200" s="31">
        <v>44138</v>
      </c>
      <c r="M200" s="12">
        <v>5</v>
      </c>
      <c r="N200" s="197">
        <f t="shared" si="28"/>
        <v>44138</v>
      </c>
      <c r="O200" s="197">
        <f t="shared" si="29"/>
        <v>44136</v>
      </c>
      <c r="P200" s="384">
        <f t="shared" si="30"/>
        <v>5</v>
      </c>
      <c r="Q200" s="384">
        <f t="shared" si="31"/>
        <v>1110</v>
      </c>
      <c r="R200" s="12">
        <f t="shared" si="32"/>
        <v>662</v>
      </c>
      <c r="S200" s="12"/>
      <c r="T200" s="12"/>
      <c r="U200" s="384"/>
      <c r="V200" s="12"/>
      <c r="W200" s="12"/>
      <c r="X200" s="12"/>
      <c r="Y200" s="12"/>
      <c r="Z200" s="12"/>
      <c r="AA200" s="12"/>
      <c r="AB200" s="12"/>
      <c r="AD200" s="31"/>
      <c r="AE200" s="12"/>
      <c r="AF200" s="197"/>
      <c r="AG200" s="197"/>
      <c r="AH200" s="197"/>
      <c r="AI200" s="197"/>
      <c r="AJ200" s="12"/>
      <c r="AK200" s="12"/>
      <c r="AL200" s="12"/>
      <c r="AM200" s="12"/>
      <c r="AN200" s="12"/>
      <c r="AO200" s="12"/>
      <c r="AP200" s="12"/>
      <c r="AQ200" s="12"/>
      <c r="AR200" s="12"/>
      <c r="AS200" s="12"/>
      <c r="AT200" s="12"/>
    </row>
    <row r="201" spans="1:46" x14ac:dyDescent="0.25">
      <c r="A201" s="12"/>
      <c r="B201" s="12"/>
      <c r="C201" s="12"/>
      <c r="D201" s="12"/>
      <c r="E201" s="12"/>
      <c r="F201" s="12"/>
      <c r="G201" s="12"/>
      <c r="H201" s="12"/>
      <c r="I201" s="21" t="str">
        <f>IF(COUNTA('[1]Virus production'!A188)=1,('[1]Virus production'!A188),"")</f>
        <v>AAV191</v>
      </c>
      <c r="J201" s="12"/>
      <c r="L201" s="31">
        <v>44140</v>
      </c>
      <c r="M201" s="12">
        <v>2</v>
      </c>
      <c r="N201" s="197">
        <f t="shared" si="28"/>
        <v>44140</v>
      </c>
      <c r="O201" s="197">
        <f t="shared" si="29"/>
        <v>44136</v>
      </c>
      <c r="P201" s="384">
        <f t="shared" si="30"/>
        <v>2</v>
      </c>
      <c r="Q201" s="384">
        <f t="shared" si="31"/>
        <v>1112</v>
      </c>
      <c r="R201" s="12">
        <f t="shared" si="32"/>
        <v>664</v>
      </c>
      <c r="S201" s="12"/>
      <c r="T201" s="12"/>
      <c r="U201" s="384"/>
      <c r="V201" s="12"/>
      <c r="W201" s="12"/>
      <c r="X201" s="12"/>
      <c r="Y201" s="12"/>
      <c r="Z201" s="12"/>
      <c r="AA201" s="12"/>
      <c r="AB201" s="12"/>
      <c r="AD201" s="31"/>
      <c r="AE201" s="12"/>
      <c r="AF201" s="197"/>
      <c r="AG201" s="197"/>
      <c r="AH201" s="197"/>
      <c r="AI201" s="197"/>
      <c r="AJ201" s="12"/>
      <c r="AK201" s="12"/>
      <c r="AL201" s="12"/>
      <c r="AM201" s="12"/>
      <c r="AN201" s="12"/>
      <c r="AO201" s="12"/>
      <c r="AP201" s="12"/>
      <c r="AQ201" s="12"/>
      <c r="AR201" s="12"/>
      <c r="AS201" s="12"/>
      <c r="AT201" s="12"/>
    </row>
    <row r="202" spans="1:46" x14ac:dyDescent="0.25">
      <c r="A202" s="12"/>
      <c r="B202" s="12"/>
      <c r="C202" s="12"/>
      <c r="D202" s="12"/>
      <c r="E202" s="12"/>
      <c r="F202" s="12"/>
      <c r="G202" s="12"/>
      <c r="H202" s="12"/>
      <c r="I202" s="21" t="str">
        <f>IF(COUNTA('[1]Virus production'!A189)=1,('[1]Virus production'!A189),"")</f>
        <v>AAV192</v>
      </c>
      <c r="J202" s="12"/>
      <c r="L202" s="31">
        <v>44145</v>
      </c>
      <c r="M202" s="12">
        <v>4</v>
      </c>
      <c r="N202" s="197">
        <f t="shared" si="28"/>
        <v>44145</v>
      </c>
      <c r="O202" s="197">
        <f t="shared" si="29"/>
        <v>44136</v>
      </c>
      <c r="P202" s="384">
        <f t="shared" si="30"/>
        <v>4</v>
      </c>
      <c r="Q202" s="384">
        <f t="shared" si="31"/>
        <v>1117</v>
      </c>
      <c r="R202" s="12">
        <f t="shared" si="32"/>
        <v>668</v>
      </c>
      <c r="S202" s="12"/>
      <c r="T202" s="12"/>
      <c r="U202" s="384"/>
      <c r="V202" s="12"/>
      <c r="W202" s="12"/>
      <c r="X202" s="12"/>
      <c r="Y202" s="12"/>
      <c r="Z202" s="12"/>
      <c r="AA202" s="12"/>
      <c r="AB202" s="12"/>
      <c r="AD202" s="31"/>
      <c r="AE202" s="12"/>
      <c r="AF202" s="197"/>
      <c r="AG202" s="197"/>
      <c r="AH202" s="197"/>
      <c r="AI202" s="197"/>
      <c r="AJ202" s="12"/>
      <c r="AK202" s="12"/>
      <c r="AL202" s="12"/>
      <c r="AM202" s="12"/>
      <c r="AN202" s="12"/>
      <c r="AO202" s="12"/>
      <c r="AP202" s="12"/>
      <c r="AQ202" s="12"/>
      <c r="AR202" s="12"/>
      <c r="AS202" s="12"/>
      <c r="AT202" s="12"/>
    </row>
    <row r="203" spans="1:46" x14ac:dyDescent="0.25">
      <c r="A203" s="12"/>
      <c r="B203" s="12"/>
      <c r="C203" s="12"/>
      <c r="D203" s="12"/>
      <c r="E203" s="12"/>
      <c r="F203" s="12"/>
      <c r="G203" s="12"/>
      <c r="H203" s="12"/>
      <c r="I203" s="21" t="str">
        <f>IF(COUNTA('[1]Virus production'!A190)=1,('[1]Virus production'!A190),"")</f>
        <v>AAV193</v>
      </c>
      <c r="J203" s="12"/>
      <c r="L203" s="31">
        <v>44146</v>
      </c>
      <c r="M203" s="12">
        <v>3</v>
      </c>
      <c r="N203" s="197">
        <f t="shared" si="28"/>
        <v>44146</v>
      </c>
      <c r="O203" s="197">
        <f t="shared" si="29"/>
        <v>44136</v>
      </c>
      <c r="P203" s="384">
        <f t="shared" si="30"/>
        <v>3</v>
      </c>
      <c r="Q203" s="384">
        <f t="shared" si="31"/>
        <v>1118</v>
      </c>
      <c r="R203" s="12">
        <f t="shared" si="32"/>
        <v>671</v>
      </c>
      <c r="S203" s="12"/>
      <c r="T203" s="12"/>
      <c r="U203" s="384"/>
      <c r="V203" s="12"/>
      <c r="W203" s="12"/>
      <c r="X203" s="12"/>
      <c r="Y203" s="12"/>
      <c r="Z203" s="12"/>
      <c r="AA203" s="12"/>
      <c r="AB203" s="12"/>
      <c r="AD203" s="31"/>
      <c r="AE203" s="12"/>
      <c r="AF203" s="197"/>
      <c r="AG203" s="197"/>
      <c r="AH203" s="197"/>
      <c r="AI203" s="197"/>
      <c r="AJ203" s="12"/>
      <c r="AK203" s="12"/>
      <c r="AL203" s="12"/>
      <c r="AM203" s="12"/>
      <c r="AN203" s="12"/>
      <c r="AO203" s="12"/>
      <c r="AP203" s="12"/>
      <c r="AQ203" s="12"/>
      <c r="AR203" s="12"/>
      <c r="AS203" s="12"/>
      <c r="AT203" s="12"/>
    </row>
    <row r="204" spans="1:46" x14ac:dyDescent="0.25">
      <c r="A204" s="12"/>
      <c r="B204" s="12"/>
      <c r="C204" s="12"/>
      <c r="D204" s="12"/>
      <c r="E204" s="12"/>
      <c r="F204" s="12"/>
      <c r="G204" s="12"/>
      <c r="H204" s="12"/>
      <c r="I204" s="21" t="str">
        <f>IF(COUNTA('[1]Virus production'!A191)=1,('[1]Virus production'!A191),"")</f>
        <v>AAV194</v>
      </c>
      <c r="J204" s="12"/>
      <c r="L204" s="31">
        <v>44160</v>
      </c>
      <c r="M204" s="12">
        <v>2</v>
      </c>
      <c r="N204" s="197">
        <f t="shared" si="28"/>
        <v>44160</v>
      </c>
      <c r="O204" s="197">
        <f t="shared" si="29"/>
        <v>44136</v>
      </c>
      <c r="P204" s="384">
        <f t="shared" si="30"/>
        <v>2</v>
      </c>
      <c r="Q204" s="384">
        <f t="shared" si="31"/>
        <v>1132</v>
      </c>
      <c r="R204" s="12">
        <f t="shared" si="32"/>
        <v>673</v>
      </c>
      <c r="S204" s="12"/>
      <c r="T204" s="12"/>
      <c r="U204" s="384"/>
      <c r="V204" s="12"/>
      <c r="W204" s="12"/>
      <c r="X204" s="12"/>
      <c r="Y204" s="12"/>
      <c r="Z204" s="12"/>
      <c r="AA204" s="12"/>
      <c r="AB204" s="12"/>
      <c r="AD204" s="31"/>
      <c r="AE204" s="12"/>
      <c r="AF204" s="197"/>
      <c r="AG204" s="197"/>
      <c r="AH204" s="197"/>
      <c r="AI204" s="197"/>
      <c r="AJ204" s="12"/>
      <c r="AK204" s="12"/>
      <c r="AL204" s="12"/>
      <c r="AM204" s="12"/>
      <c r="AN204" s="12"/>
      <c r="AO204" s="12"/>
      <c r="AP204" s="12"/>
      <c r="AQ204" s="12"/>
      <c r="AR204" s="12"/>
      <c r="AS204" s="12"/>
      <c r="AT204" s="12"/>
    </row>
    <row r="205" spans="1:46" x14ac:dyDescent="0.25">
      <c r="A205" s="12"/>
      <c r="B205" s="12"/>
      <c r="C205" s="12"/>
      <c r="D205" s="12"/>
      <c r="E205" s="12"/>
      <c r="F205" s="12"/>
      <c r="G205" s="12"/>
      <c r="H205" s="12"/>
      <c r="I205" s="21" t="str">
        <f>IF(COUNTA('[1]Virus production'!A192)=1,('[1]Virus production'!A192),"")</f>
        <v>AAV195</v>
      </c>
      <c r="J205" s="12"/>
      <c r="L205" s="31">
        <v>44167</v>
      </c>
      <c r="M205" s="12">
        <v>4</v>
      </c>
      <c r="N205" s="197">
        <f t="shared" si="28"/>
        <v>44167</v>
      </c>
      <c r="O205" s="197">
        <f t="shared" si="29"/>
        <v>44166</v>
      </c>
      <c r="P205" s="384">
        <f t="shared" si="30"/>
        <v>4</v>
      </c>
      <c r="Q205" s="384">
        <f t="shared" si="31"/>
        <v>1139</v>
      </c>
      <c r="R205" s="12">
        <f t="shared" si="32"/>
        <v>677</v>
      </c>
      <c r="S205" s="12"/>
      <c r="T205" s="12"/>
      <c r="U205" s="384"/>
      <c r="V205" s="12"/>
      <c r="W205" s="12"/>
      <c r="X205" s="12"/>
      <c r="Y205" s="12"/>
      <c r="Z205" s="12"/>
      <c r="AA205" s="12"/>
      <c r="AB205" s="12"/>
      <c r="AD205" s="31"/>
      <c r="AE205" s="12"/>
      <c r="AF205" s="197"/>
      <c r="AG205" s="197"/>
      <c r="AH205" s="197"/>
      <c r="AI205" s="197"/>
      <c r="AJ205" s="12"/>
      <c r="AK205" s="12"/>
      <c r="AL205" s="12"/>
      <c r="AM205" s="12"/>
      <c r="AN205" s="12"/>
      <c r="AO205" s="12"/>
      <c r="AP205" s="12"/>
      <c r="AQ205" s="12"/>
      <c r="AR205" s="12"/>
      <c r="AS205" s="12"/>
      <c r="AT205" s="12"/>
    </row>
    <row r="206" spans="1:46" x14ac:dyDescent="0.25">
      <c r="A206" s="12"/>
      <c r="B206" s="12"/>
      <c r="C206" s="12"/>
      <c r="D206" s="12"/>
      <c r="E206" s="12"/>
      <c r="F206" s="12"/>
      <c r="G206" s="12"/>
      <c r="H206" s="12"/>
      <c r="I206" s="21" t="str">
        <f>IF(COUNTA('[1]Virus production'!A193)=1,('[1]Virus production'!A193),"")</f>
        <v>AAV196</v>
      </c>
      <c r="J206" s="12"/>
      <c r="L206" s="31">
        <v>44168</v>
      </c>
      <c r="M206" s="12">
        <v>1</v>
      </c>
      <c r="N206" s="197">
        <f t="shared" si="28"/>
        <v>44168</v>
      </c>
      <c r="O206" s="197">
        <f t="shared" si="29"/>
        <v>44166</v>
      </c>
      <c r="P206" s="384">
        <f t="shared" si="30"/>
        <v>1</v>
      </c>
      <c r="Q206" s="384">
        <f t="shared" si="31"/>
        <v>1140</v>
      </c>
      <c r="R206" s="12">
        <f t="shared" si="32"/>
        <v>678</v>
      </c>
      <c r="S206" s="12"/>
      <c r="T206" s="12"/>
      <c r="U206" s="384"/>
      <c r="V206" s="12"/>
      <c r="W206" s="12"/>
      <c r="X206" s="12"/>
      <c r="Y206" s="12"/>
      <c r="Z206" s="12"/>
      <c r="AA206" s="12"/>
      <c r="AB206" s="12"/>
      <c r="AD206" s="31"/>
      <c r="AE206" s="12"/>
      <c r="AF206" s="197"/>
      <c r="AG206" s="197"/>
      <c r="AH206" s="197"/>
      <c r="AI206" s="197"/>
      <c r="AJ206" s="12"/>
      <c r="AK206" s="12"/>
      <c r="AL206" s="12"/>
      <c r="AM206" s="12"/>
      <c r="AN206" s="12"/>
      <c r="AO206" s="12"/>
      <c r="AP206" s="12"/>
      <c r="AQ206" s="12"/>
      <c r="AR206" s="12"/>
      <c r="AS206" s="12"/>
      <c r="AT206" s="12"/>
    </row>
    <row r="207" spans="1:46" x14ac:dyDescent="0.25">
      <c r="A207" s="12"/>
      <c r="B207" s="12"/>
      <c r="C207" s="12"/>
      <c r="D207" s="12"/>
      <c r="E207" s="12"/>
      <c r="F207" s="12"/>
      <c r="G207" s="12"/>
      <c r="H207" s="12"/>
      <c r="I207" s="21" t="str">
        <f>IF(COUNTA('[1]Virus production'!A194)=1,('[1]Virus production'!A194),"")</f>
        <v>AAV197</v>
      </c>
      <c r="J207" s="12"/>
      <c r="L207" s="31">
        <v>44178</v>
      </c>
      <c r="M207" s="12">
        <v>2</v>
      </c>
      <c r="N207" s="197">
        <f t="shared" si="28"/>
        <v>44178</v>
      </c>
      <c r="O207" s="197">
        <f t="shared" si="29"/>
        <v>44166</v>
      </c>
      <c r="P207" s="384">
        <f t="shared" si="30"/>
        <v>2</v>
      </c>
      <c r="Q207" s="384">
        <f t="shared" si="31"/>
        <v>1150</v>
      </c>
      <c r="R207" s="12">
        <f t="shared" si="32"/>
        <v>680</v>
      </c>
      <c r="S207" s="12"/>
      <c r="T207" s="12"/>
      <c r="U207" s="384"/>
      <c r="V207" s="12"/>
      <c r="W207" s="12"/>
      <c r="X207" s="12"/>
      <c r="Y207" s="12"/>
      <c r="Z207" s="12"/>
      <c r="AA207" s="12"/>
      <c r="AB207" s="12"/>
      <c r="AD207" s="31"/>
      <c r="AE207" s="12"/>
      <c r="AF207" s="197"/>
      <c r="AG207" s="197"/>
      <c r="AH207" s="197"/>
      <c r="AI207" s="197"/>
      <c r="AJ207" s="12"/>
      <c r="AK207" s="12"/>
      <c r="AL207" s="12"/>
      <c r="AM207" s="12"/>
      <c r="AN207" s="12"/>
      <c r="AO207" s="12"/>
      <c r="AP207" s="12"/>
      <c r="AQ207" s="12"/>
      <c r="AR207" s="12"/>
      <c r="AS207" s="12"/>
      <c r="AT207" s="12"/>
    </row>
    <row r="208" spans="1:46" x14ac:dyDescent="0.25">
      <c r="A208" s="12"/>
      <c r="B208" s="12"/>
      <c r="C208" s="12"/>
      <c r="D208" s="12"/>
      <c r="E208" s="12"/>
      <c r="F208" s="12"/>
      <c r="G208" s="12"/>
      <c r="H208" s="12"/>
      <c r="I208" s="21" t="str">
        <f>IF(COUNTA('[1]Virus production'!A195)=1,('[1]Virus production'!A195),"")</f>
        <v>AAV198</v>
      </c>
      <c r="J208" s="12"/>
      <c r="L208" s="31">
        <v>44179</v>
      </c>
      <c r="M208" s="12">
        <v>3</v>
      </c>
      <c r="N208" s="197">
        <f t="shared" si="28"/>
        <v>44179</v>
      </c>
      <c r="O208" s="197">
        <f t="shared" si="29"/>
        <v>44166</v>
      </c>
      <c r="P208" s="384">
        <f t="shared" si="30"/>
        <v>3</v>
      </c>
      <c r="Q208" s="384">
        <f t="shared" si="31"/>
        <v>1151</v>
      </c>
      <c r="R208" s="12">
        <f t="shared" si="32"/>
        <v>683</v>
      </c>
      <c r="S208" s="12"/>
      <c r="T208" s="12"/>
      <c r="U208" s="384"/>
      <c r="V208" s="12"/>
      <c r="W208" s="12"/>
      <c r="X208" s="12"/>
      <c r="Y208" s="12"/>
      <c r="Z208" s="12"/>
      <c r="AA208" s="12"/>
      <c r="AB208" s="12"/>
      <c r="AD208" s="31"/>
      <c r="AE208" s="12"/>
      <c r="AF208" s="197"/>
      <c r="AG208" s="197"/>
      <c r="AH208" s="197"/>
      <c r="AI208" s="197"/>
      <c r="AJ208" s="12"/>
      <c r="AK208" s="12"/>
      <c r="AL208" s="12"/>
      <c r="AM208" s="12"/>
      <c r="AN208" s="12"/>
      <c r="AO208" s="12"/>
      <c r="AP208" s="12"/>
      <c r="AQ208" s="12"/>
      <c r="AR208" s="12"/>
      <c r="AS208" s="12"/>
      <c r="AT208" s="12"/>
    </row>
    <row r="209" spans="1:46" x14ac:dyDescent="0.25">
      <c r="A209" s="12"/>
      <c r="B209" s="12"/>
      <c r="C209" s="12"/>
      <c r="D209" s="12"/>
      <c r="E209" s="12"/>
      <c r="F209" s="12"/>
      <c r="G209" s="12"/>
      <c r="H209" s="12"/>
      <c r="I209" s="21" t="str">
        <f>IF(COUNTA('[1]Virus production'!A196)=1,('[1]Virus production'!A196),"")</f>
        <v>AAV199</v>
      </c>
      <c r="J209" s="12"/>
      <c r="L209" s="31">
        <v>44180</v>
      </c>
      <c r="M209" s="12">
        <v>5</v>
      </c>
      <c r="N209" s="197">
        <f t="shared" si="28"/>
        <v>44180</v>
      </c>
      <c r="O209" s="197">
        <f t="shared" si="29"/>
        <v>44166</v>
      </c>
      <c r="P209" s="384">
        <f t="shared" si="30"/>
        <v>5</v>
      </c>
      <c r="Q209" s="384">
        <f t="shared" si="31"/>
        <v>1152</v>
      </c>
      <c r="R209" s="12">
        <f t="shared" si="32"/>
        <v>688</v>
      </c>
      <c r="S209" s="12"/>
      <c r="T209" s="12"/>
      <c r="U209" s="384"/>
      <c r="V209" s="12"/>
      <c r="W209" s="12"/>
      <c r="X209" s="12"/>
      <c r="Y209" s="12"/>
      <c r="Z209" s="12"/>
      <c r="AA209" s="12"/>
      <c r="AB209" s="12"/>
      <c r="AD209" s="31"/>
      <c r="AE209" s="12"/>
      <c r="AF209" s="197"/>
      <c r="AG209" s="197"/>
      <c r="AH209" s="197"/>
      <c r="AI209" s="197"/>
      <c r="AJ209" s="12"/>
      <c r="AK209" s="12"/>
      <c r="AL209" s="12"/>
      <c r="AM209" s="12"/>
      <c r="AN209" s="12"/>
      <c r="AO209" s="12"/>
      <c r="AP209" s="12"/>
      <c r="AQ209" s="12"/>
      <c r="AR209" s="12"/>
      <c r="AS209" s="12"/>
      <c r="AT209" s="12"/>
    </row>
    <row r="210" spans="1:46" x14ac:dyDescent="0.25">
      <c r="A210" s="12"/>
      <c r="B210" s="12"/>
      <c r="C210" s="12"/>
      <c r="D210" s="12"/>
      <c r="E210" s="12"/>
      <c r="F210" s="12"/>
      <c r="G210" s="12"/>
      <c r="H210" s="12"/>
      <c r="I210" s="21" t="str">
        <f>IF(COUNTA('[1]Virus production'!A197)=1,('[1]Virus production'!A197),"")</f>
        <v>AAV200</v>
      </c>
      <c r="J210" s="12"/>
      <c r="L210" s="31">
        <v>44218</v>
      </c>
      <c r="M210" s="12">
        <v>2</v>
      </c>
      <c r="N210" s="197">
        <f t="shared" si="28"/>
        <v>44218</v>
      </c>
      <c r="O210" s="197">
        <f t="shared" si="29"/>
        <v>44197</v>
      </c>
      <c r="P210" s="384">
        <f t="shared" si="30"/>
        <v>2</v>
      </c>
      <c r="Q210" s="384">
        <f t="shared" si="31"/>
        <v>1190</v>
      </c>
      <c r="R210" s="12">
        <f t="shared" si="32"/>
        <v>690</v>
      </c>
      <c r="S210" s="12"/>
      <c r="T210" s="12"/>
      <c r="U210" s="384"/>
      <c r="V210" s="12"/>
      <c r="W210" s="12"/>
      <c r="X210" s="12"/>
      <c r="Y210" s="12"/>
      <c r="Z210" s="12"/>
      <c r="AA210" s="12"/>
      <c r="AB210" s="12"/>
      <c r="AD210" s="31"/>
      <c r="AE210" s="12"/>
      <c r="AF210" s="197"/>
      <c r="AG210" s="197"/>
      <c r="AH210" s="197"/>
      <c r="AI210" s="197"/>
      <c r="AJ210" s="12"/>
      <c r="AK210" s="12"/>
      <c r="AL210" s="12"/>
      <c r="AM210" s="12"/>
      <c r="AN210" s="12"/>
      <c r="AO210" s="12"/>
      <c r="AP210" s="12"/>
      <c r="AQ210" s="12"/>
      <c r="AR210" s="12"/>
      <c r="AS210" s="12"/>
      <c r="AT210" s="12"/>
    </row>
    <row r="211" spans="1:46" x14ac:dyDescent="0.25">
      <c r="A211" s="12"/>
      <c r="B211" s="12"/>
      <c r="C211" s="12"/>
      <c r="D211" s="12"/>
      <c r="E211" s="12"/>
      <c r="F211" s="12"/>
      <c r="G211" s="12"/>
      <c r="H211" s="12"/>
      <c r="I211" s="21" t="str">
        <f>IF(COUNTA('[1]Virus production'!A198)=1,('[1]Virus production'!A198),"")</f>
        <v/>
      </c>
      <c r="J211" s="12"/>
      <c r="L211" s="31">
        <v>44222</v>
      </c>
      <c r="M211" s="12">
        <v>6</v>
      </c>
      <c r="N211" s="197">
        <f t="shared" si="28"/>
        <v>44222</v>
      </c>
      <c r="O211" s="197">
        <f t="shared" si="29"/>
        <v>44197</v>
      </c>
      <c r="P211" s="384">
        <f t="shared" si="30"/>
        <v>6</v>
      </c>
      <c r="Q211" s="384">
        <f t="shared" si="31"/>
        <v>1194</v>
      </c>
      <c r="R211" s="12">
        <f t="shared" si="32"/>
        <v>696</v>
      </c>
      <c r="S211" s="12"/>
      <c r="T211" s="12"/>
      <c r="U211" s="384"/>
      <c r="V211" s="12"/>
      <c r="W211" s="12"/>
      <c r="X211" s="12"/>
      <c r="Y211" s="12"/>
      <c r="Z211" s="12"/>
      <c r="AA211" s="12"/>
      <c r="AB211" s="12"/>
      <c r="AD211" s="31"/>
      <c r="AE211" s="12"/>
      <c r="AF211" s="197"/>
      <c r="AG211" s="197"/>
      <c r="AH211" s="197"/>
      <c r="AI211" s="197"/>
      <c r="AJ211" s="12"/>
      <c r="AK211" s="12"/>
      <c r="AL211" s="12"/>
      <c r="AM211" s="12"/>
      <c r="AN211" s="12"/>
      <c r="AO211" s="12"/>
      <c r="AP211" s="12"/>
      <c r="AQ211" s="12"/>
      <c r="AR211" s="12"/>
      <c r="AS211" s="12"/>
      <c r="AT211" s="12"/>
    </row>
    <row r="212" spans="1:46" x14ac:dyDescent="0.25">
      <c r="A212" s="12"/>
      <c r="B212" s="12"/>
      <c r="C212" s="12"/>
      <c r="D212" s="12"/>
      <c r="E212" s="12"/>
      <c r="F212" s="12"/>
      <c r="G212" s="12"/>
      <c r="H212" s="12"/>
      <c r="I212" s="21" t="str">
        <f>IF(COUNTA('[1]Virus production'!A199)=1,('[1]Virus production'!A199),"")</f>
        <v>AAV201</v>
      </c>
      <c r="J212" s="12"/>
      <c r="L212" s="31">
        <v>44225</v>
      </c>
      <c r="M212" s="12">
        <v>3</v>
      </c>
      <c r="N212" s="197">
        <f t="shared" si="28"/>
        <v>44225</v>
      </c>
      <c r="O212" s="197">
        <f t="shared" si="29"/>
        <v>44197</v>
      </c>
      <c r="P212" s="384">
        <f t="shared" si="30"/>
        <v>3</v>
      </c>
      <c r="Q212" s="384">
        <f t="shared" si="31"/>
        <v>1197</v>
      </c>
      <c r="R212" s="12">
        <f t="shared" si="32"/>
        <v>699</v>
      </c>
      <c r="S212" s="12"/>
      <c r="T212" s="12"/>
      <c r="U212" s="384"/>
      <c r="V212" s="12"/>
      <c r="W212" s="12"/>
      <c r="X212" s="12"/>
      <c r="Y212" s="12"/>
      <c r="Z212" s="12"/>
      <c r="AA212" s="12"/>
      <c r="AB212" s="12"/>
      <c r="AD212" s="31"/>
      <c r="AE212" s="12"/>
      <c r="AF212" s="197"/>
      <c r="AG212" s="197"/>
      <c r="AH212" s="197"/>
      <c r="AI212" s="197"/>
      <c r="AJ212" s="12"/>
      <c r="AK212" s="12"/>
      <c r="AL212" s="12"/>
      <c r="AM212" s="12"/>
      <c r="AN212" s="12"/>
      <c r="AO212" s="12"/>
      <c r="AP212" s="12"/>
      <c r="AQ212" s="12"/>
      <c r="AR212" s="12"/>
      <c r="AS212" s="12"/>
      <c r="AT212" s="12"/>
    </row>
    <row r="213" spans="1:46" x14ac:dyDescent="0.25">
      <c r="A213" s="12"/>
      <c r="B213" s="12"/>
      <c r="C213" s="12"/>
      <c r="D213" s="12"/>
      <c r="E213" s="12"/>
      <c r="F213" s="12"/>
      <c r="G213" s="12"/>
      <c r="H213" s="12"/>
      <c r="I213" s="21" t="str">
        <f>IF(COUNTA('[1]Virus production'!A200)=1,('[1]Virus production'!A200),"")</f>
        <v>AAV202</v>
      </c>
      <c r="J213" s="12"/>
      <c r="L213" s="31">
        <v>44230</v>
      </c>
      <c r="M213" s="12">
        <v>2</v>
      </c>
      <c r="N213" s="197">
        <f t="shared" si="28"/>
        <v>44230</v>
      </c>
      <c r="O213" s="197">
        <f t="shared" si="29"/>
        <v>44228</v>
      </c>
      <c r="P213" s="384">
        <f t="shared" si="30"/>
        <v>2</v>
      </c>
      <c r="Q213" s="384">
        <f t="shared" si="31"/>
        <v>1202</v>
      </c>
      <c r="R213" s="12">
        <f t="shared" si="32"/>
        <v>701</v>
      </c>
      <c r="S213" s="12"/>
      <c r="T213" s="12"/>
      <c r="U213" s="384"/>
      <c r="V213" s="12"/>
      <c r="W213" s="12"/>
      <c r="X213" s="12"/>
      <c r="Y213" s="12"/>
      <c r="Z213" s="12"/>
      <c r="AA213" s="12"/>
      <c r="AB213" s="12"/>
      <c r="AD213" s="31"/>
      <c r="AE213" s="12"/>
      <c r="AF213" s="197"/>
      <c r="AG213" s="197"/>
      <c r="AH213" s="197"/>
      <c r="AI213" s="197"/>
      <c r="AJ213" s="12"/>
      <c r="AK213" s="12"/>
      <c r="AL213" s="12"/>
      <c r="AM213" s="12"/>
      <c r="AN213" s="12"/>
      <c r="AO213" s="12"/>
      <c r="AP213" s="12"/>
      <c r="AQ213" s="12"/>
      <c r="AR213" s="12"/>
      <c r="AS213" s="12"/>
      <c r="AT213" s="12"/>
    </row>
    <row r="214" spans="1:46" x14ac:dyDescent="0.25">
      <c r="A214" s="12"/>
      <c r="B214" s="12"/>
      <c r="C214" s="12"/>
      <c r="D214" s="12"/>
      <c r="E214" s="12"/>
      <c r="F214" s="12"/>
      <c r="G214" s="12"/>
      <c r="H214" s="12"/>
      <c r="I214" s="21" t="str">
        <f>IF(COUNTA('[1]Virus production'!A201)=1,('[1]Virus production'!A201),"")</f>
        <v>AAV203</v>
      </c>
      <c r="J214" s="12"/>
      <c r="L214" s="31">
        <v>44232</v>
      </c>
      <c r="M214" s="12">
        <v>4</v>
      </c>
      <c r="N214" s="197">
        <f t="shared" si="28"/>
        <v>44232</v>
      </c>
      <c r="O214" s="197">
        <f t="shared" si="29"/>
        <v>44228</v>
      </c>
      <c r="P214" s="384">
        <f t="shared" si="30"/>
        <v>4</v>
      </c>
      <c r="Q214" s="384">
        <f t="shared" si="31"/>
        <v>1204</v>
      </c>
      <c r="R214" s="12">
        <f t="shared" si="32"/>
        <v>705</v>
      </c>
      <c r="S214" s="12"/>
      <c r="T214" s="12"/>
      <c r="U214" s="384"/>
      <c r="V214" s="12"/>
      <c r="W214" s="12"/>
      <c r="X214" s="12"/>
      <c r="Y214" s="12"/>
      <c r="Z214" s="12"/>
      <c r="AA214" s="12"/>
      <c r="AB214" s="12"/>
      <c r="AD214" s="31"/>
      <c r="AE214" s="12"/>
      <c r="AF214" s="197"/>
      <c r="AG214" s="197"/>
      <c r="AH214" s="197"/>
      <c r="AI214" s="197"/>
      <c r="AJ214" s="12"/>
      <c r="AK214" s="12"/>
      <c r="AL214" s="12"/>
      <c r="AM214" s="12"/>
      <c r="AN214" s="12"/>
      <c r="AO214" s="12"/>
      <c r="AP214" s="12"/>
      <c r="AQ214" s="12"/>
      <c r="AR214" s="12"/>
      <c r="AS214" s="12"/>
      <c r="AT214" s="12"/>
    </row>
    <row r="215" spans="1:46" x14ac:dyDescent="0.25">
      <c r="A215" s="12"/>
      <c r="B215" s="12"/>
      <c r="C215" s="12"/>
      <c r="D215" s="12"/>
      <c r="E215" s="12"/>
      <c r="F215" s="12"/>
      <c r="G215" s="12"/>
      <c r="H215" s="12"/>
      <c r="I215" s="21" t="str">
        <f>IF(COUNTA('[1]Virus production'!A202)=1,('[1]Virus production'!A202),"")</f>
        <v>AAV204</v>
      </c>
      <c r="J215" s="12"/>
      <c r="L215" s="31">
        <v>44235</v>
      </c>
      <c r="M215" s="12">
        <v>4</v>
      </c>
      <c r="N215" s="197">
        <f t="shared" si="28"/>
        <v>44235</v>
      </c>
      <c r="O215" s="197">
        <f t="shared" si="29"/>
        <v>44228</v>
      </c>
      <c r="P215" s="384">
        <f t="shared" si="30"/>
        <v>4</v>
      </c>
      <c r="Q215" s="384">
        <f t="shared" si="31"/>
        <v>1207</v>
      </c>
      <c r="R215" s="12">
        <f t="shared" si="32"/>
        <v>709</v>
      </c>
      <c r="S215" s="12"/>
      <c r="T215" s="12"/>
      <c r="U215" s="384"/>
      <c r="V215" s="12"/>
      <c r="W215" s="12"/>
      <c r="X215" s="12"/>
      <c r="Y215" s="12"/>
      <c r="Z215" s="12"/>
      <c r="AA215" s="12"/>
      <c r="AB215" s="12"/>
      <c r="AD215" s="31"/>
      <c r="AE215" s="12"/>
      <c r="AF215" s="197"/>
      <c r="AG215" s="197"/>
      <c r="AH215" s="197"/>
      <c r="AI215" s="197"/>
      <c r="AJ215" s="12"/>
      <c r="AK215" s="12"/>
      <c r="AL215" s="12"/>
      <c r="AM215" s="12"/>
      <c r="AN215" s="12"/>
      <c r="AO215" s="12"/>
      <c r="AP215" s="12"/>
      <c r="AQ215" s="12"/>
      <c r="AR215" s="12"/>
      <c r="AS215" s="12"/>
      <c r="AT215" s="12"/>
    </row>
    <row r="216" spans="1:46" x14ac:dyDescent="0.25">
      <c r="A216" s="12"/>
      <c r="B216" s="12"/>
      <c r="C216" s="12"/>
      <c r="D216" s="12"/>
      <c r="E216" s="12"/>
      <c r="F216" s="12"/>
      <c r="G216" s="12"/>
      <c r="H216" s="12"/>
      <c r="I216" s="21" t="str">
        <f>IF(COUNTA('[1]Virus production'!A203)=1,('[1]Virus production'!A203),"")</f>
        <v>AAV205</v>
      </c>
      <c r="J216" s="12"/>
      <c r="L216" s="31">
        <v>44236</v>
      </c>
      <c r="M216" s="12">
        <v>3</v>
      </c>
      <c r="N216" s="197">
        <f t="shared" si="28"/>
        <v>44236</v>
      </c>
      <c r="O216" s="197">
        <f t="shared" si="29"/>
        <v>44228</v>
      </c>
      <c r="P216" s="384">
        <f t="shared" si="30"/>
        <v>3</v>
      </c>
      <c r="Q216" s="384">
        <f t="shared" si="31"/>
        <v>1208</v>
      </c>
      <c r="R216" s="12">
        <f t="shared" si="32"/>
        <v>712</v>
      </c>
      <c r="S216" s="12"/>
      <c r="T216" s="12"/>
      <c r="U216" s="384"/>
      <c r="V216" s="12"/>
      <c r="W216" s="12"/>
      <c r="X216" s="12"/>
      <c r="Y216" s="12"/>
      <c r="Z216" s="12"/>
      <c r="AA216" s="12"/>
      <c r="AB216" s="12"/>
      <c r="AD216" s="31"/>
      <c r="AE216" s="12"/>
      <c r="AF216" s="197"/>
      <c r="AG216" s="197"/>
      <c r="AH216" s="197"/>
      <c r="AI216" s="197"/>
      <c r="AJ216" s="12"/>
      <c r="AK216" s="12"/>
      <c r="AL216" s="12"/>
      <c r="AM216" s="12"/>
      <c r="AN216" s="12"/>
      <c r="AO216" s="12"/>
      <c r="AP216" s="12"/>
      <c r="AQ216" s="12"/>
      <c r="AR216" s="12"/>
      <c r="AS216" s="12"/>
      <c r="AT216" s="12"/>
    </row>
    <row r="217" spans="1:46" x14ac:dyDescent="0.25">
      <c r="A217" s="12"/>
      <c r="B217" s="12"/>
      <c r="C217" s="12"/>
      <c r="D217" s="12"/>
      <c r="E217" s="12"/>
      <c r="F217" s="12"/>
      <c r="G217" s="12"/>
      <c r="H217" s="12"/>
      <c r="I217" s="21" t="str">
        <f>IF(COUNTA('[1]Virus production'!A204)=1,('[1]Virus production'!A204),"")</f>
        <v>AAV206</v>
      </c>
      <c r="J217" s="12"/>
      <c r="L217" s="31">
        <v>44239</v>
      </c>
      <c r="M217" s="12">
        <v>2</v>
      </c>
      <c r="N217" s="197">
        <f t="shared" si="28"/>
        <v>44239</v>
      </c>
      <c r="O217" s="197">
        <f t="shared" si="29"/>
        <v>44228</v>
      </c>
      <c r="P217" s="384">
        <f t="shared" si="30"/>
        <v>2</v>
      </c>
      <c r="Q217" s="384">
        <f t="shared" si="31"/>
        <v>1211</v>
      </c>
      <c r="R217" s="12">
        <f t="shared" si="32"/>
        <v>714</v>
      </c>
      <c r="S217" s="12"/>
      <c r="T217" s="12"/>
      <c r="U217" s="384"/>
      <c r="V217" s="12"/>
      <c r="W217" s="12"/>
      <c r="X217" s="12"/>
      <c r="Y217" s="12"/>
      <c r="Z217" s="12"/>
      <c r="AA217" s="12"/>
      <c r="AB217" s="12"/>
      <c r="AD217" s="31"/>
      <c r="AE217" s="12"/>
      <c r="AF217" s="197"/>
      <c r="AG217" s="197"/>
      <c r="AH217" s="197"/>
      <c r="AI217" s="197"/>
      <c r="AJ217" s="12"/>
      <c r="AK217" s="12"/>
      <c r="AL217" s="12"/>
      <c r="AM217" s="12"/>
      <c r="AN217" s="12"/>
      <c r="AO217" s="12"/>
      <c r="AP217" s="12"/>
      <c r="AQ217" s="12"/>
      <c r="AR217" s="12"/>
      <c r="AS217" s="12"/>
      <c r="AT217" s="12"/>
    </row>
    <row r="218" spans="1:46" x14ac:dyDescent="0.25">
      <c r="A218" s="12"/>
      <c r="B218" s="12"/>
      <c r="C218" s="12"/>
      <c r="D218" s="12"/>
      <c r="E218" s="12"/>
      <c r="F218" s="12"/>
      <c r="G218" s="12"/>
      <c r="H218" s="12"/>
      <c r="I218" s="21" t="str">
        <f>IF(COUNTA('[1]Virus production'!A205)=1,('[1]Virus production'!A205),"")</f>
        <v>206_SN</v>
      </c>
      <c r="J218" s="12"/>
      <c r="L218" s="31">
        <v>44246</v>
      </c>
      <c r="M218" s="12">
        <v>3</v>
      </c>
      <c r="N218" s="197">
        <f t="shared" si="28"/>
        <v>44246</v>
      </c>
      <c r="O218" s="197">
        <f t="shared" si="29"/>
        <v>44228</v>
      </c>
      <c r="P218" s="384">
        <f t="shared" si="30"/>
        <v>3</v>
      </c>
      <c r="Q218" s="384">
        <f t="shared" si="31"/>
        <v>1218</v>
      </c>
      <c r="R218" s="12">
        <f t="shared" si="32"/>
        <v>717</v>
      </c>
      <c r="S218" s="12"/>
      <c r="T218" s="12"/>
      <c r="U218" s="384"/>
      <c r="V218" s="12"/>
      <c r="W218" s="12"/>
      <c r="X218" s="12"/>
      <c r="Y218" s="12"/>
      <c r="Z218" s="12"/>
      <c r="AA218" s="12"/>
      <c r="AB218" s="12"/>
      <c r="AD218" s="31"/>
      <c r="AE218" s="12"/>
      <c r="AF218" s="197"/>
      <c r="AG218" s="197"/>
      <c r="AH218" s="197"/>
      <c r="AI218" s="197"/>
      <c r="AJ218" s="12"/>
      <c r="AK218" s="12"/>
      <c r="AL218" s="12"/>
      <c r="AM218" s="12"/>
      <c r="AN218" s="12"/>
      <c r="AO218" s="12"/>
      <c r="AP218" s="12"/>
      <c r="AQ218" s="12"/>
      <c r="AR218" s="12"/>
      <c r="AS218" s="12"/>
      <c r="AT218" s="12"/>
    </row>
    <row r="219" spans="1:46" x14ac:dyDescent="0.25">
      <c r="A219" s="12"/>
      <c r="B219" s="12"/>
      <c r="C219" s="12"/>
      <c r="D219" s="12"/>
      <c r="E219" s="12"/>
      <c r="F219" s="12"/>
      <c r="G219" s="12"/>
      <c r="H219" s="12"/>
      <c r="I219" s="21" t="str">
        <f>IF(COUNTA('[1]Virus production'!A206)=1,('[1]Virus production'!A206),"")</f>
        <v>AAV207</v>
      </c>
      <c r="J219" s="12"/>
      <c r="L219" s="31">
        <v>44257</v>
      </c>
      <c r="M219" s="12">
        <v>5</v>
      </c>
      <c r="N219" s="197">
        <f t="shared" si="28"/>
        <v>44257</v>
      </c>
      <c r="O219" s="197">
        <f t="shared" si="29"/>
        <v>44256</v>
      </c>
      <c r="P219" s="384">
        <f t="shared" si="30"/>
        <v>5</v>
      </c>
      <c r="Q219" s="384">
        <f t="shared" si="31"/>
        <v>1229</v>
      </c>
      <c r="R219" s="12">
        <f t="shared" si="32"/>
        <v>722</v>
      </c>
      <c r="S219" s="12"/>
      <c r="T219" s="12"/>
      <c r="U219" s="384"/>
      <c r="V219" s="12"/>
      <c r="W219" s="12"/>
      <c r="X219" s="12"/>
      <c r="Y219" s="12"/>
      <c r="Z219" s="12"/>
      <c r="AA219" s="12"/>
      <c r="AB219" s="12"/>
      <c r="AD219" s="31"/>
      <c r="AE219" s="12"/>
      <c r="AF219" s="197"/>
      <c r="AG219" s="197"/>
      <c r="AH219" s="197"/>
      <c r="AI219" s="197"/>
      <c r="AJ219" s="12"/>
      <c r="AK219" s="12"/>
      <c r="AL219" s="12"/>
      <c r="AM219" s="12"/>
      <c r="AN219" s="12"/>
      <c r="AO219" s="12"/>
      <c r="AP219" s="12"/>
      <c r="AQ219" s="12"/>
      <c r="AR219" s="12"/>
      <c r="AS219" s="12"/>
      <c r="AT219" s="12"/>
    </row>
    <row r="220" spans="1:46" x14ac:dyDescent="0.25">
      <c r="A220" s="12"/>
      <c r="B220" s="12"/>
      <c r="C220" s="12"/>
      <c r="D220" s="12"/>
      <c r="E220" s="12"/>
      <c r="F220" s="12"/>
      <c r="G220" s="12"/>
      <c r="H220" s="12"/>
      <c r="I220" s="21" t="str">
        <f>IF(COUNTA('[1]Virus production'!A207)=1,('[1]Virus production'!A207),"")</f>
        <v>207_SN</v>
      </c>
      <c r="J220" s="12"/>
      <c r="L220" s="31">
        <v>44260</v>
      </c>
      <c r="M220" s="12">
        <v>3</v>
      </c>
      <c r="N220" s="197">
        <f t="shared" si="28"/>
        <v>44260</v>
      </c>
      <c r="O220" s="197">
        <f t="shared" si="29"/>
        <v>44256</v>
      </c>
      <c r="P220" s="384">
        <f t="shared" si="30"/>
        <v>3</v>
      </c>
      <c r="Q220" s="384">
        <f t="shared" si="31"/>
        <v>1232</v>
      </c>
      <c r="R220" s="12">
        <f t="shared" si="32"/>
        <v>725</v>
      </c>
      <c r="S220" s="12"/>
      <c r="T220" s="12"/>
      <c r="U220" s="12"/>
      <c r="V220" s="12"/>
      <c r="W220" s="12"/>
      <c r="X220" s="12"/>
      <c r="Y220" s="12"/>
      <c r="Z220" s="12"/>
      <c r="AA220" s="12"/>
      <c r="AB220" s="12"/>
      <c r="AD220" s="31"/>
      <c r="AE220" s="12"/>
      <c r="AF220" s="197"/>
      <c r="AG220" s="197"/>
      <c r="AH220" s="197"/>
      <c r="AI220" s="197"/>
      <c r="AJ220" s="12"/>
      <c r="AK220" s="12"/>
      <c r="AL220" s="12"/>
      <c r="AM220" s="12"/>
      <c r="AN220" s="12"/>
      <c r="AO220" s="12"/>
      <c r="AP220" s="12"/>
      <c r="AQ220" s="12"/>
      <c r="AR220" s="12"/>
      <c r="AS220" s="12"/>
      <c r="AT220" s="12"/>
    </row>
    <row r="221" spans="1:46" x14ac:dyDescent="0.25">
      <c r="A221" s="12"/>
      <c r="B221" s="12"/>
      <c r="C221" s="12"/>
      <c r="D221" s="12"/>
      <c r="E221" s="12"/>
      <c r="F221" s="12"/>
      <c r="G221" s="12"/>
      <c r="H221" s="12"/>
      <c r="I221" s="21" t="str">
        <f>IF(COUNTA('[1]Virus production'!A208)=1,('[1]Virus production'!A208),"")</f>
        <v>AAV208</v>
      </c>
      <c r="J221" s="12"/>
      <c r="L221" s="31">
        <v>44274</v>
      </c>
      <c r="M221" s="12">
        <v>5</v>
      </c>
      <c r="N221" s="197">
        <f t="shared" si="28"/>
        <v>44274</v>
      </c>
      <c r="O221" s="197">
        <f t="shared" si="29"/>
        <v>44256</v>
      </c>
      <c r="P221" s="384">
        <f t="shared" si="30"/>
        <v>5</v>
      </c>
      <c r="Q221" s="384">
        <f t="shared" si="31"/>
        <v>1246</v>
      </c>
      <c r="R221" s="12">
        <f t="shared" si="32"/>
        <v>730</v>
      </c>
      <c r="S221" s="12"/>
      <c r="T221" s="12"/>
      <c r="U221" s="12"/>
      <c r="V221" s="12"/>
      <c r="W221" s="12"/>
      <c r="X221" s="12"/>
      <c r="Y221" s="12"/>
      <c r="Z221" s="12"/>
      <c r="AA221" s="12"/>
      <c r="AB221" s="12"/>
      <c r="AD221" s="31"/>
      <c r="AE221" s="12"/>
      <c r="AF221" s="197"/>
      <c r="AG221" s="197"/>
      <c r="AH221" s="197"/>
      <c r="AI221" s="197"/>
      <c r="AJ221" s="12"/>
      <c r="AK221" s="12"/>
      <c r="AL221" s="12"/>
      <c r="AM221" s="12"/>
      <c r="AN221" s="12"/>
      <c r="AO221" s="12"/>
      <c r="AP221" s="12"/>
      <c r="AQ221" s="12"/>
      <c r="AR221" s="12"/>
      <c r="AS221" s="12"/>
      <c r="AT221" s="12"/>
    </row>
    <row r="222" spans="1:46" x14ac:dyDescent="0.25">
      <c r="A222" s="12"/>
      <c r="B222" s="12"/>
      <c r="C222" s="12"/>
      <c r="D222" s="12"/>
      <c r="E222" s="12"/>
      <c r="F222" s="12"/>
      <c r="G222" s="12"/>
      <c r="H222" s="12"/>
      <c r="I222" s="21" t="str">
        <f>IF(COUNTA('[1]Virus production'!A209)=1,('[1]Virus production'!A209),"")</f>
        <v>208_SN</v>
      </c>
      <c r="J222" s="12"/>
      <c r="L222" s="31">
        <v>44299</v>
      </c>
      <c r="M222" s="12">
        <v>4</v>
      </c>
      <c r="N222" s="197">
        <f t="shared" si="28"/>
        <v>44299</v>
      </c>
      <c r="O222" s="197">
        <f t="shared" si="29"/>
        <v>44287</v>
      </c>
      <c r="P222" s="384">
        <f t="shared" si="30"/>
        <v>4</v>
      </c>
      <c r="Q222" s="384">
        <f t="shared" si="31"/>
        <v>1271</v>
      </c>
      <c r="R222" s="12">
        <f t="shared" si="32"/>
        <v>734</v>
      </c>
      <c r="S222" s="12"/>
      <c r="T222" s="12"/>
      <c r="U222" s="12"/>
      <c r="V222" s="12"/>
      <c r="W222" s="12"/>
      <c r="X222" s="12"/>
      <c r="Y222" s="12"/>
      <c r="Z222" s="12"/>
      <c r="AA222" s="12"/>
      <c r="AB222" s="12"/>
      <c r="AD222" s="31"/>
      <c r="AE222" s="12"/>
      <c r="AF222" s="197"/>
      <c r="AG222" s="197"/>
      <c r="AH222" s="197"/>
      <c r="AI222" s="197"/>
      <c r="AJ222" s="12"/>
      <c r="AK222" s="12"/>
      <c r="AL222" s="12"/>
      <c r="AM222" s="12"/>
      <c r="AN222" s="12"/>
      <c r="AO222" s="12"/>
      <c r="AP222" s="12"/>
      <c r="AQ222" s="12"/>
      <c r="AR222" s="12"/>
      <c r="AS222" s="12"/>
      <c r="AT222" s="12"/>
    </row>
    <row r="223" spans="1:46" x14ac:dyDescent="0.25">
      <c r="A223" s="12"/>
      <c r="B223" s="12"/>
      <c r="C223" s="12"/>
      <c r="D223" s="12"/>
      <c r="E223" s="12"/>
      <c r="F223" s="12"/>
      <c r="G223" s="12"/>
      <c r="H223" s="12"/>
      <c r="I223" s="21" t="str">
        <f>IF(COUNTA('[1]Virus production'!A210)=1,('[1]Virus production'!A210),"")</f>
        <v>AAV209</v>
      </c>
      <c r="J223" s="12"/>
      <c r="L223" s="31">
        <v>44329</v>
      </c>
      <c r="M223" s="12">
        <v>4</v>
      </c>
      <c r="N223" s="197">
        <f t="shared" si="28"/>
        <v>44329</v>
      </c>
      <c r="O223" s="197">
        <f t="shared" si="29"/>
        <v>44317</v>
      </c>
      <c r="P223" s="384">
        <f t="shared" si="30"/>
        <v>4</v>
      </c>
      <c r="Q223" s="384">
        <f t="shared" si="31"/>
        <v>1301</v>
      </c>
      <c r="R223" s="12">
        <f t="shared" si="32"/>
        <v>738</v>
      </c>
      <c r="S223" s="12"/>
      <c r="T223" s="12"/>
      <c r="U223" s="12"/>
      <c r="V223" s="12"/>
      <c r="W223" s="12"/>
      <c r="X223" s="12"/>
      <c r="Y223" s="12"/>
      <c r="Z223" s="12"/>
      <c r="AA223" s="12"/>
      <c r="AB223" s="12"/>
      <c r="AD223" s="31"/>
      <c r="AE223" s="12"/>
      <c r="AF223" s="197"/>
      <c r="AG223" s="197"/>
      <c r="AH223" s="197"/>
      <c r="AI223" s="197"/>
      <c r="AJ223" s="12"/>
      <c r="AK223" s="12"/>
      <c r="AL223" s="12"/>
      <c r="AM223" s="12"/>
      <c r="AN223" s="12"/>
      <c r="AO223" s="12"/>
      <c r="AP223" s="12"/>
      <c r="AQ223" s="12"/>
      <c r="AR223" s="12"/>
      <c r="AS223" s="12"/>
      <c r="AT223" s="12"/>
    </row>
    <row r="224" spans="1:46" x14ac:dyDescent="0.25">
      <c r="A224" s="12"/>
      <c r="B224" s="12"/>
      <c r="C224" s="12"/>
      <c r="D224" s="12"/>
      <c r="E224" s="12"/>
      <c r="F224" s="12"/>
      <c r="G224" s="12"/>
      <c r="H224" s="12"/>
      <c r="I224" s="21" t="str">
        <f>IF(COUNTA('[1]Virus production'!A211)=1,('[1]Virus production'!A211),"")</f>
        <v>AAV210</v>
      </c>
      <c r="J224" s="12"/>
      <c r="L224" s="31">
        <v>44337</v>
      </c>
      <c r="M224" s="12">
        <v>4</v>
      </c>
      <c r="N224" s="197">
        <f t="shared" si="28"/>
        <v>44337</v>
      </c>
      <c r="O224" s="197">
        <f t="shared" si="29"/>
        <v>44317</v>
      </c>
      <c r="P224" s="384">
        <f t="shared" si="30"/>
        <v>4</v>
      </c>
      <c r="Q224" s="384">
        <f t="shared" si="31"/>
        <v>1309</v>
      </c>
      <c r="R224" s="12">
        <f t="shared" si="32"/>
        <v>742</v>
      </c>
      <c r="S224" s="12"/>
      <c r="T224" s="12"/>
      <c r="U224" s="12"/>
      <c r="V224" s="12"/>
      <c r="W224" s="12"/>
      <c r="X224" s="12"/>
      <c r="Y224" s="12"/>
      <c r="Z224" s="12"/>
      <c r="AA224" s="12"/>
      <c r="AB224" s="12"/>
      <c r="AD224" s="31"/>
      <c r="AE224" s="12"/>
      <c r="AF224" s="197"/>
      <c r="AG224" s="197"/>
      <c r="AH224" s="197"/>
      <c r="AI224" s="197"/>
      <c r="AJ224" s="12"/>
      <c r="AK224" s="12"/>
      <c r="AL224" s="12"/>
      <c r="AM224" s="12"/>
      <c r="AN224" s="12"/>
      <c r="AO224" s="12"/>
      <c r="AP224" s="12"/>
      <c r="AQ224" s="12"/>
      <c r="AR224" s="12"/>
      <c r="AS224" s="12"/>
      <c r="AT224" s="12"/>
    </row>
    <row r="225" spans="1:46" x14ac:dyDescent="0.25">
      <c r="A225" s="12"/>
      <c r="B225" s="12"/>
      <c r="C225" s="12"/>
      <c r="D225" s="12"/>
      <c r="E225" s="12"/>
      <c r="F225" s="12"/>
      <c r="G225" s="12"/>
      <c r="H225" s="12"/>
      <c r="I225" s="21" t="str">
        <f>IF(COUNTA('[1]Virus production'!A212)=1,('[1]Virus production'!A212),"")</f>
        <v>AAV210_SN</v>
      </c>
      <c r="J225" s="12"/>
      <c r="L225" s="31">
        <v>44341</v>
      </c>
      <c r="M225" s="12">
        <v>4</v>
      </c>
      <c r="N225" s="197">
        <f t="shared" si="28"/>
        <v>44341</v>
      </c>
      <c r="O225" s="197">
        <f t="shared" si="29"/>
        <v>44317</v>
      </c>
      <c r="P225" s="384">
        <f t="shared" si="30"/>
        <v>4</v>
      </c>
      <c r="Q225" s="384">
        <f t="shared" si="31"/>
        <v>1313</v>
      </c>
      <c r="R225" s="12">
        <f t="shared" si="32"/>
        <v>746</v>
      </c>
      <c r="S225" s="12"/>
      <c r="T225" s="12"/>
      <c r="U225" s="12"/>
      <c r="V225" s="12"/>
      <c r="W225" s="12"/>
      <c r="X225" s="12"/>
      <c r="Y225" s="12"/>
      <c r="Z225" s="12"/>
      <c r="AA225" s="12"/>
      <c r="AB225" s="12"/>
      <c r="AD225" s="31"/>
      <c r="AE225" s="12"/>
      <c r="AF225" s="197"/>
      <c r="AG225" s="197"/>
      <c r="AH225" s="197"/>
      <c r="AI225" s="197"/>
      <c r="AJ225" s="12"/>
      <c r="AK225" s="12"/>
      <c r="AL225" s="12"/>
      <c r="AM225" s="12"/>
      <c r="AN225" s="12"/>
      <c r="AO225" s="12"/>
      <c r="AP225" s="12"/>
      <c r="AQ225" s="12"/>
      <c r="AR225" s="12"/>
      <c r="AS225" s="12"/>
      <c r="AT225" s="12"/>
    </row>
    <row r="226" spans="1:46" x14ac:dyDescent="0.25">
      <c r="A226" s="12"/>
      <c r="B226" s="12"/>
      <c r="C226" s="12"/>
      <c r="D226" s="12"/>
      <c r="E226" s="12"/>
      <c r="F226" s="12"/>
      <c r="G226" s="12"/>
      <c r="H226" s="12"/>
      <c r="I226" s="21" t="str">
        <f>IF(COUNTA('[1]Virus production'!A213)=1,('[1]Virus production'!A213),"")</f>
        <v>AAV211</v>
      </c>
      <c r="J226" s="12"/>
      <c r="L226" s="31">
        <v>44344</v>
      </c>
      <c r="M226" s="12">
        <v>2</v>
      </c>
      <c r="N226" s="197">
        <f t="shared" si="28"/>
        <v>44344</v>
      </c>
      <c r="O226" s="197">
        <f t="shared" si="29"/>
        <v>44317</v>
      </c>
      <c r="P226" s="384">
        <f t="shared" si="30"/>
        <v>2</v>
      </c>
      <c r="Q226" s="384">
        <f t="shared" si="31"/>
        <v>1316</v>
      </c>
      <c r="R226" s="12">
        <f t="shared" si="32"/>
        <v>748</v>
      </c>
      <c r="S226" s="12"/>
      <c r="T226" s="12"/>
      <c r="U226" s="12"/>
      <c r="V226" s="12"/>
      <c r="W226" s="12"/>
      <c r="X226" s="12"/>
      <c r="Y226" s="12"/>
      <c r="Z226" s="12"/>
      <c r="AA226" s="12"/>
      <c r="AB226" s="12"/>
      <c r="AD226" s="31"/>
      <c r="AE226" s="12"/>
      <c r="AF226" s="197"/>
      <c r="AG226" s="197"/>
      <c r="AH226" s="197"/>
      <c r="AI226" s="197"/>
      <c r="AJ226" s="12"/>
      <c r="AK226" s="12"/>
      <c r="AL226" s="12"/>
      <c r="AM226" s="12"/>
      <c r="AN226" s="12"/>
      <c r="AO226" s="12"/>
      <c r="AP226" s="12"/>
      <c r="AQ226" s="12"/>
      <c r="AR226" s="12"/>
      <c r="AS226" s="12"/>
      <c r="AT226" s="12"/>
    </row>
    <row r="227" spans="1:46" x14ac:dyDescent="0.25">
      <c r="A227" s="12"/>
      <c r="B227" s="12"/>
      <c r="C227" s="12"/>
      <c r="D227" s="12"/>
      <c r="E227" s="12"/>
      <c r="F227" s="12"/>
      <c r="G227" s="12"/>
      <c r="H227" s="12"/>
      <c r="I227" s="21" t="str">
        <f>IF(COUNTA('[1]Virus production'!A214)=1,('[1]Virus production'!A214),"")</f>
        <v>AAV211_SN</v>
      </c>
      <c r="J227" s="12"/>
      <c r="L227" s="31">
        <v>44354</v>
      </c>
      <c r="M227" s="12">
        <v>4</v>
      </c>
      <c r="N227" s="197">
        <f t="shared" si="28"/>
        <v>44354</v>
      </c>
      <c r="O227" s="197">
        <f t="shared" si="29"/>
        <v>44348</v>
      </c>
      <c r="P227" s="384">
        <f t="shared" si="30"/>
        <v>4</v>
      </c>
      <c r="Q227" s="384">
        <f t="shared" si="31"/>
        <v>1326</v>
      </c>
      <c r="R227" s="12">
        <f t="shared" si="32"/>
        <v>752</v>
      </c>
      <c r="S227" s="12"/>
      <c r="T227" s="12"/>
      <c r="U227" s="12"/>
      <c r="V227" s="12"/>
      <c r="W227" s="12"/>
      <c r="X227" s="12"/>
      <c r="Y227" s="12"/>
      <c r="Z227" s="12"/>
      <c r="AA227" s="12"/>
      <c r="AB227" s="12"/>
      <c r="AD227" s="31"/>
      <c r="AE227" s="12"/>
      <c r="AF227" s="197"/>
      <c r="AG227" s="197"/>
      <c r="AH227" s="197"/>
      <c r="AI227" s="197"/>
      <c r="AJ227" s="12"/>
      <c r="AK227" s="12"/>
      <c r="AL227" s="12"/>
      <c r="AM227" s="12"/>
      <c r="AN227" s="12"/>
      <c r="AO227" s="12"/>
      <c r="AP227" s="12"/>
      <c r="AQ227" s="12"/>
      <c r="AR227" s="12"/>
      <c r="AS227" s="12"/>
      <c r="AT227" s="12"/>
    </row>
    <row r="228" spans="1:46" x14ac:dyDescent="0.25">
      <c r="A228" s="12"/>
      <c r="B228" s="12"/>
      <c r="C228" s="12"/>
      <c r="D228" s="12"/>
      <c r="E228" s="12"/>
      <c r="F228" s="12"/>
      <c r="G228" s="12"/>
      <c r="H228" s="12"/>
      <c r="I228" s="21" t="str">
        <f>IF(COUNTA('[1]Virus production'!A215)=1,('[1]Virus production'!A215),"")</f>
        <v>AAV212</v>
      </c>
      <c r="J228" s="12"/>
      <c r="L228" s="31">
        <v>44369</v>
      </c>
      <c r="M228" s="12">
        <v>4</v>
      </c>
      <c r="N228" s="197">
        <f t="shared" si="28"/>
        <v>44369</v>
      </c>
      <c r="O228" s="197">
        <f t="shared" si="29"/>
        <v>44348</v>
      </c>
      <c r="P228" s="384">
        <f t="shared" si="30"/>
        <v>4</v>
      </c>
      <c r="Q228" s="384">
        <f t="shared" si="31"/>
        <v>1341</v>
      </c>
      <c r="R228" s="12">
        <f t="shared" si="32"/>
        <v>756</v>
      </c>
      <c r="S228" s="12"/>
      <c r="T228" s="12"/>
      <c r="U228" s="12"/>
      <c r="V228" s="12"/>
      <c r="W228" s="12"/>
      <c r="X228" s="12"/>
      <c r="Y228" s="12"/>
      <c r="Z228" s="12"/>
      <c r="AA228" s="12"/>
      <c r="AB228" s="12"/>
      <c r="AD228" s="31"/>
      <c r="AE228" s="12"/>
      <c r="AF228" s="197"/>
      <c r="AG228" s="197"/>
      <c r="AH228" s="197"/>
      <c r="AI228" s="197"/>
      <c r="AJ228" s="12"/>
      <c r="AK228" s="12"/>
      <c r="AL228" s="12"/>
      <c r="AM228" s="12"/>
      <c r="AN228" s="12"/>
      <c r="AO228" s="12"/>
      <c r="AP228" s="12"/>
      <c r="AQ228" s="12"/>
      <c r="AR228" s="12"/>
      <c r="AS228" s="12"/>
      <c r="AT228" s="12"/>
    </row>
    <row r="229" spans="1:46" x14ac:dyDescent="0.25">
      <c r="A229" s="12"/>
      <c r="B229" s="12"/>
      <c r="C229" s="12"/>
      <c r="D229" s="12"/>
      <c r="E229" s="12"/>
      <c r="F229" s="12"/>
      <c r="G229" s="12"/>
      <c r="H229" s="12"/>
      <c r="I229" s="21" t="str">
        <f>IF(COUNTA('[1]Virus production'!A216)=1,('[1]Virus production'!A216),"")</f>
        <v>AAV212_SN</v>
      </c>
      <c r="J229" s="12"/>
      <c r="L229" s="31">
        <v>44391</v>
      </c>
      <c r="M229" s="12">
        <v>5</v>
      </c>
      <c r="N229" s="197">
        <f t="shared" si="28"/>
        <v>44391</v>
      </c>
      <c r="O229" s="197">
        <f t="shared" si="29"/>
        <v>44378</v>
      </c>
      <c r="P229" s="384">
        <f t="shared" si="30"/>
        <v>5</v>
      </c>
      <c r="Q229" s="384">
        <f t="shared" si="31"/>
        <v>1363</v>
      </c>
      <c r="R229" s="12">
        <f t="shared" si="32"/>
        <v>761</v>
      </c>
      <c r="S229" s="12"/>
      <c r="T229" s="12"/>
      <c r="U229" s="12"/>
      <c r="V229" s="12"/>
      <c r="W229" s="12"/>
      <c r="X229" s="12"/>
      <c r="Y229" s="12"/>
      <c r="Z229" s="12"/>
      <c r="AA229" s="12"/>
      <c r="AB229" s="12"/>
      <c r="AD229" s="31"/>
      <c r="AE229" s="12"/>
      <c r="AF229" s="197"/>
      <c r="AG229" s="197"/>
      <c r="AH229" s="197"/>
      <c r="AI229" s="197"/>
      <c r="AJ229" s="12"/>
      <c r="AK229" s="12"/>
      <c r="AL229" s="12"/>
      <c r="AM229" s="12"/>
      <c r="AN229" s="12"/>
      <c r="AO229" s="12"/>
      <c r="AP229" s="12"/>
      <c r="AQ229" s="12"/>
      <c r="AR229" s="12"/>
      <c r="AS229" s="12"/>
      <c r="AT229" s="12"/>
    </row>
    <row r="230" spans="1:46" x14ac:dyDescent="0.25">
      <c r="A230" s="12"/>
      <c r="B230" s="12"/>
      <c r="C230" s="12"/>
      <c r="D230" s="12"/>
      <c r="E230" s="12"/>
      <c r="F230" s="12"/>
      <c r="G230" s="12"/>
      <c r="H230" s="12"/>
      <c r="I230" s="21" t="str">
        <f>IF(COUNTA('[1]Virus production'!A217)=1,('[1]Virus production'!A217),"")</f>
        <v>AAV213</v>
      </c>
      <c r="J230" s="12"/>
      <c r="L230" s="31">
        <v>44393</v>
      </c>
      <c r="M230" s="12">
        <v>4</v>
      </c>
      <c r="N230" s="197">
        <f t="shared" si="28"/>
        <v>44393</v>
      </c>
      <c r="O230" s="197">
        <f t="shared" si="29"/>
        <v>44378</v>
      </c>
      <c r="P230" s="384">
        <f t="shared" si="30"/>
        <v>4</v>
      </c>
      <c r="Q230" s="384">
        <f t="shared" si="31"/>
        <v>1365</v>
      </c>
      <c r="R230" s="12">
        <f t="shared" si="32"/>
        <v>765</v>
      </c>
      <c r="S230" s="12"/>
      <c r="T230" s="12"/>
      <c r="U230" s="12"/>
      <c r="V230" s="12"/>
      <c r="W230" s="12"/>
      <c r="X230" s="12"/>
      <c r="Y230" s="12"/>
      <c r="Z230" s="12"/>
      <c r="AA230" s="12"/>
      <c r="AB230" s="12"/>
      <c r="AD230" s="31"/>
      <c r="AE230" s="12"/>
      <c r="AF230" s="197"/>
      <c r="AG230" s="197"/>
      <c r="AH230" s="197"/>
      <c r="AI230" s="197"/>
      <c r="AJ230" s="12"/>
      <c r="AK230" s="12"/>
      <c r="AL230" s="12"/>
      <c r="AM230" s="12"/>
      <c r="AN230" s="12"/>
      <c r="AO230" s="12"/>
      <c r="AP230" s="12"/>
      <c r="AQ230" s="12"/>
      <c r="AR230" s="12"/>
      <c r="AS230" s="12"/>
      <c r="AT230" s="12"/>
    </row>
    <row r="231" spans="1:46" x14ac:dyDescent="0.25">
      <c r="A231" s="12"/>
      <c r="B231" s="12"/>
      <c r="C231" s="12"/>
      <c r="D231" s="12"/>
      <c r="E231" s="12"/>
      <c r="F231" s="12"/>
      <c r="G231" s="12"/>
      <c r="H231" s="12"/>
      <c r="I231" s="21" t="str">
        <f>IF(COUNTA('[1]Virus production'!A218)=1,('[1]Virus production'!A218),"")</f>
        <v>AAV213_SN</v>
      </c>
      <c r="J231" s="12"/>
      <c r="L231" s="31">
        <v>44398</v>
      </c>
      <c r="M231" s="12">
        <v>4</v>
      </c>
      <c r="N231" s="197">
        <f t="shared" si="28"/>
        <v>44398</v>
      </c>
      <c r="O231" s="197">
        <f t="shared" si="29"/>
        <v>44378</v>
      </c>
      <c r="P231" s="384">
        <f t="shared" si="30"/>
        <v>4</v>
      </c>
      <c r="Q231" s="384">
        <f t="shared" si="31"/>
        <v>1370</v>
      </c>
      <c r="R231" s="12">
        <f t="shared" si="32"/>
        <v>769</v>
      </c>
      <c r="S231" s="12"/>
      <c r="T231" s="12"/>
      <c r="U231" s="12"/>
      <c r="V231" s="12"/>
      <c r="W231" s="12"/>
      <c r="X231" s="12"/>
      <c r="Y231" s="12"/>
      <c r="Z231" s="12"/>
      <c r="AA231" s="12"/>
      <c r="AB231" s="12"/>
      <c r="AD231" s="31"/>
      <c r="AE231" s="12"/>
      <c r="AF231" s="197"/>
      <c r="AG231" s="197"/>
      <c r="AH231" s="197"/>
      <c r="AI231" s="197"/>
      <c r="AJ231" s="12"/>
      <c r="AK231" s="12"/>
      <c r="AL231" s="12"/>
      <c r="AM231" s="12"/>
      <c r="AN231" s="12"/>
      <c r="AO231" s="12"/>
      <c r="AP231" s="12"/>
      <c r="AQ231" s="12"/>
      <c r="AR231" s="12"/>
      <c r="AS231" s="12"/>
      <c r="AT231" s="12"/>
    </row>
    <row r="232" spans="1:46" x14ac:dyDescent="0.25">
      <c r="A232" s="12"/>
      <c r="B232" s="12"/>
      <c r="C232" s="12"/>
      <c r="D232" s="12"/>
      <c r="E232" s="12"/>
      <c r="F232" s="12"/>
      <c r="G232" s="12"/>
      <c r="H232" s="12"/>
      <c r="I232" s="21" t="str">
        <f>IF(COUNTA('[1]Virus production'!A219)=1,('[1]Virus production'!A219),"")</f>
        <v>AAV214</v>
      </c>
      <c r="J232" s="12"/>
      <c r="L232" s="31">
        <v>44403</v>
      </c>
      <c r="M232" s="12">
        <v>3</v>
      </c>
      <c r="N232" s="197">
        <f t="shared" si="28"/>
        <v>44403</v>
      </c>
      <c r="O232" s="197">
        <f t="shared" si="29"/>
        <v>44378</v>
      </c>
      <c r="P232" s="384">
        <f t="shared" si="30"/>
        <v>3</v>
      </c>
      <c r="Q232" s="384">
        <f t="shared" si="31"/>
        <v>1375</v>
      </c>
      <c r="R232" s="12">
        <f t="shared" si="32"/>
        <v>772</v>
      </c>
      <c r="S232" s="12"/>
      <c r="T232" s="12"/>
      <c r="U232" s="12"/>
      <c r="V232" s="12"/>
      <c r="W232" s="12"/>
      <c r="X232" s="12"/>
      <c r="Y232" s="12"/>
      <c r="Z232" s="12"/>
      <c r="AA232" s="12"/>
      <c r="AB232" s="12"/>
      <c r="AD232" s="31"/>
      <c r="AE232" s="12"/>
      <c r="AF232" s="197"/>
      <c r="AG232" s="197"/>
      <c r="AH232" s="197"/>
      <c r="AI232" s="197"/>
      <c r="AJ232" s="12"/>
      <c r="AK232" s="12"/>
      <c r="AL232" s="12"/>
      <c r="AM232" s="12"/>
      <c r="AN232" s="12"/>
      <c r="AO232" s="12"/>
      <c r="AP232" s="12"/>
      <c r="AQ232" s="12"/>
      <c r="AR232" s="12"/>
      <c r="AS232" s="12"/>
      <c r="AT232" s="12"/>
    </row>
    <row r="233" spans="1:46" x14ac:dyDescent="0.25">
      <c r="A233" s="12"/>
      <c r="B233" s="12"/>
      <c r="C233" s="12"/>
      <c r="D233" s="12"/>
      <c r="E233" s="12"/>
      <c r="F233" s="12"/>
      <c r="G233" s="12"/>
      <c r="H233" s="12"/>
      <c r="I233" s="21" t="str">
        <f>IF(COUNTA('[1]Virus production'!A220)=1,('[1]Virus production'!A220),"")</f>
        <v>AAV215</v>
      </c>
      <c r="J233" s="12"/>
      <c r="L233" s="31">
        <v>44410</v>
      </c>
      <c r="M233" s="12">
        <v>4</v>
      </c>
      <c r="N233" s="197">
        <f t="shared" si="28"/>
        <v>44410</v>
      </c>
      <c r="O233" s="197">
        <f t="shared" si="29"/>
        <v>44409</v>
      </c>
      <c r="P233" s="384">
        <f t="shared" si="30"/>
        <v>4</v>
      </c>
      <c r="Q233" s="384">
        <f t="shared" si="31"/>
        <v>1382</v>
      </c>
      <c r="R233" s="12">
        <f t="shared" si="32"/>
        <v>776</v>
      </c>
      <c r="S233" s="12"/>
      <c r="T233" s="12"/>
      <c r="U233" s="12"/>
      <c r="V233" s="12"/>
      <c r="W233" s="12"/>
      <c r="X233" s="12"/>
      <c r="Y233" s="12"/>
      <c r="Z233" s="12"/>
      <c r="AA233" s="12"/>
      <c r="AB233" s="12"/>
      <c r="AD233" s="31"/>
      <c r="AE233" s="12"/>
      <c r="AF233" s="197"/>
      <c r="AG233" s="197"/>
      <c r="AH233" s="197"/>
      <c r="AI233" s="197"/>
      <c r="AJ233" s="12"/>
      <c r="AK233" s="12"/>
      <c r="AL233" s="12"/>
      <c r="AM233" s="12"/>
      <c r="AN233" s="12"/>
      <c r="AO233" s="12"/>
      <c r="AP233" s="12"/>
      <c r="AQ233" s="12"/>
      <c r="AR233" s="12"/>
      <c r="AS233" s="12"/>
      <c r="AT233" s="12"/>
    </row>
    <row r="234" spans="1:46" x14ac:dyDescent="0.25">
      <c r="A234" s="12"/>
      <c r="B234" s="12"/>
      <c r="C234" s="12"/>
      <c r="D234" s="12"/>
      <c r="E234" s="12"/>
      <c r="F234" s="12"/>
      <c r="G234" s="12"/>
      <c r="H234" s="12"/>
      <c r="I234" s="21" t="str">
        <f>IF(COUNTA('[1]Virus production'!A221)=1,('[1]Virus production'!A221),"")</f>
        <v>AAV216</v>
      </c>
      <c r="J234" s="12"/>
      <c r="L234" s="31">
        <v>44411</v>
      </c>
      <c r="M234" s="12">
        <v>2</v>
      </c>
      <c r="N234" s="197">
        <f t="shared" si="28"/>
        <v>44411</v>
      </c>
      <c r="O234" s="197">
        <f t="shared" si="29"/>
        <v>44409</v>
      </c>
      <c r="P234" s="384">
        <f t="shared" si="30"/>
        <v>2</v>
      </c>
      <c r="Q234" s="384">
        <f t="shared" si="31"/>
        <v>1383</v>
      </c>
      <c r="R234" s="12">
        <f t="shared" si="32"/>
        <v>778</v>
      </c>
      <c r="S234" s="12"/>
      <c r="T234" s="12"/>
      <c r="U234" s="12"/>
      <c r="V234" s="12"/>
      <c r="W234" s="12"/>
      <c r="X234" s="12"/>
      <c r="Y234" s="12"/>
      <c r="Z234" s="12"/>
      <c r="AA234" s="12"/>
      <c r="AB234" s="12"/>
      <c r="AD234" s="31"/>
      <c r="AE234" s="12"/>
      <c r="AF234" s="197"/>
      <c r="AG234" s="197"/>
      <c r="AH234" s="197"/>
      <c r="AI234" s="197"/>
      <c r="AJ234" s="12"/>
      <c r="AK234" s="12"/>
      <c r="AL234" s="12"/>
      <c r="AM234" s="12"/>
      <c r="AN234" s="12"/>
      <c r="AO234" s="12"/>
      <c r="AP234" s="12"/>
      <c r="AQ234" s="12"/>
      <c r="AR234" s="12"/>
      <c r="AS234" s="12"/>
      <c r="AT234" s="12"/>
    </row>
    <row r="235" spans="1:46" x14ac:dyDescent="0.25">
      <c r="A235" s="12"/>
      <c r="B235" s="12"/>
      <c r="C235" s="12"/>
      <c r="D235" s="12"/>
      <c r="E235" s="12"/>
      <c r="F235" s="12"/>
      <c r="G235" s="12"/>
      <c r="H235" s="12"/>
      <c r="I235" s="21" t="str">
        <f>IF(COUNTA('[1]Virus production'!A222)=1,('[1]Virus production'!A222),"")</f>
        <v>AAV217</v>
      </c>
      <c r="J235" s="12"/>
      <c r="L235" s="31">
        <v>44413</v>
      </c>
      <c r="M235" s="12">
        <v>2</v>
      </c>
      <c r="N235" s="197">
        <f t="shared" si="28"/>
        <v>44413</v>
      </c>
      <c r="O235" s="197">
        <f t="shared" si="29"/>
        <v>44409</v>
      </c>
      <c r="P235" s="384">
        <f t="shared" si="30"/>
        <v>2</v>
      </c>
      <c r="Q235" s="384">
        <f t="shared" si="31"/>
        <v>1385</v>
      </c>
      <c r="R235" s="12">
        <f t="shared" si="32"/>
        <v>780</v>
      </c>
      <c r="S235" s="12"/>
      <c r="T235" s="12"/>
      <c r="U235" s="12"/>
      <c r="V235" s="12"/>
      <c r="W235" s="12"/>
      <c r="X235" s="12"/>
      <c r="Y235" s="12"/>
      <c r="Z235" s="12"/>
      <c r="AA235" s="12"/>
      <c r="AB235" s="12"/>
      <c r="AD235" s="31"/>
      <c r="AE235" s="12"/>
      <c r="AF235" s="197"/>
      <c r="AG235" s="197"/>
      <c r="AH235" s="197"/>
      <c r="AI235" s="197"/>
      <c r="AJ235" s="12"/>
      <c r="AK235" s="12"/>
      <c r="AL235" s="12"/>
      <c r="AM235" s="12"/>
      <c r="AN235" s="12"/>
      <c r="AO235" s="12"/>
      <c r="AP235" s="12"/>
      <c r="AQ235" s="12"/>
      <c r="AR235" s="12"/>
      <c r="AS235" s="12"/>
      <c r="AT235" s="12"/>
    </row>
    <row r="236" spans="1:46" x14ac:dyDescent="0.25">
      <c r="A236" s="12"/>
      <c r="B236" s="12"/>
      <c r="C236" s="12"/>
      <c r="D236" s="12"/>
      <c r="E236" s="12"/>
      <c r="F236" s="12"/>
      <c r="G236" s="12"/>
      <c r="H236" s="12"/>
      <c r="I236" s="21" t="str">
        <f>IF(COUNTA('[1]Virus production'!A223)=1,('[1]Virus production'!A223),"")</f>
        <v>AAV218</v>
      </c>
      <c r="J236" s="12"/>
      <c r="L236" s="31">
        <v>44415</v>
      </c>
      <c r="M236" s="12">
        <v>4</v>
      </c>
      <c r="N236" s="197">
        <f t="shared" si="28"/>
        <v>44415</v>
      </c>
      <c r="O236" s="197">
        <f t="shared" si="29"/>
        <v>44409</v>
      </c>
      <c r="P236" s="384">
        <f t="shared" si="30"/>
        <v>4</v>
      </c>
      <c r="Q236" s="384">
        <f t="shared" si="31"/>
        <v>1387</v>
      </c>
      <c r="R236" s="12">
        <f t="shared" si="32"/>
        <v>784</v>
      </c>
      <c r="S236" s="12"/>
      <c r="T236" s="12"/>
      <c r="U236" s="12"/>
      <c r="V236" s="12"/>
      <c r="W236" s="12"/>
      <c r="X236" s="12"/>
      <c r="Y236" s="12"/>
      <c r="Z236" s="12"/>
      <c r="AA236" s="12"/>
      <c r="AB236" s="12"/>
      <c r="AD236" s="31"/>
      <c r="AE236" s="12"/>
      <c r="AF236" s="197"/>
      <c r="AG236" s="197"/>
      <c r="AH236" s="197"/>
      <c r="AI236" s="197"/>
      <c r="AJ236" s="12"/>
      <c r="AK236" s="12"/>
      <c r="AL236" s="12"/>
      <c r="AM236" s="12"/>
      <c r="AN236" s="12"/>
      <c r="AO236" s="12"/>
      <c r="AP236" s="12"/>
      <c r="AQ236" s="12"/>
      <c r="AR236" s="12"/>
      <c r="AS236" s="12"/>
      <c r="AT236" s="12"/>
    </row>
    <row r="237" spans="1:46" x14ac:dyDescent="0.25">
      <c r="A237" s="12"/>
      <c r="B237" s="12"/>
      <c r="C237" s="12"/>
      <c r="D237" s="12"/>
      <c r="E237" s="12"/>
      <c r="F237" s="12"/>
      <c r="G237" s="12"/>
      <c r="H237" s="12"/>
      <c r="I237" s="21" t="str">
        <f>IF(COUNTA('[1]Virus production'!A224)=1,('[1]Virus production'!A224),"")</f>
        <v>AAV219</v>
      </c>
      <c r="J237" s="12"/>
      <c r="L237" s="31">
        <v>44417</v>
      </c>
      <c r="M237" s="12">
        <v>5</v>
      </c>
      <c r="N237" s="197">
        <f t="shared" si="28"/>
        <v>44417</v>
      </c>
      <c r="O237" s="197">
        <f t="shared" si="29"/>
        <v>44409</v>
      </c>
      <c r="P237" s="384">
        <f t="shared" si="30"/>
        <v>5</v>
      </c>
      <c r="Q237" s="384">
        <f t="shared" si="31"/>
        <v>1389</v>
      </c>
      <c r="R237" s="12">
        <f t="shared" si="32"/>
        <v>789</v>
      </c>
      <c r="S237" s="12"/>
      <c r="T237" s="12"/>
      <c r="U237" s="12"/>
      <c r="V237" s="12"/>
      <c r="W237" s="12"/>
      <c r="X237" s="12"/>
      <c r="Y237" s="12"/>
      <c r="Z237" s="12"/>
      <c r="AA237" s="12"/>
      <c r="AB237" s="12"/>
      <c r="AD237" s="31"/>
      <c r="AE237" s="12"/>
      <c r="AF237" s="197"/>
      <c r="AG237" s="197"/>
      <c r="AH237" s="197"/>
      <c r="AI237" s="197"/>
      <c r="AJ237" s="12"/>
      <c r="AK237" s="12"/>
      <c r="AL237" s="12"/>
      <c r="AM237" s="12"/>
      <c r="AN237" s="12"/>
      <c r="AO237" s="12"/>
      <c r="AP237" s="12"/>
      <c r="AQ237" s="12"/>
      <c r="AR237" s="12"/>
      <c r="AS237" s="12"/>
      <c r="AT237" s="12"/>
    </row>
    <row r="238" spans="1:46" x14ac:dyDescent="0.25">
      <c r="A238" s="12"/>
      <c r="B238" s="12"/>
      <c r="C238" s="12"/>
      <c r="D238" s="12"/>
      <c r="E238" s="12"/>
      <c r="F238" s="12"/>
      <c r="G238" s="12"/>
      <c r="H238" s="12"/>
      <c r="I238" s="21" t="str">
        <f>IF(COUNTA('[1]Virus production'!A225)=1,('[1]Virus production'!A225),"")</f>
        <v>AAV220</v>
      </c>
      <c r="J238" s="12"/>
      <c r="L238" s="31">
        <v>44419</v>
      </c>
      <c r="M238" s="12">
        <v>6</v>
      </c>
      <c r="N238" s="197">
        <f t="shared" si="28"/>
        <v>44419</v>
      </c>
      <c r="O238" s="197">
        <f t="shared" si="29"/>
        <v>44409</v>
      </c>
      <c r="P238" s="384">
        <f t="shared" si="30"/>
        <v>6</v>
      </c>
      <c r="Q238" s="384">
        <f t="shared" si="31"/>
        <v>1391</v>
      </c>
      <c r="R238" s="12">
        <f t="shared" si="32"/>
        <v>795</v>
      </c>
      <c r="S238" s="12"/>
      <c r="T238" s="12"/>
      <c r="U238" s="12"/>
      <c r="V238" s="12"/>
      <c r="W238" s="12"/>
      <c r="X238" s="12"/>
      <c r="Y238" s="12"/>
      <c r="Z238" s="12"/>
      <c r="AA238" s="12"/>
      <c r="AB238" s="12"/>
      <c r="AD238" s="31"/>
      <c r="AE238" s="12"/>
      <c r="AF238" s="197"/>
      <c r="AG238" s="197"/>
      <c r="AH238" s="197"/>
      <c r="AI238" s="197"/>
      <c r="AJ238" s="12"/>
      <c r="AK238" s="12"/>
      <c r="AL238" s="12"/>
      <c r="AM238" s="12"/>
      <c r="AN238" s="12"/>
      <c r="AO238" s="12"/>
      <c r="AP238" s="12"/>
      <c r="AQ238" s="12"/>
      <c r="AR238" s="12"/>
      <c r="AS238" s="12"/>
      <c r="AT238" s="12"/>
    </row>
    <row r="239" spans="1:46" x14ac:dyDescent="0.25">
      <c r="A239" s="12"/>
      <c r="B239" s="12"/>
      <c r="C239" s="12"/>
      <c r="D239" s="12"/>
      <c r="E239" s="12"/>
      <c r="F239" s="12"/>
      <c r="G239" s="12"/>
      <c r="H239" s="12"/>
      <c r="I239" s="21" t="str">
        <f>IF(COUNTA('[1]Virus production'!A226)=1,('[1]Virus production'!A226),"")</f>
        <v>AAV221</v>
      </c>
      <c r="J239" s="12"/>
      <c r="L239" s="31">
        <v>44438</v>
      </c>
      <c r="M239" s="12">
        <v>2</v>
      </c>
      <c r="N239" s="197">
        <f t="shared" si="28"/>
        <v>44438</v>
      </c>
      <c r="O239" s="197">
        <f t="shared" si="29"/>
        <v>44409</v>
      </c>
      <c r="P239" s="384">
        <f t="shared" si="30"/>
        <v>2</v>
      </c>
      <c r="Q239" s="384">
        <f t="shared" si="31"/>
        <v>1410</v>
      </c>
      <c r="R239" s="12">
        <f t="shared" si="32"/>
        <v>797</v>
      </c>
      <c r="S239" s="12"/>
      <c r="T239" s="12"/>
      <c r="U239" s="12"/>
      <c r="V239" s="12"/>
      <c r="W239" s="12"/>
      <c r="X239" s="12"/>
      <c r="Y239" s="12"/>
      <c r="Z239" s="12"/>
      <c r="AA239" s="12"/>
      <c r="AB239" s="12"/>
      <c r="AD239" s="31"/>
      <c r="AE239" s="12"/>
      <c r="AF239" s="197"/>
      <c r="AG239" s="197"/>
      <c r="AH239" s="197"/>
      <c r="AI239" s="197"/>
      <c r="AJ239" s="12"/>
      <c r="AK239" s="12"/>
      <c r="AL239" s="12"/>
      <c r="AM239" s="12"/>
      <c r="AN239" s="12"/>
      <c r="AO239" s="12"/>
      <c r="AP239" s="12"/>
      <c r="AQ239" s="12"/>
      <c r="AR239" s="12"/>
      <c r="AS239" s="12"/>
      <c r="AT239" s="12"/>
    </row>
    <row r="240" spans="1:46" x14ac:dyDescent="0.25">
      <c r="A240" s="12"/>
      <c r="B240" s="12"/>
      <c r="C240" s="12"/>
      <c r="D240" s="12"/>
      <c r="E240" s="12"/>
      <c r="F240" s="12"/>
      <c r="G240" s="12"/>
      <c r="H240" s="12"/>
      <c r="I240" s="21" t="str">
        <f>IF(COUNTA('[1]Virus production'!A227)=1,('[1]Virus production'!A227),"")</f>
        <v>AAV222</v>
      </c>
      <c r="J240" s="12"/>
      <c r="L240" s="31">
        <v>44446</v>
      </c>
      <c r="M240" s="12">
        <v>2</v>
      </c>
      <c r="N240" s="197">
        <f t="shared" si="28"/>
        <v>44446</v>
      </c>
      <c r="O240" s="197">
        <f t="shared" si="29"/>
        <v>44440</v>
      </c>
      <c r="P240" s="384">
        <f t="shared" si="30"/>
        <v>2</v>
      </c>
      <c r="Q240" s="384">
        <f t="shared" si="31"/>
        <v>1418</v>
      </c>
      <c r="R240" s="12">
        <f t="shared" si="32"/>
        <v>799</v>
      </c>
      <c r="S240" s="12"/>
      <c r="T240" s="12"/>
      <c r="U240" s="12"/>
      <c r="V240" s="12"/>
      <c r="W240" s="12"/>
      <c r="X240" s="12"/>
      <c r="Y240" s="12"/>
      <c r="Z240" s="12"/>
      <c r="AA240" s="12"/>
      <c r="AB240" s="12"/>
      <c r="AD240" s="31"/>
      <c r="AE240" s="12"/>
      <c r="AF240" s="197"/>
      <c r="AG240" s="197"/>
      <c r="AH240" s="197"/>
      <c r="AI240" s="197"/>
      <c r="AJ240" s="12"/>
      <c r="AK240" s="12"/>
      <c r="AL240" s="12"/>
      <c r="AM240" s="12"/>
      <c r="AN240" s="12"/>
      <c r="AO240" s="12"/>
      <c r="AP240" s="12"/>
      <c r="AQ240" s="12"/>
      <c r="AR240" s="12"/>
      <c r="AS240" s="12"/>
      <c r="AT240" s="12"/>
    </row>
    <row r="241" spans="1:46" x14ac:dyDescent="0.25">
      <c r="A241" s="12"/>
      <c r="B241" s="12"/>
      <c r="C241" s="12"/>
      <c r="D241" s="12"/>
      <c r="E241" s="12"/>
      <c r="F241" s="12"/>
      <c r="G241" s="12"/>
      <c r="H241" s="12"/>
      <c r="I241" s="21" t="str">
        <f>IF(COUNTA('[1]Virus production'!A228)=1,('[1]Virus production'!A228),"")</f>
        <v>AAV223</v>
      </c>
      <c r="J241" s="12"/>
      <c r="L241" s="31">
        <v>44447</v>
      </c>
      <c r="M241" s="12">
        <v>4</v>
      </c>
      <c r="N241" s="197">
        <f t="shared" si="28"/>
        <v>44447</v>
      </c>
      <c r="O241" s="197">
        <f t="shared" si="29"/>
        <v>44440</v>
      </c>
      <c r="P241" s="384">
        <f t="shared" si="30"/>
        <v>4</v>
      </c>
      <c r="Q241" s="384">
        <f t="shared" si="31"/>
        <v>1419</v>
      </c>
      <c r="R241" s="12">
        <f t="shared" si="32"/>
        <v>803</v>
      </c>
      <c r="S241" s="12"/>
      <c r="T241" s="12"/>
      <c r="U241" s="12"/>
      <c r="V241" s="12"/>
      <c r="W241" s="12"/>
      <c r="X241" s="12"/>
      <c r="Y241" s="12"/>
      <c r="Z241" s="12"/>
      <c r="AA241" s="12"/>
      <c r="AB241" s="12"/>
      <c r="AD241" s="31"/>
      <c r="AE241" s="12"/>
      <c r="AF241" s="197"/>
      <c r="AG241" s="197"/>
      <c r="AH241" s="197"/>
      <c r="AI241" s="197"/>
      <c r="AJ241" s="12"/>
      <c r="AK241" s="12"/>
      <c r="AL241" s="12"/>
      <c r="AM241" s="12"/>
      <c r="AN241" s="12"/>
      <c r="AO241" s="12"/>
      <c r="AP241" s="12"/>
      <c r="AQ241" s="12"/>
      <c r="AR241" s="12"/>
      <c r="AS241" s="12"/>
      <c r="AT241" s="12"/>
    </row>
    <row r="242" spans="1:46" x14ac:dyDescent="0.25">
      <c r="A242" s="12"/>
      <c r="B242" s="12"/>
      <c r="C242" s="12"/>
      <c r="D242" s="12"/>
      <c r="E242" s="12"/>
      <c r="F242" s="12"/>
      <c r="G242" s="12"/>
      <c r="H242" s="12"/>
      <c r="I242" s="21" t="str">
        <f>IF(COUNTA('[1]Virus production'!A229)=1,('[1]Virus production'!A229),"")</f>
        <v>AAV224</v>
      </c>
      <c r="J242" s="12"/>
      <c r="L242" s="31">
        <v>44453</v>
      </c>
      <c r="M242" s="12">
        <v>4</v>
      </c>
      <c r="N242" s="197">
        <f t="shared" si="28"/>
        <v>44453</v>
      </c>
      <c r="O242" s="197">
        <f t="shared" si="29"/>
        <v>44440</v>
      </c>
      <c r="P242" s="384">
        <f t="shared" si="30"/>
        <v>4</v>
      </c>
      <c r="Q242" s="384">
        <f t="shared" si="31"/>
        <v>1425</v>
      </c>
      <c r="R242" s="12">
        <f t="shared" si="32"/>
        <v>807</v>
      </c>
      <c r="S242" s="12"/>
      <c r="T242" s="12"/>
      <c r="U242" s="12"/>
      <c r="V242" s="12"/>
      <c r="W242" s="12"/>
      <c r="X242" s="12"/>
      <c r="Y242" s="12"/>
      <c r="Z242" s="12"/>
      <c r="AA242" s="12"/>
      <c r="AB242" s="12"/>
      <c r="AD242" s="31"/>
      <c r="AE242" s="12"/>
      <c r="AF242" s="197"/>
      <c r="AG242" s="197"/>
      <c r="AH242" s="197"/>
      <c r="AI242" s="197"/>
      <c r="AJ242" s="12"/>
      <c r="AK242" s="12"/>
      <c r="AL242" s="12"/>
      <c r="AM242" s="12"/>
      <c r="AN242" s="12"/>
      <c r="AO242" s="12"/>
      <c r="AP242" s="12"/>
      <c r="AQ242" s="12"/>
      <c r="AR242" s="12"/>
      <c r="AS242" s="12"/>
      <c r="AT242" s="12"/>
    </row>
    <row r="243" spans="1:46" x14ac:dyDescent="0.25">
      <c r="A243" s="12"/>
      <c r="B243" s="12"/>
      <c r="C243" s="12"/>
      <c r="D243" s="12"/>
      <c r="E243" s="12"/>
      <c r="F243" s="12"/>
      <c r="G243" s="12"/>
      <c r="H243" s="12"/>
      <c r="I243" s="21" t="str">
        <f>IF(COUNTA('[1]Virus production'!A230)=1,('[1]Virus production'!A230),"")</f>
        <v>AAV225</v>
      </c>
      <c r="J243" s="12"/>
      <c r="L243" s="31">
        <v>44460</v>
      </c>
      <c r="M243" s="12">
        <v>3</v>
      </c>
      <c r="N243" s="197">
        <f t="shared" si="28"/>
        <v>44460</v>
      </c>
      <c r="O243" s="197">
        <f t="shared" si="29"/>
        <v>44440</v>
      </c>
      <c r="P243" s="384">
        <f t="shared" si="30"/>
        <v>3</v>
      </c>
      <c r="Q243" s="384">
        <f t="shared" si="31"/>
        <v>1432</v>
      </c>
      <c r="R243" s="12">
        <f t="shared" si="32"/>
        <v>810</v>
      </c>
      <c r="S243" s="12"/>
      <c r="T243" s="12"/>
      <c r="U243" s="12"/>
      <c r="V243" s="12"/>
      <c r="W243" s="12"/>
      <c r="X243" s="12"/>
      <c r="Y243" s="12"/>
      <c r="Z243" s="12"/>
      <c r="AA243" s="12"/>
      <c r="AB243" s="12"/>
      <c r="AD243" s="31"/>
      <c r="AE243" s="12"/>
      <c r="AF243" s="197"/>
      <c r="AG243" s="197"/>
      <c r="AH243" s="197"/>
      <c r="AI243" s="197"/>
      <c r="AJ243" s="12"/>
      <c r="AK243" s="12"/>
      <c r="AL243" s="12"/>
      <c r="AM243" s="12"/>
      <c r="AN243" s="12"/>
      <c r="AO243" s="12"/>
      <c r="AP243" s="12"/>
      <c r="AQ243" s="12"/>
      <c r="AR243" s="12"/>
      <c r="AS243" s="12"/>
      <c r="AT243" s="12"/>
    </row>
    <row r="244" spans="1:46" x14ac:dyDescent="0.25">
      <c r="A244" s="12"/>
      <c r="B244" s="12"/>
      <c r="C244" s="12"/>
      <c r="D244" s="12"/>
      <c r="E244" s="12"/>
      <c r="F244" s="12"/>
      <c r="G244" s="12"/>
      <c r="H244" s="12"/>
      <c r="I244" s="21" t="str">
        <f>IF(COUNTA('[1]Virus production'!A231)=1,('[1]Virus production'!A231),"")</f>
        <v>AAV226</v>
      </c>
      <c r="J244" s="12"/>
      <c r="L244" s="31">
        <v>44466</v>
      </c>
      <c r="M244" s="12">
        <v>3</v>
      </c>
      <c r="N244" s="197">
        <f t="shared" si="28"/>
        <v>44466</v>
      </c>
      <c r="O244" s="197">
        <f t="shared" si="29"/>
        <v>44440</v>
      </c>
      <c r="P244" s="384">
        <f t="shared" si="30"/>
        <v>3</v>
      </c>
      <c r="Q244" s="384">
        <f t="shared" si="31"/>
        <v>1438</v>
      </c>
      <c r="R244" s="12">
        <f t="shared" si="32"/>
        <v>813</v>
      </c>
      <c r="S244" s="12"/>
      <c r="T244" s="12"/>
      <c r="U244" s="12"/>
      <c r="V244" s="12"/>
      <c r="W244" s="12"/>
      <c r="X244" s="12"/>
      <c r="Y244" s="12"/>
      <c r="Z244" s="12"/>
      <c r="AA244" s="12"/>
      <c r="AB244" s="12"/>
      <c r="AD244" s="31"/>
      <c r="AE244" s="12"/>
      <c r="AF244" s="197"/>
      <c r="AG244" s="197"/>
      <c r="AH244" s="197"/>
      <c r="AI244" s="197"/>
      <c r="AJ244" s="12"/>
      <c r="AK244" s="12"/>
      <c r="AL244" s="12"/>
      <c r="AM244" s="12"/>
      <c r="AN244" s="12"/>
      <c r="AO244" s="12"/>
      <c r="AP244" s="12"/>
      <c r="AQ244" s="12"/>
      <c r="AR244" s="12"/>
      <c r="AS244" s="12"/>
      <c r="AT244" s="12"/>
    </row>
    <row r="245" spans="1:46" x14ac:dyDescent="0.25">
      <c r="A245" s="12"/>
      <c r="B245" s="12"/>
      <c r="C245" s="12"/>
      <c r="D245" s="12"/>
      <c r="E245" s="12"/>
      <c r="F245" s="12"/>
      <c r="G245" s="12"/>
      <c r="H245" s="12"/>
      <c r="I245" s="21" t="str">
        <f>IF(COUNTA('[1]Virus production'!A232)=1,('[1]Virus production'!A232),"")</f>
        <v>AAV227</v>
      </c>
      <c r="J245" s="12"/>
      <c r="L245" s="31">
        <v>44467</v>
      </c>
      <c r="M245" s="12">
        <v>2</v>
      </c>
      <c r="N245" s="197">
        <f t="shared" si="28"/>
        <v>44467</v>
      </c>
      <c r="O245" s="197">
        <f t="shared" si="29"/>
        <v>44440</v>
      </c>
      <c r="P245" s="384">
        <f t="shared" si="30"/>
        <v>2</v>
      </c>
      <c r="Q245" s="384">
        <f t="shared" si="31"/>
        <v>1439</v>
      </c>
      <c r="R245" s="12">
        <f t="shared" si="32"/>
        <v>815</v>
      </c>
      <c r="S245" s="12"/>
      <c r="T245" s="12"/>
      <c r="U245" s="12"/>
      <c r="V245" s="12"/>
      <c r="W245" s="12"/>
      <c r="X245" s="12"/>
      <c r="Y245" s="12"/>
      <c r="Z245" s="12"/>
      <c r="AA245" s="12"/>
      <c r="AB245" s="12"/>
      <c r="AD245" s="31"/>
      <c r="AE245" s="12"/>
      <c r="AF245" s="197"/>
      <c r="AG245" s="197"/>
      <c r="AH245" s="197"/>
      <c r="AI245" s="197"/>
      <c r="AJ245" s="12"/>
      <c r="AK245" s="12"/>
      <c r="AL245" s="12"/>
      <c r="AM245" s="12"/>
      <c r="AN245" s="12"/>
      <c r="AO245" s="12"/>
      <c r="AP245" s="12"/>
      <c r="AQ245" s="12"/>
      <c r="AR245" s="12"/>
      <c r="AS245" s="12"/>
      <c r="AT245" s="12"/>
    </row>
    <row r="246" spans="1:46" x14ac:dyDescent="0.25">
      <c r="A246" s="12"/>
      <c r="B246" s="12"/>
      <c r="C246" s="12"/>
      <c r="D246" s="12"/>
      <c r="E246" s="12"/>
      <c r="F246" s="12"/>
      <c r="G246" s="12"/>
      <c r="H246" s="12"/>
      <c r="I246" s="21" t="str">
        <f>IF(COUNTA('[1]Virus production'!A233)=1,('[1]Virus production'!A233),"")</f>
        <v>AAV228</v>
      </c>
      <c r="J246" s="12"/>
      <c r="L246" s="31">
        <v>44487</v>
      </c>
      <c r="M246" s="12">
        <v>7</v>
      </c>
      <c r="N246" s="197">
        <f t="shared" si="28"/>
        <v>44487</v>
      </c>
      <c r="O246" s="197">
        <f t="shared" si="29"/>
        <v>44470</v>
      </c>
      <c r="P246" s="384">
        <f t="shared" si="30"/>
        <v>7</v>
      </c>
      <c r="Q246" s="384">
        <f t="shared" si="31"/>
        <v>1459</v>
      </c>
      <c r="R246" s="12">
        <f t="shared" si="32"/>
        <v>822</v>
      </c>
      <c r="S246" s="12"/>
      <c r="T246" s="12"/>
      <c r="U246" s="12"/>
      <c r="V246" s="12"/>
      <c r="W246" s="12"/>
      <c r="X246" s="12"/>
      <c r="Y246" s="12"/>
      <c r="Z246" s="12"/>
      <c r="AA246" s="12"/>
      <c r="AB246" s="12"/>
      <c r="AD246" s="31"/>
      <c r="AE246" s="12"/>
      <c r="AF246" s="197"/>
      <c r="AG246" s="197"/>
      <c r="AH246" s="197"/>
      <c r="AI246" s="197"/>
      <c r="AJ246" s="12"/>
      <c r="AK246" s="12"/>
      <c r="AL246" s="12"/>
      <c r="AM246" s="12"/>
      <c r="AN246" s="12"/>
      <c r="AO246" s="12"/>
      <c r="AP246" s="12"/>
      <c r="AQ246" s="12"/>
      <c r="AR246" s="12"/>
      <c r="AS246" s="12"/>
      <c r="AT246" s="12"/>
    </row>
    <row r="247" spans="1:46" x14ac:dyDescent="0.25">
      <c r="A247" s="12"/>
      <c r="B247" s="12"/>
      <c r="C247" s="12"/>
      <c r="D247" s="12"/>
      <c r="E247" s="12"/>
      <c r="F247" s="12"/>
      <c r="G247" s="12"/>
      <c r="H247" s="12"/>
      <c r="I247" s="21" t="str">
        <f>IF(COUNTA('[1]Virus production'!A234)=1,('[1]Virus production'!A234),"")</f>
        <v>AAV229</v>
      </c>
      <c r="J247" s="12"/>
      <c r="L247" s="31">
        <v>44494</v>
      </c>
      <c r="M247" s="12">
        <v>4</v>
      </c>
      <c r="N247" s="197">
        <f t="shared" si="28"/>
        <v>44494</v>
      </c>
      <c r="O247" s="197">
        <f t="shared" si="29"/>
        <v>44470</v>
      </c>
      <c r="P247" s="384">
        <f t="shared" si="30"/>
        <v>4</v>
      </c>
      <c r="Q247" s="384">
        <f t="shared" si="31"/>
        <v>1466</v>
      </c>
      <c r="R247" s="12">
        <f t="shared" si="32"/>
        <v>826</v>
      </c>
      <c r="S247" s="12"/>
      <c r="T247" s="12"/>
      <c r="U247" s="12"/>
      <c r="V247" s="12"/>
      <c r="W247" s="12"/>
      <c r="X247" s="12"/>
      <c r="Y247" s="12"/>
      <c r="Z247" s="12"/>
      <c r="AA247" s="12"/>
      <c r="AB247" s="12"/>
      <c r="AD247" s="31"/>
      <c r="AE247" s="12"/>
      <c r="AF247" s="197"/>
      <c r="AG247" s="197"/>
      <c r="AH247" s="197"/>
      <c r="AI247" s="197"/>
      <c r="AJ247" s="12"/>
      <c r="AK247" s="12"/>
      <c r="AL247" s="12"/>
      <c r="AM247" s="12"/>
      <c r="AN247" s="12"/>
      <c r="AO247" s="12"/>
      <c r="AP247" s="12"/>
      <c r="AQ247" s="12"/>
      <c r="AR247" s="12"/>
      <c r="AS247" s="12"/>
      <c r="AT247" s="12"/>
    </row>
    <row r="248" spans="1:46" x14ac:dyDescent="0.25">
      <c r="A248" s="12"/>
      <c r="B248" s="12"/>
      <c r="C248" s="12"/>
      <c r="D248" s="12"/>
      <c r="E248" s="12"/>
      <c r="F248" s="12"/>
      <c r="G248" s="12"/>
      <c r="H248" s="12"/>
      <c r="I248" s="21" t="str">
        <f>IF(COUNTA('[1]Virus production'!A235)=1,('[1]Virus production'!A235),"")</f>
        <v>AAV230</v>
      </c>
      <c r="J248" s="12"/>
      <c r="L248" s="31">
        <v>44495</v>
      </c>
      <c r="M248" s="12">
        <v>4</v>
      </c>
      <c r="N248" s="197">
        <f t="shared" si="28"/>
        <v>44495</v>
      </c>
      <c r="O248" s="197">
        <f t="shared" si="29"/>
        <v>44470</v>
      </c>
      <c r="P248" s="384">
        <f t="shared" si="30"/>
        <v>4</v>
      </c>
      <c r="Q248" s="384">
        <f t="shared" si="31"/>
        <v>1467</v>
      </c>
      <c r="R248" s="12">
        <f t="shared" si="32"/>
        <v>830</v>
      </c>
      <c r="S248" s="12"/>
      <c r="T248" s="12"/>
      <c r="U248" s="12"/>
      <c r="V248" s="12"/>
      <c r="W248" s="12"/>
      <c r="X248" s="12"/>
      <c r="Y248" s="12"/>
      <c r="Z248" s="12"/>
      <c r="AA248" s="12"/>
      <c r="AB248" s="12"/>
      <c r="AD248" s="31"/>
      <c r="AE248" s="12"/>
      <c r="AF248" s="197"/>
      <c r="AG248" s="197"/>
      <c r="AH248" s="197"/>
      <c r="AI248" s="197"/>
      <c r="AJ248" s="12"/>
      <c r="AK248" s="12"/>
      <c r="AL248" s="12"/>
      <c r="AM248" s="12"/>
      <c r="AN248" s="12"/>
      <c r="AO248" s="12"/>
      <c r="AP248" s="12"/>
      <c r="AQ248" s="12"/>
      <c r="AR248" s="12"/>
      <c r="AS248" s="12"/>
      <c r="AT248" s="12"/>
    </row>
    <row r="249" spans="1:46" x14ac:dyDescent="0.25">
      <c r="A249" s="12"/>
      <c r="B249" s="12"/>
      <c r="C249" s="12"/>
      <c r="D249" s="12"/>
      <c r="E249" s="12"/>
      <c r="F249" s="12"/>
      <c r="G249" s="12"/>
      <c r="H249" s="12"/>
      <c r="I249" s="21" t="str">
        <f>IF(COUNTA('[1]Virus production'!A236)=1,('[1]Virus production'!A236),"")</f>
        <v>AAV231</v>
      </c>
      <c r="J249" s="12"/>
      <c r="L249" s="31">
        <v>44524</v>
      </c>
      <c r="M249" s="12">
        <v>3</v>
      </c>
      <c r="N249" s="197">
        <f t="shared" si="28"/>
        <v>44524</v>
      </c>
      <c r="O249" s="197">
        <f t="shared" si="29"/>
        <v>44501</v>
      </c>
      <c r="P249" s="384">
        <f t="shared" si="30"/>
        <v>3</v>
      </c>
      <c r="Q249" s="384">
        <f t="shared" si="31"/>
        <v>1496</v>
      </c>
      <c r="R249" s="12">
        <f t="shared" si="32"/>
        <v>833</v>
      </c>
      <c r="S249" s="12"/>
      <c r="T249" s="12"/>
      <c r="U249" s="12"/>
      <c r="V249" s="12"/>
      <c r="W249" s="12"/>
      <c r="X249" s="12"/>
      <c r="Y249" s="12"/>
      <c r="Z249" s="12"/>
      <c r="AA249" s="12"/>
      <c r="AB249" s="12"/>
      <c r="AD249" s="31"/>
      <c r="AE249" s="12"/>
      <c r="AF249" s="197"/>
      <c r="AG249" s="197"/>
      <c r="AH249" s="197"/>
      <c r="AI249" s="197"/>
      <c r="AJ249" s="12"/>
      <c r="AK249" s="12"/>
      <c r="AL249" s="12"/>
      <c r="AM249" s="12"/>
      <c r="AN249" s="12"/>
      <c r="AO249" s="12"/>
      <c r="AP249" s="12"/>
      <c r="AQ249" s="12"/>
      <c r="AR249" s="12"/>
      <c r="AS249" s="12"/>
      <c r="AT249" s="12"/>
    </row>
    <row r="250" spans="1:46" x14ac:dyDescent="0.25">
      <c r="A250" s="12"/>
      <c r="B250" s="12"/>
      <c r="C250" s="12"/>
      <c r="D250" s="12"/>
      <c r="E250" s="12"/>
      <c r="F250" s="12"/>
      <c r="G250" s="12"/>
      <c r="H250" s="12"/>
      <c r="I250" s="21" t="str">
        <f>IF(COUNTA('[1]Virus production'!A237)=1,('[1]Virus production'!A237),"")</f>
        <v>AAV232</v>
      </c>
      <c r="J250" s="12"/>
      <c r="L250" s="31">
        <v>44531</v>
      </c>
      <c r="M250" s="12">
        <v>5</v>
      </c>
      <c r="N250" s="197">
        <f t="shared" si="28"/>
        <v>44531</v>
      </c>
      <c r="O250" s="197">
        <f t="shared" si="29"/>
        <v>44531</v>
      </c>
      <c r="P250" s="384">
        <f t="shared" si="30"/>
        <v>5</v>
      </c>
      <c r="Q250" s="384">
        <f t="shared" si="31"/>
        <v>1503</v>
      </c>
      <c r="R250" s="12">
        <f t="shared" si="32"/>
        <v>838</v>
      </c>
      <c r="S250" s="12"/>
      <c r="T250" s="12"/>
      <c r="U250" s="12"/>
      <c r="V250" s="12"/>
      <c r="W250" s="12"/>
      <c r="X250" s="12"/>
      <c r="Y250" s="12"/>
      <c r="Z250" s="12"/>
      <c r="AA250" s="12"/>
      <c r="AB250" s="12"/>
      <c r="AD250" s="31"/>
      <c r="AE250" s="12"/>
      <c r="AF250" s="197"/>
      <c r="AG250" s="197"/>
      <c r="AH250" s="197"/>
      <c r="AI250" s="197"/>
      <c r="AJ250" s="12"/>
      <c r="AK250" s="12"/>
      <c r="AL250" s="12"/>
      <c r="AM250" s="12"/>
      <c r="AN250" s="12"/>
      <c r="AO250" s="12"/>
      <c r="AP250" s="12"/>
      <c r="AQ250" s="12"/>
      <c r="AR250" s="12"/>
      <c r="AS250" s="12"/>
      <c r="AT250" s="12"/>
    </row>
    <row r="251" spans="1:46" x14ac:dyDescent="0.25">
      <c r="A251" s="12"/>
      <c r="B251" s="12"/>
      <c r="C251" s="12"/>
      <c r="D251" s="12"/>
      <c r="E251" s="12"/>
      <c r="F251" s="12"/>
      <c r="G251" s="12"/>
      <c r="H251" s="12"/>
      <c r="I251" s="21" t="str">
        <f>IF(COUNTA('[1]Virus production'!A238)=1,('[1]Virus production'!A238),"")</f>
        <v>AAV233</v>
      </c>
      <c r="J251" s="12"/>
      <c r="L251" s="31">
        <v>44538</v>
      </c>
      <c r="M251" s="12">
        <v>5</v>
      </c>
      <c r="N251" s="197">
        <f t="shared" si="28"/>
        <v>44538</v>
      </c>
      <c r="O251" s="197">
        <f t="shared" si="29"/>
        <v>44531</v>
      </c>
      <c r="P251" s="384">
        <f t="shared" si="30"/>
        <v>5</v>
      </c>
      <c r="Q251" s="384">
        <f t="shared" si="31"/>
        <v>1510</v>
      </c>
      <c r="R251" s="12">
        <f t="shared" si="32"/>
        <v>843</v>
      </c>
      <c r="S251" s="12"/>
      <c r="T251" s="12"/>
      <c r="U251" s="12"/>
      <c r="V251" s="12"/>
      <c r="W251" s="12"/>
      <c r="X251" s="12"/>
      <c r="Y251" s="12"/>
      <c r="Z251" s="12"/>
      <c r="AA251" s="12"/>
      <c r="AB251" s="12"/>
      <c r="AD251" s="31"/>
      <c r="AE251" s="12"/>
      <c r="AF251" s="197"/>
      <c r="AG251" s="197"/>
      <c r="AH251" s="197"/>
      <c r="AI251" s="197"/>
      <c r="AJ251" s="12"/>
      <c r="AK251" s="12"/>
      <c r="AL251" s="12"/>
      <c r="AM251" s="12"/>
      <c r="AN251" s="12"/>
      <c r="AO251" s="12"/>
      <c r="AP251" s="12"/>
      <c r="AQ251" s="12"/>
      <c r="AR251" s="12"/>
      <c r="AS251" s="12"/>
      <c r="AT251" s="12"/>
    </row>
    <row r="252" spans="1:46" x14ac:dyDescent="0.25">
      <c r="A252" s="12"/>
      <c r="B252" s="12"/>
      <c r="C252" s="12"/>
      <c r="D252" s="12"/>
      <c r="E252" s="12"/>
      <c r="F252" s="12"/>
      <c r="G252" s="12"/>
      <c r="H252" s="12"/>
      <c r="I252" s="21" t="str">
        <f>IF(COUNTA('[1]Virus production'!A239)=1,('[1]Virus production'!A239),"")</f>
        <v>AAV237</v>
      </c>
      <c r="J252" s="12"/>
      <c r="L252" s="31">
        <v>44572</v>
      </c>
      <c r="M252" s="12">
        <v>2</v>
      </c>
      <c r="N252" s="197">
        <f t="shared" si="28"/>
        <v>44572</v>
      </c>
      <c r="O252" s="197">
        <f t="shared" si="29"/>
        <v>44562</v>
      </c>
      <c r="P252" s="384">
        <f t="shared" si="30"/>
        <v>2</v>
      </c>
      <c r="Q252" s="384">
        <f t="shared" si="31"/>
        <v>1544</v>
      </c>
      <c r="R252" s="12">
        <f t="shared" si="32"/>
        <v>845</v>
      </c>
      <c r="S252" s="12"/>
      <c r="T252" s="12"/>
      <c r="U252" s="12"/>
      <c r="V252" s="12"/>
      <c r="W252" s="12"/>
      <c r="X252" s="12"/>
      <c r="Y252" s="12"/>
      <c r="Z252" s="12"/>
      <c r="AA252" s="12"/>
      <c r="AB252" s="12"/>
      <c r="AD252" s="31"/>
      <c r="AE252" s="12"/>
      <c r="AF252" s="197"/>
      <c r="AG252" s="197"/>
      <c r="AH252" s="197"/>
      <c r="AI252" s="197"/>
      <c r="AJ252" s="12"/>
      <c r="AK252" s="12"/>
      <c r="AL252" s="12"/>
      <c r="AM252" s="12"/>
      <c r="AN252" s="12"/>
      <c r="AO252" s="12"/>
      <c r="AP252" s="12"/>
      <c r="AQ252" s="12"/>
      <c r="AR252" s="12"/>
      <c r="AS252" s="12"/>
      <c r="AT252" s="12"/>
    </row>
    <row r="253" spans="1:46" x14ac:dyDescent="0.25">
      <c r="A253" s="12"/>
      <c r="B253" s="12"/>
      <c r="C253" s="12"/>
      <c r="D253" s="12"/>
      <c r="E253" s="12"/>
      <c r="F253" s="12"/>
      <c r="G253" s="12"/>
      <c r="H253" s="12"/>
      <c r="I253" s="21" t="str">
        <f>IF(COUNTA('[1]Virus production'!A240)=1,('[1]Virus production'!A240),"")</f>
        <v>AAV238</v>
      </c>
      <c r="J253" s="12"/>
      <c r="L253" s="31">
        <v>44573</v>
      </c>
      <c r="M253" s="12">
        <v>2</v>
      </c>
      <c r="N253" s="197">
        <f t="shared" si="28"/>
        <v>44573</v>
      </c>
      <c r="O253" s="197">
        <f t="shared" si="29"/>
        <v>44562</v>
      </c>
      <c r="P253" s="384">
        <f t="shared" si="30"/>
        <v>2</v>
      </c>
      <c r="Q253" s="384">
        <f t="shared" si="31"/>
        <v>1545</v>
      </c>
      <c r="R253" s="12">
        <f t="shared" si="32"/>
        <v>847</v>
      </c>
      <c r="S253" s="12"/>
      <c r="T253" s="12"/>
      <c r="U253" s="12"/>
      <c r="V253" s="12"/>
      <c r="W253" s="12"/>
      <c r="X253" s="12"/>
      <c r="Y253" s="12"/>
      <c r="Z253" s="12"/>
      <c r="AA253" s="12"/>
      <c r="AB253" s="12"/>
      <c r="AD253" s="31"/>
      <c r="AE253" s="12"/>
      <c r="AF253" s="197"/>
      <c r="AG253" s="197"/>
      <c r="AH253" s="197"/>
      <c r="AI253" s="197"/>
      <c r="AJ253" s="12"/>
      <c r="AK253" s="12"/>
      <c r="AL253" s="12"/>
      <c r="AM253" s="12"/>
      <c r="AN253" s="12"/>
      <c r="AO253" s="12"/>
      <c r="AP253" s="12"/>
      <c r="AQ253" s="12"/>
      <c r="AR253" s="12"/>
      <c r="AS253" s="12"/>
      <c r="AT253" s="12"/>
    </row>
    <row r="254" spans="1:46" x14ac:dyDescent="0.25">
      <c r="A254" s="12"/>
      <c r="B254" s="12"/>
      <c r="C254" s="12"/>
      <c r="D254" s="12"/>
      <c r="E254" s="12"/>
      <c r="F254" s="12"/>
      <c r="G254" s="12"/>
      <c r="H254" s="12"/>
      <c r="I254" s="21" t="str">
        <f>IF(COUNTA('[1]Virus production'!A241)=1,('[1]Virus production'!A241),"")</f>
        <v>AAV240</v>
      </c>
      <c r="J254" s="12"/>
      <c r="L254" s="31">
        <v>44585</v>
      </c>
      <c r="M254" s="12">
        <v>4</v>
      </c>
      <c r="N254" s="197">
        <f t="shared" si="28"/>
        <v>44585</v>
      </c>
      <c r="O254" s="197">
        <f t="shared" si="29"/>
        <v>44562</v>
      </c>
      <c r="P254" s="384">
        <f t="shared" si="30"/>
        <v>4</v>
      </c>
      <c r="Q254" s="384">
        <f t="shared" si="31"/>
        <v>1557</v>
      </c>
      <c r="R254" s="12">
        <f t="shared" si="32"/>
        <v>851</v>
      </c>
      <c r="S254" s="12"/>
      <c r="T254" s="12"/>
      <c r="U254" s="12"/>
      <c r="V254" s="12"/>
      <c r="W254" s="12"/>
      <c r="X254" s="12"/>
      <c r="Y254" s="12"/>
      <c r="Z254" s="12"/>
      <c r="AA254" s="12"/>
      <c r="AB254" s="12"/>
      <c r="AD254" s="31"/>
      <c r="AE254" s="12"/>
      <c r="AF254" s="197"/>
      <c r="AG254" s="197"/>
      <c r="AH254" s="197"/>
      <c r="AI254" s="197"/>
      <c r="AJ254" s="12"/>
      <c r="AK254" s="12"/>
      <c r="AL254" s="12"/>
      <c r="AM254" s="12"/>
      <c r="AN254" s="12"/>
      <c r="AO254" s="12"/>
      <c r="AP254" s="12"/>
      <c r="AQ254" s="12"/>
      <c r="AR254" s="12"/>
      <c r="AS254" s="12"/>
      <c r="AT254" s="12"/>
    </row>
    <row r="255" spans="1:46" x14ac:dyDescent="0.25">
      <c r="A255" s="12"/>
      <c r="B255" s="12"/>
      <c r="C255" s="12"/>
      <c r="D255" s="12"/>
      <c r="E255" s="12"/>
      <c r="F255" s="12"/>
      <c r="G255" s="12"/>
      <c r="H255" s="12"/>
      <c r="I255" s="21" t="str">
        <f>IF(COUNTA('[1]Virus production'!A242)=1,('[1]Virus production'!A242),"")</f>
        <v>AAV241</v>
      </c>
      <c r="J255" s="12"/>
      <c r="L255" s="31">
        <v>44586</v>
      </c>
      <c r="M255" s="12">
        <v>4</v>
      </c>
      <c r="N255" s="197">
        <f t="shared" si="28"/>
        <v>44586</v>
      </c>
      <c r="O255" s="197">
        <f t="shared" si="29"/>
        <v>44562</v>
      </c>
      <c r="P255" s="384">
        <f t="shared" si="30"/>
        <v>4</v>
      </c>
      <c r="Q255" s="384">
        <f t="shared" si="31"/>
        <v>1558</v>
      </c>
      <c r="R255" s="12">
        <f t="shared" si="32"/>
        <v>855</v>
      </c>
      <c r="S255" s="12"/>
      <c r="T255" s="12"/>
      <c r="U255" s="12"/>
      <c r="V255" s="12"/>
      <c r="W255" s="12"/>
      <c r="X255" s="12"/>
      <c r="Y255" s="12"/>
      <c r="Z255" s="12"/>
      <c r="AA255" s="12"/>
      <c r="AB255" s="12"/>
      <c r="AD255" s="31"/>
      <c r="AE255" s="12"/>
      <c r="AF255" s="197"/>
      <c r="AG255" s="197"/>
      <c r="AH255" s="197"/>
      <c r="AI255" s="197"/>
      <c r="AJ255" s="12"/>
      <c r="AK255" s="12"/>
      <c r="AL255" s="12"/>
      <c r="AM255" s="12"/>
      <c r="AN255" s="12"/>
      <c r="AO255" s="12"/>
      <c r="AP255" s="12"/>
      <c r="AQ255" s="12"/>
      <c r="AR255" s="12"/>
      <c r="AS255" s="12"/>
      <c r="AT255" s="12"/>
    </row>
    <row r="256" spans="1:46" x14ac:dyDescent="0.25">
      <c r="A256" s="12"/>
      <c r="B256" s="12"/>
      <c r="C256" s="12"/>
      <c r="D256" s="12"/>
      <c r="E256" s="12"/>
      <c r="F256" s="12"/>
      <c r="G256" s="12"/>
      <c r="H256" s="12"/>
      <c r="I256" s="21" t="str">
        <f>IF(COUNTA('[1]Virus production'!A243)=1,('[1]Virus production'!A243),"")</f>
        <v>AAV242</v>
      </c>
      <c r="J256" s="12"/>
      <c r="L256" s="31">
        <v>44587</v>
      </c>
      <c r="M256" s="12">
        <v>4</v>
      </c>
      <c r="N256" s="197">
        <f t="shared" si="28"/>
        <v>44587</v>
      </c>
      <c r="O256" s="197">
        <f t="shared" si="29"/>
        <v>44562</v>
      </c>
      <c r="P256" s="384">
        <f t="shared" si="30"/>
        <v>4</v>
      </c>
      <c r="Q256" s="384">
        <f t="shared" si="31"/>
        <v>1559</v>
      </c>
      <c r="R256" s="12">
        <f t="shared" si="32"/>
        <v>859</v>
      </c>
      <c r="S256" s="12"/>
      <c r="T256" s="12"/>
      <c r="U256" s="12"/>
      <c r="V256" s="12"/>
      <c r="W256" s="12"/>
      <c r="X256" s="12"/>
      <c r="Y256" s="12"/>
      <c r="Z256" s="12"/>
      <c r="AA256" s="12"/>
      <c r="AB256" s="12"/>
      <c r="AD256" s="31"/>
      <c r="AE256" s="12"/>
      <c r="AF256" s="197"/>
      <c r="AG256" s="197"/>
      <c r="AH256" s="197"/>
      <c r="AI256" s="197"/>
      <c r="AJ256" s="12"/>
      <c r="AK256" s="12"/>
      <c r="AL256" s="12"/>
      <c r="AM256" s="12"/>
      <c r="AN256" s="12"/>
      <c r="AO256" s="12"/>
      <c r="AP256" s="12"/>
      <c r="AQ256" s="12"/>
      <c r="AR256" s="12"/>
      <c r="AS256" s="12"/>
      <c r="AT256" s="12"/>
    </row>
    <row r="257" spans="1:46" x14ac:dyDescent="0.25">
      <c r="A257" s="12"/>
      <c r="B257" s="12"/>
      <c r="C257" s="12"/>
      <c r="D257" s="12"/>
      <c r="E257" s="12"/>
      <c r="F257" s="12"/>
      <c r="G257" s="12"/>
      <c r="H257" s="12"/>
      <c r="I257" s="21" t="str">
        <f>IF(COUNTA('[1]Virus production'!A244)=1,('[1]Virus production'!A244),"")</f>
        <v>AAV243</v>
      </c>
      <c r="J257" s="12"/>
      <c r="L257" s="31">
        <v>44599</v>
      </c>
      <c r="M257" s="12">
        <v>4</v>
      </c>
      <c r="N257" s="197">
        <f t="shared" si="28"/>
        <v>44599</v>
      </c>
      <c r="O257" s="197">
        <f t="shared" si="29"/>
        <v>44593</v>
      </c>
      <c r="P257" s="384">
        <f t="shared" si="30"/>
        <v>4</v>
      </c>
      <c r="Q257" s="384">
        <f t="shared" si="31"/>
        <v>1571</v>
      </c>
      <c r="R257" s="12">
        <f t="shared" si="32"/>
        <v>863</v>
      </c>
      <c r="S257" s="12"/>
      <c r="T257" s="12"/>
      <c r="U257" s="12"/>
      <c r="V257" s="12"/>
      <c r="W257" s="12"/>
      <c r="X257" s="12"/>
      <c r="Y257" s="12"/>
      <c r="Z257" s="12"/>
      <c r="AA257" s="12"/>
      <c r="AB257" s="12"/>
      <c r="AD257" s="31"/>
      <c r="AE257" s="12"/>
      <c r="AF257" s="197"/>
      <c r="AG257" s="197"/>
      <c r="AH257" s="197"/>
      <c r="AI257" s="197"/>
      <c r="AJ257" s="12"/>
      <c r="AK257" s="12"/>
      <c r="AL257" s="12"/>
      <c r="AM257" s="12"/>
      <c r="AN257" s="12"/>
      <c r="AO257" s="12"/>
      <c r="AP257" s="12"/>
      <c r="AQ257" s="12"/>
      <c r="AR257" s="12"/>
      <c r="AS257" s="12"/>
      <c r="AT257" s="12"/>
    </row>
    <row r="258" spans="1:46" x14ac:dyDescent="0.25">
      <c r="A258" s="12"/>
      <c r="B258" s="12"/>
      <c r="C258" s="12"/>
      <c r="D258" s="12"/>
      <c r="E258" s="12"/>
      <c r="F258" s="12"/>
      <c r="G258" s="12"/>
      <c r="H258" s="12"/>
      <c r="I258" s="21" t="str">
        <f>IF(COUNTA('[1]Virus production'!A245)=1,('[1]Virus production'!A245),"")</f>
        <v>AAV244</v>
      </c>
      <c r="J258" s="12"/>
      <c r="L258" s="31">
        <v>44600</v>
      </c>
      <c r="M258" s="12">
        <v>2</v>
      </c>
      <c r="N258" s="197">
        <f t="shared" si="28"/>
        <v>44600</v>
      </c>
      <c r="O258" s="197">
        <f t="shared" si="29"/>
        <v>44593</v>
      </c>
      <c r="P258" s="384">
        <f t="shared" si="30"/>
        <v>2</v>
      </c>
      <c r="Q258" s="384">
        <f t="shared" si="31"/>
        <v>1572</v>
      </c>
      <c r="R258" s="12">
        <f t="shared" si="32"/>
        <v>865</v>
      </c>
      <c r="S258" s="12"/>
      <c r="T258" s="12"/>
      <c r="U258" s="12"/>
      <c r="V258" s="12"/>
      <c r="W258" s="12"/>
      <c r="X258" s="12"/>
      <c r="Y258" s="12"/>
      <c r="Z258" s="12"/>
      <c r="AA258" s="12"/>
      <c r="AB258" s="12"/>
      <c r="AD258" s="31"/>
      <c r="AE258" s="12"/>
      <c r="AF258" s="197"/>
      <c r="AG258" s="197"/>
      <c r="AH258" s="197"/>
      <c r="AI258" s="197"/>
      <c r="AJ258" s="12"/>
      <c r="AK258" s="12"/>
      <c r="AL258" s="12"/>
      <c r="AM258" s="12"/>
      <c r="AN258" s="12"/>
      <c r="AO258" s="12"/>
      <c r="AP258" s="12"/>
      <c r="AQ258" s="12"/>
      <c r="AR258" s="12"/>
      <c r="AS258" s="12"/>
      <c r="AT258" s="12"/>
    </row>
    <row r="259" spans="1:46" x14ac:dyDescent="0.25">
      <c r="A259" s="12"/>
      <c r="B259" s="12"/>
      <c r="C259" s="12"/>
      <c r="D259" s="12"/>
      <c r="E259" s="12"/>
      <c r="F259" s="12"/>
      <c r="G259" s="12"/>
      <c r="H259" s="12"/>
      <c r="I259" s="21" t="str">
        <f>IF(COUNTA('[1]Virus production'!A246)=1,('[1]Virus production'!A246),"")</f>
        <v>AAV245</v>
      </c>
      <c r="J259" s="12"/>
      <c r="L259" s="31">
        <v>44606</v>
      </c>
      <c r="M259" s="12">
        <v>8</v>
      </c>
      <c r="N259" s="197">
        <f t="shared" si="28"/>
        <v>44606</v>
      </c>
      <c r="O259" s="197">
        <f t="shared" si="29"/>
        <v>44593</v>
      </c>
      <c r="P259" s="384">
        <f t="shared" si="30"/>
        <v>8</v>
      </c>
      <c r="Q259" s="384">
        <f t="shared" si="31"/>
        <v>1578</v>
      </c>
      <c r="R259" s="12">
        <f t="shared" si="32"/>
        <v>873</v>
      </c>
      <c r="S259" s="12"/>
      <c r="T259" s="12"/>
      <c r="U259" s="12"/>
      <c r="V259" s="12"/>
      <c r="W259" s="12"/>
      <c r="X259" s="12"/>
      <c r="Y259" s="12"/>
      <c r="Z259" s="12"/>
      <c r="AA259" s="12"/>
      <c r="AB259" s="12"/>
      <c r="AD259" s="31"/>
      <c r="AE259" s="12"/>
      <c r="AF259" s="197"/>
      <c r="AG259" s="197"/>
      <c r="AH259" s="197"/>
      <c r="AI259" s="197"/>
      <c r="AJ259" s="12"/>
      <c r="AK259" s="12"/>
      <c r="AL259" s="12"/>
      <c r="AM259" s="12"/>
      <c r="AN259" s="12"/>
      <c r="AO259" s="12"/>
      <c r="AP259" s="12"/>
      <c r="AQ259" s="12"/>
      <c r="AR259" s="12"/>
      <c r="AS259" s="12"/>
      <c r="AT259" s="12"/>
    </row>
    <row r="260" spans="1:46" x14ac:dyDescent="0.25">
      <c r="A260" s="12"/>
      <c r="B260" s="12"/>
      <c r="C260" s="12"/>
      <c r="D260" s="12"/>
      <c r="E260" s="12"/>
      <c r="F260" s="12"/>
      <c r="G260" s="12"/>
      <c r="H260" s="12"/>
      <c r="I260" s="21" t="str">
        <f>IF(COUNTA('[1]Virus production'!A247)=1,('[1]Virus production'!A247),"")</f>
        <v>AAV251</v>
      </c>
      <c r="J260" s="12"/>
      <c r="L260" s="31">
        <v>44615</v>
      </c>
      <c r="M260" s="12">
        <v>4</v>
      </c>
      <c r="N260" s="197">
        <f t="shared" si="28"/>
        <v>44615</v>
      </c>
      <c r="O260" s="197">
        <f t="shared" si="29"/>
        <v>44593</v>
      </c>
      <c r="P260" s="384">
        <f t="shared" si="30"/>
        <v>4</v>
      </c>
      <c r="Q260" s="384">
        <f t="shared" si="31"/>
        <v>1587</v>
      </c>
      <c r="R260" s="12">
        <f t="shared" si="32"/>
        <v>877</v>
      </c>
      <c r="S260" s="12"/>
      <c r="T260" s="12"/>
      <c r="U260" s="12"/>
      <c r="V260" s="12"/>
      <c r="W260" s="12"/>
      <c r="X260" s="12"/>
      <c r="Y260" s="12"/>
      <c r="Z260" s="12"/>
      <c r="AA260" s="12"/>
      <c r="AB260" s="12"/>
      <c r="AD260" s="31"/>
      <c r="AE260" s="12"/>
      <c r="AF260" s="197"/>
      <c r="AG260" s="197"/>
      <c r="AH260" s="197"/>
      <c r="AI260" s="197"/>
      <c r="AJ260" s="12"/>
      <c r="AK260" s="12"/>
      <c r="AL260" s="12"/>
      <c r="AM260" s="12"/>
      <c r="AN260" s="12"/>
      <c r="AO260" s="12"/>
      <c r="AP260" s="12"/>
      <c r="AQ260" s="12"/>
      <c r="AR260" s="12"/>
      <c r="AS260" s="12"/>
      <c r="AT260" s="12"/>
    </row>
    <row r="261" spans="1:46" x14ac:dyDescent="0.25">
      <c r="A261" s="12"/>
      <c r="B261" s="12"/>
      <c r="C261" s="12"/>
      <c r="D261" s="12"/>
      <c r="E261" s="12"/>
      <c r="F261" s="12"/>
      <c r="G261" s="12"/>
      <c r="H261" s="12"/>
      <c r="I261" s="21" t="str">
        <f>IF(COUNTA('[1]Virus production'!A248)=1,('[1]Virus production'!A248),"")</f>
        <v>AAV252/1</v>
      </c>
      <c r="J261" s="12"/>
      <c r="L261" s="31">
        <v>44623</v>
      </c>
      <c r="M261" s="12">
        <v>5</v>
      </c>
      <c r="N261" s="197">
        <f t="shared" ref="N261:N324" si="33">L261</f>
        <v>44623</v>
      </c>
      <c r="O261" s="197">
        <f t="shared" ref="O261:O324" si="34">DATE(YEAR(N261),MONTH(N261),1)</f>
        <v>44621</v>
      </c>
      <c r="P261" s="384">
        <f t="shared" ref="P261:P324" si="35">M261</f>
        <v>5</v>
      </c>
      <c r="Q261" s="384">
        <f t="shared" ref="Q261:Q324" si="36">N261-$N$4</f>
        <v>1595</v>
      </c>
      <c r="R261" s="12">
        <f t="shared" ref="R261:R324" si="37">R260+M261</f>
        <v>882</v>
      </c>
      <c r="S261" s="12"/>
      <c r="T261" s="12"/>
      <c r="U261" s="12"/>
      <c r="V261" s="12"/>
      <c r="W261" s="12"/>
      <c r="X261" s="12"/>
      <c r="Y261" s="12"/>
      <c r="Z261" s="12"/>
      <c r="AA261" s="12"/>
      <c r="AB261" s="12"/>
      <c r="AD261" s="31"/>
      <c r="AE261" s="12"/>
      <c r="AF261" s="197"/>
      <c r="AG261" s="197"/>
      <c r="AH261" s="197"/>
      <c r="AI261" s="197"/>
      <c r="AJ261" s="12"/>
      <c r="AK261" s="12"/>
      <c r="AL261" s="12"/>
      <c r="AM261" s="12"/>
      <c r="AN261" s="12"/>
      <c r="AO261" s="12"/>
      <c r="AP261" s="12"/>
      <c r="AQ261" s="12"/>
      <c r="AR261" s="12"/>
      <c r="AS261" s="12"/>
      <c r="AT261" s="12"/>
    </row>
    <row r="262" spans="1:46" x14ac:dyDescent="0.25">
      <c r="A262" s="12"/>
      <c r="B262" s="12"/>
      <c r="C262" s="12"/>
      <c r="D262" s="12"/>
      <c r="E262" s="12"/>
      <c r="F262" s="12"/>
      <c r="G262" s="12"/>
      <c r="H262" s="12"/>
      <c r="I262" s="21" t="str">
        <f>IF(COUNTA('[1]Virus production'!A249)=1,('[1]Virus production'!A249),"")</f>
        <v>AAV252/2</v>
      </c>
      <c r="J262" s="12"/>
      <c r="L262" s="31">
        <v>44627</v>
      </c>
      <c r="M262" s="12">
        <v>5</v>
      </c>
      <c r="N262" s="197">
        <f t="shared" si="33"/>
        <v>44627</v>
      </c>
      <c r="O262" s="197">
        <f t="shared" si="34"/>
        <v>44621</v>
      </c>
      <c r="P262" s="384">
        <f t="shared" si="35"/>
        <v>5</v>
      </c>
      <c r="Q262" s="384">
        <f t="shared" si="36"/>
        <v>1599</v>
      </c>
      <c r="R262" s="12">
        <f t="shared" si="37"/>
        <v>887</v>
      </c>
      <c r="S262" s="12"/>
      <c r="T262" s="12"/>
      <c r="U262" s="12"/>
      <c r="V262" s="12"/>
      <c r="W262" s="12"/>
      <c r="X262" s="12"/>
      <c r="Y262" s="12"/>
      <c r="Z262" s="12"/>
      <c r="AA262" s="12"/>
      <c r="AB262" s="12"/>
      <c r="AD262" s="31"/>
      <c r="AE262" s="12"/>
      <c r="AF262" s="197"/>
      <c r="AG262" s="197"/>
      <c r="AH262" s="197"/>
      <c r="AI262" s="197"/>
      <c r="AJ262" s="12"/>
      <c r="AK262" s="12"/>
      <c r="AL262" s="12"/>
      <c r="AM262" s="12"/>
      <c r="AN262" s="12"/>
      <c r="AO262" s="12"/>
      <c r="AP262" s="12"/>
      <c r="AQ262" s="12"/>
      <c r="AR262" s="12"/>
      <c r="AS262" s="12"/>
      <c r="AT262" s="12"/>
    </row>
    <row r="263" spans="1:46" x14ac:dyDescent="0.25">
      <c r="A263" s="12"/>
      <c r="B263" s="12"/>
      <c r="C263" s="12"/>
      <c r="D263" s="12"/>
      <c r="E263" s="12"/>
      <c r="F263" s="12"/>
      <c r="G263" s="12"/>
      <c r="H263" s="12"/>
      <c r="I263" s="21" t="str">
        <f>IF(COUNTA('[1]Virus production'!A250)=1,('[1]Virus production'!A250),"")</f>
        <v>AAV256</v>
      </c>
      <c r="J263" s="12"/>
      <c r="L263" s="31">
        <v>44628</v>
      </c>
      <c r="M263" s="12">
        <v>7</v>
      </c>
      <c r="N263" s="197">
        <f t="shared" si="33"/>
        <v>44628</v>
      </c>
      <c r="O263" s="197">
        <f t="shared" si="34"/>
        <v>44621</v>
      </c>
      <c r="P263" s="384">
        <f t="shared" si="35"/>
        <v>7</v>
      </c>
      <c r="Q263" s="384">
        <f t="shared" si="36"/>
        <v>1600</v>
      </c>
      <c r="R263" s="12">
        <f t="shared" si="37"/>
        <v>894</v>
      </c>
      <c r="S263" s="12"/>
      <c r="T263" s="12"/>
      <c r="U263" s="12"/>
      <c r="V263" s="12"/>
      <c r="W263" s="12"/>
      <c r="X263" s="12"/>
      <c r="Y263" s="12"/>
      <c r="Z263" s="12"/>
      <c r="AA263" s="12"/>
      <c r="AB263" s="12"/>
      <c r="AD263" s="31"/>
      <c r="AE263" s="12"/>
      <c r="AF263" s="197"/>
      <c r="AG263" s="197"/>
      <c r="AH263" s="197"/>
      <c r="AI263" s="197"/>
      <c r="AJ263" s="12"/>
      <c r="AK263" s="12"/>
      <c r="AL263" s="12"/>
      <c r="AM263" s="12"/>
      <c r="AN263" s="12"/>
      <c r="AO263" s="12"/>
      <c r="AP263" s="12"/>
      <c r="AQ263" s="12"/>
      <c r="AR263" s="12"/>
      <c r="AS263" s="12"/>
      <c r="AT263" s="12"/>
    </row>
    <row r="264" spans="1:46" x14ac:dyDescent="0.25">
      <c r="A264" s="12"/>
      <c r="B264" s="12"/>
      <c r="C264" s="12"/>
      <c r="D264" s="12"/>
      <c r="E264" s="12"/>
      <c r="F264" s="12"/>
      <c r="G264" s="12"/>
      <c r="H264" s="12"/>
      <c r="I264" s="21" t="str">
        <f>IF(COUNTA('[1]Virus production'!A251)=1,('[1]Virus production'!A251),"")</f>
        <v>AAV257</v>
      </c>
      <c r="J264" s="12"/>
      <c r="L264" s="31">
        <v>44629</v>
      </c>
      <c r="M264" s="12">
        <v>2</v>
      </c>
      <c r="N264" s="197">
        <f t="shared" si="33"/>
        <v>44629</v>
      </c>
      <c r="O264" s="197">
        <f t="shared" si="34"/>
        <v>44621</v>
      </c>
      <c r="P264" s="384">
        <f t="shared" si="35"/>
        <v>2</v>
      </c>
      <c r="Q264" s="384">
        <f t="shared" si="36"/>
        <v>1601</v>
      </c>
      <c r="R264" s="12">
        <f t="shared" si="37"/>
        <v>896</v>
      </c>
      <c r="S264" s="12"/>
      <c r="T264" s="12"/>
      <c r="U264" s="12"/>
      <c r="V264" s="12"/>
      <c r="W264" s="12"/>
      <c r="X264" s="12"/>
      <c r="Y264" s="12"/>
      <c r="Z264" s="12"/>
      <c r="AA264" s="12"/>
      <c r="AB264" s="12"/>
      <c r="AD264" s="31"/>
      <c r="AE264" s="12"/>
      <c r="AF264" s="197"/>
      <c r="AG264" s="197"/>
      <c r="AH264" s="197"/>
      <c r="AI264" s="197"/>
      <c r="AJ264" s="12"/>
      <c r="AK264" s="12"/>
      <c r="AL264" s="12"/>
      <c r="AM264" s="12"/>
      <c r="AN264" s="12"/>
      <c r="AO264" s="12"/>
      <c r="AP264" s="12"/>
      <c r="AQ264" s="12"/>
      <c r="AR264" s="12"/>
      <c r="AS264" s="12"/>
      <c r="AT264" s="12"/>
    </row>
    <row r="265" spans="1:46" x14ac:dyDescent="0.25">
      <c r="A265" s="12"/>
      <c r="B265" s="12"/>
      <c r="C265" s="12"/>
      <c r="D265" s="12"/>
      <c r="E265" s="12"/>
      <c r="F265" s="12"/>
      <c r="G265" s="12"/>
      <c r="H265" s="12"/>
      <c r="I265" s="21" t="str">
        <f>IF(COUNTA('[1]Virus production'!A252)=1,('[1]Virus production'!A252),"")</f>
        <v>AAV258</v>
      </c>
      <c r="J265" s="12"/>
      <c r="L265" s="31">
        <v>44648</v>
      </c>
      <c r="M265" s="12">
        <v>4</v>
      </c>
      <c r="N265" s="197">
        <f t="shared" si="33"/>
        <v>44648</v>
      </c>
      <c r="O265" s="197">
        <f t="shared" si="34"/>
        <v>44621</v>
      </c>
      <c r="P265" s="384">
        <f t="shared" si="35"/>
        <v>4</v>
      </c>
      <c r="Q265" s="384">
        <f t="shared" si="36"/>
        <v>1620</v>
      </c>
      <c r="R265" s="12">
        <f t="shared" si="37"/>
        <v>900</v>
      </c>
      <c r="S265" s="12"/>
      <c r="T265" s="12"/>
      <c r="U265" s="12"/>
      <c r="V265" s="12"/>
      <c r="W265" s="12"/>
      <c r="X265" s="12"/>
      <c r="Y265" s="12"/>
      <c r="Z265" s="12"/>
      <c r="AA265" s="12"/>
      <c r="AB265" s="12"/>
      <c r="AD265" s="31"/>
      <c r="AE265" s="12"/>
      <c r="AF265" s="197"/>
      <c r="AG265" s="197"/>
      <c r="AH265" s="197"/>
      <c r="AI265" s="197"/>
      <c r="AJ265" s="12"/>
      <c r="AK265" s="12"/>
      <c r="AL265" s="12"/>
      <c r="AM265" s="12"/>
      <c r="AN265" s="12"/>
      <c r="AO265" s="12"/>
      <c r="AP265" s="12"/>
      <c r="AQ265" s="12"/>
      <c r="AR265" s="12"/>
      <c r="AS265" s="12"/>
      <c r="AT265" s="12"/>
    </row>
    <row r="266" spans="1:46" x14ac:dyDescent="0.25">
      <c r="A266" s="12"/>
      <c r="B266" s="12"/>
      <c r="C266" s="12"/>
      <c r="D266" s="12"/>
      <c r="E266" s="12"/>
      <c r="F266" s="12"/>
      <c r="G266" s="12"/>
      <c r="H266" s="12"/>
      <c r="I266" s="21" t="str">
        <f>IF(COUNTA('[1]Virus production'!A253)=1,('[1]Virus production'!A253),"")</f>
        <v>AAV260</v>
      </c>
      <c r="J266" s="12"/>
      <c r="L266" s="31">
        <v>44649</v>
      </c>
      <c r="M266" s="12">
        <v>2</v>
      </c>
      <c r="N266" s="197">
        <f t="shared" si="33"/>
        <v>44649</v>
      </c>
      <c r="O266" s="197">
        <f t="shared" si="34"/>
        <v>44621</v>
      </c>
      <c r="P266" s="384">
        <f t="shared" si="35"/>
        <v>2</v>
      </c>
      <c r="Q266" s="384">
        <f t="shared" si="36"/>
        <v>1621</v>
      </c>
      <c r="R266" s="12">
        <f t="shared" si="37"/>
        <v>902</v>
      </c>
      <c r="S266" s="12"/>
      <c r="T266" s="12"/>
      <c r="U266" s="12"/>
      <c r="V266" s="12"/>
      <c r="W266" s="12"/>
      <c r="X266" s="12"/>
      <c r="Y266" s="12"/>
      <c r="Z266" s="12"/>
      <c r="AA266" s="12"/>
      <c r="AB266" s="12"/>
      <c r="AD266" s="31"/>
      <c r="AE266" s="12"/>
      <c r="AF266" s="197"/>
      <c r="AG266" s="197"/>
      <c r="AH266" s="197"/>
      <c r="AI266" s="197"/>
      <c r="AJ266" s="12"/>
      <c r="AK266" s="12"/>
      <c r="AL266" s="12"/>
      <c r="AM266" s="12"/>
      <c r="AN266" s="12"/>
      <c r="AO266" s="12"/>
      <c r="AP266" s="12"/>
      <c r="AQ266" s="12"/>
      <c r="AR266" s="12"/>
      <c r="AS266" s="12"/>
      <c r="AT266" s="12"/>
    </row>
    <row r="267" spans="1:46" x14ac:dyDescent="0.25">
      <c r="A267" s="12"/>
      <c r="B267" s="12"/>
      <c r="C267" s="12"/>
      <c r="D267" s="12"/>
      <c r="E267" s="12"/>
      <c r="F267" s="12"/>
      <c r="G267" s="12"/>
      <c r="H267" s="12"/>
      <c r="I267" s="21" t="str">
        <f>IF(COUNTA('[1]Virus production'!A254)=1,('[1]Virus production'!A254),"")</f>
        <v>AAV261</v>
      </c>
      <c r="J267" s="12"/>
      <c r="L267" s="31">
        <v>44656</v>
      </c>
      <c r="M267" s="12">
        <v>2</v>
      </c>
      <c r="N267" s="197">
        <f t="shared" si="33"/>
        <v>44656</v>
      </c>
      <c r="O267" s="197">
        <f t="shared" si="34"/>
        <v>44652</v>
      </c>
      <c r="P267" s="384">
        <f t="shared" si="35"/>
        <v>2</v>
      </c>
      <c r="Q267" s="384">
        <f t="shared" si="36"/>
        <v>1628</v>
      </c>
      <c r="R267" s="12">
        <f t="shared" si="37"/>
        <v>904</v>
      </c>
      <c r="S267" s="12"/>
      <c r="T267" s="12"/>
      <c r="U267" s="12"/>
      <c r="V267" s="12"/>
      <c r="W267" s="12"/>
      <c r="X267" s="12"/>
      <c r="Y267" s="12"/>
      <c r="Z267" s="12"/>
      <c r="AA267" s="12"/>
      <c r="AB267" s="12"/>
      <c r="AD267" s="31"/>
      <c r="AE267" s="12"/>
      <c r="AF267" s="197"/>
      <c r="AG267" s="197"/>
      <c r="AH267" s="197"/>
      <c r="AI267" s="197"/>
      <c r="AJ267" s="12"/>
      <c r="AK267" s="12"/>
      <c r="AL267" s="12"/>
      <c r="AM267" s="12"/>
      <c r="AN267" s="12"/>
      <c r="AO267" s="12"/>
      <c r="AP267" s="12"/>
      <c r="AQ267" s="12"/>
      <c r="AR267" s="12"/>
      <c r="AS267" s="12"/>
      <c r="AT267" s="12"/>
    </row>
    <row r="268" spans="1:46" x14ac:dyDescent="0.25">
      <c r="A268" s="12"/>
      <c r="B268" s="12"/>
      <c r="C268" s="12"/>
      <c r="D268" s="12"/>
      <c r="E268" s="12"/>
      <c r="F268" s="12"/>
      <c r="G268" s="12"/>
      <c r="H268" s="12"/>
      <c r="I268" s="21" t="str">
        <f>IF(COUNTA('[1]Virus production'!A255)=1,('[1]Virus production'!A255),"")</f>
        <v>AAV262</v>
      </c>
      <c r="J268" s="12"/>
      <c r="L268" s="31">
        <v>44657</v>
      </c>
      <c r="M268" s="12">
        <v>2</v>
      </c>
      <c r="N268" s="197">
        <f t="shared" si="33"/>
        <v>44657</v>
      </c>
      <c r="O268" s="197">
        <f t="shared" si="34"/>
        <v>44652</v>
      </c>
      <c r="P268" s="384">
        <f t="shared" si="35"/>
        <v>2</v>
      </c>
      <c r="Q268" s="384">
        <f t="shared" si="36"/>
        <v>1629</v>
      </c>
      <c r="R268" s="12">
        <f t="shared" si="37"/>
        <v>906</v>
      </c>
      <c r="S268" s="12"/>
      <c r="T268" s="12"/>
      <c r="U268" s="12"/>
      <c r="V268" s="12"/>
      <c r="W268" s="12"/>
      <c r="X268" s="12"/>
      <c r="Y268" s="12"/>
      <c r="Z268" s="12"/>
      <c r="AA268" s="12"/>
      <c r="AB268" s="12"/>
      <c r="AD268" s="31"/>
      <c r="AE268" s="12"/>
      <c r="AF268" s="197"/>
      <c r="AG268" s="197"/>
      <c r="AH268" s="197"/>
      <c r="AI268" s="197"/>
      <c r="AJ268" s="12"/>
      <c r="AK268" s="12"/>
      <c r="AL268" s="12"/>
      <c r="AM268" s="12"/>
      <c r="AN268" s="12"/>
      <c r="AO268" s="12"/>
      <c r="AP268" s="12"/>
      <c r="AQ268" s="12"/>
      <c r="AR268" s="12"/>
      <c r="AS268" s="12"/>
      <c r="AT268" s="12"/>
    </row>
    <row r="269" spans="1:46" x14ac:dyDescent="0.25">
      <c r="A269" s="12"/>
      <c r="B269" s="12"/>
      <c r="C269" s="12"/>
      <c r="D269" s="12"/>
      <c r="E269" s="12"/>
      <c r="F269" s="12"/>
      <c r="G269" s="12"/>
      <c r="H269" s="12"/>
      <c r="I269" s="21" t="str">
        <f>IF(COUNTA('[1]Virus production'!A256)=1,('[1]Virus production'!A256),"")</f>
        <v>AAV266</v>
      </c>
      <c r="J269" s="12"/>
      <c r="L269" s="31">
        <v>44658</v>
      </c>
      <c r="M269" s="12">
        <v>2</v>
      </c>
      <c r="N269" s="197">
        <f t="shared" si="33"/>
        <v>44658</v>
      </c>
      <c r="O269" s="197">
        <f t="shared" si="34"/>
        <v>44652</v>
      </c>
      <c r="P269" s="384">
        <f t="shared" si="35"/>
        <v>2</v>
      </c>
      <c r="Q269" s="384">
        <f t="shared" si="36"/>
        <v>1630</v>
      </c>
      <c r="R269" s="12">
        <f t="shared" si="37"/>
        <v>908</v>
      </c>
      <c r="S269" s="12"/>
      <c r="T269" s="12"/>
      <c r="U269" s="12"/>
      <c r="V269" s="12"/>
      <c r="W269" s="12"/>
      <c r="X269" s="12"/>
      <c r="Y269" s="12"/>
      <c r="Z269" s="12"/>
      <c r="AA269" s="12"/>
      <c r="AB269" s="12"/>
      <c r="AD269" s="31"/>
      <c r="AE269" s="12"/>
      <c r="AF269" s="197"/>
      <c r="AG269" s="197"/>
      <c r="AH269" s="197"/>
      <c r="AI269" s="197"/>
      <c r="AJ269" s="12"/>
      <c r="AK269" s="12"/>
      <c r="AL269" s="12"/>
      <c r="AM269" s="12"/>
      <c r="AN269" s="12"/>
      <c r="AO269" s="12"/>
      <c r="AP269" s="12"/>
      <c r="AQ269" s="12"/>
      <c r="AR269" s="12"/>
      <c r="AS269" s="12"/>
      <c r="AT269" s="12"/>
    </row>
    <row r="270" spans="1:46" x14ac:dyDescent="0.25">
      <c r="A270" s="12"/>
      <c r="B270" s="12"/>
      <c r="C270" s="12"/>
      <c r="D270" s="12"/>
      <c r="E270" s="12"/>
      <c r="F270" s="12"/>
      <c r="G270" s="12"/>
      <c r="H270" s="12"/>
      <c r="I270" s="21" t="str">
        <f>IF(COUNTA('[1]Virus production'!A257)=1,('[1]Virus production'!A257),"")</f>
        <v>AAV267</v>
      </c>
      <c r="J270" s="12"/>
      <c r="L270" s="31">
        <v>44671</v>
      </c>
      <c r="M270" s="12">
        <v>3</v>
      </c>
      <c r="N270" s="197">
        <f t="shared" si="33"/>
        <v>44671</v>
      </c>
      <c r="O270" s="197">
        <f t="shared" si="34"/>
        <v>44652</v>
      </c>
      <c r="P270" s="384">
        <f t="shared" si="35"/>
        <v>3</v>
      </c>
      <c r="Q270" s="384">
        <f t="shared" si="36"/>
        <v>1643</v>
      </c>
      <c r="R270" s="12">
        <f t="shared" si="37"/>
        <v>911</v>
      </c>
      <c r="S270" s="12"/>
      <c r="T270" s="12"/>
      <c r="U270" s="12"/>
      <c r="V270" s="12"/>
      <c r="W270" s="12"/>
      <c r="X270" s="12"/>
      <c r="Y270" s="12"/>
      <c r="Z270" s="12"/>
      <c r="AA270" s="12"/>
      <c r="AB270" s="12"/>
      <c r="AD270" s="31"/>
      <c r="AE270" s="12"/>
      <c r="AF270" s="197"/>
      <c r="AG270" s="197"/>
      <c r="AH270" s="197"/>
      <c r="AI270" s="197"/>
      <c r="AJ270" s="12"/>
      <c r="AK270" s="12"/>
      <c r="AL270" s="12"/>
      <c r="AM270" s="12"/>
      <c r="AN270" s="12"/>
      <c r="AO270" s="12"/>
      <c r="AP270" s="12"/>
      <c r="AQ270" s="12"/>
      <c r="AR270" s="12"/>
      <c r="AS270" s="12"/>
      <c r="AT270" s="12"/>
    </row>
    <row r="271" spans="1:46" x14ac:dyDescent="0.25">
      <c r="A271" s="12"/>
      <c r="B271" s="12"/>
      <c r="C271" s="12"/>
      <c r="D271" s="12"/>
      <c r="E271" s="12"/>
      <c r="F271" s="12"/>
      <c r="G271" s="12"/>
      <c r="H271" s="12"/>
      <c r="I271" s="21" t="str">
        <f>IF(COUNTA('[1]Virus production'!A258)=1,('[1]Virus production'!A258),"")</f>
        <v>AAV268</v>
      </c>
      <c r="J271" s="12"/>
      <c r="L271" s="31">
        <v>44673</v>
      </c>
      <c r="M271" s="12">
        <v>1</v>
      </c>
      <c r="N271" s="197">
        <f t="shared" si="33"/>
        <v>44673</v>
      </c>
      <c r="O271" s="197">
        <f t="shared" si="34"/>
        <v>44652</v>
      </c>
      <c r="P271" s="384">
        <f t="shared" si="35"/>
        <v>1</v>
      </c>
      <c r="Q271" s="384">
        <f t="shared" si="36"/>
        <v>1645</v>
      </c>
      <c r="R271" s="12">
        <f t="shared" si="37"/>
        <v>912</v>
      </c>
      <c r="S271" s="12"/>
      <c r="T271" s="12"/>
      <c r="U271" s="12"/>
      <c r="V271" s="12"/>
      <c r="W271" s="12"/>
      <c r="X271" s="12"/>
      <c r="Y271" s="12"/>
      <c r="Z271" s="12"/>
      <c r="AA271" s="12"/>
      <c r="AB271" s="12"/>
      <c r="AD271" s="31"/>
      <c r="AE271" s="12"/>
      <c r="AF271" s="197"/>
      <c r="AG271" s="197"/>
      <c r="AH271" s="197"/>
      <c r="AI271" s="197"/>
      <c r="AJ271" s="12"/>
      <c r="AK271" s="12"/>
      <c r="AL271" s="12"/>
      <c r="AM271" s="12"/>
      <c r="AN271" s="12"/>
      <c r="AO271" s="12"/>
      <c r="AP271" s="12"/>
      <c r="AQ271" s="12"/>
      <c r="AR271" s="12"/>
      <c r="AS271" s="12"/>
      <c r="AT271" s="12"/>
    </row>
    <row r="272" spans="1:46" x14ac:dyDescent="0.25">
      <c r="A272" s="12"/>
      <c r="B272" s="12"/>
      <c r="C272" s="12"/>
      <c r="D272" s="12"/>
      <c r="E272" s="12"/>
      <c r="F272" s="12"/>
      <c r="G272" s="12"/>
      <c r="H272" s="12"/>
      <c r="I272" s="21" t="str">
        <f>IF(COUNTA('[1]Virus production'!A259)=1,('[1]Virus production'!A259),"")</f>
        <v>AAV269</v>
      </c>
      <c r="J272" s="12"/>
      <c r="L272" s="31">
        <v>44685</v>
      </c>
      <c r="M272" s="12">
        <v>4</v>
      </c>
      <c r="N272" s="197">
        <f t="shared" si="33"/>
        <v>44685</v>
      </c>
      <c r="O272" s="197">
        <f t="shared" si="34"/>
        <v>44682</v>
      </c>
      <c r="P272" s="384">
        <f t="shared" si="35"/>
        <v>4</v>
      </c>
      <c r="Q272" s="384">
        <f t="shared" si="36"/>
        <v>1657</v>
      </c>
      <c r="R272" s="12">
        <f t="shared" si="37"/>
        <v>916</v>
      </c>
      <c r="S272" s="12"/>
      <c r="T272" s="12"/>
      <c r="U272" s="12"/>
      <c r="V272" s="12"/>
      <c r="W272" s="12"/>
      <c r="X272" s="12"/>
      <c r="Y272" s="12"/>
      <c r="Z272" s="12"/>
      <c r="AA272" s="12"/>
      <c r="AB272" s="12"/>
      <c r="AD272" s="31"/>
      <c r="AE272" s="12"/>
      <c r="AF272" s="197"/>
      <c r="AG272" s="197"/>
      <c r="AH272" s="197"/>
      <c r="AI272" s="197"/>
      <c r="AJ272" s="12"/>
      <c r="AK272" s="12"/>
      <c r="AL272" s="12"/>
      <c r="AM272" s="12"/>
      <c r="AN272" s="12"/>
      <c r="AO272" s="12"/>
      <c r="AP272" s="12"/>
      <c r="AQ272" s="12"/>
      <c r="AR272" s="12"/>
      <c r="AS272" s="12"/>
      <c r="AT272" s="12"/>
    </row>
    <row r="273" spans="1:46" x14ac:dyDescent="0.25">
      <c r="A273" s="12"/>
      <c r="B273" s="12"/>
      <c r="C273" s="12"/>
      <c r="D273" s="12"/>
      <c r="E273" s="12"/>
      <c r="F273" s="12"/>
      <c r="G273" s="12"/>
      <c r="H273" s="12"/>
      <c r="I273" s="21" t="str">
        <f>IF(COUNTA('[1]Virus production'!A260)=1,('[1]Virus production'!A260),"")</f>
        <v>AAV270</v>
      </c>
      <c r="J273" s="12"/>
      <c r="L273" s="31">
        <v>44720</v>
      </c>
      <c r="M273" s="12">
        <v>6</v>
      </c>
      <c r="N273" s="197">
        <f t="shared" si="33"/>
        <v>44720</v>
      </c>
      <c r="O273" s="197">
        <f t="shared" si="34"/>
        <v>44713</v>
      </c>
      <c r="P273" s="384">
        <f t="shared" si="35"/>
        <v>6</v>
      </c>
      <c r="Q273" s="384">
        <f t="shared" si="36"/>
        <v>1692</v>
      </c>
      <c r="R273" s="12">
        <f t="shared" si="37"/>
        <v>922</v>
      </c>
      <c r="S273" s="12"/>
      <c r="T273" s="12"/>
      <c r="U273" s="12"/>
      <c r="V273" s="12"/>
      <c r="W273" s="12"/>
      <c r="X273" s="12"/>
      <c r="Y273" s="12"/>
      <c r="Z273" s="12"/>
      <c r="AA273" s="12"/>
      <c r="AB273" s="12"/>
      <c r="AD273" s="31"/>
      <c r="AE273" s="12"/>
      <c r="AF273" s="197"/>
      <c r="AG273" s="197"/>
      <c r="AH273" s="197"/>
      <c r="AI273" s="197"/>
      <c r="AJ273" s="12"/>
      <c r="AK273" s="12"/>
      <c r="AL273" s="12"/>
      <c r="AM273" s="12"/>
      <c r="AN273" s="12"/>
      <c r="AO273" s="12"/>
      <c r="AP273" s="12"/>
      <c r="AQ273" s="12"/>
      <c r="AR273" s="12"/>
      <c r="AS273" s="12"/>
      <c r="AT273" s="12"/>
    </row>
    <row r="274" spans="1:46" x14ac:dyDescent="0.25">
      <c r="A274" s="12"/>
      <c r="B274" s="12"/>
      <c r="C274" s="12"/>
      <c r="D274" s="12"/>
      <c r="E274" s="12"/>
      <c r="F274" s="12"/>
      <c r="G274" s="12"/>
      <c r="H274" s="12"/>
      <c r="I274" s="21" t="str">
        <f>IF(COUNTA('[1]Virus production'!A261)=1,('[1]Virus production'!A261),"")</f>
        <v>AAV271</v>
      </c>
      <c r="J274" s="12"/>
      <c r="L274" s="31">
        <v>44721</v>
      </c>
      <c r="M274" s="12">
        <v>4</v>
      </c>
      <c r="N274" s="197">
        <f t="shared" si="33"/>
        <v>44721</v>
      </c>
      <c r="O274" s="197">
        <f t="shared" si="34"/>
        <v>44713</v>
      </c>
      <c r="P274" s="384">
        <f t="shared" si="35"/>
        <v>4</v>
      </c>
      <c r="Q274" s="384">
        <f t="shared" si="36"/>
        <v>1693</v>
      </c>
      <c r="R274" s="12">
        <f t="shared" si="37"/>
        <v>926</v>
      </c>
      <c r="S274" s="12"/>
      <c r="T274" s="12"/>
      <c r="U274" s="12"/>
      <c r="V274" s="12"/>
      <c r="W274" s="12"/>
      <c r="X274" s="12"/>
      <c r="Y274" s="12"/>
      <c r="Z274" s="12"/>
      <c r="AA274" s="12"/>
      <c r="AB274" s="12"/>
      <c r="AD274" s="31"/>
      <c r="AE274" s="12"/>
      <c r="AF274" s="197"/>
      <c r="AG274" s="197"/>
      <c r="AH274" s="197"/>
      <c r="AI274" s="197"/>
      <c r="AJ274" s="12"/>
      <c r="AK274" s="12"/>
      <c r="AL274" s="12"/>
      <c r="AM274" s="12"/>
      <c r="AN274" s="12"/>
      <c r="AO274" s="12"/>
      <c r="AP274" s="12"/>
      <c r="AQ274" s="12"/>
      <c r="AR274" s="12"/>
      <c r="AS274" s="12"/>
      <c r="AT274" s="12"/>
    </row>
    <row r="275" spans="1:46" x14ac:dyDescent="0.25">
      <c r="A275" s="12"/>
      <c r="B275" s="12"/>
      <c r="C275" s="12"/>
      <c r="D275" s="12"/>
      <c r="E275" s="12"/>
      <c r="F275" s="12"/>
      <c r="G275" s="12"/>
      <c r="H275" s="12"/>
      <c r="I275" s="21" t="str">
        <f>IF(COUNTA('[1]Virus production'!A262)=1,('[1]Virus production'!A262),"")</f>
        <v>AAV272</v>
      </c>
      <c r="J275" s="12"/>
      <c r="L275" s="31">
        <v>44733</v>
      </c>
      <c r="M275" s="12">
        <v>4</v>
      </c>
      <c r="N275" s="197">
        <f t="shared" si="33"/>
        <v>44733</v>
      </c>
      <c r="O275" s="197">
        <f t="shared" si="34"/>
        <v>44713</v>
      </c>
      <c r="P275" s="384">
        <f t="shared" si="35"/>
        <v>4</v>
      </c>
      <c r="Q275" s="384">
        <f t="shared" si="36"/>
        <v>1705</v>
      </c>
      <c r="R275" s="12">
        <f t="shared" si="37"/>
        <v>930</v>
      </c>
      <c r="S275" s="12"/>
      <c r="T275" s="12"/>
      <c r="U275" s="12"/>
      <c r="V275" s="12"/>
      <c r="W275" s="12"/>
      <c r="X275" s="12"/>
      <c r="Y275" s="12"/>
      <c r="Z275" s="12"/>
      <c r="AA275" s="12"/>
      <c r="AB275" s="12"/>
      <c r="AD275" s="31"/>
      <c r="AE275" s="12"/>
      <c r="AF275" s="197"/>
      <c r="AG275" s="197"/>
      <c r="AH275" s="197"/>
      <c r="AI275" s="197"/>
      <c r="AJ275" s="12"/>
      <c r="AK275" s="12"/>
      <c r="AL275" s="12"/>
      <c r="AM275" s="12"/>
      <c r="AN275" s="12"/>
      <c r="AO275" s="12"/>
      <c r="AP275" s="12"/>
      <c r="AQ275" s="12"/>
      <c r="AR275" s="12"/>
      <c r="AS275" s="12"/>
      <c r="AT275" s="12"/>
    </row>
    <row r="276" spans="1:46" x14ac:dyDescent="0.25">
      <c r="A276" s="12"/>
      <c r="B276" s="12"/>
      <c r="C276" s="12"/>
      <c r="D276" s="12"/>
      <c r="E276" s="12"/>
      <c r="F276" s="12"/>
      <c r="G276" s="12"/>
      <c r="H276" s="12"/>
      <c r="I276" s="21" t="str">
        <f>IF(COUNTA('[1]Virus production'!A263)=1,('[1]Virus production'!A263),"")</f>
        <v>AAV273</v>
      </c>
      <c r="J276" s="12"/>
      <c r="L276" s="31">
        <v>44736</v>
      </c>
      <c r="M276" s="12">
        <v>5</v>
      </c>
      <c r="N276" s="197">
        <f t="shared" si="33"/>
        <v>44736</v>
      </c>
      <c r="O276" s="197">
        <f t="shared" si="34"/>
        <v>44713</v>
      </c>
      <c r="P276" s="384">
        <f t="shared" si="35"/>
        <v>5</v>
      </c>
      <c r="Q276" s="384">
        <f t="shared" si="36"/>
        <v>1708</v>
      </c>
      <c r="R276" s="12">
        <f t="shared" si="37"/>
        <v>935</v>
      </c>
      <c r="S276" s="12"/>
      <c r="T276" s="12"/>
      <c r="U276" s="12"/>
      <c r="V276" s="12"/>
      <c r="W276" s="12"/>
      <c r="X276" s="12"/>
      <c r="Y276" s="12"/>
      <c r="Z276" s="12"/>
      <c r="AA276" s="12"/>
      <c r="AB276" s="12"/>
      <c r="AD276" s="31"/>
      <c r="AE276" s="12"/>
      <c r="AF276" s="197"/>
      <c r="AG276" s="197"/>
      <c r="AH276" s="197"/>
      <c r="AI276" s="197"/>
      <c r="AJ276" s="12"/>
      <c r="AK276" s="12"/>
      <c r="AL276" s="12"/>
      <c r="AM276" s="12"/>
      <c r="AN276" s="12"/>
      <c r="AO276" s="12"/>
      <c r="AP276" s="12"/>
      <c r="AQ276" s="12"/>
      <c r="AR276" s="12"/>
      <c r="AS276" s="12"/>
      <c r="AT276" s="12"/>
    </row>
    <row r="277" spans="1:46" x14ac:dyDescent="0.25">
      <c r="A277" s="12"/>
      <c r="B277" s="12"/>
      <c r="C277" s="12"/>
      <c r="D277" s="12"/>
      <c r="E277" s="12"/>
      <c r="F277" s="12"/>
      <c r="G277" s="12"/>
      <c r="H277" s="12"/>
      <c r="I277" s="21" t="str">
        <f>IF(COUNTA('[1]Virus production'!A264)=1,('[1]Virus production'!A264),"")</f>
        <v>AAV274</v>
      </c>
      <c r="J277" s="12"/>
      <c r="L277" s="31">
        <v>44761</v>
      </c>
      <c r="M277" s="12">
        <v>4</v>
      </c>
      <c r="N277" s="197">
        <f t="shared" si="33"/>
        <v>44761</v>
      </c>
      <c r="O277" s="197">
        <f t="shared" si="34"/>
        <v>44743</v>
      </c>
      <c r="P277" s="384">
        <f t="shared" si="35"/>
        <v>4</v>
      </c>
      <c r="Q277" s="384">
        <f t="shared" si="36"/>
        <v>1733</v>
      </c>
      <c r="R277" s="12">
        <f t="shared" si="37"/>
        <v>939</v>
      </c>
      <c r="S277" s="12"/>
      <c r="T277" s="12"/>
      <c r="U277" s="12"/>
      <c r="V277" s="12"/>
      <c r="W277" s="12"/>
      <c r="X277" s="12"/>
      <c r="Y277" s="12"/>
      <c r="Z277" s="12"/>
      <c r="AA277" s="12"/>
      <c r="AB277" s="12"/>
      <c r="AD277" s="31"/>
      <c r="AE277" s="12"/>
      <c r="AF277" s="197"/>
      <c r="AG277" s="197"/>
      <c r="AH277" s="197"/>
      <c r="AI277" s="197"/>
      <c r="AJ277" s="12"/>
      <c r="AK277" s="12"/>
      <c r="AL277" s="12"/>
      <c r="AM277" s="12"/>
      <c r="AN277" s="12"/>
      <c r="AO277" s="12"/>
      <c r="AP277" s="12"/>
      <c r="AQ277" s="12"/>
      <c r="AR277" s="12"/>
      <c r="AS277" s="12"/>
      <c r="AT277" s="12"/>
    </row>
    <row r="278" spans="1:46" x14ac:dyDescent="0.25">
      <c r="A278" s="12"/>
      <c r="B278" s="12"/>
      <c r="C278" s="12"/>
      <c r="D278" s="12"/>
      <c r="E278" s="12"/>
      <c r="F278" s="12"/>
      <c r="G278" s="12"/>
      <c r="H278" s="12"/>
      <c r="I278" s="21" t="str">
        <f>IF(COUNTA('[1]Virus production'!A265)=1,('[1]Virus production'!A265),"")</f>
        <v>AAV275</v>
      </c>
      <c r="J278" s="12"/>
      <c r="L278" s="31">
        <v>44768</v>
      </c>
      <c r="M278" s="12">
        <v>6</v>
      </c>
      <c r="N278" s="197">
        <f t="shared" si="33"/>
        <v>44768</v>
      </c>
      <c r="O278" s="197">
        <f t="shared" si="34"/>
        <v>44743</v>
      </c>
      <c r="P278" s="384">
        <f t="shared" si="35"/>
        <v>6</v>
      </c>
      <c r="Q278" s="384">
        <f t="shared" si="36"/>
        <v>1740</v>
      </c>
      <c r="R278" s="12">
        <f t="shared" si="37"/>
        <v>945</v>
      </c>
      <c r="S278" s="12"/>
      <c r="T278" s="12"/>
      <c r="U278" s="12"/>
      <c r="V278" s="12"/>
      <c r="W278" s="12"/>
      <c r="X278" s="12"/>
      <c r="Y278" s="12"/>
      <c r="Z278" s="12"/>
      <c r="AA278" s="12"/>
      <c r="AB278" s="12"/>
      <c r="AD278" s="31"/>
      <c r="AE278" s="12"/>
      <c r="AF278" s="197"/>
      <c r="AG278" s="197"/>
      <c r="AH278" s="197"/>
      <c r="AI278" s="197"/>
      <c r="AJ278" s="12"/>
      <c r="AK278" s="12"/>
      <c r="AL278" s="12"/>
      <c r="AM278" s="12"/>
      <c r="AN278" s="12"/>
      <c r="AO278" s="12"/>
      <c r="AP278" s="12"/>
      <c r="AQ278" s="12"/>
      <c r="AR278" s="12"/>
      <c r="AS278" s="12"/>
      <c r="AT278" s="12"/>
    </row>
    <row r="279" spans="1:46" x14ac:dyDescent="0.25">
      <c r="A279" s="12"/>
      <c r="B279" s="12"/>
      <c r="C279" s="12"/>
      <c r="D279" s="12"/>
      <c r="E279" s="12"/>
      <c r="F279" s="12"/>
      <c r="G279" s="12"/>
      <c r="H279" s="12"/>
      <c r="I279" s="21" t="str">
        <f>IF(COUNTA('[1]Virus production'!A266)=1,('[1]Virus production'!A266),"")</f>
        <v>AAV276</v>
      </c>
      <c r="J279" s="12"/>
      <c r="L279" s="31">
        <v>44769</v>
      </c>
      <c r="M279" s="12">
        <v>6</v>
      </c>
      <c r="N279" s="197">
        <f t="shared" si="33"/>
        <v>44769</v>
      </c>
      <c r="O279" s="197">
        <f t="shared" si="34"/>
        <v>44743</v>
      </c>
      <c r="P279" s="384">
        <f t="shared" si="35"/>
        <v>6</v>
      </c>
      <c r="Q279" s="384">
        <f t="shared" si="36"/>
        <v>1741</v>
      </c>
      <c r="R279" s="12">
        <f t="shared" si="37"/>
        <v>951</v>
      </c>
      <c r="S279" s="12"/>
      <c r="T279" s="12"/>
      <c r="U279" s="12"/>
      <c r="V279" s="12"/>
      <c r="W279" s="12"/>
      <c r="X279" s="12"/>
      <c r="Y279" s="12"/>
      <c r="Z279" s="12"/>
      <c r="AA279" s="12"/>
      <c r="AB279" s="12"/>
      <c r="AD279" s="31"/>
      <c r="AE279" s="12"/>
      <c r="AF279" s="197"/>
      <c r="AG279" s="197"/>
      <c r="AH279" s="197"/>
      <c r="AI279" s="197"/>
      <c r="AJ279" s="12"/>
      <c r="AK279" s="12"/>
      <c r="AL279" s="12"/>
      <c r="AM279" s="12"/>
      <c r="AN279" s="12"/>
      <c r="AO279" s="12"/>
      <c r="AP279" s="12"/>
      <c r="AQ279" s="12"/>
      <c r="AR279" s="12"/>
      <c r="AS279" s="12"/>
      <c r="AT279" s="12"/>
    </row>
    <row r="280" spans="1:46" x14ac:dyDescent="0.25">
      <c r="A280" s="12"/>
      <c r="B280" s="12"/>
      <c r="C280" s="12"/>
      <c r="D280" s="12"/>
      <c r="E280" s="12"/>
      <c r="F280" s="12"/>
      <c r="G280" s="12"/>
      <c r="H280" s="12"/>
      <c r="I280" s="21" t="str">
        <f>IF(COUNTA('[1]Virus production'!A267)=1,('[1]Virus production'!A267),"")</f>
        <v>AAV277</v>
      </c>
      <c r="J280" s="12"/>
      <c r="L280" s="31">
        <v>44770</v>
      </c>
      <c r="M280" s="12">
        <v>8</v>
      </c>
      <c r="N280" s="197">
        <f t="shared" si="33"/>
        <v>44770</v>
      </c>
      <c r="O280" s="197">
        <f t="shared" si="34"/>
        <v>44743</v>
      </c>
      <c r="P280" s="384">
        <f t="shared" si="35"/>
        <v>8</v>
      </c>
      <c r="Q280" s="384">
        <f t="shared" si="36"/>
        <v>1742</v>
      </c>
      <c r="R280" s="12">
        <f t="shared" si="37"/>
        <v>959</v>
      </c>
      <c r="S280" s="12"/>
      <c r="T280" s="12"/>
      <c r="U280" s="12"/>
      <c r="V280" s="12"/>
      <c r="W280" s="12"/>
      <c r="X280" s="12"/>
      <c r="Y280" s="12"/>
      <c r="Z280" s="12"/>
      <c r="AA280" s="12"/>
      <c r="AB280" s="12"/>
      <c r="AD280" s="31"/>
      <c r="AE280" s="12"/>
      <c r="AF280" s="197"/>
      <c r="AG280" s="197"/>
      <c r="AH280" s="197"/>
      <c r="AI280" s="197"/>
      <c r="AJ280" s="12"/>
      <c r="AK280" s="12"/>
      <c r="AL280" s="12"/>
      <c r="AM280" s="12"/>
      <c r="AN280" s="12"/>
      <c r="AO280" s="12"/>
      <c r="AP280" s="12"/>
      <c r="AQ280" s="12"/>
      <c r="AR280" s="12"/>
      <c r="AS280" s="12"/>
      <c r="AT280" s="12"/>
    </row>
    <row r="281" spans="1:46" x14ac:dyDescent="0.25">
      <c r="A281" s="12"/>
      <c r="B281" s="12"/>
      <c r="C281" s="12"/>
      <c r="D281" s="12"/>
      <c r="E281" s="12"/>
      <c r="F281" s="12"/>
      <c r="G281" s="12"/>
      <c r="H281" s="12"/>
      <c r="I281" s="21" t="str">
        <f>IF(COUNTA('[1]Virus production'!A268)=1,('[1]Virus production'!A268),"")</f>
        <v>AAV278</v>
      </c>
      <c r="J281" s="12"/>
      <c r="L281" s="31">
        <v>44774</v>
      </c>
      <c r="M281" s="12">
        <v>4</v>
      </c>
      <c r="N281" s="197">
        <f t="shared" si="33"/>
        <v>44774</v>
      </c>
      <c r="O281" s="197">
        <f t="shared" si="34"/>
        <v>44774</v>
      </c>
      <c r="P281" s="384">
        <f t="shared" si="35"/>
        <v>4</v>
      </c>
      <c r="Q281" s="384">
        <f t="shared" si="36"/>
        <v>1746</v>
      </c>
      <c r="R281" s="12">
        <f t="shared" si="37"/>
        <v>963</v>
      </c>
      <c r="S281" s="12"/>
      <c r="T281" s="12"/>
      <c r="U281" s="12"/>
      <c r="V281" s="12"/>
      <c r="W281" s="12"/>
      <c r="X281" s="12"/>
      <c r="Y281" s="12"/>
      <c r="Z281" s="12"/>
      <c r="AA281" s="12"/>
      <c r="AB281" s="12"/>
      <c r="AD281" s="31"/>
      <c r="AE281" s="12"/>
      <c r="AF281" s="197"/>
      <c r="AG281" s="197"/>
      <c r="AH281" s="197"/>
      <c r="AI281" s="197"/>
      <c r="AJ281" s="12"/>
      <c r="AK281" s="12"/>
      <c r="AL281" s="12"/>
      <c r="AM281" s="12"/>
      <c r="AN281" s="12"/>
      <c r="AO281" s="12"/>
      <c r="AP281" s="12"/>
      <c r="AQ281" s="12"/>
      <c r="AR281" s="12"/>
      <c r="AS281" s="12"/>
      <c r="AT281" s="12"/>
    </row>
    <row r="282" spans="1:46" x14ac:dyDescent="0.25">
      <c r="A282" s="12"/>
      <c r="B282" s="12"/>
      <c r="C282" s="12"/>
      <c r="D282" s="12"/>
      <c r="E282" s="12"/>
      <c r="F282" s="12"/>
      <c r="G282" s="12"/>
      <c r="H282" s="12"/>
      <c r="I282" s="21" t="str">
        <f>IF(COUNTA('[1]Virus production'!A269)=1,('[1]Virus production'!A269),"")</f>
        <v>AAV279</v>
      </c>
      <c r="J282" s="12"/>
      <c r="L282" s="31">
        <v>44775</v>
      </c>
      <c r="M282" s="12">
        <v>5</v>
      </c>
      <c r="N282" s="197">
        <f t="shared" si="33"/>
        <v>44775</v>
      </c>
      <c r="O282" s="197">
        <f t="shared" si="34"/>
        <v>44774</v>
      </c>
      <c r="P282" s="384">
        <f t="shared" si="35"/>
        <v>5</v>
      </c>
      <c r="Q282" s="384">
        <f t="shared" si="36"/>
        <v>1747</v>
      </c>
      <c r="R282" s="12">
        <f t="shared" si="37"/>
        <v>968</v>
      </c>
      <c r="S282" s="12"/>
      <c r="T282" s="12"/>
      <c r="U282" s="12"/>
      <c r="V282" s="12"/>
      <c r="W282" s="12"/>
      <c r="X282" s="12"/>
      <c r="Y282" s="12"/>
      <c r="Z282" s="12"/>
      <c r="AA282" s="12"/>
      <c r="AB282" s="12"/>
      <c r="AD282" s="31"/>
      <c r="AE282" s="12"/>
      <c r="AF282" s="197"/>
      <c r="AG282" s="197"/>
      <c r="AH282" s="197"/>
      <c r="AI282" s="197"/>
      <c r="AJ282" s="12"/>
      <c r="AK282" s="12"/>
      <c r="AL282" s="12"/>
      <c r="AM282" s="12"/>
      <c r="AN282" s="12"/>
      <c r="AO282" s="12"/>
      <c r="AP282" s="12"/>
      <c r="AQ282" s="12"/>
      <c r="AR282" s="12"/>
      <c r="AS282" s="12"/>
      <c r="AT282" s="12"/>
    </row>
    <row r="283" spans="1:46" x14ac:dyDescent="0.25">
      <c r="A283" s="12"/>
      <c r="B283" s="12"/>
      <c r="C283" s="12"/>
      <c r="D283" s="12"/>
      <c r="E283" s="12"/>
      <c r="F283" s="12"/>
      <c r="G283" s="12"/>
      <c r="H283" s="12"/>
      <c r="I283" s="21" t="str">
        <f>IF(COUNTA('[1]Virus production'!A270)=1,('[1]Virus production'!A270),"")</f>
        <v>AAV280</v>
      </c>
      <c r="J283" s="12"/>
      <c r="L283" s="31">
        <v>44776</v>
      </c>
      <c r="M283" s="12">
        <v>3</v>
      </c>
      <c r="N283" s="197">
        <f t="shared" si="33"/>
        <v>44776</v>
      </c>
      <c r="O283" s="197">
        <f t="shared" si="34"/>
        <v>44774</v>
      </c>
      <c r="P283" s="384">
        <f t="shared" si="35"/>
        <v>3</v>
      </c>
      <c r="Q283" s="384">
        <f t="shared" si="36"/>
        <v>1748</v>
      </c>
      <c r="R283" s="12">
        <f t="shared" si="37"/>
        <v>971</v>
      </c>
      <c r="S283" s="12"/>
      <c r="T283" s="12"/>
      <c r="U283" s="12"/>
      <c r="V283" s="12"/>
      <c r="W283" s="12"/>
      <c r="X283" s="12"/>
      <c r="Y283" s="12"/>
      <c r="Z283" s="12"/>
      <c r="AA283" s="12"/>
      <c r="AB283" s="12"/>
      <c r="AD283" s="31"/>
      <c r="AE283" s="12"/>
      <c r="AF283" s="197"/>
      <c r="AG283" s="197"/>
      <c r="AH283" s="197"/>
      <c r="AI283" s="197"/>
      <c r="AJ283" s="12"/>
      <c r="AK283" s="12"/>
      <c r="AL283" s="12"/>
      <c r="AM283" s="12"/>
      <c r="AN283" s="12"/>
      <c r="AO283" s="12"/>
      <c r="AP283" s="12"/>
      <c r="AQ283" s="12"/>
      <c r="AR283" s="12"/>
      <c r="AS283" s="12"/>
      <c r="AT283" s="12"/>
    </row>
    <row r="284" spans="1:46" x14ac:dyDescent="0.25">
      <c r="A284" s="12"/>
      <c r="B284" s="12"/>
      <c r="C284" s="12"/>
      <c r="D284" s="12"/>
      <c r="E284" s="12"/>
      <c r="F284" s="12"/>
      <c r="G284" s="12"/>
      <c r="H284" s="12"/>
      <c r="I284" s="21" t="str">
        <f>IF(COUNTA('[1]Virus production'!A271)=1,('[1]Virus production'!A271),"")</f>
        <v>AAV281</v>
      </c>
      <c r="J284" s="12"/>
      <c r="L284" s="31">
        <v>44783</v>
      </c>
      <c r="M284" s="12">
        <v>3</v>
      </c>
      <c r="N284" s="197">
        <f t="shared" si="33"/>
        <v>44783</v>
      </c>
      <c r="O284" s="197">
        <f t="shared" si="34"/>
        <v>44774</v>
      </c>
      <c r="P284" s="384">
        <f t="shared" si="35"/>
        <v>3</v>
      </c>
      <c r="Q284" s="384">
        <f t="shared" si="36"/>
        <v>1755</v>
      </c>
      <c r="R284" s="12">
        <f t="shared" si="37"/>
        <v>974</v>
      </c>
      <c r="S284" s="12"/>
      <c r="T284" s="12"/>
      <c r="U284" s="12"/>
      <c r="V284" s="12"/>
      <c r="W284" s="12"/>
      <c r="X284" s="12"/>
      <c r="Y284" s="12"/>
      <c r="Z284" s="12"/>
      <c r="AA284" s="12"/>
      <c r="AB284" s="12"/>
      <c r="AD284" s="31"/>
      <c r="AE284" s="12"/>
      <c r="AF284" s="197"/>
      <c r="AG284" s="197"/>
      <c r="AH284" s="197"/>
      <c r="AI284" s="197"/>
      <c r="AJ284" s="12"/>
      <c r="AK284" s="12"/>
      <c r="AL284" s="12"/>
      <c r="AM284" s="12"/>
      <c r="AN284" s="12"/>
      <c r="AO284" s="12"/>
      <c r="AP284" s="12"/>
      <c r="AQ284" s="12"/>
      <c r="AR284" s="12"/>
      <c r="AS284" s="12"/>
      <c r="AT284" s="12"/>
    </row>
    <row r="285" spans="1:46" x14ac:dyDescent="0.25">
      <c r="A285" s="12"/>
      <c r="B285" s="12"/>
      <c r="C285" s="12"/>
      <c r="D285" s="12"/>
      <c r="E285" s="12"/>
      <c r="F285" s="12"/>
      <c r="G285" s="12"/>
      <c r="H285" s="12"/>
      <c r="I285" s="21" t="str">
        <f>IF(COUNTA('[1]Virus production'!A272)=1,('[1]Virus production'!A272),"")</f>
        <v>AAV281Sn</v>
      </c>
      <c r="J285" s="12"/>
      <c r="L285" s="31">
        <v>44788</v>
      </c>
      <c r="M285" s="12">
        <v>6</v>
      </c>
      <c r="N285" s="197">
        <f t="shared" si="33"/>
        <v>44788</v>
      </c>
      <c r="O285" s="197">
        <f t="shared" si="34"/>
        <v>44774</v>
      </c>
      <c r="P285" s="384">
        <f t="shared" si="35"/>
        <v>6</v>
      </c>
      <c r="Q285" s="384">
        <f t="shared" si="36"/>
        <v>1760</v>
      </c>
      <c r="R285" s="12">
        <f t="shared" si="37"/>
        <v>980</v>
      </c>
      <c r="S285" s="12"/>
      <c r="T285" s="12"/>
      <c r="U285" s="12"/>
      <c r="V285" s="12"/>
      <c r="W285" s="12"/>
      <c r="X285" s="12"/>
      <c r="Y285" s="12"/>
      <c r="Z285" s="12"/>
      <c r="AA285" s="12"/>
      <c r="AB285" s="12"/>
      <c r="AD285" s="31"/>
      <c r="AE285" s="12"/>
      <c r="AF285" s="197"/>
      <c r="AG285" s="197"/>
      <c r="AH285" s="197"/>
      <c r="AI285" s="197"/>
      <c r="AJ285" s="12"/>
      <c r="AK285" s="12"/>
      <c r="AL285" s="12"/>
      <c r="AM285" s="12"/>
      <c r="AN285" s="12"/>
      <c r="AO285" s="12"/>
      <c r="AP285" s="12"/>
      <c r="AQ285" s="12"/>
      <c r="AR285" s="12"/>
      <c r="AS285" s="12"/>
      <c r="AT285" s="12"/>
    </row>
    <row r="286" spans="1:46" x14ac:dyDescent="0.25">
      <c r="A286" s="12"/>
      <c r="B286" s="12"/>
      <c r="C286" s="12"/>
      <c r="D286" s="12"/>
      <c r="E286" s="12"/>
      <c r="F286" s="12"/>
      <c r="G286" s="12"/>
      <c r="H286" s="12"/>
      <c r="I286" s="21" t="str">
        <f>IF(COUNTA('[1]Virus production'!A273)=1,('[1]Virus production'!A273),"")</f>
        <v>AAV282</v>
      </c>
      <c r="J286" s="12"/>
      <c r="L286" s="31">
        <v>44789</v>
      </c>
      <c r="M286" s="12">
        <v>6</v>
      </c>
      <c r="N286" s="197">
        <f t="shared" si="33"/>
        <v>44789</v>
      </c>
      <c r="O286" s="197">
        <f t="shared" si="34"/>
        <v>44774</v>
      </c>
      <c r="P286" s="384">
        <f t="shared" si="35"/>
        <v>6</v>
      </c>
      <c r="Q286" s="384">
        <f t="shared" si="36"/>
        <v>1761</v>
      </c>
      <c r="R286" s="12">
        <f t="shared" si="37"/>
        <v>986</v>
      </c>
      <c r="S286" s="12"/>
      <c r="T286" s="12"/>
      <c r="U286" s="12"/>
      <c r="V286" s="12"/>
      <c r="W286" s="12"/>
      <c r="X286" s="12"/>
      <c r="Y286" s="12"/>
      <c r="Z286" s="12"/>
      <c r="AA286" s="12"/>
      <c r="AB286" s="12"/>
      <c r="AD286" s="31"/>
      <c r="AE286" s="12"/>
      <c r="AF286" s="197"/>
      <c r="AG286" s="197"/>
      <c r="AH286" s="197"/>
      <c r="AI286" s="197"/>
      <c r="AJ286" s="12"/>
      <c r="AK286" s="12"/>
      <c r="AL286" s="12"/>
      <c r="AM286" s="12"/>
      <c r="AN286" s="12"/>
      <c r="AO286" s="12"/>
      <c r="AP286" s="12"/>
      <c r="AQ286" s="12"/>
      <c r="AR286" s="12"/>
      <c r="AS286" s="12"/>
      <c r="AT286" s="12"/>
    </row>
    <row r="287" spans="1:46" x14ac:dyDescent="0.25">
      <c r="A287" s="12"/>
      <c r="B287" s="12"/>
      <c r="C287" s="12"/>
      <c r="D287" s="12"/>
      <c r="E287" s="12"/>
      <c r="F287" s="12"/>
      <c r="G287" s="12"/>
      <c r="H287" s="12"/>
      <c r="I287" s="21" t="str">
        <f>IF(COUNTA('[1]Virus production'!A274)=1,('[1]Virus production'!A274),"")</f>
        <v>AAV283</v>
      </c>
      <c r="J287" s="12"/>
      <c r="L287" s="31">
        <v>44810</v>
      </c>
      <c r="M287" s="12">
        <v>3</v>
      </c>
      <c r="N287" s="197">
        <f t="shared" si="33"/>
        <v>44810</v>
      </c>
      <c r="O287" s="197">
        <f t="shared" si="34"/>
        <v>44805</v>
      </c>
      <c r="P287" s="384">
        <f t="shared" si="35"/>
        <v>3</v>
      </c>
      <c r="Q287" s="384">
        <f t="shared" si="36"/>
        <v>1782</v>
      </c>
      <c r="R287" s="12">
        <f t="shared" si="37"/>
        <v>989</v>
      </c>
      <c r="S287" s="12"/>
      <c r="T287" s="12"/>
      <c r="U287" s="12"/>
      <c r="V287" s="12"/>
      <c r="W287" s="12"/>
      <c r="X287" s="12"/>
      <c r="Y287" s="12"/>
      <c r="Z287" s="12"/>
      <c r="AA287" s="12"/>
      <c r="AB287" s="12"/>
      <c r="AD287" s="31"/>
      <c r="AE287" s="12"/>
      <c r="AF287" s="197"/>
      <c r="AG287" s="197"/>
      <c r="AH287" s="197"/>
      <c r="AI287" s="197"/>
      <c r="AJ287" s="12"/>
      <c r="AK287" s="12"/>
      <c r="AL287" s="12"/>
      <c r="AM287" s="12"/>
      <c r="AN287" s="12"/>
      <c r="AO287" s="12"/>
      <c r="AP287" s="12"/>
      <c r="AQ287" s="12"/>
      <c r="AR287" s="12"/>
      <c r="AS287" s="12"/>
      <c r="AT287" s="12"/>
    </row>
    <row r="288" spans="1:46" x14ac:dyDescent="0.25">
      <c r="A288" s="12"/>
      <c r="B288" s="12"/>
      <c r="C288" s="12"/>
      <c r="D288" s="12"/>
      <c r="E288" s="12"/>
      <c r="F288" s="12"/>
      <c r="G288" s="12"/>
      <c r="H288" s="12"/>
      <c r="I288" s="21" t="str">
        <f>IF(COUNTA('[1]Virus production'!A275)=1,('[1]Virus production'!A275),"")</f>
        <v>AAV284</v>
      </c>
      <c r="J288" s="12"/>
      <c r="L288" s="31">
        <v>44811</v>
      </c>
      <c r="M288" s="12">
        <v>2</v>
      </c>
      <c r="N288" s="197">
        <f t="shared" si="33"/>
        <v>44811</v>
      </c>
      <c r="O288" s="197">
        <f t="shared" si="34"/>
        <v>44805</v>
      </c>
      <c r="P288" s="384">
        <f t="shared" si="35"/>
        <v>2</v>
      </c>
      <c r="Q288" s="384">
        <f t="shared" si="36"/>
        <v>1783</v>
      </c>
      <c r="R288" s="12">
        <f t="shared" si="37"/>
        <v>991</v>
      </c>
      <c r="S288" s="12"/>
      <c r="T288" s="12"/>
      <c r="U288" s="12"/>
      <c r="V288" s="12"/>
      <c r="W288" s="12"/>
      <c r="X288" s="12"/>
      <c r="Y288" s="12"/>
      <c r="Z288" s="12"/>
      <c r="AA288" s="12"/>
      <c r="AB288" s="12"/>
      <c r="AD288" s="31"/>
      <c r="AE288" s="12"/>
      <c r="AF288" s="197"/>
      <c r="AG288" s="197"/>
      <c r="AH288" s="197"/>
      <c r="AI288" s="197"/>
      <c r="AJ288" s="12"/>
      <c r="AK288" s="12"/>
      <c r="AL288" s="12"/>
      <c r="AM288" s="12"/>
      <c r="AN288" s="12"/>
      <c r="AO288" s="12"/>
      <c r="AP288" s="12"/>
      <c r="AQ288" s="12"/>
      <c r="AR288" s="12"/>
      <c r="AS288" s="12"/>
      <c r="AT288" s="12"/>
    </row>
    <row r="289" spans="1:46" x14ac:dyDescent="0.25">
      <c r="A289" s="12"/>
      <c r="B289" s="12"/>
      <c r="C289" s="12"/>
      <c r="D289" s="12"/>
      <c r="E289" s="12"/>
      <c r="F289" s="12"/>
      <c r="G289" s="12"/>
      <c r="H289" s="12"/>
      <c r="I289" s="21" t="str">
        <f>IF(COUNTA('[1]Virus production'!A276)=1,('[1]Virus production'!A276),"")</f>
        <v>AAV285</v>
      </c>
      <c r="J289" s="12"/>
      <c r="L289" s="31">
        <v>44813</v>
      </c>
      <c r="M289" s="12">
        <v>2</v>
      </c>
      <c r="N289" s="197">
        <f t="shared" si="33"/>
        <v>44813</v>
      </c>
      <c r="O289" s="197">
        <f t="shared" si="34"/>
        <v>44805</v>
      </c>
      <c r="P289" s="384">
        <f t="shared" si="35"/>
        <v>2</v>
      </c>
      <c r="Q289" s="384">
        <f t="shared" si="36"/>
        <v>1785</v>
      </c>
      <c r="R289" s="12">
        <f t="shared" si="37"/>
        <v>993</v>
      </c>
      <c r="S289" s="12"/>
      <c r="T289" s="12"/>
      <c r="U289" s="12"/>
      <c r="V289" s="12"/>
      <c r="W289" s="12"/>
      <c r="X289" s="12"/>
      <c r="Y289" s="12"/>
      <c r="Z289" s="12"/>
      <c r="AA289" s="12"/>
      <c r="AB289" s="12"/>
      <c r="AD289" s="31"/>
      <c r="AE289" s="12"/>
      <c r="AF289" s="197"/>
      <c r="AG289" s="197"/>
      <c r="AH289" s="197"/>
      <c r="AI289" s="197"/>
      <c r="AJ289" s="12"/>
      <c r="AK289" s="12"/>
      <c r="AL289" s="12"/>
      <c r="AM289" s="12"/>
      <c r="AN289" s="12"/>
      <c r="AO289" s="12"/>
      <c r="AP289" s="12"/>
      <c r="AQ289" s="12"/>
      <c r="AR289" s="12"/>
      <c r="AS289" s="12"/>
      <c r="AT289" s="12"/>
    </row>
    <row r="290" spans="1:46" x14ac:dyDescent="0.25">
      <c r="A290" s="12"/>
      <c r="B290" s="12"/>
      <c r="C290" s="12"/>
      <c r="D290" s="12"/>
      <c r="E290" s="12"/>
      <c r="F290" s="12"/>
      <c r="G290" s="12"/>
      <c r="H290" s="12"/>
      <c r="I290" s="21" t="str">
        <f>IF(COUNTA('[1]Virus production'!A277)=1,('[1]Virus production'!A277),"")</f>
        <v>AAV286</v>
      </c>
      <c r="J290" s="12"/>
      <c r="L290" s="31">
        <v>44816</v>
      </c>
      <c r="M290" s="12">
        <v>2</v>
      </c>
      <c r="N290" s="197">
        <f t="shared" si="33"/>
        <v>44816</v>
      </c>
      <c r="O290" s="197">
        <f t="shared" si="34"/>
        <v>44805</v>
      </c>
      <c r="P290" s="384">
        <f t="shared" si="35"/>
        <v>2</v>
      </c>
      <c r="Q290" s="384">
        <f t="shared" si="36"/>
        <v>1788</v>
      </c>
      <c r="R290" s="12">
        <f t="shared" si="37"/>
        <v>995</v>
      </c>
      <c r="S290" s="12"/>
      <c r="T290" s="12"/>
      <c r="U290" s="12"/>
      <c r="V290" s="12"/>
      <c r="W290" s="12"/>
      <c r="X290" s="12"/>
      <c r="Y290" s="12"/>
      <c r="Z290" s="12"/>
      <c r="AA290" s="12"/>
      <c r="AB290" s="12"/>
      <c r="AD290" s="31"/>
      <c r="AE290" s="12"/>
      <c r="AF290" s="197"/>
      <c r="AG290" s="197"/>
      <c r="AH290" s="197"/>
      <c r="AI290" s="197"/>
      <c r="AJ290" s="12"/>
      <c r="AK290" s="12"/>
      <c r="AL290" s="12"/>
      <c r="AM290" s="12"/>
      <c r="AN290" s="12"/>
      <c r="AO290" s="12"/>
      <c r="AP290" s="12"/>
      <c r="AQ290" s="12"/>
      <c r="AR290" s="12"/>
      <c r="AS290" s="12"/>
      <c r="AT290" s="12"/>
    </row>
    <row r="291" spans="1:46" x14ac:dyDescent="0.25">
      <c r="A291" s="12"/>
      <c r="B291" s="12"/>
      <c r="C291" s="12"/>
      <c r="D291" s="12"/>
      <c r="E291" s="12"/>
      <c r="F291" s="12"/>
      <c r="G291" s="12"/>
      <c r="H291" s="12"/>
      <c r="I291" s="21" t="str">
        <f>IF(COUNTA('[1]Virus production'!A278)=1,('[1]Virus production'!A278),"")</f>
        <v>AAV287</v>
      </c>
      <c r="J291" s="12"/>
      <c r="L291" s="31">
        <v>44817</v>
      </c>
      <c r="M291" s="12">
        <v>2</v>
      </c>
      <c r="N291" s="197">
        <f t="shared" si="33"/>
        <v>44817</v>
      </c>
      <c r="O291" s="197">
        <f t="shared" si="34"/>
        <v>44805</v>
      </c>
      <c r="P291" s="384">
        <f t="shared" si="35"/>
        <v>2</v>
      </c>
      <c r="Q291" s="384">
        <f t="shared" si="36"/>
        <v>1789</v>
      </c>
      <c r="R291" s="12">
        <f t="shared" si="37"/>
        <v>997</v>
      </c>
      <c r="S291" s="12"/>
      <c r="T291" s="12"/>
      <c r="U291" s="12"/>
      <c r="V291" s="12"/>
      <c r="W291" s="12"/>
      <c r="X291" s="12"/>
      <c r="Y291" s="12"/>
      <c r="Z291" s="12"/>
      <c r="AA291" s="12"/>
      <c r="AB291" s="12"/>
      <c r="AD291" s="31"/>
      <c r="AE291" s="12"/>
      <c r="AF291" s="197"/>
      <c r="AG291" s="197"/>
      <c r="AH291" s="197"/>
      <c r="AI291" s="197"/>
      <c r="AJ291" s="12"/>
      <c r="AK291" s="12"/>
      <c r="AL291" s="12"/>
      <c r="AM291" s="12"/>
      <c r="AN291" s="12"/>
      <c r="AO291" s="12"/>
      <c r="AP291" s="12"/>
      <c r="AQ291" s="12"/>
      <c r="AR291" s="12"/>
      <c r="AS291" s="12"/>
      <c r="AT291" s="12"/>
    </row>
    <row r="292" spans="1:46" x14ac:dyDescent="0.25">
      <c r="A292" s="12"/>
      <c r="B292" s="12"/>
      <c r="C292" s="12"/>
      <c r="D292" s="12"/>
      <c r="E292" s="12"/>
      <c r="F292" s="12"/>
      <c r="G292" s="12"/>
      <c r="H292" s="12"/>
      <c r="I292" s="21" t="str">
        <f>IF(COUNTA('[1]Virus production'!A279)=1,('[1]Virus production'!A279),"")</f>
        <v>AAV288</v>
      </c>
      <c r="J292" s="12"/>
      <c r="L292" s="31">
        <v>44818</v>
      </c>
      <c r="M292" s="12">
        <v>2</v>
      </c>
      <c r="N292" s="197">
        <f t="shared" si="33"/>
        <v>44818</v>
      </c>
      <c r="O292" s="197">
        <f t="shared" si="34"/>
        <v>44805</v>
      </c>
      <c r="P292" s="384">
        <f t="shared" si="35"/>
        <v>2</v>
      </c>
      <c r="Q292" s="384">
        <f t="shared" si="36"/>
        <v>1790</v>
      </c>
      <c r="R292" s="12">
        <f t="shared" si="37"/>
        <v>999</v>
      </c>
      <c r="S292" s="12"/>
      <c r="T292" s="12"/>
      <c r="U292" s="12"/>
      <c r="V292" s="12"/>
      <c r="W292" s="12"/>
      <c r="X292" s="12"/>
      <c r="Y292" s="12"/>
      <c r="Z292" s="12"/>
      <c r="AA292" s="12"/>
      <c r="AB292" s="12"/>
      <c r="AD292" s="31"/>
      <c r="AE292" s="12"/>
      <c r="AF292" s="197"/>
      <c r="AG292" s="197"/>
      <c r="AH292" s="197"/>
      <c r="AI292" s="197"/>
      <c r="AJ292" s="12"/>
      <c r="AK292" s="12"/>
      <c r="AL292" s="12"/>
      <c r="AM292" s="12"/>
      <c r="AN292" s="12"/>
      <c r="AO292" s="12"/>
      <c r="AP292" s="12"/>
      <c r="AQ292" s="12"/>
      <c r="AR292" s="12"/>
      <c r="AS292" s="12"/>
      <c r="AT292" s="12"/>
    </row>
    <row r="293" spans="1:46" x14ac:dyDescent="0.25">
      <c r="A293" s="12"/>
      <c r="B293" s="12"/>
      <c r="C293" s="12"/>
      <c r="D293" s="12"/>
      <c r="E293" s="12"/>
      <c r="F293" s="12"/>
      <c r="G293" s="12"/>
      <c r="H293" s="12"/>
      <c r="I293" s="21" t="str">
        <f>IF(COUNTA('[1]Virus production'!A280)=1,('[1]Virus production'!A280),"")</f>
        <v>AAV289</v>
      </c>
      <c r="J293" s="12"/>
      <c r="L293" s="31">
        <v>44832</v>
      </c>
      <c r="M293" s="12">
        <v>4</v>
      </c>
      <c r="N293" s="197">
        <f t="shared" si="33"/>
        <v>44832</v>
      </c>
      <c r="O293" s="197">
        <f t="shared" si="34"/>
        <v>44805</v>
      </c>
      <c r="P293" s="384">
        <f t="shared" si="35"/>
        <v>4</v>
      </c>
      <c r="Q293" s="384">
        <f t="shared" si="36"/>
        <v>1804</v>
      </c>
      <c r="R293" s="12">
        <f t="shared" si="37"/>
        <v>1003</v>
      </c>
      <c r="S293" s="12"/>
      <c r="T293" s="12"/>
      <c r="U293" s="12"/>
      <c r="V293" s="12"/>
      <c r="W293" s="12"/>
      <c r="X293" s="12"/>
      <c r="Y293" s="12"/>
      <c r="Z293" s="12"/>
      <c r="AA293" s="12"/>
      <c r="AB293" s="12"/>
      <c r="AD293" s="31"/>
      <c r="AE293" s="12"/>
      <c r="AF293" s="197"/>
      <c r="AG293" s="197"/>
      <c r="AH293" s="197"/>
      <c r="AI293" s="197"/>
      <c r="AJ293" s="12"/>
      <c r="AK293" s="12"/>
      <c r="AL293" s="12"/>
      <c r="AM293" s="12"/>
      <c r="AN293" s="12"/>
      <c r="AO293" s="12"/>
      <c r="AP293" s="12"/>
      <c r="AQ293" s="12"/>
      <c r="AR293" s="12"/>
      <c r="AS293" s="12"/>
      <c r="AT293" s="12"/>
    </row>
    <row r="294" spans="1:46" x14ac:dyDescent="0.25">
      <c r="A294" s="12"/>
      <c r="B294" s="12"/>
      <c r="C294" s="12"/>
      <c r="D294" s="12"/>
      <c r="E294" s="12"/>
      <c r="F294" s="12"/>
      <c r="G294" s="12"/>
      <c r="H294" s="12"/>
      <c r="I294" s="21" t="str">
        <f>IF(COUNTA('[1]Virus production'!A281)=1,('[1]Virus production'!A281),"")</f>
        <v>AAV290</v>
      </c>
      <c r="J294" s="12"/>
      <c r="L294" s="31" t="s">
        <v>3170</v>
      </c>
      <c r="M294" s="12"/>
      <c r="N294" s="197" t="str">
        <f t="shared" si="33"/>
        <v>(üres)</v>
      </c>
      <c r="O294" s="197" t="e">
        <f t="shared" si="34"/>
        <v>#VALUE!</v>
      </c>
      <c r="P294" s="384">
        <f t="shared" si="35"/>
        <v>0</v>
      </c>
      <c r="Q294" s="384" t="e">
        <f t="shared" si="36"/>
        <v>#VALUE!</v>
      </c>
      <c r="R294" s="12">
        <f t="shared" si="37"/>
        <v>1003</v>
      </c>
      <c r="S294" s="12"/>
      <c r="T294" s="12"/>
      <c r="U294" s="12"/>
      <c r="V294" s="12"/>
      <c r="W294" s="12"/>
      <c r="X294" s="12"/>
      <c r="Y294" s="12"/>
      <c r="Z294" s="12"/>
      <c r="AA294" s="12"/>
      <c r="AB294" s="12"/>
      <c r="AD294" s="31"/>
      <c r="AE294" s="12"/>
      <c r="AF294" s="197"/>
      <c r="AG294" s="197"/>
      <c r="AH294" s="197"/>
      <c r="AI294" s="197"/>
      <c r="AJ294" s="12"/>
      <c r="AK294" s="12"/>
      <c r="AL294" s="12"/>
      <c r="AM294" s="12"/>
      <c r="AN294" s="12"/>
      <c r="AO294" s="12"/>
      <c r="AP294" s="12"/>
      <c r="AQ294" s="12"/>
      <c r="AR294" s="12"/>
      <c r="AS294" s="12"/>
      <c r="AT294" s="12"/>
    </row>
    <row r="295" spans="1:46" x14ac:dyDescent="0.25">
      <c r="A295" s="12"/>
      <c r="B295" s="12"/>
      <c r="C295" s="12"/>
      <c r="D295" s="12"/>
      <c r="E295" s="12"/>
      <c r="F295" s="12"/>
      <c r="G295" s="12"/>
      <c r="H295" s="12"/>
      <c r="I295" s="21" t="str">
        <f>IF(COUNTA('[1]Virus production'!A282)=1,('[1]Virus production'!A282),"")</f>
        <v>AAV292</v>
      </c>
      <c r="J295" s="12"/>
      <c r="L295" s="383">
        <v>43743</v>
      </c>
      <c r="M295" s="12">
        <v>1</v>
      </c>
      <c r="N295" s="197">
        <f t="shared" si="33"/>
        <v>43743</v>
      </c>
      <c r="O295" s="197">
        <f t="shared" si="34"/>
        <v>43739</v>
      </c>
      <c r="P295" s="384">
        <f t="shared" si="35"/>
        <v>1</v>
      </c>
      <c r="Q295" s="384">
        <f t="shared" si="36"/>
        <v>715</v>
      </c>
      <c r="R295" s="12">
        <f t="shared" si="37"/>
        <v>1004</v>
      </c>
      <c r="S295" s="12"/>
      <c r="T295" s="12"/>
      <c r="U295" s="12"/>
      <c r="V295" s="12"/>
      <c r="W295" s="12"/>
      <c r="X295" s="12"/>
      <c r="Y295" s="12"/>
      <c r="Z295" s="12"/>
      <c r="AA295" s="12"/>
      <c r="AB295" s="12"/>
      <c r="AD295" s="31"/>
      <c r="AE295" s="12"/>
      <c r="AF295" s="197"/>
      <c r="AG295" s="197"/>
      <c r="AH295" s="197"/>
      <c r="AI295" s="197"/>
      <c r="AJ295" s="12"/>
      <c r="AK295" s="12"/>
      <c r="AL295" s="12"/>
      <c r="AM295" s="12"/>
      <c r="AN295" s="12"/>
      <c r="AO295" s="12"/>
      <c r="AP295" s="12"/>
      <c r="AQ295" s="12"/>
      <c r="AR295" s="12"/>
      <c r="AS295" s="12"/>
      <c r="AT295" s="12"/>
    </row>
    <row r="296" spans="1:46" x14ac:dyDescent="0.25">
      <c r="A296" s="12"/>
      <c r="B296" s="12"/>
      <c r="C296" s="12"/>
      <c r="D296" s="12"/>
      <c r="E296" s="12"/>
      <c r="F296" s="12"/>
      <c r="G296" s="12"/>
      <c r="H296" s="12"/>
      <c r="I296" s="21" t="str">
        <f>IF(COUNTA('[1]Virus production'!A283)=1,('[1]Virus production'!A283),"")</f>
        <v>AAV293</v>
      </c>
      <c r="J296" s="12"/>
      <c r="L296" s="383">
        <v>43744</v>
      </c>
      <c r="M296" s="12">
        <v>1</v>
      </c>
      <c r="N296" s="197">
        <f t="shared" si="33"/>
        <v>43744</v>
      </c>
      <c r="O296" s="197">
        <f t="shared" si="34"/>
        <v>43739</v>
      </c>
      <c r="P296" s="384">
        <f t="shared" si="35"/>
        <v>1</v>
      </c>
      <c r="Q296" s="384">
        <f t="shared" si="36"/>
        <v>716</v>
      </c>
      <c r="R296" s="12">
        <f t="shared" si="37"/>
        <v>1005</v>
      </c>
      <c r="S296" s="12"/>
      <c r="T296" s="12"/>
      <c r="U296" s="12"/>
      <c r="V296" s="12"/>
      <c r="W296" s="12"/>
      <c r="X296" s="12"/>
      <c r="Y296" s="12"/>
      <c r="Z296" s="12"/>
      <c r="AA296" s="12"/>
      <c r="AB296" s="12"/>
      <c r="AD296" s="31"/>
      <c r="AE296" s="12"/>
      <c r="AF296" s="197"/>
      <c r="AG296" s="197"/>
      <c r="AH296" s="197"/>
      <c r="AI296" s="197"/>
      <c r="AJ296" s="12"/>
      <c r="AK296" s="12"/>
      <c r="AL296" s="12"/>
      <c r="AM296" s="12"/>
      <c r="AN296" s="12"/>
      <c r="AO296" s="12"/>
      <c r="AP296" s="12"/>
      <c r="AQ296" s="12"/>
      <c r="AR296" s="12"/>
      <c r="AS296" s="12"/>
      <c r="AT296" s="12"/>
    </row>
    <row r="297" spans="1:46" x14ac:dyDescent="0.25">
      <c r="A297" s="12"/>
      <c r="B297" s="12"/>
      <c r="C297" s="12"/>
      <c r="D297" s="12"/>
      <c r="E297" s="12"/>
      <c r="F297" s="12"/>
      <c r="G297" s="12"/>
      <c r="H297" s="12"/>
      <c r="I297" s="21" t="str">
        <f>IF(COUNTA('[1]Virus production'!A284)=1,('[1]Virus production'!A284),"")</f>
        <v>AAV294</v>
      </c>
      <c r="J297" s="12"/>
      <c r="L297" s="383">
        <v>44846</v>
      </c>
      <c r="M297" s="12">
        <v>2</v>
      </c>
      <c r="N297" s="197">
        <f t="shared" si="33"/>
        <v>44846</v>
      </c>
      <c r="O297" s="197">
        <f t="shared" si="34"/>
        <v>44835</v>
      </c>
      <c r="P297" s="384">
        <f t="shared" si="35"/>
        <v>2</v>
      </c>
      <c r="Q297" s="384">
        <f t="shared" si="36"/>
        <v>1818</v>
      </c>
      <c r="R297" s="12">
        <f t="shared" si="37"/>
        <v>1007</v>
      </c>
      <c r="S297" s="12"/>
      <c r="T297" s="12"/>
      <c r="U297" s="12"/>
      <c r="V297" s="12"/>
      <c r="W297" s="12"/>
      <c r="X297" s="12"/>
      <c r="Y297" s="12"/>
      <c r="Z297" s="12"/>
      <c r="AA297" s="12"/>
      <c r="AB297" s="12"/>
      <c r="AD297" s="31"/>
      <c r="AE297" s="12"/>
      <c r="AF297" s="197"/>
      <c r="AG297" s="197"/>
      <c r="AH297" s="197"/>
      <c r="AI297" s="197"/>
      <c r="AJ297" s="12"/>
      <c r="AK297" s="12"/>
      <c r="AL297" s="12"/>
      <c r="AM297" s="12"/>
      <c r="AN297" s="12"/>
      <c r="AO297" s="12"/>
      <c r="AP297" s="12"/>
      <c r="AQ297" s="12"/>
      <c r="AR297" s="12"/>
      <c r="AS297" s="12"/>
      <c r="AT297" s="12"/>
    </row>
    <row r="298" spans="1:46" x14ac:dyDescent="0.25">
      <c r="A298" s="12"/>
      <c r="B298" s="12"/>
      <c r="C298" s="12"/>
      <c r="D298" s="12"/>
      <c r="E298" s="12"/>
      <c r="F298" s="12"/>
      <c r="G298" s="12"/>
      <c r="H298" s="12"/>
      <c r="I298" s="21" t="str">
        <f>IF(COUNTA('[1]Virus production'!A285)=1,('[1]Virus production'!A285),"")</f>
        <v>AAV295</v>
      </c>
      <c r="J298" s="12"/>
      <c r="L298" s="383">
        <v>44845</v>
      </c>
      <c r="M298" s="12">
        <v>4</v>
      </c>
      <c r="N298" s="197">
        <f t="shared" si="33"/>
        <v>44845</v>
      </c>
      <c r="O298" s="197">
        <f t="shared" si="34"/>
        <v>44835</v>
      </c>
      <c r="P298" s="384">
        <f t="shared" si="35"/>
        <v>4</v>
      </c>
      <c r="Q298" s="384">
        <f t="shared" si="36"/>
        <v>1817</v>
      </c>
      <c r="R298" s="12">
        <f t="shared" si="37"/>
        <v>1011</v>
      </c>
      <c r="S298" s="12"/>
      <c r="T298" s="12"/>
      <c r="U298" s="12"/>
      <c r="V298" s="12"/>
      <c r="W298" s="12"/>
      <c r="X298" s="12"/>
      <c r="Y298" s="12"/>
      <c r="Z298" s="12"/>
      <c r="AA298" s="12"/>
      <c r="AB298" s="12"/>
      <c r="AD298" s="31"/>
      <c r="AE298" s="12"/>
      <c r="AF298" s="197"/>
      <c r="AG298" s="197"/>
      <c r="AH298" s="197"/>
      <c r="AI298" s="197"/>
      <c r="AJ298" s="12"/>
      <c r="AK298" s="12"/>
      <c r="AL298" s="12"/>
      <c r="AM298" s="12"/>
      <c r="AN298" s="12"/>
      <c r="AO298" s="12"/>
      <c r="AP298" s="12"/>
      <c r="AQ298" s="12"/>
      <c r="AR298" s="12"/>
      <c r="AS298" s="12"/>
      <c r="AT298" s="12"/>
    </row>
    <row r="299" spans="1:46" x14ac:dyDescent="0.25">
      <c r="A299" s="12"/>
      <c r="B299" s="12"/>
      <c r="C299" s="12"/>
      <c r="D299" s="12"/>
      <c r="E299" s="12"/>
      <c r="F299" s="12"/>
      <c r="G299" s="12"/>
      <c r="H299" s="12"/>
      <c r="I299" s="21" t="str">
        <f>IF(COUNTA('[1]Virus production'!A286)=1,('[1]Virus production'!A286),"")</f>
        <v>AAV296</v>
      </c>
      <c r="J299" s="12"/>
      <c r="L299" s="383">
        <v>44847</v>
      </c>
      <c r="M299" s="12">
        <v>2</v>
      </c>
      <c r="N299" s="197">
        <f t="shared" si="33"/>
        <v>44847</v>
      </c>
      <c r="O299" s="197">
        <f t="shared" si="34"/>
        <v>44835</v>
      </c>
      <c r="P299" s="384">
        <f t="shared" si="35"/>
        <v>2</v>
      </c>
      <c r="Q299" s="384">
        <f t="shared" si="36"/>
        <v>1819</v>
      </c>
      <c r="R299" s="12">
        <f t="shared" si="37"/>
        <v>1013</v>
      </c>
      <c r="S299" s="12"/>
      <c r="T299" s="12"/>
      <c r="U299" s="12"/>
      <c r="V299" s="12"/>
      <c r="W299" s="12"/>
      <c r="X299" s="12"/>
      <c r="Y299" s="12"/>
      <c r="Z299" s="12"/>
      <c r="AA299" s="12"/>
      <c r="AB299" s="12"/>
      <c r="AD299" s="31"/>
      <c r="AE299" s="12"/>
      <c r="AF299" s="197"/>
      <c r="AG299" s="197"/>
      <c r="AH299" s="197"/>
      <c r="AI299" s="197"/>
      <c r="AJ299" s="12"/>
      <c r="AK299" s="12"/>
      <c r="AL299" s="12"/>
      <c r="AM299" s="12"/>
      <c r="AN299" s="12"/>
      <c r="AO299" s="12"/>
      <c r="AP299" s="12"/>
      <c r="AQ299" s="12"/>
      <c r="AR299" s="12"/>
      <c r="AS299" s="12"/>
      <c r="AT299" s="12"/>
    </row>
    <row r="300" spans="1:46" x14ac:dyDescent="0.25">
      <c r="A300" s="12"/>
      <c r="B300" s="12"/>
      <c r="C300" s="12"/>
      <c r="D300" s="12"/>
      <c r="E300" s="12"/>
      <c r="F300" s="12"/>
      <c r="G300" s="12"/>
      <c r="H300" s="12"/>
      <c r="I300" s="21" t="str">
        <f>IF(COUNTA('[1]Virus production'!A287)=1,('[1]Virus production'!A287),"")</f>
        <v>AAV297</v>
      </c>
      <c r="J300" s="12"/>
      <c r="L300" s="383">
        <v>44848</v>
      </c>
      <c r="M300" s="12">
        <v>3</v>
      </c>
      <c r="N300" s="197">
        <f t="shared" si="33"/>
        <v>44848</v>
      </c>
      <c r="O300" s="197">
        <f t="shared" si="34"/>
        <v>44835</v>
      </c>
      <c r="P300" s="384">
        <f t="shared" si="35"/>
        <v>3</v>
      </c>
      <c r="Q300" s="384">
        <f t="shared" si="36"/>
        <v>1820</v>
      </c>
      <c r="R300" s="12">
        <f t="shared" si="37"/>
        <v>1016</v>
      </c>
      <c r="S300" s="12"/>
      <c r="T300" s="12"/>
      <c r="U300" s="12"/>
      <c r="V300" s="12"/>
      <c r="W300" s="12"/>
      <c r="X300" s="12"/>
      <c r="Y300" s="12"/>
      <c r="Z300" s="12"/>
      <c r="AA300" s="12"/>
      <c r="AB300" s="12"/>
      <c r="AD300" s="31"/>
      <c r="AE300" s="12"/>
      <c r="AF300" s="197"/>
      <c r="AG300" s="197"/>
      <c r="AH300" s="197"/>
      <c r="AI300" s="197"/>
      <c r="AJ300" s="12"/>
      <c r="AK300" s="12"/>
      <c r="AL300" s="12"/>
      <c r="AM300" s="12"/>
      <c r="AN300" s="12"/>
      <c r="AO300" s="12"/>
      <c r="AP300" s="12"/>
      <c r="AQ300" s="12"/>
      <c r="AR300" s="12"/>
      <c r="AS300" s="12"/>
      <c r="AT300" s="12"/>
    </row>
    <row r="301" spans="1:46" x14ac:dyDescent="0.25">
      <c r="A301" s="12"/>
      <c r="B301" s="12"/>
      <c r="C301" s="12"/>
      <c r="D301" s="12"/>
      <c r="E301" s="12"/>
      <c r="F301" s="12"/>
      <c r="G301" s="12"/>
      <c r="H301" s="12"/>
      <c r="I301" s="21" t="str">
        <f>IF(COUNTA('[1]Virus production'!A288)=1,('[1]Virus production'!A288),"")</f>
        <v>AAV298</v>
      </c>
      <c r="J301" s="12"/>
      <c r="L301" s="383">
        <v>44867</v>
      </c>
      <c r="M301" s="12">
        <v>1</v>
      </c>
      <c r="N301" s="197">
        <f t="shared" si="33"/>
        <v>44867</v>
      </c>
      <c r="O301" s="197">
        <f t="shared" si="34"/>
        <v>44866</v>
      </c>
      <c r="P301" s="384">
        <f t="shared" si="35"/>
        <v>1</v>
      </c>
      <c r="Q301" s="384">
        <f t="shared" si="36"/>
        <v>1839</v>
      </c>
      <c r="R301" s="12">
        <f t="shared" si="37"/>
        <v>1017</v>
      </c>
      <c r="S301" s="12"/>
      <c r="T301" s="12"/>
      <c r="U301" s="12"/>
      <c r="V301" s="12"/>
      <c r="W301" s="12"/>
      <c r="X301" s="12"/>
      <c r="Y301" s="12"/>
      <c r="Z301" s="12"/>
      <c r="AA301" s="12"/>
      <c r="AB301" s="12"/>
      <c r="AD301" s="31"/>
      <c r="AE301" s="12"/>
      <c r="AF301" s="197"/>
      <c r="AG301" s="197"/>
      <c r="AH301" s="197"/>
      <c r="AI301" s="197"/>
      <c r="AJ301" s="12"/>
      <c r="AK301" s="12"/>
      <c r="AL301" s="12"/>
      <c r="AM301" s="12"/>
      <c r="AN301" s="12"/>
      <c r="AO301" s="12"/>
      <c r="AP301" s="12"/>
      <c r="AQ301" s="12"/>
      <c r="AR301" s="12"/>
      <c r="AS301" s="12"/>
      <c r="AT301" s="12"/>
    </row>
    <row r="302" spans="1:46" x14ac:dyDescent="0.25">
      <c r="A302" s="12"/>
      <c r="B302" s="12"/>
      <c r="C302" s="12"/>
      <c r="D302" s="12"/>
      <c r="E302" s="12"/>
      <c r="F302" s="12"/>
      <c r="G302" s="12"/>
      <c r="H302" s="12"/>
      <c r="I302" s="21" t="str">
        <f>IF(COUNTA('[1]Virus production'!A289)=1,('[1]Virus production'!A289),"")</f>
        <v>AAV299</v>
      </c>
      <c r="J302" s="12"/>
      <c r="L302" s="383">
        <v>44874</v>
      </c>
      <c r="M302" s="12">
        <v>5</v>
      </c>
      <c r="N302" s="197">
        <f t="shared" si="33"/>
        <v>44874</v>
      </c>
      <c r="O302" s="197">
        <f t="shared" si="34"/>
        <v>44866</v>
      </c>
      <c r="P302" s="384">
        <f t="shared" si="35"/>
        <v>5</v>
      </c>
      <c r="Q302" s="384">
        <f t="shared" si="36"/>
        <v>1846</v>
      </c>
      <c r="R302" s="12">
        <f t="shared" si="37"/>
        <v>1022</v>
      </c>
      <c r="S302" s="12"/>
      <c r="T302" s="12"/>
      <c r="U302" s="12"/>
      <c r="V302" s="12"/>
      <c r="W302" s="12"/>
      <c r="X302" s="12"/>
      <c r="Y302" s="12"/>
      <c r="Z302" s="12"/>
      <c r="AA302" s="12"/>
      <c r="AB302" s="12"/>
      <c r="AD302" s="31"/>
      <c r="AE302" s="12"/>
      <c r="AF302" s="197"/>
      <c r="AG302" s="197"/>
      <c r="AH302" s="197"/>
      <c r="AI302" s="197"/>
      <c r="AJ302" s="12"/>
      <c r="AK302" s="12"/>
      <c r="AL302" s="12"/>
      <c r="AM302" s="12"/>
      <c r="AN302" s="12"/>
      <c r="AO302" s="12"/>
      <c r="AP302" s="12"/>
      <c r="AQ302" s="12"/>
      <c r="AR302" s="12"/>
      <c r="AS302" s="12"/>
      <c r="AT302" s="12"/>
    </row>
    <row r="303" spans="1:46" x14ac:dyDescent="0.25">
      <c r="A303" s="12"/>
      <c r="B303" s="12"/>
      <c r="C303" s="12"/>
      <c r="D303" s="12"/>
      <c r="E303" s="12"/>
      <c r="F303" s="12"/>
      <c r="G303" s="12"/>
      <c r="H303" s="12"/>
      <c r="I303" s="21" t="str">
        <f>IF(COUNTA('[1]Virus production'!A290)=1,('[1]Virus production'!A290),"")</f>
        <v>AAV300</v>
      </c>
      <c r="J303" s="12"/>
      <c r="L303" s="383">
        <v>44901</v>
      </c>
      <c r="M303" s="12">
        <v>1</v>
      </c>
      <c r="N303" s="197">
        <f t="shared" si="33"/>
        <v>44901</v>
      </c>
      <c r="O303" s="197">
        <f t="shared" si="34"/>
        <v>44896</v>
      </c>
      <c r="P303" s="384">
        <f t="shared" si="35"/>
        <v>1</v>
      </c>
      <c r="Q303" s="384">
        <f t="shared" si="36"/>
        <v>1873</v>
      </c>
      <c r="R303" s="12">
        <f t="shared" si="37"/>
        <v>1023</v>
      </c>
      <c r="S303" s="12"/>
      <c r="T303" s="12"/>
      <c r="U303" s="12"/>
      <c r="V303" s="12"/>
      <c r="W303" s="12"/>
      <c r="X303" s="12"/>
      <c r="Y303" s="12"/>
      <c r="Z303" s="12"/>
      <c r="AA303" s="12"/>
      <c r="AB303" s="12"/>
      <c r="AD303" s="31"/>
      <c r="AE303" s="12"/>
      <c r="AF303" s="197"/>
      <c r="AG303" s="197"/>
      <c r="AH303" s="197"/>
      <c r="AI303" s="197"/>
      <c r="AJ303" s="12"/>
      <c r="AK303" s="12"/>
      <c r="AL303" s="12"/>
      <c r="AM303" s="12"/>
      <c r="AN303" s="12"/>
      <c r="AO303" s="12"/>
      <c r="AP303" s="12"/>
      <c r="AQ303" s="12"/>
      <c r="AR303" s="12"/>
      <c r="AS303" s="12"/>
      <c r="AT303" s="12"/>
    </row>
    <row r="304" spans="1:46" x14ac:dyDescent="0.25">
      <c r="A304" s="12"/>
      <c r="B304" s="12"/>
      <c r="C304" s="12"/>
      <c r="D304" s="12"/>
      <c r="E304" s="12"/>
      <c r="F304" s="12"/>
      <c r="G304" s="12"/>
      <c r="H304" s="12"/>
      <c r="I304" s="21" t="str">
        <f>IF(COUNTA('[1]Virus production'!A291)=1,('[1]Virus production'!A291),"")</f>
        <v>AAV301</v>
      </c>
      <c r="J304" s="12"/>
      <c r="L304" s="383">
        <v>44908</v>
      </c>
      <c r="M304" s="12">
        <v>2</v>
      </c>
      <c r="N304" s="197">
        <f t="shared" si="33"/>
        <v>44908</v>
      </c>
      <c r="O304" s="197">
        <f t="shared" si="34"/>
        <v>44896</v>
      </c>
      <c r="P304" s="384">
        <f t="shared" si="35"/>
        <v>2</v>
      </c>
      <c r="Q304" s="384">
        <f t="shared" si="36"/>
        <v>1880</v>
      </c>
      <c r="R304" s="12">
        <f t="shared" si="37"/>
        <v>1025</v>
      </c>
      <c r="S304" s="12"/>
      <c r="T304" s="12"/>
      <c r="U304" s="12"/>
      <c r="V304" s="12"/>
      <c r="W304" s="12"/>
      <c r="X304" s="12"/>
      <c r="Y304" s="12"/>
      <c r="Z304" s="12"/>
      <c r="AA304" s="12"/>
      <c r="AB304" s="12"/>
      <c r="AD304" s="31"/>
      <c r="AE304" s="12"/>
      <c r="AF304" s="197"/>
      <c r="AG304" s="197"/>
      <c r="AH304" s="197"/>
      <c r="AI304" s="197"/>
      <c r="AJ304" s="12"/>
      <c r="AK304" s="12"/>
      <c r="AL304" s="12"/>
      <c r="AM304" s="12"/>
      <c r="AN304" s="12"/>
      <c r="AO304" s="12"/>
      <c r="AP304" s="12"/>
      <c r="AQ304" s="12"/>
      <c r="AR304" s="12"/>
      <c r="AS304" s="12"/>
      <c r="AT304" s="12"/>
    </row>
    <row r="305" spans="1:46" x14ac:dyDescent="0.25">
      <c r="A305" s="12"/>
      <c r="B305" s="12"/>
      <c r="C305" s="12"/>
      <c r="D305" s="12"/>
      <c r="E305" s="12"/>
      <c r="F305" s="12"/>
      <c r="G305" s="12"/>
      <c r="H305" s="12"/>
      <c r="I305" s="21" t="str">
        <f>IF(COUNTA('[1]Virus production'!A292)=1,('[1]Virus production'!A292),"")</f>
        <v>AAV302</v>
      </c>
      <c r="J305" s="12"/>
      <c r="L305" s="383">
        <v>44911</v>
      </c>
      <c r="M305" s="12">
        <v>3</v>
      </c>
      <c r="N305" s="197">
        <f t="shared" si="33"/>
        <v>44911</v>
      </c>
      <c r="O305" s="197">
        <f t="shared" si="34"/>
        <v>44896</v>
      </c>
      <c r="P305" s="384">
        <f t="shared" si="35"/>
        <v>3</v>
      </c>
      <c r="Q305" s="384">
        <f t="shared" si="36"/>
        <v>1883</v>
      </c>
      <c r="R305" s="12">
        <f t="shared" si="37"/>
        <v>1028</v>
      </c>
      <c r="S305" s="12"/>
      <c r="T305" s="12"/>
      <c r="U305" s="12"/>
      <c r="V305" s="12"/>
      <c r="W305" s="12"/>
      <c r="X305" s="12"/>
      <c r="Y305" s="12"/>
      <c r="Z305" s="12"/>
      <c r="AA305" s="12"/>
      <c r="AB305" s="12"/>
      <c r="AD305" s="31"/>
      <c r="AE305" s="12"/>
      <c r="AF305" s="197"/>
      <c r="AG305" s="197"/>
      <c r="AH305" s="197"/>
      <c r="AI305" s="197"/>
      <c r="AJ305" s="12"/>
      <c r="AK305" s="12"/>
      <c r="AL305" s="12"/>
      <c r="AM305" s="12"/>
      <c r="AN305" s="12"/>
      <c r="AO305" s="12"/>
      <c r="AP305" s="12"/>
      <c r="AQ305" s="12"/>
      <c r="AR305" s="12"/>
      <c r="AS305" s="12"/>
      <c r="AT305" s="12"/>
    </row>
    <row r="306" spans="1:46" x14ac:dyDescent="0.25">
      <c r="A306" s="12"/>
      <c r="B306" s="12"/>
      <c r="C306" s="12"/>
      <c r="D306" s="12"/>
      <c r="E306" s="12"/>
      <c r="F306" s="12"/>
      <c r="G306" s="12"/>
      <c r="H306" s="12"/>
      <c r="I306" s="21" t="str">
        <f>IF(COUNTA('[1]Virus production'!A293)=1,('[1]Virus production'!A293),"")</f>
        <v>AAV303</v>
      </c>
      <c r="J306" s="12"/>
      <c r="L306" s="383">
        <v>44937</v>
      </c>
      <c r="M306" s="12">
        <v>1</v>
      </c>
      <c r="N306" s="197">
        <f t="shared" si="33"/>
        <v>44937</v>
      </c>
      <c r="O306" s="197">
        <f t="shared" si="34"/>
        <v>44927</v>
      </c>
      <c r="P306" s="384">
        <f t="shared" si="35"/>
        <v>1</v>
      </c>
      <c r="Q306" s="384">
        <f t="shared" si="36"/>
        <v>1909</v>
      </c>
      <c r="R306" s="12">
        <f t="shared" si="37"/>
        <v>1029</v>
      </c>
      <c r="S306" s="12"/>
      <c r="T306" s="12"/>
      <c r="U306" s="12"/>
      <c r="V306" s="12"/>
      <c r="W306" s="12"/>
      <c r="X306" s="12"/>
      <c r="Y306" s="12"/>
      <c r="Z306" s="12"/>
      <c r="AA306" s="12"/>
      <c r="AB306" s="12"/>
      <c r="AD306" s="31"/>
      <c r="AE306" s="12"/>
      <c r="AF306" s="197"/>
      <c r="AG306" s="197"/>
      <c r="AH306" s="197"/>
      <c r="AI306" s="197"/>
      <c r="AJ306" s="12"/>
      <c r="AK306" s="12"/>
      <c r="AL306" s="12"/>
      <c r="AM306" s="12"/>
      <c r="AN306" s="12"/>
      <c r="AO306" s="12"/>
      <c r="AP306" s="12"/>
      <c r="AQ306" s="12"/>
      <c r="AR306" s="12"/>
      <c r="AS306" s="12"/>
      <c r="AT306" s="12"/>
    </row>
    <row r="307" spans="1:46" x14ac:dyDescent="0.25">
      <c r="A307" s="12"/>
      <c r="B307" s="12"/>
      <c r="C307" s="12"/>
      <c r="D307" s="12"/>
      <c r="E307" s="12"/>
      <c r="F307" s="12"/>
      <c r="G307" s="12"/>
      <c r="H307" s="12"/>
      <c r="I307" s="21" t="str">
        <f>IF(COUNTA('[1]Virus production'!A294)=1,('[1]Virus production'!A294),"")</f>
        <v>AAV305</v>
      </c>
      <c r="J307" s="12"/>
      <c r="L307" s="383">
        <v>44939</v>
      </c>
      <c r="M307" s="12">
        <v>1</v>
      </c>
      <c r="N307" s="197">
        <f t="shared" si="33"/>
        <v>44939</v>
      </c>
      <c r="O307" s="197">
        <f t="shared" si="34"/>
        <v>44927</v>
      </c>
      <c r="P307" s="384">
        <f t="shared" si="35"/>
        <v>1</v>
      </c>
      <c r="Q307" s="384">
        <f t="shared" si="36"/>
        <v>1911</v>
      </c>
      <c r="R307" s="12">
        <f t="shared" si="37"/>
        <v>1030</v>
      </c>
      <c r="S307" s="12"/>
      <c r="T307" s="12"/>
      <c r="U307" s="12"/>
      <c r="V307" s="12"/>
      <c r="W307" s="12"/>
      <c r="X307" s="12"/>
      <c r="Y307" s="12"/>
      <c r="Z307" s="12"/>
      <c r="AA307" s="12"/>
      <c r="AB307" s="12"/>
      <c r="AD307" s="31"/>
      <c r="AE307" s="12"/>
      <c r="AF307" s="197"/>
      <c r="AG307" s="197"/>
      <c r="AH307" s="197"/>
      <c r="AI307" s="197"/>
      <c r="AJ307" s="12"/>
      <c r="AK307" s="12"/>
      <c r="AL307" s="12"/>
      <c r="AM307" s="12"/>
      <c r="AN307" s="12"/>
      <c r="AO307" s="12"/>
      <c r="AP307" s="12"/>
      <c r="AQ307" s="12"/>
      <c r="AR307" s="12"/>
      <c r="AS307" s="12"/>
      <c r="AT307" s="12"/>
    </row>
    <row r="308" spans="1:46" x14ac:dyDescent="0.25">
      <c r="A308" s="12"/>
      <c r="B308" s="12"/>
      <c r="C308" s="12"/>
      <c r="D308" s="12"/>
      <c r="E308" s="12"/>
      <c r="F308" s="12"/>
      <c r="G308" s="12"/>
      <c r="H308" s="12"/>
      <c r="I308" s="21" t="str">
        <f>IF(COUNTA('[1]Virus production'!A295)=1,('[1]Virus production'!A295),"")</f>
        <v>AAV306</v>
      </c>
      <c r="J308" s="12"/>
      <c r="L308" s="383">
        <v>44897</v>
      </c>
      <c r="M308" s="12">
        <v>4</v>
      </c>
      <c r="N308" s="197">
        <f t="shared" si="33"/>
        <v>44897</v>
      </c>
      <c r="O308" s="197">
        <f t="shared" si="34"/>
        <v>44896</v>
      </c>
      <c r="P308" s="384">
        <f t="shared" si="35"/>
        <v>4</v>
      </c>
      <c r="Q308" s="384">
        <f t="shared" si="36"/>
        <v>1869</v>
      </c>
      <c r="R308" s="12">
        <f t="shared" si="37"/>
        <v>1034</v>
      </c>
      <c r="S308" s="12"/>
      <c r="T308" s="12"/>
      <c r="U308" s="12"/>
      <c r="V308" s="12"/>
      <c r="W308" s="12"/>
      <c r="X308" s="12"/>
      <c r="Y308" s="12"/>
      <c r="Z308" s="12"/>
      <c r="AA308" s="12"/>
      <c r="AB308" s="12"/>
      <c r="AD308" s="31"/>
      <c r="AE308" s="12"/>
      <c r="AF308" s="197"/>
      <c r="AG308" s="197"/>
      <c r="AH308" s="197"/>
      <c r="AI308" s="197"/>
      <c r="AJ308" s="12"/>
      <c r="AK308" s="12"/>
      <c r="AL308" s="12"/>
      <c r="AM308" s="12"/>
      <c r="AN308" s="12"/>
      <c r="AO308" s="12"/>
      <c r="AP308" s="12"/>
      <c r="AQ308" s="12"/>
      <c r="AR308" s="12"/>
      <c r="AS308" s="12"/>
      <c r="AT308" s="12"/>
    </row>
    <row r="309" spans="1:46" x14ac:dyDescent="0.25">
      <c r="A309" s="12"/>
      <c r="B309" s="12"/>
      <c r="C309" s="12"/>
      <c r="D309" s="12"/>
      <c r="E309" s="12"/>
      <c r="F309" s="12"/>
      <c r="G309" s="12"/>
      <c r="H309" s="12"/>
      <c r="I309" s="21" t="str">
        <f>IF(COUNTA('[1]Virus production'!A296)=1,('[1]Virus production'!A296),"")</f>
        <v>AAV307</v>
      </c>
      <c r="J309" s="12"/>
      <c r="L309" s="383">
        <v>44904</v>
      </c>
      <c r="M309" s="12">
        <v>4</v>
      </c>
      <c r="N309" s="197">
        <f t="shared" si="33"/>
        <v>44904</v>
      </c>
      <c r="O309" s="197">
        <f t="shared" si="34"/>
        <v>44896</v>
      </c>
      <c r="P309" s="384">
        <f t="shared" si="35"/>
        <v>4</v>
      </c>
      <c r="Q309" s="384">
        <f t="shared" si="36"/>
        <v>1876</v>
      </c>
      <c r="R309" s="12">
        <f t="shared" si="37"/>
        <v>1038</v>
      </c>
      <c r="S309" s="12"/>
      <c r="T309" s="12"/>
      <c r="U309" s="12"/>
      <c r="V309" s="12"/>
      <c r="W309" s="12"/>
      <c r="X309" s="12"/>
      <c r="Y309" s="12"/>
      <c r="Z309" s="12"/>
      <c r="AA309" s="12"/>
      <c r="AB309" s="12"/>
      <c r="AD309" s="31"/>
      <c r="AE309" s="12"/>
      <c r="AF309" s="197"/>
      <c r="AG309" s="197"/>
      <c r="AH309" s="197"/>
      <c r="AI309" s="197"/>
      <c r="AJ309" s="12"/>
      <c r="AK309" s="12"/>
      <c r="AL309" s="12"/>
      <c r="AM309" s="12"/>
      <c r="AN309" s="12"/>
      <c r="AO309" s="12"/>
      <c r="AP309" s="12"/>
      <c r="AQ309" s="12"/>
      <c r="AR309" s="12"/>
      <c r="AS309" s="12"/>
      <c r="AT309" s="12"/>
    </row>
    <row r="310" spans="1:46" x14ac:dyDescent="0.25">
      <c r="A310" s="12"/>
      <c r="B310" s="12"/>
      <c r="C310" s="12"/>
      <c r="D310" s="12"/>
      <c r="E310" s="12"/>
      <c r="F310" s="12"/>
      <c r="G310" s="12"/>
      <c r="H310" s="12"/>
      <c r="I310" s="21" t="str">
        <f>IF(COUNTA('[1]Virus production'!A297)=1,('[1]Virus production'!A297),"")</f>
        <v>AAV308</v>
      </c>
      <c r="J310" s="12"/>
      <c r="L310" s="383">
        <v>44943</v>
      </c>
      <c r="M310" s="12">
        <v>3</v>
      </c>
      <c r="N310" s="197">
        <f t="shared" si="33"/>
        <v>44943</v>
      </c>
      <c r="O310" s="197">
        <f t="shared" si="34"/>
        <v>44927</v>
      </c>
      <c r="P310" s="384">
        <f t="shared" si="35"/>
        <v>3</v>
      </c>
      <c r="Q310" s="384">
        <f t="shared" si="36"/>
        <v>1915</v>
      </c>
      <c r="R310" s="12">
        <f t="shared" si="37"/>
        <v>1041</v>
      </c>
      <c r="S310" s="12"/>
      <c r="T310" s="12"/>
      <c r="U310" s="12"/>
      <c r="V310" s="12"/>
      <c r="W310" s="12"/>
      <c r="X310" s="12"/>
      <c r="Y310" s="12"/>
      <c r="Z310" s="12"/>
      <c r="AA310" s="12"/>
      <c r="AB310" s="12"/>
      <c r="AD310" s="31"/>
      <c r="AE310" s="12"/>
      <c r="AF310" s="197"/>
      <c r="AG310" s="197"/>
      <c r="AH310" s="197"/>
      <c r="AI310" s="197"/>
      <c r="AJ310" s="12"/>
      <c r="AK310" s="12"/>
      <c r="AL310" s="12"/>
      <c r="AM310" s="12"/>
      <c r="AN310" s="12"/>
      <c r="AO310" s="12"/>
      <c r="AP310" s="12"/>
      <c r="AQ310" s="12"/>
      <c r="AR310" s="12"/>
      <c r="AS310" s="12"/>
      <c r="AT310" s="12"/>
    </row>
    <row r="311" spans="1:46" x14ac:dyDescent="0.25">
      <c r="A311" s="12"/>
      <c r="B311" s="12"/>
      <c r="C311" s="12"/>
      <c r="D311" s="12"/>
      <c r="E311" s="12"/>
      <c r="F311" s="12"/>
      <c r="G311" s="12"/>
      <c r="H311" s="12"/>
      <c r="I311" s="21" t="str">
        <f>IF(COUNTA('[1]Virus production'!A298)=1,('[1]Virus production'!A298),"")</f>
        <v>AAV309</v>
      </c>
      <c r="J311" s="12"/>
      <c r="L311" s="383">
        <v>44749</v>
      </c>
      <c r="M311" s="12">
        <v>3</v>
      </c>
      <c r="N311" s="197">
        <f t="shared" si="33"/>
        <v>44749</v>
      </c>
      <c r="O311" s="197">
        <f t="shared" si="34"/>
        <v>44743</v>
      </c>
      <c r="P311" s="384">
        <f t="shared" si="35"/>
        <v>3</v>
      </c>
      <c r="Q311" s="384">
        <f t="shared" si="36"/>
        <v>1721</v>
      </c>
      <c r="R311" s="12">
        <f t="shared" si="37"/>
        <v>1044</v>
      </c>
      <c r="S311" s="12"/>
      <c r="T311" s="12"/>
      <c r="U311" s="12"/>
      <c r="V311" s="12"/>
      <c r="W311" s="12"/>
      <c r="X311" s="12"/>
      <c r="Y311" s="12"/>
      <c r="Z311" s="12"/>
      <c r="AA311" s="12"/>
      <c r="AB311" s="12"/>
      <c r="AD311" s="31"/>
      <c r="AE311" s="12"/>
      <c r="AF311" s="197"/>
      <c r="AG311" s="197"/>
      <c r="AH311" s="197"/>
      <c r="AI311" s="197"/>
      <c r="AJ311" s="12"/>
      <c r="AK311" s="12"/>
      <c r="AL311" s="12"/>
      <c r="AM311" s="12"/>
      <c r="AN311" s="12"/>
      <c r="AO311" s="12"/>
      <c r="AP311" s="12"/>
      <c r="AQ311" s="12"/>
      <c r="AR311" s="12"/>
      <c r="AS311" s="12"/>
      <c r="AT311" s="12"/>
    </row>
    <row r="312" spans="1:46" x14ac:dyDescent="0.25">
      <c r="A312" s="12"/>
      <c r="B312" s="12"/>
      <c r="C312" s="12"/>
      <c r="D312" s="12"/>
      <c r="E312" s="12"/>
      <c r="F312" s="12"/>
      <c r="G312" s="12"/>
      <c r="H312" s="12"/>
      <c r="I312" s="21" t="str">
        <f>IF(COUNTA('[1]Virus production'!A299)=1,('[1]Virus production'!A299),"")</f>
        <v>AAV310</v>
      </c>
      <c r="J312" s="12"/>
      <c r="L312" s="383">
        <v>44945</v>
      </c>
      <c r="M312" s="12">
        <v>1</v>
      </c>
      <c r="N312" s="197">
        <f t="shared" si="33"/>
        <v>44945</v>
      </c>
      <c r="O312" s="197">
        <f t="shared" si="34"/>
        <v>44927</v>
      </c>
      <c r="P312" s="384">
        <f t="shared" si="35"/>
        <v>1</v>
      </c>
      <c r="Q312" s="384">
        <f t="shared" si="36"/>
        <v>1917</v>
      </c>
      <c r="R312" s="12">
        <f t="shared" si="37"/>
        <v>1045</v>
      </c>
      <c r="S312" s="12"/>
      <c r="T312" s="12"/>
      <c r="U312" s="12"/>
      <c r="V312" s="12"/>
      <c r="W312" s="12"/>
      <c r="X312" s="12"/>
      <c r="Y312" s="12"/>
      <c r="Z312" s="12"/>
      <c r="AA312" s="12"/>
      <c r="AB312" s="12"/>
      <c r="AD312" s="31"/>
      <c r="AE312" s="12"/>
      <c r="AF312" s="197"/>
      <c r="AG312" s="197"/>
      <c r="AH312" s="197"/>
      <c r="AI312" s="197"/>
      <c r="AJ312" s="12"/>
      <c r="AK312" s="12"/>
      <c r="AL312" s="12"/>
      <c r="AM312" s="12"/>
      <c r="AN312" s="12"/>
      <c r="AO312" s="12"/>
      <c r="AP312" s="12"/>
      <c r="AQ312" s="12"/>
      <c r="AR312" s="12"/>
      <c r="AS312" s="12"/>
      <c r="AT312" s="12"/>
    </row>
    <row r="313" spans="1:46" x14ac:dyDescent="0.25">
      <c r="A313" s="12"/>
      <c r="B313" s="12"/>
      <c r="C313" s="12"/>
      <c r="D313" s="12"/>
      <c r="E313" s="12"/>
      <c r="F313" s="12"/>
      <c r="G313" s="12"/>
      <c r="H313" s="12"/>
      <c r="I313" s="21" t="str">
        <f>IF(COUNTA('[1]Virus production'!A300)=1,('[1]Virus production'!A300),"")</f>
        <v>AAV311</v>
      </c>
      <c r="J313" s="12"/>
      <c r="L313" s="383">
        <v>44951</v>
      </c>
      <c r="M313" s="12">
        <v>4</v>
      </c>
      <c r="N313" s="197">
        <f t="shared" si="33"/>
        <v>44951</v>
      </c>
      <c r="O313" s="197">
        <f t="shared" si="34"/>
        <v>44927</v>
      </c>
      <c r="P313" s="384">
        <f t="shared" si="35"/>
        <v>4</v>
      </c>
      <c r="Q313" s="384">
        <f t="shared" si="36"/>
        <v>1923</v>
      </c>
      <c r="R313" s="12">
        <f t="shared" si="37"/>
        <v>1049</v>
      </c>
      <c r="S313" s="12"/>
      <c r="T313" s="12"/>
      <c r="U313" s="12"/>
      <c r="V313" s="12"/>
      <c r="W313" s="12"/>
      <c r="X313" s="12"/>
      <c r="Y313" s="12"/>
      <c r="Z313" s="12"/>
      <c r="AA313" s="12"/>
      <c r="AB313" s="12"/>
      <c r="AD313" s="31"/>
      <c r="AE313" s="12"/>
      <c r="AF313" s="197"/>
      <c r="AG313" s="197"/>
      <c r="AH313" s="197"/>
      <c r="AI313" s="197"/>
      <c r="AJ313" s="12"/>
      <c r="AK313" s="12"/>
      <c r="AL313" s="12"/>
      <c r="AM313" s="12"/>
      <c r="AN313" s="12"/>
      <c r="AO313" s="12"/>
      <c r="AP313" s="12"/>
      <c r="AQ313" s="12"/>
      <c r="AR313" s="12"/>
      <c r="AS313" s="12"/>
      <c r="AT313" s="12"/>
    </row>
    <row r="314" spans="1:46" x14ac:dyDescent="0.25">
      <c r="A314" s="12"/>
      <c r="B314" s="12"/>
      <c r="C314" s="12"/>
      <c r="D314" s="12"/>
      <c r="E314" s="12"/>
      <c r="F314" s="12"/>
      <c r="G314" s="12"/>
      <c r="H314" s="12"/>
      <c r="I314" s="21" t="str">
        <f>IF(COUNTA('[1]Virus production'!A301)=1,('[1]Virus production'!A301),"")</f>
        <v>AAV313</v>
      </c>
      <c r="J314" s="12"/>
      <c r="L314" s="383">
        <v>44952</v>
      </c>
      <c r="M314" s="12">
        <v>4</v>
      </c>
      <c r="N314" s="197">
        <f t="shared" si="33"/>
        <v>44952</v>
      </c>
      <c r="O314" s="197">
        <f t="shared" si="34"/>
        <v>44927</v>
      </c>
      <c r="P314" s="384">
        <f t="shared" si="35"/>
        <v>4</v>
      </c>
      <c r="Q314" s="384">
        <f t="shared" si="36"/>
        <v>1924</v>
      </c>
      <c r="R314" s="12">
        <f t="shared" si="37"/>
        <v>1053</v>
      </c>
      <c r="S314" s="12"/>
      <c r="T314" s="12"/>
      <c r="U314" s="12"/>
      <c r="V314" s="12"/>
      <c r="W314" s="12"/>
      <c r="X314" s="12"/>
      <c r="Y314" s="12"/>
      <c r="Z314" s="12"/>
      <c r="AA314" s="12"/>
      <c r="AB314" s="12"/>
      <c r="AD314" s="31"/>
      <c r="AE314" s="12"/>
      <c r="AF314" s="197"/>
      <c r="AG314" s="197"/>
      <c r="AH314" s="197"/>
      <c r="AI314" s="197"/>
      <c r="AJ314" s="12"/>
      <c r="AK314" s="12"/>
      <c r="AL314" s="12"/>
      <c r="AM314" s="12"/>
      <c r="AN314" s="12"/>
      <c r="AO314" s="12"/>
      <c r="AP314" s="12"/>
      <c r="AQ314" s="12"/>
      <c r="AR314" s="12"/>
      <c r="AS314" s="12"/>
      <c r="AT314" s="12"/>
    </row>
    <row r="315" spans="1:46" x14ac:dyDescent="0.25">
      <c r="A315" s="12"/>
      <c r="B315" s="12"/>
      <c r="C315" s="12"/>
      <c r="D315" s="12"/>
      <c r="E315" s="12"/>
      <c r="F315" s="12"/>
      <c r="G315" s="12"/>
      <c r="H315" s="12"/>
      <c r="I315" s="21" t="str">
        <f>IF(COUNTA('[1]Virus production'!A302)=1,('[1]Virus production'!A302),"")</f>
        <v>AAV314/1</v>
      </c>
      <c r="J315" s="12"/>
      <c r="L315" s="383">
        <v>44953</v>
      </c>
      <c r="M315" s="12">
        <v>4</v>
      </c>
      <c r="N315" s="197">
        <f t="shared" si="33"/>
        <v>44953</v>
      </c>
      <c r="O315" s="197">
        <f t="shared" si="34"/>
        <v>44927</v>
      </c>
      <c r="P315" s="384">
        <f t="shared" si="35"/>
        <v>4</v>
      </c>
      <c r="Q315" s="384">
        <f t="shared" si="36"/>
        <v>1925</v>
      </c>
      <c r="R315" s="12">
        <f t="shared" si="37"/>
        <v>1057</v>
      </c>
      <c r="S315" s="12"/>
      <c r="T315" s="12"/>
      <c r="U315" s="12"/>
      <c r="V315" s="12"/>
      <c r="W315" s="12"/>
      <c r="X315" s="12"/>
      <c r="Y315" s="12"/>
      <c r="Z315" s="12"/>
      <c r="AA315" s="12"/>
      <c r="AB315" s="12"/>
      <c r="AD315" s="31"/>
      <c r="AE315" s="12"/>
      <c r="AF315" s="197"/>
      <c r="AG315" s="197"/>
      <c r="AH315" s="197"/>
      <c r="AI315" s="197"/>
      <c r="AJ315" s="12"/>
      <c r="AK315" s="12"/>
      <c r="AL315" s="12"/>
      <c r="AM315" s="12"/>
      <c r="AN315" s="12"/>
      <c r="AO315" s="12"/>
      <c r="AP315" s="12"/>
      <c r="AQ315" s="12"/>
      <c r="AR315" s="12"/>
      <c r="AS315" s="12"/>
      <c r="AT315" s="12"/>
    </row>
    <row r="316" spans="1:46" x14ac:dyDescent="0.25">
      <c r="A316" s="12"/>
      <c r="B316" s="12"/>
      <c r="C316" s="12"/>
      <c r="D316" s="12"/>
      <c r="E316" s="12"/>
      <c r="F316" s="12"/>
      <c r="G316" s="12"/>
      <c r="H316" s="12"/>
      <c r="I316" s="21" t="str">
        <f>IF(COUNTA('[1]Virus production'!A303)=1,('[1]Virus production'!A303),"")</f>
        <v>AAV315</v>
      </c>
      <c r="J316" s="12"/>
      <c r="L316" s="383">
        <v>44964</v>
      </c>
      <c r="M316" s="12">
        <v>2</v>
      </c>
      <c r="N316" s="197">
        <f t="shared" si="33"/>
        <v>44964</v>
      </c>
      <c r="O316" s="197">
        <f t="shared" si="34"/>
        <v>44958</v>
      </c>
      <c r="P316" s="384">
        <f t="shared" si="35"/>
        <v>2</v>
      </c>
      <c r="Q316" s="384">
        <f t="shared" si="36"/>
        <v>1936</v>
      </c>
      <c r="R316" s="12">
        <f t="shared" si="37"/>
        <v>1059</v>
      </c>
      <c r="S316" s="12"/>
      <c r="T316" s="12"/>
      <c r="U316" s="12"/>
      <c r="V316" s="12"/>
      <c r="W316" s="12"/>
      <c r="X316" s="12"/>
      <c r="Y316" s="12"/>
      <c r="Z316" s="12"/>
      <c r="AA316" s="12"/>
      <c r="AB316" s="12"/>
      <c r="AD316" s="31"/>
      <c r="AE316" s="12"/>
      <c r="AF316" s="197"/>
      <c r="AG316" s="197"/>
      <c r="AH316" s="197"/>
      <c r="AI316" s="197"/>
      <c r="AJ316" s="12"/>
      <c r="AK316" s="12"/>
      <c r="AL316" s="12"/>
      <c r="AM316" s="12"/>
      <c r="AN316" s="12"/>
      <c r="AO316" s="12"/>
      <c r="AP316" s="12"/>
      <c r="AQ316" s="12"/>
      <c r="AR316" s="12"/>
      <c r="AS316" s="12"/>
      <c r="AT316" s="12"/>
    </row>
    <row r="317" spans="1:46" x14ac:dyDescent="0.25">
      <c r="A317" s="12"/>
      <c r="B317" s="12"/>
      <c r="C317" s="12"/>
      <c r="D317" s="12"/>
      <c r="E317" s="12"/>
      <c r="F317" s="12"/>
      <c r="G317" s="12"/>
      <c r="H317" s="12"/>
      <c r="I317" s="21" t="str">
        <f>IF(COUNTA('[1]Virus production'!A304)=1,('[1]Virus production'!A304),"")</f>
        <v>AAV315</v>
      </c>
      <c r="J317" s="12"/>
      <c r="L317" s="383">
        <v>44979</v>
      </c>
      <c r="M317" s="12">
        <v>3</v>
      </c>
      <c r="N317" s="197">
        <f t="shared" si="33"/>
        <v>44979</v>
      </c>
      <c r="O317" s="197">
        <f t="shared" si="34"/>
        <v>44958</v>
      </c>
      <c r="P317" s="384">
        <f t="shared" si="35"/>
        <v>3</v>
      </c>
      <c r="Q317" s="384">
        <f t="shared" si="36"/>
        <v>1951</v>
      </c>
      <c r="R317" s="12">
        <f t="shared" si="37"/>
        <v>1062</v>
      </c>
      <c r="S317" s="12"/>
      <c r="T317" s="12"/>
      <c r="U317" s="12"/>
      <c r="V317" s="12"/>
      <c r="W317" s="12"/>
      <c r="X317" s="12"/>
      <c r="Y317" s="12"/>
      <c r="Z317" s="12"/>
      <c r="AA317" s="12"/>
      <c r="AB317" s="12"/>
      <c r="AD317" s="31"/>
      <c r="AE317" s="12"/>
      <c r="AF317" s="197"/>
      <c r="AG317" s="197"/>
      <c r="AH317" s="197"/>
      <c r="AI317" s="197"/>
      <c r="AJ317" s="12"/>
      <c r="AK317" s="12"/>
      <c r="AL317" s="12"/>
      <c r="AM317" s="12"/>
      <c r="AN317" s="12"/>
      <c r="AO317" s="12"/>
      <c r="AP317" s="12"/>
      <c r="AQ317" s="12"/>
      <c r="AR317" s="12"/>
      <c r="AS317" s="12"/>
      <c r="AT317" s="12"/>
    </row>
    <row r="318" spans="1:46" x14ac:dyDescent="0.25">
      <c r="A318" s="12"/>
      <c r="B318" s="12"/>
      <c r="C318" s="12"/>
      <c r="D318" s="12"/>
      <c r="E318" s="12"/>
      <c r="F318" s="12"/>
      <c r="G318" s="12"/>
      <c r="H318" s="12"/>
      <c r="I318" s="21" t="str">
        <f>IF(COUNTA('[1]Virus production'!A305)=1,('[1]Virus production'!A305),"")</f>
        <v>AAV317</v>
      </c>
      <c r="J318" s="12"/>
      <c r="L318" s="383">
        <v>44980</v>
      </c>
      <c r="M318" s="12">
        <v>3</v>
      </c>
      <c r="N318" s="197">
        <f t="shared" si="33"/>
        <v>44980</v>
      </c>
      <c r="O318" s="197">
        <f t="shared" si="34"/>
        <v>44958</v>
      </c>
      <c r="P318" s="384">
        <f t="shared" si="35"/>
        <v>3</v>
      </c>
      <c r="Q318" s="384">
        <f t="shared" si="36"/>
        <v>1952</v>
      </c>
      <c r="R318" s="12">
        <f t="shared" si="37"/>
        <v>1065</v>
      </c>
      <c r="S318" s="12"/>
      <c r="T318" s="12"/>
      <c r="U318" s="12"/>
      <c r="V318" s="12"/>
      <c r="W318" s="12"/>
      <c r="X318" s="12"/>
      <c r="Y318" s="12"/>
      <c r="Z318" s="12"/>
      <c r="AA318" s="12"/>
      <c r="AB318" s="12"/>
      <c r="AD318" s="31"/>
      <c r="AE318" s="12"/>
      <c r="AF318" s="197"/>
      <c r="AG318" s="197"/>
      <c r="AH318" s="197"/>
      <c r="AI318" s="197"/>
      <c r="AJ318" s="12"/>
      <c r="AK318" s="12"/>
      <c r="AL318" s="12"/>
      <c r="AM318" s="12"/>
      <c r="AN318" s="12"/>
      <c r="AO318" s="12"/>
      <c r="AP318" s="12"/>
      <c r="AQ318" s="12"/>
      <c r="AR318" s="12"/>
      <c r="AS318" s="12"/>
      <c r="AT318" s="12"/>
    </row>
    <row r="319" spans="1:46" x14ac:dyDescent="0.25">
      <c r="A319" s="12"/>
      <c r="B319" s="12"/>
      <c r="C319" s="12"/>
      <c r="D319" s="12"/>
      <c r="E319" s="12"/>
      <c r="F319" s="12"/>
      <c r="G319" s="12"/>
      <c r="H319" s="12"/>
      <c r="I319" s="21" t="str">
        <f>IF(COUNTA('[1]Virus production'!A308)=1,('[1]Virus production'!A308),"")</f>
        <v>AAV320</v>
      </c>
      <c r="J319" s="12"/>
      <c r="L319" s="383">
        <v>44988</v>
      </c>
      <c r="M319" s="12">
        <v>1</v>
      </c>
      <c r="N319" s="197">
        <f t="shared" si="33"/>
        <v>44988</v>
      </c>
      <c r="O319" s="197">
        <f t="shared" si="34"/>
        <v>44986</v>
      </c>
      <c r="P319" s="384">
        <f t="shared" si="35"/>
        <v>1</v>
      </c>
      <c r="Q319" s="384">
        <f t="shared" si="36"/>
        <v>1960</v>
      </c>
      <c r="R319" s="12">
        <f t="shared" si="37"/>
        <v>1066</v>
      </c>
      <c r="S319" s="12"/>
      <c r="T319" s="12"/>
      <c r="U319" s="12"/>
      <c r="V319" s="12"/>
      <c r="W319" s="12"/>
      <c r="X319" s="12"/>
      <c r="Y319" s="12"/>
      <c r="Z319" s="12"/>
      <c r="AA319" s="12"/>
      <c r="AB319" s="12"/>
      <c r="AD319" s="31"/>
      <c r="AE319" s="12"/>
      <c r="AF319" s="197"/>
      <c r="AG319" s="197"/>
      <c r="AH319" s="197"/>
      <c r="AI319" s="197"/>
      <c r="AJ319" s="12"/>
      <c r="AK319" s="12"/>
      <c r="AL319" s="12"/>
      <c r="AM319" s="12"/>
      <c r="AN319" s="12"/>
      <c r="AO319" s="12"/>
      <c r="AP319" s="12"/>
      <c r="AQ319" s="12"/>
      <c r="AR319" s="12"/>
      <c r="AS319" s="12"/>
      <c r="AT319" s="12"/>
    </row>
    <row r="320" spans="1:46" x14ac:dyDescent="0.25">
      <c r="A320" s="12"/>
      <c r="B320" s="12"/>
      <c r="C320" s="12"/>
      <c r="D320" s="12"/>
      <c r="E320" s="12"/>
      <c r="F320" s="12"/>
      <c r="G320" s="12"/>
      <c r="H320" s="12"/>
      <c r="I320" s="21" t="str">
        <f>IF(COUNTA('[1]Virus production'!A309)=1,('[1]Virus production'!A309),"")</f>
        <v>AAV321</v>
      </c>
      <c r="J320" s="12"/>
      <c r="L320" s="383">
        <v>44994</v>
      </c>
      <c r="M320" s="12">
        <v>2</v>
      </c>
      <c r="N320" s="197">
        <f t="shared" si="33"/>
        <v>44994</v>
      </c>
      <c r="O320" s="197">
        <f t="shared" si="34"/>
        <v>44986</v>
      </c>
      <c r="P320" s="384">
        <f t="shared" si="35"/>
        <v>2</v>
      </c>
      <c r="Q320" s="384">
        <f t="shared" si="36"/>
        <v>1966</v>
      </c>
      <c r="R320" s="12">
        <f t="shared" si="37"/>
        <v>1068</v>
      </c>
      <c r="S320" s="12"/>
      <c r="T320" s="12"/>
      <c r="U320" s="12"/>
      <c r="V320" s="12"/>
      <c r="W320" s="12"/>
      <c r="X320" s="12"/>
      <c r="Y320" s="12"/>
      <c r="Z320" s="12"/>
      <c r="AA320" s="12"/>
      <c r="AB320" s="12"/>
      <c r="AD320" s="31"/>
      <c r="AE320" s="12"/>
      <c r="AF320" s="197"/>
      <c r="AG320" s="197"/>
      <c r="AH320" s="197"/>
      <c r="AI320" s="197"/>
      <c r="AJ320" s="12"/>
      <c r="AK320" s="12"/>
      <c r="AL320" s="12"/>
      <c r="AM320" s="12"/>
      <c r="AN320" s="12"/>
      <c r="AO320" s="12"/>
      <c r="AP320" s="12"/>
      <c r="AQ320" s="12"/>
      <c r="AR320" s="12"/>
      <c r="AS320" s="12"/>
      <c r="AT320" s="12"/>
    </row>
    <row r="321" spans="1:46" x14ac:dyDescent="0.25">
      <c r="A321" s="12"/>
      <c r="B321" s="12"/>
      <c r="C321" s="12"/>
      <c r="D321" s="12"/>
      <c r="E321" s="12"/>
      <c r="F321" s="12"/>
      <c r="G321" s="12"/>
      <c r="H321" s="12"/>
      <c r="I321" s="21" t="str">
        <f>IF(COUNTA('[1]Virus production'!A310)=1,('[1]Virus production'!A310),"")</f>
        <v>AAV322</v>
      </c>
      <c r="J321" s="12"/>
      <c r="L321" s="383">
        <v>44995</v>
      </c>
      <c r="M321" s="12">
        <v>1</v>
      </c>
      <c r="N321" s="197">
        <f t="shared" si="33"/>
        <v>44995</v>
      </c>
      <c r="O321" s="197">
        <f t="shared" si="34"/>
        <v>44986</v>
      </c>
      <c r="P321" s="384">
        <f t="shared" si="35"/>
        <v>1</v>
      </c>
      <c r="Q321" s="384">
        <f t="shared" si="36"/>
        <v>1967</v>
      </c>
      <c r="R321" s="12">
        <f t="shared" si="37"/>
        <v>1069</v>
      </c>
      <c r="S321" s="12"/>
      <c r="T321" s="12"/>
      <c r="U321" s="12"/>
      <c r="V321" s="12"/>
      <c r="W321" s="12"/>
      <c r="X321" s="12"/>
      <c r="Y321" s="12"/>
      <c r="Z321" s="12"/>
      <c r="AA321" s="12"/>
      <c r="AB321" s="12"/>
      <c r="AD321" s="31"/>
      <c r="AE321" s="12"/>
      <c r="AF321" s="197"/>
      <c r="AG321" s="197"/>
      <c r="AH321" s="197"/>
      <c r="AI321" s="197"/>
      <c r="AJ321" s="12"/>
      <c r="AK321" s="12"/>
      <c r="AL321" s="12"/>
      <c r="AM321" s="12"/>
      <c r="AN321" s="12"/>
      <c r="AO321" s="12"/>
      <c r="AP321" s="12"/>
      <c r="AQ321" s="12"/>
      <c r="AR321" s="12"/>
      <c r="AS321" s="12"/>
      <c r="AT321" s="12"/>
    </row>
    <row r="322" spans="1:46" x14ac:dyDescent="0.25">
      <c r="A322" s="12"/>
      <c r="B322" s="12"/>
      <c r="C322" s="12"/>
      <c r="D322" s="12"/>
      <c r="E322" s="12"/>
      <c r="F322" s="12"/>
      <c r="G322" s="12"/>
      <c r="H322" s="12"/>
      <c r="I322" s="21" t="e">
        <f>IF(COUNTA('[1]Virus production'!#REF!)=1,('[1]Virus production'!#REF!),"")</f>
        <v>#REF!</v>
      </c>
      <c r="J322" s="12"/>
      <c r="L322" s="383">
        <v>45000</v>
      </c>
      <c r="M322" s="12">
        <v>1</v>
      </c>
      <c r="N322" s="197">
        <f t="shared" si="33"/>
        <v>45000</v>
      </c>
      <c r="O322" s="197">
        <f t="shared" si="34"/>
        <v>44986</v>
      </c>
      <c r="P322" s="384">
        <f t="shared" si="35"/>
        <v>1</v>
      </c>
      <c r="Q322" s="384">
        <f t="shared" si="36"/>
        <v>1972</v>
      </c>
      <c r="R322" s="12">
        <f t="shared" si="37"/>
        <v>1070</v>
      </c>
      <c r="S322" s="12"/>
      <c r="T322" s="12"/>
      <c r="U322" s="12"/>
      <c r="V322" s="12"/>
      <c r="W322" s="12"/>
      <c r="X322" s="12"/>
      <c r="Y322" s="12"/>
      <c r="Z322" s="12"/>
      <c r="AA322" s="12"/>
      <c r="AB322" s="12"/>
      <c r="AD322" s="31"/>
      <c r="AE322" s="12"/>
      <c r="AF322" s="197"/>
      <c r="AG322" s="197"/>
      <c r="AH322" s="197"/>
      <c r="AI322" s="197"/>
      <c r="AJ322" s="12"/>
      <c r="AK322" s="12"/>
      <c r="AL322" s="12"/>
      <c r="AM322" s="12"/>
      <c r="AN322" s="12"/>
      <c r="AO322" s="12"/>
      <c r="AP322" s="12"/>
      <c r="AQ322" s="12"/>
      <c r="AR322" s="12"/>
      <c r="AS322" s="12"/>
      <c r="AT322" s="12"/>
    </row>
    <row r="323" spans="1:46" x14ac:dyDescent="0.25">
      <c r="A323" s="12"/>
      <c r="B323" s="12"/>
      <c r="C323" s="12"/>
      <c r="D323" s="12"/>
      <c r="E323" s="12"/>
      <c r="F323" s="12"/>
      <c r="G323" s="12"/>
      <c r="H323" s="12"/>
      <c r="I323" s="21" t="e">
        <f>IF(COUNTA('[1]Virus production'!#REF!)=1,('[1]Virus production'!#REF!),"")</f>
        <v>#REF!</v>
      </c>
      <c r="J323" s="12"/>
      <c r="L323" s="383">
        <v>45005</v>
      </c>
      <c r="M323" s="12">
        <v>3</v>
      </c>
      <c r="N323" s="197">
        <f t="shared" si="33"/>
        <v>45005</v>
      </c>
      <c r="O323" s="197">
        <f t="shared" si="34"/>
        <v>44986</v>
      </c>
      <c r="P323" s="384">
        <f t="shared" si="35"/>
        <v>3</v>
      </c>
      <c r="Q323" s="384">
        <f t="shared" si="36"/>
        <v>1977</v>
      </c>
      <c r="R323" s="12">
        <f t="shared" si="37"/>
        <v>1073</v>
      </c>
      <c r="S323" s="12"/>
      <c r="T323" s="12"/>
      <c r="U323" s="12"/>
      <c r="V323" s="12"/>
      <c r="W323" s="12"/>
      <c r="X323" s="12"/>
      <c r="Y323" s="12"/>
      <c r="Z323" s="12"/>
      <c r="AA323" s="12"/>
      <c r="AB323" s="12"/>
      <c r="AD323" s="31"/>
      <c r="AE323" s="12"/>
      <c r="AF323" s="197"/>
      <c r="AG323" s="197"/>
      <c r="AH323" s="197"/>
      <c r="AI323" s="197"/>
      <c r="AJ323" s="12"/>
      <c r="AK323" s="12"/>
      <c r="AL323" s="12"/>
      <c r="AM323" s="12"/>
      <c r="AN323" s="12"/>
      <c r="AO323" s="12"/>
      <c r="AP323" s="12"/>
      <c r="AQ323" s="12"/>
      <c r="AR323" s="12"/>
      <c r="AS323" s="12"/>
      <c r="AT323" s="12"/>
    </row>
    <row r="324" spans="1:46" x14ac:dyDescent="0.25">
      <c r="A324" s="12"/>
      <c r="B324" s="12"/>
      <c r="C324" s="12"/>
      <c r="D324" s="12"/>
      <c r="E324" s="12"/>
      <c r="F324" s="12"/>
      <c r="G324" s="12"/>
      <c r="H324" s="12"/>
      <c r="I324" s="21" t="e">
        <f>IF(COUNTA('[1]Virus production'!#REF!)=1,('[1]Virus production'!#REF!),"")</f>
        <v>#REF!</v>
      </c>
      <c r="J324" s="12"/>
      <c r="L324" s="383">
        <v>45007</v>
      </c>
      <c r="M324" s="12">
        <v>3</v>
      </c>
      <c r="N324" s="197">
        <f t="shared" si="33"/>
        <v>45007</v>
      </c>
      <c r="O324" s="197">
        <f t="shared" si="34"/>
        <v>44986</v>
      </c>
      <c r="P324" s="384">
        <f t="shared" si="35"/>
        <v>3</v>
      </c>
      <c r="Q324" s="384">
        <f t="shared" si="36"/>
        <v>1979</v>
      </c>
      <c r="R324" s="12">
        <f t="shared" si="37"/>
        <v>1076</v>
      </c>
      <c r="S324" s="12"/>
      <c r="T324" s="12"/>
      <c r="U324" s="12"/>
      <c r="V324" s="12"/>
      <c r="W324" s="12"/>
      <c r="X324" s="12"/>
      <c r="Y324" s="12"/>
      <c r="Z324" s="12"/>
      <c r="AA324" s="12"/>
      <c r="AB324" s="12"/>
      <c r="AD324" s="31"/>
      <c r="AE324" s="12"/>
      <c r="AF324" s="197"/>
      <c r="AG324" s="197"/>
      <c r="AH324" s="197"/>
      <c r="AI324" s="197"/>
      <c r="AJ324" s="12"/>
      <c r="AK324" s="12"/>
      <c r="AL324" s="12"/>
      <c r="AM324" s="12"/>
      <c r="AN324" s="12"/>
      <c r="AO324" s="12"/>
      <c r="AP324" s="12"/>
      <c r="AQ324" s="12"/>
      <c r="AR324" s="12"/>
      <c r="AS324" s="12"/>
      <c r="AT324" s="12"/>
    </row>
    <row r="325" spans="1:46" x14ac:dyDescent="0.25">
      <c r="A325" s="12"/>
      <c r="B325" s="12"/>
      <c r="C325" s="12"/>
      <c r="D325" s="12"/>
      <c r="E325" s="12"/>
      <c r="F325" s="12"/>
      <c r="G325" s="12"/>
      <c r="H325" s="12"/>
      <c r="I325" s="21" t="e">
        <f>IF(COUNTA('[1]Virus production'!#REF!)=1,('[1]Virus production'!#REF!),"")</f>
        <v>#REF!</v>
      </c>
      <c r="J325" s="12"/>
      <c r="L325" s="383">
        <v>45013</v>
      </c>
      <c r="M325" s="12">
        <v>3</v>
      </c>
      <c r="N325" s="197">
        <f t="shared" ref="N325:N388" si="38">L325</f>
        <v>45013</v>
      </c>
      <c r="O325" s="197">
        <f t="shared" ref="O325:O388" si="39">DATE(YEAR(N325),MONTH(N325),1)</f>
        <v>44986</v>
      </c>
      <c r="P325" s="384">
        <f t="shared" ref="P325:P388" si="40">M325</f>
        <v>3</v>
      </c>
      <c r="Q325" s="384">
        <f t="shared" ref="Q325:Q388" si="41">N325-$N$4</f>
        <v>1985</v>
      </c>
      <c r="R325" s="12">
        <f t="shared" ref="R325:R388" si="42">R324+M325</f>
        <v>1079</v>
      </c>
      <c r="S325" s="12"/>
      <c r="T325" s="12"/>
      <c r="U325" s="12"/>
      <c r="V325" s="12"/>
      <c r="W325" s="12"/>
      <c r="X325" s="12"/>
      <c r="Y325" s="12"/>
      <c r="Z325" s="12"/>
      <c r="AA325" s="12"/>
      <c r="AB325" s="12"/>
      <c r="AD325" s="31"/>
      <c r="AE325" s="12"/>
      <c r="AF325" s="197"/>
      <c r="AG325" s="197"/>
      <c r="AH325" s="197"/>
      <c r="AI325" s="197"/>
      <c r="AJ325" s="12"/>
      <c r="AK325" s="12"/>
      <c r="AL325" s="12"/>
      <c r="AM325" s="12"/>
      <c r="AN325" s="12"/>
      <c r="AO325" s="12"/>
      <c r="AP325" s="12"/>
      <c r="AQ325" s="12"/>
      <c r="AR325" s="12"/>
      <c r="AS325" s="12"/>
      <c r="AT325" s="12"/>
    </row>
    <row r="326" spans="1:46" x14ac:dyDescent="0.25">
      <c r="A326" s="12"/>
      <c r="B326" s="12"/>
      <c r="C326" s="12"/>
      <c r="D326" s="12"/>
      <c r="E326" s="12"/>
      <c r="F326" s="12"/>
      <c r="G326" s="12"/>
      <c r="H326" s="12"/>
      <c r="I326" s="21" t="e">
        <f>IF(COUNTA('[1]Virus production'!#REF!)=1,('[1]Virus production'!#REF!),"")</f>
        <v>#REF!</v>
      </c>
      <c r="J326" s="12"/>
      <c r="L326" s="383">
        <v>45014</v>
      </c>
      <c r="M326" s="12">
        <v>5</v>
      </c>
      <c r="N326" s="197">
        <f t="shared" si="38"/>
        <v>45014</v>
      </c>
      <c r="O326" s="197">
        <f t="shared" si="39"/>
        <v>44986</v>
      </c>
      <c r="P326" s="384">
        <f t="shared" si="40"/>
        <v>5</v>
      </c>
      <c r="Q326" s="384">
        <f t="shared" si="41"/>
        <v>1986</v>
      </c>
      <c r="R326" s="12">
        <f t="shared" si="42"/>
        <v>1084</v>
      </c>
      <c r="S326" s="12"/>
      <c r="T326" s="12"/>
      <c r="U326" s="12"/>
      <c r="V326" s="12"/>
      <c r="W326" s="12"/>
      <c r="X326" s="12"/>
      <c r="Y326" s="12"/>
      <c r="Z326" s="12"/>
      <c r="AA326" s="12"/>
      <c r="AB326" s="12"/>
      <c r="AD326" s="31"/>
      <c r="AE326" s="12"/>
      <c r="AF326" s="197"/>
      <c r="AG326" s="197"/>
      <c r="AH326" s="197"/>
      <c r="AI326" s="197"/>
      <c r="AJ326" s="12"/>
      <c r="AK326" s="12"/>
      <c r="AL326" s="12"/>
      <c r="AM326" s="12"/>
      <c r="AN326" s="12"/>
      <c r="AO326" s="12"/>
      <c r="AP326" s="12"/>
      <c r="AQ326" s="12"/>
      <c r="AR326" s="12"/>
      <c r="AS326" s="12"/>
      <c r="AT326" s="12"/>
    </row>
    <row r="327" spans="1:46" x14ac:dyDescent="0.25">
      <c r="A327" s="12"/>
      <c r="B327" s="12"/>
      <c r="C327" s="12"/>
      <c r="D327" s="12"/>
      <c r="E327" s="12"/>
      <c r="F327" s="12"/>
      <c r="G327" s="12"/>
      <c r="H327" s="12"/>
      <c r="I327" s="21" t="e">
        <f>IF(COUNTA('[1]Virus production'!#REF!)=1,('[1]Virus production'!#REF!),"")</f>
        <v>#REF!</v>
      </c>
      <c r="J327" s="12"/>
      <c r="L327" s="383">
        <v>45016</v>
      </c>
      <c r="M327" s="12">
        <v>3</v>
      </c>
      <c r="N327" s="197">
        <f t="shared" si="38"/>
        <v>45016</v>
      </c>
      <c r="O327" s="197">
        <f t="shared" si="39"/>
        <v>44986</v>
      </c>
      <c r="P327" s="384">
        <f t="shared" si="40"/>
        <v>3</v>
      </c>
      <c r="Q327" s="384">
        <f t="shared" si="41"/>
        <v>1988</v>
      </c>
      <c r="R327" s="12">
        <f t="shared" si="42"/>
        <v>1087</v>
      </c>
      <c r="S327" s="12"/>
      <c r="T327" s="12"/>
      <c r="U327" s="12"/>
      <c r="V327" s="12"/>
      <c r="W327" s="12"/>
      <c r="X327" s="12"/>
      <c r="Y327" s="12"/>
      <c r="Z327" s="12"/>
      <c r="AA327" s="12"/>
      <c r="AB327" s="12"/>
      <c r="AD327" s="31"/>
      <c r="AE327" s="12"/>
      <c r="AF327" s="197"/>
      <c r="AG327" s="197"/>
      <c r="AH327" s="197"/>
      <c r="AI327" s="197"/>
      <c r="AJ327" s="12"/>
      <c r="AK327" s="12"/>
      <c r="AL327" s="12"/>
      <c r="AM327" s="12"/>
      <c r="AN327" s="12"/>
      <c r="AO327" s="12"/>
      <c r="AP327" s="12"/>
      <c r="AQ327" s="12"/>
      <c r="AR327" s="12"/>
      <c r="AS327" s="12"/>
      <c r="AT327" s="12"/>
    </row>
    <row r="328" spans="1:46" x14ac:dyDescent="0.25">
      <c r="A328" s="12"/>
      <c r="B328" s="12"/>
      <c r="C328" s="12"/>
      <c r="D328" s="12"/>
      <c r="E328" s="12"/>
      <c r="F328" s="12"/>
      <c r="G328" s="12"/>
      <c r="H328" s="12"/>
      <c r="I328" s="21" t="e">
        <f>IF(COUNTA('[1]Virus production'!#REF!)=1,('[1]Virus production'!#REF!),"")</f>
        <v>#REF!</v>
      </c>
      <c r="J328" s="12"/>
      <c r="L328" s="383">
        <v>45021</v>
      </c>
      <c r="M328" s="12">
        <v>3</v>
      </c>
      <c r="N328" s="197">
        <f t="shared" si="38"/>
        <v>45021</v>
      </c>
      <c r="O328" s="197">
        <f t="shared" si="39"/>
        <v>45017</v>
      </c>
      <c r="P328" s="384">
        <f t="shared" si="40"/>
        <v>3</v>
      </c>
      <c r="Q328" s="384">
        <f t="shared" si="41"/>
        <v>1993</v>
      </c>
      <c r="R328" s="12">
        <f t="shared" si="42"/>
        <v>1090</v>
      </c>
      <c r="S328" s="12"/>
      <c r="T328" s="12"/>
      <c r="U328" s="12"/>
      <c r="V328" s="12"/>
      <c r="W328" s="12"/>
      <c r="X328" s="12"/>
      <c r="Y328" s="12"/>
      <c r="Z328" s="12"/>
      <c r="AA328" s="12"/>
      <c r="AB328" s="12"/>
      <c r="AD328" s="31"/>
      <c r="AE328" s="12"/>
      <c r="AF328" s="197"/>
      <c r="AG328" s="197"/>
      <c r="AH328" s="197"/>
      <c r="AI328" s="197"/>
      <c r="AJ328" s="12"/>
      <c r="AK328" s="12"/>
      <c r="AL328" s="12"/>
      <c r="AM328" s="12"/>
      <c r="AN328" s="12"/>
      <c r="AO328" s="12"/>
      <c r="AP328" s="12"/>
      <c r="AQ328" s="12"/>
      <c r="AR328" s="12"/>
      <c r="AS328" s="12"/>
      <c r="AT328" s="12"/>
    </row>
    <row r="329" spans="1:46" x14ac:dyDescent="0.25">
      <c r="A329" s="12"/>
      <c r="B329" s="12"/>
      <c r="C329" s="12"/>
      <c r="D329" s="12"/>
      <c r="E329" s="12"/>
      <c r="F329" s="12"/>
      <c r="G329" s="12"/>
      <c r="H329" s="12"/>
      <c r="I329" s="21" t="str">
        <f>IF(COUNTA('[1]Virus production'!A311)=1,('[1]Virus production'!A311),"")</f>
        <v>AAV323</v>
      </c>
      <c r="J329" s="12"/>
      <c r="L329" s="383">
        <v>45028</v>
      </c>
      <c r="M329" s="12">
        <v>3</v>
      </c>
      <c r="N329" s="197">
        <f t="shared" si="38"/>
        <v>45028</v>
      </c>
      <c r="O329" s="197">
        <f t="shared" si="39"/>
        <v>45017</v>
      </c>
      <c r="P329" s="384">
        <f t="shared" si="40"/>
        <v>3</v>
      </c>
      <c r="Q329" s="384">
        <f t="shared" si="41"/>
        <v>2000</v>
      </c>
      <c r="R329" s="12">
        <f t="shared" si="42"/>
        <v>1093</v>
      </c>
      <c r="S329" s="12"/>
      <c r="T329" s="12"/>
      <c r="U329" s="12"/>
      <c r="V329" s="12"/>
      <c r="W329" s="12"/>
      <c r="X329" s="12"/>
      <c r="Y329" s="12"/>
      <c r="Z329" s="12"/>
      <c r="AA329" s="12"/>
      <c r="AB329" s="12"/>
      <c r="AD329" s="31"/>
      <c r="AE329" s="12"/>
      <c r="AF329" s="197"/>
      <c r="AG329" s="197"/>
      <c r="AH329" s="197"/>
      <c r="AI329" s="197"/>
      <c r="AJ329" s="12"/>
      <c r="AK329" s="12"/>
      <c r="AL329" s="12"/>
      <c r="AM329" s="12"/>
      <c r="AN329" s="12"/>
      <c r="AO329" s="12"/>
      <c r="AP329" s="12"/>
      <c r="AQ329" s="12"/>
      <c r="AR329" s="12"/>
      <c r="AS329" s="12"/>
      <c r="AT329" s="12"/>
    </row>
    <row r="330" spans="1:46" x14ac:dyDescent="0.25">
      <c r="A330" s="12"/>
      <c r="B330" s="12"/>
      <c r="C330" s="12"/>
      <c r="D330" s="12"/>
      <c r="E330" s="12"/>
      <c r="F330" s="12"/>
      <c r="G330" s="12"/>
      <c r="H330" s="12"/>
      <c r="I330" s="21" t="str">
        <f>IF(COUNTA('[1]Virus production'!A312)=1,('[1]Virus production'!A312),"")</f>
        <v>AAV324</v>
      </c>
      <c r="J330" s="12"/>
      <c r="L330" s="383">
        <v>45044</v>
      </c>
      <c r="M330" s="12">
        <v>2</v>
      </c>
      <c r="N330" s="197">
        <f t="shared" si="38"/>
        <v>45044</v>
      </c>
      <c r="O330" s="197">
        <f t="shared" si="39"/>
        <v>45017</v>
      </c>
      <c r="P330" s="384">
        <f t="shared" si="40"/>
        <v>2</v>
      </c>
      <c r="Q330" s="384">
        <f t="shared" si="41"/>
        <v>2016</v>
      </c>
      <c r="R330" s="12">
        <f t="shared" si="42"/>
        <v>1095</v>
      </c>
      <c r="S330" s="12"/>
      <c r="T330" s="12"/>
      <c r="U330" s="12"/>
      <c r="V330" s="12"/>
      <c r="W330" s="12"/>
      <c r="X330" s="12"/>
      <c r="Y330" s="12"/>
      <c r="Z330" s="12"/>
      <c r="AA330" s="12"/>
      <c r="AB330" s="12"/>
      <c r="AD330" s="31"/>
      <c r="AE330" s="12"/>
      <c r="AF330" s="197"/>
      <c r="AG330" s="197"/>
      <c r="AH330" s="197"/>
      <c r="AI330" s="197"/>
      <c r="AJ330" s="12"/>
      <c r="AK330" s="12"/>
      <c r="AL330" s="12"/>
      <c r="AM330" s="12"/>
      <c r="AN330" s="12"/>
      <c r="AO330" s="12"/>
      <c r="AP330" s="12"/>
      <c r="AQ330" s="12"/>
      <c r="AR330" s="12"/>
      <c r="AS330" s="12"/>
      <c r="AT330" s="12"/>
    </row>
    <row r="331" spans="1:46" x14ac:dyDescent="0.25">
      <c r="A331" s="12"/>
      <c r="B331" s="12"/>
      <c r="C331" s="12"/>
      <c r="D331" s="12"/>
      <c r="E331" s="12"/>
      <c r="F331" s="12"/>
      <c r="G331" s="12"/>
      <c r="H331" s="12"/>
      <c r="I331" s="21" t="str">
        <f>IF(COUNTA('[1]Virus production'!A313)=1,('[1]Virus production'!A313),"")</f>
        <v>AAV325</v>
      </c>
      <c r="J331" s="12"/>
      <c r="L331" s="383">
        <v>45048</v>
      </c>
      <c r="M331" s="12">
        <v>4</v>
      </c>
      <c r="N331" s="197">
        <f t="shared" si="38"/>
        <v>45048</v>
      </c>
      <c r="O331" s="197">
        <f t="shared" si="39"/>
        <v>45047</v>
      </c>
      <c r="P331" s="384">
        <f t="shared" si="40"/>
        <v>4</v>
      </c>
      <c r="Q331" s="384">
        <f t="shared" si="41"/>
        <v>2020</v>
      </c>
      <c r="R331" s="12">
        <f t="shared" si="42"/>
        <v>1099</v>
      </c>
      <c r="S331" s="12"/>
      <c r="T331" s="12"/>
      <c r="U331" s="12"/>
      <c r="V331" s="12"/>
      <c r="W331" s="12"/>
      <c r="X331" s="12"/>
      <c r="Y331" s="12"/>
      <c r="Z331" s="12"/>
      <c r="AA331" s="12"/>
      <c r="AB331" s="12"/>
      <c r="AD331" s="31"/>
      <c r="AE331" s="12"/>
      <c r="AF331" s="197"/>
      <c r="AG331" s="197"/>
      <c r="AH331" s="197"/>
      <c r="AI331" s="197"/>
      <c r="AJ331" s="12"/>
      <c r="AK331" s="12"/>
      <c r="AL331" s="12"/>
      <c r="AM331" s="12"/>
      <c r="AN331" s="12"/>
      <c r="AO331" s="12"/>
      <c r="AP331" s="12"/>
      <c r="AQ331" s="12"/>
      <c r="AR331" s="12"/>
      <c r="AS331" s="12"/>
      <c r="AT331" s="12"/>
    </row>
    <row r="332" spans="1:46" x14ac:dyDescent="0.25">
      <c r="A332" s="12"/>
      <c r="B332" s="12"/>
      <c r="C332" s="12"/>
      <c r="D332" s="12"/>
      <c r="E332" s="12"/>
      <c r="F332" s="12"/>
      <c r="G332" s="12"/>
      <c r="H332" s="12"/>
      <c r="I332" s="21" t="str">
        <f>IF(COUNTA('[1]Virus production'!A314)=1,('[1]Virus production'!A314),"")</f>
        <v>AAV326</v>
      </c>
      <c r="J332" s="12"/>
      <c r="L332" s="383">
        <v>45051</v>
      </c>
      <c r="M332" s="12">
        <v>1</v>
      </c>
      <c r="N332" s="197">
        <f t="shared" si="38"/>
        <v>45051</v>
      </c>
      <c r="O332" s="197">
        <f t="shared" si="39"/>
        <v>45047</v>
      </c>
      <c r="P332" s="384">
        <f t="shared" si="40"/>
        <v>1</v>
      </c>
      <c r="Q332" s="384">
        <f t="shared" si="41"/>
        <v>2023</v>
      </c>
      <c r="R332" s="12">
        <f t="shared" si="42"/>
        <v>1100</v>
      </c>
      <c r="S332" s="12"/>
      <c r="T332" s="12"/>
      <c r="U332" s="12"/>
      <c r="V332" s="12"/>
      <c r="W332" s="12"/>
      <c r="X332" s="12"/>
      <c r="Y332" s="12"/>
      <c r="Z332" s="12"/>
      <c r="AA332" s="12"/>
      <c r="AB332" s="12"/>
      <c r="AD332" s="31"/>
      <c r="AE332" s="12"/>
      <c r="AF332" s="197"/>
      <c r="AG332" s="197"/>
      <c r="AH332" s="197"/>
      <c r="AI332" s="197"/>
      <c r="AJ332" s="12"/>
      <c r="AK332" s="12"/>
      <c r="AL332" s="12"/>
      <c r="AM332" s="12"/>
      <c r="AN332" s="12"/>
      <c r="AO332" s="12"/>
      <c r="AP332" s="12"/>
      <c r="AQ332" s="12"/>
      <c r="AR332" s="12"/>
      <c r="AS332" s="12"/>
      <c r="AT332" s="12"/>
    </row>
    <row r="333" spans="1:46" x14ac:dyDescent="0.25">
      <c r="A333" s="12"/>
      <c r="B333" s="12"/>
      <c r="C333" s="12"/>
      <c r="D333" s="12"/>
      <c r="E333" s="12"/>
      <c r="F333" s="12"/>
      <c r="G333" s="12"/>
      <c r="H333" s="12"/>
      <c r="I333" s="21" t="str">
        <f>IF(COUNTA('[1]Virus production'!A315)=1,('[1]Virus production'!A315),"")</f>
        <v>AAV327</v>
      </c>
      <c r="J333" s="12"/>
      <c r="L333" s="383">
        <v>45055</v>
      </c>
      <c r="M333" s="12">
        <v>2</v>
      </c>
      <c r="N333" s="197">
        <f t="shared" si="38"/>
        <v>45055</v>
      </c>
      <c r="O333" s="197">
        <f t="shared" si="39"/>
        <v>45047</v>
      </c>
      <c r="P333" s="384">
        <f t="shared" si="40"/>
        <v>2</v>
      </c>
      <c r="Q333" s="384">
        <f t="shared" si="41"/>
        <v>2027</v>
      </c>
      <c r="R333" s="12">
        <f t="shared" si="42"/>
        <v>1102</v>
      </c>
      <c r="S333" s="12"/>
      <c r="T333" s="12"/>
      <c r="U333" s="12"/>
      <c r="V333" s="12"/>
      <c r="W333" s="12"/>
      <c r="X333" s="12"/>
      <c r="Y333" s="12"/>
      <c r="Z333" s="12"/>
      <c r="AA333" s="12"/>
      <c r="AB333" s="12"/>
      <c r="AD333" s="31"/>
      <c r="AE333" s="12"/>
      <c r="AF333" s="197"/>
      <c r="AG333" s="197"/>
      <c r="AH333" s="197"/>
      <c r="AI333" s="197"/>
      <c r="AJ333" s="12"/>
      <c r="AK333" s="12"/>
      <c r="AL333" s="12"/>
      <c r="AM333" s="12"/>
      <c r="AN333" s="12"/>
      <c r="AO333" s="12"/>
      <c r="AP333" s="12"/>
      <c r="AQ333" s="12"/>
      <c r="AR333" s="12"/>
      <c r="AS333" s="12"/>
      <c r="AT333" s="12"/>
    </row>
    <row r="334" spans="1:46" x14ac:dyDescent="0.25">
      <c r="A334" s="12"/>
      <c r="B334" s="12"/>
      <c r="C334" s="12"/>
      <c r="D334" s="12"/>
      <c r="E334" s="12"/>
      <c r="F334" s="12"/>
      <c r="G334" s="12"/>
      <c r="H334" s="12"/>
      <c r="I334" s="21" t="str">
        <f>IF(COUNTA('[1]Virus production'!A316)=1,('[1]Virus production'!A316),"")</f>
        <v>AAV328</v>
      </c>
      <c r="J334" s="12"/>
      <c r="L334" s="383">
        <v>45056</v>
      </c>
      <c r="M334" s="12">
        <v>1</v>
      </c>
      <c r="N334" s="197">
        <f t="shared" si="38"/>
        <v>45056</v>
      </c>
      <c r="O334" s="197">
        <f t="shared" si="39"/>
        <v>45047</v>
      </c>
      <c r="P334" s="384">
        <f t="shared" si="40"/>
        <v>1</v>
      </c>
      <c r="Q334" s="384">
        <f t="shared" si="41"/>
        <v>2028</v>
      </c>
      <c r="R334" s="12">
        <f t="shared" si="42"/>
        <v>1103</v>
      </c>
      <c r="S334" s="12"/>
      <c r="T334" s="12"/>
      <c r="U334" s="12"/>
      <c r="V334" s="12"/>
      <c r="W334" s="12"/>
      <c r="X334" s="12"/>
      <c r="Y334" s="12"/>
      <c r="Z334" s="12"/>
      <c r="AA334" s="12"/>
      <c r="AB334" s="12"/>
      <c r="AD334" s="31"/>
      <c r="AE334" s="12"/>
      <c r="AF334" s="197"/>
      <c r="AG334" s="197"/>
      <c r="AH334" s="197"/>
      <c r="AI334" s="197"/>
      <c r="AJ334" s="12"/>
      <c r="AK334" s="12"/>
      <c r="AL334" s="12"/>
      <c r="AM334" s="12"/>
      <c r="AN334" s="12"/>
      <c r="AO334" s="12"/>
      <c r="AP334" s="12"/>
      <c r="AQ334" s="12"/>
      <c r="AR334" s="12"/>
      <c r="AS334" s="12"/>
      <c r="AT334" s="12"/>
    </row>
    <row r="335" spans="1:46" x14ac:dyDescent="0.25">
      <c r="A335" s="12"/>
      <c r="B335" s="12"/>
      <c r="C335" s="12"/>
      <c r="D335" s="12"/>
      <c r="E335" s="12"/>
      <c r="F335" s="12"/>
      <c r="G335" s="12"/>
      <c r="H335" s="12"/>
      <c r="I335" s="21" t="str">
        <f>IF(COUNTA('[1]Virus production'!A317)=1,('[1]Virus production'!A317),"")</f>
        <v>AAV329</v>
      </c>
      <c r="J335" s="12"/>
      <c r="L335" s="383">
        <v>45058</v>
      </c>
      <c r="M335" s="12">
        <v>2</v>
      </c>
      <c r="N335" s="197">
        <f t="shared" si="38"/>
        <v>45058</v>
      </c>
      <c r="O335" s="197">
        <f t="shared" si="39"/>
        <v>45047</v>
      </c>
      <c r="P335" s="384">
        <f t="shared" si="40"/>
        <v>2</v>
      </c>
      <c r="Q335" s="384">
        <f t="shared" si="41"/>
        <v>2030</v>
      </c>
      <c r="R335" s="12">
        <f t="shared" si="42"/>
        <v>1105</v>
      </c>
      <c r="S335" s="12"/>
      <c r="T335" s="12"/>
      <c r="U335" s="12"/>
      <c r="V335" s="12"/>
      <c r="W335" s="12"/>
      <c r="X335" s="12"/>
      <c r="Y335" s="12"/>
      <c r="Z335" s="12"/>
      <c r="AA335" s="12"/>
      <c r="AB335" s="12"/>
      <c r="AD335" s="31"/>
      <c r="AE335" s="12"/>
      <c r="AF335" s="197"/>
      <c r="AG335" s="197"/>
      <c r="AH335" s="197"/>
      <c r="AI335" s="197"/>
      <c r="AJ335" s="12"/>
      <c r="AK335" s="12"/>
      <c r="AL335" s="12"/>
      <c r="AM335" s="12"/>
      <c r="AN335" s="12"/>
      <c r="AO335" s="12"/>
      <c r="AP335" s="12"/>
      <c r="AQ335" s="12"/>
      <c r="AR335" s="12"/>
      <c r="AS335" s="12"/>
      <c r="AT335" s="12"/>
    </row>
    <row r="336" spans="1:46" x14ac:dyDescent="0.25">
      <c r="A336" s="12"/>
      <c r="B336" s="12"/>
      <c r="C336" s="12"/>
      <c r="D336" s="12"/>
      <c r="E336" s="12"/>
      <c r="F336" s="12"/>
      <c r="G336" s="12"/>
      <c r="H336" s="12"/>
      <c r="I336" s="21" t="str">
        <f>IF(COUNTA('[1]Virus production'!A318)=1,('[1]Virus production'!A318),"")</f>
        <v>AAV330</v>
      </c>
      <c r="J336" s="12"/>
      <c r="L336" s="383">
        <v>45076</v>
      </c>
      <c r="M336" s="12">
        <v>4</v>
      </c>
      <c r="N336" s="197">
        <f t="shared" si="38"/>
        <v>45076</v>
      </c>
      <c r="O336" s="197">
        <f t="shared" si="39"/>
        <v>45047</v>
      </c>
      <c r="P336" s="384">
        <f t="shared" si="40"/>
        <v>4</v>
      </c>
      <c r="Q336" s="384">
        <f t="shared" si="41"/>
        <v>2048</v>
      </c>
      <c r="R336" s="12">
        <f t="shared" si="42"/>
        <v>1109</v>
      </c>
      <c r="S336" s="12"/>
      <c r="T336" s="12"/>
      <c r="U336" s="12"/>
      <c r="V336" s="12"/>
      <c r="W336" s="12"/>
      <c r="X336" s="12"/>
      <c r="Y336" s="12"/>
      <c r="Z336" s="12"/>
      <c r="AA336" s="12"/>
      <c r="AB336" s="12"/>
      <c r="AD336" s="31"/>
      <c r="AE336" s="12"/>
      <c r="AF336" s="197"/>
      <c r="AG336" s="197"/>
      <c r="AH336" s="197"/>
      <c r="AI336" s="197"/>
      <c r="AJ336" s="12"/>
      <c r="AK336" s="12"/>
      <c r="AL336" s="12"/>
      <c r="AM336" s="12"/>
      <c r="AN336" s="12"/>
      <c r="AO336" s="12"/>
      <c r="AP336" s="12"/>
      <c r="AQ336" s="12"/>
      <c r="AR336" s="12"/>
      <c r="AS336" s="12"/>
      <c r="AT336" s="12"/>
    </row>
    <row r="337" spans="1:46" x14ac:dyDescent="0.25">
      <c r="A337" s="12"/>
      <c r="B337" s="12"/>
      <c r="C337" s="12"/>
      <c r="D337" s="12"/>
      <c r="E337" s="12"/>
      <c r="F337" s="12"/>
      <c r="G337" s="12"/>
      <c r="H337" s="12"/>
      <c r="I337" s="21" t="str">
        <f>IF(COUNTA('[1]Virus production'!A319)=1,('[1]Virus production'!A319),"")</f>
        <v>AAV331</v>
      </c>
      <c r="J337" s="12"/>
      <c r="L337" s="383">
        <v>45097</v>
      </c>
      <c r="M337" s="12">
        <v>4</v>
      </c>
      <c r="N337" s="197">
        <f t="shared" si="38"/>
        <v>45097</v>
      </c>
      <c r="O337" s="197">
        <f t="shared" si="39"/>
        <v>45078</v>
      </c>
      <c r="P337" s="384">
        <f t="shared" si="40"/>
        <v>4</v>
      </c>
      <c r="Q337" s="384">
        <f t="shared" si="41"/>
        <v>2069</v>
      </c>
      <c r="R337" s="12">
        <f t="shared" si="42"/>
        <v>1113</v>
      </c>
      <c r="S337" s="12"/>
      <c r="T337" s="12"/>
      <c r="U337" s="12"/>
      <c r="V337" s="12"/>
      <c r="W337" s="12"/>
      <c r="X337" s="12"/>
      <c r="Y337" s="12"/>
      <c r="Z337" s="12"/>
      <c r="AA337" s="12"/>
      <c r="AB337" s="12"/>
      <c r="AD337" s="31"/>
      <c r="AE337" s="12"/>
      <c r="AF337" s="197"/>
      <c r="AG337" s="197"/>
      <c r="AH337" s="197"/>
      <c r="AI337" s="197"/>
      <c r="AJ337" s="12"/>
      <c r="AK337" s="12"/>
      <c r="AL337" s="12"/>
      <c r="AM337" s="12"/>
      <c r="AN337" s="12"/>
      <c r="AO337" s="12"/>
      <c r="AP337" s="12"/>
      <c r="AQ337" s="12"/>
      <c r="AR337" s="12"/>
      <c r="AS337" s="12"/>
      <c r="AT337" s="12"/>
    </row>
    <row r="338" spans="1:46" x14ac:dyDescent="0.25">
      <c r="A338" s="12"/>
      <c r="B338" s="12"/>
      <c r="C338" s="12"/>
      <c r="D338" s="12"/>
      <c r="E338" s="12"/>
      <c r="F338" s="12"/>
      <c r="G338" s="12"/>
      <c r="H338" s="12"/>
      <c r="I338" s="21" t="str">
        <f>IF(COUNTA('[1]Virus production'!A320)=1,('[1]Virus production'!A320),"")</f>
        <v>AAV333</v>
      </c>
      <c r="J338" s="12"/>
      <c r="L338" s="383">
        <v>45111</v>
      </c>
      <c r="M338" s="12">
        <v>3</v>
      </c>
      <c r="N338" s="197">
        <f t="shared" si="38"/>
        <v>45111</v>
      </c>
      <c r="O338" s="197">
        <f t="shared" si="39"/>
        <v>45108</v>
      </c>
      <c r="P338" s="384">
        <f t="shared" si="40"/>
        <v>3</v>
      </c>
      <c r="Q338" s="384">
        <f t="shared" si="41"/>
        <v>2083</v>
      </c>
      <c r="R338" s="12">
        <f t="shared" si="42"/>
        <v>1116</v>
      </c>
      <c r="S338" s="12"/>
      <c r="T338" s="12"/>
      <c r="U338" s="12"/>
      <c r="V338" s="12"/>
      <c r="W338" s="12"/>
      <c r="X338" s="12"/>
      <c r="Y338" s="12"/>
      <c r="Z338" s="12"/>
      <c r="AA338" s="12"/>
      <c r="AB338" s="12"/>
      <c r="AD338" s="31"/>
      <c r="AE338" s="12"/>
      <c r="AF338" s="197"/>
      <c r="AG338" s="197"/>
      <c r="AH338" s="197"/>
      <c r="AI338" s="197"/>
      <c r="AJ338" s="12"/>
      <c r="AK338" s="12"/>
      <c r="AL338" s="12"/>
      <c r="AM338" s="12"/>
      <c r="AN338" s="12"/>
      <c r="AO338" s="12"/>
      <c r="AP338" s="12"/>
      <c r="AQ338" s="12"/>
      <c r="AR338" s="12"/>
      <c r="AS338" s="12"/>
      <c r="AT338" s="12"/>
    </row>
    <row r="339" spans="1:46" x14ac:dyDescent="0.25">
      <c r="A339" s="12"/>
      <c r="B339" s="12"/>
      <c r="C339" s="12"/>
      <c r="D339" s="12"/>
      <c r="E339" s="12"/>
      <c r="F339" s="12"/>
      <c r="G339" s="12"/>
      <c r="H339" s="12"/>
      <c r="I339" s="21" t="str">
        <f>IF(COUNTA('[1]Virus production'!A325)=1,('[1]Virus production'!A325),"")</f>
        <v>AAV338</v>
      </c>
      <c r="J339" s="12"/>
      <c r="L339" s="383">
        <v>45112</v>
      </c>
      <c r="M339" s="12">
        <v>3</v>
      </c>
      <c r="N339" s="197">
        <f t="shared" si="38"/>
        <v>45112</v>
      </c>
      <c r="O339" s="197">
        <f t="shared" si="39"/>
        <v>45108</v>
      </c>
      <c r="P339" s="384">
        <f t="shared" si="40"/>
        <v>3</v>
      </c>
      <c r="Q339" s="384">
        <f t="shared" si="41"/>
        <v>2084</v>
      </c>
      <c r="R339" s="12">
        <f t="shared" si="42"/>
        <v>1119</v>
      </c>
      <c r="S339" s="12"/>
      <c r="T339" s="12"/>
      <c r="U339" s="12"/>
      <c r="V339" s="12"/>
      <c r="W339" s="12"/>
      <c r="X339" s="12"/>
      <c r="Y339" s="12"/>
      <c r="Z339" s="12"/>
      <c r="AA339" s="12"/>
      <c r="AB339" s="12"/>
      <c r="AD339" s="31"/>
      <c r="AE339" s="12"/>
      <c r="AF339" s="197"/>
      <c r="AG339" s="197"/>
      <c r="AH339" s="197"/>
      <c r="AI339" s="197"/>
      <c r="AJ339" s="12"/>
      <c r="AK339" s="12"/>
      <c r="AL339" s="12"/>
      <c r="AM339" s="12"/>
      <c r="AN339" s="12"/>
      <c r="AO339" s="12"/>
      <c r="AP339" s="12"/>
      <c r="AQ339" s="12"/>
      <c r="AR339" s="12"/>
      <c r="AS339" s="12"/>
      <c r="AT339" s="12"/>
    </row>
    <row r="340" spans="1:46" x14ac:dyDescent="0.25">
      <c r="A340" s="12"/>
      <c r="B340" s="12"/>
      <c r="C340" s="12"/>
      <c r="D340" s="12"/>
      <c r="E340" s="12"/>
      <c r="F340" s="12"/>
      <c r="G340" s="12"/>
      <c r="H340" s="12"/>
      <c r="I340" s="21" t="str">
        <f>IF(COUNTA('[1]Virus production'!A326)=1,('[1]Virus production'!A326),"")</f>
        <v>AAV339</v>
      </c>
      <c r="J340" s="12"/>
      <c r="L340" s="383">
        <v>45114</v>
      </c>
      <c r="M340" s="12">
        <v>2</v>
      </c>
      <c r="N340" s="197">
        <f t="shared" si="38"/>
        <v>45114</v>
      </c>
      <c r="O340" s="197">
        <f t="shared" si="39"/>
        <v>45108</v>
      </c>
      <c r="P340" s="384">
        <f t="shared" si="40"/>
        <v>2</v>
      </c>
      <c r="Q340" s="384">
        <f t="shared" si="41"/>
        <v>2086</v>
      </c>
      <c r="R340" s="12">
        <f t="shared" si="42"/>
        <v>1121</v>
      </c>
      <c r="S340" s="12"/>
      <c r="T340" s="12"/>
      <c r="U340" s="12"/>
      <c r="V340" s="12"/>
      <c r="W340" s="12"/>
      <c r="X340" s="12"/>
      <c r="Y340" s="12"/>
      <c r="Z340" s="12"/>
      <c r="AA340" s="12"/>
      <c r="AB340" s="12"/>
      <c r="AD340" s="31"/>
      <c r="AE340" s="12"/>
      <c r="AF340" s="197"/>
      <c r="AG340" s="197"/>
      <c r="AH340" s="197"/>
      <c r="AI340" s="197"/>
      <c r="AJ340" s="12"/>
      <c r="AK340" s="12"/>
      <c r="AL340" s="12"/>
      <c r="AM340" s="12"/>
      <c r="AN340" s="12"/>
      <c r="AO340" s="12"/>
      <c r="AP340" s="12"/>
      <c r="AQ340" s="12"/>
      <c r="AR340" s="12"/>
      <c r="AS340" s="12"/>
      <c r="AT340" s="12"/>
    </row>
    <row r="341" spans="1:46" x14ac:dyDescent="0.25">
      <c r="A341" s="12"/>
      <c r="B341" s="12"/>
      <c r="C341" s="12"/>
      <c r="D341" s="12"/>
      <c r="E341" s="12"/>
      <c r="F341" s="12"/>
      <c r="G341" s="12"/>
      <c r="H341" s="12"/>
      <c r="I341" s="21" t="str">
        <f>IF(COUNTA('[1]Virus production'!A327)=1,('[1]Virus production'!A327),"")</f>
        <v>AAV340</v>
      </c>
      <c r="J341" s="12"/>
      <c r="L341" s="383">
        <v>45119</v>
      </c>
      <c r="M341" s="12">
        <v>4</v>
      </c>
      <c r="N341" s="197">
        <f t="shared" si="38"/>
        <v>45119</v>
      </c>
      <c r="O341" s="197">
        <f t="shared" si="39"/>
        <v>45108</v>
      </c>
      <c r="P341" s="384">
        <f t="shared" si="40"/>
        <v>4</v>
      </c>
      <c r="Q341" s="384">
        <f t="shared" si="41"/>
        <v>2091</v>
      </c>
      <c r="R341" s="12">
        <f t="shared" si="42"/>
        <v>1125</v>
      </c>
      <c r="S341" s="12"/>
      <c r="T341" s="12"/>
      <c r="U341" s="12"/>
      <c r="V341" s="12"/>
      <c r="W341" s="12"/>
      <c r="X341" s="12"/>
      <c r="Y341" s="12"/>
      <c r="Z341" s="12"/>
      <c r="AA341" s="12"/>
      <c r="AB341" s="12"/>
      <c r="AD341" s="31"/>
      <c r="AE341" s="12"/>
      <c r="AF341" s="197"/>
      <c r="AG341" s="197"/>
      <c r="AH341" s="197"/>
      <c r="AI341" s="197"/>
      <c r="AJ341" s="12"/>
      <c r="AK341" s="12"/>
      <c r="AL341" s="12"/>
      <c r="AM341" s="12"/>
      <c r="AN341" s="12"/>
      <c r="AO341" s="12"/>
      <c r="AP341" s="12"/>
      <c r="AQ341" s="12"/>
      <c r="AR341" s="12"/>
      <c r="AS341" s="12"/>
      <c r="AT341" s="12"/>
    </row>
    <row r="342" spans="1:46" x14ac:dyDescent="0.25">
      <c r="A342" s="12"/>
      <c r="B342" s="12"/>
      <c r="C342" s="12"/>
      <c r="D342" s="12"/>
      <c r="E342" s="12"/>
      <c r="F342" s="12"/>
      <c r="G342" s="12"/>
      <c r="H342" s="12"/>
      <c r="I342" s="21" t="str">
        <f>IF(COUNTA('[1]Virus production'!A328)=1,('[1]Virus production'!A328),"")</f>
        <v>AAV341</v>
      </c>
      <c r="J342" s="12"/>
      <c r="L342" s="383">
        <v>45126</v>
      </c>
      <c r="M342" s="12">
        <v>3</v>
      </c>
      <c r="N342" s="197">
        <f t="shared" si="38"/>
        <v>45126</v>
      </c>
      <c r="O342" s="197">
        <f t="shared" si="39"/>
        <v>45108</v>
      </c>
      <c r="P342" s="384">
        <f t="shared" si="40"/>
        <v>3</v>
      </c>
      <c r="Q342" s="384">
        <f t="shared" si="41"/>
        <v>2098</v>
      </c>
      <c r="R342" s="12">
        <f t="shared" si="42"/>
        <v>1128</v>
      </c>
      <c r="S342" s="12"/>
      <c r="T342" s="12"/>
      <c r="U342" s="12"/>
      <c r="V342" s="12"/>
      <c r="W342" s="12"/>
      <c r="X342" s="12"/>
      <c r="Y342" s="12"/>
      <c r="Z342" s="12"/>
      <c r="AA342" s="12"/>
      <c r="AB342" s="12"/>
      <c r="AD342" s="31"/>
      <c r="AE342" s="12"/>
      <c r="AF342" s="197"/>
      <c r="AG342" s="197"/>
      <c r="AH342" s="197"/>
      <c r="AI342" s="197"/>
      <c r="AJ342" s="12"/>
      <c r="AK342" s="12"/>
      <c r="AL342" s="12"/>
      <c r="AM342" s="12"/>
      <c r="AN342" s="12"/>
      <c r="AO342" s="12"/>
      <c r="AP342" s="12"/>
      <c r="AQ342" s="12"/>
      <c r="AR342" s="12"/>
      <c r="AS342" s="12"/>
      <c r="AT342" s="12"/>
    </row>
    <row r="343" spans="1:46" x14ac:dyDescent="0.25">
      <c r="A343" s="12"/>
      <c r="B343" s="12"/>
      <c r="C343" s="12"/>
      <c r="D343" s="12"/>
      <c r="E343" s="12"/>
      <c r="F343" s="12"/>
      <c r="G343" s="12"/>
      <c r="H343" s="12"/>
      <c r="I343" s="21" t="str">
        <f>IF(COUNTA('[1]Virus production'!A329)=1,('[1]Virus production'!A329),"")</f>
        <v>AAV342</v>
      </c>
      <c r="J343" s="12"/>
      <c r="L343" s="383">
        <v>45133</v>
      </c>
      <c r="M343" s="12">
        <v>2</v>
      </c>
      <c r="N343" s="197">
        <f t="shared" si="38"/>
        <v>45133</v>
      </c>
      <c r="O343" s="197">
        <f t="shared" si="39"/>
        <v>45108</v>
      </c>
      <c r="P343" s="384">
        <f t="shared" si="40"/>
        <v>2</v>
      </c>
      <c r="Q343" s="384">
        <f t="shared" si="41"/>
        <v>2105</v>
      </c>
      <c r="R343" s="12">
        <f t="shared" si="42"/>
        <v>1130</v>
      </c>
      <c r="S343" s="12"/>
      <c r="T343" s="12"/>
      <c r="U343" s="12"/>
      <c r="V343" s="12"/>
      <c r="W343" s="12"/>
      <c r="X343" s="12"/>
      <c r="Y343" s="12"/>
      <c r="Z343" s="12"/>
      <c r="AA343" s="12"/>
      <c r="AB343" s="12"/>
      <c r="AD343" s="31"/>
      <c r="AE343" s="12"/>
      <c r="AF343" s="197"/>
      <c r="AG343" s="197"/>
      <c r="AH343" s="197"/>
      <c r="AI343" s="197"/>
      <c r="AJ343" s="12"/>
      <c r="AK343" s="12"/>
      <c r="AL343" s="12"/>
      <c r="AM343" s="12"/>
      <c r="AN343" s="12"/>
      <c r="AO343" s="12"/>
      <c r="AP343" s="12"/>
      <c r="AQ343" s="12"/>
      <c r="AR343" s="12"/>
      <c r="AS343" s="12"/>
      <c r="AT343" s="12"/>
    </row>
    <row r="344" spans="1:46" x14ac:dyDescent="0.25">
      <c r="A344" s="12"/>
      <c r="B344" s="12"/>
      <c r="C344" s="12"/>
      <c r="D344" s="12"/>
      <c r="E344" s="12"/>
      <c r="F344" s="12"/>
      <c r="G344" s="12"/>
      <c r="H344" s="12"/>
      <c r="I344" s="21" t="str">
        <f>IF(COUNTA('[1]Virus production'!A330)=1,('[1]Virus production'!A330),"")</f>
        <v>AAV343</v>
      </c>
      <c r="J344" s="12"/>
      <c r="L344" s="383">
        <v>45145</v>
      </c>
      <c r="M344" s="12">
        <v>4</v>
      </c>
      <c r="N344" s="197">
        <f t="shared" si="38"/>
        <v>45145</v>
      </c>
      <c r="O344" s="197">
        <f t="shared" si="39"/>
        <v>45139</v>
      </c>
      <c r="P344" s="384">
        <f t="shared" si="40"/>
        <v>4</v>
      </c>
      <c r="Q344" s="384">
        <f t="shared" si="41"/>
        <v>2117</v>
      </c>
      <c r="R344" s="12">
        <f t="shared" si="42"/>
        <v>1134</v>
      </c>
      <c r="S344" s="12"/>
      <c r="T344" s="12"/>
      <c r="U344" s="12"/>
      <c r="V344" s="12"/>
      <c r="W344" s="12"/>
      <c r="X344" s="12"/>
      <c r="Y344" s="12"/>
      <c r="Z344" s="12"/>
      <c r="AA344" s="12"/>
      <c r="AB344" s="12"/>
      <c r="AD344" s="31"/>
      <c r="AE344" s="12"/>
      <c r="AF344" s="197"/>
      <c r="AG344" s="197"/>
      <c r="AH344" s="197"/>
      <c r="AI344" s="197"/>
      <c r="AJ344" s="12"/>
      <c r="AK344" s="12"/>
      <c r="AL344" s="12"/>
      <c r="AM344" s="12"/>
      <c r="AN344" s="12"/>
      <c r="AO344" s="12"/>
      <c r="AP344" s="12"/>
      <c r="AQ344" s="12"/>
      <c r="AR344" s="12"/>
      <c r="AS344" s="12"/>
      <c r="AT344" s="12"/>
    </row>
    <row r="345" spans="1:46" x14ac:dyDescent="0.25">
      <c r="A345" s="12"/>
      <c r="B345" s="12"/>
      <c r="C345" s="12"/>
      <c r="D345" s="12"/>
      <c r="E345" s="12"/>
      <c r="F345" s="12"/>
      <c r="G345" s="12"/>
      <c r="H345" s="12"/>
      <c r="I345" s="21" t="str">
        <f>IF(COUNTA('[1]Virus production'!A331)=1,('[1]Virus production'!A331),"")</f>
        <v>AAV344</v>
      </c>
      <c r="J345" s="12"/>
      <c r="L345" s="383">
        <v>45146</v>
      </c>
      <c r="M345" s="12">
        <v>4</v>
      </c>
      <c r="N345" s="197">
        <f t="shared" si="38"/>
        <v>45146</v>
      </c>
      <c r="O345" s="197">
        <f t="shared" si="39"/>
        <v>45139</v>
      </c>
      <c r="P345" s="384">
        <f t="shared" si="40"/>
        <v>4</v>
      </c>
      <c r="Q345" s="384">
        <f t="shared" si="41"/>
        <v>2118</v>
      </c>
      <c r="R345" s="12">
        <f t="shared" si="42"/>
        <v>1138</v>
      </c>
      <c r="S345" s="12"/>
      <c r="T345" s="12"/>
      <c r="U345" s="12"/>
      <c r="V345" s="12"/>
      <c r="W345" s="12"/>
      <c r="X345" s="12"/>
      <c r="Y345" s="12"/>
      <c r="Z345" s="12"/>
      <c r="AA345" s="12"/>
      <c r="AB345" s="12"/>
      <c r="AD345" s="31"/>
      <c r="AE345" s="12"/>
      <c r="AF345" s="197"/>
      <c r="AG345" s="197"/>
      <c r="AH345" s="197"/>
      <c r="AI345" s="197"/>
      <c r="AJ345" s="12"/>
      <c r="AK345" s="12"/>
      <c r="AL345" s="12"/>
      <c r="AM345" s="12"/>
      <c r="AN345" s="12"/>
      <c r="AO345" s="12"/>
      <c r="AP345" s="12"/>
      <c r="AQ345" s="12"/>
      <c r="AR345" s="12"/>
      <c r="AS345" s="12"/>
      <c r="AT345" s="12"/>
    </row>
    <row r="346" spans="1:46" x14ac:dyDescent="0.25">
      <c r="A346" s="12"/>
      <c r="B346" s="12"/>
      <c r="C346" s="12"/>
      <c r="D346" s="12"/>
      <c r="E346" s="12"/>
      <c r="F346" s="12"/>
      <c r="G346" s="12"/>
      <c r="H346" s="12"/>
      <c r="I346" s="21" t="str">
        <f>IF(COUNTA('[1]Virus production'!A332)=1,('[1]Virus production'!A332),"")</f>
        <v>AAV345</v>
      </c>
      <c r="J346" s="12"/>
      <c r="L346" s="383">
        <v>45194</v>
      </c>
      <c r="M346" s="12">
        <v>2</v>
      </c>
      <c r="N346" s="197">
        <f t="shared" si="38"/>
        <v>45194</v>
      </c>
      <c r="O346" s="197">
        <f t="shared" si="39"/>
        <v>45170</v>
      </c>
      <c r="P346" s="384">
        <f t="shared" si="40"/>
        <v>2</v>
      </c>
      <c r="Q346" s="384">
        <f t="shared" si="41"/>
        <v>2166</v>
      </c>
      <c r="R346" s="12">
        <f t="shared" si="42"/>
        <v>1140</v>
      </c>
      <c r="S346" s="12"/>
      <c r="T346" s="12"/>
      <c r="U346" s="12"/>
      <c r="V346" s="12"/>
      <c r="W346" s="12"/>
      <c r="X346" s="12"/>
      <c r="Y346" s="12"/>
      <c r="Z346" s="12"/>
      <c r="AA346" s="12"/>
      <c r="AB346" s="12"/>
      <c r="AD346" s="31"/>
      <c r="AE346" s="12"/>
      <c r="AF346" s="197"/>
      <c r="AG346" s="197"/>
      <c r="AH346" s="197"/>
      <c r="AI346" s="197"/>
      <c r="AJ346" s="12"/>
      <c r="AK346" s="12"/>
      <c r="AL346" s="12"/>
      <c r="AM346" s="12"/>
      <c r="AN346" s="12"/>
      <c r="AO346" s="12"/>
      <c r="AP346" s="12"/>
      <c r="AQ346" s="12"/>
      <c r="AR346" s="12"/>
      <c r="AS346" s="12"/>
      <c r="AT346" s="12"/>
    </row>
    <row r="347" spans="1:46" x14ac:dyDescent="0.25">
      <c r="A347" s="12"/>
      <c r="B347" s="12"/>
      <c r="C347" s="12"/>
      <c r="D347" s="12"/>
      <c r="E347" s="12"/>
      <c r="F347" s="12"/>
      <c r="G347" s="12"/>
      <c r="H347" s="12"/>
      <c r="I347" s="21" t="str">
        <f>IF(COUNTA('[1]Virus production'!A333)=1,('[1]Virus production'!A333),"")</f>
        <v>AAV346</v>
      </c>
      <c r="J347" s="12"/>
      <c r="L347" s="383">
        <v>45195</v>
      </c>
      <c r="M347" s="12">
        <v>3</v>
      </c>
      <c r="N347" s="197">
        <f t="shared" si="38"/>
        <v>45195</v>
      </c>
      <c r="O347" s="197">
        <f t="shared" si="39"/>
        <v>45170</v>
      </c>
      <c r="P347" s="384">
        <f t="shared" si="40"/>
        <v>3</v>
      </c>
      <c r="Q347" s="384">
        <f t="shared" si="41"/>
        <v>2167</v>
      </c>
      <c r="R347" s="12">
        <f t="shared" si="42"/>
        <v>1143</v>
      </c>
      <c r="S347" s="12"/>
      <c r="T347" s="12"/>
      <c r="U347" s="12"/>
      <c r="V347" s="12"/>
      <c r="W347" s="12"/>
      <c r="X347" s="12"/>
      <c r="Y347" s="12"/>
      <c r="Z347" s="12"/>
      <c r="AA347" s="12"/>
      <c r="AB347" s="12"/>
      <c r="AD347" s="31"/>
      <c r="AE347" s="12"/>
      <c r="AF347" s="197"/>
      <c r="AG347" s="197"/>
      <c r="AH347" s="197"/>
      <c r="AI347" s="197"/>
      <c r="AJ347" s="12"/>
      <c r="AK347" s="12"/>
      <c r="AL347" s="12"/>
      <c r="AM347" s="12"/>
      <c r="AN347" s="12"/>
      <c r="AO347" s="12"/>
      <c r="AP347" s="12"/>
      <c r="AQ347" s="12"/>
      <c r="AR347" s="12"/>
      <c r="AS347" s="12"/>
      <c r="AT347" s="12"/>
    </row>
    <row r="348" spans="1:46" x14ac:dyDescent="0.25">
      <c r="A348" s="12"/>
      <c r="B348" s="12"/>
      <c r="C348" s="12"/>
      <c r="D348" s="12"/>
      <c r="E348" s="12"/>
      <c r="F348" s="12"/>
      <c r="G348" s="12"/>
      <c r="H348" s="12"/>
      <c r="I348" s="21" t="str">
        <f>IF(COUNTA('[1]Virus production'!A334)=1,('[1]Virus production'!A334),"")</f>
        <v>AAV347</v>
      </c>
      <c r="J348" s="12"/>
      <c r="L348" s="383">
        <v>45204</v>
      </c>
      <c r="M348" s="12">
        <v>4</v>
      </c>
      <c r="N348" s="197">
        <f t="shared" si="38"/>
        <v>45204</v>
      </c>
      <c r="O348" s="197">
        <f t="shared" si="39"/>
        <v>45200</v>
      </c>
      <c r="P348" s="384">
        <f t="shared" si="40"/>
        <v>4</v>
      </c>
      <c r="Q348" s="384">
        <f t="shared" si="41"/>
        <v>2176</v>
      </c>
      <c r="R348" s="12">
        <f t="shared" si="42"/>
        <v>1147</v>
      </c>
      <c r="S348" s="12"/>
      <c r="T348" s="12"/>
      <c r="U348" s="12"/>
      <c r="V348" s="12"/>
      <c r="W348" s="12"/>
      <c r="X348" s="12"/>
      <c r="Y348" s="12"/>
      <c r="Z348" s="12"/>
      <c r="AA348" s="12"/>
      <c r="AB348" s="12"/>
      <c r="AD348" s="31"/>
      <c r="AE348" s="12"/>
      <c r="AF348" s="197"/>
      <c r="AG348" s="197"/>
      <c r="AH348" s="197"/>
      <c r="AI348" s="197"/>
      <c r="AJ348" s="12"/>
      <c r="AK348" s="12"/>
      <c r="AL348" s="12"/>
      <c r="AM348" s="12"/>
      <c r="AN348" s="12"/>
      <c r="AO348" s="12"/>
      <c r="AP348" s="12"/>
      <c r="AQ348" s="12"/>
      <c r="AR348" s="12"/>
      <c r="AS348" s="12"/>
      <c r="AT348" s="12"/>
    </row>
    <row r="349" spans="1:46" x14ac:dyDescent="0.25">
      <c r="A349" s="12"/>
      <c r="B349" s="12"/>
      <c r="C349" s="12"/>
      <c r="D349" s="12"/>
      <c r="E349" s="12"/>
      <c r="F349" s="12"/>
      <c r="G349" s="12"/>
      <c r="H349" s="12"/>
      <c r="I349" s="21" t="str">
        <f>IF(COUNTA('[1]Virus production'!A335)=1,('[1]Virus production'!A335),"")</f>
        <v>AAV348</v>
      </c>
      <c r="J349" s="12"/>
      <c r="L349" s="383">
        <v>45209</v>
      </c>
      <c r="M349" s="12">
        <v>2</v>
      </c>
      <c r="N349" s="197">
        <f t="shared" si="38"/>
        <v>45209</v>
      </c>
      <c r="O349" s="197">
        <f t="shared" si="39"/>
        <v>45200</v>
      </c>
      <c r="P349" s="384">
        <f t="shared" si="40"/>
        <v>2</v>
      </c>
      <c r="Q349" s="384">
        <f t="shared" si="41"/>
        <v>2181</v>
      </c>
      <c r="R349" s="12">
        <f t="shared" si="42"/>
        <v>1149</v>
      </c>
      <c r="S349" s="12"/>
      <c r="T349" s="12"/>
      <c r="U349" s="12"/>
      <c r="V349" s="12"/>
      <c r="W349" s="12"/>
      <c r="X349" s="12"/>
      <c r="Y349" s="12"/>
      <c r="Z349" s="12"/>
      <c r="AA349" s="12"/>
      <c r="AB349" s="12"/>
      <c r="AD349" s="31"/>
      <c r="AE349" s="12"/>
      <c r="AF349" s="197"/>
      <c r="AG349" s="197"/>
      <c r="AH349" s="197"/>
      <c r="AI349" s="197"/>
      <c r="AJ349" s="12"/>
      <c r="AK349" s="12"/>
      <c r="AL349" s="12"/>
      <c r="AM349" s="12"/>
      <c r="AN349" s="12"/>
      <c r="AO349" s="12"/>
      <c r="AP349" s="12"/>
      <c r="AQ349" s="12"/>
      <c r="AR349" s="12"/>
      <c r="AS349" s="12"/>
      <c r="AT349" s="12"/>
    </row>
    <row r="350" spans="1:46" x14ac:dyDescent="0.25">
      <c r="A350" s="12"/>
      <c r="B350" s="12"/>
      <c r="C350" s="12"/>
      <c r="D350" s="12"/>
      <c r="E350" s="12"/>
      <c r="F350" s="12"/>
      <c r="G350" s="12"/>
      <c r="H350" s="12"/>
      <c r="I350" s="21" t="str">
        <f>IF(COUNTA('[1]Virus production'!A336)=1,('[1]Virus production'!A336),"")</f>
        <v>AAV349</v>
      </c>
      <c r="J350" s="12"/>
      <c r="L350" s="383">
        <v>45210</v>
      </c>
      <c r="M350" s="12">
        <v>1</v>
      </c>
      <c r="N350" s="197">
        <f t="shared" si="38"/>
        <v>45210</v>
      </c>
      <c r="O350" s="197">
        <f t="shared" si="39"/>
        <v>45200</v>
      </c>
      <c r="P350" s="384">
        <f t="shared" si="40"/>
        <v>1</v>
      </c>
      <c r="Q350" s="384">
        <f t="shared" si="41"/>
        <v>2182</v>
      </c>
      <c r="R350" s="12">
        <f t="shared" si="42"/>
        <v>1150</v>
      </c>
      <c r="S350" s="12"/>
      <c r="T350" s="12"/>
      <c r="U350" s="12"/>
      <c r="V350" s="12"/>
      <c r="W350" s="12"/>
      <c r="X350" s="12"/>
      <c r="Y350" s="12"/>
      <c r="Z350" s="12"/>
      <c r="AA350" s="12"/>
      <c r="AB350" s="12"/>
      <c r="AD350" s="31"/>
      <c r="AE350" s="12"/>
      <c r="AF350" s="197"/>
      <c r="AG350" s="197"/>
      <c r="AH350" s="197"/>
      <c r="AI350" s="197"/>
      <c r="AJ350" s="12"/>
      <c r="AK350" s="12"/>
      <c r="AL350" s="12"/>
      <c r="AM350" s="12"/>
      <c r="AN350" s="12"/>
      <c r="AO350" s="12"/>
      <c r="AP350" s="12"/>
      <c r="AQ350" s="12"/>
      <c r="AR350" s="12"/>
      <c r="AS350" s="12"/>
      <c r="AT350" s="12"/>
    </row>
    <row r="351" spans="1:46" x14ac:dyDescent="0.25">
      <c r="A351" s="12"/>
      <c r="B351" s="12"/>
      <c r="C351" s="12"/>
      <c r="D351" s="12"/>
      <c r="E351" s="12"/>
      <c r="F351" s="12"/>
      <c r="G351" s="12"/>
      <c r="H351" s="12"/>
      <c r="I351" s="21" t="str">
        <f>IF(COUNTA('[1]Virus production'!A337)=1,('[1]Virus production'!A337),"")</f>
        <v>AAV350</v>
      </c>
      <c r="J351" s="12"/>
      <c r="L351" s="383">
        <v>45216</v>
      </c>
      <c r="M351" s="12">
        <v>1</v>
      </c>
      <c r="N351" s="197">
        <f t="shared" si="38"/>
        <v>45216</v>
      </c>
      <c r="O351" s="197">
        <f t="shared" si="39"/>
        <v>45200</v>
      </c>
      <c r="P351" s="384">
        <f t="shared" si="40"/>
        <v>1</v>
      </c>
      <c r="Q351" s="384">
        <f t="shared" si="41"/>
        <v>2188</v>
      </c>
      <c r="R351" s="12">
        <f t="shared" si="42"/>
        <v>1151</v>
      </c>
      <c r="S351" s="12"/>
      <c r="T351" s="12"/>
      <c r="U351" s="12"/>
      <c r="V351" s="12"/>
      <c r="W351" s="12"/>
      <c r="X351" s="12"/>
      <c r="Y351" s="12"/>
      <c r="Z351" s="12"/>
      <c r="AA351" s="12"/>
      <c r="AB351" s="12"/>
      <c r="AD351" s="31"/>
      <c r="AE351" s="12"/>
      <c r="AF351" s="197"/>
      <c r="AG351" s="197"/>
      <c r="AH351" s="197"/>
      <c r="AI351" s="197"/>
      <c r="AJ351" s="12"/>
      <c r="AK351" s="12"/>
      <c r="AL351" s="12"/>
      <c r="AM351" s="12"/>
      <c r="AN351" s="12"/>
      <c r="AO351" s="12"/>
      <c r="AP351" s="12"/>
      <c r="AQ351" s="12"/>
      <c r="AR351" s="12"/>
      <c r="AS351" s="12"/>
      <c r="AT351" s="12"/>
    </row>
    <row r="352" spans="1:46" x14ac:dyDescent="0.25">
      <c r="A352" s="12"/>
      <c r="B352" s="12"/>
      <c r="C352" s="12"/>
      <c r="D352" s="12"/>
      <c r="E352" s="12"/>
      <c r="F352" s="12"/>
      <c r="G352" s="12"/>
      <c r="H352" s="12"/>
      <c r="I352" s="21" t="str">
        <f>IF(COUNTA('[1]Virus production'!A338)=1,('[1]Virus production'!A338),"")</f>
        <v>AAV351</v>
      </c>
      <c r="J352" s="12"/>
      <c r="L352" s="383">
        <v>45226</v>
      </c>
      <c r="M352" s="12">
        <v>2</v>
      </c>
      <c r="N352" s="197">
        <f t="shared" si="38"/>
        <v>45226</v>
      </c>
      <c r="O352" s="197">
        <f t="shared" si="39"/>
        <v>45200</v>
      </c>
      <c r="P352" s="384">
        <f t="shared" si="40"/>
        <v>2</v>
      </c>
      <c r="Q352" s="384">
        <f t="shared" si="41"/>
        <v>2198</v>
      </c>
      <c r="R352" s="12">
        <f t="shared" si="42"/>
        <v>1153</v>
      </c>
      <c r="S352" s="12"/>
      <c r="T352" s="12"/>
      <c r="U352" s="12"/>
      <c r="V352" s="12"/>
      <c r="W352" s="12"/>
      <c r="X352" s="12"/>
      <c r="Y352" s="12"/>
      <c r="Z352" s="12"/>
      <c r="AA352" s="12"/>
      <c r="AB352" s="12"/>
      <c r="AD352" s="31"/>
      <c r="AE352" s="12"/>
      <c r="AF352" s="197"/>
      <c r="AG352" s="197"/>
      <c r="AH352" s="197"/>
      <c r="AI352" s="197"/>
      <c r="AJ352" s="12"/>
      <c r="AK352" s="12"/>
      <c r="AL352" s="12"/>
      <c r="AM352" s="12"/>
      <c r="AN352" s="12"/>
      <c r="AO352" s="12"/>
      <c r="AP352" s="12"/>
      <c r="AQ352" s="12"/>
      <c r="AR352" s="12"/>
      <c r="AS352" s="12"/>
      <c r="AT352" s="12"/>
    </row>
    <row r="353" spans="1:46" x14ac:dyDescent="0.25">
      <c r="A353" s="12"/>
      <c r="B353" s="12"/>
      <c r="C353" s="12"/>
      <c r="D353" s="12"/>
      <c r="E353" s="12"/>
      <c r="F353" s="12"/>
      <c r="G353" s="12"/>
      <c r="H353" s="12"/>
      <c r="I353" s="21" t="str">
        <f>IF(COUNTA('[1]Virus production'!A339)=1,('[1]Virus production'!A339),"")</f>
        <v>AAV352</v>
      </c>
      <c r="J353" s="12"/>
      <c r="L353" s="383">
        <v>45217</v>
      </c>
      <c r="M353" s="12">
        <v>4</v>
      </c>
      <c r="N353" s="197">
        <f t="shared" si="38"/>
        <v>45217</v>
      </c>
      <c r="O353" s="197">
        <f t="shared" si="39"/>
        <v>45200</v>
      </c>
      <c r="P353" s="384">
        <f t="shared" si="40"/>
        <v>4</v>
      </c>
      <c r="Q353" s="384">
        <f t="shared" si="41"/>
        <v>2189</v>
      </c>
      <c r="R353" s="12">
        <f t="shared" si="42"/>
        <v>1157</v>
      </c>
      <c r="S353" s="12"/>
      <c r="T353" s="12"/>
      <c r="U353" s="12"/>
      <c r="V353" s="12"/>
      <c r="W353" s="12"/>
      <c r="X353" s="12"/>
      <c r="Y353" s="12"/>
      <c r="Z353" s="12"/>
      <c r="AA353" s="12"/>
      <c r="AB353" s="12"/>
      <c r="AD353" s="31"/>
      <c r="AE353" s="12"/>
      <c r="AF353" s="197"/>
      <c r="AG353" s="197"/>
      <c r="AH353" s="197"/>
      <c r="AI353" s="197"/>
      <c r="AJ353" s="12"/>
      <c r="AK353" s="12"/>
      <c r="AL353" s="12"/>
      <c r="AM353" s="12"/>
      <c r="AN353" s="12"/>
      <c r="AO353" s="12"/>
      <c r="AP353" s="12"/>
      <c r="AQ353" s="12"/>
      <c r="AR353" s="12"/>
      <c r="AS353" s="12"/>
      <c r="AT353" s="12"/>
    </row>
    <row r="354" spans="1:46" x14ac:dyDescent="0.25">
      <c r="A354" s="12"/>
      <c r="B354" s="12"/>
      <c r="C354" s="12"/>
      <c r="D354" s="12"/>
      <c r="E354" s="12"/>
      <c r="F354" s="12"/>
      <c r="G354" s="12"/>
      <c r="H354" s="12"/>
      <c r="I354" s="21" t="str">
        <f>IF(COUNTA('[1]Virus production'!A340)=1,('[1]Virus production'!A340),"")</f>
        <v>AAV353</v>
      </c>
      <c r="J354" s="12"/>
      <c r="L354" s="383">
        <v>45236</v>
      </c>
      <c r="M354" s="12">
        <v>2</v>
      </c>
      <c r="N354" s="197">
        <f t="shared" si="38"/>
        <v>45236</v>
      </c>
      <c r="O354" s="197">
        <f t="shared" si="39"/>
        <v>45231</v>
      </c>
      <c r="P354" s="384">
        <f t="shared" si="40"/>
        <v>2</v>
      </c>
      <c r="Q354" s="384">
        <f t="shared" si="41"/>
        <v>2208</v>
      </c>
      <c r="R354" s="12">
        <f t="shared" si="42"/>
        <v>1159</v>
      </c>
      <c r="S354" s="12"/>
      <c r="T354" s="12"/>
      <c r="U354" s="12"/>
      <c r="V354" s="12"/>
      <c r="W354" s="12"/>
      <c r="X354" s="12"/>
      <c r="Y354" s="12"/>
      <c r="Z354" s="12"/>
      <c r="AA354" s="12"/>
      <c r="AB354" s="12"/>
      <c r="AD354" s="31"/>
      <c r="AE354" s="12"/>
      <c r="AF354" s="197"/>
      <c r="AG354" s="197"/>
      <c r="AH354" s="197"/>
      <c r="AI354" s="197"/>
      <c r="AJ354" s="12"/>
      <c r="AK354" s="12"/>
      <c r="AL354" s="12"/>
      <c r="AM354" s="12"/>
      <c r="AN354" s="12"/>
      <c r="AO354" s="12"/>
      <c r="AP354" s="12"/>
      <c r="AQ354" s="12"/>
      <c r="AR354" s="12"/>
      <c r="AS354" s="12"/>
      <c r="AT354" s="12"/>
    </row>
    <row r="355" spans="1:46" x14ac:dyDescent="0.25">
      <c r="A355" s="12"/>
      <c r="B355" s="12"/>
      <c r="C355" s="12"/>
      <c r="D355" s="12"/>
      <c r="E355" s="12"/>
      <c r="F355" s="12"/>
      <c r="G355" s="12"/>
      <c r="H355" s="12"/>
      <c r="I355" s="21" t="str">
        <f>IF(COUNTA('[1]Virus production'!A341)=1,('[1]Virus production'!A341),"")</f>
        <v>AAV354</v>
      </c>
      <c r="J355" s="12"/>
      <c r="L355" s="383">
        <v>45243</v>
      </c>
      <c r="M355" s="12">
        <v>2</v>
      </c>
      <c r="N355" s="197">
        <f t="shared" si="38"/>
        <v>45243</v>
      </c>
      <c r="O355" s="197">
        <f t="shared" si="39"/>
        <v>45231</v>
      </c>
      <c r="P355" s="384">
        <f t="shared" si="40"/>
        <v>2</v>
      </c>
      <c r="Q355" s="384">
        <f t="shared" si="41"/>
        <v>2215</v>
      </c>
      <c r="R355" s="12">
        <f t="shared" si="42"/>
        <v>1161</v>
      </c>
      <c r="S355" s="12"/>
      <c r="T355" s="12"/>
      <c r="U355" s="12"/>
      <c r="V355" s="12"/>
      <c r="W355" s="12"/>
      <c r="X355" s="12"/>
      <c r="Y355" s="12"/>
      <c r="Z355" s="12"/>
      <c r="AA355" s="12"/>
      <c r="AB355" s="12"/>
      <c r="AD355" s="31"/>
      <c r="AE355" s="12"/>
      <c r="AF355" s="197"/>
      <c r="AG355" s="197"/>
      <c r="AH355" s="197"/>
      <c r="AI355" s="197"/>
      <c r="AJ355" s="12"/>
      <c r="AK355" s="12"/>
      <c r="AL355" s="12"/>
      <c r="AM355" s="12"/>
      <c r="AN355" s="12"/>
      <c r="AO355" s="12"/>
      <c r="AP355" s="12"/>
      <c r="AQ355" s="12"/>
      <c r="AR355" s="12"/>
      <c r="AS355" s="12"/>
      <c r="AT355" s="12"/>
    </row>
    <row r="356" spans="1:46" x14ac:dyDescent="0.25">
      <c r="A356" s="12"/>
      <c r="B356" s="12"/>
      <c r="C356" s="12"/>
      <c r="D356" s="12"/>
      <c r="E356" s="12"/>
      <c r="F356" s="12"/>
      <c r="G356" s="12"/>
      <c r="H356" s="12"/>
      <c r="I356" s="21" t="str">
        <f>IF(COUNTA('[1]Virus production'!A342)=1,('[1]Virus production'!A342),"")</f>
        <v>AAV355</v>
      </c>
      <c r="J356" s="12"/>
      <c r="L356" s="383">
        <v>45244</v>
      </c>
      <c r="M356" s="12">
        <v>5</v>
      </c>
      <c r="N356" s="197">
        <f t="shared" si="38"/>
        <v>45244</v>
      </c>
      <c r="O356" s="197">
        <f t="shared" si="39"/>
        <v>45231</v>
      </c>
      <c r="P356" s="384">
        <f t="shared" si="40"/>
        <v>5</v>
      </c>
      <c r="Q356" s="384">
        <f t="shared" si="41"/>
        <v>2216</v>
      </c>
      <c r="R356" s="12">
        <f t="shared" si="42"/>
        <v>1166</v>
      </c>
      <c r="S356" s="12"/>
      <c r="T356" s="12"/>
      <c r="U356" s="12"/>
      <c r="V356" s="12"/>
      <c r="W356" s="12"/>
      <c r="X356" s="12"/>
      <c r="Y356" s="12"/>
      <c r="Z356" s="12"/>
      <c r="AA356" s="12"/>
      <c r="AB356" s="12"/>
      <c r="AD356" s="31"/>
      <c r="AE356" s="12"/>
      <c r="AF356" s="197"/>
      <c r="AG356" s="197"/>
      <c r="AH356" s="197"/>
      <c r="AI356" s="197"/>
      <c r="AJ356" s="12"/>
      <c r="AK356" s="12"/>
      <c r="AL356" s="12"/>
      <c r="AM356" s="12"/>
      <c r="AN356" s="12"/>
      <c r="AO356" s="12"/>
      <c r="AP356" s="12"/>
      <c r="AQ356" s="12"/>
      <c r="AR356" s="12"/>
      <c r="AS356" s="12"/>
      <c r="AT356" s="12"/>
    </row>
    <row r="357" spans="1:46" x14ac:dyDescent="0.25">
      <c r="A357" s="12"/>
      <c r="B357" s="12"/>
      <c r="C357" s="12"/>
      <c r="D357" s="12"/>
      <c r="E357" s="12"/>
      <c r="F357" s="12"/>
      <c r="G357" s="12"/>
      <c r="H357" s="12"/>
      <c r="I357" s="21" t="str">
        <f>IF(COUNTA('[1]Virus production'!A343)=1,('[1]Virus production'!A343),"")</f>
        <v>AAV356</v>
      </c>
      <c r="J357" s="12"/>
      <c r="L357" s="383">
        <v>45245</v>
      </c>
      <c r="M357" s="12">
        <v>5</v>
      </c>
      <c r="N357" s="197">
        <f t="shared" si="38"/>
        <v>45245</v>
      </c>
      <c r="O357" s="197">
        <f t="shared" si="39"/>
        <v>45231</v>
      </c>
      <c r="P357" s="384">
        <f t="shared" si="40"/>
        <v>5</v>
      </c>
      <c r="Q357" s="384">
        <f t="shared" si="41"/>
        <v>2217</v>
      </c>
      <c r="R357" s="12">
        <f t="shared" si="42"/>
        <v>1171</v>
      </c>
      <c r="S357" s="12"/>
      <c r="T357" s="12"/>
      <c r="U357" s="12"/>
      <c r="V357" s="12"/>
      <c r="W357" s="12"/>
      <c r="X357" s="12"/>
      <c r="Y357" s="12"/>
      <c r="Z357" s="12"/>
      <c r="AA357" s="12"/>
      <c r="AB357" s="12"/>
      <c r="AD357" s="31"/>
      <c r="AE357" s="12"/>
      <c r="AF357" s="197"/>
      <c r="AG357" s="197"/>
      <c r="AH357" s="197"/>
      <c r="AI357" s="197"/>
      <c r="AJ357" s="12"/>
      <c r="AK357" s="12"/>
      <c r="AL357" s="12"/>
      <c r="AM357" s="12"/>
      <c r="AN357" s="12"/>
      <c r="AO357" s="12"/>
      <c r="AP357" s="12"/>
      <c r="AQ357" s="12"/>
      <c r="AR357" s="12"/>
      <c r="AS357" s="12"/>
      <c r="AT357" s="12"/>
    </row>
    <row r="358" spans="1:46" x14ac:dyDescent="0.25">
      <c r="A358" s="12"/>
      <c r="B358" s="12"/>
      <c r="C358" s="12"/>
      <c r="D358" s="12"/>
      <c r="E358" s="12"/>
      <c r="F358" s="12"/>
      <c r="G358" s="12"/>
      <c r="H358" s="12"/>
      <c r="I358" s="21" t="str">
        <f>IF(COUNTA('[1]Virus production'!A344)=1,('[1]Virus production'!A344),"")</f>
        <v>AAV357</v>
      </c>
      <c r="J358" s="12"/>
      <c r="L358" s="383">
        <v>45278</v>
      </c>
      <c r="M358" s="12">
        <v>4</v>
      </c>
      <c r="N358" s="197">
        <f t="shared" si="38"/>
        <v>45278</v>
      </c>
      <c r="O358" s="197">
        <f t="shared" si="39"/>
        <v>45261</v>
      </c>
      <c r="P358" s="384">
        <f t="shared" si="40"/>
        <v>4</v>
      </c>
      <c r="Q358" s="384">
        <f t="shared" si="41"/>
        <v>2250</v>
      </c>
      <c r="R358" s="12">
        <f t="shared" si="42"/>
        <v>1175</v>
      </c>
      <c r="S358" s="12"/>
      <c r="T358" s="12"/>
      <c r="U358" s="12"/>
      <c r="V358" s="12"/>
      <c r="W358" s="12"/>
      <c r="X358" s="12"/>
      <c r="Y358" s="12"/>
      <c r="Z358" s="12"/>
      <c r="AA358" s="12"/>
      <c r="AB358" s="12"/>
      <c r="AD358" s="31"/>
      <c r="AE358" s="12"/>
      <c r="AF358" s="197"/>
      <c r="AG358" s="197"/>
      <c r="AH358" s="197"/>
      <c r="AI358" s="197"/>
      <c r="AJ358" s="12"/>
      <c r="AK358" s="12"/>
      <c r="AL358" s="12"/>
      <c r="AM358" s="12"/>
      <c r="AN358" s="12"/>
      <c r="AO358" s="12"/>
      <c r="AP358" s="12"/>
      <c r="AQ358" s="12"/>
      <c r="AR358" s="12"/>
      <c r="AS358" s="12"/>
      <c r="AT358" s="12"/>
    </row>
    <row r="359" spans="1:46" x14ac:dyDescent="0.25">
      <c r="A359" s="12"/>
      <c r="B359" s="12"/>
      <c r="C359" s="12"/>
      <c r="D359" s="12"/>
      <c r="E359" s="12"/>
      <c r="F359" s="12"/>
      <c r="G359" s="12"/>
      <c r="H359" s="12"/>
      <c r="I359" s="21" t="str">
        <f>IF(COUNTA('[1]Virus production'!A345)=1,('[1]Virus production'!A345),"")</f>
        <v>AAV358</v>
      </c>
      <c r="J359" s="12"/>
      <c r="L359" s="383">
        <v>45281</v>
      </c>
      <c r="M359" s="12">
        <v>4</v>
      </c>
      <c r="N359" s="197">
        <f t="shared" si="38"/>
        <v>45281</v>
      </c>
      <c r="O359" s="197">
        <f t="shared" si="39"/>
        <v>45261</v>
      </c>
      <c r="P359" s="384">
        <f t="shared" si="40"/>
        <v>4</v>
      </c>
      <c r="Q359" s="384">
        <f t="shared" si="41"/>
        <v>2253</v>
      </c>
      <c r="R359" s="12">
        <f t="shared" si="42"/>
        <v>1179</v>
      </c>
      <c r="S359" s="12"/>
      <c r="T359" s="12"/>
      <c r="U359" s="12"/>
      <c r="V359" s="12"/>
      <c r="W359" s="12"/>
      <c r="X359" s="12"/>
      <c r="Y359" s="12"/>
      <c r="Z359" s="12"/>
      <c r="AA359" s="12"/>
      <c r="AB359" s="12"/>
      <c r="AD359" s="31"/>
      <c r="AE359" s="12"/>
      <c r="AF359" s="197"/>
      <c r="AG359" s="197"/>
      <c r="AH359" s="197"/>
      <c r="AI359" s="197"/>
      <c r="AJ359" s="12"/>
      <c r="AK359" s="12"/>
      <c r="AL359" s="12"/>
      <c r="AM359" s="12"/>
      <c r="AN359" s="12"/>
      <c r="AO359" s="12"/>
      <c r="AP359" s="12"/>
      <c r="AQ359" s="12"/>
      <c r="AR359" s="12"/>
      <c r="AS359" s="12"/>
      <c r="AT359" s="12"/>
    </row>
    <row r="360" spans="1:46" x14ac:dyDescent="0.25">
      <c r="A360" s="12"/>
      <c r="B360" s="12"/>
      <c r="C360" s="12"/>
      <c r="D360" s="12"/>
      <c r="E360" s="12"/>
      <c r="F360" s="12"/>
      <c r="G360" s="12"/>
      <c r="H360" s="12"/>
      <c r="I360" s="21" t="str">
        <f>IF(COUNTA('[1]Virus production'!A346)=1,('[1]Virus production'!A346),"")</f>
        <v>AAV359</v>
      </c>
      <c r="J360" s="12"/>
      <c r="L360" s="383">
        <v>45307</v>
      </c>
      <c r="M360" s="12">
        <v>7</v>
      </c>
      <c r="N360" s="197">
        <f t="shared" si="38"/>
        <v>45307</v>
      </c>
      <c r="O360" s="197">
        <f t="shared" si="39"/>
        <v>45292</v>
      </c>
      <c r="P360" s="384">
        <f t="shared" si="40"/>
        <v>7</v>
      </c>
      <c r="Q360" s="384">
        <f t="shared" si="41"/>
        <v>2279</v>
      </c>
      <c r="R360" s="12">
        <f t="shared" si="42"/>
        <v>1186</v>
      </c>
      <c r="S360" s="12"/>
      <c r="T360" s="12"/>
      <c r="U360" s="12"/>
      <c r="V360" s="12"/>
      <c r="W360" s="12"/>
      <c r="X360" s="12"/>
      <c r="Y360" s="12"/>
      <c r="Z360" s="12"/>
      <c r="AA360" s="12"/>
      <c r="AB360" s="12"/>
      <c r="AD360" s="31"/>
      <c r="AE360" s="12"/>
      <c r="AF360" s="197"/>
      <c r="AG360" s="197"/>
      <c r="AH360" s="197"/>
      <c r="AI360" s="197"/>
      <c r="AJ360" s="12"/>
      <c r="AK360" s="12"/>
      <c r="AL360" s="12"/>
      <c r="AM360" s="12"/>
      <c r="AN360" s="12"/>
      <c r="AO360" s="12"/>
      <c r="AP360" s="12"/>
      <c r="AQ360" s="12"/>
      <c r="AR360" s="12"/>
      <c r="AS360" s="12"/>
      <c r="AT360" s="12"/>
    </row>
    <row r="361" spans="1:46" x14ac:dyDescent="0.25">
      <c r="A361" s="12"/>
      <c r="B361" s="12"/>
      <c r="C361" s="12"/>
      <c r="D361" s="12"/>
      <c r="E361" s="12"/>
      <c r="F361" s="12"/>
      <c r="G361" s="12"/>
      <c r="H361" s="12"/>
      <c r="I361" s="21" t="str">
        <f>IF(COUNTA('[1]Virus production'!A347)=1,('[1]Virus production'!A347),"")</f>
        <v>AAV360</v>
      </c>
      <c r="J361" s="12"/>
      <c r="L361" s="383">
        <v>45315</v>
      </c>
      <c r="M361" s="12">
        <v>2</v>
      </c>
      <c r="N361" s="197">
        <f t="shared" si="38"/>
        <v>45315</v>
      </c>
      <c r="O361" s="197">
        <f t="shared" si="39"/>
        <v>45292</v>
      </c>
      <c r="P361" s="384">
        <f t="shared" si="40"/>
        <v>2</v>
      </c>
      <c r="Q361" s="384">
        <f t="shared" si="41"/>
        <v>2287</v>
      </c>
      <c r="R361" s="12">
        <f t="shared" si="42"/>
        <v>1188</v>
      </c>
      <c r="S361" s="12"/>
      <c r="T361" s="12"/>
      <c r="U361" s="12"/>
      <c r="V361" s="12"/>
      <c r="W361" s="12"/>
      <c r="X361" s="12"/>
      <c r="Y361" s="12"/>
      <c r="Z361" s="12"/>
      <c r="AA361" s="12"/>
      <c r="AB361" s="12"/>
      <c r="AD361" s="31"/>
      <c r="AE361" s="12"/>
      <c r="AF361" s="197"/>
      <c r="AG361" s="197"/>
      <c r="AH361" s="197"/>
      <c r="AI361" s="197"/>
      <c r="AJ361" s="12"/>
      <c r="AK361" s="12"/>
      <c r="AL361" s="12"/>
      <c r="AM361" s="12"/>
      <c r="AN361" s="12"/>
      <c r="AO361" s="12"/>
      <c r="AP361" s="12"/>
      <c r="AQ361" s="12"/>
      <c r="AR361" s="12"/>
      <c r="AS361" s="12"/>
      <c r="AT361" s="12"/>
    </row>
    <row r="362" spans="1:46" x14ac:dyDescent="0.25">
      <c r="A362" s="12"/>
      <c r="B362" s="12"/>
      <c r="C362" s="12"/>
      <c r="D362" s="12"/>
      <c r="E362" s="12"/>
      <c r="F362" s="12"/>
      <c r="G362" s="12"/>
      <c r="H362" s="12"/>
      <c r="I362" s="21" t="str">
        <f>IF(COUNTA('[1]Virus production'!A348)=1,('[1]Virus production'!A348),"")</f>
        <v>AAV361</v>
      </c>
      <c r="J362" s="12"/>
      <c r="L362" s="383">
        <v>45312</v>
      </c>
      <c r="M362" s="12">
        <v>3</v>
      </c>
      <c r="N362" s="197">
        <f t="shared" si="38"/>
        <v>45312</v>
      </c>
      <c r="O362" s="197">
        <f t="shared" si="39"/>
        <v>45292</v>
      </c>
      <c r="P362" s="384">
        <f t="shared" si="40"/>
        <v>3</v>
      </c>
      <c r="Q362" s="384">
        <f t="shared" si="41"/>
        <v>2284</v>
      </c>
      <c r="R362" s="12">
        <f t="shared" si="42"/>
        <v>1191</v>
      </c>
      <c r="S362" s="12"/>
      <c r="T362" s="12"/>
      <c r="U362" s="12"/>
      <c r="V362" s="12"/>
      <c r="W362" s="12"/>
      <c r="X362" s="12"/>
      <c r="Y362" s="12"/>
      <c r="Z362" s="12"/>
      <c r="AA362" s="12"/>
      <c r="AB362" s="12"/>
      <c r="AD362" s="31"/>
      <c r="AE362" s="12"/>
      <c r="AF362" s="197"/>
      <c r="AG362" s="197"/>
      <c r="AH362" s="197"/>
      <c r="AI362" s="197"/>
      <c r="AJ362" s="12"/>
      <c r="AK362" s="12"/>
      <c r="AL362" s="12"/>
      <c r="AM362" s="12"/>
      <c r="AN362" s="12"/>
      <c r="AO362" s="12"/>
      <c r="AP362" s="12"/>
      <c r="AQ362" s="12"/>
      <c r="AR362" s="12"/>
      <c r="AS362" s="12"/>
      <c r="AT362" s="12"/>
    </row>
    <row r="363" spans="1:46" x14ac:dyDescent="0.25">
      <c r="A363" s="12"/>
      <c r="B363" s="12"/>
      <c r="C363" s="12"/>
      <c r="D363" s="12"/>
      <c r="E363" s="12"/>
      <c r="F363" s="12"/>
      <c r="G363" s="12"/>
      <c r="H363" s="12"/>
      <c r="I363" s="21" t="str">
        <f>IF(COUNTA('[1]Virus production'!A349)=1,('[1]Virus production'!A349),"")</f>
        <v>AAV365</v>
      </c>
      <c r="J363" s="12"/>
      <c r="L363" s="383">
        <v>45317</v>
      </c>
      <c r="M363" s="12">
        <v>4</v>
      </c>
      <c r="N363" s="197">
        <f t="shared" si="38"/>
        <v>45317</v>
      </c>
      <c r="O363" s="197">
        <f t="shared" si="39"/>
        <v>45292</v>
      </c>
      <c r="P363" s="384">
        <f t="shared" si="40"/>
        <v>4</v>
      </c>
      <c r="Q363" s="384">
        <f t="shared" si="41"/>
        <v>2289</v>
      </c>
      <c r="R363" s="12">
        <f t="shared" si="42"/>
        <v>1195</v>
      </c>
      <c r="S363" s="12"/>
      <c r="T363" s="12"/>
      <c r="U363" s="12"/>
      <c r="V363" s="12"/>
      <c r="W363" s="12"/>
      <c r="X363" s="12"/>
      <c r="Y363" s="12"/>
      <c r="Z363" s="12"/>
      <c r="AA363" s="12"/>
      <c r="AB363" s="12"/>
      <c r="AD363" s="31"/>
      <c r="AE363" s="12"/>
      <c r="AF363" s="197"/>
      <c r="AG363" s="197"/>
      <c r="AH363" s="197"/>
      <c r="AI363" s="197"/>
      <c r="AJ363" s="12"/>
      <c r="AK363" s="12"/>
      <c r="AL363" s="12"/>
      <c r="AM363" s="12"/>
      <c r="AN363" s="12"/>
      <c r="AO363" s="12"/>
      <c r="AP363" s="12"/>
      <c r="AQ363" s="12"/>
      <c r="AR363" s="12"/>
      <c r="AS363" s="12"/>
      <c r="AT363" s="12"/>
    </row>
    <row r="364" spans="1:46" x14ac:dyDescent="0.25">
      <c r="A364" s="12"/>
      <c r="B364" s="12"/>
      <c r="C364" s="12"/>
      <c r="D364" s="12"/>
      <c r="E364" s="12"/>
      <c r="F364" s="12"/>
      <c r="G364" s="12"/>
      <c r="H364" s="12"/>
      <c r="I364" s="21" t="str">
        <f>IF(COUNTA('[1]Virus production'!A350)=1,('[1]Virus production'!A350),"")</f>
        <v>AAV366</v>
      </c>
      <c r="J364" s="12"/>
      <c r="L364" s="383">
        <v>45320</v>
      </c>
      <c r="M364" s="12">
        <v>55</v>
      </c>
      <c r="N364" s="197">
        <f t="shared" si="38"/>
        <v>45320</v>
      </c>
      <c r="O364" s="197">
        <f t="shared" si="39"/>
        <v>45292</v>
      </c>
      <c r="P364" s="384">
        <f t="shared" si="40"/>
        <v>55</v>
      </c>
      <c r="Q364" s="384">
        <f t="shared" si="41"/>
        <v>2292</v>
      </c>
      <c r="R364" s="12">
        <f t="shared" si="42"/>
        <v>1250</v>
      </c>
      <c r="S364" s="12"/>
      <c r="T364" s="12"/>
      <c r="U364" s="12"/>
      <c r="V364" s="12"/>
      <c r="W364" s="12"/>
      <c r="X364" s="12"/>
      <c r="Y364" s="12"/>
      <c r="Z364" s="12"/>
      <c r="AA364" s="12"/>
      <c r="AB364" s="12"/>
      <c r="AD364" s="31"/>
      <c r="AE364" s="12"/>
      <c r="AF364" s="197"/>
      <c r="AG364" s="197"/>
      <c r="AH364" s="197"/>
      <c r="AI364" s="197"/>
      <c r="AJ364" s="12"/>
      <c r="AK364" s="12"/>
      <c r="AL364" s="12"/>
      <c r="AM364" s="12"/>
      <c r="AN364" s="12"/>
      <c r="AO364" s="12"/>
      <c r="AP364" s="12"/>
      <c r="AQ364" s="12"/>
      <c r="AR364" s="12"/>
      <c r="AS364" s="12"/>
      <c r="AT364" s="12"/>
    </row>
    <row r="365" spans="1:46" x14ac:dyDescent="0.25">
      <c r="A365" s="12"/>
      <c r="B365" s="12"/>
      <c r="C365" s="12"/>
      <c r="D365" s="12"/>
      <c r="E365" s="12"/>
      <c r="F365" s="12"/>
      <c r="G365" s="12"/>
      <c r="H365" s="12"/>
      <c r="I365" s="21" t="str">
        <f>IF(COUNTA('[1]Virus production'!A351)=1,('[1]Virus production'!A351),"")</f>
        <v>AAV371</v>
      </c>
      <c r="J365" s="12"/>
      <c r="L365" s="383">
        <v>45322</v>
      </c>
      <c r="M365" s="12">
        <v>2</v>
      </c>
      <c r="N365" s="197">
        <f t="shared" si="38"/>
        <v>45322</v>
      </c>
      <c r="O365" s="197">
        <f t="shared" si="39"/>
        <v>45292</v>
      </c>
      <c r="P365" s="384">
        <f t="shared" si="40"/>
        <v>2</v>
      </c>
      <c r="Q365" s="384">
        <f t="shared" si="41"/>
        <v>2294</v>
      </c>
      <c r="R365" s="12">
        <f t="shared" si="42"/>
        <v>1252</v>
      </c>
      <c r="S365" s="12"/>
      <c r="T365" s="12"/>
      <c r="U365" s="12"/>
      <c r="V365" s="12"/>
      <c r="W365" s="12"/>
      <c r="X365" s="12"/>
      <c r="Y365" s="12"/>
      <c r="Z365" s="12"/>
      <c r="AA365" s="12"/>
      <c r="AB365" s="12"/>
      <c r="AD365" s="31"/>
      <c r="AE365" s="12"/>
      <c r="AF365" s="197"/>
      <c r="AG365" s="197"/>
      <c r="AH365" s="197"/>
      <c r="AI365" s="197"/>
      <c r="AJ365" s="12"/>
      <c r="AK365" s="12"/>
      <c r="AL365" s="12"/>
      <c r="AM365" s="12"/>
      <c r="AN365" s="12"/>
      <c r="AO365" s="12"/>
      <c r="AP365" s="12"/>
      <c r="AQ365" s="12"/>
      <c r="AR365" s="12"/>
      <c r="AS365" s="12"/>
      <c r="AT365" s="12"/>
    </row>
    <row r="366" spans="1:46" x14ac:dyDescent="0.25">
      <c r="A366" s="12"/>
      <c r="B366" s="12"/>
      <c r="C366" s="12"/>
      <c r="D366" s="12"/>
      <c r="E366" s="12"/>
      <c r="F366" s="12"/>
      <c r="G366" s="12"/>
      <c r="H366" s="12"/>
      <c r="I366" s="21" t="str">
        <f>IF(COUNTA('[1]Virus production'!A352)=1,('[1]Virus production'!A352),"")</f>
        <v>AAV372</v>
      </c>
      <c r="J366" s="12"/>
      <c r="L366" s="383">
        <v>45344</v>
      </c>
      <c r="M366" s="12">
        <v>6</v>
      </c>
      <c r="N366" s="197">
        <f t="shared" si="38"/>
        <v>45344</v>
      </c>
      <c r="O366" s="197">
        <f t="shared" si="39"/>
        <v>45323</v>
      </c>
      <c r="P366" s="384">
        <f t="shared" si="40"/>
        <v>6</v>
      </c>
      <c r="Q366" s="384">
        <f t="shared" si="41"/>
        <v>2316</v>
      </c>
      <c r="R366" s="12">
        <f t="shared" si="42"/>
        <v>1258</v>
      </c>
      <c r="S366" s="12"/>
      <c r="T366" s="12"/>
      <c r="U366" s="12"/>
      <c r="V366" s="12"/>
      <c r="W366" s="12"/>
      <c r="X366" s="12"/>
      <c r="Y366" s="12"/>
      <c r="Z366" s="12"/>
      <c r="AA366" s="12"/>
      <c r="AB366" s="12"/>
      <c r="AD366" s="31"/>
      <c r="AE366" s="12"/>
      <c r="AF366" s="197"/>
      <c r="AG366" s="197"/>
      <c r="AH366" s="197"/>
      <c r="AI366" s="197"/>
      <c r="AJ366" s="12"/>
      <c r="AK366" s="12"/>
      <c r="AL366" s="12"/>
      <c r="AM366" s="12"/>
      <c r="AN366" s="12"/>
      <c r="AO366" s="12"/>
      <c r="AP366" s="12"/>
      <c r="AQ366" s="12"/>
      <c r="AR366" s="12"/>
      <c r="AS366" s="12"/>
      <c r="AT366" s="12"/>
    </row>
    <row r="367" spans="1:46" x14ac:dyDescent="0.25">
      <c r="A367" s="12"/>
      <c r="B367" s="12"/>
      <c r="C367" s="12"/>
      <c r="D367" s="12"/>
      <c r="E367" s="12"/>
      <c r="F367" s="12"/>
      <c r="G367" s="12"/>
      <c r="H367" s="12"/>
      <c r="I367" s="21" t="str">
        <f>IF(COUNTA('[1]Virus production'!A353)=1,('[1]Virus production'!A353),"")</f>
        <v>AAV375</v>
      </c>
      <c r="J367" s="12"/>
      <c r="L367" s="383">
        <v>45365</v>
      </c>
      <c r="M367" s="12">
        <v>4</v>
      </c>
      <c r="N367" s="197">
        <f t="shared" si="38"/>
        <v>45365</v>
      </c>
      <c r="O367" s="197">
        <f t="shared" si="39"/>
        <v>45352</v>
      </c>
      <c r="P367" s="384">
        <f t="shared" si="40"/>
        <v>4</v>
      </c>
      <c r="Q367" s="384">
        <f t="shared" si="41"/>
        <v>2337</v>
      </c>
      <c r="R367" s="12">
        <f t="shared" si="42"/>
        <v>1262</v>
      </c>
      <c r="S367" s="12"/>
      <c r="T367" s="12"/>
      <c r="U367" s="12"/>
      <c r="V367" s="12"/>
      <c r="W367" s="12"/>
      <c r="X367" s="12"/>
      <c r="Y367" s="12"/>
      <c r="Z367" s="12"/>
      <c r="AA367" s="12"/>
      <c r="AB367" s="12"/>
      <c r="AD367" s="31"/>
      <c r="AE367" s="12"/>
      <c r="AF367" s="197"/>
      <c r="AG367" s="197"/>
      <c r="AH367" s="197"/>
      <c r="AI367" s="197"/>
      <c r="AJ367" s="12"/>
      <c r="AK367" s="12"/>
      <c r="AL367" s="12"/>
      <c r="AM367" s="12"/>
      <c r="AN367" s="12"/>
      <c r="AO367" s="12"/>
      <c r="AP367" s="12"/>
      <c r="AQ367" s="12"/>
      <c r="AR367" s="12"/>
      <c r="AS367" s="12"/>
      <c r="AT367" s="12"/>
    </row>
    <row r="368" spans="1:46" x14ac:dyDescent="0.25">
      <c r="A368" s="12"/>
      <c r="B368" s="12"/>
      <c r="C368" s="12"/>
      <c r="D368" s="12"/>
      <c r="E368" s="12"/>
      <c r="F368" s="12"/>
      <c r="G368" s="12"/>
      <c r="H368" s="12"/>
      <c r="I368" s="21" t="str">
        <f>IF(COUNTA('[1]Virus production'!A354)=1,('[1]Virus production'!A354),"")</f>
        <v>AAV376</v>
      </c>
      <c r="J368" s="12"/>
      <c r="L368" s="383">
        <v>45369</v>
      </c>
      <c r="M368" s="12">
        <v>8</v>
      </c>
      <c r="N368" s="197">
        <f t="shared" si="38"/>
        <v>45369</v>
      </c>
      <c r="O368" s="197">
        <f t="shared" si="39"/>
        <v>45352</v>
      </c>
      <c r="P368" s="384">
        <f t="shared" si="40"/>
        <v>8</v>
      </c>
      <c r="Q368" s="384">
        <f t="shared" si="41"/>
        <v>2341</v>
      </c>
      <c r="R368" s="12">
        <f t="shared" si="42"/>
        <v>1270</v>
      </c>
      <c r="S368" s="12"/>
      <c r="T368" s="12"/>
      <c r="U368" s="12"/>
      <c r="V368" s="12"/>
      <c r="W368" s="12"/>
      <c r="X368" s="12"/>
      <c r="Y368" s="12"/>
      <c r="Z368" s="12"/>
      <c r="AA368" s="12"/>
      <c r="AB368" s="12"/>
      <c r="AD368" s="31"/>
      <c r="AE368" s="12"/>
      <c r="AF368" s="197"/>
      <c r="AG368" s="197"/>
      <c r="AH368" s="197"/>
      <c r="AI368" s="197"/>
      <c r="AJ368" s="12"/>
      <c r="AK368" s="12"/>
      <c r="AL368" s="12"/>
      <c r="AM368" s="12"/>
      <c r="AN368" s="12"/>
      <c r="AO368" s="12"/>
      <c r="AP368" s="12"/>
      <c r="AQ368" s="12"/>
      <c r="AR368" s="12"/>
      <c r="AS368" s="12"/>
      <c r="AT368" s="12"/>
    </row>
    <row r="369" spans="1:46" x14ac:dyDescent="0.25">
      <c r="A369" s="12"/>
      <c r="B369" s="12"/>
      <c r="C369" s="12"/>
      <c r="D369" s="12"/>
      <c r="E369" s="12"/>
      <c r="F369" s="12"/>
      <c r="G369" s="12"/>
      <c r="H369" s="12"/>
      <c r="I369" s="21" t="str">
        <f>IF(COUNTA('[1]Virus production'!A355)=1,('[1]Virus production'!A355),"")</f>
        <v>AAV377</v>
      </c>
      <c r="J369" s="12"/>
      <c r="L369" s="383">
        <v>45370</v>
      </c>
      <c r="M369" s="12">
        <v>1</v>
      </c>
      <c r="N369" s="197">
        <f t="shared" si="38"/>
        <v>45370</v>
      </c>
      <c r="O369" s="197">
        <f t="shared" si="39"/>
        <v>45352</v>
      </c>
      <c r="P369" s="384">
        <f t="shared" si="40"/>
        <v>1</v>
      </c>
      <c r="Q369" s="384">
        <f t="shared" si="41"/>
        <v>2342</v>
      </c>
      <c r="R369" s="12">
        <f t="shared" si="42"/>
        <v>1271</v>
      </c>
      <c r="S369" s="12"/>
      <c r="T369" s="12"/>
      <c r="U369" s="12"/>
      <c r="V369" s="12"/>
      <c r="W369" s="12"/>
      <c r="X369" s="12"/>
      <c r="Y369" s="12"/>
      <c r="Z369" s="12"/>
      <c r="AA369" s="12"/>
      <c r="AB369" s="12"/>
      <c r="AD369" s="31"/>
      <c r="AE369" s="12"/>
      <c r="AF369" s="197"/>
      <c r="AG369" s="197"/>
      <c r="AH369" s="197"/>
      <c r="AI369" s="197"/>
      <c r="AJ369" s="12"/>
      <c r="AK369" s="12"/>
      <c r="AL369" s="12"/>
      <c r="AM369" s="12"/>
      <c r="AN369" s="12"/>
      <c r="AO369" s="12"/>
      <c r="AP369" s="12"/>
      <c r="AQ369" s="12"/>
      <c r="AR369" s="12"/>
      <c r="AS369" s="12"/>
      <c r="AT369" s="12"/>
    </row>
    <row r="370" spans="1:46" x14ac:dyDescent="0.25">
      <c r="A370" s="12"/>
      <c r="B370" s="12"/>
      <c r="C370" s="12"/>
      <c r="D370" s="12"/>
      <c r="E370" s="12"/>
      <c r="F370" s="12"/>
      <c r="G370" s="12"/>
      <c r="H370" s="12"/>
      <c r="I370" s="21" t="str">
        <f>IF(COUNTA('[1]Virus production'!A356)=1,('[1]Virus production'!A356),"")</f>
        <v>AAV378</v>
      </c>
      <c r="J370" s="12"/>
      <c r="L370" s="383">
        <v>45371</v>
      </c>
      <c r="M370" s="12">
        <v>1</v>
      </c>
      <c r="N370" s="197">
        <f t="shared" si="38"/>
        <v>45371</v>
      </c>
      <c r="O370" s="197">
        <f t="shared" si="39"/>
        <v>45352</v>
      </c>
      <c r="P370" s="384">
        <f t="shared" si="40"/>
        <v>1</v>
      </c>
      <c r="Q370" s="384">
        <f t="shared" si="41"/>
        <v>2343</v>
      </c>
      <c r="R370" s="12">
        <f t="shared" si="42"/>
        <v>1272</v>
      </c>
      <c r="S370" s="12"/>
      <c r="T370" s="12"/>
      <c r="U370" s="12"/>
      <c r="V370" s="12"/>
      <c r="W370" s="12"/>
      <c r="X370" s="12"/>
      <c r="Y370" s="12"/>
      <c r="Z370" s="12"/>
      <c r="AA370" s="12"/>
      <c r="AB370" s="12"/>
      <c r="AD370" s="31"/>
      <c r="AE370" s="12"/>
      <c r="AF370" s="197"/>
      <c r="AG370" s="197"/>
      <c r="AH370" s="197"/>
      <c r="AI370" s="197"/>
      <c r="AJ370" s="12"/>
      <c r="AK370" s="12"/>
      <c r="AL370" s="12"/>
      <c r="AM370" s="12"/>
      <c r="AN370" s="12"/>
      <c r="AO370" s="12"/>
      <c r="AP370" s="12"/>
      <c r="AQ370" s="12"/>
      <c r="AR370" s="12"/>
      <c r="AS370" s="12"/>
      <c r="AT370" s="12"/>
    </row>
    <row r="371" spans="1:46" x14ac:dyDescent="0.25">
      <c r="A371" s="12"/>
      <c r="B371" s="12"/>
      <c r="C371" s="12"/>
      <c r="D371" s="12"/>
      <c r="E371" s="12"/>
      <c r="F371" s="12"/>
      <c r="G371" s="12"/>
      <c r="H371" s="12"/>
      <c r="I371" s="21" t="s">
        <v>3178</v>
      </c>
      <c r="J371" s="12"/>
      <c r="L371" s="383">
        <v>45372</v>
      </c>
      <c r="M371" s="12">
        <v>1</v>
      </c>
      <c r="N371" s="197">
        <f t="shared" si="38"/>
        <v>45372</v>
      </c>
      <c r="O371" s="197">
        <f t="shared" si="39"/>
        <v>45352</v>
      </c>
      <c r="P371" s="384">
        <f t="shared" si="40"/>
        <v>1</v>
      </c>
      <c r="Q371" s="384">
        <f t="shared" si="41"/>
        <v>2344</v>
      </c>
      <c r="R371" s="12">
        <f t="shared" si="42"/>
        <v>1273</v>
      </c>
      <c r="S371" s="12"/>
      <c r="T371" s="12"/>
      <c r="U371" s="12"/>
      <c r="V371" s="12"/>
      <c r="W371" s="12"/>
      <c r="X371" s="12"/>
      <c r="Y371" s="12"/>
      <c r="Z371" s="12"/>
      <c r="AA371" s="12"/>
      <c r="AB371" s="12"/>
      <c r="AD371" s="31"/>
      <c r="AE371" s="12"/>
      <c r="AF371" s="197"/>
      <c r="AG371" s="197"/>
      <c r="AH371" s="197"/>
      <c r="AI371" s="197"/>
      <c r="AJ371" s="12"/>
      <c r="AK371" s="12"/>
      <c r="AL371" s="12"/>
      <c r="AM371" s="12"/>
      <c r="AN371" s="12"/>
      <c r="AO371" s="12"/>
      <c r="AP371" s="12"/>
      <c r="AQ371" s="12"/>
      <c r="AR371" s="12"/>
      <c r="AS371" s="12"/>
      <c r="AT371" s="12"/>
    </row>
    <row r="372" spans="1:46" x14ac:dyDescent="0.25">
      <c r="A372" s="12"/>
      <c r="B372" s="12"/>
      <c r="C372" s="12"/>
      <c r="D372" s="12"/>
      <c r="E372" s="12"/>
      <c r="F372" s="12"/>
      <c r="G372" s="12"/>
      <c r="H372" s="12"/>
      <c r="I372" s="21" t="s">
        <v>3179</v>
      </c>
      <c r="J372" s="12"/>
      <c r="L372" s="383">
        <v>45373</v>
      </c>
      <c r="M372" s="12">
        <v>1</v>
      </c>
      <c r="N372" s="197">
        <f t="shared" si="38"/>
        <v>45373</v>
      </c>
      <c r="O372" s="197">
        <f t="shared" si="39"/>
        <v>45352</v>
      </c>
      <c r="P372" s="384">
        <f t="shared" si="40"/>
        <v>1</v>
      </c>
      <c r="Q372" s="384">
        <f t="shared" si="41"/>
        <v>2345</v>
      </c>
      <c r="R372" s="12">
        <f t="shared" si="42"/>
        <v>1274</v>
      </c>
      <c r="S372" s="12"/>
      <c r="T372" s="12"/>
      <c r="U372" s="12"/>
      <c r="V372" s="12"/>
      <c r="W372" s="12"/>
      <c r="X372" s="12"/>
      <c r="Y372" s="12"/>
      <c r="Z372" s="12"/>
      <c r="AA372" s="12"/>
      <c r="AB372" s="12"/>
      <c r="AD372" s="31"/>
      <c r="AE372" s="12"/>
      <c r="AF372" s="197"/>
      <c r="AG372" s="197"/>
      <c r="AH372" s="197"/>
      <c r="AI372" s="197"/>
      <c r="AJ372" s="12"/>
      <c r="AK372" s="12"/>
      <c r="AL372" s="12"/>
      <c r="AM372" s="12"/>
      <c r="AN372" s="12"/>
      <c r="AO372" s="12"/>
      <c r="AP372" s="12"/>
      <c r="AQ372" s="12"/>
      <c r="AR372" s="12"/>
      <c r="AS372" s="12"/>
      <c r="AT372" s="12"/>
    </row>
    <row r="373" spans="1:46" x14ac:dyDescent="0.25">
      <c r="A373" s="12"/>
      <c r="B373" s="12"/>
      <c r="C373" s="12"/>
      <c r="D373" s="12"/>
      <c r="E373" s="12"/>
      <c r="F373" s="12"/>
      <c r="G373" s="12"/>
      <c r="H373" s="12"/>
      <c r="I373" s="21" t="str">
        <f>IF(COUNTA('[1]Virus production'!A359)=1,('[1]Virus production'!A359),"")</f>
        <v>AAV392</v>
      </c>
      <c r="J373" s="12"/>
      <c r="L373" s="383">
        <v>45374</v>
      </c>
      <c r="M373" s="12">
        <v>1</v>
      </c>
      <c r="N373" s="197">
        <f t="shared" si="38"/>
        <v>45374</v>
      </c>
      <c r="O373" s="197">
        <f t="shared" si="39"/>
        <v>45352</v>
      </c>
      <c r="P373" s="384">
        <f t="shared" si="40"/>
        <v>1</v>
      </c>
      <c r="Q373" s="384">
        <f t="shared" si="41"/>
        <v>2346</v>
      </c>
      <c r="R373" s="12">
        <f t="shared" si="42"/>
        <v>1275</v>
      </c>
      <c r="S373" s="12"/>
      <c r="T373" s="12"/>
      <c r="U373" s="12"/>
      <c r="V373" s="12"/>
      <c r="W373" s="12"/>
      <c r="X373" s="12"/>
      <c r="Y373" s="12"/>
      <c r="Z373" s="12"/>
      <c r="AA373" s="12"/>
      <c r="AB373" s="12"/>
      <c r="AD373" s="31"/>
      <c r="AE373" s="12"/>
      <c r="AF373" s="197"/>
      <c r="AG373" s="197"/>
      <c r="AH373" s="197"/>
      <c r="AI373" s="197"/>
      <c r="AJ373" s="12"/>
      <c r="AK373" s="12"/>
      <c r="AL373" s="12"/>
      <c r="AM373" s="12"/>
      <c r="AN373" s="12"/>
      <c r="AO373" s="12"/>
      <c r="AP373" s="12"/>
      <c r="AQ373" s="12"/>
      <c r="AR373" s="12"/>
      <c r="AS373" s="12"/>
      <c r="AT373" s="12"/>
    </row>
    <row r="374" spans="1:46" x14ac:dyDescent="0.25">
      <c r="A374" s="12"/>
      <c r="B374" s="12"/>
      <c r="C374" s="12"/>
      <c r="D374" s="12"/>
      <c r="E374" s="12"/>
      <c r="F374" s="12"/>
      <c r="G374" s="12"/>
      <c r="H374" s="12"/>
      <c r="I374" s="21" t="str">
        <f>IF(COUNTA('[1]Virus production'!A360)=1,('[1]Virus production'!A360),"")</f>
        <v>AAV393</v>
      </c>
      <c r="J374" s="12"/>
      <c r="L374" s="383">
        <v>45376</v>
      </c>
      <c r="M374" s="12">
        <v>2</v>
      </c>
      <c r="N374" s="197">
        <f t="shared" si="38"/>
        <v>45376</v>
      </c>
      <c r="O374" s="197">
        <f t="shared" si="39"/>
        <v>45352</v>
      </c>
      <c r="P374" s="384">
        <f t="shared" si="40"/>
        <v>2</v>
      </c>
      <c r="Q374" s="384">
        <f t="shared" si="41"/>
        <v>2348</v>
      </c>
      <c r="R374" s="12">
        <f t="shared" si="42"/>
        <v>1277</v>
      </c>
      <c r="S374" s="12"/>
      <c r="T374" s="12"/>
      <c r="U374" s="12"/>
      <c r="V374" s="12"/>
      <c r="W374" s="12"/>
      <c r="X374" s="12"/>
      <c r="Y374" s="12"/>
      <c r="Z374" s="12"/>
      <c r="AA374" s="12"/>
      <c r="AB374" s="12"/>
      <c r="AD374" s="31"/>
      <c r="AE374" s="12"/>
      <c r="AF374" s="197"/>
      <c r="AG374" s="197"/>
      <c r="AH374" s="197"/>
      <c r="AI374" s="197"/>
      <c r="AJ374" s="12"/>
      <c r="AK374" s="12"/>
      <c r="AL374" s="12"/>
      <c r="AM374" s="12"/>
      <c r="AN374" s="12"/>
      <c r="AO374" s="12"/>
      <c r="AP374" s="12"/>
      <c r="AQ374" s="12"/>
      <c r="AR374" s="12"/>
      <c r="AS374" s="12"/>
      <c r="AT374" s="12"/>
    </row>
    <row r="375" spans="1:46" x14ac:dyDescent="0.25">
      <c r="A375" s="12"/>
      <c r="B375" s="12"/>
      <c r="C375" s="12"/>
      <c r="D375" s="12"/>
      <c r="E375" s="12"/>
      <c r="F375" s="12"/>
      <c r="G375" s="12"/>
      <c r="H375" s="12"/>
      <c r="I375" s="21" t="str">
        <f>IF(COUNTA('[1]Virus production'!A361)=1,('[1]Virus production'!A361),"")</f>
        <v>AAV395</v>
      </c>
      <c r="J375" s="12"/>
      <c r="L375" s="383">
        <v>45377</v>
      </c>
      <c r="M375" s="12">
        <v>1</v>
      </c>
      <c r="N375" s="197">
        <f t="shared" si="38"/>
        <v>45377</v>
      </c>
      <c r="O375" s="197">
        <f t="shared" si="39"/>
        <v>45352</v>
      </c>
      <c r="P375" s="384">
        <f t="shared" si="40"/>
        <v>1</v>
      </c>
      <c r="Q375" s="384">
        <f t="shared" si="41"/>
        <v>2349</v>
      </c>
      <c r="R375" s="12">
        <f t="shared" si="42"/>
        <v>1278</v>
      </c>
      <c r="S375" s="12"/>
      <c r="T375" s="12"/>
      <c r="U375" s="12"/>
      <c r="V375" s="12"/>
      <c r="W375" s="12"/>
      <c r="X375" s="12"/>
      <c r="Y375" s="12"/>
      <c r="Z375" s="12"/>
      <c r="AA375" s="12"/>
      <c r="AB375" s="12"/>
      <c r="AD375" s="31"/>
      <c r="AE375" s="12"/>
      <c r="AF375" s="197"/>
      <c r="AG375" s="197"/>
      <c r="AH375" s="197"/>
      <c r="AI375" s="197"/>
      <c r="AJ375" s="12"/>
      <c r="AK375" s="12"/>
      <c r="AL375" s="12"/>
      <c r="AM375" s="12"/>
      <c r="AN375" s="12"/>
      <c r="AO375" s="12"/>
      <c r="AP375" s="12"/>
      <c r="AQ375" s="12"/>
      <c r="AR375" s="12"/>
      <c r="AS375" s="12"/>
      <c r="AT375" s="12"/>
    </row>
    <row r="376" spans="1:46" x14ac:dyDescent="0.25">
      <c r="A376" s="12"/>
      <c r="B376" s="12"/>
      <c r="C376" s="12"/>
      <c r="D376" s="12"/>
      <c r="E376" s="12"/>
      <c r="F376" s="12"/>
      <c r="G376" s="12"/>
      <c r="H376" s="12"/>
      <c r="I376" s="21" t="str">
        <f>IF(COUNTA('[1]Virus production'!A362)=1,('[1]Virus production'!A362),"")</f>
        <v>AAV396</v>
      </c>
      <c r="J376" s="12"/>
      <c r="L376" s="383">
        <v>45378</v>
      </c>
      <c r="M376" s="12">
        <v>2</v>
      </c>
      <c r="N376" s="197">
        <f t="shared" si="38"/>
        <v>45378</v>
      </c>
      <c r="O376" s="197">
        <f t="shared" si="39"/>
        <v>45352</v>
      </c>
      <c r="P376" s="384">
        <f t="shared" si="40"/>
        <v>2</v>
      </c>
      <c r="Q376" s="384">
        <f t="shared" si="41"/>
        <v>2350</v>
      </c>
      <c r="R376" s="12">
        <f t="shared" si="42"/>
        <v>1280</v>
      </c>
      <c r="S376" s="12"/>
      <c r="T376" s="12"/>
      <c r="U376" s="12"/>
      <c r="V376" s="12"/>
      <c r="W376" s="12"/>
      <c r="X376" s="12"/>
      <c r="Y376" s="12"/>
      <c r="Z376" s="12"/>
      <c r="AA376" s="12"/>
      <c r="AB376" s="12"/>
      <c r="AD376" s="31"/>
      <c r="AE376" s="12"/>
      <c r="AF376" s="197"/>
      <c r="AG376" s="197"/>
      <c r="AH376" s="197"/>
      <c r="AI376" s="197"/>
      <c r="AJ376" s="12"/>
      <c r="AK376" s="12"/>
      <c r="AL376" s="12"/>
      <c r="AM376" s="12"/>
      <c r="AN376" s="12"/>
      <c r="AO376" s="12"/>
      <c r="AP376" s="12"/>
      <c r="AQ376" s="12"/>
      <c r="AR376" s="12"/>
      <c r="AS376" s="12"/>
      <c r="AT376" s="12"/>
    </row>
    <row r="377" spans="1:46" x14ac:dyDescent="0.25">
      <c r="A377" s="12"/>
      <c r="B377" s="12"/>
      <c r="C377" s="12"/>
      <c r="D377" s="12"/>
      <c r="E377" s="12"/>
      <c r="F377" s="12"/>
      <c r="G377" s="12"/>
      <c r="H377" s="12"/>
      <c r="I377" s="21" t="str">
        <f>IF(COUNTA('[1]Virus production'!A363)=1,('[1]Virus production'!A363),"")</f>
        <v>AAV406</v>
      </c>
      <c r="J377" s="12"/>
      <c r="L377" s="383">
        <v>45385</v>
      </c>
      <c r="M377" s="12">
        <v>2</v>
      </c>
      <c r="N377" s="197">
        <f t="shared" si="38"/>
        <v>45385</v>
      </c>
      <c r="O377" s="197">
        <f t="shared" si="39"/>
        <v>45383</v>
      </c>
      <c r="P377" s="384">
        <f t="shared" si="40"/>
        <v>2</v>
      </c>
      <c r="Q377" s="384">
        <f t="shared" si="41"/>
        <v>2357</v>
      </c>
      <c r="R377" s="12">
        <f t="shared" si="42"/>
        <v>1282</v>
      </c>
      <c r="S377" s="12"/>
      <c r="T377" s="12"/>
      <c r="U377" s="12"/>
      <c r="V377" s="12"/>
      <c r="W377" s="12"/>
      <c r="X377" s="12"/>
      <c r="Y377" s="12"/>
      <c r="Z377" s="12"/>
      <c r="AA377" s="12"/>
      <c r="AB377" s="12"/>
      <c r="AD377" s="31"/>
      <c r="AE377" s="12"/>
      <c r="AF377" s="197"/>
      <c r="AG377" s="197"/>
      <c r="AH377" s="197"/>
      <c r="AI377" s="197"/>
      <c r="AJ377" s="12"/>
      <c r="AK377" s="12"/>
      <c r="AL377" s="12"/>
      <c r="AM377" s="12"/>
      <c r="AN377" s="12"/>
      <c r="AO377" s="12"/>
      <c r="AP377" s="12"/>
      <c r="AQ377" s="12"/>
      <c r="AR377" s="12"/>
      <c r="AS377" s="12"/>
      <c r="AT377" s="12"/>
    </row>
    <row r="378" spans="1:46" x14ac:dyDescent="0.25">
      <c r="A378" s="12"/>
      <c r="B378" s="12"/>
      <c r="C378" s="12"/>
      <c r="D378" s="12"/>
      <c r="E378" s="12"/>
      <c r="F378" s="12"/>
      <c r="G378" s="12"/>
      <c r="H378" s="12"/>
      <c r="I378" s="21" t="str">
        <f>IF(COUNTA('[1]Virus production'!A364)=1,('[1]Virus production'!A364),"")</f>
        <v>AAV407</v>
      </c>
      <c r="J378" s="12"/>
      <c r="L378" s="383">
        <v>45398</v>
      </c>
      <c r="M378" s="12">
        <v>2</v>
      </c>
      <c r="N378" s="197">
        <f t="shared" si="38"/>
        <v>45398</v>
      </c>
      <c r="O378" s="197">
        <f t="shared" si="39"/>
        <v>45383</v>
      </c>
      <c r="P378" s="384">
        <f t="shared" si="40"/>
        <v>2</v>
      </c>
      <c r="Q378" s="384">
        <f t="shared" si="41"/>
        <v>2370</v>
      </c>
      <c r="R378" s="12">
        <f t="shared" si="42"/>
        <v>1284</v>
      </c>
      <c r="S378" s="12"/>
      <c r="T378" s="12"/>
      <c r="U378" s="12"/>
      <c r="V378" s="12"/>
      <c r="W378" s="12"/>
      <c r="X378" s="12"/>
      <c r="Y378" s="12"/>
      <c r="Z378" s="12"/>
      <c r="AA378" s="12"/>
      <c r="AB378" s="12"/>
      <c r="AD378" s="31"/>
      <c r="AE378" s="12"/>
      <c r="AF378" s="197"/>
      <c r="AG378" s="197"/>
      <c r="AH378" s="197"/>
      <c r="AI378" s="197"/>
      <c r="AJ378" s="12"/>
      <c r="AK378" s="12"/>
      <c r="AL378" s="12"/>
      <c r="AM378" s="12"/>
      <c r="AN378" s="12"/>
      <c r="AO378" s="12"/>
      <c r="AP378" s="12"/>
      <c r="AQ378" s="12"/>
      <c r="AR378" s="12"/>
      <c r="AS378" s="12"/>
      <c r="AT378" s="12"/>
    </row>
    <row r="379" spans="1:46" x14ac:dyDescent="0.25">
      <c r="A379" s="12"/>
      <c r="B379" s="12"/>
      <c r="C379" s="12"/>
      <c r="D379" s="12"/>
      <c r="E379" s="12"/>
      <c r="F379" s="12"/>
      <c r="G379" s="12"/>
      <c r="H379" s="12"/>
      <c r="I379" s="21" t="str">
        <f>IF(COUNTA('[1]Virus production'!A365)=1,('[1]Virus production'!A365),"")</f>
        <v>AAV408</v>
      </c>
      <c r="J379" s="12"/>
      <c r="L379" s="383">
        <v>45399</v>
      </c>
      <c r="M379" s="12">
        <v>2</v>
      </c>
      <c r="N379" s="197">
        <f t="shared" si="38"/>
        <v>45399</v>
      </c>
      <c r="O379" s="197">
        <f t="shared" si="39"/>
        <v>45383</v>
      </c>
      <c r="P379" s="384">
        <f t="shared" si="40"/>
        <v>2</v>
      </c>
      <c r="Q379" s="384">
        <f t="shared" si="41"/>
        <v>2371</v>
      </c>
      <c r="R379" s="12">
        <f t="shared" si="42"/>
        <v>1286</v>
      </c>
      <c r="S379" s="12"/>
      <c r="T379" s="12"/>
      <c r="U379" s="12"/>
      <c r="V379" s="12"/>
      <c r="W379" s="12"/>
      <c r="X379" s="12"/>
      <c r="Y379" s="12"/>
      <c r="Z379" s="12"/>
      <c r="AA379" s="12"/>
      <c r="AB379" s="12"/>
      <c r="AD379" s="31"/>
      <c r="AE379" s="12"/>
      <c r="AF379" s="197"/>
      <c r="AG379" s="197"/>
      <c r="AH379" s="197"/>
      <c r="AI379" s="197"/>
      <c r="AJ379" s="12"/>
      <c r="AK379" s="12"/>
      <c r="AL379" s="12"/>
      <c r="AM379" s="12"/>
      <c r="AN379" s="12"/>
      <c r="AO379" s="12"/>
      <c r="AP379" s="12"/>
      <c r="AQ379" s="12"/>
      <c r="AR379" s="12"/>
      <c r="AS379" s="12"/>
      <c r="AT379" s="12"/>
    </row>
    <row r="380" spans="1:46" x14ac:dyDescent="0.25">
      <c r="A380" s="12"/>
      <c r="B380" s="12"/>
      <c r="C380" s="12"/>
      <c r="D380" s="12"/>
      <c r="E380" s="12"/>
      <c r="F380" s="12"/>
      <c r="G380" s="12"/>
      <c r="H380" s="12"/>
      <c r="I380" s="21" t="str">
        <f>IF(COUNTA('[1]Virus production'!A366)=1,('[1]Virus production'!A366),"")</f>
        <v>AAV409</v>
      </c>
      <c r="J380" s="12"/>
      <c r="L380" s="383">
        <v>45400</v>
      </c>
      <c r="M380" s="12">
        <v>2</v>
      </c>
      <c r="N380" s="197">
        <f t="shared" si="38"/>
        <v>45400</v>
      </c>
      <c r="O380" s="197">
        <f t="shared" si="39"/>
        <v>45383</v>
      </c>
      <c r="P380" s="384">
        <f t="shared" si="40"/>
        <v>2</v>
      </c>
      <c r="Q380" s="384">
        <f t="shared" si="41"/>
        <v>2372</v>
      </c>
      <c r="R380" s="12">
        <f t="shared" si="42"/>
        <v>1288</v>
      </c>
      <c r="S380" s="12"/>
      <c r="T380" s="12"/>
      <c r="U380" s="12"/>
      <c r="V380" s="12"/>
      <c r="W380" s="12"/>
      <c r="X380" s="12"/>
      <c r="Y380" s="12"/>
      <c r="Z380" s="12"/>
      <c r="AA380" s="12"/>
      <c r="AB380" s="12"/>
      <c r="AD380" s="31"/>
      <c r="AE380" s="12"/>
      <c r="AF380" s="197"/>
      <c r="AG380" s="197"/>
      <c r="AH380" s="197"/>
      <c r="AI380" s="197"/>
      <c r="AJ380" s="12"/>
      <c r="AK380" s="12"/>
      <c r="AL380" s="12"/>
      <c r="AM380" s="12"/>
      <c r="AN380" s="12"/>
      <c r="AO380" s="12"/>
      <c r="AP380" s="12"/>
      <c r="AQ380" s="12"/>
      <c r="AR380" s="12"/>
      <c r="AS380" s="12"/>
      <c r="AT380" s="12"/>
    </row>
    <row r="381" spans="1:46" x14ac:dyDescent="0.25">
      <c r="A381" s="12"/>
      <c r="B381" s="12"/>
      <c r="C381" s="12"/>
      <c r="D381" s="12"/>
      <c r="E381" s="12"/>
      <c r="F381" s="12"/>
      <c r="G381" s="12"/>
      <c r="H381" s="12"/>
      <c r="I381" s="21" t="str">
        <f>IF(COUNTA('[1]Virus production'!A367)=1,('[1]Virus production'!A367),"")</f>
        <v>AAV410</v>
      </c>
      <c r="J381" s="12"/>
      <c r="L381" s="383">
        <v>45401</v>
      </c>
      <c r="M381" s="12">
        <v>4</v>
      </c>
      <c r="N381" s="197">
        <f t="shared" si="38"/>
        <v>45401</v>
      </c>
      <c r="O381" s="197">
        <f t="shared" si="39"/>
        <v>45383</v>
      </c>
      <c r="P381" s="384">
        <f t="shared" si="40"/>
        <v>4</v>
      </c>
      <c r="Q381" s="384">
        <f t="shared" si="41"/>
        <v>2373</v>
      </c>
      <c r="R381" s="12">
        <f t="shared" si="42"/>
        <v>1292</v>
      </c>
      <c r="S381" s="12"/>
      <c r="T381" s="12"/>
      <c r="U381" s="12"/>
      <c r="V381" s="12"/>
      <c r="W381" s="12"/>
      <c r="X381" s="12"/>
      <c r="Y381" s="12"/>
      <c r="Z381" s="12"/>
      <c r="AA381" s="12"/>
      <c r="AB381" s="12"/>
      <c r="AD381" s="31"/>
      <c r="AE381" s="12"/>
      <c r="AF381" s="197"/>
      <c r="AG381" s="197"/>
      <c r="AH381" s="197"/>
      <c r="AI381" s="197"/>
      <c r="AJ381" s="12"/>
      <c r="AK381" s="12"/>
      <c r="AL381" s="12"/>
      <c r="AM381" s="12"/>
      <c r="AN381" s="12"/>
      <c r="AO381" s="12"/>
      <c r="AP381" s="12"/>
      <c r="AQ381" s="12"/>
      <c r="AR381" s="12"/>
      <c r="AS381" s="12"/>
      <c r="AT381" s="12"/>
    </row>
    <row r="382" spans="1:46" x14ac:dyDescent="0.25">
      <c r="A382" s="12"/>
      <c r="B382" s="12"/>
      <c r="C382" s="12"/>
      <c r="D382" s="12"/>
      <c r="E382" s="12"/>
      <c r="F382" s="12"/>
      <c r="G382" s="12"/>
      <c r="H382" s="12"/>
      <c r="I382" s="21" t="str">
        <f>IF(COUNTA('[1]Virus production'!A368)=1,('[1]Virus production'!A368),"")</f>
        <v>AAV418</v>
      </c>
      <c r="J382" s="12"/>
      <c r="L382" s="383">
        <v>45405</v>
      </c>
      <c r="M382" s="12">
        <v>3</v>
      </c>
      <c r="N382" s="197">
        <f t="shared" si="38"/>
        <v>45405</v>
      </c>
      <c r="O382" s="197">
        <f t="shared" si="39"/>
        <v>45383</v>
      </c>
      <c r="P382" s="384">
        <f t="shared" si="40"/>
        <v>3</v>
      </c>
      <c r="Q382" s="384">
        <f t="shared" si="41"/>
        <v>2377</v>
      </c>
      <c r="R382" s="12">
        <f t="shared" si="42"/>
        <v>1295</v>
      </c>
      <c r="S382" s="12"/>
      <c r="T382" s="12"/>
      <c r="U382" s="12"/>
      <c r="V382" s="12"/>
      <c r="W382" s="12"/>
      <c r="X382" s="12"/>
      <c r="Y382" s="12"/>
      <c r="Z382" s="12"/>
      <c r="AA382" s="12"/>
      <c r="AB382" s="12"/>
      <c r="AD382" s="31"/>
      <c r="AE382" s="12"/>
      <c r="AF382" s="197"/>
      <c r="AG382" s="197"/>
      <c r="AH382" s="197"/>
      <c r="AI382" s="197"/>
      <c r="AJ382" s="12"/>
      <c r="AK382" s="12"/>
      <c r="AL382" s="12"/>
      <c r="AM382" s="12"/>
      <c r="AN382" s="12"/>
      <c r="AO382" s="12"/>
      <c r="AP382" s="12"/>
      <c r="AQ382" s="12"/>
      <c r="AR382" s="12"/>
      <c r="AS382" s="12"/>
      <c r="AT382" s="12"/>
    </row>
    <row r="383" spans="1:46" x14ac:dyDescent="0.25">
      <c r="A383" s="12"/>
      <c r="B383" s="12"/>
      <c r="C383" s="12"/>
      <c r="D383" s="12"/>
      <c r="E383" s="12"/>
      <c r="F383" s="12"/>
      <c r="G383" s="12"/>
      <c r="H383" s="12"/>
      <c r="I383" s="21" t="str">
        <f>IF(COUNTA('[1]Virus production'!A369)=1,('[1]Virus production'!A369),"")</f>
        <v>AAV420</v>
      </c>
      <c r="J383" s="12"/>
      <c r="L383" s="383">
        <v>45404</v>
      </c>
      <c r="M383" s="12">
        <v>2</v>
      </c>
      <c r="N383" s="197">
        <f t="shared" si="38"/>
        <v>45404</v>
      </c>
      <c r="O383" s="197">
        <f t="shared" si="39"/>
        <v>45383</v>
      </c>
      <c r="P383" s="384">
        <f t="shared" si="40"/>
        <v>2</v>
      </c>
      <c r="Q383" s="384">
        <f t="shared" si="41"/>
        <v>2376</v>
      </c>
      <c r="R383" s="12">
        <f t="shared" si="42"/>
        <v>1297</v>
      </c>
      <c r="S383" s="12"/>
      <c r="T383" s="12"/>
      <c r="U383" s="12"/>
      <c r="V383" s="12"/>
      <c r="W383" s="12"/>
      <c r="X383" s="12"/>
      <c r="Y383" s="12"/>
      <c r="Z383" s="12"/>
      <c r="AA383" s="12"/>
      <c r="AB383" s="12"/>
      <c r="AD383" s="31"/>
      <c r="AE383" s="12"/>
      <c r="AF383" s="197"/>
      <c r="AG383" s="197"/>
      <c r="AH383" s="197"/>
      <c r="AI383" s="197"/>
      <c r="AJ383" s="12"/>
      <c r="AK383" s="12"/>
      <c r="AL383" s="12"/>
      <c r="AM383" s="12"/>
      <c r="AN383" s="12"/>
      <c r="AO383" s="12"/>
      <c r="AP383" s="12"/>
      <c r="AQ383" s="12"/>
      <c r="AR383" s="12"/>
      <c r="AS383" s="12"/>
      <c r="AT383" s="12"/>
    </row>
    <row r="384" spans="1:46" x14ac:dyDescent="0.25">
      <c r="A384" s="12"/>
      <c r="B384" s="12"/>
      <c r="C384" s="12"/>
      <c r="D384" s="12"/>
      <c r="E384" s="12"/>
      <c r="F384" s="12"/>
      <c r="G384" s="12"/>
      <c r="H384" s="12"/>
      <c r="I384" s="21" t="str">
        <f>IF(COUNTA('[1]Virus production'!A370)=1,('[1]Virus production'!A370),"")</f>
        <v>AAV421</v>
      </c>
      <c r="J384" s="12"/>
      <c r="L384" s="383">
        <v>45426</v>
      </c>
      <c r="M384" s="12">
        <v>1</v>
      </c>
      <c r="N384" s="197">
        <f t="shared" si="38"/>
        <v>45426</v>
      </c>
      <c r="O384" s="197">
        <f t="shared" si="39"/>
        <v>45413</v>
      </c>
      <c r="P384" s="384">
        <f t="shared" si="40"/>
        <v>1</v>
      </c>
      <c r="Q384" s="384">
        <f t="shared" si="41"/>
        <v>2398</v>
      </c>
      <c r="R384" s="12">
        <f t="shared" si="42"/>
        <v>1298</v>
      </c>
      <c r="S384" s="12"/>
      <c r="T384" s="12"/>
      <c r="U384" s="12"/>
      <c r="V384" s="12"/>
      <c r="W384" s="12"/>
      <c r="X384" s="12"/>
      <c r="Y384" s="12"/>
      <c r="Z384" s="12"/>
      <c r="AA384" s="12"/>
      <c r="AB384" s="12"/>
      <c r="AD384" s="31"/>
      <c r="AE384" s="12"/>
      <c r="AF384" s="197"/>
      <c r="AG384" s="197"/>
      <c r="AH384" s="197"/>
      <c r="AI384" s="197"/>
      <c r="AJ384" s="12"/>
      <c r="AK384" s="12"/>
      <c r="AL384" s="12"/>
      <c r="AM384" s="12"/>
      <c r="AN384" s="12"/>
      <c r="AO384" s="12"/>
      <c r="AP384" s="12"/>
      <c r="AQ384" s="12"/>
      <c r="AR384" s="12"/>
      <c r="AS384" s="12"/>
      <c r="AT384" s="12"/>
    </row>
    <row r="385" spans="1:46" x14ac:dyDescent="0.25">
      <c r="A385" s="12"/>
      <c r="B385" s="12"/>
      <c r="C385" s="12"/>
      <c r="D385" s="12"/>
      <c r="E385" s="12"/>
      <c r="F385" s="12"/>
      <c r="G385" s="12"/>
      <c r="H385" s="12"/>
      <c r="I385" s="21" t="str">
        <f>IF(COUNTA('[1]Virus production'!A371)=1,('[1]Virus production'!A371),"")</f>
        <v>AAV422</v>
      </c>
      <c r="J385" s="12"/>
      <c r="L385" s="383">
        <v>45440</v>
      </c>
      <c r="M385" s="12">
        <v>9</v>
      </c>
      <c r="N385" s="197">
        <f t="shared" si="38"/>
        <v>45440</v>
      </c>
      <c r="O385" s="197">
        <f t="shared" si="39"/>
        <v>45413</v>
      </c>
      <c r="P385" s="384">
        <f t="shared" si="40"/>
        <v>9</v>
      </c>
      <c r="Q385" s="384">
        <f t="shared" si="41"/>
        <v>2412</v>
      </c>
      <c r="R385" s="12">
        <f t="shared" si="42"/>
        <v>1307</v>
      </c>
      <c r="S385" s="12"/>
      <c r="T385" s="12"/>
      <c r="U385" s="12"/>
      <c r="V385" s="12"/>
      <c r="W385" s="12"/>
      <c r="X385" s="12"/>
      <c r="Y385" s="12"/>
      <c r="Z385" s="12"/>
      <c r="AA385" s="12"/>
      <c r="AB385" s="12"/>
      <c r="AD385" s="31"/>
      <c r="AE385" s="12"/>
      <c r="AF385" s="197"/>
      <c r="AG385" s="197"/>
      <c r="AH385" s="197"/>
      <c r="AI385" s="197"/>
      <c r="AJ385" s="12"/>
      <c r="AK385" s="12"/>
      <c r="AL385" s="12"/>
      <c r="AM385" s="12"/>
      <c r="AN385" s="12"/>
      <c r="AO385" s="12"/>
      <c r="AP385" s="12"/>
      <c r="AQ385" s="12"/>
      <c r="AR385" s="12"/>
      <c r="AS385" s="12"/>
      <c r="AT385" s="12"/>
    </row>
    <row r="386" spans="1:46" x14ac:dyDescent="0.25">
      <c r="A386" s="12"/>
      <c r="B386" s="12"/>
      <c r="C386" s="12"/>
      <c r="D386" s="12"/>
      <c r="E386" s="12"/>
      <c r="F386" s="12"/>
      <c r="G386" s="12"/>
      <c r="H386" s="12"/>
      <c r="I386" s="21" t="str">
        <f>IF(COUNTA('[1]Virus production'!A372)=1,('[1]Virus production'!A372),"")</f>
        <v>AAV423</v>
      </c>
      <c r="J386" s="12"/>
      <c r="L386" s="383">
        <v>45441</v>
      </c>
      <c r="M386" s="12">
        <v>2</v>
      </c>
      <c r="N386" s="197">
        <f t="shared" si="38"/>
        <v>45441</v>
      </c>
      <c r="O386" s="197">
        <f t="shared" si="39"/>
        <v>45413</v>
      </c>
      <c r="P386" s="384">
        <f t="shared" si="40"/>
        <v>2</v>
      </c>
      <c r="Q386" s="384">
        <f t="shared" si="41"/>
        <v>2413</v>
      </c>
      <c r="R386" s="12">
        <f t="shared" si="42"/>
        <v>1309</v>
      </c>
      <c r="S386" s="12"/>
      <c r="T386" s="12"/>
      <c r="U386" s="12"/>
      <c r="V386" s="12"/>
      <c r="W386" s="12"/>
      <c r="X386" s="12"/>
      <c r="Y386" s="12"/>
      <c r="Z386" s="12"/>
      <c r="AA386" s="12"/>
      <c r="AB386" s="12"/>
      <c r="AD386" s="31"/>
      <c r="AE386" s="12"/>
      <c r="AF386" s="197"/>
      <c r="AG386" s="197"/>
      <c r="AH386" s="197"/>
      <c r="AI386" s="197"/>
      <c r="AJ386" s="12"/>
      <c r="AK386" s="12"/>
      <c r="AL386" s="12"/>
      <c r="AM386" s="12"/>
      <c r="AN386" s="12"/>
      <c r="AO386" s="12"/>
      <c r="AP386" s="12"/>
      <c r="AQ386" s="12"/>
      <c r="AR386" s="12"/>
      <c r="AS386" s="12"/>
      <c r="AT386" s="12"/>
    </row>
    <row r="387" spans="1:46" x14ac:dyDescent="0.25">
      <c r="A387" s="12"/>
      <c r="B387" s="12"/>
      <c r="C387" s="12"/>
      <c r="D387" s="12"/>
      <c r="E387" s="12"/>
      <c r="F387" s="12"/>
      <c r="G387" s="12"/>
      <c r="H387" s="12"/>
      <c r="I387" s="21" t="str">
        <f>IF(COUNTA('[1]Virus production'!A373)=1,('[1]Virus production'!A373),"")</f>
        <v>AAV424</v>
      </c>
      <c r="J387" s="12"/>
      <c r="L387" s="383">
        <v>45448</v>
      </c>
      <c r="M387" s="12">
        <v>3</v>
      </c>
      <c r="N387" s="197">
        <f t="shared" si="38"/>
        <v>45448</v>
      </c>
      <c r="O387" s="197">
        <f t="shared" si="39"/>
        <v>45444</v>
      </c>
      <c r="P387" s="384">
        <f t="shared" si="40"/>
        <v>3</v>
      </c>
      <c r="Q387" s="384">
        <f t="shared" si="41"/>
        <v>2420</v>
      </c>
      <c r="R387" s="12">
        <f t="shared" si="42"/>
        <v>1312</v>
      </c>
      <c r="S387" s="12"/>
      <c r="T387" s="12"/>
      <c r="U387" s="12"/>
      <c r="V387" s="12"/>
      <c r="W387" s="12"/>
      <c r="X387" s="12"/>
      <c r="Y387" s="12"/>
      <c r="Z387" s="12"/>
      <c r="AA387" s="12"/>
      <c r="AB387" s="12"/>
      <c r="AD387" s="31"/>
      <c r="AE387" s="12"/>
      <c r="AF387" s="197"/>
      <c r="AG387" s="197"/>
      <c r="AH387" s="197"/>
      <c r="AI387" s="197"/>
      <c r="AJ387" s="12"/>
      <c r="AK387" s="12"/>
      <c r="AL387" s="12"/>
      <c r="AM387" s="12"/>
      <c r="AN387" s="12"/>
      <c r="AO387" s="12"/>
      <c r="AP387" s="12"/>
      <c r="AQ387" s="12"/>
      <c r="AR387" s="12"/>
      <c r="AS387" s="12"/>
      <c r="AT387" s="12"/>
    </row>
    <row r="388" spans="1:46" x14ac:dyDescent="0.25">
      <c r="A388" s="12"/>
      <c r="B388" s="12"/>
      <c r="C388" s="12"/>
      <c r="D388" s="12"/>
      <c r="E388" s="12"/>
      <c r="F388" s="12"/>
      <c r="G388" s="12"/>
      <c r="H388" s="12"/>
      <c r="I388" s="21" t="str">
        <f>IF(COUNTA('[1]Virus production'!A374)=1,('[1]Virus production'!A374),"")</f>
        <v>AAV425</v>
      </c>
      <c r="J388" s="12"/>
      <c r="L388" s="383">
        <v>45453</v>
      </c>
      <c r="M388" s="12">
        <v>4</v>
      </c>
      <c r="N388" s="197">
        <f t="shared" si="38"/>
        <v>45453</v>
      </c>
      <c r="O388" s="197">
        <f t="shared" si="39"/>
        <v>45444</v>
      </c>
      <c r="P388" s="384">
        <f t="shared" si="40"/>
        <v>4</v>
      </c>
      <c r="Q388" s="384">
        <f t="shared" si="41"/>
        <v>2425</v>
      </c>
      <c r="R388" s="12">
        <f t="shared" si="42"/>
        <v>1316</v>
      </c>
      <c r="S388" s="12"/>
      <c r="T388" s="12"/>
      <c r="U388" s="12"/>
      <c r="V388" s="12"/>
      <c r="W388" s="12"/>
      <c r="X388" s="12"/>
      <c r="Y388" s="12"/>
      <c r="Z388" s="12"/>
      <c r="AA388" s="12"/>
      <c r="AB388" s="12"/>
      <c r="AD388" s="31"/>
      <c r="AE388" s="12"/>
      <c r="AF388" s="197"/>
      <c r="AG388" s="197"/>
      <c r="AH388" s="197"/>
      <c r="AI388" s="197"/>
      <c r="AJ388" s="12"/>
      <c r="AK388" s="12"/>
      <c r="AL388" s="12"/>
      <c r="AM388" s="12"/>
      <c r="AN388" s="12"/>
      <c r="AO388" s="12"/>
      <c r="AP388" s="12"/>
      <c r="AQ388" s="12"/>
      <c r="AR388" s="12"/>
      <c r="AS388" s="12"/>
      <c r="AT388" s="12"/>
    </row>
    <row r="389" spans="1:46" x14ac:dyDescent="0.25">
      <c r="A389" s="12"/>
      <c r="B389" s="12"/>
      <c r="C389" s="12"/>
      <c r="D389" s="12"/>
      <c r="E389" s="12"/>
      <c r="F389" s="12"/>
      <c r="G389" s="12"/>
      <c r="H389" s="12"/>
      <c r="I389" s="21" t="str">
        <f>IF(COUNTA('[1]Virus production'!A375)=1,('[1]Virus production'!A375),"")</f>
        <v>AAV426</v>
      </c>
      <c r="J389" s="12"/>
      <c r="L389" s="383">
        <v>45454</v>
      </c>
      <c r="M389" s="12">
        <v>1</v>
      </c>
      <c r="N389" s="197">
        <f t="shared" ref="N389:N395" si="43">L389</f>
        <v>45454</v>
      </c>
      <c r="O389" s="197">
        <f t="shared" ref="O389:O452" si="44">DATE(YEAR(N389),MONTH(N389),1)</f>
        <v>45444</v>
      </c>
      <c r="P389" s="384">
        <f t="shared" ref="P389:P452" si="45">M389</f>
        <v>1</v>
      </c>
      <c r="Q389" s="384">
        <f t="shared" ref="Q389:Q452" si="46">N389-$N$4</f>
        <v>2426</v>
      </c>
      <c r="R389" s="12">
        <f t="shared" ref="R389:R395" si="47">R388+M389</f>
        <v>1317</v>
      </c>
      <c r="S389" s="12"/>
      <c r="T389" s="12"/>
      <c r="U389" s="12"/>
      <c r="V389" s="12"/>
      <c r="W389" s="12"/>
      <c r="X389" s="12"/>
      <c r="Y389" s="12"/>
      <c r="Z389" s="12"/>
      <c r="AA389" s="12"/>
      <c r="AB389" s="12"/>
      <c r="AD389" s="31"/>
      <c r="AE389" s="12"/>
      <c r="AF389" s="197"/>
      <c r="AG389" s="197"/>
      <c r="AH389" s="197"/>
      <c r="AI389" s="197"/>
      <c r="AJ389" s="12"/>
      <c r="AK389" s="12"/>
      <c r="AL389" s="12"/>
      <c r="AM389" s="12"/>
      <c r="AN389" s="12"/>
      <c r="AO389" s="12"/>
      <c r="AP389" s="12"/>
      <c r="AQ389" s="12"/>
      <c r="AR389" s="12"/>
      <c r="AS389" s="12"/>
      <c r="AT389" s="12"/>
    </row>
    <row r="390" spans="1:46" x14ac:dyDescent="0.25">
      <c r="A390" s="12"/>
      <c r="B390" s="12"/>
      <c r="C390" s="12"/>
      <c r="D390" s="12"/>
      <c r="E390" s="12"/>
      <c r="F390" s="12"/>
      <c r="G390" s="12"/>
      <c r="H390" s="12"/>
      <c r="I390" s="21" t="str">
        <f>IF(COUNTA('[1]Virus production'!A376)=1,('[1]Virus production'!A376),"")</f>
        <v>AAV427</v>
      </c>
      <c r="J390" s="12"/>
      <c r="L390" s="383">
        <v>45456</v>
      </c>
      <c r="M390" s="12">
        <v>1</v>
      </c>
      <c r="N390" s="197">
        <f t="shared" si="43"/>
        <v>45456</v>
      </c>
      <c r="O390" s="197">
        <f t="shared" si="44"/>
        <v>45444</v>
      </c>
      <c r="P390" s="384">
        <f t="shared" si="45"/>
        <v>1</v>
      </c>
      <c r="Q390" s="384">
        <f t="shared" si="46"/>
        <v>2428</v>
      </c>
      <c r="R390" s="12">
        <f t="shared" si="47"/>
        <v>1318</v>
      </c>
      <c r="S390" s="12"/>
      <c r="T390" s="12"/>
      <c r="U390" s="12"/>
      <c r="V390" s="12"/>
      <c r="W390" s="12"/>
      <c r="X390" s="12"/>
      <c r="Y390" s="12"/>
      <c r="Z390" s="12"/>
      <c r="AA390" s="12"/>
      <c r="AB390" s="12"/>
      <c r="AD390" s="31"/>
      <c r="AE390" s="12"/>
      <c r="AF390" s="197"/>
      <c r="AG390" s="197"/>
      <c r="AH390" s="197"/>
      <c r="AI390" s="197"/>
      <c r="AJ390" s="12"/>
      <c r="AK390" s="12"/>
      <c r="AL390" s="12"/>
      <c r="AM390" s="12"/>
      <c r="AN390" s="12"/>
      <c r="AO390" s="12"/>
      <c r="AP390" s="12"/>
      <c r="AQ390" s="12"/>
      <c r="AR390" s="12"/>
      <c r="AS390" s="12"/>
      <c r="AT390" s="12"/>
    </row>
    <row r="391" spans="1:46" x14ac:dyDescent="0.25">
      <c r="A391" s="12"/>
      <c r="B391" s="12"/>
      <c r="C391" s="12"/>
      <c r="D391" s="12"/>
      <c r="E391" s="12"/>
      <c r="F391" s="12"/>
      <c r="G391" s="12"/>
      <c r="H391" s="12"/>
      <c r="I391" s="21" t="str">
        <f>IF(COUNTA('[1]Virus production'!A377)=1,('[1]Virus production'!A377),"")</f>
        <v>AAV428</v>
      </c>
      <c r="J391" s="12"/>
      <c r="L391" s="383">
        <v>45460</v>
      </c>
      <c r="M391" s="12">
        <v>2</v>
      </c>
      <c r="N391" s="197">
        <f t="shared" si="43"/>
        <v>45460</v>
      </c>
      <c r="O391" s="197">
        <f t="shared" si="44"/>
        <v>45444</v>
      </c>
      <c r="P391" s="384">
        <f t="shared" si="45"/>
        <v>2</v>
      </c>
      <c r="Q391" s="384">
        <f t="shared" si="46"/>
        <v>2432</v>
      </c>
      <c r="R391" s="12">
        <f t="shared" si="47"/>
        <v>1320</v>
      </c>
      <c r="S391" s="12"/>
      <c r="T391" s="12"/>
      <c r="U391" s="12"/>
      <c r="V391" s="12"/>
      <c r="W391" s="12"/>
      <c r="X391" s="12"/>
      <c r="Y391" s="12"/>
      <c r="Z391" s="12"/>
      <c r="AA391" s="12"/>
      <c r="AB391" s="12"/>
      <c r="AD391" s="31"/>
      <c r="AE391" s="12"/>
      <c r="AF391" s="197"/>
      <c r="AG391" s="197"/>
      <c r="AH391" s="197"/>
      <c r="AI391" s="197"/>
      <c r="AJ391" s="12"/>
      <c r="AK391" s="12"/>
      <c r="AL391" s="12"/>
      <c r="AM391" s="12"/>
      <c r="AN391" s="12"/>
      <c r="AO391" s="12"/>
      <c r="AP391" s="12"/>
      <c r="AQ391" s="12"/>
      <c r="AR391" s="12"/>
      <c r="AS391" s="12"/>
      <c r="AT391" s="12"/>
    </row>
    <row r="392" spans="1:46" x14ac:dyDescent="0.25">
      <c r="A392" s="12"/>
      <c r="B392" s="12"/>
      <c r="C392" s="12"/>
      <c r="D392" s="12"/>
      <c r="E392" s="12"/>
      <c r="F392" s="12"/>
      <c r="G392" s="12"/>
      <c r="H392" s="12"/>
      <c r="I392" s="21" t="str">
        <f>IF(COUNTA('[1]Virus production'!A378)=1,('[1]Virus production'!A378),"")</f>
        <v>AAV429</v>
      </c>
      <c r="J392" s="12"/>
      <c r="L392" s="383">
        <v>45461</v>
      </c>
      <c r="M392" s="12">
        <v>1</v>
      </c>
      <c r="N392" s="197">
        <f t="shared" si="43"/>
        <v>45461</v>
      </c>
      <c r="O392" s="197">
        <f t="shared" si="44"/>
        <v>45444</v>
      </c>
      <c r="P392" s="384">
        <f t="shared" si="45"/>
        <v>1</v>
      </c>
      <c r="Q392" s="384">
        <f t="shared" si="46"/>
        <v>2433</v>
      </c>
      <c r="R392" s="12">
        <f t="shared" si="47"/>
        <v>1321</v>
      </c>
      <c r="S392" s="12"/>
      <c r="T392" s="12"/>
      <c r="U392" s="12"/>
      <c r="V392" s="12"/>
      <c r="W392" s="12"/>
      <c r="X392" s="12"/>
      <c r="Y392" s="12"/>
      <c r="Z392" s="12"/>
      <c r="AA392" s="12"/>
      <c r="AB392" s="12"/>
      <c r="AD392" s="31"/>
      <c r="AE392" s="12"/>
      <c r="AF392" s="197"/>
      <c r="AG392" s="197"/>
      <c r="AH392" s="197"/>
      <c r="AI392" s="197"/>
      <c r="AJ392" s="12"/>
      <c r="AK392" s="12"/>
      <c r="AL392" s="12"/>
      <c r="AM392" s="12"/>
      <c r="AN392" s="12"/>
      <c r="AO392" s="12"/>
      <c r="AP392" s="12"/>
      <c r="AQ392" s="12"/>
      <c r="AR392" s="12"/>
      <c r="AS392" s="12"/>
      <c r="AT392" s="12"/>
    </row>
    <row r="393" spans="1:46" x14ac:dyDescent="0.25">
      <c r="A393" s="12"/>
      <c r="B393" s="12"/>
      <c r="C393" s="12"/>
      <c r="D393" s="12"/>
      <c r="E393" s="12"/>
      <c r="F393" s="12"/>
      <c r="G393" s="12"/>
      <c r="H393" s="12"/>
      <c r="I393" s="21" t="str">
        <f>IF(COUNTA('[1]Virus production'!A379)=1,('[1]Virus production'!A379),"")</f>
        <v>AAV430 SS</v>
      </c>
      <c r="J393" s="12"/>
      <c r="L393" s="383">
        <v>45462</v>
      </c>
      <c r="M393" s="12">
        <v>5</v>
      </c>
      <c r="N393" s="197">
        <f t="shared" si="43"/>
        <v>45462</v>
      </c>
      <c r="O393" s="197">
        <f t="shared" si="44"/>
        <v>45444</v>
      </c>
      <c r="P393" s="384">
        <f t="shared" si="45"/>
        <v>5</v>
      </c>
      <c r="Q393" s="384">
        <f t="shared" si="46"/>
        <v>2434</v>
      </c>
      <c r="R393" s="12">
        <f t="shared" si="47"/>
        <v>1326</v>
      </c>
      <c r="S393" s="12"/>
      <c r="T393" s="12"/>
      <c r="U393" s="12"/>
      <c r="V393" s="12"/>
      <c r="W393" s="12"/>
      <c r="X393" s="12"/>
      <c r="Y393" s="12"/>
      <c r="Z393" s="12"/>
      <c r="AA393" s="12"/>
      <c r="AB393" s="12"/>
      <c r="AD393" s="31"/>
      <c r="AE393" s="12"/>
      <c r="AF393" s="197"/>
      <c r="AG393" s="197"/>
      <c r="AH393" s="197"/>
      <c r="AI393" s="197"/>
      <c r="AJ393" s="12"/>
      <c r="AK393" s="12"/>
      <c r="AL393" s="12"/>
      <c r="AM393" s="12"/>
      <c r="AN393" s="12"/>
      <c r="AO393" s="12"/>
      <c r="AP393" s="12"/>
      <c r="AQ393" s="12"/>
      <c r="AR393" s="12"/>
      <c r="AS393" s="12"/>
      <c r="AT393" s="12"/>
    </row>
    <row r="394" spans="1:46" x14ac:dyDescent="0.25">
      <c r="A394" s="12"/>
      <c r="B394" s="12"/>
      <c r="C394" s="12"/>
      <c r="D394" s="12"/>
      <c r="E394" s="12"/>
      <c r="F394" s="12"/>
      <c r="G394" s="12"/>
      <c r="H394" s="12"/>
      <c r="I394" s="21" t="str">
        <f>IF(COUNTA('[1]Virus production'!A380)=1,('[1]Virus production'!A380),"")</f>
        <v>AAV431 SS</v>
      </c>
      <c r="J394" s="12"/>
      <c r="L394" s="383">
        <v>45463</v>
      </c>
      <c r="M394" s="12">
        <v>3</v>
      </c>
      <c r="N394" s="197">
        <f t="shared" si="43"/>
        <v>45463</v>
      </c>
      <c r="O394" s="197">
        <f t="shared" si="44"/>
        <v>45444</v>
      </c>
      <c r="P394" s="384">
        <f t="shared" si="45"/>
        <v>3</v>
      </c>
      <c r="Q394" s="384">
        <f t="shared" si="46"/>
        <v>2435</v>
      </c>
      <c r="R394" s="12">
        <f t="shared" si="47"/>
        <v>1329</v>
      </c>
      <c r="S394" s="12"/>
      <c r="T394" s="12"/>
      <c r="U394" s="12"/>
      <c r="V394" s="12"/>
      <c r="W394" s="12"/>
      <c r="X394" s="12"/>
      <c r="Y394" s="12"/>
      <c r="Z394" s="12"/>
      <c r="AA394" s="12"/>
      <c r="AB394" s="12"/>
      <c r="AD394" s="31"/>
      <c r="AE394" s="12"/>
      <c r="AF394" s="197"/>
      <c r="AG394" s="197"/>
      <c r="AH394" s="197"/>
      <c r="AI394" s="197"/>
      <c r="AJ394" s="12"/>
      <c r="AK394" s="12"/>
      <c r="AL394" s="12"/>
      <c r="AM394" s="12"/>
      <c r="AN394" s="12"/>
      <c r="AO394" s="12"/>
      <c r="AP394" s="12"/>
      <c r="AQ394" s="12"/>
      <c r="AR394" s="12"/>
      <c r="AS394" s="12"/>
      <c r="AT394" s="12"/>
    </row>
    <row r="395" spans="1:46" x14ac:dyDescent="0.25">
      <c r="A395" s="12"/>
      <c r="B395" s="12"/>
      <c r="C395" s="12"/>
      <c r="D395" s="12"/>
      <c r="E395" s="12"/>
      <c r="F395" s="12"/>
      <c r="G395" s="12"/>
      <c r="H395" s="12"/>
      <c r="I395" s="21" t="str">
        <f>IF(COUNTA('[1]Virus production'!A381)=1,('[1]Virus production'!A381),"")</f>
        <v>AAV432 SS</v>
      </c>
      <c r="J395" s="12"/>
      <c r="L395" s="383">
        <v>45467</v>
      </c>
      <c r="M395" s="12">
        <v>2</v>
      </c>
      <c r="N395" s="197">
        <f t="shared" si="43"/>
        <v>45467</v>
      </c>
      <c r="O395" s="197">
        <f t="shared" si="44"/>
        <v>45444</v>
      </c>
      <c r="P395" s="384">
        <f t="shared" si="45"/>
        <v>2</v>
      </c>
      <c r="Q395" s="384">
        <f t="shared" si="46"/>
        <v>2439</v>
      </c>
      <c r="R395" s="12">
        <f t="shared" si="47"/>
        <v>1331</v>
      </c>
      <c r="S395" s="12"/>
      <c r="T395" s="12"/>
      <c r="U395" s="12"/>
      <c r="V395" s="12"/>
      <c r="W395" s="12"/>
      <c r="X395" s="12"/>
      <c r="Y395" s="12"/>
      <c r="Z395" s="12"/>
      <c r="AA395" s="12"/>
      <c r="AB395" s="12"/>
      <c r="AD395" s="31"/>
      <c r="AE395" s="12"/>
      <c r="AF395" s="197"/>
      <c r="AG395" s="197"/>
      <c r="AH395" s="197"/>
      <c r="AI395" s="197"/>
      <c r="AJ395" s="12"/>
      <c r="AK395" s="12"/>
      <c r="AL395" s="12"/>
      <c r="AM395" s="12"/>
      <c r="AN395" s="12"/>
      <c r="AO395" s="12"/>
      <c r="AP395" s="12"/>
      <c r="AQ395" s="12"/>
      <c r="AR395" s="12"/>
      <c r="AS395" s="12"/>
      <c r="AT395" s="12"/>
    </row>
    <row r="396" spans="1:46" x14ac:dyDescent="0.25">
      <c r="A396" s="12"/>
      <c r="B396" s="12"/>
      <c r="C396" s="12"/>
      <c r="D396" s="12"/>
      <c r="E396" s="12"/>
      <c r="F396" s="12"/>
      <c r="G396" s="12"/>
      <c r="H396" s="12"/>
      <c r="I396" s="21" t="str">
        <f>IF(COUNTA('[1]Virus production'!A382)=1,('[1]Virus production'!A382),"")</f>
        <v>AAV433</v>
      </c>
      <c r="J396" s="12"/>
      <c r="L396" s="383">
        <v>45468</v>
      </c>
      <c r="M396" s="12">
        <v>2</v>
      </c>
      <c r="N396" s="197">
        <f t="shared" ref="N396:N452" si="48">L396</f>
        <v>45468</v>
      </c>
      <c r="O396" s="197">
        <f t="shared" si="44"/>
        <v>45444</v>
      </c>
      <c r="P396" s="384">
        <f t="shared" si="45"/>
        <v>2</v>
      </c>
      <c r="Q396" s="384">
        <f t="shared" si="46"/>
        <v>2440</v>
      </c>
      <c r="R396" s="12">
        <f t="shared" ref="R396:R427" si="49">R395+M396</f>
        <v>1333</v>
      </c>
      <c r="S396" s="12"/>
      <c r="T396" s="12"/>
      <c r="U396" s="12"/>
      <c r="V396" s="12"/>
      <c r="W396" s="12"/>
      <c r="X396" s="12"/>
      <c r="Y396" s="12"/>
      <c r="Z396" s="12"/>
      <c r="AA396" s="12"/>
      <c r="AB396" s="12"/>
      <c r="AD396" s="31"/>
      <c r="AE396" s="12"/>
      <c r="AF396" s="197"/>
      <c r="AG396" s="197"/>
      <c r="AH396" s="197"/>
      <c r="AI396" s="197"/>
      <c r="AJ396" s="12"/>
      <c r="AK396" s="12"/>
      <c r="AL396" s="12"/>
      <c r="AM396" s="12"/>
      <c r="AN396" s="12"/>
      <c r="AO396" s="12"/>
      <c r="AP396" s="12"/>
      <c r="AQ396" s="12"/>
      <c r="AR396" s="12"/>
      <c r="AS396" s="12"/>
      <c r="AT396" s="12"/>
    </row>
    <row r="397" spans="1:46" x14ac:dyDescent="0.25">
      <c r="A397" s="12"/>
      <c r="B397" s="12"/>
      <c r="C397" s="12"/>
      <c r="D397" s="12"/>
      <c r="E397" s="12"/>
      <c r="F397" s="12"/>
      <c r="G397" s="12"/>
      <c r="H397" s="12"/>
      <c r="I397" s="21" t="str">
        <f>IF(COUNTA('[1]Virus production'!A383)=1,('[1]Virus production'!A383),"")</f>
        <v>AAV434</v>
      </c>
      <c r="J397" s="12"/>
      <c r="L397" s="383">
        <v>45471</v>
      </c>
      <c r="M397" s="12">
        <v>2</v>
      </c>
      <c r="N397" s="197">
        <f t="shared" si="48"/>
        <v>45471</v>
      </c>
      <c r="O397" s="197">
        <f t="shared" si="44"/>
        <v>45444</v>
      </c>
      <c r="P397" s="384">
        <f t="shared" si="45"/>
        <v>2</v>
      </c>
      <c r="Q397" s="384">
        <f t="shared" si="46"/>
        <v>2443</v>
      </c>
      <c r="R397" s="12">
        <f t="shared" si="49"/>
        <v>1335</v>
      </c>
      <c r="S397" s="12"/>
      <c r="T397" s="12"/>
      <c r="U397" s="12"/>
      <c r="V397" s="12"/>
      <c r="W397" s="12"/>
      <c r="X397" s="12"/>
      <c r="Y397" s="12"/>
      <c r="Z397" s="12"/>
      <c r="AA397" s="12"/>
      <c r="AB397" s="12"/>
      <c r="AD397" s="31"/>
      <c r="AE397" s="12"/>
      <c r="AF397" s="197"/>
      <c r="AG397" s="197"/>
      <c r="AH397" s="197"/>
      <c r="AI397" s="197"/>
      <c r="AJ397" s="12"/>
      <c r="AK397" s="12"/>
      <c r="AL397" s="12"/>
      <c r="AM397" s="12"/>
      <c r="AN397" s="12"/>
      <c r="AO397" s="12"/>
      <c r="AP397" s="12"/>
      <c r="AQ397" s="12"/>
      <c r="AR397" s="12"/>
      <c r="AS397" s="12"/>
      <c r="AT397" s="12"/>
    </row>
    <row r="398" spans="1:46" x14ac:dyDescent="0.25">
      <c r="A398" s="12"/>
      <c r="B398" s="12"/>
      <c r="C398" s="12"/>
      <c r="D398" s="12"/>
      <c r="E398" s="12"/>
      <c r="F398" s="12"/>
      <c r="G398" s="12"/>
      <c r="H398" s="12"/>
      <c r="I398" s="21" t="str">
        <f>IF(COUNTA('[1]Virus production'!A384)=1,('[1]Virus production'!A384),"")</f>
        <v>AAV435</v>
      </c>
      <c r="J398" s="12"/>
      <c r="L398" s="383">
        <v>45475</v>
      </c>
      <c r="M398" s="12">
        <v>4</v>
      </c>
      <c r="N398" s="197">
        <f t="shared" si="48"/>
        <v>45475</v>
      </c>
      <c r="O398" s="197">
        <f t="shared" si="44"/>
        <v>45474</v>
      </c>
      <c r="P398" s="384">
        <f t="shared" si="45"/>
        <v>4</v>
      </c>
      <c r="Q398" s="384">
        <f t="shared" si="46"/>
        <v>2447</v>
      </c>
      <c r="R398" s="12">
        <f t="shared" si="49"/>
        <v>1339</v>
      </c>
      <c r="S398" s="12"/>
      <c r="T398" s="12"/>
      <c r="U398" s="12"/>
      <c r="V398" s="12"/>
      <c r="W398" s="12"/>
      <c r="X398" s="12"/>
      <c r="Y398" s="12"/>
      <c r="Z398" s="12"/>
      <c r="AA398" s="12"/>
      <c r="AB398" s="12"/>
      <c r="AD398" s="31"/>
      <c r="AE398" s="12"/>
      <c r="AF398" s="197"/>
      <c r="AG398" s="197"/>
      <c r="AH398" s="197"/>
      <c r="AI398" s="197"/>
      <c r="AJ398" s="12"/>
      <c r="AK398" s="12"/>
      <c r="AL398" s="12"/>
      <c r="AM398" s="12"/>
      <c r="AN398" s="12"/>
      <c r="AO398" s="12"/>
      <c r="AP398" s="12"/>
      <c r="AQ398" s="12"/>
      <c r="AR398" s="12"/>
      <c r="AS398" s="12"/>
      <c r="AT398" s="12"/>
    </row>
    <row r="399" spans="1:46" x14ac:dyDescent="0.25">
      <c r="A399" s="12"/>
      <c r="B399" s="12"/>
      <c r="C399" s="12"/>
      <c r="D399" s="12"/>
      <c r="E399" s="12"/>
      <c r="F399" s="12"/>
      <c r="G399" s="12"/>
      <c r="H399" s="12"/>
      <c r="I399" s="21" t="str">
        <f>IF(COUNTA('[1]Virus production'!A385)=1,('[1]Virus production'!A385),"")</f>
        <v>AAV443</v>
      </c>
      <c r="J399" s="12"/>
      <c r="L399" s="383">
        <v>45477</v>
      </c>
      <c r="M399" s="12">
        <v>1</v>
      </c>
      <c r="N399" s="197">
        <f t="shared" si="48"/>
        <v>45477</v>
      </c>
      <c r="O399" s="197">
        <f t="shared" si="44"/>
        <v>45474</v>
      </c>
      <c r="P399" s="384">
        <f t="shared" si="45"/>
        <v>1</v>
      </c>
      <c r="Q399" s="384">
        <f t="shared" si="46"/>
        <v>2449</v>
      </c>
      <c r="R399" s="12">
        <f t="shared" si="49"/>
        <v>1340</v>
      </c>
      <c r="S399" s="12"/>
      <c r="T399" s="12"/>
      <c r="U399" s="12"/>
      <c r="V399" s="12"/>
      <c r="W399" s="12"/>
      <c r="X399" s="12"/>
      <c r="Y399" s="12"/>
      <c r="Z399" s="12"/>
      <c r="AA399" s="12"/>
      <c r="AB399" s="12"/>
      <c r="AD399" s="31"/>
      <c r="AE399" s="12"/>
      <c r="AF399" s="197"/>
      <c r="AG399" s="197"/>
      <c r="AH399" s="197"/>
      <c r="AI399" s="197"/>
      <c r="AJ399" s="12"/>
      <c r="AK399" s="12"/>
      <c r="AL399" s="12"/>
      <c r="AM399" s="12"/>
      <c r="AN399" s="12"/>
      <c r="AO399" s="12"/>
      <c r="AP399" s="12"/>
      <c r="AQ399" s="12"/>
      <c r="AR399" s="12"/>
      <c r="AS399" s="12"/>
      <c r="AT399" s="12"/>
    </row>
    <row r="400" spans="1:46" x14ac:dyDescent="0.25">
      <c r="A400" s="12"/>
      <c r="B400" s="12"/>
      <c r="C400" s="12"/>
      <c r="D400" s="12"/>
      <c r="E400" s="12"/>
      <c r="F400" s="12"/>
      <c r="G400" s="12"/>
      <c r="H400" s="12"/>
      <c r="I400" s="21" t="str">
        <f>IF(COUNTA('[1]Virus production'!A386)=1,('[1]Virus production'!A386),"")</f>
        <v>AAV444</v>
      </c>
      <c r="J400" s="12"/>
      <c r="L400" s="383">
        <v>45478</v>
      </c>
      <c r="M400" s="12">
        <v>3</v>
      </c>
      <c r="N400" s="197">
        <f t="shared" si="48"/>
        <v>45478</v>
      </c>
      <c r="O400" s="197">
        <f t="shared" si="44"/>
        <v>45474</v>
      </c>
      <c r="P400" s="384">
        <f t="shared" si="45"/>
        <v>3</v>
      </c>
      <c r="Q400" s="384">
        <f t="shared" si="46"/>
        <v>2450</v>
      </c>
      <c r="R400" s="12">
        <f t="shared" si="49"/>
        <v>1343</v>
      </c>
      <c r="S400" s="12"/>
      <c r="T400" s="12"/>
      <c r="U400" s="12"/>
      <c r="V400" s="12"/>
      <c r="W400" s="12"/>
      <c r="X400" s="12"/>
      <c r="Y400" s="12"/>
      <c r="Z400" s="12"/>
      <c r="AA400" s="12"/>
      <c r="AB400" s="12"/>
      <c r="AD400" s="31"/>
      <c r="AE400" s="12"/>
      <c r="AF400" s="197"/>
      <c r="AG400" s="197"/>
      <c r="AH400" s="197"/>
      <c r="AI400" s="197"/>
      <c r="AJ400" s="12"/>
      <c r="AK400" s="12"/>
      <c r="AL400" s="12"/>
      <c r="AM400" s="12"/>
      <c r="AN400" s="12"/>
      <c r="AO400" s="12"/>
      <c r="AP400" s="12"/>
      <c r="AQ400" s="12"/>
      <c r="AR400" s="12"/>
      <c r="AS400" s="12"/>
      <c r="AT400" s="12"/>
    </row>
    <row r="401" spans="1:46" x14ac:dyDescent="0.25">
      <c r="A401" s="12"/>
      <c r="B401" s="12"/>
      <c r="C401" s="12"/>
      <c r="D401" s="12"/>
      <c r="E401" s="12"/>
      <c r="F401" s="12"/>
      <c r="G401" s="12"/>
      <c r="H401" s="12"/>
      <c r="I401" s="21" t="str">
        <f>IF(COUNTA('[1]Virus production'!A387)=1,('[1]Virus production'!A387),"")</f>
        <v>AAV445</v>
      </c>
      <c r="J401" s="12"/>
      <c r="L401" s="383">
        <v>45481</v>
      </c>
      <c r="M401" s="12">
        <v>2</v>
      </c>
      <c r="N401" s="197">
        <f t="shared" si="48"/>
        <v>45481</v>
      </c>
      <c r="O401" s="197">
        <f t="shared" si="44"/>
        <v>45474</v>
      </c>
      <c r="P401" s="384">
        <f t="shared" si="45"/>
        <v>2</v>
      </c>
      <c r="Q401" s="384">
        <f t="shared" si="46"/>
        <v>2453</v>
      </c>
      <c r="R401" s="12">
        <f t="shared" si="49"/>
        <v>1345</v>
      </c>
      <c r="S401" s="12"/>
      <c r="T401" s="12"/>
      <c r="U401" s="12"/>
      <c r="V401" s="12"/>
      <c r="W401" s="12"/>
      <c r="X401" s="12"/>
      <c r="Y401" s="12"/>
      <c r="Z401" s="12"/>
      <c r="AA401" s="12"/>
      <c r="AB401" s="12"/>
      <c r="AD401" s="31"/>
      <c r="AE401" s="12"/>
      <c r="AF401" s="197"/>
      <c r="AG401" s="197"/>
      <c r="AH401" s="197"/>
      <c r="AI401" s="197"/>
      <c r="AJ401" s="12"/>
      <c r="AK401" s="12"/>
      <c r="AL401" s="12"/>
      <c r="AM401" s="12"/>
      <c r="AN401" s="12"/>
      <c r="AO401" s="12"/>
      <c r="AP401" s="12"/>
      <c r="AQ401" s="12"/>
      <c r="AR401" s="12"/>
      <c r="AS401" s="12"/>
      <c r="AT401" s="12"/>
    </row>
    <row r="402" spans="1:46" x14ac:dyDescent="0.25">
      <c r="A402" s="12"/>
      <c r="B402" s="12"/>
      <c r="C402" s="12"/>
      <c r="D402" s="12"/>
      <c r="E402" s="12"/>
      <c r="F402" s="12"/>
      <c r="G402" s="12"/>
      <c r="H402" s="12"/>
      <c r="I402" s="21" t="str">
        <f>IF(COUNTA('[1]Virus production'!A388)=1,('[1]Virus production'!A388),"")</f>
        <v>AAV446</v>
      </c>
      <c r="J402" s="12"/>
      <c r="L402" s="383">
        <v>45482</v>
      </c>
      <c r="M402" s="12">
        <v>4</v>
      </c>
      <c r="N402" s="197">
        <f t="shared" si="48"/>
        <v>45482</v>
      </c>
      <c r="O402" s="197">
        <f t="shared" si="44"/>
        <v>45474</v>
      </c>
      <c r="P402" s="384">
        <f t="shared" si="45"/>
        <v>4</v>
      </c>
      <c r="Q402" s="384">
        <f t="shared" si="46"/>
        <v>2454</v>
      </c>
      <c r="R402" s="12">
        <f t="shared" si="49"/>
        <v>1349</v>
      </c>
      <c r="S402" s="12"/>
      <c r="T402" s="12"/>
      <c r="U402" s="12"/>
      <c r="V402" s="12"/>
      <c r="W402" s="12"/>
      <c r="X402" s="12"/>
      <c r="Y402" s="12"/>
      <c r="Z402" s="12"/>
      <c r="AA402" s="12"/>
      <c r="AB402" s="12"/>
      <c r="AD402" s="31"/>
      <c r="AE402" s="12"/>
      <c r="AF402" s="197"/>
      <c r="AG402" s="197"/>
      <c r="AH402" s="197"/>
      <c r="AI402" s="197"/>
      <c r="AJ402" s="12"/>
      <c r="AK402" s="12"/>
      <c r="AL402" s="12"/>
      <c r="AM402" s="12"/>
      <c r="AN402" s="12"/>
      <c r="AO402" s="12"/>
      <c r="AP402" s="12"/>
      <c r="AQ402" s="12"/>
      <c r="AR402" s="12"/>
      <c r="AS402" s="12"/>
      <c r="AT402" s="12"/>
    </row>
    <row r="403" spans="1:46" x14ac:dyDescent="0.25">
      <c r="A403" s="12"/>
      <c r="B403" s="12"/>
      <c r="C403" s="12"/>
      <c r="D403" s="12"/>
      <c r="E403" s="12"/>
      <c r="F403" s="12"/>
      <c r="G403" s="12"/>
      <c r="H403" s="12"/>
      <c r="I403" s="21" t="str">
        <f>IF(COUNTA('[1]Virus production'!A389)=1,('[1]Virus production'!A389),"")</f>
        <v>AAV448</v>
      </c>
      <c r="J403" s="12"/>
      <c r="L403" s="383">
        <v>45483</v>
      </c>
      <c r="M403" s="12">
        <v>3</v>
      </c>
      <c r="N403" s="197">
        <f t="shared" si="48"/>
        <v>45483</v>
      </c>
      <c r="O403" s="197">
        <f t="shared" si="44"/>
        <v>45474</v>
      </c>
      <c r="P403" s="384">
        <f t="shared" si="45"/>
        <v>3</v>
      </c>
      <c r="Q403" s="384">
        <f t="shared" si="46"/>
        <v>2455</v>
      </c>
      <c r="R403" s="12">
        <f t="shared" si="49"/>
        <v>1352</v>
      </c>
      <c r="S403" s="12"/>
      <c r="T403" s="12"/>
      <c r="U403" s="12"/>
      <c r="V403" s="12"/>
      <c r="W403" s="12"/>
      <c r="X403" s="12"/>
      <c r="Y403" s="12"/>
      <c r="Z403" s="12"/>
      <c r="AA403" s="12"/>
      <c r="AB403" s="12"/>
      <c r="AD403" s="31"/>
      <c r="AE403" s="12"/>
      <c r="AF403" s="197"/>
      <c r="AG403" s="197"/>
      <c r="AH403" s="197"/>
      <c r="AI403" s="197"/>
      <c r="AJ403" s="12"/>
      <c r="AK403" s="12"/>
      <c r="AL403" s="12"/>
      <c r="AM403" s="12"/>
      <c r="AN403" s="12"/>
      <c r="AO403" s="12"/>
      <c r="AP403" s="12"/>
      <c r="AQ403" s="12"/>
      <c r="AR403" s="12"/>
      <c r="AS403" s="12"/>
      <c r="AT403" s="12"/>
    </row>
    <row r="404" spans="1:46" x14ac:dyDescent="0.25">
      <c r="A404" s="12"/>
      <c r="B404" s="12"/>
      <c r="C404" s="12"/>
      <c r="D404" s="12"/>
      <c r="E404" s="12"/>
      <c r="F404" s="12"/>
      <c r="G404" s="12"/>
      <c r="H404" s="12"/>
      <c r="I404" s="21" t="str">
        <f>IF(COUNTA('[1]Virus production'!A390)=1,('[1]Virus production'!A390),"")</f>
        <v>AAV449</v>
      </c>
      <c r="J404" s="12"/>
      <c r="L404" s="383">
        <v>45488</v>
      </c>
      <c r="M404" s="12">
        <v>8</v>
      </c>
      <c r="N404" s="197">
        <f t="shared" si="48"/>
        <v>45488</v>
      </c>
      <c r="O404" s="197">
        <f t="shared" si="44"/>
        <v>45474</v>
      </c>
      <c r="P404" s="384">
        <f t="shared" si="45"/>
        <v>8</v>
      </c>
      <c r="Q404" s="384">
        <f t="shared" si="46"/>
        <v>2460</v>
      </c>
      <c r="R404" s="12">
        <f t="shared" si="49"/>
        <v>1360</v>
      </c>
      <c r="S404" s="12"/>
      <c r="T404" s="12"/>
      <c r="U404" s="12"/>
      <c r="V404" s="12"/>
      <c r="W404" s="12"/>
      <c r="X404" s="12"/>
      <c r="Y404" s="12"/>
      <c r="Z404" s="12"/>
      <c r="AA404" s="12"/>
      <c r="AB404" s="12"/>
      <c r="AD404" s="31"/>
      <c r="AE404" s="12"/>
      <c r="AF404" s="197"/>
      <c r="AG404" s="197"/>
      <c r="AH404" s="197"/>
      <c r="AI404" s="197"/>
      <c r="AJ404" s="12"/>
      <c r="AK404" s="12"/>
      <c r="AL404" s="12"/>
      <c r="AM404" s="12"/>
      <c r="AN404" s="12"/>
      <c r="AO404" s="12"/>
      <c r="AP404" s="12"/>
      <c r="AQ404" s="12"/>
      <c r="AR404" s="12"/>
      <c r="AS404" s="12"/>
      <c r="AT404" s="12"/>
    </row>
    <row r="405" spans="1:46" x14ac:dyDescent="0.25">
      <c r="A405" s="12"/>
      <c r="B405" s="12"/>
      <c r="C405" s="12"/>
      <c r="D405" s="12"/>
      <c r="E405" s="12"/>
      <c r="F405" s="12"/>
      <c r="G405" s="12"/>
      <c r="H405" s="12"/>
      <c r="I405" s="21" t="str">
        <f>IF(COUNTA('[1]Virus production'!A391)=1,('[1]Virus production'!A391),"")</f>
        <v>AAV451</v>
      </c>
      <c r="J405" s="12"/>
      <c r="L405" s="383">
        <v>45490</v>
      </c>
      <c r="M405" s="12">
        <v>3</v>
      </c>
      <c r="N405" s="197">
        <f t="shared" si="48"/>
        <v>45490</v>
      </c>
      <c r="O405" s="197">
        <f t="shared" si="44"/>
        <v>45474</v>
      </c>
      <c r="P405" s="384">
        <f t="shared" si="45"/>
        <v>3</v>
      </c>
      <c r="Q405" s="384">
        <f t="shared" si="46"/>
        <v>2462</v>
      </c>
      <c r="R405" s="12">
        <f t="shared" si="49"/>
        <v>1363</v>
      </c>
      <c r="S405" s="12"/>
      <c r="T405" s="12"/>
      <c r="U405" s="12"/>
      <c r="V405" s="12"/>
      <c r="W405" s="12"/>
      <c r="X405" s="12"/>
      <c r="Y405" s="12"/>
      <c r="Z405" s="12"/>
      <c r="AA405" s="12"/>
      <c r="AB405" s="12"/>
      <c r="AD405" s="31"/>
      <c r="AE405" s="12"/>
      <c r="AF405" s="197"/>
      <c r="AG405" s="197"/>
      <c r="AH405" s="197"/>
      <c r="AI405" s="197"/>
      <c r="AJ405" s="12"/>
      <c r="AK405" s="12"/>
      <c r="AL405" s="12"/>
      <c r="AM405" s="12"/>
      <c r="AN405" s="12"/>
      <c r="AO405" s="12"/>
      <c r="AP405" s="12"/>
      <c r="AQ405" s="12"/>
      <c r="AR405" s="12"/>
      <c r="AS405" s="12"/>
      <c r="AT405" s="12"/>
    </row>
    <row r="406" spans="1:46" x14ac:dyDescent="0.25">
      <c r="A406" s="12"/>
      <c r="B406" s="12"/>
      <c r="C406" s="12"/>
      <c r="D406" s="12"/>
      <c r="E406" s="12"/>
      <c r="F406" s="12"/>
      <c r="G406" s="12"/>
      <c r="H406" s="12"/>
      <c r="I406" s="21" t="str">
        <f>IF(COUNTA('[1]Virus production'!A392)=1,('[1]Virus production'!A392),"")</f>
        <v>AAV452</v>
      </c>
      <c r="J406" s="12"/>
      <c r="L406" s="383">
        <v>45491</v>
      </c>
      <c r="M406" s="12">
        <v>4</v>
      </c>
      <c r="N406" s="197">
        <f t="shared" si="48"/>
        <v>45491</v>
      </c>
      <c r="O406" s="197">
        <f t="shared" si="44"/>
        <v>45474</v>
      </c>
      <c r="P406" s="384">
        <f t="shared" si="45"/>
        <v>4</v>
      </c>
      <c r="Q406" s="384">
        <f t="shared" si="46"/>
        <v>2463</v>
      </c>
      <c r="R406" s="12">
        <f t="shared" si="49"/>
        <v>1367</v>
      </c>
      <c r="S406" s="12"/>
      <c r="T406" s="12"/>
      <c r="U406" s="12"/>
      <c r="V406" s="12"/>
      <c r="W406" s="12"/>
      <c r="X406" s="12"/>
      <c r="Y406" s="12"/>
      <c r="Z406" s="12"/>
      <c r="AA406" s="12"/>
      <c r="AB406" s="12"/>
      <c r="AD406" s="31"/>
      <c r="AE406" s="12"/>
      <c r="AF406" s="197"/>
      <c r="AG406" s="197"/>
      <c r="AH406" s="197"/>
      <c r="AI406" s="197"/>
      <c r="AJ406" s="12"/>
      <c r="AK406" s="12"/>
      <c r="AL406" s="12"/>
      <c r="AM406" s="12"/>
      <c r="AN406" s="12"/>
      <c r="AO406" s="12"/>
      <c r="AP406" s="12"/>
      <c r="AQ406" s="12"/>
      <c r="AR406" s="12"/>
      <c r="AS406" s="12"/>
      <c r="AT406" s="12"/>
    </row>
    <row r="407" spans="1:46" x14ac:dyDescent="0.25">
      <c r="A407" s="12"/>
      <c r="B407" s="12"/>
      <c r="C407" s="12"/>
      <c r="D407" s="12"/>
      <c r="E407" s="12"/>
      <c r="F407" s="12"/>
      <c r="G407" s="12"/>
      <c r="H407" s="12"/>
      <c r="I407" s="21" t="str">
        <f>IF(COUNTA('[1]Virus production'!A393)=1,('[1]Virus production'!A393),"")</f>
        <v>AAV453</v>
      </c>
      <c r="J407" s="12"/>
      <c r="L407" s="383">
        <v>45492</v>
      </c>
      <c r="M407" s="12">
        <v>3</v>
      </c>
      <c r="N407" s="197">
        <f t="shared" si="48"/>
        <v>45492</v>
      </c>
      <c r="O407" s="197">
        <f t="shared" si="44"/>
        <v>45474</v>
      </c>
      <c r="P407" s="384">
        <f t="shared" si="45"/>
        <v>3</v>
      </c>
      <c r="Q407" s="384">
        <f t="shared" si="46"/>
        <v>2464</v>
      </c>
      <c r="R407" s="12">
        <f t="shared" si="49"/>
        <v>1370</v>
      </c>
      <c r="S407" s="12"/>
      <c r="T407" s="12"/>
      <c r="U407" s="12"/>
      <c r="V407" s="12"/>
      <c r="W407" s="12"/>
      <c r="X407" s="12"/>
      <c r="Y407" s="12"/>
      <c r="Z407" s="12"/>
      <c r="AA407" s="12"/>
      <c r="AB407" s="12"/>
      <c r="AD407" s="31"/>
      <c r="AE407" s="12"/>
      <c r="AF407" s="197"/>
      <c r="AG407" s="197"/>
      <c r="AH407" s="197"/>
      <c r="AI407" s="197"/>
      <c r="AJ407" s="12"/>
      <c r="AK407" s="12"/>
      <c r="AL407" s="12"/>
      <c r="AM407" s="12"/>
      <c r="AN407" s="12"/>
      <c r="AO407" s="12"/>
      <c r="AP407" s="12"/>
      <c r="AQ407" s="12"/>
      <c r="AR407" s="12"/>
      <c r="AS407" s="12"/>
      <c r="AT407" s="12"/>
    </row>
    <row r="408" spans="1:46" x14ac:dyDescent="0.25">
      <c r="A408" s="12"/>
      <c r="B408" s="12"/>
      <c r="C408" s="12"/>
      <c r="D408" s="12"/>
      <c r="E408" s="12"/>
      <c r="F408" s="12"/>
      <c r="G408" s="12"/>
      <c r="H408" s="12"/>
      <c r="I408" s="21" t="str">
        <f>IF(COUNTA('[1]Virus production'!A394)=1,('[1]Virus production'!A394),"")</f>
        <v>AAV454</v>
      </c>
      <c r="J408" s="12"/>
      <c r="L408" s="383">
        <v>45493</v>
      </c>
      <c r="M408" s="12">
        <v>1</v>
      </c>
      <c r="N408" s="197">
        <f t="shared" si="48"/>
        <v>45493</v>
      </c>
      <c r="O408" s="197">
        <f t="shared" si="44"/>
        <v>45474</v>
      </c>
      <c r="P408" s="384">
        <f t="shared" si="45"/>
        <v>1</v>
      </c>
      <c r="Q408" s="384">
        <f t="shared" si="46"/>
        <v>2465</v>
      </c>
      <c r="R408" s="12">
        <f t="shared" si="49"/>
        <v>1371</v>
      </c>
      <c r="S408" s="12"/>
      <c r="T408" s="12"/>
      <c r="U408" s="12"/>
      <c r="V408" s="12"/>
      <c r="W408" s="12"/>
      <c r="X408" s="12"/>
      <c r="Y408" s="12"/>
      <c r="Z408" s="12"/>
      <c r="AA408" s="12"/>
      <c r="AB408" s="12"/>
      <c r="AD408" s="31"/>
      <c r="AE408" s="12"/>
      <c r="AF408" s="197"/>
      <c r="AG408" s="197"/>
      <c r="AH408" s="197"/>
      <c r="AI408" s="197"/>
      <c r="AJ408" s="12"/>
      <c r="AK408" s="12"/>
      <c r="AL408" s="12"/>
      <c r="AM408" s="12"/>
      <c r="AN408" s="12"/>
      <c r="AO408" s="12"/>
      <c r="AP408" s="12"/>
      <c r="AQ408" s="12"/>
      <c r="AR408" s="12"/>
      <c r="AS408" s="12"/>
      <c r="AT408" s="12"/>
    </row>
    <row r="409" spans="1:46" x14ac:dyDescent="0.25">
      <c r="A409" s="12"/>
      <c r="B409" s="12"/>
      <c r="C409" s="12"/>
      <c r="D409" s="12"/>
      <c r="E409" s="12"/>
      <c r="F409" s="12"/>
      <c r="G409" s="12"/>
      <c r="H409" s="12"/>
      <c r="I409" s="21" t="str">
        <f>IF(COUNTA('[1]Virus production'!A395)=1,('[1]Virus production'!A395),"")</f>
        <v>AAV455</v>
      </c>
      <c r="J409" s="12"/>
      <c r="L409" s="383">
        <v>45496</v>
      </c>
      <c r="M409" s="12">
        <v>1</v>
      </c>
      <c r="N409" s="197">
        <f t="shared" si="48"/>
        <v>45496</v>
      </c>
      <c r="O409" s="197">
        <f t="shared" si="44"/>
        <v>45474</v>
      </c>
      <c r="P409" s="384">
        <f t="shared" si="45"/>
        <v>1</v>
      </c>
      <c r="Q409" s="384">
        <f t="shared" si="46"/>
        <v>2468</v>
      </c>
      <c r="R409" s="12">
        <f t="shared" si="49"/>
        <v>1372</v>
      </c>
      <c r="S409" s="12"/>
      <c r="T409" s="12"/>
      <c r="U409" s="12"/>
      <c r="V409" s="12"/>
      <c r="W409" s="12"/>
      <c r="X409" s="12"/>
      <c r="Y409" s="12"/>
      <c r="Z409" s="12"/>
      <c r="AA409" s="12"/>
      <c r="AB409" s="12"/>
      <c r="AD409" s="31"/>
      <c r="AE409" s="12"/>
      <c r="AF409" s="197"/>
      <c r="AG409" s="197"/>
      <c r="AH409" s="197"/>
      <c r="AI409" s="197"/>
      <c r="AJ409" s="12"/>
      <c r="AK409" s="12"/>
      <c r="AL409" s="12"/>
      <c r="AM409" s="12"/>
      <c r="AN409" s="12"/>
      <c r="AO409" s="12"/>
      <c r="AP409" s="12"/>
      <c r="AQ409" s="12"/>
      <c r="AR409" s="12"/>
      <c r="AS409" s="12"/>
      <c r="AT409" s="12"/>
    </row>
    <row r="410" spans="1:46" x14ac:dyDescent="0.25">
      <c r="A410" s="12"/>
      <c r="B410" s="12"/>
      <c r="C410" s="12"/>
      <c r="D410" s="12"/>
      <c r="E410" s="12"/>
      <c r="F410" s="12"/>
      <c r="G410" s="12"/>
      <c r="H410" s="12"/>
      <c r="I410" s="21" t="str">
        <f>IF(COUNTA('[1]Virus production'!A396)=1,('[1]Virus production'!A396),"")</f>
        <v>AAV471</v>
      </c>
      <c r="J410" s="12"/>
      <c r="L410" s="383">
        <v>45497</v>
      </c>
      <c r="M410" s="12">
        <v>2</v>
      </c>
      <c r="N410" s="197">
        <f t="shared" si="48"/>
        <v>45497</v>
      </c>
      <c r="O410" s="197">
        <f t="shared" si="44"/>
        <v>45474</v>
      </c>
      <c r="P410" s="384">
        <f t="shared" si="45"/>
        <v>2</v>
      </c>
      <c r="Q410" s="384">
        <f t="shared" si="46"/>
        <v>2469</v>
      </c>
      <c r="R410" s="12">
        <f t="shared" si="49"/>
        <v>1374</v>
      </c>
      <c r="S410" s="12"/>
      <c r="T410" s="12"/>
      <c r="U410" s="12"/>
      <c r="V410" s="12"/>
      <c r="W410" s="12"/>
      <c r="X410" s="12"/>
      <c r="Y410" s="12"/>
      <c r="Z410" s="12"/>
      <c r="AA410" s="12"/>
      <c r="AB410" s="12"/>
      <c r="AD410" s="31"/>
      <c r="AE410" s="12"/>
      <c r="AF410" s="197"/>
      <c r="AG410" s="197"/>
      <c r="AH410" s="197"/>
      <c r="AI410" s="197"/>
      <c r="AJ410" s="12"/>
      <c r="AK410" s="12"/>
      <c r="AL410" s="12"/>
      <c r="AM410" s="12"/>
      <c r="AN410" s="12"/>
      <c r="AO410" s="12"/>
      <c r="AP410" s="12"/>
      <c r="AQ410" s="12"/>
      <c r="AR410" s="12"/>
      <c r="AS410" s="12"/>
      <c r="AT410" s="12"/>
    </row>
    <row r="411" spans="1:46" x14ac:dyDescent="0.25">
      <c r="A411" s="12"/>
      <c r="B411" s="12"/>
      <c r="C411" s="12"/>
      <c r="D411" s="12"/>
      <c r="E411" s="12"/>
      <c r="F411" s="12"/>
      <c r="G411" s="12"/>
      <c r="H411" s="12"/>
      <c r="I411" s="21" t="str">
        <f>IF(COUNTA('[1]Virus production'!A397)=1,('[1]Virus production'!A397),"")</f>
        <v>AAV472</v>
      </c>
      <c r="J411" s="12"/>
      <c r="L411" s="383">
        <v>45503</v>
      </c>
      <c r="M411" s="12">
        <v>2</v>
      </c>
      <c r="N411" s="197">
        <f t="shared" si="48"/>
        <v>45503</v>
      </c>
      <c r="O411" s="197">
        <f t="shared" si="44"/>
        <v>45474</v>
      </c>
      <c r="P411" s="384">
        <f t="shared" si="45"/>
        <v>2</v>
      </c>
      <c r="Q411" s="384">
        <f t="shared" si="46"/>
        <v>2475</v>
      </c>
      <c r="R411" s="12">
        <f t="shared" si="49"/>
        <v>1376</v>
      </c>
      <c r="S411" s="12"/>
      <c r="T411" s="12"/>
      <c r="U411" s="12"/>
      <c r="V411" s="12"/>
      <c r="W411" s="12"/>
      <c r="X411" s="12"/>
      <c r="Y411" s="12"/>
      <c r="Z411" s="12"/>
      <c r="AA411" s="12"/>
      <c r="AB411" s="12"/>
      <c r="AD411" s="31"/>
      <c r="AE411" s="12"/>
      <c r="AF411" s="197"/>
      <c r="AG411" s="197"/>
      <c r="AH411" s="197"/>
      <c r="AI411" s="197"/>
      <c r="AJ411" s="12"/>
      <c r="AK411" s="12"/>
      <c r="AL411" s="12"/>
      <c r="AM411" s="12"/>
      <c r="AN411" s="12"/>
      <c r="AO411" s="12"/>
      <c r="AP411" s="12"/>
      <c r="AQ411" s="12"/>
      <c r="AR411" s="12"/>
      <c r="AS411" s="12"/>
      <c r="AT411" s="12"/>
    </row>
    <row r="412" spans="1:46" x14ac:dyDescent="0.25">
      <c r="A412" s="12"/>
      <c r="B412" s="12"/>
      <c r="C412" s="12"/>
      <c r="D412" s="12"/>
      <c r="E412" s="12"/>
      <c r="F412" s="12"/>
      <c r="G412" s="12"/>
      <c r="H412" s="12"/>
      <c r="I412" s="21" t="str">
        <f>IF(COUNTA('[1]Virus production'!A398)=1,('[1]Virus production'!A398),"")</f>
        <v>AAV473</v>
      </c>
      <c r="J412" s="12"/>
      <c r="L412" s="383">
        <v>45504</v>
      </c>
      <c r="M412" s="12">
        <v>2</v>
      </c>
      <c r="N412" s="197">
        <f t="shared" si="48"/>
        <v>45504</v>
      </c>
      <c r="O412" s="197">
        <f t="shared" si="44"/>
        <v>45474</v>
      </c>
      <c r="P412" s="384">
        <f t="shared" si="45"/>
        <v>2</v>
      </c>
      <c r="Q412" s="384">
        <f t="shared" si="46"/>
        <v>2476</v>
      </c>
      <c r="R412" s="12">
        <f t="shared" si="49"/>
        <v>1378</v>
      </c>
      <c r="S412" s="12"/>
      <c r="T412" s="12"/>
      <c r="U412" s="12"/>
      <c r="V412" s="12"/>
      <c r="W412" s="12"/>
      <c r="X412" s="12"/>
      <c r="Y412" s="12"/>
      <c r="Z412" s="12"/>
      <c r="AA412" s="12"/>
      <c r="AB412" s="12"/>
      <c r="AD412" s="31"/>
      <c r="AE412" s="12"/>
      <c r="AF412" s="197"/>
      <c r="AG412" s="197"/>
      <c r="AH412" s="197"/>
      <c r="AI412" s="197"/>
      <c r="AJ412" s="12"/>
      <c r="AK412" s="12"/>
      <c r="AL412" s="12"/>
      <c r="AM412" s="12"/>
      <c r="AN412" s="12"/>
      <c r="AO412" s="12"/>
      <c r="AP412" s="12"/>
      <c r="AQ412" s="12"/>
      <c r="AR412" s="12"/>
      <c r="AS412" s="12"/>
      <c r="AT412" s="12"/>
    </row>
    <row r="413" spans="1:46" x14ac:dyDescent="0.25">
      <c r="A413" s="12"/>
      <c r="B413" s="12"/>
      <c r="C413" s="12"/>
      <c r="D413" s="12"/>
      <c r="E413" s="12"/>
      <c r="F413" s="12"/>
      <c r="G413" s="12"/>
      <c r="H413" s="12"/>
      <c r="I413" s="21" t="str">
        <f>IF(COUNTA('[1]Virus production'!A399)=1,('[1]Virus production'!A399),"")</f>
        <v>AAV475</v>
      </c>
      <c r="J413" s="12"/>
      <c r="L413" s="383">
        <v>45505</v>
      </c>
      <c r="M413" s="12">
        <v>1</v>
      </c>
      <c r="N413" s="197">
        <f t="shared" si="48"/>
        <v>45505</v>
      </c>
      <c r="O413" s="197">
        <f t="shared" si="44"/>
        <v>45505</v>
      </c>
      <c r="P413" s="384">
        <f t="shared" si="45"/>
        <v>1</v>
      </c>
      <c r="Q413" s="384">
        <f t="shared" si="46"/>
        <v>2477</v>
      </c>
      <c r="R413" s="12">
        <f t="shared" si="49"/>
        <v>1379</v>
      </c>
      <c r="S413" s="12"/>
      <c r="T413" s="12"/>
      <c r="U413" s="12"/>
      <c r="V413" s="12"/>
      <c r="W413" s="12"/>
      <c r="X413" s="12"/>
      <c r="Y413" s="12"/>
      <c r="Z413" s="12"/>
      <c r="AA413" s="12"/>
      <c r="AB413" s="12"/>
      <c r="AD413" s="31"/>
      <c r="AE413" s="12"/>
      <c r="AF413" s="197"/>
      <c r="AG413" s="197"/>
      <c r="AH413" s="197"/>
      <c r="AI413" s="197"/>
      <c r="AJ413" s="12"/>
      <c r="AK413" s="12"/>
      <c r="AL413" s="12"/>
      <c r="AM413" s="12"/>
      <c r="AN413" s="12"/>
      <c r="AO413" s="12"/>
      <c r="AP413" s="12"/>
      <c r="AQ413" s="12"/>
      <c r="AR413" s="12"/>
      <c r="AS413" s="12"/>
      <c r="AT413" s="12"/>
    </row>
    <row r="414" spans="1:46" x14ac:dyDescent="0.25">
      <c r="A414" s="12"/>
      <c r="B414" s="12"/>
      <c r="C414" s="12"/>
      <c r="D414" s="12"/>
      <c r="E414" s="12"/>
      <c r="F414" s="12"/>
      <c r="G414" s="12"/>
      <c r="H414" s="12"/>
      <c r="I414" s="21" t="str">
        <f>IF(COUNTA('[1]Virus production'!A400)=1,('[1]Virus production'!A400),"")</f>
        <v>AAV476</v>
      </c>
      <c r="J414" s="12"/>
      <c r="L414" s="383">
        <v>45484</v>
      </c>
      <c r="M414" s="12">
        <v>1</v>
      </c>
      <c r="N414" s="197">
        <f t="shared" si="48"/>
        <v>45484</v>
      </c>
      <c r="O414" s="197">
        <f t="shared" si="44"/>
        <v>45474</v>
      </c>
      <c r="P414" s="384">
        <f t="shared" si="45"/>
        <v>1</v>
      </c>
      <c r="Q414" s="384">
        <f t="shared" si="46"/>
        <v>2456</v>
      </c>
      <c r="R414" s="12">
        <f t="shared" si="49"/>
        <v>1380</v>
      </c>
      <c r="S414" s="12"/>
      <c r="T414" s="12"/>
      <c r="U414" s="12"/>
      <c r="V414" s="12"/>
      <c r="W414" s="12"/>
      <c r="X414" s="12"/>
      <c r="Y414" s="12"/>
      <c r="Z414" s="12"/>
      <c r="AA414" s="12"/>
      <c r="AB414" s="12"/>
      <c r="AD414" s="31"/>
      <c r="AE414" s="12"/>
      <c r="AF414" s="197"/>
      <c r="AG414" s="197"/>
      <c r="AH414" s="197"/>
      <c r="AI414" s="197"/>
      <c r="AJ414" s="12"/>
      <c r="AK414" s="12"/>
      <c r="AL414" s="12"/>
      <c r="AM414" s="12"/>
      <c r="AN414" s="12"/>
      <c r="AO414" s="12"/>
      <c r="AP414" s="12"/>
      <c r="AQ414" s="12"/>
      <c r="AR414" s="12"/>
      <c r="AS414" s="12"/>
      <c r="AT414" s="12"/>
    </row>
    <row r="415" spans="1:46" x14ac:dyDescent="0.25">
      <c r="A415" s="12"/>
      <c r="B415" s="12"/>
      <c r="C415" s="12"/>
      <c r="D415" s="12"/>
      <c r="E415" s="12"/>
      <c r="F415" s="12"/>
      <c r="G415" s="12"/>
      <c r="H415" s="12"/>
      <c r="I415" s="21" t="str">
        <f>IF(COUNTA('[1]Virus production'!A401)=1,('[1]Virus production'!A401),"")</f>
        <v>AAV477</v>
      </c>
      <c r="J415" s="12"/>
      <c r="L415" s="383">
        <v>45506</v>
      </c>
      <c r="M415" s="12">
        <v>2</v>
      </c>
      <c r="N415" s="197">
        <f t="shared" si="48"/>
        <v>45506</v>
      </c>
      <c r="O415" s="197">
        <f t="shared" si="44"/>
        <v>45505</v>
      </c>
      <c r="P415" s="384">
        <f t="shared" si="45"/>
        <v>2</v>
      </c>
      <c r="Q415" s="384">
        <f t="shared" si="46"/>
        <v>2478</v>
      </c>
      <c r="R415" s="12">
        <f t="shared" si="49"/>
        <v>1382</v>
      </c>
      <c r="S415" s="12"/>
      <c r="T415" s="12"/>
      <c r="U415" s="12"/>
      <c r="V415" s="12"/>
      <c r="W415" s="12"/>
      <c r="X415" s="12"/>
      <c r="Y415" s="12"/>
      <c r="Z415" s="12"/>
      <c r="AA415" s="12"/>
      <c r="AB415" s="12"/>
      <c r="AD415" s="31"/>
      <c r="AE415" s="12"/>
      <c r="AF415" s="197"/>
      <c r="AG415" s="197"/>
      <c r="AH415" s="197"/>
      <c r="AI415" s="197"/>
      <c r="AJ415" s="12"/>
      <c r="AK415" s="12"/>
      <c r="AL415" s="12"/>
      <c r="AM415" s="12"/>
      <c r="AN415" s="12"/>
      <c r="AO415" s="12"/>
      <c r="AP415" s="12"/>
      <c r="AQ415" s="12"/>
      <c r="AR415" s="12"/>
      <c r="AS415" s="12"/>
      <c r="AT415" s="12"/>
    </row>
    <row r="416" spans="1:46" x14ac:dyDescent="0.25">
      <c r="A416" s="12"/>
      <c r="B416" s="12"/>
      <c r="C416" s="12"/>
      <c r="D416" s="12"/>
      <c r="E416" s="12"/>
      <c r="F416" s="12"/>
      <c r="G416" s="12"/>
      <c r="H416" s="12"/>
      <c r="I416" s="21" t="str">
        <f>IF(COUNTA('[1]Virus production'!A402)=1,('[1]Virus production'!A402),"")</f>
        <v>AAV478</v>
      </c>
      <c r="J416" s="12"/>
      <c r="L416" s="383">
        <v>45499</v>
      </c>
      <c r="M416" s="12">
        <v>1</v>
      </c>
      <c r="N416" s="197">
        <f t="shared" si="48"/>
        <v>45499</v>
      </c>
      <c r="O416" s="197">
        <f t="shared" si="44"/>
        <v>45474</v>
      </c>
      <c r="P416" s="384">
        <f t="shared" si="45"/>
        <v>1</v>
      </c>
      <c r="Q416" s="384">
        <f t="shared" si="46"/>
        <v>2471</v>
      </c>
      <c r="R416" s="12">
        <f t="shared" si="49"/>
        <v>1383</v>
      </c>
      <c r="S416" s="12"/>
      <c r="T416" s="12"/>
      <c r="U416" s="12"/>
      <c r="V416" s="12"/>
      <c r="W416" s="12"/>
      <c r="X416" s="12"/>
      <c r="Y416" s="12"/>
      <c r="Z416" s="12"/>
      <c r="AA416" s="12"/>
      <c r="AB416" s="12"/>
      <c r="AD416" s="31"/>
      <c r="AE416" s="12"/>
      <c r="AF416" s="197"/>
      <c r="AG416" s="197"/>
      <c r="AH416" s="197"/>
      <c r="AI416" s="197"/>
      <c r="AJ416" s="12"/>
      <c r="AK416" s="12"/>
      <c r="AL416" s="12"/>
      <c r="AM416" s="12"/>
      <c r="AN416" s="12"/>
      <c r="AO416" s="12"/>
      <c r="AP416" s="12"/>
      <c r="AQ416" s="12"/>
      <c r="AR416" s="12"/>
      <c r="AS416" s="12"/>
      <c r="AT416" s="12"/>
    </row>
    <row r="417" spans="1:46" x14ac:dyDescent="0.25">
      <c r="A417" s="12"/>
      <c r="B417" s="12"/>
      <c r="C417" s="12"/>
      <c r="D417" s="12"/>
      <c r="E417" s="12"/>
      <c r="F417" s="12"/>
      <c r="G417" s="12"/>
      <c r="H417" s="12"/>
      <c r="I417" s="21" t="str">
        <f>IF(COUNTA('[1]Virus production'!A403)=1,('[1]Virus production'!A403),"")</f>
        <v>AAV479</v>
      </c>
      <c r="J417" s="12"/>
      <c r="L417" s="383">
        <v>45512</v>
      </c>
      <c r="M417" s="12">
        <v>2</v>
      </c>
      <c r="N417" s="197">
        <f t="shared" si="48"/>
        <v>45512</v>
      </c>
      <c r="O417" s="197">
        <f t="shared" si="44"/>
        <v>45505</v>
      </c>
      <c r="P417" s="384">
        <f t="shared" si="45"/>
        <v>2</v>
      </c>
      <c r="Q417" s="384">
        <f t="shared" si="46"/>
        <v>2484</v>
      </c>
      <c r="R417" s="12">
        <f t="shared" si="49"/>
        <v>1385</v>
      </c>
      <c r="S417" s="12"/>
      <c r="T417" s="12"/>
      <c r="U417" s="12"/>
      <c r="V417" s="12"/>
      <c r="W417" s="12"/>
      <c r="X417" s="12"/>
      <c r="Y417" s="12"/>
      <c r="Z417" s="12"/>
      <c r="AA417" s="12"/>
      <c r="AB417" s="12"/>
      <c r="AD417" s="31"/>
      <c r="AE417" s="12"/>
      <c r="AF417" s="197"/>
      <c r="AG417" s="197"/>
      <c r="AH417" s="197"/>
      <c r="AI417" s="197"/>
      <c r="AJ417" s="12"/>
      <c r="AK417" s="12"/>
      <c r="AL417" s="12"/>
      <c r="AM417" s="12"/>
      <c r="AN417" s="12"/>
      <c r="AO417" s="12"/>
      <c r="AP417" s="12"/>
      <c r="AQ417" s="12"/>
      <c r="AR417" s="12"/>
      <c r="AS417" s="12"/>
      <c r="AT417" s="12"/>
    </row>
    <row r="418" spans="1:46" x14ac:dyDescent="0.25">
      <c r="A418" s="12"/>
      <c r="B418" s="12"/>
      <c r="C418" s="12"/>
      <c r="D418" s="12"/>
      <c r="E418" s="12"/>
      <c r="F418" s="12"/>
      <c r="G418" s="12"/>
      <c r="H418" s="12"/>
      <c r="I418" s="21" t="str">
        <f>IF(COUNTA('[1]Virus production'!A404)=1,('[1]Virus production'!A404),"")</f>
        <v>AAV480</v>
      </c>
      <c r="J418" s="12"/>
      <c r="L418" s="383">
        <v>45517</v>
      </c>
      <c r="M418" s="12">
        <v>1</v>
      </c>
      <c r="N418" s="197">
        <f t="shared" si="48"/>
        <v>45517</v>
      </c>
      <c r="O418" s="197">
        <f t="shared" si="44"/>
        <v>45505</v>
      </c>
      <c r="P418" s="384">
        <f t="shared" si="45"/>
        <v>1</v>
      </c>
      <c r="Q418" s="384">
        <f t="shared" si="46"/>
        <v>2489</v>
      </c>
      <c r="R418" s="12">
        <f t="shared" si="49"/>
        <v>1386</v>
      </c>
      <c r="S418" s="12"/>
      <c r="T418" s="12"/>
      <c r="U418" s="12"/>
      <c r="V418" s="12"/>
      <c r="W418" s="12"/>
      <c r="X418" s="12"/>
      <c r="Y418" s="12"/>
      <c r="Z418" s="12"/>
      <c r="AA418" s="12"/>
      <c r="AB418" s="12"/>
      <c r="AD418" s="31"/>
      <c r="AE418" s="12"/>
      <c r="AF418" s="197"/>
      <c r="AG418" s="197"/>
      <c r="AH418" s="197"/>
      <c r="AI418" s="197"/>
      <c r="AJ418" s="12"/>
      <c r="AK418" s="12"/>
      <c r="AL418" s="12"/>
      <c r="AM418" s="12"/>
      <c r="AN418" s="12"/>
      <c r="AO418" s="12"/>
      <c r="AP418" s="12"/>
      <c r="AQ418" s="12"/>
      <c r="AR418" s="12"/>
      <c r="AS418" s="12"/>
      <c r="AT418" s="12"/>
    </row>
    <row r="419" spans="1:46" x14ac:dyDescent="0.25">
      <c r="A419" s="12"/>
      <c r="B419" s="12"/>
      <c r="C419" s="12"/>
      <c r="D419" s="12"/>
      <c r="E419" s="12"/>
      <c r="F419" s="12"/>
      <c r="G419" s="12"/>
      <c r="H419" s="12"/>
      <c r="I419" s="21" t="str">
        <f>IF(COUNTA('[1]Virus production'!A405)=1,('[1]Virus production'!A405),"")</f>
        <v>AAV481</v>
      </c>
      <c r="J419" s="12"/>
      <c r="L419" s="383">
        <v>45511</v>
      </c>
      <c r="M419" s="12">
        <v>1</v>
      </c>
      <c r="N419" s="197">
        <f t="shared" si="48"/>
        <v>45511</v>
      </c>
      <c r="O419" s="197">
        <f t="shared" si="44"/>
        <v>45505</v>
      </c>
      <c r="P419" s="384">
        <f t="shared" si="45"/>
        <v>1</v>
      </c>
      <c r="Q419" s="384">
        <f t="shared" si="46"/>
        <v>2483</v>
      </c>
      <c r="R419" s="12">
        <f t="shared" si="49"/>
        <v>1387</v>
      </c>
      <c r="S419" s="12"/>
      <c r="T419" s="12"/>
      <c r="U419" s="12"/>
      <c r="V419" s="12"/>
      <c r="W419" s="12"/>
      <c r="X419" s="12"/>
      <c r="Y419" s="12"/>
      <c r="Z419" s="12"/>
      <c r="AA419" s="12"/>
      <c r="AB419" s="12"/>
      <c r="AD419" s="31"/>
      <c r="AE419" s="12"/>
      <c r="AF419" s="197"/>
      <c r="AG419" s="197"/>
      <c r="AH419" s="197"/>
      <c r="AI419" s="197"/>
      <c r="AJ419" s="12"/>
      <c r="AK419" s="12"/>
      <c r="AL419" s="12"/>
      <c r="AM419" s="12"/>
      <c r="AN419" s="12"/>
      <c r="AO419" s="12"/>
      <c r="AP419" s="12"/>
      <c r="AQ419" s="12"/>
      <c r="AR419" s="12"/>
      <c r="AS419" s="12"/>
      <c r="AT419" s="12"/>
    </row>
    <row r="420" spans="1:46" x14ac:dyDescent="0.25">
      <c r="A420" s="12"/>
      <c r="B420" s="12"/>
      <c r="C420" s="12"/>
      <c r="D420" s="12"/>
      <c r="E420" s="12"/>
      <c r="F420" s="12"/>
      <c r="G420" s="12"/>
      <c r="H420" s="12"/>
      <c r="I420" s="21" t="str">
        <f>IF(COUNTA('[1]Virus production'!A406)=1,('[1]Virus production'!A406),"")</f>
        <v xml:space="preserve">AAV482/1 </v>
      </c>
      <c r="J420" s="12"/>
      <c r="L420" s="383">
        <v>45518</v>
      </c>
      <c r="M420" s="12">
        <v>4</v>
      </c>
      <c r="N420" s="197">
        <f t="shared" si="48"/>
        <v>45518</v>
      </c>
      <c r="O420" s="197">
        <f t="shared" si="44"/>
        <v>45505</v>
      </c>
      <c r="P420" s="384">
        <f t="shared" si="45"/>
        <v>4</v>
      </c>
      <c r="Q420" s="384">
        <f t="shared" si="46"/>
        <v>2490</v>
      </c>
      <c r="R420" s="12">
        <f t="shared" si="49"/>
        <v>1391</v>
      </c>
      <c r="S420" s="12"/>
      <c r="T420" s="12"/>
      <c r="U420" s="12"/>
      <c r="V420" s="12"/>
      <c r="W420" s="12"/>
      <c r="X420" s="12"/>
      <c r="Y420" s="12"/>
      <c r="Z420" s="12"/>
      <c r="AA420" s="12"/>
      <c r="AB420" s="12"/>
      <c r="AD420" s="31"/>
      <c r="AE420" s="12"/>
      <c r="AF420" s="197"/>
      <c r="AG420" s="197"/>
      <c r="AH420" s="197"/>
      <c r="AI420" s="197"/>
      <c r="AJ420" s="12"/>
      <c r="AK420" s="12"/>
      <c r="AL420" s="12"/>
      <c r="AM420" s="12"/>
      <c r="AN420" s="12"/>
      <c r="AO420" s="12"/>
      <c r="AP420" s="12"/>
      <c r="AQ420" s="12"/>
      <c r="AR420" s="12"/>
      <c r="AS420" s="12"/>
      <c r="AT420" s="12"/>
    </row>
    <row r="421" spans="1:46" x14ac:dyDescent="0.25">
      <c r="A421" s="12"/>
      <c r="B421" s="12"/>
      <c r="C421" s="12"/>
      <c r="D421" s="12"/>
      <c r="E421" s="12"/>
      <c r="F421" s="12"/>
      <c r="G421" s="12"/>
      <c r="H421" s="12"/>
      <c r="I421" s="21" t="str">
        <f>IF(COUNTA('[1]Virus production'!A407)=1,('[1]Virus production'!A407),"")</f>
        <v>AAV482/2</v>
      </c>
      <c r="J421" s="12"/>
      <c r="L421" s="383">
        <v>45519</v>
      </c>
      <c r="M421" s="12">
        <v>2</v>
      </c>
      <c r="N421" s="197">
        <f t="shared" si="48"/>
        <v>45519</v>
      </c>
      <c r="O421" s="197">
        <f t="shared" si="44"/>
        <v>45505</v>
      </c>
      <c r="P421" s="384">
        <f t="shared" si="45"/>
        <v>2</v>
      </c>
      <c r="Q421" s="384">
        <f t="shared" si="46"/>
        <v>2491</v>
      </c>
      <c r="R421" s="12">
        <f t="shared" si="49"/>
        <v>1393</v>
      </c>
      <c r="S421" s="12"/>
      <c r="T421" s="12"/>
      <c r="U421" s="12"/>
      <c r="V421" s="12"/>
      <c r="W421" s="12"/>
      <c r="X421" s="12"/>
      <c r="Y421" s="12"/>
      <c r="Z421" s="12"/>
      <c r="AA421" s="12"/>
      <c r="AB421" s="12"/>
      <c r="AD421" s="31"/>
      <c r="AE421" s="12"/>
      <c r="AF421" s="197"/>
      <c r="AG421" s="197"/>
      <c r="AH421" s="197"/>
      <c r="AI421" s="197"/>
      <c r="AJ421" s="12"/>
      <c r="AK421" s="12"/>
      <c r="AL421" s="12"/>
      <c r="AM421" s="12"/>
      <c r="AN421" s="12"/>
      <c r="AO421" s="12"/>
      <c r="AP421" s="12"/>
      <c r="AQ421" s="12"/>
      <c r="AR421" s="12"/>
      <c r="AS421" s="12"/>
      <c r="AT421" s="12"/>
    </row>
    <row r="422" spans="1:46" x14ac:dyDescent="0.25">
      <c r="A422" s="12"/>
      <c r="B422" s="12"/>
      <c r="C422" s="12"/>
      <c r="D422" s="12"/>
      <c r="E422" s="12"/>
      <c r="F422" s="12"/>
      <c r="G422" s="12"/>
      <c r="H422" s="12"/>
      <c r="I422" s="21" t="str">
        <f>IF(COUNTA('[1]Virus production'!A408)=1,('[1]Virus production'!A408),"")</f>
        <v>AAV483</v>
      </c>
      <c r="J422" s="12"/>
      <c r="L422" s="383">
        <v>45520</v>
      </c>
      <c r="M422" s="12">
        <v>2</v>
      </c>
      <c r="N422" s="197">
        <f t="shared" si="48"/>
        <v>45520</v>
      </c>
      <c r="O422" s="197">
        <f t="shared" si="44"/>
        <v>45505</v>
      </c>
      <c r="P422" s="384">
        <f t="shared" si="45"/>
        <v>2</v>
      </c>
      <c r="Q422" s="384">
        <f t="shared" si="46"/>
        <v>2492</v>
      </c>
      <c r="R422" s="12">
        <f t="shared" si="49"/>
        <v>1395</v>
      </c>
      <c r="S422" s="12"/>
      <c r="T422" s="12"/>
      <c r="U422" s="12"/>
      <c r="V422" s="12"/>
      <c r="W422" s="12"/>
      <c r="X422" s="12"/>
      <c r="Y422" s="12"/>
      <c r="Z422" s="12"/>
      <c r="AA422" s="12"/>
      <c r="AB422" s="12"/>
      <c r="AD422" s="31"/>
      <c r="AE422" s="12"/>
      <c r="AF422" s="197"/>
      <c r="AG422" s="197"/>
      <c r="AH422" s="197"/>
      <c r="AI422" s="197"/>
      <c r="AJ422" s="12"/>
      <c r="AK422" s="12"/>
      <c r="AL422" s="12"/>
      <c r="AM422" s="12"/>
      <c r="AN422" s="12"/>
      <c r="AO422" s="12"/>
      <c r="AP422" s="12"/>
      <c r="AQ422" s="12"/>
      <c r="AR422" s="12"/>
      <c r="AS422" s="12"/>
      <c r="AT422" s="12"/>
    </row>
    <row r="423" spans="1:46" x14ac:dyDescent="0.25">
      <c r="A423" s="12"/>
      <c r="B423" s="12"/>
      <c r="C423" s="12"/>
      <c r="D423" s="12"/>
      <c r="E423" s="12"/>
      <c r="F423" s="12"/>
      <c r="G423" s="12"/>
      <c r="H423" s="12"/>
      <c r="I423" s="21" t="str">
        <f>IF(COUNTA('[1]Virus production'!A409)=1,('[1]Virus production'!A409),"")</f>
        <v>AAV484</v>
      </c>
      <c r="J423" s="12"/>
      <c r="L423" s="383">
        <v>45537</v>
      </c>
      <c r="M423" s="12">
        <v>3</v>
      </c>
      <c r="N423" s="197">
        <f t="shared" si="48"/>
        <v>45537</v>
      </c>
      <c r="O423" s="197">
        <f t="shared" si="44"/>
        <v>45536</v>
      </c>
      <c r="P423" s="384">
        <f t="shared" si="45"/>
        <v>3</v>
      </c>
      <c r="Q423" s="384">
        <f t="shared" si="46"/>
        <v>2509</v>
      </c>
      <c r="R423" s="12">
        <f t="shared" si="49"/>
        <v>1398</v>
      </c>
      <c r="S423" s="12"/>
      <c r="T423" s="12"/>
      <c r="U423" s="12"/>
      <c r="V423" s="12"/>
      <c r="W423" s="12"/>
      <c r="X423" s="12"/>
      <c r="Y423" s="12"/>
      <c r="Z423" s="12"/>
      <c r="AA423" s="12"/>
      <c r="AB423" s="12"/>
      <c r="AD423" s="31"/>
      <c r="AE423" s="12"/>
      <c r="AF423" s="197"/>
      <c r="AG423" s="197"/>
      <c r="AH423" s="197"/>
      <c r="AI423" s="197"/>
      <c r="AJ423" s="12"/>
      <c r="AK423" s="12"/>
      <c r="AL423" s="12"/>
      <c r="AM423" s="12"/>
      <c r="AN423" s="12"/>
      <c r="AO423" s="12"/>
      <c r="AP423" s="12"/>
      <c r="AQ423" s="12"/>
      <c r="AR423" s="12"/>
      <c r="AS423" s="12"/>
      <c r="AT423" s="12"/>
    </row>
    <row r="424" spans="1:46" x14ac:dyDescent="0.25">
      <c r="A424" s="12"/>
      <c r="B424" s="12"/>
      <c r="C424" s="12"/>
      <c r="D424" s="12"/>
      <c r="E424" s="12"/>
      <c r="F424" s="12"/>
      <c r="G424" s="12"/>
      <c r="H424" s="12"/>
      <c r="I424" s="21" t="str">
        <f>IF(COUNTA('[1]Virus production'!A410)=1,('[1]Virus production'!A410),"")</f>
        <v>AAV485</v>
      </c>
      <c r="J424" s="12"/>
      <c r="L424" s="383">
        <v>45539</v>
      </c>
      <c r="M424" s="12">
        <v>3</v>
      </c>
      <c r="N424" s="197">
        <f t="shared" si="48"/>
        <v>45539</v>
      </c>
      <c r="O424" s="197">
        <f t="shared" si="44"/>
        <v>45536</v>
      </c>
      <c r="P424" s="384">
        <f t="shared" si="45"/>
        <v>3</v>
      </c>
      <c r="Q424" s="384">
        <f t="shared" si="46"/>
        <v>2511</v>
      </c>
      <c r="R424" s="12">
        <f t="shared" si="49"/>
        <v>1401</v>
      </c>
      <c r="S424" s="12"/>
      <c r="T424" s="12"/>
      <c r="U424" s="12"/>
      <c r="V424" s="12"/>
      <c r="W424" s="12"/>
      <c r="X424" s="12"/>
      <c r="Y424" s="12"/>
      <c r="Z424" s="12"/>
      <c r="AA424" s="12"/>
      <c r="AB424" s="12"/>
      <c r="AD424" s="31"/>
      <c r="AE424" s="12"/>
      <c r="AF424" s="197"/>
      <c r="AG424" s="197"/>
      <c r="AH424" s="197"/>
      <c r="AI424" s="197"/>
      <c r="AJ424" s="12"/>
      <c r="AK424" s="12"/>
      <c r="AL424" s="12"/>
      <c r="AM424" s="12"/>
      <c r="AN424" s="12"/>
      <c r="AO424" s="12"/>
      <c r="AP424" s="12"/>
      <c r="AQ424" s="12"/>
      <c r="AR424" s="12"/>
      <c r="AS424" s="12"/>
      <c r="AT424" s="12"/>
    </row>
    <row r="425" spans="1:46" x14ac:dyDescent="0.25">
      <c r="A425" s="12"/>
      <c r="B425" s="12"/>
      <c r="C425" s="12"/>
      <c r="D425" s="12"/>
      <c r="E425" s="12"/>
      <c r="F425" s="12"/>
      <c r="G425" s="12"/>
      <c r="H425" s="12"/>
      <c r="I425" s="21" t="str">
        <f>IF(COUNTA('[1]Virus production'!A411)=1,('[1]Virus production'!A411),"")</f>
        <v>AAV486</v>
      </c>
      <c r="J425" s="12"/>
      <c r="L425" s="383">
        <v>45538</v>
      </c>
      <c r="M425" s="12">
        <v>2</v>
      </c>
      <c r="N425" s="197">
        <f t="shared" si="48"/>
        <v>45538</v>
      </c>
      <c r="O425" s="197">
        <f t="shared" si="44"/>
        <v>45536</v>
      </c>
      <c r="P425" s="384">
        <f t="shared" si="45"/>
        <v>2</v>
      </c>
      <c r="Q425" s="384">
        <f t="shared" si="46"/>
        <v>2510</v>
      </c>
      <c r="R425" s="12">
        <f t="shared" si="49"/>
        <v>1403</v>
      </c>
      <c r="S425" s="12"/>
      <c r="T425" s="12"/>
      <c r="U425" s="12"/>
      <c r="V425" s="12"/>
      <c r="W425" s="12"/>
      <c r="X425" s="12"/>
      <c r="Y425" s="12"/>
      <c r="Z425" s="12"/>
      <c r="AA425" s="12"/>
      <c r="AB425" s="12"/>
      <c r="AD425" s="31"/>
      <c r="AE425" s="12"/>
      <c r="AF425" s="197"/>
      <c r="AG425" s="197"/>
      <c r="AH425" s="197"/>
      <c r="AI425" s="197"/>
      <c r="AJ425" s="12"/>
      <c r="AK425" s="12"/>
      <c r="AL425" s="12"/>
      <c r="AM425" s="12"/>
      <c r="AN425" s="12"/>
      <c r="AO425" s="12"/>
      <c r="AP425" s="12"/>
      <c r="AQ425" s="12"/>
      <c r="AR425" s="12"/>
      <c r="AS425" s="12"/>
      <c r="AT425" s="12"/>
    </row>
    <row r="426" spans="1:46" x14ac:dyDescent="0.25">
      <c r="A426" s="12"/>
      <c r="B426" s="12"/>
      <c r="C426" s="12"/>
      <c r="D426" s="12"/>
      <c r="E426" s="12"/>
      <c r="F426" s="12"/>
      <c r="G426" s="12"/>
      <c r="H426" s="12"/>
      <c r="I426" s="21" t="str">
        <f>IF(COUNTA('[1]Virus production'!A412)=1,('[1]Virus production'!A412),"")</f>
        <v>AAV487</v>
      </c>
      <c r="J426" s="12"/>
      <c r="L426" s="383">
        <v>45540</v>
      </c>
      <c r="M426" s="12">
        <v>2</v>
      </c>
      <c r="N426" s="197">
        <f t="shared" si="48"/>
        <v>45540</v>
      </c>
      <c r="O426" s="197">
        <f t="shared" si="44"/>
        <v>45536</v>
      </c>
      <c r="P426" s="384">
        <f t="shared" si="45"/>
        <v>2</v>
      </c>
      <c r="Q426" s="384">
        <f t="shared" si="46"/>
        <v>2512</v>
      </c>
      <c r="R426" s="12">
        <f t="shared" si="49"/>
        <v>1405</v>
      </c>
      <c r="S426" s="12"/>
      <c r="T426" s="12"/>
      <c r="U426" s="12"/>
      <c r="V426" s="12"/>
      <c r="W426" s="12"/>
      <c r="X426" s="12"/>
      <c r="Y426" s="12"/>
      <c r="Z426" s="12"/>
      <c r="AA426" s="12"/>
      <c r="AB426" s="12"/>
      <c r="AD426" s="31"/>
      <c r="AE426" s="12"/>
      <c r="AF426" s="197"/>
      <c r="AG426" s="197"/>
      <c r="AH426" s="197"/>
      <c r="AI426" s="197"/>
      <c r="AJ426" s="12"/>
      <c r="AK426" s="12"/>
      <c r="AL426" s="12"/>
      <c r="AM426" s="12"/>
      <c r="AN426" s="12"/>
      <c r="AO426" s="12"/>
      <c r="AP426" s="12"/>
      <c r="AQ426" s="12"/>
      <c r="AR426" s="12"/>
      <c r="AS426" s="12"/>
      <c r="AT426" s="12"/>
    </row>
    <row r="427" spans="1:46" x14ac:dyDescent="0.25">
      <c r="A427" s="12"/>
      <c r="B427" s="12"/>
      <c r="C427" s="12"/>
      <c r="D427" s="12"/>
      <c r="E427" s="12"/>
      <c r="F427" s="12"/>
      <c r="G427" s="12"/>
      <c r="H427" s="12"/>
      <c r="I427" s="21" t="str">
        <f>IF(COUNTA('[1]Virus production'!A413)=1,('[1]Virus production'!A413),"")</f>
        <v>AAV491/s</v>
      </c>
      <c r="J427" s="12"/>
      <c r="L427" s="383">
        <v>45544</v>
      </c>
      <c r="M427" s="12">
        <v>1</v>
      </c>
      <c r="N427" s="197">
        <f t="shared" si="48"/>
        <v>45544</v>
      </c>
      <c r="O427" s="197">
        <f t="shared" si="44"/>
        <v>45536</v>
      </c>
      <c r="P427" s="384">
        <f t="shared" si="45"/>
        <v>1</v>
      </c>
      <c r="Q427" s="384">
        <f t="shared" si="46"/>
        <v>2516</v>
      </c>
      <c r="R427" s="12">
        <f t="shared" si="49"/>
        <v>1406</v>
      </c>
      <c r="S427" s="12"/>
      <c r="T427" s="12"/>
      <c r="U427" s="12"/>
      <c r="V427" s="12"/>
      <c r="W427" s="12"/>
      <c r="X427" s="12"/>
      <c r="Y427" s="12"/>
      <c r="Z427" s="12"/>
      <c r="AA427" s="12"/>
      <c r="AB427" s="12"/>
      <c r="AD427" s="31"/>
      <c r="AE427" s="12"/>
      <c r="AF427" s="197"/>
      <c r="AG427" s="197"/>
      <c r="AH427" s="197"/>
      <c r="AI427" s="197"/>
      <c r="AJ427" s="12"/>
      <c r="AK427" s="12"/>
      <c r="AL427" s="12"/>
      <c r="AM427" s="12"/>
      <c r="AN427" s="12"/>
      <c r="AO427" s="12"/>
      <c r="AP427" s="12"/>
      <c r="AQ427" s="12"/>
      <c r="AR427" s="12"/>
      <c r="AS427" s="12"/>
      <c r="AT427" s="12"/>
    </row>
    <row r="428" spans="1:46" x14ac:dyDescent="0.25">
      <c r="A428" s="12"/>
      <c r="B428" s="12"/>
      <c r="C428" s="12"/>
      <c r="D428" s="12"/>
      <c r="E428" s="12"/>
      <c r="F428" s="12"/>
      <c r="G428" s="12"/>
      <c r="H428" s="12"/>
      <c r="I428" s="21" t="str">
        <f>IF(COUNTA('[1]Virus production'!A414)=1,('[1]Virus production'!A414),"")</f>
        <v>AAV500</v>
      </c>
      <c r="J428" s="12"/>
      <c r="L428" s="383">
        <v>45547</v>
      </c>
      <c r="M428" s="12">
        <v>1</v>
      </c>
      <c r="N428" s="197">
        <f t="shared" si="48"/>
        <v>45547</v>
      </c>
      <c r="O428" s="197">
        <f t="shared" si="44"/>
        <v>45536</v>
      </c>
      <c r="P428" s="384">
        <f t="shared" si="45"/>
        <v>1</v>
      </c>
      <c r="Q428" s="384">
        <f t="shared" si="46"/>
        <v>2519</v>
      </c>
      <c r="R428" s="12">
        <f t="shared" ref="R428:R452" si="50">R427+M428</f>
        <v>1407</v>
      </c>
      <c r="S428" s="12"/>
      <c r="T428" s="12"/>
      <c r="U428" s="12"/>
      <c r="V428" s="12"/>
      <c r="W428" s="12"/>
      <c r="X428" s="12"/>
      <c r="Y428" s="12"/>
      <c r="Z428" s="12"/>
      <c r="AA428" s="12"/>
      <c r="AB428" s="12"/>
      <c r="AD428" s="31"/>
      <c r="AE428" s="12"/>
      <c r="AF428" s="197"/>
      <c r="AG428" s="197"/>
      <c r="AH428" s="197"/>
      <c r="AI428" s="197"/>
      <c r="AJ428" s="12"/>
      <c r="AK428" s="12"/>
      <c r="AL428" s="12"/>
      <c r="AM428" s="12"/>
      <c r="AN428" s="12"/>
      <c r="AO428" s="12"/>
      <c r="AP428" s="12"/>
      <c r="AQ428" s="12"/>
      <c r="AR428" s="12"/>
      <c r="AS428" s="12"/>
      <c r="AT428" s="12"/>
    </row>
    <row r="429" spans="1:46" x14ac:dyDescent="0.25">
      <c r="A429" s="12"/>
      <c r="B429" s="12"/>
      <c r="C429" s="12"/>
      <c r="D429" s="12"/>
      <c r="E429" s="12"/>
      <c r="F429" s="12"/>
      <c r="G429" s="12"/>
      <c r="H429" s="12"/>
      <c r="I429" s="21" t="str">
        <f>IF(COUNTA('[1]Virus production'!A415)=1,('[1]Virus production'!A415),"")</f>
        <v>AAV501</v>
      </c>
      <c r="J429" s="12"/>
      <c r="L429" s="383">
        <v>45551</v>
      </c>
      <c r="M429" s="12">
        <v>1</v>
      </c>
      <c r="N429" s="197">
        <f t="shared" si="48"/>
        <v>45551</v>
      </c>
      <c r="O429" s="197">
        <f t="shared" si="44"/>
        <v>45536</v>
      </c>
      <c r="P429" s="384">
        <f t="shared" si="45"/>
        <v>1</v>
      </c>
      <c r="Q429" s="384">
        <f t="shared" si="46"/>
        <v>2523</v>
      </c>
      <c r="R429" s="12">
        <f t="shared" si="50"/>
        <v>1408</v>
      </c>
      <c r="S429" s="12"/>
      <c r="T429" s="12"/>
      <c r="U429" s="12"/>
      <c r="V429" s="12"/>
      <c r="W429" s="12"/>
      <c r="X429" s="12"/>
      <c r="Y429" s="12"/>
      <c r="Z429" s="12"/>
      <c r="AA429" s="12"/>
      <c r="AB429" s="12"/>
      <c r="AD429" s="31"/>
      <c r="AE429" s="12"/>
      <c r="AF429" s="197"/>
      <c r="AG429" s="197"/>
      <c r="AH429" s="197"/>
      <c r="AI429" s="197"/>
      <c r="AJ429" s="12"/>
      <c r="AK429" s="12"/>
      <c r="AL429" s="12"/>
      <c r="AM429" s="12"/>
      <c r="AN429" s="12"/>
      <c r="AO429" s="12"/>
      <c r="AP429" s="12"/>
      <c r="AQ429" s="12"/>
      <c r="AR429" s="12"/>
      <c r="AS429" s="12"/>
      <c r="AT429" s="12"/>
    </row>
    <row r="430" spans="1:46" x14ac:dyDescent="0.25">
      <c r="A430" s="12"/>
      <c r="B430" s="12"/>
      <c r="C430" s="12"/>
      <c r="D430" s="12"/>
      <c r="E430" s="12"/>
      <c r="F430" s="12"/>
      <c r="G430" s="12"/>
      <c r="H430" s="12"/>
      <c r="I430" s="21" t="str">
        <f>IF(COUNTA('[1]Virus production'!A416)=1,('[1]Virus production'!A416),"")</f>
        <v>AAV502</v>
      </c>
      <c r="J430" s="12"/>
      <c r="L430" s="383">
        <v>45546</v>
      </c>
      <c r="M430" s="12">
        <v>2</v>
      </c>
      <c r="N430" s="197">
        <f t="shared" si="48"/>
        <v>45546</v>
      </c>
      <c r="O430" s="197">
        <f t="shared" si="44"/>
        <v>45536</v>
      </c>
      <c r="P430" s="384">
        <f t="shared" si="45"/>
        <v>2</v>
      </c>
      <c r="Q430" s="384">
        <f t="shared" si="46"/>
        <v>2518</v>
      </c>
      <c r="R430" s="12">
        <f t="shared" si="50"/>
        <v>1410</v>
      </c>
      <c r="S430" s="12"/>
      <c r="T430" s="12"/>
      <c r="U430" s="12"/>
      <c r="V430" s="12"/>
      <c r="W430" s="12"/>
      <c r="X430" s="12"/>
      <c r="Y430" s="12"/>
      <c r="Z430" s="12"/>
      <c r="AA430" s="12"/>
      <c r="AB430" s="12"/>
      <c r="AD430" s="31"/>
      <c r="AE430" s="12"/>
      <c r="AF430" s="197"/>
      <c r="AG430" s="197"/>
      <c r="AH430" s="197"/>
      <c r="AI430" s="197"/>
      <c r="AJ430" s="12"/>
      <c r="AK430" s="12"/>
      <c r="AL430" s="12"/>
      <c r="AM430" s="12"/>
      <c r="AN430" s="12"/>
      <c r="AO430" s="12"/>
      <c r="AP430" s="12"/>
      <c r="AQ430" s="12"/>
      <c r="AR430" s="12"/>
      <c r="AS430" s="12"/>
      <c r="AT430" s="12"/>
    </row>
    <row r="431" spans="1:46" x14ac:dyDescent="0.25">
      <c r="A431" s="12"/>
      <c r="B431" s="12"/>
      <c r="C431" s="12"/>
      <c r="D431" s="12"/>
      <c r="E431" s="12"/>
      <c r="F431" s="12"/>
      <c r="G431" s="12"/>
      <c r="H431" s="12"/>
      <c r="I431" s="21" t="str">
        <f>IF(COUNTA('[1]Virus production'!A417)=1,('[1]Virus production'!A417),"")</f>
        <v>AAV503</v>
      </c>
      <c r="J431" s="12"/>
      <c r="L431" s="383">
        <v>45554</v>
      </c>
      <c r="M431" s="12">
        <v>2</v>
      </c>
      <c r="N431" s="197">
        <f t="shared" si="48"/>
        <v>45554</v>
      </c>
      <c r="O431" s="197">
        <f t="shared" si="44"/>
        <v>45536</v>
      </c>
      <c r="P431" s="384">
        <f t="shared" si="45"/>
        <v>2</v>
      </c>
      <c r="Q431" s="384">
        <f t="shared" si="46"/>
        <v>2526</v>
      </c>
      <c r="R431" s="12">
        <f t="shared" si="50"/>
        <v>1412</v>
      </c>
      <c r="S431" s="12"/>
      <c r="T431" s="12"/>
      <c r="U431" s="12"/>
      <c r="V431" s="12"/>
      <c r="W431" s="12"/>
      <c r="X431" s="12"/>
      <c r="Y431" s="12"/>
      <c r="Z431" s="12"/>
      <c r="AA431" s="12"/>
      <c r="AB431" s="12"/>
      <c r="AD431" s="31"/>
      <c r="AE431" s="12"/>
      <c r="AF431" s="197"/>
      <c r="AG431" s="197"/>
      <c r="AH431" s="197"/>
      <c r="AI431" s="197"/>
      <c r="AJ431" s="12"/>
      <c r="AK431" s="12"/>
      <c r="AL431" s="12"/>
      <c r="AM431" s="12"/>
      <c r="AN431" s="12"/>
      <c r="AO431" s="12"/>
      <c r="AP431" s="12"/>
      <c r="AQ431" s="12"/>
      <c r="AR431" s="12"/>
      <c r="AS431" s="12"/>
      <c r="AT431" s="12"/>
    </row>
    <row r="432" spans="1:46" x14ac:dyDescent="0.25">
      <c r="A432" s="12"/>
      <c r="B432" s="12"/>
      <c r="C432" s="12"/>
      <c r="D432" s="12"/>
      <c r="E432" s="12"/>
      <c r="F432" s="12"/>
      <c r="G432" s="12"/>
      <c r="H432" s="12"/>
      <c r="I432" s="21" t="str">
        <f>IF(COUNTA('[1]Virus production'!A418)=1,('[1]Virus production'!A418),"")</f>
        <v>AAV507</v>
      </c>
      <c r="J432" s="12"/>
      <c r="L432" s="383">
        <v>45562</v>
      </c>
      <c r="M432" s="12">
        <v>2</v>
      </c>
      <c r="N432" s="197">
        <f t="shared" si="48"/>
        <v>45562</v>
      </c>
      <c r="O432" s="197">
        <f t="shared" si="44"/>
        <v>45536</v>
      </c>
      <c r="P432" s="384">
        <f t="shared" si="45"/>
        <v>2</v>
      </c>
      <c r="Q432" s="384">
        <f t="shared" si="46"/>
        <v>2534</v>
      </c>
      <c r="R432" s="12">
        <f t="shared" si="50"/>
        <v>1414</v>
      </c>
      <c r="S432" s="12"/>
      <c r="T432" s="12"/>
      <c r="U432" s="12"/>
      <c r="V432" s="12"/>
      <c r="W432" s="12"/>
      <c r="X432" s="12"/>
      <c r="Y432" s="12"/>
      <c r="Z432" s="12"/>
      <c r="AA432" s="12"/>
      <c r="AB432" s="12"/>
      <c r="AD432" s="31"/>
      <c r="AE432" s="12"/>
      <c r="AF432" s="197"/>
      <c r="AG432" s="197"/>
      <c r="AH432" s="197"/>
      <c r="AI432" s="197"/>
      <c r="AJ432" s="12"/>
      <c r="AK432" s="12"/>
      <c r="AL432" s="12"/>
      <c r="AM432" s="12"/>
      <c r="AN432" s="12"/>
      <c r="AO432" s="12"/>
      <c r="AP432" s="12"/>
      <c r="AQ432" s="12"/>
      <c r="AR432" s="12"/>
      <c r="AS432" s="12"/>
      <c r="AT432" s="12"/>
    </row>
    <row r="433" spans="1:46" x14ac:dyDescent="0.25">
      <c r="A433" s="12"/>
      <c r="B433" s="12"/>
      <c r="C433" s="12"/>
      <c r="D433" s="12"/>
      <c r="E433" s="12"/>
      <c r="F433" s="12"/>
      <c r="G433" s="12"/>
      <c r="H433" s="12"/>
      <c r="I433" s="21" t="str">
        <f>IF(COUNTA('[1]Virus production'!A419)=1,('[1]Virus production'!A419),"")</f>
        <v>AAV508</v>
      </c>
      <c r="J433" s="12"/>
      <c r="L433" s="383">
        <v>45575</v>
      </c>
      <c r="M433" s="12">
        <v>4</v>
      </c>
      <c r="N433" s="197">
        <f t="shared" si="48"/>
        <v>45575</v>
      </c>
      <c r="O433" s="197">
        <f t="shared" si="44"/>
        <v>45566</v>
      </c>
      <c r="P433" s="384">
        <f t="shared" si="45"/>
        <v>4</v>
      </c>
      <c r="Q433" s="384">
        <f t="shared" si="46"/>
        <v>2547</v>
      </c>
      <c r="R433" s="12">
        <f t="shared" si="50"/>
        <v>1418</v>
      </c>
      <c r="S433" s="12"/>
      <c r="T433" s="12"/>
      <c r="U433" s="12"/>
      <c r="V433" s="12"/>
      <c r="W433" s="12"/>
      <c r="X433" s="12"/>
      <c r="Y433" s="12"/>
      <c r="Z433" s="12"/>
      <c r="AA433" s="12"/>
      <c r="AB433" s="12"/>
      <c r="AD433" s="31"/>
      <c r="AE433" s="12"/>
      <c r="AF433" s="197"/>
      <c r="AG433" s="197"/>
      <c r="AH433" s="197"/>
      <c r="AI433" s="197"/>
      <c r="AJ433" s="12"/>
      <c r="AK433" s="12"/>
      <c r="AL433" s="12"/>
      <c r="AM433" s="12"/>
      <c r="AN433" s="12"/>
      <c r="AO433" s="12"/>
      <c r="AP433" s="12"/>
      <c r="AQ433" s="12"/>
      <c r="AR433" s="12"/>
      <c r="AS433" s="12"/>
      <c r="AT433" s="12"/>
    </row>
    <row r="434" spans="1:46" x14ac:dyDescent="0.25">
      <c r="A434" s="12"/>
      <c r="B434" s="12"/>
      <c r="C434" s="12"/>
      <c r="D434" s="12"/>
      <c r="E434" s="12"/>
      <c r="F434" s="12"/>
      <c r="G434" s="12"/>
      <c r="H434" s="12"/>
      <c r="I434" s="21" t="str">
        <f>IF(COUNTA('[1]Virus production'!A420)=1,('[1]Virus production'!A420),"")</f>
        <v>AAV428</v>
      </c>
      <c r="J434" s="12"/>
      <c r="L434" s="383">
        <v>45561</v>
      </c>
      <c r="M434" s="12">
        <v>1</v>
      </c>
      <c r="N434" s="197">
        <f t="shared" si="48"/>
        <v>45561</v>
      </c>
      <c r="O434" s="197">
        <f t="shared" si="44"/>
        <v>45536</v>
      </c>
      <c r="P434" s="384">
        <f t="shared" si="45"/>
        <v>1</v>
      </c>
      <c r="Q434" s="384">
        <f t="shared" si="46"/>
        <v>2533</v>
      </c>
      <c r="R434" s="12">
        <f t="shared" si="50"/>
        <v>1419</v>
      </c>
      <c r="S434" s="12"/>
      <c r="T434" s="12"/>
      <c r="U434" s="12"/>
      <c r="V434" s="12"/>
      <c r="W434" s="12"/>
      <c r="X434" s="12"/>
      <c r="Y434" s="12"/>
      <c r="Z434" s="12"/>
      <c r="AA434" s="12"/>
      <c r="AB434" s="12"/>
      <c r="AD434" s="31"/>
      <c r="AE434" s="12"/>
      <c r="AF434" s="197"/>
      <c r="AG434" s="197"/>
      <c r="AH434" s="197"/>
      <c r="AI434" s="197"/>
      <c r="AJ434" s="12"/>
      <c r="AK434" s="12"/>
      <c r="AL434" s="12"/>
      <c r="AM434" s="12"/>
      <c r="AN434" s="12"/>
      <c r="AO434" s="12"/>
      <c r="AP434" s="12"/>
      <c r="AQ434" s="12"/>
      <c r="AR434" s="12"/>
      <c r="AS434" s="12"/>
      <c r="AT434" s="12"/>
    </row>
    <row r="435" spans="1:46" x14ac:dyDescent="0.25">
      <c r="A435" s="12"/>
      <c r="B435" s="12"/>
      <c r="C435" s="12"/>
      <c r="D435" s="12"/>
      <c r="E435" s="12"/>
      <c r="F435" s="12"/>
      <c r="G435" s="12"/>
      <c r="H435" s="12"/>
      <c r="I435" s="21" t="str">
        <f>IF(COUNTA('[1]Virus production'!A421)=1,('[1]Virus production'!A421),"")</f>
        <v>AAV514</v>
      </c>
      <c r="J435" s="12"/>
      <c r="L435" s="383">
        <v>45574</v>
      </c>
      <c r="M435" s="12">
        <v>4</v>
      </c>
      <c r="N435" s="197">
        <f t="shared" si="48"/>
        <v>45574</v>
      </c>
      <c r="O435" s="197">
        <f t="shared" si="44"/>
        <v>45566</v>
      </c>
      <c r="P435" s="384">
        <f t="shared" si="45"/>
        <v>4</v>
      </c>
      <c r="Q435" s="384">
        <f t="shared" si="46"/>
        <v>2546</v>
      </c>
      <c r="R435" s="12">
        <f t="shared" si="50"/>
        <v>1423</v>
      </c>
      <c r="S435" s="12"/>
      <c r="T435" s="12"/>
      <c r="U435" s="12"/>
      <c r="V435" s="12"/>
      <c r="W435" s="12"/>
      <c r="X435" s="12"/>
      <c r="Y435" s="12"/>
      <c r="Z435" s="12"/>
      <c r="AA435" s="12"/>
      <c r="AB435" s="12"/>
      <c r="AD435" s="31"/>
      <c r="AE435" s="12"/>
      <c r="AF435" s="197"/>
      <c r="AG435" s="197"/>
      <c r="AH435" s="197"/>
      <c r="AI435" s="197"/>
      <c r="AJ435" s="12"/>
      <c r="AK435" s="12"/>
      <c r="AL435" s="12"/>
      <c r="AM435" s="12"/>
      <c r="AN435" s="12"/>
      <c r="AO435" s="12"/>
      <c r="AP435" s="12"/>
      <c r="AQ435" s="12"/>
      <c r="AR435" s="12"/>
      <c r="AS435" s="12"/>
      <c r="AT435" s="12"/>
    </row>
    <row r="436" spans="1:46" x14ac:dyDescent="0.25">
      <c r="A436" s="12"/>
      <c r="B436" s="12"/>
      <c r="C436" s="12"/>
      <c r="D436" s="12"/>
      <c r="E436" s="12"/>
      <c r="F436" s="12"/>
      <c r="G436" s="12"/>
      <c r="H436" s="12"/>
      <c r="I436" s="21" t="str">
        <f>IF(COUNTA('[1]Virus production'!A422)=1,('[1]Virus production'!A422),"")</f>
        <v>AAV515</v>
      </c>
      <c r="J436" s="12"/>
      <c r="L436" s="383">
        <v>45568</v>
      </c>
      <c r="M436" s="12">
        <v>2</v>
      </c>
      <c r="N436" s="197">
        <f t="shared" si="48"/>
        <v>45568</v>
      </c>
      <c r="O436" s="197">
        <f t="shared" si="44"/>
        <v>45566</v>
      </c>
      <c r="P436" s="384">
        <f t="shared" si="45"/>
        <v>2</v>
      </c>
      <c r="Q436" s="384">
        <f t="shared" si="46"/>
        <v>2540</v>
      </c>
      <c r="R436" s="12">
        <f t="shared" si="50"/>
        <v>1425</v>
      </c>
      <c r="S436" s="12"/>
      <c r="T436" s="12"/>
      <c r="U436" s="12"/>
      <c r="V436" s="12"/>
      <c r="W436" s="12"/>
      <c r="X436" s="12"/>
      <c r="Y436" s="12"/>
      <c r="Z436" s="12"/>
      <c r="AA436" s="12"/>
      <c r="AB436" s="12"/>
      <c r="AD436" s="31"/>
      <c r="AE436" s="12"/>
      <c r="AF436" s="197"/>
      <c r="AG436" s="197"/>
      <c r="AH436" s="197"/>
      <c r="AI436" s="197"/>
      <c r="AJ436" s="12"/>
      <c r="AK436" s="12"/>
      <c r="AL436" s="12"/>
      <c r="AM436" s="12"/>
      <c r="AN436" s="12"/>
      <c r="AO436" s="12"/>
      <c r="AP436" s="12"/>
      <c r="AQ436" s="12"/>
      <c r="AR436" s="12"/>
      <c r="AS436" s="12"/>
      <c r="AT436" s="12"/>
    </row>
    <row r="437" spans="1:46" x14ac:dyDescent="0.25">
      <c r="A437" s="12"/>
      <c r="B437" s="12"/>
      <c r="C437" s="12"/>
      <c r="D437" s="12"/>
      <c r="E437" s="12"/>
      <c r="F437" s="12"/>
      <c r="G437" s="12"/>
      <c r="H437" s="12"/>
      <c r="I437" s="21" t="str">
        <f>IF(COUNTA('[1]Virus production'!A423)=1,('[1]Virus production'!A423),"")</f>
        <v>AAV516</v>
      </c>
      <c r="J437" s="12"/>
      <c r="L437" s="383">
        <v>45567</v>
      </c>
      <c r="M437" s="12">
        <v>1</v>
      </c>
      <c r="N437" s="197">
        <f t="shared" si="48"/>
        <v>45567</v>
      </c>
      <c r="O437" s="197">
        <f t="shared" si="44"/>
        <v>45566</v>
      </c>
      <c r="P437" s="384">
        <f t="shared" si="45"/>
        <v>1</v>
      </c>
      <c r="Q437" s="384">
        <f t="shared" si="46"/>
        <v>2539</v>
      </c>
      <c r="R437" s="12">
        <f t="shared" si="50"/>
        <v>1426</v>
      </c>
      <c r="S437" s="12"/>
      <c r="T437" s="12"/>
      <c r="U437" s="12"/>
      <c r="V437" s="12"/>
      <c r="W437" s="12"/>
      <c r="X437" s="12"/>
      <c r="Y437" s="12"/>
      <c r="Z437" s="12"/>
      <c r="AA437" s="12"/>
      <c r="AB437" s="12"/>
      <c r="AD437" s="31"/>
      <c r="AE437" s="12"/>
      <c r="AF437" s="197"/>
      <c r="AG437" s="197"/>
      <c r="AH437" s="197"/>
      <c r="AI437" s="197"/>
      <c r="AJ437" s="12"/>
      <c r="AK437" s="12"/>
      <c r="AL437" s="12"/>
      <c r="AM437" s="12"/>
      <c r="AN437" s="12"/>
      <c r="AO437" s="12"/>
      <c r="AP437" s="12"/>
      <c r="AQ437" s="12"/>
      <c r="AR437" s="12"/>
      <c r="AS437" s="12"/>
      <c r="AT437" s="12"/>
    </row>
    <row r="438" spans="1:46" x14ac:dyDescent="0.25">
      <c r="A438" s="12"/>
      <c r="B438" s="12"/>
      <c r="C438" s="12"/>
      <c r="D438" s="12"/>
      <c r="E438" s="12"/>
      <c r="F438" s="12"/>
      <c r="G438" s="12"/>
      <c r="H438" s="12"/>
      <c r="I438" s="21" t="str">
        <f>IF(COUNTA('[1]Virus production'!A424)=1,('[1]Virus production'!A424),"")</f>
        <v>AAV517</v>
      </c>
      <c r="J438" s="12"/>
      <c r="L438" s="383">
        <v>45572</v>
      </c>
      <c r="M438" s="12">
        <v>2</v>
      </c>
      <c r="N438" s="197">
        <f t="shared" si="48"/>
        <v>45572</v>
      </c>
      <c r="O438" s="197">
        <f t="shared" si="44"/>
        <v>45566</v>
      </c>
      <c r="P438" s="384">
        <f t="shared" si="45"/>
        <v>2</v>
      </c>
      <c r="Q438" s="384">
        <f t="shared" si="46"/>
        <v>2544</v>
      </c>
      <c r="R438" s="12">
        <f t="shared" si="50"/>
        <v>1428</v>
      </c>
      <c r="S438" s="12"/>
      <c r="T438" s="12"/>
      <c r="U438" s="12"/>
      <c r="V438" s="12"/>
      <c r="W438" s="12"/>
      <c r="X438" s="12"/>
      <c r="Y438" s="12"/>
      <c r="Z438" s="12"/>
      <c r="AA438" s="12"/>
      <c r="AB438" s="12"/>
      <c r="AD438" s="31"/>
      <c r="AE438" s="12"/>
      <c r="AF438" s="197"/>
      <c r="AG438" s="197"/>
      <c r="AH438" s="197"/>
      <c r="AI438" s="197"/>
      <c r="AJ438" s="12"/>
      <c r="AK438" s="12"/>
      <c r="AL438" s="12"/>
      <c r="AM438" s="12"/>
      <c r="AN438" s="12"/>
      <c r="AO438" s="12"/>
      <c r="AP438" s="12"/>
      <c r="AQ438" s="12"/>
      <c r="AR438" s="12"/>
      <c r="AS438" s="12"/>
      <c r="AT438" s="12"/>
    </row>
    <row r="439" spans="1:46" x14ac:dyDescent="0.25">
      <c r="A439" s="12"/>
      <c r="B439" s="12"/>
      <c r="C439" s="12"/>
      <c r="D439" s="12"/>
      <c r="E439" s="12"/>
      <c r="F439" s="12"/>
      <c r="G439" s="12"/>
      <c r="H439" s="12"/>
      <c r="I439" s="21" t="str">
        <f>IF(COUNTA('[1]Virus production'!A425)=1,('[1]Virus production'!A425),"")</f>
        <v/>
      </c>
      <c r="J439" s="12"/>
      <c r="L439" s="383">
        <v>45573</v>
      </c>
      <c r="M439" s="12">
        <v>2</v>
      </c>
      <c r="N439" s="197">
        <f t="shared" si="48"/>
        <v>45573</v>
      </c>
      <c r="O439" s="197">
        <f t="shared" si="44"/>
        <v>45566</v>
      </c>
      <c r="P439" s="384">
        <f t="shared" si="45"/>
        <v>2</v>
      </c>
      <c r="Q439" s="384">
        <f t="shared" si="46"/>
        <v>2545</v>
      </c>
      <c r="R439" s="12">
        <f t="shared" si="50"/>
        <v>1430</v>
      </c>
      <c r="S439" s="12"/>
      <c r="T439" s="12"/>
      <c r="U439" s="12"/>
      <c r="V439" s="12"/>
      <c r="W439" s="12"/>
      <c r="X439" s="12"/>
      <c r="Y439" s="12"/>
      <c r="Z439" s="12"/>
      <c r="AA439" s="12"/>
      <c r="AB439" s="12"/>
      <c r="AD439" s="31"/>
      <c r="AE439" s="12"/>
      <c r="AF439" s="197"/>
      <c r="AG439" s="197"/>
      <c r="AH439" s="197"/>
      <c r="AI439" s="197"/>
      <c r="AJ439" s="12"/>
      <c r="AK439" s="12"/>
      <c r="AL439" s="12"/>
      <c r="AM439" s="12"/>
      <c r="AN439" s="12"/>
      <c r="AO439" s="12"/>
      <c r="AP439" s="12"/>
      <c r="AQ439" s="12"/>
      <c r="AR439" s="12"/>
      <c r="AS439" s="12"/>
      <c r="AT439" s="12"/>
    </row>
    <row r="440" spans="1:46" x14ac:dyDescent="0.25">
      <c r="A440" s="12"/>
      <c r="B440" s="12"/>
      <c r="C440" s="12"/>
      <c r="D440" s="12"/>
      <c r="E440" s="12"/>
      <c r="F440" s="12"/>
      <c r="G440" s="12"/>
      <c r="H440" s="12"/>
      <c r="I440" s="21" t="str">
        <f>IF(COUNTA('[1]Virus production'!A426)=1,('[1]Virus production'!A426),"")</f>
        <v/>
      </c>
      <c r="J440" s="12"/>
      <c r="L440" s="383">
        <v>45579</v>
      </c>
      <c r="M440" s="12">
        <v>4</v>
      </c>
      <c r="N440" s="197">
        <f t="shared" si="48"/>
        <v>45579</v>
      </c>
      <c r="O440" s="197">
        <f t="shared" si="44"/>
        <v>45566</v>
      </c>
      <c r="P440" s="384">
        <f t="shared" si="45"/>
        <v>4</v>
      </c>
      <c r="Q440" s="384">
        <f t="shared" si="46"/>
        <v>2551</v>
      </c>
      <c r="R440" s="12">
        <f t="shared" si="50"/>
        <v>1434</v>
      </c>
      <c r="S440" s="12"/>
      <c r="T440" s="12"/>
      <c r="U440" s="12"/>
      <c r="V440" s="12"/>
      <c r="W440" s="12"/>
      <c r="X440" s="12"/>
      <c r="Y440" s="12"/>
      <c r="Z440" s="12"/>
      <c r="AA440" s="12"/>
      <c r="AB440" s="12"/>
      <c r="AD440" s="31"/>
      <c r="AE440" s="12"/>
      <c r="AF440" s="197"/>
      <c r="AG440" s="197"/>
      <c r="AH440" s="197"/>
      <c r="AI440" s="197"/>
      <c r="AJ440" s="12"/>
      <c r="AK440" s="12"/>
      <c r="AL440" s="12"/>
      <c r="AM440" s="12"/>
      <c r="AN440" s="12"/>
      <c r="AO440" s="12"/>
      <c r="AP440" s="12"/>
      <c r="AQ440" s="12"/>
      <c r="AR440" s="12"/>
      <c r="AS440" s="12"/>
      <c r="AT440" s="12"/>
    </row>
    <row r="441" spans="1:46" x14ac:dyDescent="0.25">
      <c r="A441" s="12"/>
      <c r="B441" s="12"/>
      <c r="C441" s="12"/>
      <c r="D441" s="12"/>
      <c r="E441" s="12"/>
      <c r="F441" s="12"/>
      <c r="G441" s="12"/>
      <c r="H441" s="12"/>
      <c r="I441" s="21" t="str">
        <f>IF(COUNTA('[1]Virus production'!A427)=1,('[1]Virus production'!A427),"")</f>
        <v/>
      </c>
      <c r="J441" s="12"/>
      <c r="L441" s="383">
        <v>45580</v>
      </c>
      <c r="M441" s="12">
        <v>2</v>
      </c>
      <c r="N441" s="197">
        <f t="shared" si="48"/>
        <v>45580</v>
      </c>
      <c r="O441" s="197">
        <f t="shared" si="44"/>
        <v>45566</v>
      </c>
      <c r="P441" s="384">
        <f t="shared" si="45"/>
        <v>2</v>
      </c>
      <c r="Q441" s="384">
        <f t="shared" si="46"/>
        <v>2552</v>
      </c>
      <c r="R441" s="12">
        <f t="shared" si="50"/>
        <v>1436</v>
      </c>
      <c r="S441" s="12"/>
      <c r="T441" s="12"/>
      <c r="U441" s="12"/>
      <c r="V441" s="12"/>
      <c r="W441" s="12"/>
      <c r="X441" s="12"/>
      <c r="Y441" s="12"/>
      <c r="Z441" s="12"/>
      <c r="AA441" s="12"/>
      <c r="AB441" s="12"/>
      <c r="AD441" s="31"/>
      <c r="AE441" s="12"/>
      <c r="AF441" s="197"/>
      <c r="AG441" s="197"/>
      <c r="AH441" s="197"/>
      <c r="AI441" s="197"/>
      <c r="AJ441" s="12"/>
      <c r="AK441" s="12"/>
      <c r="AL441" s="12"/>
      <c r="AM441" s="12"/>
      <c r="AN441" s="12"/>
      <c r="AO441" s="12"/>
      <c r="AP441" s="12"/>
      <c r="AQ441" s="12"/>
      <c r="AR441" s="12"/>
      <c r="AS441" s="12"/>
      <c r="AT441" s="12"/>
    </row>
    <row r="442" spans="1:46" x14ac:dyDescent="0.25">
      <c r="A442" s="12"/>
      <c r="B442" s="12"/>
      <c r="C442" s="12"/>
      <c r="D442" s="12"/>
      <c r="E442" s="12"/>
      <c r="F442" s="12"/>
      <c r="G442" s="12"/>
      <c r="H442" s="12"/>
      <c r="I442" s="21" t="str">
        <f>IF(COUNTA('[1]Virus production'!A428)=1,('[1]Virus production'!A428),"")</f>
        <v/>
      </c>
      <c r="J442" s="12"/>
      <c r="L442" s="383">
        <v>45582</v>
      </c>
      <c r="M442" s="12">
        <v>2</v>
      </c>
      <c r="N442" s="197">
        <f t="shared" si="48"/>
        <v>45582</v>
      </c>
      <c r="O442" s="197">
        <f t="shared" si="44"/>
        <v>45566</v>
      </c>
      <c r="P442" s="384">
        <f t="shared" si="45"/>
        <v>2</v>
      </c>
      <c r="Q442" s="384">
        <f t="shared" si="46"/>
        <v>2554</v>
      </c>
      <c r="R442" s="12">
        <f t="shared" si="50"/>
        <v>1438</v>
      </c>
      <c r="S442" s="12"/>
      <c r="T442" s="12"/>
      <c r="U442" s="12"/>
      <c r="V442" s="12"/>
      <c r="W442" s="12"/>
      <c r="X442" s="12"/>
      <c r="Y442" s="12"/>
      <c r="Z442" s="12"/>
      <c r="AA442" s="12"/>
      <c r="AB442" s="12"/>
      <c r="AD442" s="31"/>
      <c r="AE442" s="12"/>
      <c r="AF442" s="197"/>
      <c r="AG442" s="197"/>
      <c r="AH442" s="197"/>
      <c r="AI442" s="197"/>
      <c r="AJ442" s="12"/>
      <c r="AK442" s="12"/>
      <c r="AL442" s="12"/>
      <c r="AM442" s="12"/>
      <c r="AN442" s="12"/>
      <c r="AO442" s="12"/>
      <c r="AP442" s="12"/>
      <c r="AQ442" s="12"/>
      <c r="AR442" s="12"/>
      <c r="AS442" s="12"/>
      <c r="AT442" s="12"/>
    </row>
    <row r="443" spans="1:46" x14ac:dyDescent="0.25">
      <c r="A443" s="12"/>
      <c r="B443" s="12"/>
      <c r="C443" s="12"/>
      <c r="D443" s="12"/>
      <c r="E443" s="12"/>
      <c r="F443" s="12"/>
      <c r="G443" s="12"/>
      <c r="H443" s="12"/>
      <c r="I443" s="21" t="str">
        <f>IF(COUNTA('[1]Virus production'!A429)=1,('[1]Virus production'!A429),"")</f>
        <v/>
      </c>
      <c r="J443" s="12"/>
      <c r="L443" s="383">
        <v>45592</v>
      </c>
      <c r="M443" s="12">
        <v>5</v>
      </c>
      <c r="N443" s="197">
        <f t="shared" si="48"/>
        <v>45592</v>
      </c>
      <c r="O443" s="197">
        <f t="shared" si="44"/>
        <v>45566</v>
      </c>
      <c r="P443" s="384">
        <f t="shared" si="45"/>
        <v>5</v>
      </c>
      <c r="Q443" s="384">
        <f t="shared" si="46"/>
        <v>2564</v>
      </c>
      <c r="R443" s="12">
        <f t="shared" si="50"/>
        <v>1443</v>
      </c>
      <c r="S443" s="12"/>
      <c r="T443" s="12"/>
      <c r="U443" s="12"/>
      <c r="V443" s="12"/>
      <c r="W443" s="12"/>
      <c r="X443" s="12"/>
      <c r="Y443" s="12"/>
      <c r="Z443" s="12"/>
      <c r="AA443" s="12"/>
      <c r="AB443" s="12"/>
      <c r="AD443" s="31"/>
      <c r="AE443" s="12"/>
      <c r="AF443" s="197"/>
      <c r="AG443" s="197"/>
      <c r="AH443" s="197"/>
      <c r="AI443" s="197"/>
      <c r="AJ443" s="12"/>
      <c r="AK443" s="12"/>
      <c r="AL443" s="12"/>
      <c r="AM443" s="12"/>
      <c r="AN443" s="12"/>
      <c r="AO443" s="12"/>
      <c r="AP443" s="12"/>
      <c r="AQ443" s="12"/>
      <c r="AR443" s="12"/>
      <c r="AS443" s="12"/>
      <c r="AT443" s="12"/>
    </row>
    <row r="444" spans="1:46" x14ac:dyDescent="0.25">
      <c r="A444" s="12"/>
      <c r="B444" s="12"/>
      <c r="C444" s="12"/>
      <c r="D444" s="12"/>
      <c r="E444" s="12"/>
      <c r="F444" s="12"/>
      <c r="G444" s="12"/>
      <c r="H444" s="12"/>
      <c r="I444" s="21" t="str">
        <f>IF(COUNTA('[1]Virus production'!A430)=1,('[1]Virus production'!A430),"")</f>
        <v/>
      </c>
      <c r="J444" s="12"/>
      <c r="L444" s="383">
        <v>45587</v>
      </c>
      <c r="M444" s="12">
        <v>1</v>
      </c>
      <c r="N444" s="197">
        <f t="shared" si="48"/>
        <v>45587</v>
      </c>
      <c r="O444" s="197">
        <f t="shared" si="44"/>
        <v>45566</v>
      </c>
      <c r="P444" s="384">
        <f t="shared" si="45"/>
        <v>1</v>
      </c>
      <c r="Q444" s="384">
        <f t="shared" si="46"/>
        <v>2559</v>
      </c>
      <c r="R444" s="12">
        <f t="shared" si="50"/>
        <v>1444</v>
      </c>
      <c r="S444" s="12"/>
      <c r="T444" s="12"/>
      <c r="U444" s="12"/>
      <c r="V444" s="12"/>
      <c r="W444" s="12"/>
      <c r="X444" s="12"/>
      <c r="Y444" s="12"/>
      <c r="Z444" s="12"/>
      <c r="AA444" s="12"/>
      <c r="AB444" s="12"/>
      <c r="AD444" s="31"/>
      <c r="AE444" s="12"/>
      <c r="AF444" s="197"/>
      <c r="AG444" s="197"/>
      <c r="AH444" s="197"/>
      <c r="AI444" s="197"/>
      <c r="AJ444" s="12"/>
      <c r="AK444" s="12"/>
      <c r="AL444" s="12"/>
      <c r="AM444" s="12"/>
      <c r="AN444" s="12"/>
      <c r="AO444" s="12"/>
      <c r="AP444" s="12"/>
      <c r="AQ444" s="12"/>
      <c r="AR444" s="12"/>
      <c r="AS444" s="12"/>
      <c r="AT444" s="12"/>
    </row>
    <row r="445" spans="1:46" x14ac:dyDescent="0.25">
      <c r="A445" s="12"/>
      <c r="B445" s="12"/>
      <c r="C445" s="12"/>
      <c r="D445" s="12"/>
      <c r="E445" s="12"/>
      <c r="F445" s="12"/>
      <c r="G445" s="12"/>
      <c r="H445" s="12"/>
      <c r="I445" s="21" t="str">
        <f>IF(COUNTA('[1]Virus production'!A431)=1,('[1]Virus production'!A431),"")</f>
        <v/>
      </c>
      <c r="J445" s="12"/>
      <c r="L445" s="383">
        <v>45588</v>
      </c>
      <c r="M445" s="12">
        <v>1</v>
      </c>
      <c r="N445" s="197">
        <f t="shared" si="48"/>
        <v>45588</v>
      </c>
      <c r="O445" s="197">
        <f t="shared" si="44"/>
        <v>45566</v>
      </c>
      <c r="P445" s="384">
        <f t="shared" si="45"/>
        <v>1</v>
      </c>
      <c r="Q445" s="384">
        <f t="shared" si="46"/>
        <v>2560</v>
      </c>
      <c r="R445" s="12">
        <f t="shared" si="50"/>
        <v>1445</v>
      </c>
      <c r="S445" s="12"/>
      <c r="T445" s="12"/>
      <c r="U445" s="12"/>
      <c r="V445" s="12"/>
      <c r="W445" s="12"/>
      <c r="X445" s="12"/>
      <c r="Y445" s="12"/>
      <c r="Z445" s="12"/>
      <c r="AA445" s="12"/>
      <c r="AB445" s="12"/>
      <c r="AD445" s="31"/>
      <c r="AE445" s="12"/>
      <c r="AF445" s="197"/>
      <c r="AG445" s="197"/>
      <c r="AH445" s="197"/>
      <c r="AI445" s="197"/>
      <c r="AJ445" s="12"/>
      <c r="AK445" s="12"/>
      <c r="AL445" s="12"/>
      <c r="AM445" s="12"/>
      <c r="AN445" s="12"/>
      <c r="AO445" s="12"/>
      <c r="AP445" s="12"/>
      <c r="AQ445" s="12"/>
      <c r="AR445" s="12"/>
      <c r="AS445" s="12"/>
      <c r="AT445" s="12"/>
    </row>
    <row r="446" spans="1:46" x14ac:dyDescent="0.25">
      <c r="A446" s="12"/>
      <c r="B446" s="12"/>
      <c r="C446" s="12"/>
      <c r="D446" s="12"/>
      <c r="E446" s="12"/>
      <c r="F446" s="12"/>
      <c r="G446" s="12"/>
      <c r="H446" s="12"/>
      <c r="I446" s="21" t="str">
        <f>IF(COUNTA('[1]Virus production'!A432)=1,('[1]Virus production'!A432),"")</f>
        <v>Request list</v>
      </c>
      <c r="J446" s="12"/>
      <c r="L446" s="383">
        <v>45590</v>
      </c>
      <c r="M446" s="12">
        <v>1</v>
      </c>
      <c r="N446" s="197">
        <f t="shared" si="48"/>
        <v>45590</v>
      </c>
      <c r="O446" s="197">
        <f t="shared" si="44"/>
        <v>45566</v>
      </c>
      <c r="P446" s="384">
        <f t="shared" si="45"/>
        <v>1</v>
      </c>
      <c r="Q446" s="384">
        <f t="shared" si="46"/>
        <v>2562</v>
      </c>
      <c r="R446" s="12">
        <f t="shared" si="50"/>
        <v>1446</v>
      </c>
      <c r="S446" s="12"/>
      <c r="T446" s="12"/>
      <c r="U446" s="12"/>
      <c r="V446" s="12"/>
      <c r="W446" s="12"/>
      <c r="X446" s="12"/>
      <c r="Y446" s="12"/>
      <c r="Z446" s="12"/>
      <c r="AA446" s="12"/>
      <c r="AB446" s="12"/>
      <c r="AD446" s="31"/>
      <c r="AE446" s="12"/>
      <c r="AF446" s="197"/>
      <c r="AG446" s="197"/>
      <c r="AH446" s="197"/>
      <c r="AI446" s="197"/>
      <c r="AJ446" s="12"/>
      <c r="AK446" s="12"/>
      <c r="AL446" s="12"/>
      <c r="AM446" s="12"/>
      <c r="AN446" s="12"/>
      <c r="AO446" s="12"/>
      <c r="AP446" s="12"/>
      <c r="AQ446" s="12"/>
      <c r="AR446" s="12"/>
      <c r="AS446" s="12"/>
      <c r="AT446" s="12"/>
    </row>
    <row r="447" spans="1:46" x14ac:dyDescent="0.25">
      <c r="A447" s="12"/>
      <c r="B447" s="12"/>
      <c r="C447" s="12"/>
      <c r="D447" s="12"/>
      <c r="E447" s="12"/>
      <c r="F447" s="12"/>
      <c r="G447" s="12"/>
      <c r="H447" s="12"/>
      <c r="I447" s="21" t="str">
        <f>IF(COUNTA('[1]Virus production'!A433)=1,('[1]Virus production'!A433),"")</f>
        <v/>
      </c>
      <c r="J447" s="12"/>
      <c r="L447" s="383">
        <v>45593</v>
      </c>
      <c r="M447" s="12">
        <v>7</v>
      </c>
      <c r="N447" s="197">
        <f t="shared" si="48"/>
        <v>45593</v>
      </c>
      <c r="O447" s="197">
        <f t="shared" si="44"/>
        <v>45566</v>
      </c>
      <c r="P447" s="384">
        <f t="shared" si="45"/>
        <v>7</v>
      </c>
      <c r="Q447" s="384">
        <f t="shared" si="46"/>
        <v>2565</v>
      </c>
      <c r="R447" s="12">
        <f t="shared" si="50"/>
        <v>1453</v>
      </c>
      <c r="S447" s="12"/>
      <c r="T447" s="12"/>
      <c r="U447" s="12"/>
      <c r="V447" s="12"/>
      <c r="W447" s="12"/>
      <c r="X447" s="12"/>
      <c r="Y447" s="12"/>
      <c r="Z447" s="12"/>
      <c r="AA447" s="12"/>
      <c r="AB447" s="12"/>
      <c r="AD447" s="31"/>
      <c r="AE447" s="12"/>
      <c r="AF447" s="197"/>
      <c r="AG447" s="197"/>
      <c r="AH447" s="197"/>
      <c r="AI447" s="197"/>
      <c r="AJ447" s="12"/>
      <c r="AK447" s="12"/>
      <c r="AL447" s="12"/>
      <c r="AM447" s="12"/>
      <c r="AN447" s="12"/>
      <c r="AO447" s="12"/>
      <c r="AP447" s="12"/>
      <c r="AQ447" s="12"/>
      <c r="AR447" s="12"/>
      <c r="AS447" s="12"/>
      <c r="AT447" s="12"/>
    </row>
    <row r="448" spans="1:46" x14ac:dyDescent="0.25">
      <c r="A448" s="12"/>
      <c r="B448" s="12"/>
      <c r="C448" s="12"/>
      <c r="D448" s="12"/>
      <c r="E448" s="12"/>
      <c r="F448" s="12"/>
      <c r="G448" s="12"/>
      <c r="H448" s="12"/>
      <c r="I448" s="21" t="str">
        <f>IF(COUNTA('[1]Virus production'!A434)=1,('[1]Virus production'!A434),"")</f>
        <v/>
      </c>
      <c r="J448" s="12"/>
      <c r="L448" s="383">
        <v>45594</v>
      </c>
      <c r="M448" s="12">
        <v>2</v>
      </c>
      <c r="N448" s="197">
        <f t="shared" si="48"/>
        <v>45594</v>
      </c>
      <c r="O448" s="197">
        <f t="shared" si="44"/>
        <v>45566</v>
      </c>
      <c r="P448" s="384">
        <f t="shared" si="45"/>
        <v>2</v>
      </c>
      <c r="Q448" s="384">
        <f t="shared" si="46"/>
        <v>2566</v>
      </c>
      <c r="R448" s="12">
        <f t="shared" si="50"/>
        <v>1455</v>
      </c>
      <c r="S448" s="12"/>
      <c r="T448" s="12"/>
      <c r="U448" s="12"/>
      <c r="V448" s="12"/>
      <c r="W448" s="12"/>
      <c r="X448" s="12"/>
      <c r="Y448" s="12"/>
      <c r="Z448" s="12"/>
      <c r="AA448" s="12"/>
      <c r="AB448" s="12"/>
      <c r="AD448" s="31"/>
      <c r="AE448" s="12"/>
      <c r="AF448" s="197"/>
      <c r="AG448" s="197"/>
      <c r="AH448" s="197"/>
      <c r="AI448" s="197"/>
      <c r="AJ448" s="12"/>
      <c r="AK448" s="12"/>
      <c r="AL448" s="12"/>
      <c r="AM448" s="12"/>
      <c r="AN448" s="12"/>
      <c r="AO448" s="12"/>
      <c r="AP448" s="12"/>
      <c r="AQ448" s="12"/>
      <c r="AR448" s="12"/>
      <c r="AS448" s="12"/>
      <c r="AT448" s="12"/>
    </row>
    <row r="449" spans="1:46" x14ac:dyDescent="0.25">
      <c r="A449" s="12"/>
      <c r="B449" s="12"/>
      <c r="C449" s="12"/>
      <c r="D449" s="12"/>
      <c r="E449" s="12"/>
      <c r="F449" s="12"/>
      <c r="G449" s="12"/>
      <c r="H449" s="12"/>
      <c r="I449" s="21" t="str">
        <f>IF(COUNTA('[1]Virus production'!A435)=1,('[1]Virus production'!A435),"")</f>
        <v/>
      </c>
      <c r="J449" s="12"/>
      <c r="L449" s="383">
        <v>45595</v>
      </c>
      <c r="M449" s="12">
        <v>4</v>
      </c>
      <c r="N449" s="197">
        <f t="shared" si="48"/>
        <v>45595</v>
      </c>
      <c r="O449" s="197">
        <f t="shared" si="44"/>
        <v>45566</v>
      </c>
      <c r="P449" s="384">
        <f t="shared" si="45"/>
        <v>4</v>
      </c>
      <c r="Q449" s="384">
        <f t="shared" si="46"/>
        <v>2567</v>
      </c>
      <c r="R449" s="12">
        <f t="shared" si="50"/>
        <v>1459</v>
      </c>
      <c r="S449" s="12"/>
      <c r="T449" s="12"/>
      <c r="U449" s="12"/>
      <c r="V449" s="12"/>
      <c r="W449" s="12"/>
      <c r="X449" s="12"/>
      <c r="Y449" s="12"/>
      <c r="Z449" s="12"/>
      <c r="AA449" s="12"/>
      <c r="AB449" s="12"/>
      <c r="AD449" s="31"/>
      <c r="AE449" s="12"/>
      <c r="AF449" s="197"/>
      <c r="AG449" s="197"/>
      <c r="AH449" s="197"/>
      <c r="AI449" s="197"/>
      <c r="AJ449" s="12"/>
      <c r="AK449" s="12"/>
      <c r="AL449" s="12"/>
      <c r="AM449" s="12"/>
      <c r="AN449" s="12"/>
      <c r="AO449" s="12"/>
      <c r="AP449" s="12"/>
      <c r="AQ449" s="12"/>
      <c r="AR449" s="12"/>
      <c r="AS449" s="12"/>
      <c r="AT449" s="12"/>
    </row>
    <row r="450" spans="1:46" x14ac:dyDescent="0.25">
      <c r="A450" s="12"/>
      <c r="B450" s="12"/>
      <c r="C450" s="12"/>
      <c r="D450" s="12"/>
      <c r="E450" s="12"/>
      <c r="F450" s="12"/>
      <c r="G450" s="12"/>
      <c r="H450" s="12"/>
      <c r="I450" s="21" t="str">
        <f>IF(COUNTA('[1]Virus production'!A436)=1,('[1]Virus production'!A436),"")</f>
        <v/>
      </c>
      <c r="J450" s="12"/>
      <c r="L450" s="383">
        <v>45596</v>
      </c>
      <c r="M450" s="12">
        <v>2</v>
      </c>
      <c r="N450" s="197">
        <f t="shared" si="48"/>
        <v>45596</v>
      </c>
      <c r="O450" s="197">
        <f t="shared" si="44"/>
        <v>45566</v>
      </c>
      <c r="P450" s="384">
        <f t="shared" si="45"/>
        <v>2</v>
      </c>
      <c r="Q450" s="384">
        <f t="shared" si="46"/>
        <v>2568</v>
      </c>
      <c r="R450" s="12">
        <f t="shared" si="50"/>
        <v>1461</v>
      </c>
      <c r="S450" s="12"/>
      <c r="T450" s="12"/>
      <c r="U450" s="12"/>
      <c r="V450" s="12"/>
      <c r="W450" s="12"/>
      <c r="X450" s="12"/>
      <c r="Y450" s="12"/>
      <c r="Z450" s="12"/>
      <c r="AA450" s="12"/>
      <c r="AB450" s="12"/>
      <c r="AD450" s="31"/>
      <c r="AE450" s="12"/>
      <c r="AF450" s="197"/>
      <c r="AG450" s="197"/>
      <c r="AH450" s="197"/>
      <c r="AI450" s="197"/>
      <c r="AJ450" s="12"/>
      <c r="AK450" s="12"/>
      <c r="AL450" s="12"/>
      <c r="AM450" s="12"/>
      <c r="AN450" s="12"/>
      <c r="AO450" s="12"/>
      <c r="AP450" s="12"/>
      <c r="AQ450" s="12"/>
      <c r="AR450" s="12"/>
      <c r="AS450" s="12"/>
      <c r="AT450" s="12"/>
    </row>
    <row r="451" spans="1:46" x14ac:dyDescent="0.25">
      <c r="A451" s="12"/>
      <c r="B451" s="12"/>
      <c r="C451" s="12"/>
      <c r="D451" s="12"/>
      <c r="E451" s="12"/>
      <c r="F451" s="12"/>
      <c r="G451" s="12"/>
      <c r="H451" s="12"/>
      <c r="I451" s="21" t="str">
        <f>IF(COUNTA('[1]Virus production'!A437)=1,('[1]Virus production'!A437),"")</f>
        <v/>
      </c>
      <c r="J451" s="12"/>
      <c r="L451" s="383">
        <v>45604</v>
      </c>
      <c r="M451" s="12">
        <v>1</v>
      </c>
      <c r="N451" s="197">
        <f t="shared" si="48"/>
        <v>45604</v>
      </c>
      <c r="O451" s="197">
        <f t="shared" si="44"/>
        <v>45597</v>
      </c>
      <c r="P451" s="384">
        <f t="shared" si="45"/>
        <v>1</v>
      </c>
      <c r="Q451" s="384">
        <f t="shared" si="46"/>
        <v>2576</v>
      </c>
      <c r="R451" s="12">
        <f t="shared" si="50"/>
        <v>1462</v>
      </c>
      <c r="S451" s="12"/>
      <c r="T451" s="12"/>
      <c r="U451" s="12"/>
      <c r="V451" s="12"/>
      <c r="W451" s="12"/>
      <c r="X451" s="12"/>
      <c r="Y451" s="12"/>
      <c r="Z451" s="12"/>
      <c r="AA451" s="12"/>
      <c r="AB451" s="12"/>
      <c r="AD451" s="31"/>
      <c r="AE451" s="12"/>
      <c r="AF451" s="197"/>
      <c r="AG451" s="197"/>
      <c r="AH451" s="197"/>
      <c r="AI451" s="197"/>
      <c r="AJ451" s="12"/>
      <c r="AK451" s="12"/>
      <c r="AL451" s="12"/>
      <c r="AM451" s="12"/>
      <c r="AN451" s="12"/>
      <c r="AO451" s="12"/>
      <c r="AP451" s="12"/>
      <c r="AQ451" s="12"/>
      <c r="AR451" s="12"/>
      <c r="AS451" s="12"/>
      <c r="AT451" s="12"/>
    </row>
    <row r="452" spans="1:46" x14ac:dyDescent="0.25">
      <c r="A452" s="12"/>
      <c r="B452" s="12"/>
      <c r="C452" s="12"/>
      <c r="D452" s="12"/>
      <c r="E452" s="12"/>
      <c r="F452" s="12"/>
      <c r="G452" s="12"/>
      <c r="H452" s="12"/>
      <c r="I452" s="21" t="str">
        <f>IF(COUNTA('[1]Virus production'!A438)=1,('[1]Virus production'!A438),"")</f>
        <v/>
      </c>
      <c r="J452" s="12"/>
      <c r="L452" s="383">
        <v>45607</v>
      </c>
      <c r="M452" s="12">
        <v>3</v>
      </c>
      <c r="N452" s="197">
        <f t="shared" si="48"/>
        <v>45607</v>
      </c>
      <c r="O452" s="197">
        <f t="shared" si="44"/>
        <v>45597</v>
      </c>
      <c r="P452" s="384">
        <f t="shared" si="45"/>
        <v>3</v>
      </c>
      <c r="Q452" s="384">
        <f t="shared" si="46"/>
        <v>2579</v>
      </c>
      <c r="R452" s="12">
        <f t="shared" si="50"/>
        <v>1465</v>
      </c>
      <c r="S452" s="12"/>
      <c r="T452" s="12"/>
      <c r="U452" s="12"/>
      <c r="V452" s="12"/>
      <c r="W452" s="12"/>
      <c r="X452" s="12"/>
      <c r="Y452" s="12"/>
      <c r="Z452" s="12"/>
      <c r="AA452" s="12"/>
      <c r="AB452" s="12"/>
      <c r="AD452" s="31"/>
      <c r="AE452" s="12"/>
      <c r="AF452" s="197"/>
      <c r="AG452" s="197"/>
      <c r="AH452" s="197"/>
      <c r="AI452" s="197"/>
      <c r="AJ452" s="12"/>
      <c r="AK452" s="12"/>
      <c r="AL452" s="12"/>
      <c r="AM452" s="12"/>
      <c r="AN452" s="12"/>
      <c r="AO452" s="12"/>
      <c r="AP452" s="12"/>
      <c r="AQ452" s="12"/>
      <c r="AR452" s="12"/>
      <c r="AS452" s="12"/>
      <c r="AT452" s="12"/>
    </row>
    <row r="453" spans="1:46" x14ac:dyDescent="0.25">
      <c r="A453" s="12"/>
      <c r="B453" s="12"/>
      <c r="C453" s="12"/>
      <c r="D453" s="12"/>
      <c r="E453" s="12"/>
      <c r="F453" s="12"/>
      <c r="G453" s="12"/>
      <c r="H453" s="12"/>
      <c r="I453" s="21" t="str">
        <f>IF(COUNTA('[1]Virus production'!A439)=1,('[1]Virus production'!A439),"")</f>
        <v/>
      </c>
      <c r="J453" s="12"/>
      <c r="L453" s="31" t="s">
        <v>3158</v>
      </c>
      <c r="M453" s="12">
        <v>1465</v>
      </c>
      <c r="N453" s="197"/>
      <c r="O453" s="197"/>
      <c r="P453" s="384"/>
      <c r="Q453" s="384"/>
      <c r="R453" s="12"/>
      <c r="S453" s="12"/>
      <c r="T453" s="12"/>
      <c r="U453" s="12"/>
      <c r="V453" s="12"/>
      <c r="W453" s="12"/>
      <c r="X453" s="12"/>
      <c r="Y453" s="12"/>
      <c r="Z453" s="12"/>
      <c r="AA453" s="12"/>
      <c r="AB453" s="12"/>
      <c r="AD453" s="31"/>
      <c r="AE453" s="12"/>
      <c r="AF453" s="197"/>
      <c r="AG453" s="197"/>
      <c r="AH453" s="197"/>
      <c r="AI453" s="197"/>
      <c r="AJ453" s="12"/>
      <c r="AK453" s="12"/>
      <c r="AL453" s="12"/>
      <c r="AM453" s="12"/>
      <c r="AN453" s="12"/>
      <c r="AO453" s="12"/>
      <c r="AP453" s="12"/>
      <c r="AQ453" s="12"/>
      <c r="AR453" s="12"/>
      <c r="AS453" s="12"/>
      <c r="AT453" s="12"/>
    </row>
    <row r="454" spans="1:46" x14ac:dyDescent="0.25">
      <c r="A454" s="12"/>
      <c r="B454" s="12"/>
      <c r="C454" s="12"/>
      <c r="D454" s="12"/>
      <c r="E454" s="12"/>
      <c r="F454" s="12"/>
      <c r="G454" s="12"/>
      <c r="H454" s="12"/>
      <c r="I454" s="21" t="str">
        <f>IF(COUNTA('[1]Virus production'!A440)=1,('[1]Virus production'!A440),"")</f>
        <v/>
      </c>
      <c r="J454" s="12"/>
      <c r="L454" s="12"/>
      <c r="M454" s="12"/>
      <c r="N454" s="12"/>
      <c r="O454" s="12"/>
      <c r="P454" s="12"/>
      <c r="Q454" s="12"/>
      <c r="R454" s="12"/>
      <c r="S454" s="12"/>
      <c r="T454" s="12"/>
      <c r="U454" s="12"/>
      <c r="V454" s="12"/>
      <c r="W454" s="12"/>
      <c r="X454" s="12"/>
      <c r="Y454" s="12"/>
      <c r="Z454" s="12"/>
      <c r="AA454" s="12"/>
      <c r="AB454" s="12"/>
      <c r="AD454" s="31"/>
      <c r="AE454" s="12"/>
      <c r="AF454" s="12"/>
      <c r="AG454" s="12"/>
      <c r="AH454" s="12"/>
      <c r="AI454" s="12"/>
      <c r="AJ454" s="12"/>
      <c r="AK454" s="12"/>
      <c r="AL454" s="12"/>
      <c r="AM454" s="12"/>
      <c r="AN454" s="12"/>
      <c r="AO454" s="12"/>
      <c r="AP454" s="12"/>
      <c r="AQ454" s="12"/>
      <c r="AR454" s="12"/>
      <c r="AS454" s="12"/>
      <c r="AT454" s="12"/>
    </row>
    <row r="455" spans="1:46" x14ac:dyDescent="0.25">
      <c r="A455" s="12"/>
      <c r="B455" s="12"/>
      <c r="C455" s="12"/>
      <c r="D455" s="12"/>
      <c r="E455" s="12"/>
      <c r="F455" s="12"/>
      <c r="G455" s="12"/>
      <c r="H455" s="12"/>
      <c r="I455" s="21" t="str">
        <f>IF(COUNTA('[1]Virus production'!A441)=1,('[1]Virus production'!A441),"")</f>
        <v/>
      </c>
      <c r="J455" s="12"/>
      <c r="L455" s="12"/>
      <c r="M455" s="12"/>
      <c r="N455" s="12"/>
      <c r="O455" s="12"/>
      <c r="P455" s="12"/>
      <c r="Q455" s="12"/>
      <c r="R455" s="12"/>
      <c r="S455" s="12"/>
      <c r="T455" s="12"/>
      <c r="U455" s="12"/>
      <c r="V455" s="12"/>
      <c r="W455" s="12"/>
      <c r="X455" s="12"/>
      <c r="Y455" s="12"/>
      <c r="Z455" s="12"/>
      <c r="AA455" s="12"/>
      <c r="AB455" s="12"/>
      <c r="AD455" s="31"/>
      <c r="AE455" s="12"/>
      <c r="AF455" s="12"/>
      <c r="AG455" s="12"/>
      <c r="AH455" s="12"/>
      <c r="AI455" s="12"/>
      <c r="AJ455" s="12"/>
      <c r="AK455" s="12"/>
      <c r="AL455" s="12"/>
      <c r="AM455" s="12"/>
      <c r="AN455" s="12"/>
      <c r="AO455" s="12"/>
      <c r="AP455" s="12"/>
      <c r="AQ455" s="12"/>
      <c r="AR455" s="12"/>
      <c r="AS455" s="12"/>
      <c r="AT455" s="12"/>
    </row>
    <row r="456" spans="1:46" x14ac:dyDescent="0.25">
      <c r="A456" s="12"/>
      <c r="B456" s="12"/>
      <c r="C456" s="12"/>
      <c r="D456" s="12"/>
      <c r="E456" s="12"/>
      <c r="F456" s="12"/>
      <c r="G456" s="12"/>
      <c r="H456" s="12"/>
      <c r="I456" s="21" t="str">
        <f>IF(COUNTA('[1]Virus production'!A442)=1,('[1]Virus production'!A442),"")</f>
        <v/>
      </c>
      <c r="J456" s="12"/>
      <c r="L456" s="12"/>
      <c r="M456" s="12"/>
      <c r="N456" s="12"/>
      <c r="O456" s="12"/>
      <c r="P456" s="12"/>
      <c r="Q456" s="12"/>
      <c r="R456" s="12"/>
      <c r="S456" s="12"/>
      <c r="T456" s="12"/>
      <c r="U456" s="12"/>
      <c r="V456" s="12"/>
      <c r="W456" s="12"/>
      <c r="X456" s="12"/>
      <c r="Y456" s="12"/>
      <c r="Z456" s="12"/>
      <c r="AA456" s="12"/>
      <c r="AB456" s="12"/>
      <c r="AD456" s="31"/>
      <c r="AE456" s="12"/>
      <c r="AF456" s="12"/>
      <c r="AG456" s="12"/>
      <c r="AH456" s="12"/>
      <c r="AI456" s="12"/>
      <c r="AJ456" s="12"/>
      <c r="AK456" s="12"/>
      <c r="AL456" s="12"/>
      <c r="AM456" s="12"/>
      <c r="AN456" s="12"/>
      <c r="AO456" s="12"/>
      <c r="AP456" s="12"/>
      <c r="AQ456" s="12"/>
      <c r="AR456" s="12"/>
      <c r="AS456" s="12"/>
      <c r="AT456" s="12"/>
    </row>
    <row r="457" spans="1:46" x14ac:dyDescent="0.25">
      <c r="A457" s="12"/>
      <c r="B457" s="12"/>
      <c r="C457" s="12"/>
      <c r="D457" s="12"/>
      <c r="E457" s="12"/>
      <c r="F457" s="12"/>
      <c r="G457" s="12"/>
      <c r="H457" s="12"/>
      <c r="I457" s="21" t="str">
        <f>IF(COUNTA('[1]Virus production'!A443)=1,('[1]Virus production'!A443),"")</f>
        <v>Back log</v>
      </c>
      <c r="J457" s="12"/>
      <c r="L457" s="12"/>
      <c r="M457" s="12"/>
      <c r="N457" s="12"/>
      <c r="O457" s="12"/>
      <c r="P457" s="12"/>
      <c r="Q457" s="12"/>
      <c r="R457" s="12"/>
      <c r="S457" s="12"/>
      <c r="T457" s="12"/>
      <c r="U457" s="12"/>
      <c r="V457" s="12"/>
      <c r="W457" s="12"/>
      <c r="X457" s="12"/>
      <c r="Y457" s="12"/>
      <c r="Z457" s="12"/>
      <c r="AA457" s="12"/>
      <c r="AB457" s="12"/>
      <c r="AD457" s="31"/>
      <c r="AE457" s="12"/>
      <c r="AF457" s="12"/>
      <c r="AG457" s="12"/>
      <c r="AH457" s="12"/>
      <c r="AI457" s="12"/>
      <c r="AJ457" s="12"/>
      <c r="AK457" s="12"/>
      <c r="AL457" s="12"/>
      <c r="AM457" s="12"/>
      <c r="AN457" s="12"/>
      <c r="AO457" s="12"/>
      <c r="AP457" s="12"/>
      <c r="AQ457" s="12"/>
      <c r="AR457" s="12"/>
      <c r="AS457" s="12"/>
      <c r="AT457" s="12"/>
    </row>
    <row r="458" spans="1:46" x14ac:dyDescent="0.25">
      <c r="A458" s="12"/>
      <c r="B458" s="12"/>
      <c r="C458" s="12"/>
      <c r="D458" s="12"/>
      <c r="E458" s="12"/>
      <c r="F458" s="12"/>
      <c r="G458" s="12"/>
      <c r="H458" s="12"/>
      <c r="I458" s="21" t="str">
        <f>IF(COUNTA('[1]Virus production'!A444)=1,('[1]Virus production'!A444),"")</f>
        <v/>
      </c>
      <c r="J458" s="12"/>
      <c r="L458" s="12"/>
      <c r="M458" s="12"/>
      <c r="N458" s="12"/>
      <c r="O458" s="12"/>
      <c r="P458" s="12"/>
      <c r="Q458" s="12"/>
      <c r="R458" s="12"/>
      <c r="S458" s="12"/>
      <c r="T458" s="12"/>
      <c r="U458" s="12"/>
      <c r="V458" s="12"/>
      <c r="W458" s="12"/>
      <c r="X458" s="12"/>
      <c r="Y458" s="12"/>
      <c r="Z458" s="12"/>
      <c r="AA458" s="12"/>
      <c r="AB458" s="12"/>
      <c r="AD458" s="31"/>
      <c r="AE458" s="12"/>
      <c r="AF458" s="12"/>
      <c r="AG458" s="12"/>
      <c r="AH458" s="12"/>
      <c r="AI458" s="12"/>
      <c r="AJ458" s="12"/>
      <c r="AK458" s="12"/>
      <c r="AL458" s="12"/>
      <c r="AM458" s="12"/>
      <c r="AN458" s="12"/>
      <c r="AO458" s="12"/>
      <c r="AP458" s="12"/>
      <c r="AQ458" s="12"/>
      <c r="AR458" s="12"/>
      <c r="AS458" s="12"/>
      <c r="AT458" s="12"/>
    </row>
    <row r="459" spans="1:46" x14ac:dyDescent="0.25">
      <c r="A459" s="12"/>
      <c r="B459" s="12"/>
      <c r="C459" s="12"/>
      <c r="D459" s="12"/>
      <c r="E459" s="12"/>
      <c r="F459" s="12"/>
      <c r="G459" s="12"/>
      <c r="H459" s="12"/>
      <c r="I459" s="21" t="str">
        <f>IF(COUNTA('[1]Virus production'!A445)=1,('[1]Virus production'!A445),"")</f>
        <v/>
      </c>
      <c r="J459" s="12"/>
      <c r="L459" s="12"/>
      <c r="M459" s="12"/>
      <c r="N459" s="12"/>
      <c r="O459" s="12"/>
      <c r="P459" s="12"/>
      <c r="Q459" s="12"/>
      <c r="R459" s="12"/>
      <c r="S459" s="12"/>
      <c r="T459" s="12"/>
      <c r="U459" s="12"/>
      <c r="V459" s="12"/>
      <c r="W459" s="12"/>
      <c r="X459" s="12"/>
      <c r="Y459" s="12"/>
      <c r="Z459" s="12"/>
      <c r="AA459" s="12"/>
      <c r="AB459" s="12"/>
      <c r="AD459" s="31"/>
      <c r="AE459" s="12"/>
      <c r="AF459" s="12"/>
      <c r="AG459" s="12"/>
      <c r="AH459" s="12"/>
      <c r="AI459" s="12"/>
      <c r="AJ459" s="12"/>
      <c r="AK459" s="12"/>
      <c r="AL459" s="12"/>
      <c r="AM459" s="12"/>
      <c r="AN459" s="12"/>
      <c r="AO459" s="12"/>
      <c r="AP459" s="12"/>
      <c r="AQ459" s="12"/>
      <c r="AR459" s="12"/>
      <c r="AS459" s="12"/>
      <c r="AT459" s="12"/>
    </row>
    <row r="460" spans="1:46" x14ac:dyDescent="0.25">
      <c r="A460" s="12"/>
      <c r="B460" s="12"/>
      <c r="C460" s="12"/>
      <c r="D460" s="12"/>
      <c r="E460" s="12"/>
      <c r="F460" s="12"/>
      <c r="G460" s="12"/>
      <c r="H460" s="12"/>
      <c r="I460" s="21" t="str">
        <f>IF(COUNTA('[1]Virus production'!A446)=1,('[1]Virus production'!A446),"")</f>
        <v/>
      </c>
      <c r="J460" s="12"/>
      <c r="L460" s="12"/>
      <c r="M460" s="12"/>
      <c r="N460" s="12"/>
      <c r="O460" s="12"/>
      <c r="P460" s="12"/>
      <c r="Q460" s="12"/>
      <c r="R460" s="12"/>
      <c r="S460" s="12"/>
      <c r="T460" s="12"/>
      <c r="U460" s="12"/>
      <c r="V460" s="12"/>
      <c r="W460" s="12"/>
      <c r="X460" s="12"/>
      <c r="Y460" s="12"/>
      <c r="Z460" s="12"/>
      <c r="AA460" s="12"/>
      <c r="AB460" s="12"/>
      <c r="AD460" s="31"/>
      <c r="AE460" s="12"/>
      <c r="AF460" s="12"/>
      <c r="AG460" s="12"/>
      <c r="AH460" s="12"/>
      <c r="AI460" s="12"/>
      <c r="AJ460" s="12"/>
      <c r="AK460" s="12"/>
      <c r="AL460" s="12"/>
      <c r="AM460" s="12"/>
      <c r="AN460" s="12"/>
      <c r="AO460" s="12"/>
      <c r="AP460" s="12"/>
      <c r="AQ460" s="12"/>
      <c r="AR460" s="12"/>
      <c r="AS460" s="12"/>
      <c r="AT460" s="12"/>
    </row>
    <row r="461" spans="1:46" x14ac:dyDescent="0.25">
      <c r="A461" s="12"/>
      <c r="B461" s="12"/>
      <c r="C461" s="12"/>
      <c r="D461" s="12"/>
      <c r="E461" s="12"/>
      <c r="F461" s="12"/>
      <c r="G461" s="12"/>
      <c r="H461" s="12"/>
      <c r="I461" s="21" t="str">
        <f>IF(COUNTA('[1]Virus production'!A447)=1,('[1]Virus production'!A447),"")</f>
        <v/>
      </c>
      <c r="J461" s="12"/>
      <c r="L461" s="12"/>
      <c r="M461" s="12"/>
      <c r="N461" s="12"/>
      <c r="O461" s="12"/>
      <c r="P461" s="12"/>
      <c r="Q461" s="12"/>
      <c r="R461" s="12"/>
      <c r="S461" s="12"/>
      <c r="T461" s="12"/>
      <c r="U461" s="12"/>
      <c r="V461" s="12"/>
      <c r="W461" s="12"/>
      <c r="X461" s="12"/>
      <c r="Y461" s="12"/>
      <c r="Z461" s="12"/>
      <c r="AA461" s="12"/>
      <c r="AB461" s="12"/>
      <c r="AD461" s="31"/>
      <c r="AE461" s="12"/>
      <c r="AF461" s="12"/>
      <c r="AG461" s="12"/>
      <c r="AH461" s="12"/>
      <c r="AI461" s="12"/>
      <c r="AJ461" s="12"/>
      <c r="AK461" s="12"/>
      <c r="AL461" s="12"/>
      <c r="AM461" s="12"/>
      <c r="AN461" s="12"/>
      <c r="AO461" s="12"/>
      <c r="AP461" s="12"/>
      <c r="AQ461" s="12"/>
      <c r="AR461" s="12"/>
      <c r="AS461" s="12"/>
      <c r="AT461" s="12"/>
    </row>
    <row r="462" spans="1:46" x14ac:dyDescent="0.25">
      <c r="A462" s="12"/>
      <c r="B462" s="12"/>
      <c r="C462" s="12"/>
      <c r="D462" s="12"/>
      <c r="E462" s="12"/>
      <c r="F462" s="12"/>
      <c r="G462" s="12"/>
      <c r="H462" s="12"/>
      <c r="I462" s="21" t="str">
        <f>IF(COUNTA('[1]Virus production'!A448)=1,('[1]Virus production'!A448),"")</f>
        <v/>
      </c>
      <c r="J462" s="12"/>
      <c r="L462" s="12"/>
      <c r="M462" s="12"/>
      <c r="N462" s="12"/>
      <c r="O462" s="12"/>
      <c r="P462" s="12"/>
      <c r="Q462" s="12"/>
      <c r="R462" s="12"/>
      <c r="S462" s="12"/>
      <c r="T462" s="12"/>
      <c r="U462" s="12"/>
      <c r="V462" s="12"/>
      <c r="W462" s="12"/>
      <c r="X462" s="12"/>
      <c r="Y462" s="12"/>
      <c r="Z462" s="12"/>
      <c r="AA462" s="12"/>
      <c r="AB462" s="12"/>
      <c r="AD462" s="31"/>
      <c r="AE462" s="12"/>
      <c r="AF462" s="12"/>
      <c r="AG462" s="12"/>
      <c r="AH462" s="12"/>
      <c r="AI462" s="12"/>
      <c r="AJ462" s="12"/>
      <c r="AK462" s="12"/>
      <c r="AL462" s="12"/>
      <c r="AM462" s="12"/>
      <c r="AN462" s="12"/>
      <c r="AO462" s="12"/>
      <c r="AP462" s="12"/>
      <c r="AQ462" s="12"/>
      <c r="AR462" s="12"/>
      <c r="AS462" s="12"/>
      <c r="AT462" s="12"/>
    </row>
    <row r="463" spans="1:46" x14ac:dyDescent="0.25">
      <c r="A463" s="12"/>
      <c r="B463" s="12"/>
      <c r="C463" s="12"/>
      <c r="D463" s="12"/>
      <c r="E463" s="12"/>
      <c r="F463" s="12"/>
      <c r="G463" s="12"/>
      <c r="H463" s="12"/>
      <c r="I463" s="21" t="str">
        <f>IF(COUNTA('[1]Virus production'!A449)=1,('[1]Virus production'!A449),"")</f>
        <v/>
      </c>
      <c r="J463" s="12"/>
      <c r="L463" s="12"/>
      <c r="M463" s="12"/>
      <c r="N463" s="12"/>
      <c r="O463" s="12"/>
      <c r="P463" s="12"/>
      <c r="Q463" s="12"/>
      <c r="R463" s="12"/>
      <c r="S463" s="12"/>
      <c r="T463" s="12"/>
      <c r="U463" s="12"/>
      <c r="V463" s="12"/>
      <c r="W463" s="12"/>
      <c r="X463" s="12"/>
      <c r="Y463" s="12"/>
      <c r="Z463" s="12"/>
      <c r="AA463" s="12"/>
      <c r="AB463" s="12"/>
      <c r="AD463" s="31"/>
      <c r="AE463" s="12"/>
      <c r="AF463" s="12"/>
      <c r="AG463" s="12"/>
      <c r="AH463" s="12"/>
      <c r="AI463" s="12"/>
      <c r="AJ463" s="12"/>
      <c r="AK463" s="12"/>
      <c r="AL463" s="12"/>
      <c r="AM463" s="12"/>
      <c r="AN463" s="12"/>
      <c r="AO463" s="12"/>
      <c r="AP463" s="12"/>
      <c r="AQ463" s="12"/>
      <c r="AR463" s="12"/>
      <c r="AS463" s="12"/>
      <c r="AT463" s="12"/>
    </row>
    <row r="464" spans="1:46" x14ac:dyDescent="0.25">
      <c r="A464" s="12"/>
      <c r="B464" s="12"/>
      <c r="C464" s="12"/>
      <c r="D464" s="12"/>
      <c r="E464" s="12"/>
      <c r="F464" s="12"/>
      <c r="G464" s="12"/>
      <c r="H464" s="12"/>
      <c r="I464" s="21" t="str">
        <f>IF(COUNTA('[1]Virus production'!A450)=1,('[1]Virus production'!A450),"")</f>
        <v/>
      </c>
      <c r="J464" s="12"/>
      <c r="L464" s="12"/>
      <c r="M464" s="12"/>
      <c r="N464" s="12"/>
      <c r="O464" s="12"/>
      <c r="P464" s="12"/>
      <c r="Q464" s="12"/>
      <c r="R464" s="12"/>
      <c r="S464" s="12"/>
      <c r="T464" s="12"/>
      <c r="U464" s="12"/>
      <c r="V464" s="12"/>
      <c r="W464" s="12"/>
      <c r="X464" s="12"/>
      <c r="Y464" s="12"/>
      <c r="Z464" s="12"/>
      <c r="AA464" s="12"/>
      <c r="AB464" s="12"/>
      <c r="AD464" s="31"/>
      <c r="AE464" s="12"/>
      <c r="AF464" s="12"/>
      <c r="AG464" s="12"/>
      <c r="AH464" s="12"/>
      <c r="AI464" s="12"/>
      <c r="AJ464" s="12"/>
      <c r="AK464" s="12"/>
      <c r="AL464" s="12"/>
      <c r="AM464" s="12"/>
      <c r="AN464" s="12"/>
      <c r="AO464" s="12"/>
      <c r="AP464" s="12"/>
      <c r="AQ464" s="12"/>
      <c r="AR464" s="12"/>
      <c r="AS464" s="12"/>
      <c r="AT464" s="12"/>
    </row>
    <row r="465" spans="1:46" x14ac:dyDescent="0.25">
      <c r="A465" s="12"/>
      <c r="B465" s="12"/>
      <c r="C465" s="12"/>
      <c r="D465" s="12"/>
      <c r="E465" s="12"/>
      <c r="F465" s="12"/>
      <c r="G465" s="12"/>
      <c r="H465" s="12"/>
      <c r="I465" s="21" t="str">
        <f>IF(COUNTA('[1]Virus production'!A451)=1,('[1]Virus production'!A451),"")</f>
        <v/>
      </c>
      <c r="J465" s="12"/>
      <c r="L465" s="12"/>
      <c r="M465" s="12"/>
      <c r="N465" s="12"/>
      <c r="O465" s="12"/>
      <c r="P465" s="12"/>
      <c r="Q465" s="12"/>
      <c r="R465" s="12"/>
      <c r="S465" s="12"/>
      <c r="T465" s="12"/>
      <c r="U465" s="12"/>
      <c r="V465" s="12"/>
      <c r="W465" s="12"/>
      <c r="X465" s="12"/>
      <c r="Y465" s="12"/>
      <c r="Z465" s="12"/>
      <c r="AA465" s="12"/>
      <c r="AB465" s="12"/>
      <c r="AD465" s="31"/>
      <c r="AE465" s="12"/>
      <c r="AF465" s="12"/>
      <c r="AG465" s="12"/>
      <c r="AH465" s="12"/>
      <c r="AI465" s="12"/>
      <c r="AJ465" s="12"/>
      <c r="AK465" s="12"/>
      <c r="AL465" s="12"/>
      <c r="AM465" s="12"/>
      <c r="AN465" s="12"/>
      <c r="AO465" s="12"/>
      <c r="AP465" s="12"/>
      <c r="AQ465" s="12"/>
      <c r="AR465" s="12"/>
      <c r="AS465" s="12"/>
      <c r="AT465" s="12"/>
    </row>
    <row r="466" spans="1:46" x14ac:dyDescent="0.25">
      <c r="A466" s="12"/>
      <c r="B466" s="12"/>
      <c r="C466" s="12"/>
      <c r="D466" s="12"/>
      <c r="E466" s="12"/>
      <c r="F466" s="12"/>
      <c r="G466" s="12"/>
      <c r="H466" s="12"/>
      <c r="I466" s="21" t="str">
        <f>IF(COUNTA('[1]Virus production'!A452)=1,('[1]Virus production'!A452),"")</f>
        <v/>
      </c>
      <c r="J466" s="12"/>
      <c r="L466" s="12"/>
      <c r="M466" s="12"/>
      <c r="N466" s="12"/>
      <c r="O466" s="12"/>
      <c r="P466" s="12"/>
      <c r="Q466" s="12"/>
      <c r="R466" s="12"/>
      <c r="S466" s="12"/>
      <c r="T466" s="12"/>
      <c r="U466" s="12"/>
      <c r="V466" s="12"/>
      <c r="W466" s="12"/>
      <c r="X466" s="12"/>
      <c r="Y466" s="12"/>
      <c r="Z466" s="12"/>
      <c r="AA466" s="12"/>
      <c r="AB466" s="12"/>
      <c r="AD466" s="31"/>
      <c r="AE466" s="12"/>
      <c r="AF466" s="12"/>
      <c r="AG466" s="12"/>
      <c r="AH466" s="12"/>
      <c r="AI466" s="12"/>
      <c r="AJ466" s="12"/>
      <c r="AK466" s="12"/>
      <c r="AL466" s="12"/>
      <c r="AM466" s="12"/>
      <c r="AN466" s="12"/>
      <c r="AO466" s="12"/>
      <c r="AP466" s="12"/>
      <c r="AQ466" s="12"/>
      <c r="AR466" s="12"/>
      <c r="AS466" s="12"/>
      <c r="AT466" s="12"/>
    </row>
    <row r="467" spans="1:46" x14ac:dyDescent="0.25">
      <c r="A467" s="12"/>
      <c r="B467" s="12"/>
      <c r="C467" s="12"/>
      <c r="D467" s="12"/>
      <c r="E467" s="12"/>
      <c r="F467" s="12"/>
      <c r="G467" s="12"/>
      <c r="H467" s="12"/>
      <c r="I467" s="21" t="str">
        <f>IF(COUNTA('[1]Virus production'!A453)=1,('[1]Virus production'!A453),"")</f>
        <v/>
      </c>
      <c r="J467" s="12"/>
      <c r="L467" s="12"/>
      <c r="M467" s="12"/>
      <c r="N467" s="12"/>
      <c r="O467" s="12"/>
      <c r="P467" s="12"/>
      <c r="Q467" s="12"/>
      <c r="R467" s="12"/>
      <c r="S467" s="12"/>
      <c r="T467" s="12"/>
      <c r="U467" s="12"/>
      <c r="V467" s="12"/>
      <c r="W467" s="12"/>
      <c r="X467" s="12"/>
      <c r="Y467" s="12"/>
      <c r="Z467" s="12"/>
      <c r="AA467" s="12"/>
      <c r="AB467" s="12"/>
      <c r="AD467" s="31"/>
      <c r="AE467" s="12"/>
      <c r="AF467" s="12"/>
      <c r="AG467" s="12"/>
      <c r="AH467" s="12"/>
      <c r="AI467" s="12"/>
      <c r="AJ467" s="12"/>
      <c r="AK467" s="12"/>
      <c r="AL467" s="12"/>
      <c r="AM467" s="12"/>
      <c r="AN467" s="12"/>
      <c r="AO467" s="12"/>
      <c r="AP467" s="12"/>
      <c r="AQ467" s="12"/>
      <c r="AR467" s="12"/>
      <c r="AS467" s="12"/>
      <c r="AT467" s="12"/>
    </row>
    <row r="468" spans="1:46" x14ac:dyDescent="0.25">
      <c r="A468" s="12"/>
      <c r="B468" s="12"/>
      <c r="C468" s="12"/>
      <c r="D468" s="12"/>
      <c r="E468" s="12"/>
      <c r="F468" s="12"/>
      <c r="G468" s="12"/>
      <c r="H468" s="12"/>
      <c r="I468" s="21" t="str">
        <f>IF(COUNTA('[1]Virus production'!A454)=1,('[1]Virus production'!A454),"")</f>
        <v/>
      </c>
      <c r="J468" s="12"/>
      <c r="L468" s="12"/>
      <c r="M468" s="12"/>
      <c r="N468" s="12"/>
      <c r="O468" s="12"/>
      <c r="P468" s="12"/>
      <c r="Q468" s="12"/>
      <c r="R468" s="12"/>
      <c r="S468" s="12"/>
      <c r="T468" s="12"/>
      <c r="U468" s="12"/>
      <c r="V468" s="12"/>
      <c r="W468" s="12"/>
      <c r="X468" s="12"/>
      <c r="Y468" s="12"/>
      <c r="Z468" s="12"/>
      <c r="AA468" s="12"/>
      <c r="AB468" s="12"/>
      <c r="AD468" s="31"/>
      <c r="AE468" s="12"/>
      <c r="AF468" s="12"/>
      <c r="AG468" s="12"/>
      <c r="AH468" s="12"/>
      <c r="AI468" s="12"/>
      <c r="AJ468" s="12"/>
      <c r="AK468" s="12"/>
      <c r="AL468" s="12"/>
      <c r="AM468" s="12"/>
      <c r="AN468" s="12"/>
      <c r="AO468" s="12"/>
      <c r="AP468" s="12"/>
      <c r="AQ468" s="12"/>
      <c r="AR468" s="12"/>
      <c r="AS468" s="12"/>
      <c r="AT468" s="12"/>
    </row>
    <row r="469" spans="1:46" x14ac:dyDescent="0.25">
      <c r="A469" s="12"/>
      <c r="B469" s="12"/>
      <c r="C469" s="12"/>
      <c r="D469" s="12"/>
      <c r="E469" s="12"/>
      <c r="F469" s="12"/>
      <c r="G469" s="12"/>
      <c r="H469" s="12"/>
      <c r="I469" s="21" t="str">
        <f>IF(COUNTA('[1]Virus production'!A455)=1,('[1]Virus production'!A455),"")</f>
        <v/>
      </c>
      <c r="J469" s="12"/>
      <c r="L469" s="12"/>
      <c r="M469" s="12"/>
      <c r="N469" s="12"/>
      <c r="O469" s="12"/>
      <c r="P469" s="12"/>
      <c r="Q469" s="12"/>
      <c r="R469" s="12"/>
      <c r="S469" s="12"/>
      <c r="T469" s="12"/>
      <c r="U469" s="12"/>
      <c r="V469" s="12"/>
      <c r="W469" s="12"/>
      <c r="X469" s="12"/>
      <c r="Y469" s="12"/>
      <c r="Z469" s="12"/>
      <c r="AA469" s="12"/>
      <c r="AB469" s="12"/>
      <c r="AD469" s="31"/>
      <c r="AE469" s="12"/>
      <c r="AF469" s="12"/>
      <c r="AG469" s="12"/>
      <c r="AH469" s="12"/>
      <c r="AI469" s="12"/>
      <c r="AJ469" s="12"/>
      <c r="AK469" s="12"/>
      <c r="AL469" s="12"/>
      <c r="AM469" s="12"/>
      <c r="AN469" s="12"/>
      <c r="AO469" s="12"/>
      <c r="AP469" s="12"/>
      <c r="AQ469" s="12"/>
      <c r="AR469" s="12"/>
      <c r="AS469" s="12"/>
      <c r="AT469" s="12"/>
    </row>
    <row r="470" spans="1:46" x14ac:dyDescent="0.25">
      <c r="A470" s="12"/>
      <c r="B470" s="12"/>
      <c r="C470" s="12"/>
      <c r="D470" s="12"/>
      <c r="E470" s="12"/>
      <c r="F470" s="12"/>
      <c r="G470" s="12"/>
      <c r="H470" s="12"/>
      <c r="I470" s="21" t="str">
        <f>IF(COUNTA('[1]Virus production'!A456)=1,('[1]Virus production'!A456),"")</f>
        <v/>
      </c>
      <c r="J470" s="12"/>
      <c r="L470" s="12"/>
      <c r="M470" s="12"/>
      <c r="N470" s="12"/>
      <c r="O470" s="12"/>
      <c r="P470" s="12"/>
      <c r="Q470" s="12"/>
      <c r="R470" s="12"/>
      <c r="S470" s="12"/>
      <c r="T470" s="12"/>
      <c r="U470" s="12"/>
      <c r="V470" s="12"/>
      <c r="W470" s="12"/>
      <c r="X470" s="12"/>
      <c r="Y470" s="12"/>
      <c r="Z470" s="12"/>
      <c r="AA470" s="12"/>
      <c r="AB470" s="12"/>
      <c r="AD470" s="31"/>
      <c r="AE470" s="12"/>
      <c r="AF470" s="12"/>
      <c r="AG470" s="12"/>
      <c r="AH470" s="12"/>
      <c r="AI470" s="12"/>
      <c r="AJ470" s="12"/>
      <c r="AK470" s="12"/>
      <c r="AL470" s="12"/>
      <c r="AM470" s="12"/>
      <c r="AN470" s="12"/>
      <c r="AO470" s="12"/>
      <c r="AP470" s="12"/>
      <c r="AQ470" s="12"/>
      <c r="AR470" s="12"/>
      <c r="AS470" s="12"/>
      <c r="AT470" s="12"/>
    </row>
    <row r="471" spans="1:46" x14ac:dyDescent="0.25">
      <c r="A471" s="12"/>
      <c r="B471" s="12"/>
      <c r="C471" s="12"/>
      <c r="D471" s="12"/>
      <c r="E471" s="12"/>
      <c r="F471" s="12"/>
      <c r="G471" s="12"/>
      <c r="H471" s="12"/>
      <c r="I471" s="21" t="str">
        <f>IF(COUNTA('[1]Virus production'!A457)=1,('[1]Virus production'!A457),"")</f>
        <v/>
      </c>
      <c r="J471" s="12"/>
      <c r="L471" s="12"/>
      <c r="M471" s="12"/>
      <c r="N471" s="12"/>
      <c r="O471" s="12"/>
      <c r="P471" s="12"/>
      <c r="Q471" s="12"/>
      <c r="R471" s="12"/>
      <c r="S471" s="12"/>
      <c r="T471" s="12"/>
      <c r="U471" s="12"/>
      <c r="V471" s="12"/>
      <c r="W471" s="12"/>
      <c r="X471" s="12"/>
      <c r="Y471" s="12"/>
      <c r="Z471" s="12"/>
      <c r="AA471" s="12"/>
      <c r="AB471" s="12"/>
      <c r="AD471" s="31"/>
      <c r="AE471" s="12"/>
      <c r="AF471" s="12"/>
      <c r="AG471" s="12"/>
      <c r="AH471" s="12"/>
      <c r="AI471" s="12"/>
      <c r="AJ471" s="12"/>
      <c r="AK471" s="12"/>
      <c r="AL471" s="12"/>
      <c r="AM471" s="12"/>
      <c r="AN471" s="12"/>
      <c r="AO471" s="12"/>
      <c r="AP471" s="12"/>
      <c r="AQ471" s="12"/>
      <c r="AR471" s="12"/>
      <c r="AS471" s="12"/>
      <c r="AT471" s="12"/>
    </row>
    <row r="472" spans="1:46" x14ac:dyDescent="0.25">
      <c r="A472" s="12"/>
      <c r="B472" s="12"/>
      <c r="C472" s="12"/>
      <c r="D472" s="12"/>
      <c r="E472" s="12"/>
      <c r="F472" s="12"/>
      <c r="G472" s="12"/>
      <c r="H472" s="12"/>
      <c r="I472" s="21" t="str">
        <f>IF(COUNTA('[1]Virus production'!A458)=1,('[1]Virus production'!A458),"")</f>
        <v/>
      </c>
      <c r="J472" s="12"/>
      <c r="L472" s="12"/>
      <c r="M472" s="12"/>
      <c r="N472" s="12"/>
      <c r="O472" s="12"/>
      <c r="P472" s="12"/>
      <c r="Q472" s="12"/>
      <c r="R472" s="12"/>
      <c r="S472" s="12"/>
      <c r="T472" s="12"/>
      <c r="U472" s="12"/>
      <c r="V472" s="12"/>
      <c r="W472" s="12"/>
      <c r="X472" s="12"/>
      <c r="Y472" s="12"/>
      <c r="Z472" s="12"/>
      <c r="AA472" s="12"/>
      <c r="AB472" s="12"/>
      <c r="AD472" s="31"/>
      <c r="AE472" s="12"/>
      <c r="AF472" s="12"/>
      <c r="AG472" s="12"/>
      <c r="AH472" s="12"/>
      <c r="AI472" s="12"/>
      <c r="AJ472" s="12"/>
      <c r="AK472" s="12"/>
      <c r="AL472" s="12"/>
      <c r="AM472" s="12"/>
      <c r="AN472" s="12"/>
      <c r="AO472" s="12"/>
      <c r="AP472" s="12"/>
      <c r="AQ472" s="12"/>
      <c r="AR472" s="12"/>
      <c r="AS472" s="12"/>
      <c r="AT472" s="12"/>
    </row>
    <row r="473" spans="1:46" x14ac:dyDescent="0.25">
      <c r="A473" s="12"/>
      <c r="B473" s="12"/>
      <c r="C473" s="12"/>
      <c r="D473" s="12"/>
      <c r="E473" s="12"/>
      <c r="F473" s="12"/>
      <c r="G473" s="12"/>
      <c r="H473" s="12"/>
      <c r="I473" s="21" t="str">
        <f>IF(COUNTA('[1]Virus production'!A459)=1,('[1]Virus production'!A459),"")</f>
        <v/>
      </c>
      <c r="J473" s="12"/>
      <c r="L473" s="12"/>
      <c r="M473" s="12"/>
      <c r="N473" s="12"/>
      <c r="O473" s="12"/>
      <c r="P473" s="12"/>
      <c r="Q473" s="12"/>
      <c r="R473" s="12"/>
      <c r="S473" s="12"/>
      <c r="T473" s="12"/>
      <c r="U473" s="12"/>
      <c r="V473" s="12"/>
      <c r="W473" s="12"/>
      <c r="X473" s="12"/>
      <c r="Y473" s="12"/>
      <c r="Z473" s="12"/>
      <c r="AA473" s="12"/>
      <c r="AB473" s="12"/>
      <c r="AD473" s="31"/>
      <c r="AE473" s="12"/>
      <c r="AF473" s="12"/>
      <c r="AG473" s="12"/>
      <c r="AH473" s="12"/>
      <c r="AI473" s="12"/>
      <c r="AJ473" s="12"/>
      <c r="AK473" s="12"/>
      <c r="AL473" s="12"/>
      <c r="AM473" s="12"/>
      <c r="AN473" s="12"/>
      <c r="AO473" s="12"/>
      <c r="AP473" s="12"/>
      <c r="AQ473" s="12"/>
      <c r="AR473" s="12"/>
      <c r="AS473" s="12"/>
      <c r="AT473" s="12"/>
    </row>
    <row r="474" spans="1:46" x14ac:dyDescent="0.25">
      <c r="A474" s="12"/>
      <c r="B474" s="12"/>
      <c r="C474" s="12"/>
      <c r="D474" s="12"/>
      <c r="E474" s="12"/>
      <c r="F474" s="12"/>
      <c r="G474" s="12"/>
      <c r="H474" s="12"/>
      <c r="I474" s="21" t="str">
        <f>IF(COUNTA('[1]Virus production'!A460)=1,('[1]Virus production'!A460),"")</f>
        <v/>
      </c>
      <c r="J474" s="12"/>
      <c r="L474" s="12"/>
      <c r="M474" s="12"/>
      <c r="N474" s="12"/>
      <c r="O474" s="12"/>
      <c r="P474" s="12"/>
      <c r="Q474" s="12"/>
      <c r="R474" s="12"/>
      <c r="S474" s="12"/>
      <c r="T474" s="12"/>
      <c r="U474" s="12"/>
      <c r="V474" s="12"/>
      <c r="W474" s="12"/>
      <c r="X474" s="12"/>
      <c r="Y474" s="12"/>
      <c r="Z474" s="12"/>
      <c r="AA474" s="12"/>
      <c r="AB474" s="12"/>
      <c r="AD474" s="31"/>
      <c r="AE474" s="12"/>
      <c r="AF474" s="12"/>
      <c r="AG474" s="12"/>
      <c r="AH474" s="12"/>
      <c r="AI474" s="12"/>
      <c r="AJ474" s="12"/>
      <c r="AK474" s="12"/>
      <c r="AL474" s="12"/>
      <c r="AM474" s="12"/>
      <c r="AN474" s="12"/>
      <c r="AO474" s="12"/>
      <c r="AP474" s="12"/>
      <c r="AQ474" s="12"/>
      <c r="AR474" s="12"/>
      <c r="AS474" s="12"/>
      <c r="AT474" s="12"/>
    </row>
    <row r="475" spans="1:46" x14ac:dyDescent="0.25">
      <c r="A475" s="12"/>
      <c r="B475" s="12"/>
      <c r="C475" s="12"/>
      <c r="D475" s="12"/>
      <c r="E475" s="12"/>
      <c r="F475" s="12"/>
      <c r="G475" s="12"/>
      <c r="H475" s="12"/>
      <c r="I475" s="21" t="str">
        <f>IF(COUNTA('[1]Virus production'!A461)=1,('[1]Virus production'!A461),"")</f>
        <v/>
      </c>
      <c r="J475" s="12"/>
      <c r="L475" s="12"/>
      <c r="M475" s="12"/>
      <c r="N475" s="12"/>
      <c r="O475" s="12"/>
      <c r="P475" s="12"/>
      <c r="Q475" s="12"/>
      <c r="R475" s="12"/>
      <c r="S475" s="12"/>
      <c r="T475" s="12"/>
      <c r="U475" s="12"/>
      <c r="V475" s="12"/>
      <c r="W475" s="12"/>
      <c r="X475" s="12"/>
      <c r="Y475" s="12"/>
      <c r="Z475" s="12"/>
      <c r="AA475" s="12"/>
      <c r="AB475" s="12"/>
      <c r="AD475" s="31"/>
      <c r="AE475" s="12"/>
      <c r="AF475" s="12"/>
      <c r="AG475" s="12"/>
      <c r="AH475" s="12"/>
      <c r="AI475" s="12"/>
      <c r="AJ475" s="12"/>
      <c r="AK475" s="12"/>
      <c r="AL475" s="12"/>
      <c r="AM475" s="12"/>
      <c r="AN475" s="12"/>
      <c r="AO475" s="12"/>
      <c r="AP475" s="12"/>
      <c r="AQ475" s="12"/>
      <c r="AR475" s="12"/>
      <c r="AS475" s="12"/>
      <c r="AT475" s="12"/>
    </row>
    <row r="476" spans="1:46" x14ac:dyDescent="0.25">
      <c r="A476" s="12"/>
      <c r="B476" s="12"/>
      <c r="C476" s="12"/>
      <c r="D476" s="12"/>
      <c r="E476" s="12"/>
      <c r="F476" s="12"/>
      <c r="G476" s="12"/>
      <c r="H476" s="12"/>
      <c r="I476" s="21" t="str">
        <f>IF(COUNTA('[1]Virus production'!A462)=1,('[1]Virus production'!A462),"")</f>
        <v/>
      </c>
      <c r="J476" s="12"/>
      <c r="L476" s="12"/>
      <c r="M476" s="12"/>
      <c r="N476" s="12"/>
      <c r="O476" s="12"/>
      <c r="P476" s="12"/>
      <c r="Q476" s="12"/>
      <c r="R476" s="12"/>
      <c r="S476" s="12"/>
      <c r="T476" s="12"/>
      <c r="U476" s="12"/>
      <c r="V476" s="12"/>
      <c r="W476" s="12"/>
      <c r="X476" s="12"/>
      <c r="Y476" s="12"/>
      <c r="Z476" s="12"/>
      <c r="AA476" s="12"/>
      <c r="AB476" s="12"/>
      <c r="AD476" s="31"/>
      <c r="AE476" s="12"/>
      <c r="AF476" s="12"/>
      <c r="AG476" s="12"/>
      <c r="AH476" s="12"/>
      <c r="AI476" s="12"/>
      <c r="AJ476" s="12"/>
      <c r="AK476" s="12"/>
      <c r="AL476" s="12"/>
      <c r="AM476" s="12"/>
      <c r="AN476" s="12"/>
      <c r="AO476" s="12"/>
      <c r="AP476" s="12"/>
      <c r="AQ476" s="12"/>
      <c r="AR476" s="12"/>
      <c r="AS476" s="12"/>
      <c r="AT476" s="12"/>
    </row>
    <row r="477" spans="1:46" x14ac:dyDescent="0.25">
      <c r="A477" s="12"/>
      <c r="B477" s="12"/>
      <c r="C477" s="12"/>
      <c r="D477" s="12"/>
      <c r="E477" s="12"/>
      <c r="F477" s="12"/>
      <c r="G477" s="12"/>
      <c r="H477" s="12"/>
      <c r="I477" s="21" t="str">
        <f>IF(COUNTA('[1]Virus production'!A463)=1,('[1]Virus production'!A463),"")</f>
        <v/>
      </c>
      <c r="J477" s="12"/>
      <c r="L477" s="12"/>
      <c r="M477" s="12"/>
      <c r="N477" s="12"/>
      <c r="O477" s="12"/>
      <c r="P477" s="12"/>
      <c r="Q477" s="12"/>
      <c r="R477" s="12"/>
      <c r="S477" s="12"/>
      <c r="T477" s="12"/>
      <c r="U477" s="12"/>
      <c r="V477" s="12"/>
      <c r="W477" s="12"/>
      <c r="X477" s="12"/>
      <c r="Y477" s="12"/>
      <c r="Z477" s="12"/>
      <c r="AA477" s="12"/>
      <c r="AB477" s="12"/>
      <c r="AD477" s="31"/>
      <c r="AE477" s="12"/>
      <c r="AF477" s="12"/>
      <c r="AG477" s="12"/>
      <c r="AH477" s="12"/>
      <c r="AI477" s="12"/>
      <c r="AJ477" s="12"/>
      <c r="AK477" s="12"/>
      <c r="AL477" s="12"/>
      <c r="AM477" s="12"/>
      <c r="AN477" s="12"/>
      <c r="AO477" s="12"/>
      <c r="AP477" s="12"/>
      <c r="AQ477" s="12"/>
      <c r="AR477" s="12"/>
      <c r="AS477" s="12"/>
      <c r="AT477" s="12"/>
    </row>
    <row r="478" spans="1:46" x14ac:dyDescent="0.25">
      <c r="A478" s="12"/>
      <c r="B478" s="12"/>
      <c r="C478" s="12"/>
      <c r="D478" s="12"/>
      <c r="E478" s="12"/>
      <c r="F478" s="12"/>
      <c r="G478" s="12"/>
      <c r="H478" s="12"/>
      <c r="I478" s="21" t="str">
        <f>IF(COUNTA('[1]Virus production'!A464)=1,('[1]Virus production'!A464),"")</f>
        <v/>
      </c>
      <c r="J478" s="12"/>
      <c r="L478" s="12"/>
      <c r="M478" s="12"/>
      <c r="N478" s="12"/>
      <c r="O478" s="12"/>
      <c r="P478" s="12"/>
      <c r="Q478" s="12"/>
      <c r="R478" s="12"/>
      <c r="S478" s="12"/>
      <c r="T478" s="12"/>
      <c r="U478" s="12"/>
      <c r="V478" s="12"/>
      <c r="W478" s="12"/>
      <c r="X478" s="12"/>
      <c r="Y478" s="12"/>
      <c r="Z478" s="12"/>
      <c r="AA478" s="12"/>
      <c r="AB478" s="12"/>
      <c r="AD478" s="31"/>
      <c r="AE478" s="12"/>
      <c r="AF478" s="12"/>
      <c r="AG478" s="12"/>
      <c r="AH478" s="12"/>
      <c r="AI478" s="12"/>
      <c r="AJ478" s="12"/>
      <c r="AK478" s="12"/>
      <c r="AL478" s="12"/>
      <c r="AM478" s="12"/>
      <c r="AN478" s="12"/>
      <c r="AO478" s="12"/>
      <c r="AP478" s="12"/>
      <c r="AQ478" s="12"/>
      <c r="AR478" s="12"/>
      <c r="AS478" s="12"/>
      <c r="AT478" s="12"/>
    </row>
    <row r="479" spans="1:46" x14ac:dyDescent="0.25">
      <c r="A479" s="12"/>
      <c r="B479" s="12"/>
      <c r="C479" s="12"/>
      <c r="D479" s="12"/>
      <c r="E479" s="12"/>
      <c r="F479" s="12"/>
      <c r="G479" s="12"/>
      <c r="H479" s="12"/>
      <c r="I479" s="21" t="str">
        <f>IF(COUNTA('[1]Virus production'!A465)=1,('[1]Virus production'!A465),"")</f>
        <v/>
      </c>
      <c r="J479" s="12"/>
      <c r="L479" s="12"/>
      <c r="M479" s="12"/>
      <c r="N479" s="12"/>
      <c r="O479" s="12"/>
      <c r="P479" s="12"/>
      <c r="Q479" s="12"/>
      <c r="R479" s="12"/>
      <c r="S479" s="12"/>
      <c r="T479" s="12"/>
      <c r="U479" s="12"/>
      <c r="V479" s="12"/>
      <c r="W479" s="12"/>
      <c r="X479" s="12"/>
      <c r="Y479" s="12"/>
      <c r="Z479" s="12"/>
      <c r="AA479" s="12"/>
      <c r="AB479" s="12"/>
      <c r="AD479" s="31"/>
      <c r="AE479" s="12"/>
      <c r="AF479" s="12"/>
      <c r="AG479" s="12"/>
      <c r="AH479" s="12"/>
      <c r="AI479" s="12"/>
      <c r="AJ479" s="12"/>
      <c r="AK479" s="12"/>
      <c r="AL479" s="12"/>
      <c r="AM479" s="12"/>
      <c r="AN479" s="12"/>
      <c r="AO479" s="12"/>
      <c r="AP479" s="12"/>
      <c r="AQ479" s="12"/>
      <c r="AR479" s="12"/>
      <c r="AS479" s="12"/>
      <c r="AT479" s="12"/>
    </row>
    <row r="480" spans="1:46" x14ac:dyDescent="0.25">
      <c r="A480" s="12"/>
      <c r="B480" s="12"/>
      <c r="C480" s="12"/>
      <c r="D480" s="12"/>
      <c r="E480" s="12"/>
      <c r="F480" s="12"/>
      <c r="G480" s="12"/>
      <c r="H480" s="12"/>
      <c r="I480" s="21" t="str">
        <f>IF(COUNTA('[1]Virus production'!A466)=1,('[1]Virus production'!A466),"")</f>
        <v/>
      </c>
      <c r="J480" s="12"/>
      <c r="L480" s="12"/>
      <c r="M480" s="12"/>
      <c r="N480" s="12"/>
      <c r="O480" s="12"/>
      <c r="P480" s="12"/>
      <c r="Q480" s="12"/>
      <c r="R480" s="12"/>
      <c r="S480" s="12"/>
      <c r="T480" s="12"/>
      <c r="U480" s="12"/>
      <c r="V480" s="12"/>
      <c r="W480" s="12"/>
      <c r="X480" s="12"/>
      <c r="Y480" s="12"/>
      <c r="Z480" s="12"/>
      <c r="AA480" s="12"/>
      <c r="AB480" s="12"/>
      <c r="AD480" s="31"/>
      <c r="AE480" s="12"/>
      <c r="AF480" s="12"/>
      <c r="AG480" s="12"/>
      <c r="AH480" s="12"/>
      <c r="AI480" s="12"/>
      <c r="AJ480" s="12"/>
      <c r="AK480" s="12"/>
      <c r="AL480" s="12"/>
      <c r="AM480" s="12"/>
      <c r="AN480" s="12"/>
      <c r="AO480" s="12"/>
      <c r="AP480" s="12"/>
      <c r="AQ480" s="12"/>
      <c r="AR480" s="12"/>
      <c r="AS480" s="12"/>
      <c r="AT480" s="12"/>
    </row>
    <row r="481" spans="1:46" x14ac:dyDescent="0.25">
      <c r="A481" s="12"/>
      <c r="B481" s="12"/>
      <c r="C481" s="12"/>
      <c r="D481" s="12"/>
      <c r="E481" s="12"/>
      <c r="F481" s="12"/>
      <c r="G481" s="12"/>
      <c r="H481" s="12"/>
      <c r="I481" s="21" t="str">
        <f>IF(COUNTA('[1]Virus production'!A467)=1,('[1]Virus production'!A467),"")</f>
        <v/>
      </c>
      <c r="J481" s="12"/>
      <c r="L481" s="12"/>
      <c r="M481" s="12"/>
      <c r="N481" s="12"/>
      <c r="O481" s="12"/>
      <c r="P481" s="12"/>
      <c r="Q481" s="12"/>
      <c r="R481" s="12"/>
      <c r="S481" s="12"/>
      <c r="T481" s="12"/>
      <c r="U481" s="12"/>
      <c r="V481" s="12"/>
      <c r="W481" s="12"/>
      <c r="X481" s="12"/>
      <c r="Y481" s="12"/>
      <c r="Z481" s="12"/>
      <c r="AA481" s="12"/>
      <c r="AB481" s="12"/>
      <c r="AD481" s="31"/>
      <c r="AE481" s="12"/>
      <c r="AF481" s="12"/>
      <c r="AG481" s="12"/>
      <c r="AH481" s="12"/>
      <c r="AI481" s="12"/>
      <c r="AJ481" s="12"/>
      <c r="AK481" s="12"/>
      <c r="AL481" s="12"/>
      <c r="AM481" s="12"/>
      <c r="AN481" s="12"/>
      <c r="AO481" s="12"/>
      <c r="AP481" s="12"/>
      <c r="AQ481" s="12"/>
      <c r="AR481" s="12"/>
      <c r="AS481" s="12"/>
      <c r="AT481" s="12"/>
    </row>
    <row r="482" spans="1:46" x14ac:dyDescent="0.25">
      <c r="A482" s="12"/>
      <c r="B482" s="12"/>
      <c r="C482" s="12"/>
      <c r="D482" s="12"/>
      <c r="E482" s="12"/>
      <c r="F482" s="12"/>
      <c r="G482" s="12"/>
      <c r="H482" s="12"/>
      <c r="I482" s="21" t="str">
        <f>IF(COUNTA('[1]Virus production'!A468)=1,('[1]Virus production'!A468),"")</f>
        <v/>
      </c>
      <c r="J482" s="12"/>
      <c r="L482" s="12"/>
      <c r="M482" s="12"/>
      <c r="N482" s="12"/>
      <c r="O482" s="12"/>
      <c r="P482" s="12"/>
      <c r="Q482" s="12"/>
      <c r="R482" s="12"/>
      <c r="S482" s="12"/>
      <c r="T482" s="12"/>
      <c r="U482" s="12"/>
      <c r="V482" s="12"/>
      <c r="W482" s="12"/>
      <c r="X482" s="12"/>
      <c r="Y482" s="12"/>
      <c r="Z482" s="12"/>
      <c r="AA482" s="12"/>
      <c r="AB482" s="12"/>
      <c r="AD482" s="31"/>
      <c r="AE482" s="12"/>
      <c r="AF482" s="12"/>
      <c r="AG482" s="12"/>
      <c r="AH482" s="12"/>
      <c r="AI482" s="12"/>
      <c r="AJ482" s="12"/>
      <c r="AK482" s="12"/>
      <c r="AL482" s="12"/>
      <c r="AM482" s="12"/>
      <c r="AN482" s="12"/>
      <c r="AO482" s="12"/>
      <c r="AP482" s="12"/>
      <c r="AQ482" s="12"/>
      <c r="AR482" s="12"/>
      <c r="AS482" s="12"/>
      <c r="AT482" s="12"/>
    </row>
    <row r="483" spans="1:46" x14ac:dyDescent="0.25">
      <c r="A483" s="12"/>
      <c r="B483" s="12"/>
      <c r="C483" s="12"/>
      <c r="D483" s="12"/>
      <c r="E483" s="12"/>
      <c r="F483" s="12"/>
      <c r="G483" s="12"/>
      <c r="H483" s="12"/>
      <c r="I483" s="21" t="str">
        <f>IF(COUNTA('[1]Virus production'!A469)=1,('[1]Virus production'!A469),"")</f>
        <v/>
      </c>
      <c r="J483" s="12"/>
      <c r="L483" s="12"/>
      <c r="M483" s="12"/>
      <c r="N483" s="12"/>
      <c r="O483" s="12"/>
      <c r="P483" s="12"/>
      <c r="Q483" s="12"/>
      <c r="R483" s="12"/>
      <c r="S483" s="12"/>
      <c r="T483" s="12"/>
      <c r="U483" s="12"/>
      <c r="V483" s="12"/>
      <c r="W483" s="12"/>
      <c r="X483" s="12"/>
      <c r="Y483" s="12"/>
      <c r="Z483" s="12"/>
      <c r="AA483" s="12"/>
      <c r="AB483" s="12"/>
      <c r="AD483" s="31"/>
      <c r="AE483" s="12"/>
      <c r="AF483" s="12"/>
      <c r="AG483" s="12"/>
      <c r="AH483" s="12"/>
      <c r="AI483" s="12"/>
      <c r="AJ483" s="12"/>
      <c r="AK483" s="12"/>
      <c r="AL483" s="12"/>
      <c r="AM483" s="12"/>
      <c r="AN483" s="12"/>
      <c r="AO483" s="12"/>
      <c r="AP483" s="12"/>
      <c r="AQ483" s="12"/>
      <c r="AR483" s="12"/>
      <c r="AS483" s="12"/>
      <c r="AT483" s="12"/>
    </row>
    <row r="484" spans="1:46" x14ac:dyDescent="0.25">
      <c r="A484" s="12"/>
      <c r="B484" s="12"/>
      <c r="C484" s="12"/>
      <c r="D484" s="12"/>
      <c r="E484" s="12"/>
      <c r="F484" s="12"/>
      <c r="G484" s="12"/>
      <c r="H484" s="12"/>
      <c r="I484" s="21" t="str">
        <f>IF(COUNTA('[1]Virus production'!A470)=1,('[1]Virus production'!A470),"")</f>
        <v/>
      </c>
      <c r="J484" s="12"/>
      <c r="L484" s="12"/>
      <c r="M484" s="12"/>
      <c r="N484" s="12"/>
      <c r="O484" s="12"/>
      <c r="P484" s="12"/>
      <c r="Q484" s="12"/>
      <c r="R484" s="12"/>
      <c r="S484" s="12"/>
      <c r="T484" s="12"/>
      <c r="U484" s="12"/>
      <c r="V484" s="12"/>
      <c r="W484" s="12"/>
      <c r="X484" s="12"/>
      <c r="Y484" s="12"/>
      <c r="Z484" s="12"/>
      <c r="AA484" s="12"/>
      <c r="AB484" s="12"/>
      <c r="AD484" s="31"/>
      <c r="AE484" s="12"/>
      <c r="AF484" s="12"/>
      <c r="AG484" s="12"/>
      <c r="AH484" s="12"/>
      <c r="AI484" s="12"/>
      <c r="AJ484" s="12"/>
      <c r="AK484" s="12"/>
      <c r="AL484" s="12"/>
      <c r="AM484" s="12"/>
      <c r="AN484" s="12"/>
      <c r="AO484" s="12"/>
      <c r="AP484" s="12"/>
      <c r="AQ484" s="12"/>
      <c r="AR484" s="12"/>
      <c r="AS484" s="12"/>
      <c r="AT484" s="12"/>
    </row>
    <row r="485" spans="1:46" x14ac:dyDescent="0.25">
      <c r="A485" s="12"/>
      <c r="B485" s="12"/>
      <c r="C485" s="12"/>
      <c r="D485" s="12"/>
      <c r="E485" s="12"/>
      <c r="F485" s="12"/>
      <c r="G485" s="12"/>
      <c r="H485" s="12"/>
      <c r="I485" s="21" t="str">
        <f>IF(COUNTA('[1]Virus production'!A471)=1,('[1]Virus production'!A471),"")</f>
        <v/>
      </c>
      <c r="J485" s="12"/>
      <c r="L485" s="12"/>
      <c r="M485" s="12"/>
      <c r="N485" s="12"/>
      <c r="O485" s="12"/>
      <c r="P485" s="12"/>
      <c r="Q485" s="12"/>
      <c r="R485" s="12"/>
      <c r="S485" s="12"/>
      <c r="T485" s="12"/>
      <c r="U485" s="12"/>
      <c r="V485" s="12"/>
      <c r="W485" s="12"/>
      <c r="X485" s="12"/>
      <c r="Y485" s="12"/>
      <c r="Z485" s="12"/>
      <c r="AA485" s="12"/>
      <c r="AB485" s="12"/>
      <c r="AD485" s="31"/>
      <c r="AE485" s="12"/>
      <c r="AF485" s="12"/>
      <c r="AG485" s="12"/>
      <c r="AH485" s="12"/>
      <c r="AI485" s="12"/>
      <c r="AJ485" s="12"/>
      <c r="AK485" s="12"/>
      <c r="AL485" s="12"/>
      <c r="AM485" s="12"/>
      <c r="AN485" s="12"/>
      <c r="AO485" s="12"/>
      <c r="AP485" s="12"/>
      <c r="AQ485" s="12"/>
      <c r="AR485" s="12"/>
      <c r="AS485" s="12"/>
      <c r="AT485" s="12"/>
    </row>
    <row r="486" spans="1:46" x14ac:dyDescent="0.25">
      <c r="A486" s="12"/>
      <c r="B486" s="12"/>
      <c r="C486" s="12"/>
      <c r="D486" s="12"/>
      <c r="E486" s="12"/>
      <c r="F486" s="12"/>
      <c r="G486" s="12"/>
      <c r="H486" s="12"/>
      <c r="I486" s="21" t="str">
        <f>IF(COUNTA('[1]Virus production'!A472)=1,('[1]Virus production'!A472),"")</f>
        <v/>
      </c>
      <c r="J486" s="12"/>
      <c r="L486" s="12"/>
      <c r="M486" s="12"/>
      <c r="N486" s="12"/>
      <c r="O486" s="12"/>
      <c r="P486" s="12"/>
      <c r="Q486" s="12"/>
      <c r="R486" s="12"/>
      <c r="S486" s="12"/>
      <c r="T486" s="12"/>
      <c r="U486" s="12"/>
      <c r="V486" s="12"/>
      <c r="W486" s="12"/>
      <c r="X486" s="12"/>
      <c r="Y486" s="12"/>
      <c r="Z486" s="12"/>
      <c r="AA486" s="12"/>
      <c r="AB486" s="12"/>
      <c r="AD486" s="31"/>
      <c r="AE486" s="12"/>
      <c r="AF486" s="12"/>
      <c r="AG486" s="12"/>
      <c r="AH486" s="12"/>
      <c r="AI486" s="12"/>
      <c r="AJ486" s="12"/>
      <c r="AK486" s="12"/>
      <c r="AL486" s="12"/>
      <c r="AM486" s="12"/>
      <c r="AN486" s="12"/>
      <c r="AO486" s="12"/>
      <c r="AP486" s="12"/>
      <c r="AQ486" s="12"/>
      <c r="AR486" s="12"/>
      <c r="AS486" s="12"/>
      <c r="AT486" s="12"/>
    </row>
    <row r="487" spans="1:46" x14ac:dyDescent="0.25">
      <c r="A487" s="12"/>
      <c r="B487" s="12"/>
      <c r="C487" s="12"/>
      <c r="D487" s="12"/>
      <c r="E487" s="12"/>
      <c r="F487" s="12"/>
      <c r="G487" s="12"/>
      <c r="H487" s="12"/>
      <c r="I487" s="21" t="str">
        <f>IF(COUNTA('[1]Virus production'!A473)=1,('[1]Virus production'!A473),"")</f>
        <v/>
      </c>
      <c r="J487" s="12"/>
      <c r="L487" s="12"/>
      <c r="M487" s="12"/>
      <c r="N487" s="12"/>
      <c r="O487" s="12"/>
      <c r="P487" s="12"/>
      <c r="Q487" s="12"/>
      <c r="R487" s="12"/>
      <c r="S487" s="12"/>
      <c r="T487" s="12"/>
      <c r="U487" s="12"/>
      <c r="V487" s="12"/>
      <c r="W487" s="12"/>
      <c r="X487" s="12"/>
      <c r="Y487" s="12"/>
      <c r="Z487" s="12"/>
      <c r="AA487" s="12"/>
      <c r="AB487" s="12"/>
      <c r="AD487" s="31"/>
      <c r="AE487" s="12"/>
      <c r="AF487" s="12"/>
      <c r="AG487" s="12"/>
      <c r="AH487" s="12"/>
      <c r="AI487" s="12"/>
      <c r="AJ487" s="12"/>
      <c r="AK487" s="12"/>
      <c r="AL487" s="12"/>
      <c r="AM487" s="12"/>
      <c r="AN487" s="12"/>
      <c r="AO487" s="12"/>
      <c r="AP487" s="12"/>
      <c r="AQ487" s="12"/>
      <c r="AR487" s="12"/>
      <c r="AS487" s="12"/>
      <c r="AT487" s="12"/>
    </row>
    <row r="488" spans="1:46" x14ac:dyDescent="0.25">
      <c r="A488" s="12"/>
      <c r="B488" s="12"/>
      <c r="C488" s="12"/>
      <c r="D488" s="12"/>
      <c r="E488" s="12"/>
      <c r="F488" s="12"/>
      <c r="G488" s="12"/>
      <c r="H488" s="12"/>
      <c r="I488" s="21" t="str">
        <f>IF(COUNTA('[1]Virus production'!A474)=1,('[1]Virus production'!A474),"")</f>
        <v/>
      </c>
      <c r="J488" s="12"/>
      <c r="L488" s="12"/>
      <c r="M488" s="12"/>
      <c r="N488" s="12"/>
      <c r="O488" s="12"/>
      <c r="P488" s="12"/>
      <c r="Q488" s="12"/>
      <c r="R488" s="12"/>
      <c r="S488" s="12"/>
      <c r="T488" s="12"/>
      <c r="U488" s="12"/>
      <c r="V488" s="12"/>
      <c r="W488" s="12"/>
      <c r="X488" s="12"/>
      <c r="Y488" s="12"/>
      <c r="Z488" s="12"/>
      <c r="AA488" s="12"/>
      <c r="AB488" s="12"/>
      <c r="AD488" s="31"/>
      <c r="AE488" s="12"/>
      <c r="AF488" s="12"/>
      <c r="AG488" s="12"/>
      <c r="AH488" s="12"/>
      <c r="AI488" s="12"/>
      <c r="AJ488" s="12"/>
      <c r="AK488" s="12"/>
      <c r="AL488" s="12"/>
      <c r="AM488" s="12"/>
      <c r="AN488" s="12"/>
      <c r="AO488" s="12"/>
      <c r="AP488" s="12"/>
      <c r="AQ488" s="12"/>
      <c r="AR488" s="12"/>
      <c r="AS488" s="12"/>
      <c r="AT488" s="12"/>
    </row>
    <row r="489" spans="1:46" x14ac:dyDescent="0.25">
      <c r="A489" s="12"/>
      <c r="B489" s="12"/>
      <c r="C489" s="12"/>
      <c r="D489" s="12"/>
      <c r="E489" s="12"/>
      <c r="F489" s="12"/>
      <c r="G489" s="12"/>
      <c r="H489" s="12"/>
      <c r="I489" s="21" t="str">
        <f>IF(COUNTA('[1]Virus production'!A475)=1,('[1]Virus production'!A475),"")</f>
        <v/>
      </c>
      <c r="J489" s="12"/>
      <c r="L489" s="12"/>
      <c r="M489" s="12"/>
      <c r="N489" s="12"/>
      <c r="O489" s="12"/>
      <c r="P489" s="12"/>
      <c r="Q489" s="12"/>
      <c r="R489" s="12"/>
      <c r="S489" s="12"/>
      <c r="T489" s="12"/>
      <c r="U489" s="12"/>
      <c r="V489" s="12"/>
      <c r="W489" s="12"/>
      <c r="X489" s="12"/>
      <c r="Y489" s="12"/>
      <c r="Z489" s="12"/>
      <c r="AA489" s="12"/>
      <c r="AB489" s="12"/>
      <c r="AD489" s="31"/>
      <c r="AE489" s="12"/>
      <c r="AF489" s="12"/>
      <c r="AG489" s="12"/>
      <c r="AH489" s="12"/>
      <c r="AI489" s="12"/>
      <c r="AJ489" s="12"/>
      <c r="AK489" s="12"/>
      <c r="AL489" s="12"/>
      <c r="AM489" s="12"/>
      <c r="AN489" s="12"/>
      <c r="AO489" s="12"/>
      <c r="AP489" s="12"/>
      <c r="AQ489" s="12"/>
      <c r="AR489" s="12"/>
      <c r="AS489" s="12"/>
      <c r="AT489" s="12"/>
    </row>
    <row r="490" spans="1:46" x14ac:dyDescent="0.25">
      <c r="A490" s="12"/>
      <c r="B490" s="12"/>
      <c r="C490" s="12"/>
      <c r="D490" s="12"/>
      <c r="E490" s="12"/>
      <c r="F490" s="12"/>
      <c r="G490" s="12"/>
      <c r="H490" s="12"/>
      <c r="I490" s="21" t="str">
        <f>IF(COUNTA('[1]Virus production'!A476)=1,('[1]Virus production'!A476),"")</f>
        <v/>
      </c>
      <c r="J490" s="12"/>
      <c r="L490" s="12"/>
      <c r="M490" s="12"/>
      <c r="N490" s="12"/>
      <c r="O490" s="12"/>
      <c r="P490" s="12"/>
      <c r="Q490" s="12"/>
      <c r="R490" s="12"/>
      <c r="S490" s="12"/>
      <c r="T490" s="12"/>
      <c r="U490" s="12"/>
      <c r="V490" s="12"/>
      <c r="W490" s="12"/>
      <c r="X490" s="12"/>
      <c r="Y490" s="12"/>
      <c r="Z490" s="12"/>
      <c r="AA490" s="12"/>
      <c r="AB490" s="12"/>
      <c r="AD490" s="31"/>
      <c r="AE490" s="12"/>
      <c r="AF490" s="12"/>
      <c r="AG490" s="12"/>
      <c r="AH490" s="12"/>
      <c r="AI490" s="12"/>
      <c r="AJ490" s="12"/>
      <c r="AK490" s="12"/>
      <c r="AL490" s="12"/>
      <c r="AM490" s="12"/>
      <c r="AN490" s="12"/>
      <c r="AO490" s="12"/>
      <c r="AP490" s="12"/>
      <c r="AQ490" s="12"/>
      <c r="AR490" s="12"/>
      <c r="AS490" s="12"/>
      <c r="AT490" s="12"/>
    </row>
    <row r="491" spans="1:46" x14ac:dyDescent="0.25">
      <c r="A491" s="12"/>
      <c r="B491" s="12"/>
      <c r="C491" s="12"/>
      <c r="D491" s="12"/>
      <c r="E491" s="12"/>
      <c r="F491" s="12"/>
      <c r="G491" s="12"/>
      <c r="H491" s="12"/>
      <c r="I491" s="21" t="str">
        <f>IF(COUNTA('[1]Virus production'!A477)=1,('[1]Virus production'!A477),"")</f>
        <v/>
      </c>
      <c r="J491" s="12"/>
      <c r="L491" s="12"/>
      <c r="M491" s="12"/>
      <c r="N491" s="12"/>
      <c r="O491" s="12"/>
      <c r="P491" s="12"/>
      <c r="Q491" s="12"/>
      <c r="R491" s="12"/>
      <c r="S491" s="12"/>
      <c r="T491" s="12"/>
      <c r="U491" s="12"/>
      <c r="V491" s="12"/>
      <c r="W491" s="12"/>
      <c r="X491" s="12"/>
      <c r="Y491" s="12"/>
      <c r="Z491" s="12"/>
      <c r="AA491" s="12"/>
      <c r="AB491" s="12"/>
      <c r="AD491" s="31"/>
      <c r="AE491" s="12"/>
      <c r="AF491" s="12"/>
      <c r="AG491" s="12"/>
      <c r="AH491" s="12"/>
      <c r="AI491" s="12"/>
      <c r="AJ491" s="12"/>
      <c r="AK491" s="12"/>
      <c r="AL491" s="12"/>
      <c r="AM491" s="12"/>
      <c r="AN491" s="12"/>
      <c r="AO491" s="12"/>
      <c r="AP491" s="12"/>
      <c r="AQ491" s="12"/>
      <c r="AR491" s="12"/>
      <c r="AS491" s="12"/>
      <c r="AT491" s="12"/>
    </row>
    <row r="492" spans="1:46" x14ac:dyDescent="0.25">
      <c r="A492" s="12"/>
      <c r="B492" s="12"/>
      <c r="C492" s="12"/>
      <c r="D492" s="12"/>
      <c r="E492" s="12"/>
      <c r="F492" s="12"/>
      <c r="G492" s="12"/>
      <c r="H492" s="12"/>
      <c r="I492" s="21" t="str">
        <f>IF(COUNTA('[1]Virus production'!A478)=1,('[1]Virus production'!A478),"")</f>
        <v/>
      </c>
      <c r="J492" s="12"/>
      <c r="L492" s="12"/>
      <c r="M492" s="12"/>
      <c r="N492" s="12"/>
      <c r="O492" s="12"/>
      <c r="P492" s="12"/>
      <c r="Q492" s="12"/>
      <c r="R492" s="12"/>
      <c r="S492" s="12"/>
      <c r="T492" s="12"/>
      <c r="U492" s="12"/>
      <c r="V492" s="12"/>
      <c r="W492" s="12"/>
      <c r="X492" s="12"/>
      <c r="Y492" s="12"/>
      <c r="Z492" s="12"/>
      <c r="AA492" s="12"/>
      <c r="AB492" s="12"/>
      <c r="AD492" s="31"/>
      <c r="AE492" s="12"/>
      <c r="AF492" s="12"/>
      <c r="AG492" s="12"/>
      <c r="AH492" s="12"/>
      <c r="AI492" s="12"/>
      <c r="AJ492" s="12"/>
      <c r="AK492" s="12"/>
      <c r="AL492" s="12"/>
      <c r="AM492" s="12"/>
      <c r="AN492" s="12"/>
      <c r="AO492" s="12"/>
      <c r="AP492" s="12"/>
      <c r="AQ492" s="12"/>
      <c r="AR492" s="12"/>
      <c r="AS492" s="12"/>
      <c r="AT492" s="12"/>
    </row>
    <row r="493" spans="1:46" x14ac:dyDescent="0.25">
      <c r="A493" s="12"/>
      <c r="B493" s="12"/>
      <c r="C493" s="12"/>
      <c r="D493" s="12"/>
      <c r="E493" s="12"/>
      <c r="F493" s="12"/>
      <c r="G493" s="12"/>
      <c r="H493" s="12"/>
      <c r="I493" s="21" t="str">
        <f>IF(COUNTA('[1]Virus production'!A479)=1,('[1]Virus production'!A479),"")</f>
        <v/>
      </c>
      <c r="J493" s="12"/>
      <c r="L493" s="12"/>
      <c r="M493" s="12"/>
      <c r="N493" s="12"/>
      <c r="O493" s="12"/>
      <c r="P493" s="12"/>
      <c r="Q493" s="12"/>
      <c r="R493" s="12"/>
      <c r="S493" s="12"/>
      <c r="T493" s="12"/>
      <c r="U493" s="12"/>
      <c r="V493" s="12"/>
      <c r="W493" s="12"/>
      <c r="X493" s="12"/>
      <c r="Y493" s="12"/>
      <c r="Z493" s="12"/>
      <c r="AA493" s="12"/>
      <c r="AB493" s="12"/>
      <c r="AD493" s="31"/>
      <c r="AE493" s="12"/>
      <c r="AF493" s="12"/>
      <c r="AG493" s="12"/>
      <c r="AH493" s="12"/>
      <c r="AI493" s="12"/>
      <c r="AJ493" s="12"/>
      <c r="AK493" s="12"/>
      <c r="AL493" s="12"/>
      <c r="AM493" s="12"/>
      <c r="AN493" s="12"/>
      <c r="AO493" s="12"/>
      <c r="AP493" s="12"/>
      <c r="AQ493" s="12"/>
      <c r="AR493" s="12"/>
      <c r="AS493" s="12"/>
      <c r="AT493" s="12"/>
    </row>
    <row r="494" spans="1:46" x14ac:dyDescent="0.25">
      <c r="A494" s="12"/>
      <c r="B494" s="12"/>
      <c r="C494" s="12"/>
      <c r="D494" s="12"/>
      <c r="E494" s="12"/>
      <c r="F494" s="12"/>
      <c r="G494" s="12"/>
      <c r="H494" s="12"/>
      <c r="I494" s="21" t="str">
        <f>IF(COUNTA('[1]Virus production'!A480)=1,('[1]Virus production'!A480),"")</f>
        <v/>
      </c>
      <c r="J494" s="12"/>
      <c r="L494" s="12"/>
      <c r="M494" s="12"/>
      <c r="N494" s="12"/>
      <c r="O494" s="12"/>
      <c r="P494" s="12"/>
      <c r="Q494" s="12"/>
      <c r="R494" s="12"/>
      <c r="S494" s="12"/>
      <c r="T494" s="12"/>
      <c r="U494" s="12"/>
      <c r="V494" s="12"/>
      <c r="W494" s="12"/>
      <c r="X494" s="12"/>
      <c r="Y494" s="12"/>
      <c r="Z494" s="12"/>
      <c r="AA494" s="12"/>
      <c r="AB494" s="12"/>
      <c r="AD494" s="31"/>
      <c r="AE494" s="12"/>
      <c r="AF494" s="12"/>
      <c r="AG494" s="12"/>
      <c r="AH494" s="12"/>
      <c r="AI494" s="12"/>
      <c r="AJ494" s="12"/>
      <c r="AK494" s="12"/>
      <c r="AL494" s="12"/>
      <c r="AM494" s="12"/>
      <c r="AN494" s="12"/>
      <c r="AO494" s="12"/>
      <c r="AP494" s="12"/>
      <c r="AQ494" s="12"/>
      <c r="AR494" s="12"/>
      <c r="AS494" s="12"/>
      <c r="AT494" s="12"/>
    </row>
    <row r="495" spans="1:46" x14ac:dyDescent="0.25">
      <c r="A495" s="12"/>
      <c r="B495" s="12"/>
      <c r="C495" s="12"/>
      <c r="D495" s="12"/>
      <c r="E495" s="12"/>
      <c r="F495" s="12"/>
      <c r="G495" s="12"/>
      <c r="H495" s="12"/>
      <c r="I495" s="21" t="str">
        <f>IF(COUNTA('[1]Virus production'!A481)=1,('[1]Virus production'!A481),"")</f>
        <v/>
      </c>
      <c r="J495" s="12"/>
      <c r="L495" s="12"/>
      <c r="M495" s="12"/>
      <c r="N495" s="12"/>
      <c r="O495" s="12"/>
      <c r="P495" s="12"/>
      <c r="Q495" s="12"/>
      <c r="R495" s="12"/>
      <c r="S495" s="12"/>
      <c r="T495" s="12"/>
      <c r="U495" s="12"/>
      <c r="V495" s="12"/>
      <c r="W495" s="12"/>
      <c r="X495" s="12"/>
      <c r="Y495" s="12"/>
      <c r="Z495" s="12"/>
      <c r="AA495" s="12"/>
      <c r="AB495" s="12"/>
      <c r="AD495" s="31"/>
      <c r="AE495" s="12"/>
      <c r="AF495" s="12"/>
      <c r="AG495" s="12"/>
      <c r="AH495" s="12"/>
      <c r="AI495" s="12"/>
      <c r="AJ495" s="12"/>
      <c r="AK495" s="12"/>
      <c r="AL495" s="12"/>
      <c r="AM495" s="12"/>
      <c r="AN495" s="12"/>
      <c r="AO495" s="12"/>
      <c r="AP495" s="12"/>
      <c r="AQ495" s="12"/>
      <c r="AR495" s="12"/>
      <c r="AS495" s="12"/>
      <c r="AT495" s="12"/>
    </row>
    <row r="496" spans="1:46" x14ac:dyDescent="0.25">
      <c r="A496" s="12"/>
      <c r="B496" s="12"/>
      <c r="C496" s="12"/>
      <c r="D496" s="12"/>
      <c r="E496" s="12"/>
      <c r="F496" s="12"/>
      <c r="G496" s="12"/>
      <c r="H496" s="12"/>
      <c r="I496" s="21" t="str">
        <f>IF(COUNTA('[1]Virus production'!A482)=1,('[1]Virus production'!A482),"")</f>
        <v/>
      </c>
      <c r="J496" s="12"/>
      <c r="L496" s="12"/>
      <c r="M496" s="12"/>
      <c r="N496" s="12"/>
      <c r="O496" s="12"/>
      <c r="P496" s="12"/>
      <c r="Q496" s="12"/>
      <c r="R496" s="12"/>
      <c r="S496" s="12"/>
      <c r="T496" s="12"/>
      <c r="U496" s="12"/>
      <c r="V496" s="12"/>
      <c r="W496" s="12"/>
      <c r="X496" s="12"/>
      <c r="Y496" s="12"/>
      <c r="Z496" s="12"/>
      <c r="AA496" s="12"/>
      <c r="AB496" s="12"/>
      <c r="AD496" s="31"/>
      <c r="AE496" s="12"/>
      <c r="AF496" s="12"/>
      <c r="AG496" s="12"/>
      <c r="AH496" s="12"/>
      <c r="AI496" s="12"/>
      <c r="AJ496" s="12"/>
      <c r="AK496" s="12"/>
      <c r="AL496" s="12"/>
      <c r="AM496" s="12"/>
      <c r="AN496" s="12"/>
      <c r="AO496" s="12"/>
      <c r="AP496" s="12"/>
      <c r="AQ496" s="12"/>
      <c r="AR496" s="12"/>
      <c r="AS496" s="12"/>
      <c r="AT496" s="12"/>
    </row>
    <row r="497" spans="1:46" x14ac:dyDescent="0.25">
      <c r="A497" s="12"/>
      <c r="B497" s="12"/>
      <c r="C497" s="12"/>
      <c r="D497" s="12"/>
      <c r="E497" s="12"/>
      <c r="F497" s="12"/>
      <c r="G497" s="12"/>
      <c r="H497" s="12"/>
      <c r="I497" s="21" t="str">
        <f>IF(COUNTA('[1]Virus production'!A483)=1,('[1]Virus production'!A483),"")</f>
        <v/>
      </c>
      <c r="J497" s="12"/>
      <c r="L497" s="12"/>
      <c r="M497" s="12"/>
      <c r="N497" s="12"/>
      <c r="O497" s="12"/>
      <c r="P497" s="12"/>
      <c r="Q497" s="12"/>
      <c r="R497" s="12"/>
      <c r="S497" s="12"/>
      <c r="T497" s="12"/>
      <c r="U497" s="12"/>
      <c r="V497" s="12"/>
      <c r="W497" s="12"/>
      <c r="X497" s="12"/>
      <c r="Y497" s="12"/>
      <c r="Z497" s="12"/>
      <c r="AA497" s="12"/>
      <c r="AB497" s="12"/>
      <c r="AD497" s="31"/>
      <c r="AE497" s="12"/>
      <c r="AF497" s="12"/>
      <c r="AG497" s="12"/>
      <c r="AH497" s="12"/>
      <c r="AI497" s="12"/>
      <c r="AJ497" s="12"/>
      <c r="AK497" s="12"/>
      <c r="AL497" s="12"/>
      <c r="AM497" s="12"/>
      <c r="AN497" s="12"/>
      <c r="AO497" s="12"/>
      <c r="AP497" s="12"/>
      <c r="AQ497" s="12"/>
      <c r="AR497" s="12"/>
      <c r="AS497" s="12"/>
      <c r="AT497" s="12"/>
    </row>
    <row r="498" spans="1:46" x14ac:dyDescent="0.25">
      <c r="A498" s="12"/>
      <c r="B498" s="12"/>
      <c r="C498" s="12"/>
      <c r="D498" s="12"/>
      <c r="E498" s="12"/>
      <c r="F498" s="12"/>
      <c r="G498" s="12"/>
      <c r="H498" s="12"/>
      <c r="I498" s="21" t="str">
        <f>IF(COUNTA('[1]Virus production'!A484)=1,('[1]Virus production'!A484),"")</f>
        <v/>
      </c>
      <c r="J498" s="12"/>
      <c r="L498" s="12"/>
      <c r="M498" s="12"/>
      <c r="N498" s="12"/>
      <c r="O498" s="12"/>
      <c r="P498" s="12"/>
      <c r="Q498" s="12"/>
      <c r="R498" s="12"/>
      <c r="S498" s="12"/>
      <c r="T498" s="12"/>
      <c r="U498" s="12"/>
      <c r="V498" s="12"/>
      <c r="W498" s="12"/>
      <c r="X498" s="12"/>
      <c r="Y498" s="12"/>
      <c r="Z498" s="12"/>
      <c r="AA498" s="12"/>
      <c r="AB498" s="12"/>
      <c r="AD498" s="31"/>
      <c r="AE498" s="12"/>
      <c r="AF498" s="12"/>
      <c r="AG498" s="12"/>
      <c r="AH498" s="12"/>
      <c r="AI498" s="12"/>
      <c r="AJ498" s="12"/>
      <c r="AK498" s="12"/>
      <c r="AL498" s="12"/>
      <c r="AM498" s="12"/>
      <c r="AN498" s="12"/>
      <c r="AO498" s="12"/>
      <c r="AP498" s="12"/>
      <c r="AQ498" s="12"/>
      <c r="AR498" s="12"/>
      <c r="AS498" s="12"/>
      <c r="AT498" s="12"/>
    </row>
    <row r="499" spans="1:46" x14ac:dyDescent="0.25">
      <c r="A499" s="12"/>
      <c r="B499" s="12"/>
      <c r="C499" s="12"/>
      <c r="D499" s="12"/>
      <c r="E499" s="12"/>
      <c r="F499" s="12"/>
      <c r="G499" s="12"/>
      <c r="H499" s="12"/>
      <c r="I499" s="21" t="str">
        <f>IF(COUNTA('[1]Virus production'!A485)=1,('[1]Virus production'!A485),"")</f>
        <v/>
      </c>
      <c r="J499" s="12"/>
      <c r="L499" s="12"/>
      <c r="M499" s="12"/>
      <c r="N499" s="12"/>
      <c r="O499" s="12"/>
      <c r="P499" s="12"/>
      <c r="Q499" s="12"/>
      <c r="R499" s="12"/>
      <c r="S499" s="12"/>
      <c r="T499" s="12"/>
      <c r="U499" s="12"/>
      <c r="V499" s="12"/>
      <c r="W499" s="12"/>
      <c r="X499" s="12"/>
      <c r="Y499" s="12"/>
      <c r="Z499" s="12"/>
      <c r="AA499" s="12"/>
      <c r="AB499" s="12"/>
      <c r="AD499" s="31"/>
      <c r="AE499" s="12"/>
      <c r="AF499" s="12"/>
      <c r="AG499" s="12"/>
      <c r="AH499" s="12"/>
      <c r="AI499" s="12"/>
      <c r="AJ499" s="12"/>
      <c r="AK499" s="12"/>
      <c r="AL499" s="12"/>
      <c r="AM499" s="12"/>
      <c r="AN499" s="12"/>
      <c r="AO499" s="12"/>
      <c r="AP499" s="12"/>
      <c r="AQ499" s="12"/>
      <c r="AR499" s="12"/>
      <c r="AS499" s="12"/>
      <c r="AT499" s="12"/>
    </row>
    <row r="500" spans="1:46" x14ac:dyDescent="0.25">
      <c r="A500" s="12"/>
      <c r="B500" s="12"/>
      <c r="C500" s="12"/>
      <c r="D500" s="12"/>
      <c r="E500" s="12"/>
      <c r="F500" s="12"/>
      <c r="G500" s="12"/>
      <c r="H500" s="12"/>
      <c r="I500" s="21" t="str">
        <f>IF(COUNTA('[1]Virus production'!A486)=1,('[1]Virus production'!A486),"")</f>
        <v/>
      </c>
      <c r="J500" s="12"/>
      <c r="L500" s="12"/>
      <c r="M500" s="12"/>
      <c r="N500" s="12"/>
      <c r="O500" s="12"/>
      <c r="P500" s="12"/>
      <c r="Q500" s="12"/>
      <c r="R500" s="12"/>
      <c r="S500" s="12"/>
      <c r="T500" s="12"/>
      <c r="U500" s="12"/>
      <c r="V500" s="12"/>
      <c r="W500" s="12"/>
      <c r="X500" s="12"/>
      <c r="Y500" s="12"/>
      <c r="Z500" s="12"/>
      <c r="AA500" s="12"/>
      <c r="AB500" s="12"/>
      <c r="AD500" s="31"/>
      <c r="AE500" s="12"/>
      <c r="AF500" s="12"/>
      <c r="AG500" s="12"/>
      <c r="AH500" s="12"/>
      <c r="AI500" s="12"/>
      <c r="AJ500" s="12"/>
      <c r="AK500" s="12"/>
      <c r="AL500" s="12"/>
      <c r="AM500" s="12"/>
      <c r="AN500" s="12"/>
      <c r="AO500" s="12"/>
      <c r="AP500" s="12"/>
      <c r="AQ500" s="12"/>
      <c r="AR500" s="12"/>
      <c r="AS500" s="12"/>
      <c r="AT500" s="12"/>
    </row>
    <row r="501" spans="1:46" x14ac:dyDescent="0.25">
      <c r="A501" s="12"/>
      <c r="B501" s="12"/>
      <c r="C501" s="12"/>
      <c r="D501" s="12"/>
      <c r="E501" s="12"/>
      <c r="F501" s="12"/>
      <c r="G501" s="12"/>
      <c r="H501" s="12"/>
      <c r="I501" s="21" t="str">
        <f>IF(COUNTA('[1]Virus production'!A487)=1,('[1]Virus production'!A487),"")</f>
        <v/>
      </c>
      <c r="J501" s="12"/>
      <c r="L501" s="12"/>
      <c r="M501" s="12"/>
      <c r="N501" s="12"/>
      <c r="O501" s="12"/>
      <c r="P501" s="12"/>
      <c r="Q501" s="12"/>
      <c r="R501" s="12"/>
      <c r="S501" s="12"/>
      <c r="T501" s="12"/>
      <c r="U501" s="12"/>
      <c r="V501" s="12"/>
      <c r="W501" s="12"/>
      <c r="X501" s="12"/>
      <c r="Y501" s="12"/>
      <c r="Z501" s="12"/>
      <c r="AA501" s="12"/>
      <c r="AB501" s="12"/>
      <c r="AD501" s="31"/>
      <c r="AE501" s="12"/>
      <c r="AF501" s="12"/>
      <c r="AG501" s="12"/>
      <c r="AH501" s="12"/>
      <c r="AI501" s="12"/>
      <c r="AJ501" s="12"/>
      <c r="AK501" s="12"/>
      <c r="AL501" s="12"/>
      <c r="AM501" s="12"/>
      <c r="AN501" s="12"/>
      <c r="AO501" s="12"/>
      <c r="AP501" s="12"/>
      <c r="AQ501" s="12"/>
      <c r="AR501" s="12"/>
      <c r="AS501" s="12"/>
      <c r="AT501" s="12"/>
    </row>
    <row r="502" spans="1:46" x14ac:dyDescent="0.25">
      <c r="A502" s="12"/>
      <c r="B502" s="12"/>
      <c r="C502" s="12"/>
      <c r="D502" s="12"/>
      <c r="E502" s="12"/>
      <c r="F502" s="12"/>
      <c r="G502" s="12"/>
      <c r="H502" s="12"/>
      <c r="I502" s="21" t="str">
        <f>IF(COUNTA('[1]Virus production'!A488)=1,('[1]Virus production'!A488),"")</f>
        <v/>
      </c>
      <c r="J502" s="12"/>
      <c r="L502" s="12"/>
      <c r="M502" s="12"/>
      <c r="N502" s="12"/>
      <c r="O502" s="12"/>
      <c r="P502" s="12"/>
      <c r="Q502" s="12"/>
      <c r="R502" s="12"/>
      <c r="S502" s="12"/>
      <c r="T502" s="12"/>
      <c r="U502" s="12"/>
      <c r="V502" s="12"/>
      <c r="W502" s="12"/>
      <c r="X502" s="12"/>
      <c r="Y502" s="12"/>
      <c r="Z502" s="12"/>
      <c r="AA502" s="12"/>
      <c r="AB502" s="12"/>
      <c r="AD502" s="31"/>
      <c r="AE502" s="12"/>
      <c r="AF502" s="12"/>
      <c r="AG502" s="12"/>
      <c r="AH502" s="12"/>
      <c r="AI502" s="12"/>
      <c r="AJ502" s="12"/>
      <c r="AK502" s="12"/>
      <c r="AL502" s="12"/>
      <c r="AM502" s="12"/>
      <c r="AN502" s="12"/>
      <c r="AO502" s="12"/>
      <c r="AP502" s="12"/>
      <c r="AQ502" s="12"/>
      <c r="AR502" s="12"/>
      <c r="AS502" s="12"/>
      <c r="AT502" s="12"/>
    </row>
    <row r="503" spans="1:46" x14ac:dyDescent="0.25">
      <c r="A503" s="12"/>
      <c r="B503" s="12"/>
      <c r="C503" s="12"/>
      <c r="D503" s="12"/>
      <c r="E503" s="12"/>
      <c r="F503" s="12"/>
      <c r="G503" s="12"/>
      <c r="H503" s="12"/>
      <c r="I503" s="21" t="str">
        <f>IF(COUNTA('[1]Virus production'!A489)=1,('[1]Virus production'!A489),"")</f>
        <v/>
      </c>
      <c r="J503" s="12"/>
      <c r="L503" s="12"/>
      <c r="M503" s="12"/>
      <c r="N503" s="12"/>
      <c r="O503" s="12"/>
      <c r="P503" s="12"/>
      <c r="Q503" s="12"/>
      <c r="R503" s="12"/>
      <c r="S503" s="12"/>
      <c r="T503" s="12"/>
      <c r="U503" s="12"/>
      <c r="V503" s="12"/>
      <c r="W503" s="12"/>
      <c r="X503" s="12"/>
      <c r="Y503" s="12"/>
      <c r="Z503" s="12"/>
      <c r="AA503" s="12"/>
      <c r="AB503" s="12"/>
      <c r="AD503" s="31"/>
      <c r="AE503" s="12"/>
      <c r="AF503" s="12"/>
      <c r="AG503" s="12"/>
      <c r="AH503" s="12"/>
      <c r="AI503" s="12"/>
      <c r="AJ503" s="12"/>
      <c r="AK503" s="12"/>
      <c r="AL503" s="12"/>
      <c r="AM503" s="12"/>
      <c r="AN503" s="12"/>
      <c r="AO503" s="12"/>
      <c r="AP503" s="12"/>
      <c r="AQ503" s="12"/>
      <c r="AR503" s="12"/>
      <c r="AS503" s="12"/>
      <c r="AT503" s="12"/>
    </row>
    <row r="504" spans="1:46" x14ac:dyDescent="0.25">
      <c r="A504" s="12"/>
      <c r="B504" s="12"/>
      <c r="C504" s="12"/>
      <c r="D504" s="12"/>
      <c r="E504" s="12"/>
      <c r="F504" s="12"/>
      <c r="G504" s="12"/>
      <c r="H504" s="12"/>
      <c r="I504" s="21" t="str">
        <f>IF(COUNTA('[1]Virus production'!A490)=1,('[1]Virus production'!A490),"")</f>
        <v/>
      </c>
      <c r="J504" s="12"/>
      <c r="L504" s="12"/>
      <c r="M504" s="12"/>
      <c r="N504" s="12"/>
      <c r="O504" s="12"/>
      <c r="P504" s="12"/>
      <c r="Q504" s="12"/>
      <c r="R504" s="12"/>
      <c r="S504" s="12"/>
      <c r="T504" s="12"/>
      <c r="U504" s="12"/>
      <c r="V504" s="12"/>
      <c r="W504" s="12"/>
      <c r="X504" s="12"/>
      <c r="Y504" s="12"/>
      <c r="Z504" s="12"/>
      <c r="AA504" s="12"/>
      <c r="AB504" s="12"/>
      <c r="AD504" s="31"/>
      <c r="AE504" s="12"/>
      <c r="AF504" s="12"/>
      <c r="AG504" s="12"/>
      <c r="AH504" s="12"/>
      <c r="AI504" s="12"/>
      <c r="AJ504" s="12"/>
      <c r="AK504" s="12"/>
      <c r="AL504" s="12"/>
      <c r="AM504" s="12"/>
      <c r="AN504" s="12"/>
      <c r="AO504" s="12"/>
      <c r="AP504" s="12"/>
      <c r="AQ504" s="12"/>
      <c r="AR504" s="12"/>
      <c r="AS504" s="12"/>
      <c r="AT504" s="12"/>
    </row>
    <row r="505" spans="1:46" x14ac:dyDescent="0.25">
      <c r="A505" s="12"/>
      <c r="B505" s="12"/>
      <c r="C505" s="12"/>
      <c r="D505" s="12"/>
      <c r="E505" s="12"/>
      <c r="F505" s="12"/>
      <c r="G505" s="12"/>
      <c r="H505" s="12"/>
      <c r="I505" s="21" t="str">
        <f>IF(COUNTA('[1]Virus production'!A491)=1,('[1]Virus production'!A491),"")</f>
        <v/>
      </c>
      <c r="J505" s="12"/>
      <c r="L505" s="12"/>
      <c r="M505" s="12"/>
      <c r="N505" s="12"/>
      <c r="O505" s="12"/>
      <c r="P505" s="12"/>
      <c r="Q505" s="12"/>
      <c r="R505" s="12"/>
      <c r="S505" s="12"/>
      <c r="T505" s="12"/>
      <c r="U505" s="12"/>
      <c r="V505" s="12"/>
      <c r="W505" s="12"/>
      <c r="X505" s="12"/>
      <c r="Y505" s="12"/>
      <c r="Z505" s="12"/>
      <c r="AA505" s="12"/>
      <c r="AB505" s="12"/>
      <c r="AD505" s="31"/>
      <c r="AE505" s="12"/>
      <c r="AF505" s="12"/>
      <c r="AG505" s="12"/>
      <c r="AH505" s="12"/>
      <c r="AI505" s="12"/>
      <c r="AJ505" s="12"/>
      <c r="AK505" s="12"/>
      <c r="AL505" s="12"/>
      <c r="AM505" s="12"/>
      <c r="AN505" s="12"/>
      <c r="AO505" s="12"/>
      <c r="AP505" s="12"/>
      <c r="AQ505" s="12"/>
      <c r="AR505" s="12"/>
      <c r="AS505" s="12"/>
      <c r="AT505" s="12"/>
    </row>
    <row r="506" spans="1:46" x14ac:dyDescent="0.25">
      <c r="A506" s="12"/>
      <c r="B506" s="12"/>
      <c r="C506" s="12"/>
      <c r="D506" s="12"/>
      <c r="E506" s="12"/>
      <c r="F506" s="12"/>
      <c r="G506" s="12"/>
      <c r="H506" s="12"/>
      <c r="I506" s="21" t="str">
        <f>IF(COUNTA('[1]Virus production'!A492)=1,('[1]Virus production'!A492),"")</f>
        <v/>
      </c>
      <c r="J506" s="12"/>
      <c r="L506" s="12"/>
      <c r="M506" s="12"/>
      <c r="N506" s="12"/>
      <c r="O506" s="12"/>
      <c r="P506" s="12"/>
      <c r="Q506" s="12"/>
      <c r="R506" s="12"/>
      <c r="S506" s="12"/>
      <c r="T506" s="12"/>
      <c r="U506" s="12"/>
      <c r="V506" s="12"/>
      <c r="W506" s="12"/>
      <c r="X506" s="12"/>
      <c r="Y506" s="12"/>
      <c r="Z506" s="12"/>
      <c r="AA506" s="12"/>
      <c r="AB506" s="12"/>
      <c r="AD506" s="31"/>
      <c r="AE506" s="12"/>
      <c r="AF506" s="12"/>
      <c r="AG506" s="12"/>
      <c r="AH506" s="12"/>
      <c r="AI506" s="12"/>
      <c r="AJ506" s="12"/>
      <c r="AK506" s="12"/>
      <c r="AL506" s="12"/>
      <c r="AM506" s="12"/>
      <c r="AN506" s="12"/>
      <c r="AO506" s="12"/>
      <c r="AP506" s="12"/>
      <c r="AQ506" s="12"/>
      <c r="AR506" s="12"/>
      <c r="AS506" s="12"/>
      <c r="AT506" s="12"/>
    </row>
    <row r="507" spans="1:46" x14ac:dyDescent="0.25">
      <c r="A507" s="12"/>
      <c r="B507" s="12"/>
      <c r="C507" s="12"/>
      <c r="D507" s="12"/>
      <c r="E507" s="12"/>
      <c r="F507" s="12"/>
      <c r="G507" s="12"/>
      <c r="H507" s="12"/>
      <c r="I507" s="21" t="str">
        <f>IF(COUNTA('[1]Virus production'!A493)=1,('[1]Virus production'!A493),"")</f>
        <v/>
      </c>
      <c r="J507" s="12"/>
      <c r="L507" s="12"/>
      <c r="M507" s="12"/>
      <c r="N507" s="12"/>
      <c r="O507" s="12"/>
      <c r="P507" s="12"/>
      <c r="Q507" s="12"/>
      <c r="R507" s="12"/>
      <c r="S507" s="12"/>
      <c r="T507" s="12"/>
      <c r="U507" s="12"/>
      <c r="V507" s="12"/>
      <c r="W507" s="12"/>
      <c r="X507" s="12"/>
      <c r="Y507" s="12"/>
      <c r="Z507" s="12"/>
      <c r="AA507" s="12"/>
      <c r="AB507" s="12"/>
      <c r="AD507" s="31"/>
      <c r="AE507" s="12"/>
      <c r="AF507" s="12"/>
      <c r="AG507" s="12"/>
      <c r="AH507" s="12"/>
      <c r="AI507" s="12"/>
      <c r="AJ507" s="12"/>
      <c r="AK507" s="12"/>
      <c r="AL507" s="12"/>
      <c r="AM507" s="12"/>
      <c r="AN507" s="12"/>
      <c r="AO507" s="12"/>
      <c r="AP507" s="12"/>
      <c r="AQ507" s="12"/>
      <c r="AR507" s="12"/>
      <c r="AS507" s="12"/>
      <c r="AT507" s="12"/>
    </row>
    <row r="508" spans="1:46" x14ac:dyDescent="0.25">
      <c r="A508" s="12"/>
      <c r="B508" s="12"/>
      <c r="C508" s="12"/>
      <c r="D508" s="12"/>
      <c r="E508" s="12"/>
      <c r="F508" s="12"/>
      <c r="G508" s="12"/>
      <c r="H508" s="12"/>
      <c r="I508" s="21" t="str">
        <f>IF(COUNTA('[1]Virus production'!A494)=1,('[1]Virus production'!A494),"")</f>
        <v/>
      </c>
      <c r="J508" s="12"/>
      <c r="L508" s="12"/>
      <c r="M508" s="12"/>
      <c r="N508" s="12"/>
      <c r="O508" s="12"/>
      <c r="P508" s="12"/>
      <c r="Q508" s="12"/>
      <c r="R508" s="12"/>
      <c r="S508" s="12"/>
      <c r="T508" s="12"/>
      <c r="U508" s="12"/>
      <c r="V508" s="12"/>
      <c r="W508" s="12"/>
      <c r="X508" s="12"/>
      <c r="Y508" s="12"/>
      <c r="Z508" s="12"/>
      <c r="AA508" s="12"/>
      <c r="AB508" s="12"/>
      <c r="AD508" s="31"/>
      <c r="AE508" s="12"/>
      <c r="AF508" s="12"/>
      <c r="AG508" s="12"/>
      <c r="AH508" s="12"/>
      <c r="AI508" s="12"/>
      <c r="AJ508" s="12"/>
      <c r="AK508" s="12"/>
      <c r="AL508" s="12"/>
      <c r="AM508" s="12"/>
      <c r="AN508" s="12"/>
      <c r="AO508" s="12"/>
      <c r="AP508" s="12"/>
      <c r="AQ508" s="12"/>
      <c r="AR508" s="12"/>
      <c r="AS508" s="12"/>
      <c r="AT508" s="12"/>
    </row>
    <row r="509" spans="1:46" x14ac:dyDescent="0.25">
      <c r="A509" s="12"/>
      <c r="B509" s="12"/>
      <c r="C509" s="12"/>
      <c r="D509" s="12"/>
      <c r="E509" s="12"/>
      <c r="F509" s="12"/>
      <c r="G509" s="12"/>
      <c r="H509" s="12"/>
      <c r="I509" s="21" t="str">
        <f>IF(COUNTA('[1]Virus production'!A495)=1,('[1]Virus production'!A495),"")</f>
        <v/>
      </c>
      <c r="J509" s="12"/>
      <c r="L509" s="12"/>
      <c r="M509" s="12"/>
      <c r="N509" s="12"/>
      <c r="O509" s="12"/>
      <c r="P509" s="12"/>
      <c r="Q509" s="12"/>
      <c r="R509" s="12"/>
      <c r="S509" s="12"/>
      <c r="T509" s="12"/>
      <c r="U509" s="12"/>
      <c r="V509" s="12"/>
      <c r="W509" s="12"/>
      <c r="X509" s="12"/>
      <c r="Y509" s="12"/>
      <c r="Z509" s="12"/>
      <c r="AA509" s="12"/>
      <c r="AB509" s="12"/>
      <c r="AD509" s="31"/>
      <c r="AE509" s="12"/>
      <c r="AF509" s="12"/>
      <c r="AG509" s="12"/>
      <c r="AH509" s="12"/>
      <c r="AI509" s="12"/>
      <c r="AJ509" s="12"/>
      <c r="AK509" s="12"/>
      <c r="AL509" s="12"/>
      <c r="AM509" s="12"/>
      <c r="AN509" s="12"/>
      <c r="AO509" s="12"/>
      <c r="AP509" s="12"/>
      <c r="AQ509" s="12"/>
      <c r="AR509" s="12"/>
      <c r="AS509" s="12"/>
      <c r="AT509" s="12"/>
    </row>
    <row r="510" spans="1:46" x14ac:dyDescent="0.25">
      <c r="A510" s="12"/>
      <c r="B510" s="12"/>
      <c r="C510" s="12"/>
      <c r="D510" s="12"/>
      <c r="E510" s="12"/>
      <c r="F510" s="12"/>
      <c r="G510" s="12"/>
      <c r="H510" s="12"/>
      <c r="I510" s="21" t="str">
        <f>IF(COUNTA('[1]Virus production'!A496)=1,('[1]Virus production'!A496),"")</f>
        <v/>
      </c>
      <c r="J510" s="12"/>
      <c r="L510" s="12"/>
      <c r="M510" s="12"/>
      <c r="N510" s="12"/>
      <c r="O510" s="12"/>
      <c r="P510" s="12"/>
      <c r="Q510" s="12"/>
      <c r="R510" s="12"/>
      <c r="S510" s="12"/>
      <c r="T510" s="12"/>
      <c r="U510" s="12"/>
      <c r="V510" s="12"/>
      <c r="W510" s="12"/>
      <c r="X510" s="12"/>
      <c r="Y510" s="12"/>
      <c r="Z510" s="12"/>
      <c r="AA510" s="12"/>
      <c r="AB510" s="12"/>
      <c r="AD510" s="31"/>
      <c r="AE510" s="12"/>
      <c r="AF510" s="12"/>
      <c r="AG510" s="12"/>
      <c r="AH510" s="12"/>
      <c r="AI510" s="12"/>
      <c r="AJ510" s="12"/>
      <c r="AK510" s="12"/>
      <c r="AL510" s="12"/>
      <c r="AM510" s="12"/>
      <c r="AN510" s="12"/>
      <c r="AO510" s="12"/>
      <c r="AP510" s="12"/>
      <c r="AQ510" s="12"/>
      <c r="AR510" s="12"/>
      <c r="AS510" s="12"/>
      <c r="AT510" s="12"/>
    </row>
    <row r="511" spans="1:46" x14ac:dyDescent="0.25">
      <c r="A511" s="12"/>
      <c r="B511" s="12"/>
      <c r="C511" s="12"/>
      <c r="D511" s="12"/>
      <c r="E511" s="12"/>
      <c r="F511" s="12"/>
      <c r="G511" s="12"/>
      <c r="H511" s="12"/>
      <c r="I511" s="21" t="str">
        <f>IF(COUNTA('[1]Virus production'!A497)=1,('[1]Virus production'!A497),"")</f>
        <v/>
      </c>
      <c r="J511" s="12"/>
      <c r="L511" s="12"/>
      <c r="M511" s="12"/>
      <c r="N511" s="12"/>
      <c r="O511" s="12"/>
      <c r="P511" s="12"/>
      <c r="Q511" s="12"/>
      <c r="R511" s="12"/>
      <c r="S511" s="12"/>
      <c r="T511" s="12"/>
      <c r="U511" s="12"/>
      <c r="V511" s="12"/>
      <c r="W511" s="12"/>
      <c r="X511" s="12"/>
      <c r="Y511" s="12"/>
      <c r="Z511" s="12"/>
      <c r="AA511" s="12"/>
      <c r="AB511" s="12"/>
      <c r="AD511" s="31"/>
      <c r="AE511" s="12"/>
      <c r="AF511" s="12"/>
      <c r="AG511" s="12"/>
      <c r="AH511" s="12"/>
      <c r="AI511" s="12"/>
      <c r="AJ511" s="12"/>
      <c r="AK511" s="12"/>
      <c r="AL511" s="12"/>
      <c r="AM511" s="12"/>
      <c r="AN511" s="12"/>
      <c r="AO511" s="12"/>
      <c r="AP511" s="12"/>
      <c r="AQ511" s="12"/>
      <c r="AR511" s="12"/>
      <c r="AS511" s="12"/>
      <c r="AT511" s="12"/>
    </row>
    <row r="512" spans="1:46" x14ac:dyDescent="0.25">
      <c r="A512" s="12"/>
      <c r="B512" s="12"/>
      <c r="C512" s="12"/>
      <c r="D512" s="12"/>
      <c r="E512" s="12"/>
      <c r="F512" s="12"/>
      <c r="G512" s="12"/>
      <c r="H512" s="12"/>
      <c r="I512" s="21" t="str">
        <f>IF(COUNTA('[1]Virus production'!A498)=1,('[1]Virus production'!A498),"")</f>
        <v/>
      </c>
      <c r="J512" s="12"/>
      <c r="L512" s="12"/>
      <c r="M512" s="12"/>
      <c r="N512" s="12"/>
      <c r="O512" s="12"/>
      <c r="P512" s="12"/>
      <c r="Q512" s="12"/>
      <c r="R512" s="12"/>
      <c r="S512" s="12"/>
      <c r="T512" s="12"/>
      <c r="U512" s="12"/>
      <c r="V512" s="12"/>
      <c r="W512" s="12"/>
      <c r="X512" s="12"/>
      <c r="Y512" s="12"/>
      <c r="Z512" s="12"/>
      <c r="AA512" s="12"/>
      <c r="AB512" s="12"/>
      <c r="AD512" s="31"/>
      <c r="AE512" s="12"/>
      <c r="AF512" s="12"/>
      <c r="AG512" s="12"/>
      <c r="AH512" s="12"/>
      <c r="AI512" s="12"/>
      <c r="AJ512" s="12"/>
      <c r="AK512" s="12"/>
      <c r="AL512" s="12"/>
      <c r="AM512" s="12"/>
      <c r="AN512" s="12"/>
      <c r="AO512" s="12"/>
      <c r="AP512" s="12"/>
      <c r="AQ512" s="12"/>
      <c r="AR512" s="12"/>
      <c r="AS512" s="12"/>
      <c r="AT512" s="12"/>
    </row>
    <row r="513" spans="1:46" x14ac:dyDescent="0.25">
      <c r="A513" s="12"/>
      <c r="B513" s="12"/>
      <c r="C513" s="12"/>
      <c r="D513" s="12"/>
      <c r="E513" s="12"/>
      <c r="F513" s="12"/>
      <c r="G513" s="12"/>
      <c r="H513" s="12"/>
      <c r="I513" s="21" t="str">
        <f>IF(COUNTA('[1]Virus production'!A499)=1,('[1]Virus production'!A499),"")</f>
        <v/>
      </c>
      <c r="J513" s="12"/>
      <c r="L513" s="12"/>
      <c r="M513" s="12"/>
      <c r="N513" s="12"/>
      <c r="O513" s="12"/>
      <c r="P513" s="12"/>
      <c r="Q513" s="12"/>
      <c r="R513" s="12"/>
      <c r="S513" s="12"/>
      <c r="T513" s="12"/>
      <c r="U513" s="12"/>
      <c r="V513" s="12"/>
      <c r="W513" s="12"/>
      <c r="X513" s="12"/>
      <c r="Y513" s="12"/>
      <c r="Z513" s="12"/>
      <c r="AA513" s="12"/>
      <c r="AB513" s="12"/>
      <c r="AD513" s="31"/>
      <c r="AE513" s="12"/>
      <c r="AF513" s="12"/>
      <c r="AG513" s="12"/>
      <c r="AH513" s="12"/>
      <c r="AI513" s="12"/>
      <c r="AJ513" s="12"/>
      <c r="AK513" s="12"/>
      <c r="AL513" s="12"/>
      <c r="AM513" s="12"/>
      <c r="AN513" s="12"/>
      <c r="AO513" s="12"/>
      <c r="AP513" s="12"/>
      <c r="AQ513" s="12"/>
      <c r="AR513" s="12"/>
      <c r="AS513" s="12"/>
      <c r="AT513" s="12"/>
    </row>
    <row r="514" spans="1:46" x14ac:dyDescent="0.25">
      <c r="A514" s="12"/>
      <c r="B514" s="12"/>
      <c r="C514" s="12"/>
      <c r="D514" s="12"/>
      <c r="E514" s="12"/>
      <c r="F514" s="12"/>
      <c r="G514" s="12"/>
      <c r="H514" s="12"/>
      <c r="I514" s="21" t="str">
        <f>IF(COUNTA('[1]Virus production'!A500)=1,('[1]Virus production'!A500),"")</f>
        <v/>
      </c>
      <c r="J514" s="12"/>
      <c r="L514" s="12"/>
      <c r="M514" s="12"/>
      <c r="N514" s="12"/>
      <c r="O514" s="12"/>
      <c r="P514" s="12"/>
      <c r="Q514" s="12"/>
      <c r="R514" s="12"/>
      <c r="S514" s="12"/>
      <c r="T514" s="12"/>
      <c r="U514" s="12"/>
      <c r="V514" s="12"/>
      <c r="W514" s="12"/>
      <c r="X514" s="12"/>
      <c r="Y514" s="12"/>
      <c r="Z514" s="12"/>
      <c r="AA514" s="12"/>
      <c r="AB514" s="12"/>
      <c r="AD514" s="31"/>
      <c r="AE514" s="12"/>
      <c r="AF514" s="12"/>
      <c r="AG514" s="12"/>
      <c r="AH514" s="12"/>
      <c r="AI514" s="12"/>
      <c r="AJ514" s="12"/>
      <c r="AK514" s="12"/>
      <c r="AL514" s="12"/>
      <c r="AM514" s="12"/>
      <c r="AN514" s="12"/>
      <c r="AO514" s="12"/>
      <c r="AP514" s="12"/>
      <c r="AQ514" s="12"/>
      <c r="AR514" s="12"/>
      <c r="AS514" s="12"/>
      <c r="AT514" s="12"/>
    </row>
    <row r="515" spans="1:46" x14ac:dyDescent="0.25">
      <c r="A515" s="12"/>
      <c r="B515" s="12"/>
      <c r="C515" s="12"/>
      <c r="D515" s="12"/>
      <c r="E515" s="12"/>
      <c r="F515" s="12"/>
      <c r="G515" s="12"/>
      <c r="H515" s="12"/>
      <c r="I515" s="21" t="str">
        <f>IF(COUNTA('[1]Virus production'!A501)=1,('[1]Virus production'!A501),"")</f>
        <v/>
      </c>
      <c r="J515" s="12"/>
      <c r="L515" s="12"/>
      <c r="M515" s="12"/>
      <c r="N515" s="12"/>
      <c r="O515" s="12"/>
      <c r="P515" s="12"/>
      <c r="Q515" s="12"/>
      <c r="R515" s="12"/>
      <c r="S515" s="12"/>
      <c r="T515" s="12"/>
      <c r="U515" s="12"/>
      <c r="V515" s="12"/>
      <c r="W515" s="12"/>
      <c r="X515" s="12"/>
      <c r="Y515" s="12"/>
      <c r="Z515" s="12"/>
      <c r="AA515" s="12"/>
      <c r="AB515" s="12"/>
      <c r="AD515" s="31"/>
      <c r="AE515" s="12"/>
      <c r="AF515" s="12"/>
      <c r="AG515" s="12"/>
      <c r="AH515" s="12"/>
      <c r="AI515" s="12"/>
      <c r="AJ515" s="12"/>
      <c r="AK515" s="12"/>
      <c r="AL515" s="12"/>
      <c r="AM515" s="12"/>
      <c r="AN515" s="12"/>
      <c r="AO515" s="12"/>
      <c r="AP515" s="12"/>
      <c r="AQ515" s="12"/>
      <c r="AR515" s="12"/>
      <c r="AS515" s="12"/>
      <c r="AT515" s="12"/>
    </row>
    <row r="516" spans="1:46" x14ac:dyDescent="0.25">
      <c r="A516" s="12"/>
      <c r="B516" s="12"/>
      <c r="C516" s="12"/>
      <c r="D516" s="12"/>
      <c r="E516" s="12"/>
      <c r="F516" s="12"/>
      <c r="G516" s="12"/>
      <c r="H516" s="12"/>
      <c r="I516" s="21" t="str">
        <f>IF(COUNTA('[1]Virus production'!A502)=1,('[1]Virus production'!A502),"")</f>
        <v/>
      </c>
      <c r="J516" s="12"/>
      <c r="L516" s="12"/>
      <c r="M516" s="12"/>
      <c r="N516" s="12"/>
      <c r="O516" s="12"/>
      <c r="P516" s="12"/>
      <c r="Q516" s="12"/>
      <c r="R516" s="12"/>
      <c r="S516" s="12"/>
      <c r="T516" s="12"/>
      <c r="U516" s="12"/>
      <c r="V516" s="12"/>
      <c r="W516" s="12"/>
      <c r="X516" s="12"/>
      <c r="Y516" s="12"/>
      <c r="Z516" s="12"/>
      <c r="AA516" s="12"/>
      <c r="AB516" s="12"/>
      <c r="AD516" s="31"/>
      <c r="AE516" s="12"/>
      <c r="AF516" s="12"/>
      <c r="AG516" s="12"/>
      <c r="AH516" s="12"/>
      <c r="AI516" s="12"/>
      <c r="AJ516" s="12"/>
      <c r="AK516" s="12"/>
      <c r="AL516" s="12"/>
      <c r="AM516" s="12"/>
      <c r="AN516" s="12"/>
      <c r="AO516" s="12"/>
      <c r="AP516" s="12"/>
      <c r="AQ516" s="12"/>
      <c r="AR516" s="12"/>
      <c r="AS516" s="12"/>
      <c r="AT516" s="12"/>
    </row>
    <row r="517" spans="1:46" x14ac:dyDescent="0.25">
      <c r="A517" s="12"/>
      <c r="B517" s="12"/>
      <c r="C517" s="12"/>
      <c r="D517" s="12"/>
      <c r="E517" s="12"/>
      <c r="F517" s="12"/>
      <c r="G517" s="12"/>
      <c r="H517" s="12"/>
      <c r="I517" s="21" t="str">
        <f>IF(COUNTA('[1]Virus production'!A503)=1,('[1]Virus production'!A503),"")</f>
        <v/>
      </c>
      <c r="J517" s="12"/>
      <c r="L517" s="12"/>
      <c r="M517" s="12"/>
      <c r="N517" s="12"/>
      <c r="O517" s="12"/>
      <c r="P517" s="12"/>
      <c r="Q517" s="12"/>
      <c r="R517" s="12"/>
      <c r="S517" s="12"/>
      <c r="T517" s="12"/>
      <c r="U517" s="12"/>
      <c r="V517" s="12"/>
      <c r="W517" s="12"/>
      <c r="X517" s="12"/>
      <c r="Y517" s="12"/>
      <c r="Z517" s="12"/>
      <c r="AA517" s="12"/>
      <c r="AB517" s="12"/>
      <c r="AD517" s="31"/>
      <c r="AE517" s="12"/>
      <c r="AF517" s="12"/>
      <c r="AG517" s="12"/>
      <c r="AH517" s="12"/>
      <c r="AI517" s="12"/>
      <c r="AJ517" s="12"/>
      <c r="AK517" s="12"/>
      <c r="AL517" s="12"/>
      <c r="AM517" s="12"/>
      <c r="AN517" s="12"/>
      <c r="AO517" s="12"/>
      <c r="AP517" s="12"/>
      <c r="AQ517" s="12"/>
      <c r="AR517" s="12"/>
      <c r="AS517" s="12"/>
      <c r="AT517" s="12"/>
    </row>
    <row r="518" spans="1:46" x14ac:dyDescent="0.25">
      <c r="A518" s="12"/>
      <c r="B518" s="12"/>
      <c r="C518" s="12"/>
      <c r="D518" s="12"/>
      <c r="E518" s="12"/>
      <c r="F518" s="12"/>
      <c r="G518" s="12"/>
      <c r="H518" s="12"/>
      <c r="I518" s="21" t="str">
        <f>IF(COUNTA('[1]Virus production'!A504)=1,('[1]Virus production'!A504),"")</f>
        <v/>
      </c>
      <c r="J518" s="12"/>
      <c r="L518" s="12"/>
      <c r="M518" s="12"/>
      <c r="N518" s="12"/>
      <c r="O518" s="12"/>
      <c r="P518" s="12"/>
      <c r="Q518" s="12"/>
      <c r="R518" s="12"/>
      <c r="S518" s="12"/>
      <c r="T518" s="12"/>
      <c r="U518" s="12"/>
      <c r="V518" s="12"/>
      <c r="W518" s="12"/>
      <c r="X518" s="12"/>
      <c r="Y518" s="12"/>
      <c r="Z518" s="12"/>
      <c r="AA518" s="12"/>
      <c r="AB518" s="12"/>
      <c r="AD518" s="31"/>
      <c r="AE518" s="12"/>
      <c r="AF518" s="12"/>
      <c r="AG518" s="12"/>
      <c r="AH518" s="12"/>
      <c r="AI518" s="12"/>
      <c r="AJ518" s="12"/>
      <c r="AK518" s="12"/>
      <c r="AL518" s="12"/>
      <c r="AM518" s="12"/>
      <c r="AN518" s="12"/>
      <c r="AO518" s="12"/>
      <c r="AP518" s="12"/>
      <c r="AQ518" s="12"/>
      <c r="AR518" s="12"/>
      <c r="AS518" s="12"/>
      <c r="AT518" s="12"/>
    </row>
    <row r="519" spans="1:46" x14ac:dyDescent="0.25">
      <c r="A519" s="12"/>
      <c r="B519" s="12"/>
      <c r="C519" s="12"/>
      <c r="D519" s="12"/>
      <c r="E519" s="12"/>
      <c r="F519" s="12"/>
      <c r="G519" s="12"/>
      <c r="H519" s="12"/>
      <c r="I519" s="21" t="str">
        <f>IF(COUNTA('[1]Virus production'!A505)=1,('[1]Virus production'!A505),"")</f>
        <v/>
      </c>
      <c r="J519" s="12"/>
      <c r="L519" s="12"/>
      <c r="M519" s="12"/>
      <c r="N519" s="12"/>
      <c r="O519" s="12"/>
      <c r="P519" s="12"/>
      <c r="Q519" s="12"/>
      <c r="R519" s="12"/>
      <c r="S519" s="12"/>
      <c r="T519" s="12"/>
      <c r="U519" s="12"/>
      <c r="V519" s="12"/>
      <c r="W519" s="12"/>
      <c r="X519" s="12"/>
      <c r="Y519" s="12"/>
      <c r="Z519" s="12"/>
      <c r="AA519" s="12"/>
      <c r="AB519" s="12"/>
      <c r="AD519" s="31"/>
      <c r="AE519" s="12"/>
      <c r="AF519" s="12"/>
      <c r="AG519" s="12"/>
      <c r="AH519" s="12"/>
      <c r="AI519" s="12"/>
      <c r="AJ519" s="12"/>
      <c r="AK519" s="12"/>
      <c r="AL519" s="12"/>
      <c r="AM519" s="12"/>
      <c r="AN519" s="12"/>
      <c r="AO519" s="12"/>
      <c r="AP519" s="12"/>
      <c r="AQ519" s="12"/>
      <c r="AR519" s="12"/>
      <c r="AS519" s="12"/>
      <c r="AT519" s="12"/>
    </row>
    <row r="520" spans="1:46" x14ac:dyDescent="0.25">
      <c r="A520" s="12"/>
      <c r="B520" s="12"/>
      <c r="C520" s="12"/>
      <c r="D520" s="12"/>
      <c r="E520" s="12"/>
      <c r="F520" s="12"/>
      <c r="G520" s="12"/>
      <c r="H520" s="12"/>
      <c r="I520" s="21" t="str">
        <f>IF(COUNTA('[1]Virus production'!A506)=1,('[1]Virus production'!A506),"")</f>
        <v/>
      </c>
      <c r="J520" s="12"/>
      <c r="L520" s="12"/>
      <c r="M520" s="12"/>
      <c r="N520" s="12"/>
      <c r="O520" s="12"/>
      <c r="P520" s="12"/>
      <c r="Q520" s="12"/>
      <c r="R520" s="12"/>
      <c r="S520" s="12"/>
      <c r="T520" s="12"/>
      <c r="U520" s="12"/>
      <c r="V520" s="12"/>
      <c r="W520" s="12"/>
      <c r="X520" s="12"/>
      <c r="Y520" s="12"/>
      <c r="Z520" s="12"/>
      <c r="AA520" s="12"/>
      <c r="AB520" s="12"/>
      <c r="AD520" s="31"/>
      <c r="AE520" s="12"/>
      <c r="AF520" s="12"/>
      <c r="AG520" s="12"/>
      <c r="AH520" s="12"/>
      <c r="AI520" s="12"/>
      <c r="AJ520" s="12"/>
      <c r="AK520" s="12"/>
      <c r="AL520" s="12"/>
      <c r="AM520" s="12"/>
      <c r="AN520" s="12"/>
      <c r="AO520" s="12"/>
      <c r="AP520" s="12"/>
      <c r="AQ520" s="12"/>
      <c r="AR520" s="12"/>
      <c r="AS520" s="12"/>
      <c r="AT520" s="12"/>
    </row>
    <row r="521" spans="1:46" x14ac:dyDescent="0.25">
      <c r="A521" s="12"/>
      <c r="B521" s="12"/>
      <c r="C521" s="12"/>
      <c r="D521" s="12"/>
      <c r="E521" s="12"/>
      <c r="F521" s="12"/>
      <c r="G521" s="12"/>
      <c r="H521" s="12"/>
      <c r="I521" s="21" t="str">
        <f>IF(COUNTA('[1]Virus production'!A507)=1,('[1]Virus production'!A507),"")</f>
        <v/>
      </c>
      <c r="J521" s="12"/>
      <c r="L521" s="12"/>
      <c r="M521" s="12"/>
      <c r="N521" s="12"/>
      <c r="O521" s="12"/>
      <c r="P521" s="12"/>
      <c r="Q521" s="12"/>
      <c r="R521" s="12"/>
      <c r="S521" s="12"/>
      <c r="T521" s="12"/>
      <c r="U521" s="12"/>
      <c r="V521" s="12"/>
      <c r="W521" s="12"/>
      <c r="X521" s="12"/>
      <c r="Y521" s="12"/>
      <c r="Z521" s="12"/>
      <c r="AA521" s="12"/>
      <c r="AB521" s="12"/>
      <c r="AD521" s="31"/>
      <c r="AE521" s="12"/>
      <c r="AF521" s="12"/>
      <c r="AG521" s="12"/>
      <c r="AH521" s="12"/>
      <c r="AI521" s="12"/>
      <c r="AJ521" s="12"/>
      <c r="AK521" s="12"/>
      <c r="AL521" s="12"/>
      <c r="AM521" s="12"/>
      <c r="AN521" s="12"/>
      <c r="AO521" s="12"/>
      <c r="AP521" s="12"/>
      <c r="AQ521" s="12"/>
      <c r="AR521" s="12"/>
      <c r="AS521" s="12"/>
      <c r="AT521" s="12"/>
    </row>
    <row r="522" spans="1:46" x14ac:dyDescent="0.25">
      <c r="A522" s="12"/>
      <c r="B522" s="12"/>
      <c r="C522" s="12"/>
      <c r="D522" s="12"/>
      <c r="E522" s="12"/>
      <c r="F522" s="12"/>
      <c r="G522" s="12"/>
      <c r="H522" s="12"/>
      <c r="I522" s="21" t="str">
        <f>IF(COUNTA('[1]Virus production'!A508)=1,('[1]Virus production'!A508),"")</f>
        <v/>
      </c>
      <c r="J522" s="12"/>
      <c r="L522" s="12"/>
      <c r="M522" s="12"/>
      <c r="N522" s="12"/>
      <c r="O522" s="12"/>
      <c r="P522" s="12"/>
      <c r="Q522" s="12"/>
      <c r="R522" s="12"/>
      <c r="S522" s="12"/>
      <c r="T522" s="12"/>
      <c r="U522" s="12"/>
      <c r="V522" s="12"/>
      <c r="W522" s="12"/>
      <c r="X522" s="12"/>
      <c r="Y522" s="12"/>
      <c r="Z522" s="12"/>
      <c r="AA522" s="12"/>
      <c r="AB522" s="12"/>
      <c r="AD522" s="31"/>
      <c r="AE522" s="12"/>
      <c r="AF522" s="12"/>
      <c r="AG522" s="12"/>
      <c r="AH522" s="12"/>
      <c r="AI522" s="12"/>
      <c r="AJ522" s="12"/>
      <c r="AK522" s="12"/>
      <c r="AL522" s="12"/>
      <c r="AM522" s="12"/>
      <c r="AN522" s="12"/>
      <c r="AO522" s="12"/>
      <c r="AP522" s="12"/>
      <c r="AQ522" s="12"/>
      <c r="AR522" s="12"/>
      <c r="AS522" s="12"/>
      <c r="AT522" s="12"/>
    </row>
    <row r="523" spans="1:46" x14ac:dyDescent="0.25">
      <c r="A523" s="12"/>
      <c r="B523" s="12"/>
      <c r="C523" s="12"/>
      <c r="D523" s="12"/>
      <c r="E523" s="12"/>
      <c r="F523" s="12"/>
      <c r="G523" s="12"/>
      <c r="H523" s="12"/>
      <c r="I523" s="21" t="str">
        <f>IF(COUNTA('[1]Virus production'!A509)=1,('[1]Virus production'!A509),"")</f>
        <v/>
      </c>
      <c r="J523" s="12"/>
      <c r="L523" s="12"/>
      <c r="M523" s="12"/>
      <c r="N523" s="12"/>
      <c r="O523" s="12"/>
      <c r="P523" s="12"/>
      <c r="Q523" s="12"/>
      <c r="R523" s="12"/>
      <c r="S523" s="12"/>
      <c r="T523" s="12"/>
      <c r="U523" s="12"/>
      <c r="V523" s="12"/>
      <c r="W523" s="12"/>
      <c r="X523" s="12"/>
      <c r="Y523" s="12"/>
      <c r="Z523" s="12"/>
      <c r="AA523" s="12"/>
      <c r="AB523" s="12"/>
      <c r="AD523" s="31"/>
      <c r="AE523" s="12"/>
      <c r="AF523" s="12"/>
      <c r="AG523" s="12"/>
      <c r="AH523" s="12"/>
      <c r="AI523" s="12"/>
      <c r="AJ523" s="12"/>
      <c r="AK523" s="12"/>
      <c r="AL523" s="12"/>
      <c r="AM523" s="12"/>
      <c r="AN523" s="12"/>
      <c r="AO523" s="12"/>
      <c r="AP523" s="12"/>
      <c r="AQ523" s="12"/>
      <c r="AR523" s="12"/>
      <c r="AS523" s="12"/>
      <c r="AT523" s="12"/>
    </row>
    <row r="524" spans="1:46" x14ac:dyDescent="0.25">
      <c r="A524" s="12"/>
      <c r="B524" s="12"/>
      <c r="C524" s="12"/>
      <c r="D524" s="12"/>
      <c r="E524" s="12"/>
      <c r="F524" s="12"/>
      <c r="G524" s="12"/>
      <c r="H524" s="12"/>
      <c r="I524" s="21" t="str">
        <f>IF(COUNTA('[1]Virus production'!A510)=1,('[1]Virus production'!A510),"")</f>
        <v/>
      </c>
      <c r="J524" s="12"/>
      <c r="L524" s="12"/>
      <c r="M524" s="12"/>
      <c r="N524" s="12"/>
      <c r="O524" s="12"/>
      <c r="P524" s="12"/>
      <c r="Q524" s="12"/>
      <c r="R524" s="12"/>
      <c r="S524" s="12"/>
      <c r="T524" s="12"/>
      <c r="U524" s="12"/>
      <c r="V524" s="12"/>
      <c r="W524" s="12"/>
      <c r="X524" s="12"/>
      <c r="Y524" s="12"/>
      <c r="Z524" s="12"/>
      <c r="AA524" s="12"/>
      <c r="AB524" s="12"/>
      <c r="AD524" s="31"/>
      <c r="AE524" s="12"/>
      <c r="AF524" s="12"/>
      <c r="AG524" s="12"/>
      <c r="AH524" s="12"/>
      <c r="AI524" s="12"/>
      <c r="AJ524" s="12"/>
      <c r="AK524" s="12"/>
      <c r="AL524" s="12"/>
      <c r="AM524" s="12"/>
      <c r="AN524" s="12"/>
      <c r="AO524" s="12"/>
      <c r="AP524" s="12"/>
      <c r="AQ524" s="12"/>
      <c r="AR524" s="12"/>
      <c r="AS524" s="12"/>
      <c r="AT524" s="12"/>
    </row>
    <row r="525" spans="1:46" x14ac:dyDescent="0.25">
      <c r="A525" s="12"/>
      <c r="B525" s="12"/>
      <c r="C525" s="12"/>
      <c r="D525" s="12"/>
      <c r="E525" s="12"/>
      <c r="F525" s="12"/>
      <c r="G525" s="12"/>
      <c r="H525" s="12"/>
      <c r="I525" s="21" t="str">
        <f>IF(COUNTA('[1]Virus production'!A511)=1,('[1]Virus production'!A511),"")</f>
        <v/>
      </c>
      <c r="J525" s="12"/>
      <c r="L525" s="12"/>
      <c r="M525" s="12"/>
      <c r="N525" s="12"/>
      <c r="O525" s="12"/>
      <c r="P525" s="12"/>
      <c r="Q525" s="12"/>
      <c r="R525" s="12"/>
      <c r="S525" s="12"/>
      <c r="T525" s="12"/>
      <c r="U525" s="12"/>
      <c r="V525" s="12"/>
      <c r="W525" s="12"/>
      <c r="X525" s="12"/>
      <c r="Y525" s="12"/>
      <c r="Z525" s="12"/>
      <c r="AA525" s="12"/>
      <c r="AB525" s="12"/>
      <c r="AD525" s="31"/>
      <c r="AE525" s="12"/>
      <c r="AF525" s="12"/>
      <c r="AG525" s="12"/>
      <c r="AH525" s="12"/>
      <c r="AI525" s="12"/>
      <c r="AJ525" s="12"/>
      <c r="AK525" s="12"/>
      <c r="AL525" s="12"/>
      <c r="AM525" s="12"/>
      <c r="AN525" s="12"/>
      <c r="AO525" s="12"/>
      <c r="AP525" s="12"/>
      <c r="AQ525" s="12"/>
      <c r="AR525" s="12"/>
      <c r="AS525" s="12"/>
      <c r="AT525" s="12"/>
    </row>
    <row r="526" spans="1:46" x14ac:dyDescent="0.25">
      <c r="A526" s="12"/>
      <c r="B526" s="12"/>
      <c r="C526" s="12"/>
      <c r="D526" s="12"/>
      <c r="E526" s="12"/>
      <c r="F526" s="12"/>
      <c r="G526" s="12"/>
      <c r="H526" s="12"/>
      <c r="I526" s="21" t="str">
        <f>IF(COUNTA('[1]Virus production'!A512)=1,('[1]Virus production'!A512),"")</f>
        <v/>
      </c>
      <c r="J526" s="12"/>
      <c r="L526" s="12"/>
      <c r="M526" s="12"/>
      <c r="N526" s="12"/>
      <c r="O526" s="12"/>
      <c r="P526" s="12"/>
      <c r="Q526" s="12"/>
      <c r="R526" s="12"/>
      <c r="S526" s="12"/>
      <c r="T526" s="12"/>
      <c r="U526" s="12"/>
      <c r="V526" s="12"/>
      <c r="W526" s="12"/>
      <c r="X526" s="12"/>
      <c r="Y526" s="12"/>
      <c r="Z526" s="12"/>
      <c r="AA526" s="12"/>
      <c r="AB526" s="12"/>
      <c r="AD526" s="31"/>
      <c r="AE526" s="12"/>
      <c r="AF526" s="12"/>
      <c r="AG526" s="12"/>
      <c r="AH526" s="12"/>
      <c r="AI526" s="12"/>
      <c r="AJ526" s="12"/>
      <c r="AK526" s="12"/>
      <c r="AL526" s="12"/>
      <c r="AM526" s="12"/>
      <c r="AN526" s="12"/>
      <c r="AO526" s="12"/>
      <c r="AP526" s="12"/>
      <c r="AQ526" s="12"/>
      <c r="AR526" s="12"/>
      <c r="AS526" s="12"/>
      <c r="AT526" s="12"/>
    </row>
    <row r="527" spans="1:46" x14ac:dyDescent="0.25">
      <c r="A527" s="12"/>
      <c r="B527" s="12"/>
      <c r="C527" s="12"/>
      <c r="D527" s="12"/>
      <c r="E527" s="12"/>
      <c r="F527" s="12"/>
      <c r="G527" s="12"/>
      <c r="H527" s="12"/>
      <c r="I527" s="21" t="str">
        <f>IF(COUNTA('[1]Virus production'!A513)=1,('[1]Virus production'!A513),"")</f>
        <v/>
      </c>
      <c r="J527" s="12"/>
      <c r="L527" s="12"/>
      <c r="M527" s="12"/>
      <c r="N527" s="12"/>
      <c r="O527" s="12"/>
      <c r="P527" s="12"/>
      <c r="Q527" s="12"/>
      <c r="R527" s="12"/>
      <c r="S527" s="12"/>
      <c r="T527" s="12"/>
      <c r="U527" s="12"/>
      <c r="V527" s="12"/>
      <c r="W527" s="12"/>
      <c r="X527" s="12"/>
      <c r="Y527" s="12"/>
      <c r="Z527" s="12"/>
      <c r="AA527" s="12"/>
      <c r="AB527" s="12"/>
      <c r="AD527" s="31"/>
      <c r="AE527" s="12"/>
      <c r="AF527" s="12"/>
      <c r="AG527" s="12"/>
      <c r="AH527" s="12"/>
      <c r="AI527" s="12"/>
      <c r="AJ527" s="12"/>
      <c r="AK527" s="12"/>
      <c r="AL527" s="12"/>
      <c r="AM527" s="12"/>
      <c r="AN527" s="12"/>
      <c r="AO527" s="12"/>
      <c r="AP527" s="12"/>
      <c r="AQ527" s="12"/>
      <c r="AR527" s="12"/>
      <c r="AS527" s="12"/>
      <c r="AT527" s="12"/>
    </row>
    <row r="528" spans="1:46" x14ac:dyDescent="0.25">
      <c r="A528" s="12"/>
      <c r="B528" s="12"/>
      <c r="C528" s="12"/>
      <c r="D528" s="12"/>
      <c r="E528" s="12"/>
      <c r="F528" s="12"/>
      <c r="G528" s="12"/>
      <c r="H528" s="12"/>
      <c r="I528" s="21" t="str">
        <f>IF(COUNTA('[1]Virus production'!A514)=1,('[1]Virus production'!A514),"")</f>
        <v/>
      </c>
      <c r="J528" s="12"/>
      <c r="L528" s="12"/>
      <c r="M528" s="12"/>
      <c r="N528" s="12"/>
      <c r="O528" s="12"/>
      <c r="P528" s="12"/>
      <c r="Q528" s="12"/>
      <c r="R528" s="12"/>
      <c r="S528" s="12"/>
      <c r="T528" s="12"/>
      <c r="U528" s="12"/>
      <c r="V528" s="12"/>
      <c r="W528" s="12"/>
      <c r="X528" s="12"/>
      <c r="Y528" s="12"/>
      <c r="Z528" s="12"/>
      <c r="AA528" s="12"/>
      <c r="AB528" s="12"/>
      <c r="AD528" s="31"/>
      <c r="AE528" s="12"/>
      <c r="AF528" s="12"/>
      <c r="AG528" s="12"/>
      <c r="AH528" s="12"/>
      <c r="AI528" s="12"/>
      <c r="AJ528" s="12"/>
      <c r="AK528" s="12"/>
      <c r="AL528" s="12"/>
      <c r="AM528" s="12"/>
      <c r="AN528" s="12"/>
      <c r="AO528" s="12"/>
      <c r="AP528" s="12"/>
      <c r="AQ528" s="12"/>
      <c r="AR528" s="12"/>
      <c r="AS528" s="12"/>
      <c r="AT528" s="12"/>
    </row>
    <row r="529" spans="1:46" x14ac:dyDescent="0.25">
      <c r="A529" s="12"/>
      <c r="B529" s="12"/>
      <c r="C529" s="12"/>
      <c r="D529" s="12"/>
      <c r="E529" s="12"/>
      <c r="F529" s="12"/>
      <c r="G529" s="12"/>
      <c r="H529" s="12"/>
      <c r="I529" s="21" t="str">
        <f>IF(COUNTA('[1]Virus production'!A515)=1,('[1]Virus production'!A515),"")</f>
        <v/>
      </c>
      <c r="J529" s="12"/>
      <c r="L529" s="12"/>
      <c r="M529" s="12"/>
      <c r="N529" s="12"/>
      <c r="O529" s="12"/>
      <c r="P529" s="12"/>
      <c r="Q529" s="12"/>
      <c r="R529" s="12"/>
      <c r="S529" s="12"/>
      <c r="T529" s="12"/>
      <c r="U529" s="12"/>
      <c r="V529" s="12"/>
      <c r="W529" s="12"/>
      <c r="X529" s="12"/>
      <c r="Y529" s="12"/>
      <c r="Z529" s="12"/>
      <c r="AA529" s="12"/>
      <c r="AB529" s="12"/>
      <c r="AD529" s="31"/>
      <c r="AE529" s="12"/>
      <c r="AF529" s="12"/>
      <c r="AG529" s="12"/>
      <c r="AH529" s="12"/>
      <c r="AI529" s="12"/>
      <c r="AJ529" s="12"/>
      <c r="AK529" s="12"/>
      <c r="AL529" s="12"/>
      <c r="AM529" s="12"/>
      <c r="AN529" s="12"/>
      <c r="AO529" s="12"/>
      <c r="AP529" s="12"/>
      <c r="AQ529" s="12"/>
      <c r="AR529" s="12"/>
      <c r="AS529" s="12"/>
      <c r="AT529" s="12"/>
    </row>
    <row r="530" spans="1:46" x14ac:dyDescent="0.25">
      <c r="A530" s="12"/>
      <c r="B530" s="12"/>
      <c r="C530" s="12"/>
      <c r="D530" s="12"/>
      <c r="E530" s="12"/>
      <c r="F530" s="12"/>
      <c r="G530" s="12"/>
      <c r="H530" s="12"/>
      <c r="I530" s="21" t="str">
        <f>IF(COUNTA('[1]Virus production'!A516)=1,('[1]Virus production'!A516),"")</f>
        <v/>
      </c>
      <c r="J530" s="12"/>
      <c r="L530" s="12"/>
      <c r="M530" s="12"/>
      <c r="N530" s="12"/>
      <c r="O530" s="12"/>
      <c r="P530" s="12"/>
      <c r="Q530" s="12"/>
      <c r="R530" s="12"/>
      <c r="S530" s="12"/>
      <c r="T530" s="12"/>
      <c r="U530" s="12"/>
      <c r="V530" s="12"/>
      <c r="W530" s="12"/>
      <c r="X530" s="12"/>
      <c r="Y530" s="12"/>
      <c r="Z530" s="12"/>
      <c r="AA530" s="12"/>
      <c r="AB530" s="12"/>
      <c r="AD530" s="31"/>
      <c r="AE530" s="12"/>
      <c r="AF530" s="12"/>
      <c r="AG530" s="12"/>
      <c r="AH530" s="12"/>
      <c r="AI530" s="12"/>
      <c r="AJ530" s="12"/>
      <c r="AK530" s="12"/>
      <c r="AL530" s="12"/>
      <c r="AM530" s="12"/>
      <c r="AN530" s="12"/>
      <c r="AO530" s="12"/>
      <c r="AP530" s="12"/>
      <c r="AQ530" s="12"/>
      <c r="AR530" s="12"/>
      <c r="AS530" s="12"/>
      <c r="AT530" s="12"/>
    </row>
    <row r="531" spans="1:46" x14ac:dyDescent="0.25">
      <c r="A531" s="12"/>
      <c r="B531" s="12"/>
      <c r="C531" s="12"/>
      <c r="D531" s="12"/>
      <c r="E531" s="12"/>
      <c r="F531" s="12"/>
      <c r="G531" s="12"/>
      <c r="H531" s="12"/>
      <c r="I531" s="21" t="str">
        <f>IF(COUNTA('[1]Virus production'!A517)=1,('[1]Virus production'!A517),"")</f>
        <v/>
      </c>
      <c r="J531" s="12"/>
      <c r="L531" s="12"/>
      <c r="M531" s="12"/>
      <c r="N531" s="12"/>
      <c r="O531" s="12"/>
      <c r="P531" s="12"/>
      <c r="Q531" s="12"/>
      <c r="R531" s="12"/>
      <c r="S531" s="12"/>
      <c r="T531" s="12"/>
      <c r="U531" s="12"/>
      <c r="V531" s="12"/>
      <c r="W531" s="12"/>
      <c r="X531" s="12"/>
      <c r="Y531" s="12"/>
      <c r="Z531" s="12"/>
      <c r="AA531" s="12"/>
      <c r="AB531" s="12"/>
      <c r="AD531" s="31"/>
      <c r="AE531" s="12"/>
      <c r="AF531" s="12"/>
      <c r="AG531" s="12"/>
      <c r="AH531" s="12"/>
      <c r="AI531" s="12"/>
      <c r="AJ531" s="12"/>
      <c r="AK531" s="12"/>
      <c r="AL531" s="12"/>
      <c r="AM531" s="12"/>
      <c r="AN531" s="12"/>
      <c r="AO531" s="12"/>
      <c r="AP531" s="12"/>
      <c r="AQ531" s="12"/>
      <c r="AR531" s="12"/>
      <c r="AS531" s="12"/>
      <c r="AT531" s="12"/>
    </row>
    <row r="532" spans="1:46" x14ac:dyDescent="0.25">
      <c r="A532" s="12"/>
      <c r="B532" s="12"/>
      <c r="C532" s="12"/>
      <c r="D532" s="12"/>
      <c r="E532" s="12"/>
      <c r="F532" s="12"/>
      <c r="G532" s="12"/>
      <c r="H532" s="12"/>
      <c r="I532" s="21" t="str">
        <f>IF(COUNTA('[1]Virus production'!A518)=1,('[1]Virus production'!A518),"")</f>
        <v/>
      </c>
      <c r="J532" s="12"/>
      <c r="L532" s="12"/>
      <c r="M532" s="12"/>
      <c r="N532" s="12"/>
      <c r="O532" s="12"/>
      <c r="P532" s="12"/>
      <c r="Q532" s="12"/>
      <c r="R532" s="12"/>
      <c r="S532" s="12"/>
      <c r="T532" s="12"/>
      <c r="U532" s="12"/>
      <c r="V532" s="12"/>
      <c r="W532" s="12"/>
      <c r="X532" s="12"/>
      <c r="Y532" s="12"/>
      <c r="Z532" s="12"/>
      <c r="AA532" s="12"/>
      <c r="AB532" s="12"/>
      <c r="AD532" s="31"/>
      <c r="AE532" s="12"/>
      <c r="AF532" s="12"/>
      <c r="AG532" s="12"/>
      <c r="AH532" s="12"/>
      <c r="AI532" s="12"/>
      <c r="AJ532" s="12"/>
      <c r="AK532" s="12"/>
      <c r="AL532" s="12"/>
      <c r="AM532" s="12"/>
      <c r="AN532" s="12"/>
      <c r="AO532" s="12"/>
      <c r="AP532" s="12"/>
      <c r="AQ532" s="12"/>
      <c r="AR532" s="12"/>
      <c r="AS532" s="12"/>
      <c r="AT532" s="12"/>
    </row>
    <row r="533" spans="1:46" x14ac:dyDescent="0.25">
      <c r="A533" s="12"/>
      <c r="B533" s="12"/>
      <c r="C533" s="12"/>
      <c r="D533" s="12"/>
      <c r="E533" s="12"/>
      <c r="F533" s="12"/>
      <c r="G533" s="12"/>
      <c r="H533" s="12"/>
      <c r="I533" s="21" t="str">
        <f>IF(COUNTA('[1]Virus production'!A519)=1,('[1]Virus production'!A519),"")</f>
        <v/>
      </c>
      <c r="J533" s="12"/>
      <c r="L533" s="12"/>
      <c r="M533" s="12"/>
      <c r="N533" s="12"/>
      <c r="O533" s="12"/>
      <c r="P533" s="12"/>
      <c r="Q533" s="12"/>
      <c r="R533" s="12"/>
      <c r="S533" s="12"/>
      <c r="T533" s="12"/>
      <c r="U533" s="12"/>
      <c r="V533" s="12"/>
      <c r="W533" s="12"/>
      <c r="X533" s="12"/>
      <c r="Y533" s="12"/>
      <c r="Z533" s="12"/>
      <c r="AA533" s="12"/>
      <c r="AB533" s="12"/>
      <c r="AD533" s="31"/>
      <c r="AE533" s="12"/>
      <c r="AF533" s="12"/>
      <c r="AG533" s="12"/>
      <c r="AH533" s="12"/>
      <c r="AI533" s="12"/>
      <c r="AJ533" s="12"/>
      <c r="AK533" s="12"/>
      <c r="AL533" s="12"/>
      <c r="AM533" s="12"/>
      <c r="AN533" s="12"/>
      <c r="AO533" s="12"/>
      <c r="AP533" s="12"/>
      <c r="AQ533" s="12"/>
      <c r="AR533" s="12"/>
      <c r="AS533" s="12"/>
      <c r="AT533" s="12"/>
    </row>
    <row r="534" spans="1:46" x14ac:dyDescent="0.25">
      <c r="A534" s="12"/>
      <c r="B534" s="12"/>
      <c r="C534" s="12"/>
      <c r="D534" s="12"/>
      <c r="E534" s="12"/>
      <c r="F534" s="12"/>
      <c r="G534" s="12"/>
      <c r="H534" s="12"/>
      <c r="I534" s="21" t="str">
        <f>IF(COUNTA('[1]Virus production'!A520)=1,('[1]Virus production'!A520),"")</f>
        <v/>
      </c>
      <c r="J534" s="12"/>
      <c r="L534" s="12"/>
      <c r="M534" s="12"/>
      <c r="N534" s="12"/>
      <c r="O534" s="12"/>
      <c r="P534" s="12"/>
      <c r="Q534" s="12"/>
      <c r="R534" s="12"/>
      <c r="S534" s="12"/>
      <c r="T534" s="12"/>
      <c r="U534" s="12"/>
      <c r="V534" s="12"/>
      <c r="W534" s="12"/>
      <c r="X534" s="12"/>
      <c r="Y534" s="12"/>
      <c r="Z534" s="12"/>
      <c r="AA534" s="12"/>
      <c r="AB534" s="12"/>
      <c r="AD534" s="31"/>
      <c r="AE534" s="12"/>
      <c r="AF534" s="12"/>
      <c r="AG534" s="12"/>
      <c r="AH534" s="12"/>
      <c r="AI534" s="12"/>
      <c r="AJ534" s="12"/>
      <c r="AK534" s="12"/>
      <c r="AL534" s="12"/>
      <c r="AM534" s="12"/>
      <c r="AN534" s="12"/>
      <c r="AO534" s="12"/>
      <c r="AP534" s="12"/>
      <c r="AQ534" s="12"/>
      <c r="AR534" s="12"/>
      <c r="AS534" s="12"/>
      <c r="AT534" s="12"/>
    </row>
    <row r="535" spans="1:46" x14ac:dyDescent="0.25">
      <c r="A535" s="12"/>
      <c r="B535" s="12"/>
      <c r="C535" s="12"/>
      <c r="D535" s="12"/>
      <c r="E535" s="12"/>
      <c r="F535" s="12"/>
      <c r="G535" s="12"/>
      <c r="H535" s="12"/>
      <c r="I535" s="21" t="str">
        <f>IF(COUNTA('[1]Virus production'!A521)=1,('[1]Virus production'!A521),"")</f>
        <v/>
      </c>
      <c r="J535" s="12"/>
      <c r="L535" s="12"/>
      <c r="M535" s="12"/>
      <c r="N535" s="12"/>
      <c r="O535" s="12"/>
      <c r="P535" s="12"/>
      <c r="Q535" s="12"/>
      <c r="R535" s="12"/>
      <c r="S535" s="12"/>
      <c r="T535" s="12"/>
      <c r="U535" s="12"/>
      <c r="V535" s="12"/>
      <c r="W535" s="12"/>
      <c r="X535" s="12"/>
      <c r="Y535" s="12"/>
      <c r="Z535" s="12"/>
      <c r="AA535" s="12"/>
      <c r="AB535" s="12"/>
      <c r="AD535" s="31"/>
      <c r="AE535" s="12"/>
      <c r="AF535" s="12"/>
      <c r="AG535" s="12"/>
      <c r="AH535" s="12"/>
      <c r="AI535" s="12"/>
      <c r="AJ535" s="12"/>
      <c r="AK535" s="12"/>
      <c r="AL535" s="12"/>
      <c r="AM535" s="12"/>
      <c r="AN535" s="12"/>
      <c r="AO535" s="12"/>
      <c r="AP535" s="12"/>
      <c r="AQ535" s="12"/>
      <c r="AR535" s="12"/>
      <c r="AS535" s="12"/>
      <c r="AT535" s="12"/>
    </row>
    <row r="536" spans="1:46" x14ac:dyDescent="0.25">
      <c r="A536" s="12"/>
      <c r="B536" s="12"/>
      <c r="C536" s="12"/>
      <c r="D536" s="12"/>
      <c r="E536" s="12"/>
      <c r="F536" s="12"/>
      <c r="G536" s="12"/>
      <c r="H536" s="12"/>
      <c r="I536" s="21" t="str">
        <f>IF(COUNTA('[1]Virus production'!A522)=1,('[1]Virus production'!A522),"")</f>
        <v/>
      </c>
      <c r="J536" s="12"/>
      <c r="L536" s="12"/>
      <c r="M536" s="12"/>
      <c r="N536" s="12"/>
      <c r="O536" s="12"/>
      <c r="P536" s="12"/>
      <c r="Q536" s="12"/>
      <c r="R536" s="12"/>
      <c r="S536" s="12"/>
      <c r="T536" s="12"/>
      <c r="U536" s="12"/>
      <c r="V536" s="12"/>
      <c r="W536" s="12"/>
      <c r="X536" s="12"/>
      <c r="Y536" s="12"/>
      <c r="Z536" s="12"/>
      <c r="AA536" s="12"/>
      <c r="AB536" s="12"/>
      <c r="AD536" s="31"/>
      <c r="AE536" s="12"/>
      <c r="AF536" s="12"/>
      <c r="AG536" s="12"/>
      <c r="AH536" s="12"/>
      <c r="AI536" s="12"/>
      <c r="AJ536" s="12"/>
      <c r="AK536" s="12"/>
      <c r="AL536" s="12"/>
      <c r="AM536" s="12"/>
      <c r="AN536" s="12"/>
      <c r="AO536" s="12"/>
      <c r="AP536" s="12"/>
      <c r="AQ536" s="12"/>
      <c r="AR536" s="12"/>
      <c r="AS536" s="12"/>
      <c r="AT536" s="12"/>
    </row>
    <row r="537" spans="1:46" x14ac:dyDescent="0.25">
      <c r="A537" s="12"/>
      <c r="B537" s="12"/>
      <c r="C537" s="12"/>
      <c r="D537" s="12"/>
      <c r="E537" s="12"/>
      <c r="F537" s="12"/>
      <c r="G537" s="12"/>
      <c r="H537" s="12"/>
      <c r="I537" s="21" t="str">
        <f>IF(COUNTA('[1]Virus production'!A523)=1,('[1]Virus production'!A523),"")</f>
        <v/>
      </c>
      <c r="J537" s="12"/>
      <c r="L537" s="12"/>
      <c r="M537" s="12"/>
      <c r="N537" s="12"/>
      <c r="O537" s="12"/>
      <c r="P537" s="12"/>
      <c r="Q537" s="12"/>
      <c r="R537" s="12"/>
      <c r="S537" s="12"/>
      <c r="T537" s="12"/>
      <c r="U537" s="12"/>
      <c r="V537" s="12"/>
      <c r="W537" s="12"/>
      <c r="X537" s="12"/>
      <c r="Y537" s="12"/>
      <c r="Z537" s="12"/>
      <c r="AA537" s="12"/>
      <c r="AB537" s="12"/>
      <c r="AD537" s="31"/>
      <c r="AE537" s="12"/>
      <c r="AF537" s="12"/>
      <c r="AG537" s="12"/>
      <c r="AH537" s="12"/>
      <c r="AI537" s="12"/>
      <c r="AJ537" s="12"/>
      <c r="AK537" s="12"/>
      <c r="AL537" s="12"/>
      <c r="AM537" s="12"/>
      <c r="AN537" s="12"/>
      <c r="AO537" s="12"/>
      <c r="AP537" s="12"/>
      <c r="AQ537" s="12"/>
      <c r="AR537" s="12"/>
      <c r="AS537" s="12"/>
      <c r="AT537" s="12"/>
    </row>
    <row r="538" spans="1:46" x14ac:dyDescent="0.25">
      <c r="A538" s="12"/>
      <c r="B538" s="12"/>
      <c r="C538" s="12"/>
      <c r="D538" s="12"/>
      <c r="E538" s="12"/>
      <c r="F538" s="12"/>
      <c r="G538" s="12"/>
      <c r="H538" s="12"/>
      <c r="I538" s="21" t="str">
        <f>IF(COUNTA('[1]Virus production'!A524)=1,('[1]Virus production'!A524),"")</f>
        <v/>
      </c>
      <c r="J538" s="12"/>
      <c r="L538" s="12"/>
      <c r="M538" s="12"/>
      <c r="N538" s="12"/>
      <c r="O538" s="12"/>
      <c r="P538" s="12"/>
      <c r="Q538" s="12"/>
      <c r="R538" s="12"/>
      <c r="S538" s="12"/>
      <c r="T538" s="12"/>
      <c r="U538" s="12"/>
      <c r="V538" s="12"/>
      <c r="W538" s="12"/>
      <c r="X538" s="12"/>
      <c r="Y538" s="12"/>
      <c r="Z538" s="12"/>
      <c r="AA538" s="12"/>
      <c r="AB538" s="12"/>
      <c r="AD538" s="31"/>
      <c r="AE538" s="12"/>
      <c r="AF538" s="12"/>
      <c r="AG538" s="12"/>
      <c r="AH538" s="12"/>
      <c r="AI538" s="12"/>
      <c r="AJ538" s="12"/>
      <c r="AK538" s="12"/>
      <c r="AL538" s="12"/>
      <c r="AM538" s="12"/>
      <c r="AN538" s="12"/>
      <c r="AO538" s="12"/>
      <c r="AP538" s="12"/>
      <c r="AQ538" s="12"/>
      <c r="AR538" s="12"/>
      <c r="AS538" s="12"/>
      <c r="AT538" s="12"/>
    </row>
    <row r="539" spans="1:46" x14ac:dyDescent="0.25">
      <c r="A539" s="12"/>
      <c r="B539" s="12"/>
      <c r="C539" s="12"/>
      <c r="D539" s="12"/>
      <c r="E539" s="12"/>
      <c r="F539" s="12"/>
      <c r="G539" s="12"/>
      <c r="H539" s="12"/>
      <c r="I539" s="21" t="str">
        <f>IF(COUNTA('[1]Virus production'!A525)=1,('[1]Virus production'!A525),"")</f>
        <v/>
      </c>
      <c r="J539" s="12"/>
      <c r="L539" s="12"/>
      <c r="M539" s="12"/>
      <c r="N539" s="12"/>
      <c r="O539" s="12"/>
      <c r="P539" s="12"/>
      <c r="Q539" s="12"/>
      <c r="R539" s="12"/>
      <c r="S539" s="12"/>
      <c r="T539" s="12"/>
      <c r="U539" s="12"/>
      <c r="V539" s="12"/>
      <c r="W539" s="12"/>
      <c r="X539" s="12"/>
      <c r="Y539" s="12"/>
      <c r="Z539" s="12"/>
      <c r="AA539" s="12"/>
      <c r="AB539" s="12"/>
      <c r="AD539" s="31"/>
      <c r="AE539" s="12"/>
      <c r="AF539" s="12"/>
      <c r="AG539" s="12"/>
      <c r="AH539" s="12"/>
      <c r="AI539" s="12"/>
      <c r="AJ539" s="12"/>
      <c r="AK539" s="12"/>
      <c r="AL539" s="12"/>
      <c r="AM539" s="12"/>
      <c r="AN539" s="12"/>
      <c r="AO539" s="12"/>
      <c r="AP539" s="12"/>
      <c r="AQ539" s="12"/>
      <c r="AR539" s="12"/>
      <c r="AS539" s="12"/>
      <c r="AT539" s="12"/>
    </row>
    <row r="540" spans="1:46" x14ac:dyDescent="0.25">
      <c r="A540" s="12"/>
      <c r="B540" s="12"/>
      <c r="C540" s="12"/>
      <c r="D540" s="12"/>
      <c r="E540" s="12"/>
      <c r="F540" s="12"/>
      <c r="G540" s="12"/>
      <c r="H540" s="12"/>
      <c r="I540" s="21" t="str">
        <f>IF(COUNTA('[1]Virus production'!A526)=1,('[1]Virus production'!A526),"")</f>
        <v/>
      </c>
      <c r="J540" s="12"/>
      <c r="L540" s="12"/>
      <c r="M540" s="12"/>
      <c r="N540" s="12"/>
      <c r="O540" s="12"/>
      <c r="P540" s="12"/>
      <c r="Q540" s="12"/>
      <c r="R540" s="12"/>
      <c r="S540" s="12"/>
      <c r="T540" s="12"/>
      <c r="U540" s="12"/>
      <c r="V540" s="12"/>
      <c r="W540" s="12"/>
      <c r="X540" s="12"/>
      <c r="Y540" s="12"/>
      <c r="Z540" s="12"/>
      <c r="AA540" s="12"/>
      <c r="AB540" s="12"/>
      <c r="AD540" s="31"/>
      <c r="AE540" s="12"/>
      <c r="AF540" s="12"/>
      <c r="AG540" s="12"/>
      <c r="AH540" s="12"/>
      <c r="AI540" s="12"/>
      <c r="AJ540" s="12"/>
      <c r="AK540" s="12"/>
      <c r="AL540" s="12"/>
      <c r="AM540" s="12"/>
      <c r="AN540" s="12"/>
      <c r="AO540" s="12"/>
      <c r="AP540" s="12"/>
      <c r="AQ540" s="12"/>
      <c r="AR540" s="12"/>
      <c r="AS540" s="12"/>
      <c r="AT540" s="12"/>
    </row>
    <row r="541" spans="1:46" x14ac:dyDescent="0.25">
      <c r="A541" s="12"/>
      <c r="B541" s="12"/>
      <c r="C541" s="12"/>
      <c r="D541" s="12"/>
      <c r="E541" s="12"/>
      <c r="F541" s="12"/>
      <c r="G541" s="12"/>
      <c r="H541" s="12"/>
      <c r="I541" s="21" t="str">
        <f>IF(COUNTA('[1]Virus production'!A527)=1,('[1]Virus production'!A527),"")</f>
        <v/>
      </c>
      <c r="J541" s="12"/>
      <c r="L541" s="12"/>
      <c r="M541" s="12"/>
      <c r="N541" s="12"/>
      <c r="O541" s="12"/>
      <c r="P541" s="12"/>
      <c r="Q541" s="12"/>
      <c r="R541" s="12"/>
      <c r="S541" s="12"/>
      <c r="T541" s="12"/>
      <c r="U541" s="12"/>
      <c r="V541" s="12"/>
      <c r="W541" s="12"/>
      <c r="X541" s="12"/>
      <c r="Y541" s="12"/>
      <c r="Z541" s="12"/>
      <c r="AA541" s="12"/>
      <c r="AB541" s="12"/>
      <c r="AD541" s="31"/>
      <c r="AE541" s="12"/>
      <c r="AF541" s="12"/>
      <c r="AG541" s="12"/>
      <c r="AH541" s="12"/>
      <c r="AI541" s="12"/>
      <c r="AJ541" s="12"/>
      <c r="AK541" s="12"/>
      <c r="AL541" s="12"/>
      <c r="AM541" s="12"/>
      <c r="AN541" s="12"/>
      <c r="AO541" s="12"/>
      <c r="AP541" s="12"/>
      <c r="AQ541" s="12"/>
      <c r="AR541" s="12"/>
      <c r="AS541" s="12"/>
      <c r="AT541" s="12"/>
    </row>
    <row r="542" spans="1:46" x14ac:dyDescent="0.25">
      <c r="A542" s="12"/>
      <c r="B542" s="12"/>
      <c r="C542" s="12"/>
      <c r="D542" s="12"/>
      <c r="E542" s="12"/>
      <c r="F542" s="12"/>
      <c r="G542" s="12"/>
      <c r="H542" s="12"/>
      <c r="I542" s="21" t="str">
        <f>IF(COUNTA('[1]Virus production'!A528)=1,('[1]Virus production'!A528),"")</f>
        <v/>
      </c>
      <c r="J542" s="12"/>
      <c r="L542" s="12"/>
      <c r="M542" s="12"/>
      <c r="N542" s="12"/>
      <c r="O542" s="12"/>
      <c r="P542" s="12"/>
      <c r="Q542" s="12"/>
      <c r="R542" s="12"/>
      <c r="S542" s="12"/>
      <c r="T542" s="12"/>
      <c r="U542" s="12"/>
      <c r="V542" s="12"/>
      <c r="W542" s="12"/>
      <c r="X542" s="12"/>
      <c r="Y542" s="12"/>
      <c r="Z542" s="12"/>
      <c r="AA542" s="12"/>
      <c r="AB542" s="12"/>
      <c r="AD542" s="31"/>
      <c r="AE542" s="12"/>
      <c r="AF542" s="12"/>
      <c r="AG542" s="12"/>
      <c r="AH542" s="12"/>
      <c r="AI542" s="12"/>
      <c r="AJ542" s="12"/>
      <c r="AK542" s="12"/>
      <c r="AL542" s="12"/>
      <c r="AM542" s="12"/>
      <c r="AN542" s="12"/>
      <c r="AO542" s="12"/>
      <c r="AP542" s="12"/>
      <c r="AQ542" s="12"/>
      <c r="AR542" s="12"/>
      <c r="AS542" s="12"/>
      <c r="AT542" s="12"/>
    </row>
    <row r="543" spans="1:46" x14ac:dyDescent="0.25">
      <c r="A543" s="12"/>
      <c r="B543" s="12"/>
      <c r="C543" s="12"/>
      <c r="D543" s="12"/>
      <c r="E543" s="12"/>
      <c r="F543" s="12"/>
      <c r="G543" s="12"/>
      <c r="H543" s="12"/>
      <c r="I543" s="21" t="str">
        <f>IF(COUNTA('[1]Virus production'!A529)=1,('[1]Virus production'!A529),"")</f>
        <v/>
      </c>
      <c r="J543" s="12"/>
      <c r="L543" s="12"/>
      <c r="M543" s="12"/>
      <c r="N543" s="12"/>
      <c r="O543" s="12"/>
      <c r="P543" s="12"/>
      <c r="Q543" s="12"/>
      <c r="R543" s="12"/>
      <c r="S543" s="12"/>
      <c r="T543" s="12"/>
      <c r="U543" s="12"/>
      <c r="V543" s="12"/>
      <c r="W543" s="12"/>
      <c r="X543" s="12"/>
      <c r="Y543" s="12"/>
      <c r="Z543" s="12"/>
      <c r="AA543" s="12"/>
      <c r="AB543" s="12"/>
      <c r="AD543" s="31"/>
      <c r="AE543" s="12"/>
      <c r="AF543" s="12"/>
      <c r="AG543" s="12"/>
      <c r="AH543" s="12"/>
      <c r="AI543" s="12"/>
      <c r="AJ543" s="12"/>
      <c r="AK543" s="12"/>
      <c r="AL543" s="12"/>
      <c r="AM543" s="12"/>
      <c r="AN543" s="12"/>
      <c r="AO543" s="12"/>
      <c r="AP543" s="12"/>
      <c r="AQ543" s="12"/>
      <c r="AR543" s="12"/>
      <c r="AS543" s="12"/>
      <c r="AT543" s="12"/>
    </row>
    <row r="544" spans="1:46" x14ac:dyDescent="0.25">
      <c r="A544" s="12"/>
      <c r="B544" s="12"/>
      <c r="C544" s="12"/>
      <c r="D544" s="12"/>
      <c r="E544" s="12"/>
      <c r="F544" s="12"/>
      <c r="G544" s="12"/>
      <c r="H544" s="12"/>
      <c r="I544" s="21" t="str">
        <f>IF(COUNTA('[1]Virus production'!A530)=1,('[1]Virus production'!A530),"")</f>
        <v/>
      </c>
      <c r="J544" s="12"/>
      <c r="L544" s="12"/>
      <c r="M544" s="12"/>
      <c r="N544" s="12"/>
      <c r="O544" s="12"/>
      <c r="P544" s="12"/>
      <c r="Q544" s="12"/>
      <c r="R544" s="12"/>
      <c r="S544" s="12"/>
      <c r="T544" s="12"/>
      <c r="U544" s="12"/>
      <c r="V544" s="12"/>
      <c r="W544" s="12"/>
      <c r="X544" s="12"/>
      <c r="Y544" s="12"/>
      <c r="Z544" s="12"/>
      <c r="AA544" s="12"/>
      <c r="AB544" s="12"/>
      <c r="AD544" s="31"/>
      <c r="AE544" s="12"/>
      <c r="AF544" s="12"/>
      <c r="AG544" s="12"/>
      <c r="AH544" s="12"/>
      <c r="AI544" s="12"/>
      <c r="AJ544" s="12"/>
      <c r="AK544" s="12"/>
      <c r="AL544" s="12"/>
      <c r="AM544" s="12"/>
      <c r="AN544" s="12"/>
      <c r="AO544" s="12"/>
      <c r="AP544" s="12"/>
      <c r="AQ544" s="12"/>
      <c r="AR544" s="12"/>
      <c r="AS544" s="12"/>
      <c r="AT544" s="12"/>
    </row>
    <row r="545" spans="1:46" x14ac:dyDescent="0.25">
      <c r="A545" s="12"/>
      <c r="B545" s="12"/>
      <c r="C545" s="12"/>
      <c r="D545" s="12"/>
      <c r="E545" s="12"/>
      <c r="F545" s="12"/>
      <c r="G545" s="12"/>
      <c r="H545" s="12"/>
      <c r="I545" s="21" t="str">
        <f>IF(COUNTA('[1]Virus production'!A531)=1,('[1]Virus production'!A531),"")</f>
        <v/>
      </c>
      <c r="J545" s="12"/>
      <c r="L545" s="12"/>
      <c r="M545" s="12"/>
      <c r="N545" s="12"/>
      <c r="O545" s="12"/>
      <c r="P545" s="12"/>
      <c r="Q545" s="12"/>
      <c r="R545" s="12"/>
      <c r="S545" s="12"/>
      <c r="T545" s="12"/>
      <c r="U545" s="12"/>
      <c r="V545" s="12"/>
      <c r="W545" s="12"/>
      <c r="X545" s="12"/>
      <c r="Y545" s="12"/>
      <c r="Z545" s="12"/>
      <c r="AA545" s="12"/>
      <c r="AB545" s="12"/>
      <c r="AD545" s="31"/>
      <c r="AE545" s="12"/>
      <c r="AF545" s="12"/>
      <c r="AG545" s="12"/>
      <c r="AH545" s="12"/>
      <c r="AI545" s="12"/>
      <c r="AJ545" s="12"/>
      <c r="AK545" s="12"/>
      <c r="AL545" s="12"/>
      <c r="AM545" s="12"/>
      <c r="AN545" s="12"/>
      <c r="AO545" s="12"/>
      <c r="AP545" s="12"/>
      <c r="AQ545" s="12"/>
      <c r="AR545" s="12"/>
      <c r="AS545" s="12"/>
      <c r="AT545" s="12"/>
    </row>
    <row r="546" spans="1:46" x14ac:dyDescent="0.25">
      <c r="A546" s="12"/>
      <c r="B546" s="12"/>
      <c r="C546" s="12"/>
      <c r="D546" s="12"/>
      <c r="E546" s="12"/>
      <c r="F546" s="12"/>
      <c r="G546" s="12"/>
      <c r="H546" s="12"/>
      <c r="I546" s="21" t="str">
        <f>IF(COUNTA('[1]Virus production'!A532)=1,('[1]Virus production'!A532),"")</f>
        <v/>
      </c>
      <c r="J546" s="12"/>
      <c r="L546" s="12"/>
      <c r="M546" s="12"/>
      <c r="N546" s="12"/>
      <c r="O546" s="12"/>
      <c r="P546" s="12"/>
      <c r="Q546" s="12"/>
      <c r="R546" s="12"/>
      <c r="S546" s="12"/>
      <c r="T546" s="12"/>
      <c r="U546" s="12"/>
      <c r="V546" s="12"/>
      <c r="W546" s="12"/>
      <c r="X546" s="12"/>
      <c r="Y546" s="12"/>
      <c r="Z546" s="12"/>
      <c r="AA546" s="12"/>
      <c r="AB546" s="12"/>
      <c r="AD546" s="31"/>
      <c r="AE546" s="12"/>
      <c r="AF546" s="12"/>
      <c r="AG546" s="12"/>
      <c r="AH546" s="12"/>
      <c r="AI546" s="12"/>
      <c r="AJ546" s="12"/>
      <c r="AK546" s="12"/>
      <c r="AL546" s="12"/>
      <c r="AM546" s="12"/>
      <c r="AN546" s="12"/>
      <c r="AO546" s="12"/>
      <c r="AP546" s="12"/>
      <c r="AQ546" s="12"/>
      <c r="AR546" s="12"/>
      <c r="AS546" s="12"/>
      <c r="AT546" s="12"/>
    </row>
    <row r="547" spans="1:46" x14ac:dyDescent="0.25">
      <c r="A547" s="12"/>
      <c r="B547" s="12"/>
      <c r="C547" s="12"/>
      <c r="D547" s="12"/>
      <c r="E547" s="12"/>
      <c r="F547" s="12"/>
      <c r="G547" s="12"/>
      <c r="H547" s="12"/>
      <c r="I547" s="21" t="str">
        <f>IF(COUNTA('[1]Virus production'!A533)=1,('[1]Virus production'!A533),"")</f>
        <v/>
      </c>
      <c r="J547" s="12"/>
      <c r="L547" s="12"/>
      <c r="M547" s="12"/>
      <c r="N547" s="12"/>
      <c r="O547" s="12"/>
      <c r="P547" s="12"/>
      <c r="Q547" s="12"/>
      <c r="R547" s="12"/>
      <c r="S547" s="12"/>
      <c r="T547" s="12"/>
      <c r="U547" s="12"/>
      <c r="V547" s="12"/>
      <c r="W547" s="12"/>
      <c r="X547" s="12"/>
      <c r="Y547" s="12"/>
      <c r="Z547" s="12"/>
      <c r="AA547" s="12"/>
      <c r="AB547" s="12"/>
      <c r="AD547" s="31"/>
      <c r="AE547" s="12"/>
      <c r="AF547" s="12"/>
      <c r="AG547" s="12"/>
      <c r="AH547" s="12"/>
      <c r="AI547" s="12"/>
      <c r="AJ547" s="12"/>
      <c r="AK547" s="12"/>
      <c r="AL547" s="12"/>
      <c r="AM547" s="12"/>
      <c r="AN547" s="12"/>
      <c r="AO547" s="12"/>
      <c r="AP547" s="12"/>
      <c r="AQ547" s="12"/>
      <c r="AR547" s="12"/>
      <c r="AS547" s="12"/>
      <c r="AT547" s="12"/>
    </row>
    <row r="548" spans="1:46" x14ac:dyDescent="0.25">
      <c r="A548" s="12"/>
      <c r="B548" s="12"/>
      <c r="C548" s="12"/>
      <c r="D548" s="12"/>
      <c r="E548" s="12"/>
      <c r="F548" s="12"/>
      <c r="G548" s="12"/>
      <c r="H548" s="12"/>
      <c r="I548" s="21" t="str">
        <f>IF(COUNTA('[1]Virus production'!A534)=1,('[1]Virus production'!A534),"")</f>
        <v/>
      </c>
      <c r="J548" s="12"/>
      <c r="L548" s="12"/>
      <c r="M548" s="12"/>
      <c r="N548" s="12"/>
      <c r="O548" s="12"/>
      <c r="P548" s="12"/>
      <c r="Q548" s="12"/>
      <c r="R548" s="12"/>
      <c r="S548" s="12"/>
      <c r="T548" s="12"/>
      <c r="U548" s="12"/>
      <c r="V548" s="12"/>
      <c r="W548" s="12"/>
      <c r="X548" s="12"/>
      <c r="Y548" s="12"/>
      <c r="Z548" s="12"/>
      <c r="AA548" s="12"/>
      <c r="AB548" s="12"/>
      <c r="AD548" s="31"/>
      <c r="AE548" s="12"/>
      <c r="AF548" s="12"/>
      <c r="AG548" s="12"/>
      <c r="AH548" s="12"/>
      <c r="AI548" s="12"/>
      <c r="AJ548" s="12"/>
      <c r="AK548" s="12"/>
      <c r="AL548" s="12"/>
      <c r="AM548" s="12"/>
      <c r="AN548" s="12"/>
      <c r="AO548" s="12"/>
      <c r="AP548" s="12"/>
      <c r="AQ548" s="12"/>
      <c r="AR548" s="12"/>
      <c r="AS548" s="12"/>
      <c r="AT548" s="12"/>
    </row>
    <row r="549" spans="1:46" x14ac:dyDescent="0.25">
      <c r="A549" s="12"/>
      <c r="B549" s="12"/>
      <c r="C549" s="12"/>
      <c r="D549" s="12"/>
      <c r="E549" s="12"/>
      <c r="F549" s="12"/>
      <c r="G549" s="12"/>
      <c r="H549" s="12"/>
      <c r="I549" s="21" t="str">
        <f>IF(COUNTA('[1]Virus production'!A535)=1,('[1]Virus production'!A535),"")</f>
        <v/>
      </c>
      <c r="J549" s="12"/>
      <c r="L549" s="12"/>
      <c r="M549" s="12"/>
      <c r="N549" s="12"/>
      <c r="O549" s="12"/>
      <c r="P549" s="12"/>
      <c r="Q549" s="12"/>
      <c r="R549" s="12"/>
      <c r="S549" s="12"/>
      <c r="T549" s="12"/>
      <c r="U549" s="12"/>
      <c r="V549" s="12"/>
      <c r="W549" s="12"/>
      <c r="X549" s="12"/>
      <c r="Y549" s="12"/>
      <c r="Z549" s="12"/>
      <c r="AA549" s="12"/>
      <c r="AB549" s="12"/>
      <c r="AD549" s="31"/>
      <c r="AE549" s="12"/>
      <c r="AF549" s="12"/>
      <c r="AG549" s="12"/>
      <c r="AH549" s="12"/>
      <c r="AI549" s="12"/>
      <c r="AJ549" s="12"/>
      <c r="AK549" s="12"/>
      <c r="AL549" s="12"/>
      <c r="AM549" s="12"/>
      <c r="AN549" s="12"/>
      <c r="AO549" s="12"/>
      <c r="AP549" s="12"/>
      <c r="AQ549" s="12"/>
      <c r="AR549" s="12"/>
      <c r="AS549" s="12"/>
      <c r="AT549" s="12"/>
    </row>
    <row r="550" spans="1:46" x14ac:dyDescent="0.25">
      <c r="A550" s="12"/>
      <c r="B550" s="12"/>
      <c r="C550" s="12"/>
      <c r="D550" s="12"/>
      <c r="E550" s="12"/>
      <c r="F550" s="12"/>
      <c r="G550" s="12"/>
      <c r="H550" s="12"/>
      <c r="I550" s="21" t="str">
        <f>IF(COUNTA('[1]Virus production'!A536)=1,('[1]Virus production'!A536),"")</f>
        <v/>
      </c>
      <c r="J550" s="12"/>
      <c r="L550" s="12"/>
      <c r="M550" s="12"/>
      <c r="N550" s="12"/>
      <c r="O550" s="12"/>
      <c r="P550" s="12"/>
      <c r="Q550" s="12"/>
      <c r="R550" s="12"/>
      <c r="S550" s="12"/>
      <c r="T550" s="12"/>
      <c r="U550" s="12"/>
      <c r="V550" s="12"/>
      <c r="W550" s="12"/>
      <c r="X550" s="12"/>
      <c r="Y550" s="12"/>
      <c r="Z550" s="12"/>
      <c r="AA550" s="12"/>
      <c r="AB550" s="12"/>
      <c r="AD550" s="31"/>
      <c r="AE550" s="12"/>
      <c r="AF550" s="12"/>
      <c r="AG550" s="12"/>
      <c r="AH550" s="12"/>
      <c r="AI550" s="12"/>
      <c r="AJ550" s="12"/>
      <c r="AK550" s="12"/>
      <c r="AL550" s="12"/>
      <c r="AM550" s="12"/>
      <c r="AN550" s="12"/>
      <c r="AO550" s="12"/>
      <c r="AP550" s="12"/>
      <c r="AQ550" s="12"/>
      <c r="AR550" s="12"/>
      <c r="AS550" s="12"/>
      <c r="AT550" s="12"/>
    </row>
    <row r="551" spans="1:46" x14ac:dyDescent="0.25">
      <c r="A551" s="12"/>
      <c r="B551" s="12"/>
      <c r="C551" s="12"/>
      <c r="D551" s="12"/>
      <c r="E551" s="12"/>
      <c r="F551" s="12"/>
      <c r="G551" s="12"/>
      <c r="H551" s="12"/>
      <c r="I551" s="21" t="str">
        <f>IF(COUNTA('[1]Virus production'!A537)=1,('[1]Virus production'!A537),"")</f>
        <v/>
      </c>
      <c r="J551" s="12"/>
      <c r="L551" s="12"/>
      <c r="M551" s="12"/>
      <c r="N551" s="12"/>
      <c r="O551" s="12"/>
      <c r="P551" s="12"/>
      <c r="Q551" s="12"/>
      <c r="R551" s="12"/>
      <c r="S551" s="12"/>
      <c r="T551" s="12"/>
      <c r="U551" s="12"/>
      <c r="V551" s="12"/>
      <c r="W551" s="12"/>
      <c r="X551" s="12"/>
      <c r="Y551" s="12"/>
      <c r="Z551" s="12"/>
      <c r="AA551" s="12"/>
      <c r="AB551" s="12"/>
      <c r="AD551" s="31"/>
      <c r="AE551" s="12"/>
      <c r="AF551" s="12"/>
      <c r="AG551" s="12"/>
      <c r="AH551" s="12"/>
      <c r="AI551" s="12"/>
      <c r="AJ551" s="12"/>
      <c r="AK551" s="12"/>
      <c r="AL551" s="12"/>
      <c r="AM551" s="12"/>
      <c r="AN551" s="12"/>
      <c r="AO551" s="12"/>
      <c r="AP551" s="12"/>
      <c r="AQ551" s="12"/>
      <c r="AR551" s="12"/>
      <c r="AS551" s="12"/>
      <c r="AT551" s="12"/>
    </row>
    <row r="552" spans="1:46" x14ac:dyDescent="0.25">
      <c r="A552" s="12"/>
      <c r="B552" s="12"/>
      <c r="C552" s="12"/>
      <c r="D552" s="12"/>
      <c r="E552" s="12"/>
      <c r="F552" s="12"/>
      <c r="G552" s="12"/>
      <c r="H552" s="12"/>
      <c r="I552" s="21" t="str">
        <f>IF(COUNTA('[1]Virus production'!A538)=1,('[1]Virus production'!A538),"")</f>
        <v/>
      </c>
      <c r="J552" s="12"/>
      <c r="L552" s="12"/>
      <c r="M552" s="12"/>
      <c r="N552" s="12"/>
      <c r="O552" s="12"/>
      <c r="P552" s="12"/>
      <c r="Q552" s="12"/>
      <c r="R552" s="12"/>
      <c r="S552" s="12"/>
      <c r="T552" s="12"/>
      <c r="U552" s="12"/>
      <c r="V552" s="12"/>
      <c r="W552" s="12"/>
      <c r="X552" s="12"/>
      <c r="Y552" s="12"/>
      <c r="Z552" s="12"/>
      <c r="AA552" s="12"/>
      <c r="AB552" s="12"/>
      <c r="AD552" s="31"/>
      <c r="AE552" s="12"/>
      <c r="AF552" s="12"/>
      <c r="AG552" s="12"/>
      <c r="AH552" s="12"/>
      <c r="AI552" s="12"/>
      <c r="AJ552" s="12"/>
      <c r="AK552" s="12"/>
      <c r="AL552" s="12"/>
      <c r="AM552" s="12"/>
      <c r="AN552" s="12"/>
      <c r="AO552" s="12"/>
      <c r="AP552" s="12"/>
      <c r="AQ552" s="12"/>
      <c r="AR552" s="12"/>
      <c r="AS552" s="12"/>
      <c r="AT552" s="12"/>
    </row>
    <row r="553" spans="1:46" x14ac:dyDescent="0.25">
      <c r="A553" s="12"/>
      <c r="B553" s="12"/>
      <c r="C553" s="12"/>
      <c r="D553" s="12"/>
      <c r="E553" s="12"/>
      <c r="F553" s="12"/>
      <c r="G553" s="12"/>
      <c r="H553" s="12"/>
      <c r="I553" s="21" t="str">
        <f>IF(COUNTA('[1]Virus production'!A539)=1,('[1]Virus production'!A539),"")</f>
        <v/>
      </c>
      <c r="J553" s="12"/>
      <c r="L553" s="12"/>
      <c r="M553" s="12"/>
      <c r="N553" s="12"/>
      <c r="O553" s="12"/>
      <c r="P553" s="12"/>
      <c r="Q553" s="12"/>
      <c r="R553" s="12"/>
      <c r="S553" s="12"/>
      <c r="T553" s="12"/>
      <c r="U553" s="12"/>
      <c r="V553" s="12"/>
      <c r="W553" s="12"/>
      <c r="X553" s="12"/>
      <c r="Y553" s="12"/>
      <c r="Z553" s="12"/>
      <c r="AA553" s="12"/>
      <c r="AB553" s="12"/>
      <c r="AD553" s="31"/>
      <c r="AE553" s="12"/>
      <c r="AF553" s="12"/>
      <c r="AG553" s="12"/>
      <c r="AH553" s="12"/>
      <c r="AI553" s="12"/>
      <c r="AJ553" s="12"/>
      <c r="AK553" s="12"/>
      <c r="AL553" s="12"/>
      <c r="AM553" s="12"/>
      <c r="AN553" s="12"/>
      <c r="AO553" s="12"/>
      <c r="AP553" s="12"/>
      <c r="AQ553" s="12"/>
      <c r="AR553" s="12"/>
      <c r="AS553" s="12"/>
      <c r="AT553" s="12"/>
    </row>
    <row r="554" spans="1:46" x14ac:dyDescent="0.25">
      <c r="A554" s="12"/>
      <c r="B554" s="12"/>
      <c r="C554" s="12"/>
      <c r="D554" s="12"/>
      <c r="E554" s="12"/>
      <c r="F554" s="12"/>
      <c r="G554" s="12"/>
      <c r="H554" s="12"/>
      <c r="I554" s="21" t="str">
        <f>IF(COUNTA('[1]Virus production'!A540)=1,('[1]Virus production'!A540),"")</f>
        <v/>
      </c>
      <c r="J554" s="12"/>
      <c r="L554" s="12"/>
      <c r="M554" s="12"/>
      <c r="N554" s="12"/>
      <c r="O554" s="12"/>
      <c r="P554" s="12"/>
      <c r="Q554" s="12"/>
      <c r="R554" s="12"/>
      <c r="S554" s="12"/>
      <c r="T554" s="12"/>
      <c r="U554" s="12"/>
      <c r="V554" s="12"/>
      <c r="W554" s="12"/>
      <c r="X554" s="12"/>
      <c r="Y554" s="12"/>
      <c r="Z554" s="12"/>
      <c r="AA554" s="12"/>
      <c r="AB554" s="12"/>
      <c r="AD554" s="31"/>
      <c r="AE554" s="12"/>
      <c r="AF554" s="12"/>
      <c r="AG554" s="12"/>
      <c r="AH554" s="12"/>
      <c r="AI554" s="12"/>
      <c r="AJ554" s="12"/>
      <c r="AK554" s="12"/>
      <c r="AL554" s="12"/>
      <c r="AM554" s="12"/>
      <c r="AN554" s="12"/>
      <c r="AO554" s="12"/>
      <c r="AP554" s="12"/>
      <c r="AQ554" s="12"/>
      <c r="AR554" s="12"/>
      <c r="AS554" s="12"/>
      <c r="AT554" s="12"/>
    </row>
    <row r="555" spans="1:46" x14ac:dyDescent="0.25">
      <c r="A555" s="12"/>
      <c r="B555" s="12"/>
      <c r="C555" s="12"/>
      <c r="D555" s="12"/>
      <c r="E555" s="12"/>
      <c r="F555" s="12"/>
      <c r="G555" s="12"/>
      <c r="H555" s="12"/>
      <c r="I555" s="21" t="str">
        <f>IF(COUNTA('[1]Virus production'!A541)=1,('[1]Virus production'!A541),"")</f>
        <v/>
      </c>
      <c r="J555" s="12"/>
      <c r="L555" s="12"/>
      <c r="M555" s="12"/>
      <c r="N555" s="12"/>
      <c r="O555" s="12"/>
      <c r="P555" s="12"/>
      <c r="Q555" s="12"/>
      <c r="R555" s="12"/>
      <c r="S555" s="12"/>
      <c r="T555" s="12"/>
      <c r="U555" s="12"/>
      <c r="V555" s="12"/>
      <c r="W555" s="12"/>
      <c r="X555" s="12"/>
      <c r="Y555" s="12"/>
      <c r="Z555" s="12"/>
      <c r="AA555" s="12"/>
      <c r="AB555" s="12"/>
      <c r="AD555" s="31"/>
      <c r="AE555" s="12"/>
      <c r="AF555" s="12"/>
      <c r="AG555" s="12"/>
      <c r="AH555" s="12"/>
      <c r="AI555" s="12"/>
      <c r="AJ555" s="12"/>
      <c r="AK555" s="12"/>
      <c r="AL555" s="12"/>
      <c r="AM555" s="12"/>
      <c r="AN555" s="12"/>
      <c r="AO555" s="12"/>
      <c r="AP555" s="12"/>
      <c r="AQ555" s="12"/>
      <c r="AR555" s="12"/>
      <c r="AS555" s="12"/>
      <c r="AT555" s="12"/>
    </row>
    <row r="556" spans="1:46" x14ac:dyDescent="0.25">
      <c r="A556" s="12"/>
      <c r="B556" s="12"/>
      <c r="C556" s="12"/>
      <c r="D556" s="12"/>
      <c r="E556" s="12"/>
      <c r="F556" s="12"/>
      <c r="G556" s="12"/>
      <c r="H556" s="12"/>
      <c r="I556" s="21" t="str">
        <f>IF(COUNTA('[1]Virus production'!A542)=1,('[1]Virus production'!A542),"")</f>
        <v/>
      </c>
      <c r="J556" s="12"/>
      <c r="L556" s="12"/>
      <c r="M556" s="12"/>
      <c r="N556" s="12"/>
      <c r="O556" s="12"/>
      <c r="P556" s="12"/>
      <c r="Q556" s="12"/>
      <c r="R556" s="12"/>
      <c r="S556" s="12"/>
      <c r="T556" s="12"/>
      <c r="U556" s="12"/>
      <c r="V556" s="12"/>
      <c r="W556" s="12"/>
      <c r="X556" s="12"/>
      <c r="Y556" s="12"/>
      <c r="Z556" s="12"/>
      <c r="AA556" s="12"/>
      <c r="AB556" s="12"/>
      <c r="AD556" s="31"/>
      <c r="AE556" s="12"/>
      <c r="AF556" s="12"/>
      <c r="AG556" s="12"/>
      <c r="AH556" s="12"/>
      <c r="AI556" s="12"/>
      <c r="AJ556" s="12"/>
      <c r="AK556" s="12"/>
      <c r="AL556" s="12"/>
      <c r="AM556" s="12"/>
      <c r="AN556" s="12"/>
      <c r="AO556" s="12"/>
      <c r="AP556" s="12"/>
      <c r="AQ556" s="12"/>
      <c r="AR556" s="12"/>
      <c r="AS556" s="12"/>
      <c r="AT556" s="12"/>
    </row>
    <row r="557" spans="1:46" x14ac:dyDescent="0.25">
      <c r="A557" s="12"/>
      <c r="B557" s="12"/>
      <c r="C557" s="12"/>
      <c r="D557" s="12"/>
      <c r="E557" s="12"/>
      <c r="F557" s="12"/>
      <c r="G557" s="12"/>
      <c r="H557" s="12"/>
      <c r="I557" s="21" t="str">
        <f>IF(COUNTA('[1]Virus production'!A543)=1,('[1]Virus production'!A543),"")</f>
        <v/>
      </c>
      <c r="J557" s="12"/>
      <c r="L557" s="12"/>
      <c r="M557" s="12"/>
      <c r="N557" s="12"/>
      <c r="O557" s="12"/>
      <c r="P557" s="12"/>
      <c r="Q557" s="12"/>
      <c r="R557" s="12"/>
      <c r="S557" s="12"/>
      <c r="T557" s="12"/>
      <c r="U557" s="12"/>
      <c r="V557" s="12"/>
      <c r="W557" s="12"/>
      <c r="X557" s="12"/>
      <c r="Y557" s="12"/>
      <c r="Z557" s="12"/>
      <c r="AA557" s="12"/>
      <c r="AB557" s="12"/>
      <c r="AD557" s="31"/>
      <c r="AE557" s="12"/>
      <c r="AF557" s="12"/>
      <c r="AG557" s="12"/>
      <c r="AH557" s="12"/>
      <c r="AI557" s="12"/>
      <c r="AJ557" s="12"/>
      <c r="AK557" s="12"/>
      <c r="AL557" s="12"/>
      <c r="AM557" s="12"/>
      <c r="AN557" s="12"/>
      <c r="AO557" s="12"/>
      <c r="AP557" s="12"/>
      <c r="AQ557" s="12"/>
      <c r="AR557" s="12"/>
      <c r="AS557" s="12"/>
      <c r="AT557" s="12"/>
    </row>
    <row r="558" spans="1:46" x14ac:dyDescent="0.25">
      <c r="A558" s="12"/>
      <c r="B558" s="12"/>
      <c r="C558" s="12"/>
      <c r="D558" s="12"/>
      <c r="E558" s="12"/>
      <c r="F558" s="12"/>
      <c r="G558" s="12"/>
      <c r="H558" s="12"/>
      <c r="I558" s="21" t="str">
        <f>IF(COUNTA('[1]Virus production'!A544)=1,('[1]Virus production'!A544),"")</f>
        <v/>
      </c>
      <c r="J558" s="12"/>
      <c r="L558" s="12"/>
      <c r="M558" s="12"/>
      <c r="N558" s="12"/>
      <c r="O558" s="12"/>
      <c r="P558" s="12"/>
      <c r="Q558" s="12"/>
      <c r="R558" s="12"/>
      <c r="S558" s="12"/>
      <c r="T558" s="12"/>
      <c r="U558" s="12"/>
      <c r="V558" s="12"/>
      <c r="W558" s="12"/>
      <c r="X558" s="12"/>
      <c r="Y558" s="12"/>
      <c r="Z558" s="12"/>
      <c r="AA558" s="12"/>
      <c r="AB558" s="12"/>
      <c r="AD558" s="31"/>
      <c r="AE558" s="12"/>
      <c r="AF558" s="12"/>
      <c r="AG558" s="12"/>
      <c r="AH558" s="12"/>
      <c r="AI558" s="12"/>
      <c r="AJ558" s="12"/>
      <c r="AK558" s="12"/>
      <c r="AL558" s="12"/>
      <c r="AM558" s="12"/>
      <c r="AN558" s="12"/>
      <c r="AO558" s="12"/>
      <c r="AP558" s="12"/>
      <c r="AQ558" s="12"/>
      <c r="AR558" s="12"/>
      <c r="AS558" s="12"/>
      <c r="AT558" s="12"/>
    </row>
    <row r="559" spans="1:46" x14ac:dyDescent="0.25">
      <c r="A559" s="12"/>
      <c r="B559" s="12"/>
      <c r="C559" s="12"/>
      <c r="D559" s="12"/>
      <c r="E559" s="12"/>
      <c r="F559" s="12"/>
      <c r="G559" s="12"/>
      <c r="H559" s="12"/>
      <c r="I559" s="21" t="str">
        <f>IF(COUNTA('[1]Virus production'!A545)=1,('[1]Virus production'!A545),"")</f>
        <v/>
      </c>
      <c r="J559" s="12"/>
      <c r="L559" s="12"/>
      <c r="M559" s="12"/>
      <c r="N559" s="12"/>
      <c r="O559" s="12"/>
      <c r="P559" s="12"/>
      <c r="Q559" s="12"/>
      <c r="R559" s="12"/>
      <c r="S559" s="12"/>
      <c r="T559" s="12"/>
      <c r="U559" s="12"/>
      <c r="V559" s="12"/>
      <c r="W559" s="12"/>
      <c r="X559" s="12"/>
      <c r="Y559" s="12"/>
      <c r="Z559" s="12"/>
      <c r="AA559" s="12"/>
      <c r="AB559" s="12"/>
      <c r="AD559" s="31"/>
      <c r="AE559" s="12"/>
      <c r="AF559" s="12"/>
      <c r="AG559" s="12"/>
      <c r="AH559" s="12"/>
      <c r="AI559" s="12"/>
      <c r="AJ559" s="12"/>
      <c r="AK559" s="12"/>
      <c r="AL559" s="12"/>
      <c r="AM559" s="12"/>
      <c r="AN559" s="12"/>
      <c r="AO559" s="12"/>
      <c r="AP559" s="12"/>
      <c r="AQ559" s="12"/>
      <c r="AR559" s="12"/>
      <c r="AS559" s="12"/>
      <c r="AT559" s="12"/>
    </row>
    <row r="560" spans="1:46" x14ac:dyDescent="0.25">
      <c r="A560" s="12"/>
      <c r="B560" s="12"/>
      <c r="C560" s="12"/>
      <c r="D560" s="12"/>
      <c r="E560" s="12"/>
      <c r="F560" s="12"/>
      <c r="G560" s="12"/>
      <c r="H560" s="12"/>
      <c r="I560" s="21" t="str">
        <f>IF(COUNTA('[1]Virus production'!A546)=1,('[1]Virus production'!A546),"")</f>
        <v/>
      </c>
      <c r="J560" s="12"/>
      <c r="L560" s="12"/>
      <c r="M560" s="12"/>
      <c r="N560" s="12"/>
      <c r="O560" s="12"/>
      <c r="P560" s="12"/>
      <c r="Q560" s="12"/>
      <c r="R560" s="12"/>
      <c r="S560" s="12"/>
      <c r="T560" s="12"/>
      <c r="U560" s="12"/>
      <c r="V560" s="12"/>
      <c r="W560" s="12"/>
      <c r="X560" s="12"/>
      <c r="Y560" s="12"/>
      <c r="Z560" s="12"/>
      <c r="AA560" s="12"/>
      <c r="AB560" s="12"/>
      <c r="AD560" s="31"/>
      <c r="AE560" s="12"/>
      <c r="AF560" s="12"/>
      <c r="AG560" s="12"/>
      <c r="AH560" s="12"/>
      <c r="AI560" s="12"/>
      <c r="AJ560" s="12"/>
      <c r="AK560" s="12"/>
      <c r="AL560" s="12"/>
      <c r="AM560" s="12"/>
      <c r="AN560" s="12"/>
      <c r="AO560" s="12"/>
      <c r="AP560" s="12"/>
      <c r="AQ560" s="12"/>
      <c r="AR560" s="12"/>
      <c r="AS560" s="12"/>
      <c r="AT560" s="12"/>
    </row>
    <row r="561" spans="1:46" x14ac:dyDescent="0.25">
      <c r="A561" s="12"/>
      <c r="B561" s="12"/>
      <c r="C561" s="12"/>
      <c r="D561" s="12"/>
      <c r="E561" s="12"/>
      <c r="F561" s="12"/>
      <c r="G561" s="12"/>
      <c r="H561" s="12"/>
      <c r="I561" s="21" t="str">
        <f>IF(COUNTA('[1]Virus production'!A547)=1,('[1]Virus production'!A547),"")</f>
        <v/>
      </c>
      <c r="J561" s="12"/>
      <c r="L561" s="12"/>
      <c r="M561" s="12"/>
      <c r="N561" s="12"/>
      <c r="O561" s="12"/>
      <c r="P561" s="12"/>
      <c r="Q561" s="12"/>
      <c r="R561" s="12"/>
      <c r="S561" s="12"/>
      <c r="T561" s="12"/>
      <c r="U561" s="12"/>
      <c r="V561" s="12"/>
      <c r="W561" s="12"/>
      <c r="X561" s="12"/>
      <c r="Y561" s="12"/>
      <c r="Z561" s="12"/>
      <c r="AA561" s="12"/>
      <c r="AB561" s="12"/>
      <c r="AD561" s="31"/>
      <c r="AE561" s="12"/>
      <c r="AF561" s="12"/>
      <c r="AG561" s="12"/>
      <c r="AH561" s="12"/>
      <c r="AI561" s="12"/>
      <c r="AJ561" s="12"/>
      <c r="AK561" s="12"/>
      <c r="AL561" s="12"/>
      <c r="AM561" s="12"/>
      <c r="AN561" s="12"/>
      <c r="AO561" s="12"/>
      <c r="AP561" s="12"/>
      <c r="AQ561" s="12"/>
      <c r="AR561" s="12"/>
      <c r="AS561" s="12"/>
      <c r="AT561" s="12"/>
    </row>
    <row r="562" spans="1:46" x14ac:dyDescent="0.25">
      <c r="A562" s="12"/>
      <c r="B562" s="12"/>
      <c r="C562" s="12"/>
      <c r="D562" s="12"/>
      <c r="E562" s="12"/>
      <c r="F562" s="12"/>
      <c r="G562" s="12"/>
      <c r="H562" s="12"/>
      <c r="I562" s="21" t="str">
        <f>IF(COUNTA('[1]Virus production'!A548)=1,('[1]Virus production'!A548),"")</f>
        <v/>
      </c>
      <c r="J562" s="12"/>
      <c r="L562" s="12"/>
      <c r="M562" s="12"/>
      <c r="N562" s="12"/>
      <c r="O562" s="12"/>
      <c r="P562" s="12"/>
      <c r="Q562" s="12"/>
      <c r="R562" s="12"/>
      <c r="S562" s="12"/>
      <c r="T562" s="12"/>
      <c r="U562" s="12"/>
      <c r="V562" s="12"/>
      <c r="W562" s="12"/>
      <c r="X562" s="12"/>
      <c r="Y562" s="12"/>
      <c r="Z562" s="12"/>
      <c r="AA562" s="12"/>
      <c r="AB562" s="12"/>
      <c r="AD562" s="31"/>
      <c r="AE562" s="12"/>
      <c r="AF562" s="12"/>
      <c r="AG562" s="12"/>
      <c r="AH562" s="12"/>
      <c r="AI562" s="12"/>
      <c r="AJ562" s="12"/>
      <c r="AK562" s="12"/>
      <c r="AL562" s="12"/>
      <c r="AM562" s="12"/>
      <c r="AN562" s="12"/>
      <c r="AO562" s="12"/>
      <c r="AP562" s="12"/>
      <c r="AQ562" s="12"/>
      <c r="AR562" s="12"/>
      <c r="AS562" s="12"/>
      <c r="AT562" s="12"/>
    </row>
    <row r="563" spans="1:46" x14ac:dyDescent="0.25">
      <c r="A563" s="12"/>
      <c r="B563" s="12"/>
      <c r="C563" s="12"/>
      <c r="D563" s="12"/>
      <c r="E563" s="12"/>
      <c r="F563" s="12"/>
      <c r="G563" s="12"/>
      <c r="H563" s="12"/>
      <c r="I563" s="21" t="str">
        <f>IF(COUNTA('[1]Virus production'!A549)=1,('[1]Virus production'!A549),"")</f>
        <v/>
      </c>
      <c r="J563" s="12"/>
      <c r="L563" s="12"/>
      <c r="M563" s="12"/>
      <c r="N563" s="12"/>
      <c r="O563" s="12"/>
      <c r="P563" s="12"/>
      <c r="Q563" s="12"/>
      <c r="R563" s="12"/>
      <c r="S563" s="12"/>
      <c r="T563" s="12"/>
      <c r="U563" s="12"/>
      <c r="V563" s="12"/>
      <c r="W563" s="12"/>
      <c r="X563" s="12"/>
      <c r="Y563" s="12"/>
      <c r="Z563" s="12"/>
      <c r="AA563" s="12"/>
      <c r="AB563" s="12"/>
      <c r="AD563" s="31"/>
      <c r="AE563" s="12"/>
      <c r="AF563" s="12"/>
      <c r="AG563" s="12"/>
      <c r="AH563" s="12"/>
      <c r="AI563" s="12"/>
      <c r="AJ563" s="12"/>
      <c r="AK563" s="12"/>
      <c r="AL563" s="12"/>
      <c r="AM563" s="12"/>
      <c r="AN563" s="12"/>
      <c r="AO563" s="12"/>
      <c r="AP563" s="12"/>
      <c r="AQ563" s="12"/>
      <c r="AR563" s="12"/>
      <c r="AS563" s="12"/>
      <c r="AT563" s="12"/>
    </row>
    <row r="564" spans="1:46" x14ac:dyDescent="0.25">
      <c r="A564" s="12"/>
      <c r="B564" s="12"/>
      <c r="C564" s="12"/>
      <c r="D564" s="12"/>
      <c r="E564" s="12"/>
      <c r="F564" s="12"/>
      <c r="G564" s="12"/>
      <c r="H564" s="12"/>
      <c r="I564" s="21" t="str">
        <f>IF(COUNTA('[1]Virus production'!A550)=1,('[1]Virus production'!A550),"")</f>
        <v/>
      </c>
      <c r="J564" s="12"/>
      <c r="L564" s="12"/>
      <c r="M564" s="12"/>
      <c r="N564" s="12"/>
      <c r="O564" s="12"/>
      <c r="P564" s="12"/>
      <c r="Q564" s="12"/>
      <c r="R564" s="12"/>
      <c r="S564" s="12"/>
      <c r="T564" s="12"/>
      <c r="U564" s="12"/>
      <c r="V564" s="12"/>
      <c r="W564" s="12"/>
      <c r="X564" s="12"/>
      <c r="Y564" s="12"/>
      <c r="Z564" s="12"/>
      <c r="AA564" s="12"/>
      <c r="AB564" s="12"/>
      <c r="AD564" s="31"/>
      <c r="AE564" s="12"/>
      <c r="AF564" s="12"/>
      <c r="AG564" s="12"/>
      <c r="AH564" s="12"/>
      <c r="AI564" s="12"/>
      <c r="AJ564" s="12"/>
      <c r="AK564" s="12"/>
      <c r="AL564" s="12"/>
      <c r="AM564" s="12"/>
      <c r="AN564" s="12"/>
      <c r="AO564" s="12"/>
      <c r="AP564" s="12"/>
      <c r="AQ564" s="12"/>
      <c r="AR564" s="12"/>
      <c r="AS564" s="12"/>
      <c r="AT564" s="12"/>
    </row>
    <row r="565" spans="1:46" x14ac:dyDescent="0.25">
      <c r="A565" s="12"/>
      <c r="B565" s="12"/>
      <c r="C565" s="12"/>
      <c r="D565" s="12"/>
      <c r="E565" s="12"/>
      <c r="F565" s="12"/>
      <c r="G565" s="12"/>
      <c r="H565" s="12"/>
      <c r="I565" s="21" t="str">
        <f>IF(COUNTA('[1]Virus production'!A551)=1,('[1]Virus production'!A551),"")</f>
        <v/>
      </c>
      <c r="J565" s="12"/>
      <c r="L565" s="12"/>
      <c r="M565" s="12"/>
      <c r="N565" s="12"/>
      <c r="O565" s="12"/>
      <c r="P565" s="12"/>
      <c r="Q565" s="12"/>
      <c r="R565" s="12"/>
      <c r="S565" s="12"/>
      <c r="T565" s="12"/>
      <c r="U565" s="12"/>
      <c r="V565" s="12"/>
      <c r="W565" s="12"/>
      <c r="X565" s="12"/>
      <c r="Y565" s="12"/>
      <c r="Z565" s="12"/>
      <c r="AA565" s="12"/>
      <c r="AB565" s="12"/>
      <c r="AD565" s="31"/>
      <c r="AE565" s="12"/>
      <c r="AF565" s="12"/>
      <c r="AG565" s="12"/>
      <c r="AH565" s="12"/>
      <c r="AI565" s="12"/>
      <c r="AJ565" s="12"/>
      <c r="AK565" s="12"/>
      <c r="AL565" s="12"/>
      <c r="AM565" s="12"/>
      <c r="AN565" s="12"/>
      <c r="AO565" s="12"/>
      <c r="AP565" s="12"/>
      <c r="AQ565" s="12"/>
      <c r="AR565" s="12"/>
      <c r="AS565" s="12"/>
      <c r="AT565" s="12"/>
    </row>
    <row r="566" spans="1:46" x14ac:dyDescent="0.25">
      <c r="A566" s="12"/>
      <c r="B566" s="12"/>
      <c r="C566" s="12"/>
      <c r="D566" s="12"/>
      <c r="E566" s="12"/>
      <c r="F566" s="12"/>
      <c r="G566" s="12"/>
      <c r="H566" s="12"/>
      <c r="I566" s="21" t="str">
        <f>IF(COUNTA('[1]Virus production'!A552)=1,('[1]Virus production'!A552),"")</f>
        <v/>
      </c>
      <c r="J566" s="12"/>
      <c r="L566" s="12"/>
      <c r="M566" s="12"/>
      <c r="N566" s="12"/>
      <c r="O566" s="12"/>
      <c r="P566" s="12"/>
      <c r="Q566" s="12"/>
      <c r="R566" s="12"/>
      <c r="S566" s="12"/>
      <c r="T566" s="12"/>
      <c r="U566" s="12"/>
      <c r="V566" s="12"/>
      <c r="W566" s="12"/>
      <c r="X566" s="12"/>
      <c r="Y566" s="12"/>
      <c r="Z566" s="12"/>
      <c r="AA566" s="12"/>
      <c r="AB566" s="12"/>
      <c r="AD566" s="31"/>
      <c r="AE566" s="12"/>
      <c r="AF566" s="12"/>
      <c r="AG566" s="12"/>
      <c r="AH566" s="12"/>
      <c r="AI566" s="12"/>
      <c r="AJ566" s="12"/>
      <c r="AK566" s="12"/>
      <c r="AL566" s="12"/>
      <c r="AM566" s="12"/>
      <c r="AN566" s="12"/>
      <c r="AO566" s="12"/>
      <c r="AP566" s="12"/>
      <c r="AQ566" s="12"/>
      <c r="AR566" s="12"/>
      <c r="AS566" s="12"/>
      <c r="AT566" s="12"/>
    </row>
    <row r="567" spans="1:46" x14ac:dyDescent="0.25">
      <c r="A567" s="12"/>
      <c r="B567" s="12"/>
      <c r="C567" s="12"/>
      <c r="D567" s="12"/>
      <c r="E567" s="12"/>
      <c r="F567" s="12"/>
      <c r="G567" s="12"/>
      <c r="H567" s="12"/>
      <c r="I567" s="21" t="str">
        <f>IF(COUNTA('[1]Virus production'!A553)=1,('[1]Virus production'!A553),"")</f>
        <v/>
      </c>
      <c r="J567" s="12"/>
      <c r="L567" s="12"/>
      <c r="M567" s="12"/>
      <c r="N567" s="12"/>
      <c r="O567" s="12"/>
      <c r="P567" s="12"/>
      <c r="Q567" s="12"/>
      <c r="R567" s="12"/>
      <c r="S567" s="12"/>
      <c r="T567" s="12"/>
      <c r="U567" s="12"/>
      <c r="V567" s="12"/>
      <c r="W567" s="12"/>
      <c r="X567" s="12"/>
      <c r="Y567" s="12"/>
      <c r="Z567" s="12"/>
      <c r="AA567" s="12"/>
      <c r="AB567" s="12"/>
      <c r="AD567" s="31"/>
      <c r="AE567" s="12"/>
      <c r="AF567" s="12"/>
      <c r="AG567" s="12"/>
      <c r="AH567" s="12"/>
      <c r="AI567" s="12"/>
      <c r="AJ567" s="12"/>
      <c r="AK567" s="12"/>
      <c r="AL567" s="12"/>
      <c r="AM567" s="12"/>
      <c r="AN567" s="12"/>
      <c r="AO567" s="12"/>
      <c r="AP567" s="12"/>
      <c r="AQ567" s="12"/>
      <c r="AR567" s="12"/>
      <c r="AS567" s="12"/>
      <c r="AT567" s="12"/>
    </row>
    <row r="568" spans="1:46" x14ac:dyDescent="0.25">
      <c r="A568" s="12"/>
      <c r="B568" s="12"/>
      <c r="C568" s="12"/>
      <c r="D568" s="12"/>
      <c r="E568" s="12"/>
      <c r="F568" s="12"/>
      <c r="G568" s="12"/>
      <c r="H568" s="12"/>
      <c r="I568" s="21" t="str">
        <f>IF(COUNTA('[1]Virus production'!A554)=1,('[1]Virus production'!A554),"")</f>
        <v/>
      </c>
      <c r="J568" s="12"/>
      <c r="L568" s="12"/>
      <c r="M568" s="12"/>
      <c r="N568" s="12"/>
      <c r="O568" s="12"/>
      <c r="P568" s="12"/>
      <c r="Q568" s="12"/>
      <c r="R568" s="12"/>
      <c r="S568" s="12"/>
      <c r="T568" s="12"/>
      <c r="U568" s="12"/>
      <c r="V568" s="12"/>
      <c r="W568" s="12"/>
      <c r="X568" s="12"/>
      <c r="Y568" s="12"/>
      <c r="Z568" s="12"/>
      <c r="AA568" s="12"/>
      <c r="AB568" s="12"/>
      <c r="AD568" s="31"/>
      <c r="AE568" s="12"/>
      <c r="AF568" s="12"/>
      <c r="AG568" s="12"/>
      <c r="AH568" s="12"/>
      <c r="AI568" s="12"/>
      <c r="AJ568" s="12"/>
      <c r="AK568" s="12"/>
      <c r="AL568" s="12"/>
      <c r="AM568" s="12"/>
      <c r="AN568" s="12"/>
      <c r="AO568" s="12"/>
      <c r="AP568" s="12"/>
      <c r="AQ568" s="12"/>
      <c r="AR568" s="12"/>
      <c r="AS568" s="12"/>
      <c r="AT568" s="12"/>
    </row>
    <row r="569" spans="1:46" x14ac:dyDescent="0.25">
      <c r="A569" s="12"/>
      <c r="B569" s="12"/>
      <c r="C569" s="12"/>
      <c r="D569" s="12"/>
      <c r="E569" s="12"/>
      <c r="F569" s="12"/>
      <c r="G569" s="12"/>
      <c r="H569" s="12"/>
      <c r="I569" s="21" t="str">
        <f>IF(COUNTA('[1]Virus production'!A555)=1,('[1]Virus production'!A555),"")</f>
        <v/>
      </c>
      <c r="J569" s="12"/>
      <c r="L569" s="12"/>
      <c r="M569" s="12"/>
      <c r="N569" s="12"/>
      <c r="O569" s="12"/>
      <c r="P569" s="12"/>
      <c r="Q569" s="12"/>
      <c r="R569" s="12"/>
      <c r="S569" s="12"/>
      <c r="T569" s="12"/>
      <c r="U569" s="12"/>
      <c r="V569" s="12"/>
      <c r="W569" s="12"/>
      <c r="X569" s="12"/>
      <c r="Y569" s="12"/>
      <c r="Z569" s="12"/>
      <c r="AA569" s="12"/>
      <c r="AB569" s="12"/>
      <c r="AD569" s="31"/>
      <c r="AE569" s="12"/>
      <c r="AF569" s="12"/>
      <c r="AG569" s="12"/>
      <c r="AH569" s="12"/>
      <c r="AI569" s="12"/>
      <c r="AJ569" s="12"/>
      <c r="AK569" s="12"/>
      <c r="AL569" s="12"/>
      <c r="AM569" s="12"/>
      <c r="AN569" s="12"/>
      <c r="AO569" s="12"/>
      <c r="AP569" s="12"/>
      <c r="AQ569" s="12"/>
      <c r="AR569" s="12"/>
      <c r="AS569" s="12"/>
      <c r="AT569" s="12"/>
    </row>
    <row r="570" spans="1:46" x14ac:dyDescent="0.25">
      <c r="A570" s="12"/>
      <c r="B570" s="12"/>
      <c r="C570" s="12"/>
      <c r="D570" s="12"/>
      <c r="E570" s="12"/>
      <c r="F570" s="12"/>
      <c r="G570" s="12"/>
      <c r="H570" s="12"/>
      <c r="I570" s="21" t="str">
        <f>IF(COUNTA('[1]Virus production'!A556)=1,('[1]Virus production'!A556),"")</f>
        <v/>
      </c>
      <c r="J570" s="12"/>
      <c r="L570" s="12"/>
      <c r="M570" s="12"/>
      <c r="N570" s="12"/>
      <c r="O570" s="12"/>
      <c r="P570" s="12"/>
      <c r="Q570" s="12"/>
      <c r="R570" s="12"/>
      <c r="S570" s="12"/>
      <c r="T570" s="12"/>
      <c r="U570" s="12"/>
      <c r="V570" s="12"/>
      <c r="W570" s="12"/>
      <c r="X570" s="12"/>
      <c r="Y570" s="12"/>
      <c r="Z570" s="12"/>
      <c r="AA570" s="12"/>
      <c r="AB570" s="12"/>
      <c r="AD570" s="31"/>
      <c r="AE570" s="12"/>
      <c r="AF570" s="12"/>
      <c r="AG570" s="12"/>
      <c r="AH570" s="12"/>
      <c r="AI570" s="12"/>
      <c r="AJ570" s="12"/>
      <c r="AK570" s="12"/>
      <c r="AL570" s="12"/>
      <c r="AM570" s="12"/>
      <c r="AN570" s="12"/>
      <c r="AO570" s="12"/>
      <c r="AP570" s="12"/>
      <c r="AQ570" s="12"/>
      <c r="AR570" s="12"/>
      <c r="AS570" s="12"/>
      <c r="AT570" s="12"/>
    </row>
    <row r="571" spans="1:46" x14ac:dyDescent="0.25">
      <c r="A571" s="12"/>
      <c r="B571" s="12"/>
      <c r="C571" s="12"/>
      <c r="D571" s="12"/>
      <c r="E571" s="12"/>
      <c r="F571" s="12"/>
      <c r="G571" s="12"/>
      <c r="H571" s="12"/>
      <c r="I571" s="21" t="str">
        <f>IF(COUNTA('[1]Virus production'!A557)=1,('[1]Virus production'!A557),"")</f>
        <v/>
      </c>
      <c r="J571" s="12"/>
      <c r="L571" s="12"/>
      <c r="M571" s="12"/>
      <c r="N571" s="12"/>
      <c r="O571" s="12"/>
      <c r="P571" s="12"/>
      <c r="Q571" s="12"/>
      <c r="R571" s="12"/>
      <c r="S571" s="12"/>
      <c r="T571" s="12"/>
      <c r="U571" s="12"/>
      <c r="V571" s="12"/>
      <c r="W571" s="12"/>
      <c r="X571" s="12"/>
      <c r="Y571" s="12"/>
      <c r="Z571" s="12"/>
      <c r="AA571" s="12"/>
      <c r="AB571" s="12"/>
      <c r="AD571" s="31"/>
      <c r="AE571" s="12"/>
      <c r="AF571" s="12"/>
      <c r="AG571" s="12"/>
      <c r="AH571" s="12"/>
      <c r="AI571" s="12"/>
      <c r="AJ571" s="12"/>
      <c r="AK571" s="12"/>
      <c r="AL571" s="12"/>
      <c r="AM571" s="12"/>
      <c r="AN571" s="12"/>
      <c r="AO571" s="12"/>
      <c r="AP571" s="12"/>
      <c r="AQ571" s="12"/>
      <c r="AR571" s="12"/>
      <c r="AS571" s="12"/>
      <c r="AT571" s="12"/>
    </row>
    <row r="572" spans="1:46" x14ac:dyDescent="0.25">
      <c r="A572" s="12"/>
      <c r="B572" s="12"/>
      <c r="C572" s="12"/>
      <c r="D572" s="12"/>
      <c r="E572" s="12"/>
      <c r="F572" s="12"/>
      <c r="G572" s="12"/>
      <c r="H572" s="12"/>
      <c r="I572" s="21" t="str">
        <f>IF(COUNTA('[1]Virus production'!A558)=1,('[1]Virus production'!A558),"")</f>
        <v/>
      </c>
      <c r="J572" s="12"/>
      <c r="L572" s="12"/>
      <c r="M572" s="12"/>
      <c r="N572" s="12"/>
      <c r="O572" s="12"/>
      <c r="P572" s="12"/>
      <c r="Q572" s="12"/>
      <c r="R572" s="12"/>
      <c r="S572" s="12"/>
      <c r="T572" s="12"/>
      <c r="U572" s="12"/>
      <c r="V572" s="12"/>
      <c r="W572" s="12"/>
      <c r="X572" s="12"/>
      <c r="Y572" s="12"/>
      <c r="Z572" s="12"/>
      <c r="AA572" s="12"/>
      <c r="AB572" s="12"/>
      <c r="AD572" s="31"/>
      <c r="AE572" s="12"/>
      <c r="AF572" s="12"/>
      <c r="AG572" s="12"/>
      <c r="AH572" s="12"/>
      <c r="AI572" s="12"/>
      <c r="AJ572" s="12"/>
      <c r="AK572" s="12"/>
      <c r="AL572" s="12"/>
      <c r="AM572" s="12"/>
      <c r="AN572" s="12"/>
      <c r="AO572" s="12"/>
      <c r="AP572" s="12"/>
      <c r="AQ572" s="12"/>
      <c r="AR572" s="12"/>
      <c r="AS572" s="12"/>
      <c r="AT572" s="12"/>
    </row>
    <row r="573" spans="1:46" x14ac:dyDescent="0.25">
      <c r="A573" s="12"/>
      <c r="B573" s="12"/>
      <c r="C573" s="12"/>
      <c r="D573" s="12"/>
      <c r="E573" s="12"/>
      <c r="F573" s="12"/>
      <c r="G573" s="12"/>
      <c r="H573" s="12"/>
      <c r="I573" s="21" t="str">
        <f>IF(COUNTA('[1]Virus production'!A559)=1,('[1]Virus production'!A559),"")</f>
        <v/>
      </c>
      <c r="J573" s="12"/>
      <c r="L573" s="12"/>
      <c r="M573" s="12"/>
      <c r="N573" s="12"/>
      <c r="O573" s="12"/>
      <c r="P573" s="12"/>
      <c r="Q573" s="12"/>
      <c r="R573" s="12"/>
      <c r="S573" s="12"/>
      <c r="T573" s="12"/>
      <c r="U573" s="12"/>
      <c r="V573" s="12"/>
      <c r="W573" s="12"/>
      <c r="X573" s="12"/>
      <c r="Y573" s="12"/>
      <c r="Z573" s="12"/>
      <c r="AA573" s="12"/>
      <c r="AB573" s="12"/>
      <c r="AD573" s="31"/>
      <c r="AE573" s="12"/>
      <c r="AF573" s="12"/>
      <c r="AG573" s="12"/>
      <c r="AH573" s="12"/>
      <c r="AI573" s="12"/>
      <c r="AJ573" s="12"/>
      <c r="AK573" s="12"/>
      <c r="AL573" s="12"/>
      <c r="AM573" s="12"/>
      <c r="AN573" s="12"/>
      <c r="AO573" s="12"/>
      <c r="AP573" s="12"/>
      <c r="AQ573" s="12"/>
      <c r="AR573" s="12"/>
      <c r="AS573" s="12"/>
      <c r="AT573" s="12"/>
    </row>
    <row r="574" spans="1:46" x14ac:dyDescent="0.25">
      <c r="A574" s="12"/>
      <c r="B574" s="12"/>
      <c r="C574" s="12"/>
      <c r="D574" s="12"/>
      <c r="E574" s="12"/>
      <c r="F574" s="12"/>
      <c r="G574" s="12"/>
      <c r="H574" s="12"/>
      <c r="I574" s="21" t="str">
        <f>IF(COUNTA('[1]Virus production'!A560)=1,('[1]Virus production'!A560),"")</f>
        <v/>
      </c>
      <c r="J574" s="12"/>
      <c r="L574" s="12"/>
      <c r="M574" s="12"/>
      <c r="N574" s="12"/>
      <c r="O574" s="12"/>
      <c r="P574" s="12"/>
      <c r="Q574" s="12"/>
      <c r="R574" s="12"/>
      <c r="S574" s="12"/>
      <c r="T574" s="12"/>
      <c r="U574" s="12"/>
      <c r="V574" s="12"/>
      <c r="W574" s="12"/>
      <c r="X574" s="12"/>
      <c r="Y574" s="12"/>
      <c r="Z574" s="12"/>
      <c r="AA574" s="12"/>
      <c r="AB574" s="12"/>
      <c r="AD574" s="31"/>
      <c r="AE574" s="12"/>
      <c r="AF574" s="12"/>
      <c r="AG574" s="12"/>
      <c r="AH574" s="12"/>
      <c r="AI574" s="12"/>
      <c r="AJ574" s="12"/>
      <c r="AK574" s="12"/>
      <c r="AL574" s="12"/>
      <c r="AM574" s="12"/>
      <c r="AN574" s="12"/>
      <c r="AO574" s="12"/>
      <c r="AP574" s="12"/>
      <c r="AQ574" s="12"/>
      <c r="AR574" s="12"/>
      <c r="AS574" s="12"/>
      <c r="AT574" s="12"/>
    </row>
    <row r="575" spans="1:46" x14ac:dyDescent="0.25">
      <c r="A575" s="12"/>
      <c r="B575" s="12"/>
      <c r="C575" s="12"/>
      <c r="D575" s="12"/>
      <c r="E575" s="12"/>
      <c r="F575" s="12"/>
      <c r="G575" s="12"/>
      <c r="H575" s="12"/>
      <c r="I575" s="21" t="str">
        <f>IF(COUNTA('[1]Virus production'!A561)=1,('[1]Virus production'!A561),"")</f>
        <v/>
      </c>
      <c r="J575" s="12"/>
      <c r="L575" s="12"/>
      <c r="M575" s="12"/>
      <c r="N575" s="12"/>
      <c r="O575" s="12"/>
      <c r="P575" s="12"/>
      <c r="Q575" s="12"/>
      <c r="R575" s="12"/>
      <c r="S575" s="12"/>
      <c r="T575" s="12"/>
      <c r="U575" s="12"/>
      <c r="V575" s="12"/>
      <c r="W575" s="12"/>
      <c r="X575" s="12"/>
      <c r="Y575" s="12"/>
      <c r="Z575" s="12"/>
      <c r="AA575" s="12"/>
      <c r="AB575" s="12"/>
      <c r="AD575" s="31"/>
      <c r="AE575" s="12"/>
      <c r="AF575" s="12"/>
      <c r="AG575" s="12"/>
      <c r="AH575" s="12"/>
      <c r="AI575" s="12"/>
      <c r="AJ575" s="12"/>
      <c r="AK575" s="12"/>
      <c r="AL575" s="12"/>
      <c r="AM575" s="12"/>
      <c r="AN575" s="12"/>
      <c r="AO575" s="12"/>
      <c r="AP575" s="12"/>
      <c r="AQ575" s="12"/>
      <c r="AR575" s="12"/>
      <c r="AS575" s="12"/>
      <c r="AT575" s="12"/>
    </row>
    <row r="576" spans="1:46" x14ac:dyDescent="0.25">
      <c r="A576" s="12"/>
      <c r="B576" s="12"/>
      <c r="C576" s="12"/>
      <c r="D576" s="12"/>
      <c r="E576" s="12"/>
      <c r="F576" s="12"/>
      <c r="G576" s="12"/>
      <c r="H576" s="12"/>
      <c r="I576" s="21" t="str">
        <f>IF(COUNTA('[1]Virus production'!A562)=1,('[1]Virus production'!A562),"")</f>
        <v/>
      </c>
      <c r="J576" s="12"/>
      <c r="L576" s="12"/>
      <c r="M576" s="12"/>
      <c r="N576" s="12"/>
      <c r="O576" s="12"/>
      <c r="P576" s="12"/>
      <c r="Q576" s="12"/>
      <c r="R576" s="12"/>
      <c r="S576" s="12"/>
      <c r="T576" s="12"/>
      <c r="U576" s="12"/>
      <c r="V576" s="12"/>
      <c r="W576" s="12"/>
      <c r="X576" s="12"/>
      <c r="Y576" s="12"/>
      <c r="Z576" s="12"/>
      <c r="AA576" s="12"/>
      <c r="AB576" s="12"/>
      <c r="AD576" s="31"/>
      <c r="AE576" s="12"/>
      <c r="AF576" s="12"/>
      <c r="AG576" s="12"/>
      <c r="AH576" s="12"/>
      <c r="AI576" s="12"/>
      <c r="AJ576" s="12"/>
      <c r="AK576" s="12"/>
      <c r="AL576" s="12"/>
      <c r="AM576" s="12"/>
      <c r="AN576" s="12"/>
      <c r="AO576" s="12"/>
      <c r="AP576" s="12"/>
      <c r="AQ576" s="12"/>
      <c r="AR576" s="12"/>
      <c r="AS576" s="12"/>
      <c r="AT576" s="12"/>
    </row>
    <row r="577" spans="1:46" x14ac:dyDescent="0.25">
      <c r="A577" s="12"/>
      <c r="B577" s="12"/>
      <c r="C577" s="12"/>
      <c r="D577" s="12"/>
      <c r="E577" s="12"/>
      <c r="F577" s="12"/>
      <c r="G577" s="12"/>
      <c r="H577" s="12"/>
      <c r="I577" s="21" t="str">
        <f>IF(COUNTA('[1]Virus production'!A563)=1,('[1]Virus production'!A563),"")</f>
        <v/>
      </c>
      <c r="J577" s="12"/>
      <c r="L577" s="12"/>
      <c r="M577" s="12"/>
      <c r="N577" s="12"/>
      <c r="O577" s="12"/>
      <c r="P577" s="12"/>
      <c r="Q577" s="12"/>
      <c r="R577" s="12"/>
      <c r="S577" s="12"/>
      <c r="T577" s="12"/>
      <c r="U577" s="12"/>
      <c r="V577" s="12"/>
      <c r="W577" s="12"/>
      <c r="X577" s="12"/>
      <c r="Y577" s="12"/>
      <c r="Z577" s="12"/>
      <c r="AA577" s="12"/>
      <c r="AB577" s="12"/>
      <c r="AD577" s="31"/>
      <c r="AE577" s="12"/>
      <c r="AF577" s="12"/>
      <c r="AG577" s="12"/>
      <c r="AH577" s="12"/>
      <c r="AI577" s="12"/>
      <c r="AJ577" s="12"/>
      <c r="AK577" s="12"/>
      <c r="AL577" s="12"/>
      <c r="AM577" s="12"/>
      <c r="AN577" s="12"/>
      <c r="AO577" s="12"/>
      <c r="AP577" s="12"/>
      <c r="AQ577" s="12"/>
      <c r="AR577" s="12"/>
      <c r="AS577" s="12"/>
      <c r="AT577" s="12"/>
    </row>
    <row r="578" spans="1:46" x14ac:dyDescent="0.25">
      <c r="A578" s="12"/>
      <c r="B578" s="12"/>
      <c r="C578" s="12"/>
      <c r="D578" s="12"/>
      <c r="E578" s="12"/>
      <c r="F578" s="12"/>
      <c r="G578" s="12"/>
      <c r="H578" s="12"/>
      <c r="I578" s="21" t="str">
        <f>IF(COUNTA('[1]Virus production'!A564)=1,('[1]Virus production'!A564),"")</f>
        <v/>
      </c>
      <c r="J578" s="12"/>
      <c r="L578" s="12"/>
      <c r="M578" s="12"/>
      <c r="N578" s="12"/>
      <c r="O578" s="12"/>
      <c r="P578" s="12"/>
      <c r="Q578" s="12"/>
      <c r="R578" s="12"/>
      <c r="S578" s="12"/>
      <c r="T578" s="12"/>
      <c r="U578" s="12"/>
      <c r="V578" s="12"/>
      <c r="W578" s="12"/>
      <c r="X578" s="12"/>
      <c r="Y578" s="12"/>
      <c r="Z578" s="12"/>
      <c r="AA578" s="12"/>
      <c r="AB578" s="12"/>
      <c r="AD578" s="31"/>
      <c r="AE578" s="12"/>
      <c r="AF578" s="12"/>
      <c r="AG578" s="12"/>
      <c r="AH578" s="12"/>
      <c r="AI578" s="12"/>
      <c r="AJ578" s="12"/>
      <c r="AK578" s="12"/>
      <c r="AL578" s="12"/>
      <c r="AM578" s="12"/>
      <c r="AN578" s="12"/>
      <c r="AO578" s="12"/>
      <c r="AP578" s="12"/>
      <c r="AQ578" s="12"/>
      <c r="AR578" s="12"/>
      <c r="AS578" s="12"/>
      <c r="AT578" s="12"/>
    </row>
    <row r="579" spans="1:46" x14ac:dyDescent="0.25">
      <c r="A579" s="12"/>
      <c r="B579" s="12"/>
      <c r="C579" s="12"/>
      <c r="D579" s="12"/>
      <c r="E579" s="12"/>
      <c r="F579" s="12"/>
      <c r="G579" s="12"/>
      <c r="H579" s="12"/>
      <c r="I579" s="21" t="str">
        <f>IF(COUNTA('[1]Virus production'!A565)=1,('[1]Virus production'!A565),"")</f>
        <v/>
      </c>
      <c r="J579" s="12"/>
      <c r="L579" s="12"/>
      <c r="M579" s="12"/>
      <c r="N579" s="12"/>
      <c r="O579" s="12"/>
      <c r="P579" s="12"/>
      <c r="Q579" s="12"/>
      <c r="R579" s="12"/>
      <c r="S579" s="12"/>
      <c r="T579" s="12"/>
      <c r="U579" s="12"/>
      <c r="V579" s="12"/>
      <c r="W579" s="12"/>
      <c r="X579" s="12"/>
      <c r="Y579" s="12"/>
      <c r="Z579" s="12"/>
      <c r="AA579" s="12"/>
      <c r="AB579" s="12"/>
      <c r="AD579" s="31"/>
      <c r="AE579" s="12"/>
      <c r="AF579" s="12"/>
      <c r="AG579" s="12"/>
      <c r="AH579" s="12"/>
      <c r="AI579" s="12"/>
      <c r="AJ579" s="12"/>
      <c r="AK579" s="12"/>
      <c r="AL579" s="12"/>
      <c r="AM579" s="12"/>
      <c r="AN579" s="12"/>
      <c r="AO579" s="12"/>
      <c r="AP579" s="12"/>
      <c r="AQ579" s="12"/>
      <c r="AR579" s="12"/>
      <c r="AS579" s="12"/>
      <c r="AT579" s="12"/>
    </row>
    <row r="580" spans="1:46" x14ac:dyDescent="0.25">
      <c r="A580" s="12"/>
      <c r="B580" s="12"/>
      <c r="C580" s="12"/>
      <c r="D580" s="12"/>
      <c r="E580" s="12"/>
      <c r="F580" s="12"/>
      <c r="G580" s="12"/>
      <c r="H580" s="12"/>
      <c r="I580" s="21" t="str">
        <f>IF(COUNTA('[1]Virus production'!A566)=1,('[1]Virus production'!A566),"")</f>
        <v/>
      </c>
      <c r="J580" s="12"/>
      <c r="L580" s="12"/>
      <c r="M580" s="12"/>
      <c r="N580" s="12"/>
      <c r="O580" s="12"/>
      <c r="P580" s="12"/>
      <c r="Q580" s="12"/>
      <c r="R580" s="12"/>
      <c r="S580" s="12"/>
      <c r="T580" s="12"/>
      <c r="U580" s="12"/>
      <c r="V580" s="12"/>
      <c r="W580" s="12"/>
      <c r="X580" s="12"/>
      <c r="Y580" s="12"/>
      <c r="Z580" s="12"/>
      <c r="AA580" s="12"/>
      <c r="AB580" s="12"/>
      <c r="AD580" s="31"/>
      <c r="AE580" s="12"/>
      <c r="AF580" s="12"/>
      <c r="AG580" s="12"/>
      <c r="AH580" s="12"/>
      <c r="AI580" s="12"/>
      <c r="AJ580" s="12"/>
      <c r="AK580" s="12"/>
      <c r="AL580" s="12"/>
      <c r="AM580" s="12"/>
      <c r="AN580" s="12"/>
      <c r="AO580" s="12"/>
      <c r="AP580" s="12"/>
      <c r="AQ580" s="12"/>
      <c r="AR580" s="12"/>
      <c r="AS580" s="12"/>
      <c r="AT580" s="12"/>
    </row>
    <row r="581" spans="1:46" x14ac:dyDescent="0.25">
      <c r="A581" s="12"/>
      <c r="B581" s="12"/>
      <c r="C581" s="12"/>
      <c r="D581" s="12"/>
      <c r="E581" s="12"/>
      <c r="F581" s="12"/>
      <c r="G581" s="12"/>
      <c r="H581" s="12"/>
      <c r="I581" s="21" t="str">
        <f>IF(COUNTA('[1]Virus production'!A567)=1,('[1]Virus production'!A567),"")</f>
        <v/>
      </c>
      <c r="J581" s="12"/>
      <c r="L581" s="12"/>
      <c r="M581" s="12"/>
      <c r="N581" s="12"/>
      <c r="O581" s="12"/>
      <c r="P581" s="12"/>
      <c r="Q581" s="12"/>
      <c r="R581" s="12"/>
      <c r="S581" s="12"/>
      <c r="T581" s="12"/>
      <c r="U581" s="12"/>
      <c r="V581" s="12"/>
      <c r="W581" s="12"/>
      <c r="X581" s="12"/>
      <c r="Y581" s="12"/>
      <c r="Z581" s="12"/>
      <c r="AA581" s="12"/>
      <c r="AB581" s="12"/>
      <c r="AD581" s="31"/>
      <c r="AE581" s="12"/>
      <c r="AF581" s="12"/>
      <c r="AG581" s="12"/>
      <c r="AH581" s="12"/>
      <c r="AI581" s="12"/>
      <c r="AJ581" s="12"/>
      <c r="AK581" s="12"/>
      <c r="AL581" s="12"/>
      <c r="AM581" s="12"/>
      <c r="AN581" s="12"/>
      <c r="AO581" s="12"/>
      <c r="AP581" s="12"/>
      <c r="AQ581" s="12"/>
      <c r="AR581" s="12"/>
      <c r="AS581" s="12"/>
      <c r="AT581" s="12"/>
    </row>
    <row r="582" spans="1:46" x14ac:dyDescent="0.25">
      <c r="A582" s="12"/>
      <c r="B582" s="12"/>
      <c r="C582" s="12"/>
      <c r="D582" s="12"/>
      <c r="E582" s="12"/>
      <c r="F582" s="12"/>
      <c r="G582" s="12"/>
      <c r="H582" s="12"/>
      <c r="I582" s="21" t="str">
        <f>IF(COUNTA('[1]Virus production'!A568)=1,('[1]Virus production'!A568),"")</f>
        <v/>
      </c>
      <c r="J582" s="12"/>
      <c r="L582" s="12"/>
      <c r="M582" s="12"/>
      <c r="N582" s="12"/>
      <c r="O582" s="12"/>
      <c r="P582" s="12"/>
      <c r="Q582" s="12"/>
      <c r="R582" s="12"/>
      <c r="S582" s="12"/>
      <c r="T582" s="12"/>
      <c r="U582" s="12"/>
      <c r="V582" s="12"/>
      <c r="W582" s="12"/>
      <c r="X582" s="12"/>
      <c r="Y582" s="12"/>
      <c r="Z582" s="12"/>
      <c r="AA582" s="12"/>
      <c r="AB582" s="12"/>
      <c r="AD582" s="31"/>
      <c r="AE582" s="12"/>
      <c r="AF582" s="12"/>
      <c r="AG582" s="12"/>
      <c r="AH582" s="12"/>
      <c r="AI582" s="12"/>
      <c r="AJ582" s="12"/>
      <c r="AK582" s="12"/>
      <c r="AL582" s="12"/>
      <c r="AM582" s="12"/>
      <c r="AN582" s="12"/>
      <c r="AO582" s="12"/>
      <c r="AP582" s="12"/>
      <c r="AQ582" s="12"/>
      <c r="AR582" s="12"/>
      <c r="AS582" s="12"/>
      <c r="AT582" s="12"/>
    </row>
    <row r="583" spans="1:46" x14ac:dyDescent="0.25">
      <c r="A583" s="12"/>
      <c r="B583" s="12"/>
      <c r="C583" s="12"/>
      <c r="D583" s="12"/>
      <c r="E583" s="12"/>
      <c r="F583" s="12"/>
      <c r="G583" s="12"/>
      <c r="H583" s="12"/>
      <c r="I583" s="21" t="str">
        <f>IF(COUNTA('[1]Virus production'!A569)=1,('[1]Virus production'!A569),"")</f>
        <v/>
      </c>
      <c r="J583" s="12"/>
      <c r="L583" s="12"/>
      <c r="M583" s="12"/>
      <c r="N583" s="12"/>
      <c r="O583" s="12"/>
      <c r="P583" s="12"/>
      <c r="Q583" s="12"/>
      <c r="R583" s="12"/>
      <c r="S583" s="12"/>
      <c r="T583" s="12"/>
      <c r="U583" s="12"/>
      <c r="V583" s="12"/>
      <c r="W583" s="12"/>
      <c r="X583" s="12"/>
      <c r="Y583" s="12"/>
      <c r="Z583" s="12"/>
      <c r="AA583" s="12"/>
      <c r="AB583" s="12"/>
      <c r="AD583" s="31"/>
      <c r="AE583" s="12"/>
      <c r="AF583" s="12"/>
      <c r="AG583" s="12"/>
      <c r="AH583" s="12"/>
      <c r="AI583" s="12"/>
      <c r="AJ583" s="12"/>
      <c r="AK583" s="12"/>
      <c r="AL583" s="12"/>
      <c r="AM583" s="12"/>
      <c r="AN583" s="12"/>
      <c r="AO583" s="12"/>
      <c r="AP583" s="12"/>
      <c r="AQ583" s="12"/>
      <c r="AR583" s="12"/>
      <c r="AS583" s="12"/>
      <c r="AT583" s="12"/>
    </row>
    <row r="584" spans="1:46" x14ac:dyDescent="0.25">
      <c r="A584" s="12"/>
      <c r="B584" s="12"/>
      <c r="C584" s="12"/>
      <c r="D584" s="12"/>
      <c r="E584" s="12"/>
      <c r="F584" s="12"/>
      <c r="G584" s="12"/>
      <c r="H584" s="12"/>
      <c r="I584" s="21" t="str">
        <f>IF(COUNTA('[1]Virus production'!A570)=1,('[1]Virus production'!A570),"")</f>
        <v/>
      </c>
      <c r="J584" s="12"/>
      <c r="L584" s="12"/>
      <c r="M584" s="12"/>
      <c r="N584" s="12"/>
      <c r="O584" s="12"/>
      <c r="P584" s="12"/>
      <c r="Q584" s="12"/>
      <c r="R584" s="12"/>
      <c r="S584" s="12"/>
      <c r="T584" s="12"/>
      <c r="U584" s="12"/>
      <c r="V584" s="12"/>
      <c r="W584" s="12"/>
      <c r="X584" s="12"/>
      <c r="Y584" s="12"/>
      <c r="Z584" s="12"/>
      <c r="AA584" s="12"/>
      <c r="AB584" s="12"/>
      <c r="AD584" s="31"/>
      <c r="AE584" s="12"/>
      <c r="AF584" s="12"/>
      <c r="AG584" s="12"/>
      <c r="AH584" s="12"/>
      <c r="AI584" s="12"/>
      <c r="AJ584" s="12"/>
      <c r="AK584" s="12"/>
      <c r="AL584" s="12"/>
      <c r="AM584" s="12"/>
      <c r="AN584" s="12"/>
      <c r="AO584" s="12"/>
      <c r="AP584" s="12"/>
      <c r="AQ584" s="12"/>
      <c r="AR584" s="12"/>
      <c r="AS584" s="12"/>
      <c r="AT584" s="12"/>
    </row>
    <row r="585" spans="1:46" x14ac:dyDescent="0.25">
      <c r="A585" s="12"/>
      <c r="B585" s="12"/>
      <c r="C585" s="12"/>
      <c r="D585" s="12"/>
      <c r="E585" s="12"/>
      <c r="F585" s="12"/>
      <c r="G585" s="12"/>
      <c r="H585" s="12"/>
      <c r="I585" s="21" t="str">
        <f>IF(COUNTA('[1]Virus production'!A571)=1,('[1]Virus production'!A571),"")</f>
        <v/>
      </c>
      <c r="J585" s="12"/>
      <c r="L585" s="12"/>
      <c r="M585" s="12"/>
      <c r="N585" s="12"/>
      <c r="O585" s="12"/>
      <c r="P585" s="12"/>
      <c r="Q585" s="12"/>
      <c r="R585" s="12"/>
      <c r="S585" s="12"/>
      <c r="T585" s="12"/>
      <c r="U585" s="12"/>
      <c r="V585" s="12"/>
      <c r="W585" s="12"/>
      <c r="X585" s="12"/>
      <c r="Y585" s="12"/>
      <c r="Z585" s="12"/>
      <c r="AA585" s="12"/>
      <c r="AB585" s="12"/>
      <c r="AD585" s="31"/>
      <c r="AE585" s="12"/>
      <c r="AF585" s="12"/>
      <c r="AG585" s="12"/>
      <c r="AH585" s="12"/>
      <c r="AI585" s="12"/>
      <c r="AJ585" s="12"/>
      <c r="AK585" s="12"/>
      <c r="AL585" s="12"/>
      <c r="AM585" s="12"/>
      <c r="AN585" s="12"/>
      <c r="AO585" s="12"/>
      <c r="AP585" s="12"/>
      <c r="AQ585" s="12"/>
      <c r="AR585" s="12"/>
      <c r="AS585" s="12"/>
      <c r="AT585" s="12"/>
    </row>
    <row r="586" spans="1:46" x14ac:dyDescent="0.25">
      <c r="A586" s="12"/>
      <c r="B586" s="12"/>
      <c r="C586" s="12"/>
      <c r="D586" s="12"/>
      <c r="E586" s="12"/>
      <c r="F586" s="12"/>
      <c r="G586" s="12"/>
      <c r="H586" s="12"/>
      <c r="I586" s="21" t="str">
        <f>IF(COUNTA('[1]Virus production'!A572)=1,('[1]Virus production'!A572),"")</f>
        <v/>
      </c>
      <c r="J586" s="12"/>
      <c r="L586" s="12"/>
      <c r="M586" s="12"/>
      <c r="N586" s="12"/>
      <c r="O586" s="12"/>
      <c r="P586" s="12"/>
      <c r="Q586" s="12"/>
      <c r="R586" s="12"/>
      <c r="S586" s="12"/>
      <c r="T586" s="12"/>
      <c r="U586" s="12"/>
      <c r="V586" s="12"/>
      <c r="W586" s="12"/>
      <c r="X586" s="12"/>
      <c r="Y586" s="12"/>
      <c r="Z586" s="12"/>
      <c r="AA586" s="12"/>
      <c r="AB586" s="12"/>
      <c r="AD586" s="31"/>
      <c r="AE586" s="12"/>
      <c r="AF586" s="12"/>
      <c r="AG586" s="12"/>
      <c r="AH586" s="12"/>
      <c r="AI586" s="12"/>
      <c r="AJ586" s="12"/>
      <c r="AK586" s="12"/>
      <c r="AL586" s="12"/>
      <c r="AM586" s="12"/>
      <c r="AN586" s="12"/>
      <c r="AO586" s="12"/>
      <c r="AP586" s="12"/>
      <c r="AQ586" s="12"/>
      <c r="AR586" s="12"/>
      <c r="AS586" s="12"/>
      <c r="AT586" s="12"/>
    </row>
    <row r="587" spans="1:46" x14ac:dyDescent="0.25">
      <c r="A587" s="12"/>
      <c r="B587" s="12"/>
      <c r="C587" s="12"/>
      <c r="D587" s="12"/>
      <c r="E587" s="12"/>
      <c r="F587" s="12"/>
      <c r="G587" s="12"/>
      <c r="H587" s="12"/>
      <c r="I587" s="21" t="str">
        <f>IF(COUNTA('[1]Virus production'!A573)=1,('[1]Virus production'!A573),"")</f>
        <v/>
      </c>
      <c r="J587" s="12"/>
      <c r="L587" s="12"/>
      <c r="M587" s="12"/>
      <c r="N587" s="12"/>
      <c r="O587" s="12"/>
      <c r="P587" s="12"/>
      <c r="Q587" s="12"/>
      <c r="R587" s="12"/>
      <c r="S587" s="12"/>
      <c r="T587" s="12"/>
      <c r="U587" s="12"/>
      <c r="V587" s="12"/>
      <c r="W587" s="12"/>
      <c r="X587" s="12"/>
      <c r="Y587" s="12"/>
      <c r="Z587" s="12"/>
      <c r="AA587" s="12"/>
      <c r="AB587" s="12"/>
      <c r="AD587" s="31"/>
      <c r="AE587" s="12"/>
      <c r="AF587" s="12"/>
      <c r="AG587" s="12"/>
      <c r="AH587" s="12"/>
      <c r="AI587" s="12"/>
      <c r="AJ587" s="12"/>
      <c r="AK587" s="12"/>
      <c r="AL587" s="12"/>
      <c r="AM587" s="12"/>
      <c r="AN587" s="12"/>
      <c r="AO587" s="12"/>
      <c r="AP587" s="12"/>
      <c r="AQ587" s="12"/>
      <c r="AR587" s="12"/>
      <c r="AS587" s="12"/>
      <c r="AT587" s="12"/>
    </row>
    <row r="588" spans="1:46" x14ac:dyDescent="0.25">
      <c r="A588" s="12"/>
      <c r="B588" s="12"/>
      <c r="C588" s="12"/>
      <c r="D588" s="12"/>
      <c r="E588" s="12"/>
      <c r="F588" s="12"/>
      <c r="G588" s="12"/>
      <c r="H588" s="12"/>
      <c r="I588" s="21" t="str">
        <f>IF(COUNTA('[1]Virus production'!A574)=1,('[1]Virus production'!A574),"")</f>
        <v/>
      </c>
      <c r="J588" s="12"/>
      <c r="L588" s="12"/>
      <c r="M588" s="12"/>
      <c r="N588" s="12"/>
      <c r="O588" s="12"/>
      <c r="P588" s="12"/>
      <c r="Q588" s="12"/>
      <c r="R588" s="12"/>
      <c r="S588" s="12"/>
      <c r="T588" s="12"/>
      <c r="U588" s="12"/>
      <c r="V588" s="12"/>
      <c r="W588" s="12"/>
      <c r="X588" s="12"/>
      <c r="Y588" s="12"/>
      <c r="Z588" s="12"/>
      <c r="AA588" s="12"/>
      <c r="AB588" s="12"/>
      <c r="AD588" s="31"/>
      <c r="AE588" s="12"/>
      <c r="AF588" s="12"/>
      <c r="AG588" s="12"/>
      <c r="AH588" s="12"/>
      <c r="AI588" s="12"/>
      <c r="AJ588" s="12"/>
      <c r="AK588" s="12"/>
      <c r="AL588" s="12"/>
      <c r="AM588" s="12"/>
      <c r="AN588" s="12"/>
      <c r="AO588" s="12"/>
      <c r="AP588" s="12"/>
      <c r="AQ588" s="12"/>
      <c r="AR588" s="12"/>
      <c r="AS588" s="12"/>
      <c r="AT588" s="12"/>
    </row>
    <row r="589" spans="1:46" x14ac:dyDescent="0.25">
      <c r="A589" s="12"/>
      <c r="B589" s="12"/>
      <c r="C589" s="12"/>
      <c r="D589" s="12"/>
      <c r="E589" s="12"/>
      <c r="F589" s="12"/>
      <c r="G589" s="12"/>
      <c r="H589" s="12"/>
      <c r="I589" s="21" t="str">
        <f>IF(COUNTA('[1]Virus production'!A575)=1,('[1]Virus production'!A575),"")</f>
        <v/>
      </c>
      <c r="J589" s="12"/>
      <c r="L589" s="12"/>
      <c r="M589" s="12"/>
      <c r="N589" s="12"/>
      <c r="O589" s="12"/>
      <c r="P589" s="12"/>
      <c r="Q589" s="12"/>
      <c r="R589" s="12"/>
      <c r="S589" s="12"/>
      <c r="T589" s="12"/>
      <c r="U589" s="12"/>
      <c r="V589" s="12"/>
      <c r="W589" s="12"/>
      <c r="X589" s="12"/>
      <c r="Y589" s="12"/>
      <c r="Z589" s="12"/>
      <c r="AA589" s="12"/>
      <c r="AB589" s="12"/>
      <c r="AD589" s="31"/>
      <c r="AE589" s="12"/>
      <c r="AF589" s="12"/>
      <c r="AG589" s="12"/>
      <c r="AH589" s="12"/>
      <c r="AI589" s="12"/>
      <c r="AJ589" s="12"/>
      <c r="AK589" s="12"/>
      <c r="AL589" s="12"/>
      <c r="AM589" s="12"/>
      <c r="AN589" s="12"/>
      <c r="AO589" s="12"/>
      <c r="AP589" s="12"/>
      <c r="AQ589" s="12"/>
      <c r="AR589" s="12"/>
      <c r="AS589" s="12"/>
      <c r="AT589" s="12"/>
    </row>
    <row r="590" spans="1:46" x14ac:dyDescent="0.25">
      <c r="A590" s="12"/>
      <c r="B590" s="12"/>
      <c r="C590" s="12"/>
      <c r="D590" s="12"/>
      <c r="E590" s="12"/>
      <c r="F590" s="12"/>
      <c r="G590" s="12"/>
      <c r="H590" s="12"/>
      <c r="I590" s="21" t="str">
        <f>IF(COUNTA('[1]Virus production'!A576)=1,('[1]Virus production'!A576),"")</f>
        <v/>
      </c>
      <c r="J590" s="12"/>
      <c r="L590" s="12"/>
      <c r="M590" s="12"/>
      <c r="N590" s="12"/>
      <c r="O590" s="12"/>
      <c r="P590" s="12"/>
      <c r="Q590" s="12"/>
      <c r="R590" s="12"/>
      <c r="S590" s="12"/>
      <c r="T590" s="12"/>
      <c r="U590" s="12"/>
      <c r="V590" s="12"/>
      <c r="W590" s="12"/>
      <c r="X590" s="12"/>
      <c r="Y590" s="12"/>
      <c r="Z590" s="12"/>
      <c r="AA590" s="12"/>
      <c r="AB590" s="12"/>
      <c r="AD590" s="31"/>
      <c r="AE590" s="12"/>
      <c r="AF590" s="12"/>
      <c r="AG590" s="12"/>
      <c r="AH590" s="12"/>
      <c r="AI590" s="12"/>
      <c r="AJ590" s="12"/>
      <c r="AK590" s="12"/>
      <c r="AL590" s="12"/>
      <c r="AM590" s="12"/>
      <c r="AN590" s="12"/>
      <c r="AO590" s="12"/>
      <c r="AP590" s="12"/>
      <c r="AQ590" s="12"/>
      <c r="AR590" s="12"/>
      <c r="AS590" s="12"/>
      <c r="AT590" s="12"/>
    </row>
    <row r="591" spans="1:46" x14ac:dyDescent="0.25">
      <c r="A591" s="12"/>
      <c r="B591" s="12"/>
      <c r="C591" s="12"/>
      <c r="D591" s="12"/>
      <c r="E591" s="12"/>
      <c r="F591" s="12"/>
      <c r="G591" s="12"/>
      <c r="H591" s="12"/>
      <c r="I591" s="21" t="str">
        <f>IF(COUNTA('[1]Virus production'!A577)=1,('[1]Virus production'!A577),"")</f>
        <v/>
      </c>
      <c r="J591" s="12"/>
      <c r="L591" s="12"/>
      <c r="M591" s="12"/>
      <c r="N591" s="12"/>
      <c r="O591" s="12"/>
      <c r="P591" s="12"/>
      <c r="Q591" s="12"/>
      <c r="R591" s="12"/>
      <c r="S591" s="12"/>
      <c r="T591" s="12"/>
      <c r="U591" s="12"/>
      <c r="V591" s="12"/>
      <c r="W591" s="12"/>
      <c r="X591" s="12"/>
      <c r="Y591" s="12"/>
      <c r="Z591" s="12"/>
      <c r="AA591" s="12"/>
      <c r="AB591" s="12"/>
      <c r="AD591" s="31"/>
      <c r="AE591" s="12"/>
      <c r="AF591" s="12"/>
      <c r="AG591" s="12"/>
      <c r="AH591" s="12"/>
      <c r="AI591" s="12"/>
      <c r="AJ591" s="12"/>
      <c r="AK591" s="12"/>
      <c r="AL591" s="12"/>
      <c r="AM591" s="12"/>
      <c r="AN591" s="12"/>
      <c r="AO591" s="12"/>
      <c r="AP591" s="12"/>
      <c r="AQ591" s="12"/>
      <c r="AR591" s="12"/>
      <c r="AS591" s="12"/>
      <c r="AT591" s="12"/>
    </row>
    <row r="592" spans="1:46" x14ac:dyDescent="0.25">
      <c r="A592" s="12"/>
      <c r="B592" s="12"/>
      <c r="C592" s="12"/>
      <c r="D592" s="12"/>
      <c r="E592" s="12"/>
      <c r="F592" s="12"/>
      <c r="G592" s="12"/>
      <c r="H592" s="12"/>
      <c r="I592" s="21" t="str">
        <f>IF(COUNTA('[1]Virus production'!A578)=1,('[1]Virus production'!A578),"")</f>
        <v/>
      </c>
      <c r="J592" s="12"/>
      <c r="L592" s="12"/>
      <c r="M592" s="12"/>
      <c r="N592" s="12"/>
      <c r="O592" s="12"/>
      <c r="P592" s="12"/>
      <c r="Q592" s="12"/>
      <c r="R592" s="12"/>
      <c r="S592" s="12"/>
      <c r="T592" s="12"/>
      <c r="U592" s="12"/>
      <c r="V592" s="12"/>
      <c r="W592" s="12"/>
      <c r="X592" s="12"/>
      <c r="Y592" s="12"/>
      <c r="Z592" s="12"/>
      <c r="AA592" s="12"/>
      <c r="AB592" s="12"/>
      <c r="AD592" s="31"/>
      <c r="AE592" s="12"/>
      <c r="AF592" s="12"/>
      <c r="AG592" s="12"/>
      <c r="AH592" s="12"/>
      <c r="AI592" s="12"/>
      <c r="AJ592" s="12"/>
      <c r="AK592" s="12"/>
      <c r="AL592" s="12"/>
      <c r="AM592" s="12"/>
      <c r="AN592" s="12"/>
      <c r="AO592" s="12"/>
      <c r="AP592" s="12"/>
      <c r="AQ592" s="12"/>
      <c r="AR592" s="12"/>
      <c r="AS592" s="12"/>
      <c r="AT592" s="12"/>
    </row>
    <row r="593" spans="1:46" x14ac:dyDescent="0.25">
      <c r="A593" s="12"/>
      <c r="B593" s="12"/>
      <c r="C593" s="12"/>
      <c r="D593" s="12"/>
      <c r="E593" s="12"/>
      <c r="F593" s="12"/>
      <c r="G593" s="12"/>
      <c r="H593" s="12"/>
      <c r="I593" s="21" t="str">
        <f>IF(COUNTA('[1]Virus production'!A579)=1,('[1]Virus production'!A579),"")</f>
        <v/>
      </c>
      <c r="J593" s="12"/>
      <c r="L593" s="12"/>
      <c r="M593" s="12"/>
      <c r="N593" s="12"/>
      <c r="O593" s="12"/>
      <c r="P593" s="12"/>
      <c r="Q593" s="12"/>
      <c r="R593" s="12"/>
      <c r="S593" s="12"/>
      <c r="T593" s="12"/>
      <c r="U593" s="12"/>
      <c r="V593" s="12"/>
      <c r="W593" s="12"/>
      <c r="X593" s="12"/>
      <c r="Y593" s="12"/>
      <c r="Z593" s="12"/>
      <c r="AA593" s="12"/>
      <c r="AB593" s="12"/>
      <c r="AD593" s="31"/>
      <c r="AE593" s="12"/>
      <c r="AF593" s="12"/>
      <c r="AG593" s="12"/>
      <c r="AH593" s="12"/>
      <c r="AI593" s="12"/>
      <c r="AJ593" s="12"/>
      <c r="AK593" s="12"/>
      <c r="AL593" s="12"/>
      <c r="AM593" s="12"/>
      <c r="AN593" s="12"/>
      <c r="AO593" s="12"/>
      <c r="AP593" s="12"/>
      <c r="AQ593" s="12"/>
      <c r="AR593" s="12"/>
      <c r="AS593" s="12"/>
      <c r="AT593" s="12"/>
    </row>
    <row r="594" spans="1:46" x14ac:dyDescent="0.25">
      <c r="A594" s="12"/>
      <c r="B594" s="12"/>
      <c r="C594" s="12"/>
      <c r="D594" s="12"/>
      <c r="E594" s="12"/>
      <c r="F594" s="12"/>
      <c r="G594" s="12"/>
      <c r="H594" s="12"/>
      <c r="I594" s="21" t="str">
        <f>IF(COUNTA('[1]Virus production'!A580)=1,('[1]Virus production'!A580),"")</f>
        <v/>
      </c>
      <c r="J594" s="12"/>
      <c r="L594" s="12"/>
      <c r="M594" s="12"/>
      <c r="N594" s="12"/>
      <c r="O594" s="12"/>
      <c r="P594" s="12"/>
      <c r="Q594" s="12"/>
      <c r="R594" s="12"/>
      <c r="S594" s="12"/>
      <c r="T594" s="12"/>
      <c r="U594" s="12"/>
      <c r="V594" s="12"/>
      <c r="W594" s="12"/>
      <c r="X594" s="12"/>
      <c r="Y594" s="12"/>
      <c r="Z594" s="12"/>
      <c r="AA594" s="12"/>
      <c r="AB594" s="12"/>
      <c r="AD594" s="31"/>
      <c r="AE594" s="12"/>
      <c r="AF594" s="12"/>
      <c r="AG594" s="12"/>
      <c r="AH594" s="12"/>
      <c r="AI594" s="12"/>
      <c r="AJ594" s="12"/>
      <c r="AK594" s="12"/>
      <c r="AL594" s="12"/>
      <c r="AM594" s="12"/>
      <c r="AN594" s="12"/>
      <c r="AO594" s="12"/>
      <c r="AP594" s="12"/>
      <c r="AQ594" s="12"/>
      <c r="AR594" s="12"/>
      <c r="AS594" s="12"/>
      <c r="AT594" s="12"/>
    </row>
    <row r="595" spans="1:46" x14ac:dyDescent="0.25">
      <c r="A595" s="12"/>
      <c r="B595" s="12"/>
      <c r="C595" s="12"/>
      <c r="D595" s="12"/>
      <c r="E595" s="12"/>
      <c r="F595" s="12"/>
      <c r="G595" s="12"/>
      <c r="H595" s="12"/>
      <c r="I595" s="21" t="str">
        <f>IF(COUNTA('[1]Virus production'!A581)=1,('[1]Virus production'!A581),"")</f>
        <v/>
      </c>
      <c r="J595" s="12"/>
      <c r="L595" s="12"/>
      <c r="M595" s="12"/>
      <c r="N595" s="12"/>
      <c r="O595" s="12"/>
      <c r="P595" s="12"/>
      <c r="Q595" s="12"/>
      <c r="R595" s="12"/>
      <c r="S595" s="12"/>
      <c r="T595" s="12"/>
      <c r="U595" s="12"/>
      <c r="V595" s="12"/>
      <c r="W595" s="12"/>
      <c r="X595" s="12"/>
      <c r="Y595" s="12"/>
      <c r="Z595" s="12"/>
      <c r="AA595" s="12"/>
      <c r="AB595" s="12"/>
      <c r="AD595" s="31"/>
      <c r="AE595" s="12"/>
      <c r="AF595" s="12"/>
      <c r="AG595" s="12"/>
      <c r="AH595" s="12"/>
      <c r="AI595" s="12"/>
      <c r="AJ595" s="12"/>
      <c r="AK595" s="12"/>
      <c r="AL595" s="12"/>
      <c r="AM595" s="12"/>
      <c r="AN595" s="12"/>
      <c r="AO595" s="12"/>
      <c r="AP595" s="12"/>
      <c r="AQ595" s="12"/>
      <c r="AR595" s="12"/>
      <c r="AS595" s="12"/>
      <c r="AT595" s="12"/>
    </row>
    <row r="596" spans="1:46" x14ac:dyDescent="0.25">
      <c r="A596" s="12"/>
      <c r="B596" s="12"/>
      <c r="C596" s="12"/>
      <c r="D596" s="12"/>
      <c r="E596" s="12"/>
      <c r="F596" s="12"/>
      <c r="G596" s="12"/>
      <c r="H596" s="12"/>
      <c r="I596" s="21" t="str">
        <f>IF(COUNTA('[1]Virus production'!A582)=1,('[1]Virus production'!A582),"")</f>
        <v/>
      </c>
      <c r="J596" s="12"/>
      <c r="L596" s="12"/>
      <c r="M596" s="12"/>
      <c r="N596" s="12"/>
      <c r="O596" s="12"/>
      <c r="P596" s="12"/>
      <c r="Q596" s="12"/>
      <c r="R596" s="12"/>
      <c r="S596" s="12"/>
      <c r="T596" s="12"/>
      <c r="U596" s="12"/>
      <c r="V596" s="12"/>
      <c r="W596" s="12"/>
      <c r="X596" s="12"/>
      <c r="Y596" s="12"/>
      <c r="Z596" s="12"/>
      <c r="AA596" s="12"/>
      <c r="AB596" s="12"/>
      <c r="AD596" s="31"/>
      <c r="AE596" s="12"/>
      <c r="AF596" s="12"/>
      <c r="AG596" s="12"/>
      <c r="AH596" s="12"/>
      <c r="AI596" s="12"/>
      <c r="AJ596" s="12"/>
      <c r="AK596" s="12"/>
      <c r="AL596" s="12"/>
      <c r="AM596" s="12"/>
      <c r="AN596" s="12"/>
      <c r="AO596" s="12"/>
      <c r="AP596" s="12"/>
      <c r="AQ596" s="12"/>
      <c r="AR596" s="12"/>
      <c r="AS596" s="12"/>
      <c r="AT596" s="12"/>
    </row>
    <row r="597" spans="1:46" x14ac:dyDescent="0.25">
      <c r="A597" s="12"/>
      <c r="B597" s="12"/>
      <c r="C597" s="12"/>
      <c r="D597" s="12"/>
      <c r="E597" s="12"/>
      <c r="F597" s="12"/>
      <c r="G597" s="12"/>
      <c r="H597" s="12"/>
      <c r="I597" s="21" t="str">
        <f>IF(COUNTA('[1]Virus production'!A583)=1,('[1]Virus production'!A583),"")</f>
        <v/>
      </c>
      <c r="J597" s="12"/>
      <c r="L597" s="12"/>
      <c r="M597" s="12"/>
      <c r="N597" s="12"/>
      <c r="O597" s="12"/>
      <c r="P597" s="12"/>
      <c r="Q597" s="12"/>
      <c r="R597" s="12"/>
      <c r="S597" s="12"/>
      <c r="T597" s="12"/>
      <c r="U597" s="12"/>
      <c r="V597" s="12"/>
      <c r="W597" s="12"/>
      <c r="X597" s="12"/>
      <c r="Y597" s="12"/>
      <c r="Z597" s="12"/>
      <c r="AA597" s="12"/>
      <c r="AB597" s="12"/>
      <c r="AD597" s="31"/>
      <c r="AE597" s="12"/>
      <c r="AF597" s="12"/>
      <c r="AG597" s="12"/>
      <c r="AH597" s="12"/>
      <c r="AI597" s="12"/>
      <c r="AJ597" s="12"/>
      <c r="AK597" s="12"/>
      <c r="AL597" s="12"/>
      <c r="AM597" s="12"/>
      <c r="AN597" s="12"/>
      <c r="AO597" s="12"/>
      <c r="AP597" s="12"/>
      <c r="AQ597" s="12"/>
      <c r="AR597" s="12"/>
      <c r="AS597" s="12"/>
      <c r="AT597" s="12"/>
    </row>
    <row r="598" spans="1:46" x14ac:dyDescent="0.25">
      <c r="A598" s="12"/>
      <c r="B598" s="12"/>
      <c r="C598" s="12"/>
      <c r="D598" s="12"/>
      <c r="E598" s="12"/>
      <c r="F598" s="12"/>
      <c r="G598" s="12"/>
      <c r="H598" s="12"/>
      <c r="I598" s="21" t="str">
        <f>IF(COUNTA('[1]Virus production'!A584)=1,('[1]Virus production'!A584),"")</f>
        <v/>
      </c>
      <c r="J598" s="12"/>
      <c r="L598" s="12"/>
      <c r="M598" s="12"/>
      <c r="N598" s="12"/>
      <c r="O598" s="12"/>
      <c r="P598" s="12"/>
      <c r="Q598" s="12"/>
      <c r="R598" s="12"/>
      <c r="S598" s="12"/>
      <c r="T598" s="12"/>
      <c r="U598" s="12"/>
      <c r="V598" s="12"/>
      <c r="W598" s="12"/>
      <c r="X598" s="12"/>
      <c r="Y598" s="12"/>
      <c r="Z598" s="12"/>
      <c r="AA598" s="12"/>
      <c r="AB598" s="12"/>
      <c r="AD598" s="31"/>
      <c r="AE598" s="12"/>
      <c r="AF598" s="12"/>
      <c r="AG598" s="12"/>
      <c r="AH598" s="12"/>
      <c r="AI598" s="12"/>
      <c r="AJ598" s="12"/>
      <c r="AK598" s="12"/>
      <c r="AL598" s="12"/>
      <c r="AM598" s="12"/>
      <c r="AN598" s="12"/>
      <c r="AO598" s="12"/>
      <c r="AP598" s="12"/>
      <c r="AQ598" s="12"/>
      <c r="AR598" s="12"/>
      <c r="AS598" s="12"/>
      <c r="AT598" s="12"/>
    </row>
    <row r="599" spans="1:46" x14ac:dyDescent="0.25">
      <c r="A599" s="12"/>
      <c r="B599" s="12"/>
      <c r="C599" s="12"/>
      <c r="D599" s="12"/>
      <c r="E599" s="12"/>
      <c r="F599" s="12"/>
      <c r="G599" s="12"/>
      <c r="H599" s="12"/>
      <c r="I599" s="21" t="str">
        <f>IF(COUNTA('[1]Virus production'!A585)=1,('[1]Virus production'!A585),"")</f>
        <v/>
      </c>
      <c r="J599" s="12"/>
      <c r="L599" s="12"/>
      <c r="M599" s="12"/>
      <c r="N599" s="12"/>
      <c r="O599" s="12"/>
      <c r="P599" s="12"/>
      <c r="Q599" s="12"/>
      <c r="R599" s="12"/>
      <c r="S599" s="12"/>
      <c r="T599" s="12"/>
      <c r="U599" s="12"/>
      <c r="V599" s="12"/>
      <c r="W599" s="12"/>
      <c r="X599" s="12"/>
      <c r="Y599" s="12"/>
      <c r="Z599" s="12"/>
      <c r="AA599" s="12"/>
      <c r="AB599" s="12"/>
      <c r="AD599" s="31"/>
      <c r="AE599" s="12"/>
      <c r="AF599" s="12"/>
      <c r="AG599" s="12"/>
      <c r="AH599" s="12"/>
      <c r="AI599" s="12"/>
      <c r="AJ599" s="12"/>
      <c r="AK599" s="12"/>
      <c r="AL599" s="12"/>
      <c r="AM599" s="12"/>
      <c r="AN599" s="12"/>
      <c r="AO599" s="12"/>
      <c r="AP599" s="12"/>
      <c r="AQ599" s="12"/>
      <c r="AR599" s="12"/>
      <c r="AS599" s="12"/>
      <c r="AT599" s="12"/>
    </row>
    <row r="600" spans="1:46" x14ac:dyDescent="0.25">
      <c r="A600" s="12"/>
      <c r="B600" s="12"/>
      <c r="C600" s="12"/>
      <c r="D600" s="12"/>
      <c r="E600" s="12"/>
      <c r="F600" s="12"/>
      <c r="G600" s="12"/>
      <c r="H600" s="12"/>
      <c r="I600" s="21" t="str">
        <f>IF(COUNTA('[1]Virus production'!A586)=1,('[1]Virus production'!A586),"")</f>
        <v/>
      </c>
      <c r="J600" s="12"/>
      <c r="L600" s="12"/>
      <c r="M600" s="12"/>
      <c r="N600" s="12"/>
      <c r="O600" s="12"/>
      <c r="P600" s="12"/>
      <c r="Q600" s="12"/>
      <c r="R600" s="12"/>
      <c r="S600" s="12"/>
      <c r="T600" s="12"/>
      <c r="U600" s="12"/>
      <c r="V600" s="12"/>
      <c r="W600" s="12"/>
      <c r="X600" s="12"/>
      <c r="Y600" s="12"/>
      <c r="Z600" s="12"/>
      <c r="AA600" s="12"/>
      <c r="AB600" s="12"/>
      <c r="AD600" s="31"/>
      <c r="AE600" s="12"/>
      <c r="AF600" s="12"/>
      <c r="AG600" s="12"/>
      <c r="AH600" s="12"/>
      <c r="AI600" s="12"/>
      <c r="AJ600" s="12"/>
      <c r="AK600" s="12"/>
      <c r="AL600" s="12"/>
      <c r="AM600" s="12"/>
      <c r="AN600" s="12"/>
      <c r="AO600" s="12"/>
      <c r="AP600" s="12"/>
      <c r="AQ600" s="12"/>
      <c r="AR600" s="12"/>
      <c r="AS600" s="12"/>
      <c r="AT600" s="12"/>
    </row>
    <row r="601" spans="1:46" x14ac:dyDescent="0.25">
      <c r="A601" s="12"/>
      <c r="B601" s="12"/>
      <c r="C601" s="12"/>
      <c r="D601" s="12"/>
      <c r="E601" s="12"/>
      <c r="F601" s="12"/>
      <c r="G601" s="12"/>
      <c r="H601" s="12"/>
      <c r="I601" s="21" t="str">
        <f>IF(COUNTA('[1]Virus production'!A587)=1,('[1]Virus production'!A587),"")</f>
        <v/>
      </c>
      <c r="J601" s="12"/>
      <c r="L601" s="12"/>
      <c r="M601" s="12"/>
      <c r="N601" s="12"/>
      <c r="O601" s="12"/>
      <c r="P601" s="12"/>
      <c r="Q601" s="12"/>
      <c r="R601" s="12"/>
      <c r="S601" s="12"/>
      <c r="T601" s="12"/>
      <c r="U601" s="12"/>
      <c r="V601" s="12"/>
      <c r="W601" s="12"/>
      <c r="X601" s="12"/>
      <c r="Y601" s="12"/>
      <c r="Z601" s="12"/>
      <c r="AA601" s="12"/>
      <c r="AB601" s="12"/>
      <c r="AD601" s="31"/>
      <c r="AE601" s="12"/>
      <c r="AF601" s="12"/>
      <c r="AG601" s="12"/>
      <c r="AH601" s="12"/>
      <c r="AI601" s="12"/>
      <c r="AJ601" s="12"/>
      <c r="AK601" s="12"/>
      <c r="AL601" s="12"/>
      <c r="AM601" s="12"/>
      <c r="AN601" s="12"/>
      <c r="AO601" s="12"/>
      <c r="AP601" s="12"/>
      <c r="AQ601" s="12"/>
      <c r="AR601" s="12"/>
      <c r="AS601" s="12"/>
      <c r="AT601" s="12"/>
    </row>
    <row r="602" spans="1:46" x14ac:dyDescent="0.25">
      <c r="A602" s="12"/>
      <c r="B602" s="12"/>
      <c r="C602" s="12"/>
      <c r="D602" s="12"/>
      <c r="E602" s="12"/>
      <c r="F602" s="12"/>
      <c r="G602" s="12"/>
      <c r="H602" s="12"/>
      <c r="I602" s="21" t="str">
        <f>IF(COUNTA('[1]Virus production'!A588)=1,('[1]Virus production'!A588),"")</f>
        <v/>
      </c>
      <c r="J602" s="12"/>
      <c r="L602" s="12"/>
      <c r="M602" s="12"/>
      <c r="N602" s="12"/>
      <c r="O602" s="12"/>
      <c r="P602" s="12"/>
      <c r="Q602" s="12"/>
      <c r="R602" s="12"/>
      <c r="S602" s="12"/>
      <c r="T602" s="12"/>
      <c r="U602" s="12"/>
      <c r="V602" s="12"/>
      <c r="W602" s="12"/>
      <c r="X602" s="12"/>
      <c r="Y602" s="12"/>
      <c r="Z602" s="12"/>
      <c r="AA602" s="12"/>
      <c r="AB602" s="12"/>
      <c r="AD602" s="31"/>
      <c r="AE602" s="12"/>
      <c r="AF602" s="12"/>
      <c r="AG602" s="12"/>
      <c r="AH602" s="12"/>
      <c r="AI602" s="12"/>
      <c r="AJ602" s="12"/>
      <c r="AK602" s="12"/>
      <c r="AL602" s="12"/>
      <c r="AM602" s="12"/>
      <c r="AN602" s="12"/>
      <c r="AO602" s="12"/>
      <c r="AP602" s="12"/>
      <c r="AQ602" s="12"/>
      <c r="AR602" s="12"/>
      <c r="AS602" s="12"/>
      <c r="AT602" s="12"/>
    </row>
    <row r="603" spans="1:46" x14ac:dyDescent="0.25">
      <c r="A603" s="12"/>
      <c r="B603" s="12"/>
      <c r="C603" s="12"/>
      <c r="D603" s="12"/>
      <c r="E603" s="12"/>
      <c r="F603" s="12"/>
      <c r="G603" s="12"/>
      <c r="H603" s="12"/>
      <c r="I603" s="21" t="str">
        <f>IF(COUNTA('[1]Virus production'!A589)=1,('[1]Virus production'!A589),"")</f>
        <v/>
      </c>
      <c r="J603" s="12"/>
      <c r="L603" s="12"/>
      <c r="M603" s="12"/>
      <c r="N603" s="12"/>
      <c r="O603" s="12"/>
      <c r="P603" s="12"/>
      <c r="Q603" s="12"/>
      <c r="R603" s="12"/>
      <c r="S603" s="12"/>
      <c r="T603" s="12"/>
      <c r="U603" s="12"/>
      <c r="V603" s="12"/>
      <c r="W603" s="12"/>
      <c r="X603" s="12"/>
      <c r="Y603" s="12"/>
      <c r="Z603" s="12"/>
      <c r="AA603" s="12"/>
      <c r="AB603" s="12"/>
      <c r="AD603" s="31"/>
      <c r="AE603" s="12"/>
      <c r="AF603" s="12"/>
      <c r="AG603" s="12"/>
      <c r="AH603" s="12"/>
      <c r="AI603" s="12"/>
      <c r="AJ603" s="12"/>
      <c r="AK603" s="12"/>
      <c r="AL603" s="12"/>
      <c r="AM603" s="12"/>
      <c r="AN603" s="12"/>
      <c r="AO603" s="12"/>
      <c r="AP603" s="12"/>
      <c r="AQ603" s="12"/>
      <c r="AR603" s="12"/>
      <c r="AS603" s="12"/>
      <c r="AT603" s="12"/>
    </row>
    <row r="604" spans="1:46" x14ac:dyDescent="0.25">
      <c r="A604" s="12"/>
      <c r="B604" s="12"/>
      <c r="C604" s="12"/>
      <c r="D604" s="12"/>
      <c r="E604" s="12"/>
      <c r="F604" s="12"/>
      <c r="G604" s="12"/>
      <c r="H604" s="12"/>
      <c r="I604" s="21" t="str">
        <f>IF(COUNTA('[1]Virus production'!A590)=1,('[1]Virus production'!A590),"")</f>
        <v/>
      </c>
      <c r="J604" s="12"/>
      <c r="L604" s="12"/>
      <c r="M604" s="12"/>
      <c r="N604" s="12"/>
      <c r="O604" s="12"/>
      <c r="P604" s="12"/>
      <c r="Q604" s="12"/>
      <c r="R604" s="12"/>
      <c r="S604" s="12"/>
      <c r="T604" s="12"/>
      <c r="U604" s="12"/>
      <c r="V604" s="12"/>
      <c r="W604" s="12"/>
      <c r="X604" s="12"/>
      <c r="Y604" s="12"/>
      <c r="Z604" s="12"/>
      <c r="AA604" s="12"/>
      <c r="AB604" s="12"/>
      <c r="AD604" s="31"/>
      <c r="AE604" s="12"/>
      <c r="AF604" s="12"/>
      <c r="AG604" s="12"/>
      <c r="AH604" s="12"/>
      <c r="AI604" s="12"/>
      <c r="AJ604" s="12"/>
      <c r="AK604" s="12"/>
      <c r="AL604" s="12"/>
      <c r="AM604" s="12"/>
      <c r="AN604" s="12"/>
      <c r="AO604" s="12"/>
      <c r="AP604" s="12"/>
      <c r="AQ604" s="12"/>
      <c r="AR604" s="12"/>
      <c r="AS604" s="12"/>
      <c r="AT604" s="12"/>
    </row>
    <row r="605" spans="1:46" x14ac:dyDescent="0.25">
      <c r="A605" s="12"/>
      <c r="B605" s="12"/>
      <c r="C605" s="12"/>
      <c r="D605" s="12"/>
      <c r="E605" s="12"/>
      <c r="F605" s="12"/>
      <c r="G605" s="12"/>
      <c r="H605" s="12"/>
      <c r="I605" s="21" t="str">
        <f>IF(COUNTA('[1]Virus production'!A591)=1,('[1]Virus production'!A591),"")</f>
        <v/>
      </c>
      <c r="J605" s="12"/>
      <c r="L605" s="12"/>
      <c r="M605" s="12"/>
      <c r="N605" s="12"/>
      <c r="O605" s="12"/>
      <c r="P605" s="12"/>
      <c r="Q605" s="12"/>
      <c r="R605" s="12"/>
      <c r="S605" s="12"/>
      <c r="T605" s="12"/>
      <c r="U605" s="12"/>
      <c r="V605" s="12"/>
      <c r="W605" s="12"/>
      <c r="X605" s="12"/>
      <c r="Y605" s="12"/>
      <c r="Z605" s="12"/>
      <c r="AA605" s="12"/>
      <c r="AB605" s="12"/>
      <c r="AD605" s="31"/>
      <c r="AE605" s="12"/>
      <c r="AF605" s="12"/>
      <c r="AG605" s="12"/>
      <c r="AH605" s="12"/>
      <c r="AI605" s="12"/>
      <c r="AJ605" s="12"/>
      <c r="AK605" s="12"/>
      <c r="AL605" s="12"/>
      <c r="AM605" s="12"/>
      <c r="AN605" s="12"/>
      <c r="AO605" s="12"/>
      <c r="AP605" s="12"/>
      <c r="AQ605" s="12"/>
      <c r="AR605" s="12"/>
      <c r="AS605" s="12"/>
      <c r="AT605" s="12"/>
    </row>
    <row r="606" spans="1:46" x14ac:dyDescent="0.25">
      <c r="A606" s="12"/>
      <c r="B606" s="12"/>
      <c r="C606" s="12"/>
      <c r="D606" s="12"/>
      <c r="E606" s="12"/>
      <c r="F606" s="12"/>
      <c r="G606" s="12"/>
      <c r="H606" s="12"/>
      <c r="I606" s="21" t="str">
        <f>IF(COUNTA('[1]Virus production'!A592)=1,('[1]Virus production'!A592),"")</f>
        <v/>
      </c>
      <c r="J606" s="12"/>
      <c r="L606" s="12"/>
      <c r="M606" s="12"/>
      <c r="N606" s="12"/>
      <c r="O606" s="12"/>
      <c r="P606" s="12"/>
      <c r="Q606" s="12"/>
      <c r="R606" s="12"/>
      <c r="S606" s="12"/>
      <c r="T606" s="12"/>
      <c r="U606" s="12"/>
      <c r="V606" s="12"/>
      <c r="W606" s="12"/>
      <c r="X606" s="12"/>
      <c r="Y606" s="12"/>
      <c r="Z606" s="12"/>
      <c r="AA606" s="12"/>
      <c r="AB606" s="12"/>
      <c r="AD606" s="31"/>
      <c r="AE606" s="12"/>
      <c r="AF606" s="12"/>
      <c r="AG606" s="12"/>
      <c r="AH606" s="12"/>
      <c r="AI606" s="12"/>
      <c r="AJ606" s="12"/>
      <c r="AK606" s="12"/>
      <c r="AL606" s="12"/>
      <c r="AM606" s="12"/>
      <c r="AN606" s="12"/>
      <c r="AO606" s="12"/>
      <c r="AP606" s="12"/>
      <c r="AQ606" s="12"/>
      <c r="AR606" s="12"/>
      <c r="AS606" s="12"/>
      <c r="AT606" s="12"/>
    </row>
    <row r="607" spans="1:46" x14ac:dyDescent="0.25">
      <c r="A607" s="12"/>
      <c r="B607" s="12"/>
      <c r="C607" s="12"/>
      <c r="D607" s="12"/>
      <c r="E607" s="12"/>
      <c r="F607" s="12"/>
      <c r="G607" s="12"/>
      <c r="H607" s="12"/>
      <c r="I607" s="21" t="str">
        <f>IF(COUNTA('[1]Virus production'!A593)=1,('[1]Virus production'!A593),"")</f>
        <v/>
      </c>
      <c r="J607" s="12"/>
      <c r="L607" s="12"/>
      <c r="M607" s="12"/>
      <c r="N607" s="12"/>
      <c r="O607" s="12"/>
      <c r="P607" s="12"/>
      <c r="Q607" s="12"/>
      <c r="R607" s="12"/>
      <c r="S607" s="12"/>
      <c r="T607" s="12"/>
      <c r="U607" s="12"/>
      <c r="V607" s="12"/>
      <c r="W607" s="12"/>
      <c r="X607" s="12"/>
      <c r="Y607" s="12"/>
      <c r="Z607" s="12"/>
      <c r="AA607" s="12"/>
      <c r="AB607" s="12"/>
      <c r="AD607" s="31"/>
      <c r="AE607" s="12"/>
      <c r="AF607" s="12"/>
      <c r="AG607" s="12"/>
      <c r="AH607" s="12"/>
      <c r="AI607" s="12"/>
      <c r="AJ607" s="12"/>
      <c r="AK607" s="12"/>
      <c r="AL607" s="12"/>
      <c r="AM607" s="12"/>
      <c r="AN607" s="12"/>
      <c r="AO607" s="12"/>
      <c r="AP607" s="12"/>
      <c r="AQ607" s="12"/>
      <c r="AR607" s="12"/>
      <c r="AS607" s="12"/>
      <c r="AT607" s="12"/>
    </row>
    <row r="608" spans="1:46" x14ac:dyDescent="0.25">
      <c r="A608" s="12"/>
      <c r="B608" s="12"/>
      <c r="C608" s="12"/>
      <c r="D608" s="12"/>
      <c r="E608" s="12"/>
      <c r="F608" s="12"/>
      <c r="G608" s="12"/>
      <c r="H608" s="12"/>
      <c r="I608" s="21" t="str">
        <f>IF(COUNTA('[1]Virus production'!A594)=1,('[1]Virus production'!A594),"")</f>
        <v/>
      </c>
      <c r="J608" s="12"/>
      <c r="L608" s="12"/>
      <c r="M608" s="12"/>
      <c r="N608" s="12"/>
      <c r="O608" s="12"/>
      <c r="P608" s="12"/>
      <c r="Q608" s="12"/>
      <c r="R608" s="12"/>
      <c r="S608" s="12"/>
      <c r="T608" s="12"/>
      <c r="U608" s="12"/>
      <c r="V608" s="12"/>
      <c r="W608" s="12"/>
      <c r="X608" s="12"/>
      <c r="Y608" s="12"/>
      <c r="Z608" s="12"/>
      <c r="AA608" s="12"/>
      <c r="AB608" s="12"/>
      <c r="AD608" s="31"/>
      <c r="AE608" s="12"/>
      <c r="AF608" s="12"/>
      <c r="AG608" s="12"/>
      <c r="AH608" s="12"/>
      <c r="AI608" s="12"/>
      <c r="AJ608" s="12"/>
      <c r="AK608" s="12"/>
      <c r="AL608" s="12"/>
      <c r="AM608" s="12"/>
      <c r="AN608" s="12"/>
      <c r="AO608" s="12"/>
      <c r="AP608" s="12"/>
      <c r="AQ608" s="12"/>
      <c r="AR608" s="12"/>
      <c r="AS608" s="12"/>
      <c r="AT608" s="12"/>
    </row>
    <row r="609" spans="1:46" x14ac:dyDescent="0.25">
      <c r="A609" s="12"/>
      <c r="B609" s="12"/>
      <c r="C609" s="12"/>
      <c r="D609" s="12"/>
      <c r="E609" s="12"/>
      <c r="F609" s="12"/>
      <c r="G609" s="12"/>
      <c r="H609" s="12"/>
      <c r="I609" s="21" t="str">
        <f>IF(COUNTA('[1]Virus production'!A595)=1,('[1]Virus production'!A595),"")</f>
        <v/>
      </c>
      <c r="J609" s="12"/>
      <c r="L609" s="12"/>
      <c r="M609" s="12"/>
      <c r="N609" s="12"/>
      <c r="O609" s="12"/>
      <c r="P609" s="12"/>
      <c r="Q609" s="12"/>
      <c r="R609" s="12"/>
      <c r="S609" s="12"/>
      <c r="T609" s="12"/>
      <c r="U609" s="12"/>
      <c r="V609" s="12"/>
      <c r="W609" s="12"/>
      <c r="X609" s="12"/>
      <c r="Y609" s="12"/>
      <c r="Z609" s="12"/>
      <c r="AA609" s="12"/>
      <c r="AB609" s="12"/>
      <c r="AD609" s="31"/>
      <c r="AE609" s="12"/>
      <c r="AF609" s="12"/>
      <c r="AG609" s="12"/>
      <c r="AH609" s="12"/>
      <c r="AI609" s="12"/>
      <c r="AJ609" s="12"/>
      <c r="AK609" s="12"/>
      <c r="AL609" s="12"/>
      <c r="AM609" s="12"/>
      <c r="AN609" s="12"/>
      <c r="AO609" s="12"/>
      <c r="AP609" s="12"/>
      <c r="AQ609" s="12"/>
      <c r="AR609" s="12"/>
      <c r="AS609" s="12"/>
      <c r="AT609" s="12"/>
    </row>
    <row r="610" spans="1:46" x14ac:dyDescent="0.25">
      <c r="A610" s="12"/>
      <c r="B610" s="12"/>
      <c r="C610" s="12"/>
      <c r="D610" s="12"/>
      <c r="E610" s="12"/>
      <c r="F610" s="12"/>
      <c r="G610" s="12"/>
      <c r="H610" s="12"/>
      <c r="I610" s="21" t="str">
        <f>IF(COUNTA('[1]Virus production'!A596)=1,('[1]Virus production'!A596),"")</f>
        <v/>
      </c>
      <c r="J610" s="12"/>
      <c r="L610" s="12"/>
      <c r="M610" s="12"/>
      <c r="N610" s="12"/>
      <c r="O610" s="12"/>
      <c r="P610" s="12"/>
      <c r="Q610" s="12"/>
      <c r="R610" s="12"/>
      <c r="S610" s="12"/>
      <c r="T610" s="12"/>
      <c r="U610" s="12"/>
      <c r="V610" s="12"/>
      <c r="W610" s="12"/>
      <c r="X610" s="12"/>
      <c r="Y610" s="12"/>
      <c r="Z610" s="12"/>
      <c r="AA610" s="12"/>
      <c r="AB610" s="12"/>
      <c r="AD610" s="31"/>
      <c r="AE610" s="12"/>
      <c r="AF610" s="12"/>
      <c r="AG610" s="12"/>
      <c r="AH610" s="12"/>
      <c r="AI610" s="12"/>
      <c r="AJ610" s="12"/>
      <c r="AK610" s="12"/>
      <c r="AL610" s="12"/>
      <c r="AM610" s="12"/>
      <c r="AN610" s="12"/>
      <c r="AO610" s="12"/>
      <c r="AP610" s="12"/>
      <c r="AQ610" s="12"/>
      <c r="AR610" s="12"/>
      <c r="AS610" s="12"/>
      <c r="AT610" s="12"/>
    </row>
    <row r="611" spans="1:46" x14ac:dyDescent="0.25">
      <c r="A611" s="12"/>
      <c r="B611" s="12"/>
      <c r="C611" s="12"/>
      <c r="D611" s="12"/>
      <c r="E611" s="12"/>
      <c r="F611" s="12"/>
      <c r="G611" s="12"/>
      <c r="H611" s="12"/>
      <c r="I611" s="21" t="str">
        <f>IF(COUNTA('[1]Virus production'!A597)=1,('[1]Virus production'!A597),"")</f>
        <v/>
      </c>
      <c r="J611" s="12"/>
      <c r="L611" s="12"/>
      <c r="M611" s="12"/>
      <c r="N611" s="12"/>
      <c r="O611" s="12"/>
      <c r="P611" s="12"/>
      <c r="Q611" s="12"/>
      <c r="R611" s="12"/>
      <c r="S611" s="12"/>
      <c r="T611" s="12"/>
      <c r="U611" s="12"/>
      <c r="V611" s="12"/>
      <c r="W611" s="12"/>
      <c r="X611" s="12"/>
      <c r="Y611" s="12"/>
      <c r="Z611" s="12"/>
      <c r="AA611" s="12"/>
      <c r="AB611" s="12"/>
      <c r="AD611" s="31"/>
      <c r="AE611" s="12"/>
      <c r="AF611" s="12"/>
      <c r="AG611" s="12"/>
      <c r="AH611" s="12"/>
      <c r="AI611" s="12"/>
      <c r="AJ611" s="12"/>
      <c r="AK611" s="12"/>
      <c r="AL611" s="12"/>
      <c r="AM611" s="12"/>
      <c r="AN611" s="12"/>
      <c r="AO611" s="12"/>
      <c r="AP611" s="12"/>
      <c r="AQ611" s="12"/>
      <c r="AR611" s="12"/>
      <c r="AS611" s="12"/>
      <c r="AT611" s="12"/>
    </row>
    <row r="612" spans="1:46" x14ac:dyDescent="0.25">
      <c r="A612" s="12"/>
      <c r="B612" s="12"/>
      <c r="C612" s="12"/>
      <c r="D612" s="12"/>
      <c r="E612" s="12"/>
      <c r="F612" s="12"/>
      <c r="G612" s="12"/>
      <c r="H612" s="12"/>
      <c r="I612" s="21" t="str">
        <f>IF(COUNTA('[1]Virus production'!A598)=1,('[1]Virus production'!A598),"")</f>
        <v/>
      </c>
      <c r="J612" s="12"/>
      <c r="L612" s="12"/>
      <c r="M612" s="12"/>
      <c r="N612" s="12"/>
      <c r="O612" s="12"/>
      <c r="P612" s="12"/>
      <c r="Q612" s="12"/>
      <c r="R612" s="12"/>
      <c r="S612" s="12"/>
      <c r="T612" s="12"/>
      <c r="U612" s="12"/>
      <c r="V612" s="12"/>
      <c r="W612" s="12"/>
      <c r="X612" s="12"/>
      <c r="Y612" s="12"/>
      <c r="Z612" s="12"/>
      <c r="AA612" s="12"/>
      <c r="AB612" s="12"/>
      <c r="AD612" s="31"/>
      <c r="AE612" s="12"/>
      <c r="AF612" s="12"/>
      <c r="AG612" s="12"/>
      <c r="AH612" s="12"/>
      <c r="AI612" s="12"/>
      <c r="AJ612" s="12"/>
      <c r="AK612" s="12"/>
      <c r="AL612" s="12"/>
      <c r="AM612" s="12"/>
      <c r="AN612" s="12"/>
      <c r="AO612" s="12"/>
      <c r="AP612" s="12"/>
      <c r="AQ612" s="12"/>
      <c r="AR612" s="12"/>
      <c r="AS612" s="12"/>
      <c r="AT612" s="12"/>
    </row>
    <row r="613" spans="1:46" x14ac:dyDescent="0.25">
      <c r="A613" s="12"/>
      <c r="B613" s="12"/>
      <c r="C613" s="12"/>
      <c r="D613" s="12"/>
      <c r="E613" s="12"/>
      <c r="F613" s="12"/>
      <c r="G613" s="12"/>
      <c r="H613" s="12"/>
      <c r="I613" s="21" t="str">
        <f>IF(COUNTA('[1]Virus production'!A599)=1,('[1]Virus production'!A599),"")</f>
        <v/>
      </c>
      <c r="J613" s="12"/>
      <c r="L613" s="12"/>
      <c r="M613" s="12"/>
      <c r="N613" s="12"/>
      <c r="O613" s="12"/>
      <c r="P613" s="12"/>
      <c r="Q613" s="12"/>
      <c r="R613" s="12"/>
      <c r="S613" s="12"/>
      <c r="T613" s="12"/>
      <c r="U613" s="12"/>
      <c r="V613" s="12"/>
      <c r="W613" s="12"/>
      <c r="X613" s="12"/>
      <c r="Y613" s="12"/>
      <c r="Z613" s="12"/>
      <c r="AA613" s="12"/>
      <c r="AB613" s="12"/>
      <c r="AD613" s="31"/>
      <c r="AE613" s="12"/>
      <c r="AF613" s="12"/>
      <c r="AG613" s="12"/>
      <c r="AH613" s="12"/>
      <c r="AI613" s="12"/>
      <c r="AJ613" s="12"/>
      <c r="AK613" s="12"/>
      <c r="AL613" s="12"/>
      <c r="AM613" s="12"/>
      <c r="AN613" s="12"/>
      <c r="AO613" s="12"/>
      <c r="AP613" s="12"/>
      <c r="AQ613" s="12"/>
      <c r="AR613" s="12"/>
      <c r="AS613" s="12"/>
      <c r="AT613" s="12"/>
    </row>
    <row r="614" spans="1:46" x14ac:dyDescent="0.25">
      <c r="A614" s="12"/>
      <c r="B614" s="12"/>
      <c r="C614" s="12"/>
      <c r="D614" s="12"/>
      <c r="E614" s="12"/>
      <c r="F614" s="12"/>
      <c r="G614" s="12"/>
      <c r="H614" s="12"/>
      <c r="I614" s="21" t="str">
        <f>IF(COUNTA('[1]Virus production'!A600)=1,('[1]Virus production'!A600),"")</f>
        <v/>
      </c>
      <c r="J614" s="12"/>
      <c r="L614" s="12"/>
      <c r="M614" s="12"/>
      <c r="N614" s="12"/>
      <c r="O614" s="12"/>
      <c r="P614" s="12"/>
      <c r="Q614" s="12"/>
      <c r="R614" s="12"/>
      <c r="S614" s="12"/>
      <c r="T614" s="12"/>
      <c r="U614" s="12"/>
      <c r="V614" s="12"/>
      <c r="W614" s="12"/>
      <c r="X614" s="12"/>
      <c r="Y614" s="12"/>
      <c r="Z614" s="12"/>
      <c r="AA614" s="12"/>
      <c r="AB614" s="12"/>
      <c r="AD614" s="31"/>
      <c r="AE614" s="12"/>
      <c r="AF614" s="12"/>
      <c r="AG614" s="12"/>
      <c r="AH614" s="12"/>
      <c r="AI614" s="12"/>
      <c r="AJ614" s="12"/>
      <c r="AK614" s="12"/>
      <c r="AL614" s="12"/>
      <c r="AM614" s="12"/>
      <c r="AN614" s="12"/>
      <c r="AO614" s="12"/>
      <c r="AP614" s="12"/>
      <c r="AQ614" s="12"/>
      <c r="AR614" s="12"/>
      <c r="AS614" s="12"/>
      <c r="AT614" s="12"/>
    </row>
    <row r="615" spans="1:46" x14ac:dyDescent="0.25">
      <c r="A615" s="12"/>
      <c r="B615" s="12"/>
      <c r="C615" s="12"/>
      <c r="D615" s="12"/>
      <c r="E615" s="12"/>
      <c r="F615" s="12"/>
      <c r="G615" s="12"/>
      <c r="H615" s="12"/>
      <c r="I615" s="21" t="str">
        <f>IF(COUNTA('[1]Virus production'!A601)=1,('[1]Virus production'!A601),"")</f>
        <v/>
      </c>
      <c r="J615" s="12"/>
      <c r="L615" s="12"/>
      <c r="M615" s="12"/>
      <c r="N615" s="12"/>
      <c r="O615" s="12"/>
      <c r="P615" s="12"/>
      <c r="Q615" s="12"/>
      <c r="R615" s="12"/>
      <c r="S615" s="12"/>
      <c r="T615" s="12"/>
      <c r="U615" s="12"/>
      <c r="V615" s="12"/>
      <c r="W615" s="12"/>
      <c r="X615" s="12"/>
      <c r="Y615" s="12"/>
      <c r="Z615" s="12"/>
      <c r="AA615" s="12"/>
      <c r="AB615" s="12"/>
      <c r="AD615" s="31"/>
      <c r="AE615" s="12"/>
      <c r="AF615" s="12"/>
      <c r="AG615" s="12"/>
      <c r="AH615" s="12"/>
      <c r="AI615" s="12"/>
      <c r="AJ615" s="12"/>
      <c r="AK615" s="12"/>
      <c r="AL615" s="12"/>
      <c r="AM615" s="12"/>
      <c r="AN615" s="12"/>
      <c r="AO615" s="12"/>
      <c r="AP615" s="12"/>
      <c r="AQ615" s="12"/>
      <c r="AR615" s="12"/>
      <c r="AS615" s="12"/>
      <c r="AT615" s="12"/>
    </row>
    <row r="616" spans="1:46" x14ac:dyDescent="0.25">
      <c r="A616" s="12"/>
      <c r="B616" s="12"/>
      <c r="C616" s="12"/>
      <c r="D616" s="12"/>
      <c r="E616" s="12"/>
      <c r="F616" s="12"/>
      <c r="G616" s="12"/>
      <c r="H616" s="12"/>
      <c r="I616" s="21" t="str">
        <f>IF(COUNTA('[1]Virus production'!A602)=1,('[1]Virus production'!A602),"")</f>
        <v/>
      </c>
      <c r="J616" s="12"/>
      <c r="L616" s="12"/>
      <c r="M616" s="12"/>
      <c r="N616" s="12"/>
      <c r="O616" s="12"/>
      <c r="P616" s="12"/>
      <c r="Q616" s="12"/>
      <c r="R616" s="12"/>
      <c r="S616" s="12"/>
      <c r="T616" s="12"/>
      <c r="U616" s="12"/>
      <c r="V616" s="12"/>
      <c r="W616" s="12"/>
      <c r="X616" s="12"/>
      <c r="Y616" s="12"/>
      <c r="Z616" s="12"/>
      <c r="AA616" s="12"/>
      <c r="AB616" s="12"/>
      <c r="AD616" s="31"/>
      <c r="AE616" s="12"/>
      <c r="AF616" s="12"/>
      <c r="AG616" s="12"/>
      <c r="AH616" s="12"/>
      <c r="AI616" s="12"/>
      <c r="AJ616" s="12"/>
      <c r="AK616" s="12"/>
      <c r="AL616" s="12"/>
      <c r="AM616" s="12"/>
      <c r="AN616" s="12"/>
      <c r="AO616" s="12"/>
      <c r="AP616" s="12"/>
      <c r="AQ616" s="12"/>
      <c r="AR616" s="12"/>
      <c r="AS616" s="12"/>
      <c r="AT616" s="12"/>
    </row>
    <row r="617" spans="1:46" x14ac:dyDescent="0.25">
      <c r="A617" s="12"/>
      <c r="B617" s="12"/>
      <c r="C617" s="12"/>
      <c r="D617" s="12"/>
      <c r="E617" s="12"/>
      <c r="F617" s="12"/>
      <c r="G617" s="12"/>
      <c r="H617" s="12"/>
      <c r="I617" s="21" t="str">
        <f>IF(COUNTA('[1]Virus production'!A603)=1,('[1]Virus production'!A603),"")</f>
        <v/>
      </c>
      <c r="J617" s="12"/>
      <c r="L617" s="12"/>
      <c r="M617" s="12"/>
      <c r="N617" s="12"/>
      <c r="O617" s="12"/>
      <c r="P617" s="12"/>
      <c r="Q617" s="12"/>
      <c r="R617" s="12"/>
      <c r="S617" s="12"/>
      <c r="T617" s="12"/>
      <c r="U617" s="12"/>
      <c r="V617" s="12"/>
      <c r="W617" s="12"/>
      <c r="X617" s="12"/>
      <c r="Y617" s="12"/>
      <c r="Z617" s="12"/>
      <c r="AA617" s="12"/>
      <c r="AB617" s="12"/>
      <c r="AD617" s="31"/>
      <c r="AE617" s="12"/>
      <c r="AF617" s="12"/>
      <c r="AG617" s="12"/>
      <c r="AH617" s="12"/>
      <c r="AI617" s="12"/>
      <c r="AJ617" s="12"/>
      <c r="AK617" s="12"/>
      <c r="AL617" s="12"/>
      <c r="AM617" s="12"/>
      <c r="AN617" s="12"/>
      <c r="AO617" s="12"/>
      <c r="AP617" s="12"/>
      <c r="AQ617" s="12"/>
      <c r="AR617" s="12"/>
      <c r="AS617" s="12"/>
      <c r="AT617" s="12"/>
    </row>
    <row r="618" spans="1:46" x14ac:dyDescent="0.25">
      <c r="A618" s="12"/>
      <c r="B618" s="12"/>
      <c r="C618" s="12"/>
      <c r="D618" s="12"/>
      <c r="E618" s="12"/>
      <c r="F618" s="12"/>
      <c r="G618" s="12"/>
      <c r="H618" s="12"/>
      <c r="I618" s="21" t="str">
        <f>IF(COUNTA('[1]Virus production'!A604)=1,('[1]Virus production'!A604),"")</f>
        <v/>
      </c>
      <c r="J618" s="12"/>
      <c r="L618" s="12"/>
      <c r="M618" s="12"/>
      <c r="N618" s="12"/>
      <c r="O618" s="12"/>
      <c r="P618" s="12"/>
      <c r="Q618" s="12"/>
      <c r="R618" s="12"/>
      <c r="S618" s="12"/>
      <c r="T618" s="12"/>
      <c r="U618" s="12"/>
      <c r="V618" s="12"/>
      <c r="W618" s="12"/>
      <c r="X618" s="12"/>
      <c r="Y618" s="12"/>
      <c r="Z618" s="12"/>
      <c r="AA618" s="12"/>
      <c r="AB618" s="12"/>
      <c r="AD618" s="31"/>
      <c r="AE618" s="12"/>
      <c r="AF618" s="12"/>
      <c r="AG618" s="12"/>
      <c r="AH618" s="12"/>
      <c r="AI618" s="12"/>
      <c r="AJ618" s="12"/>
      <c r="AK618" s="12"/>
      <c r="AL618" s="12"/>
      <c r="AM618" s="12"/>
      <c r="AN618" s="12"/>
      <c r="AO618" s="12"/>
      <c r="AP618" s="12"/>
      <c r="AQ618" s="12"/>
      <c r="AR618" s="12"/>
      <c r="AS618" s="12"/>
      <c r="AT618" s="12"/>
    </row>
    <row r="619" spans="1:46" x14ac:dyDescent="0.25">
      <c r="A619" s="12"/>
      <c r="B619" s="12"/>
      <c r="C619" s="12"/>
      <c r="D619" s="12"/>
      <c r="E619" s="12"/>
      <c r="F619" s="12"/>
      <c r="G619" s="12"/>
      <c r="H619" s="12"/>
      <c r="I619" s="21" t="str">
        <f>IF(COUNTA('[1]Virus production'!A605)=1,('[1]Virus production'!A605),"")</f>
        <v/>
      </c>
      <c r="J619" s="12"/>
      <c r="L619" s="12"/>
      <c r="M619" s="12"/>
      <c r="N619" s="12"/>
      <c r="O619" s="12"/>
      <c r="P619" s="12"/>
      <c r="Q619" s="12"/>
      <c r="R619" s="12"/>
      <c r="S619" s="12"/>
      <c r="T619" s="12"/>
      <c r="U619" s="12"/>
      <c r="V619" s="12"/>
      <c r="W619" s="12"/>
      <c r="X619" s="12"/>
      <c r="Y619" s="12"/>
      <c r="Z619" s="12"/>
      <c r="AA619" s="12"/>
      <c r="AB619" s="12"/>
      <c r="AD619" s="31"/>
      <c r="AE619" s="12"/>
      <c r="AF619" s="12"/>
      <c r="AG619" s="12"/>
      <c r="AH619" s="12"/>
      <c r="AI619" s="12"/>
      <c r="AJ619" s="12"/>
      <c r="AK619" s="12"/>
      <c r="AL619" s="12"/>
      <c r="AM619" s="12"/>
      <c r="AN619" s="12"/>
      <c r="AO619" s="12"/>
      <c r="AP619" s="12"/>
      <c r="AQ619" s="12"/>
      <c r="AR619" s="12"/>
      <c r="AS619" s="12"/>
      <c r="AT619" s="12"/>
    </row>
    <row r="620" spans="1:46" x14ac:dyDescent="0.25">
      <c r="A620" s="12"/>
      <c r="B620" s="12"/>
      <c r="C620" s="12"/>
      <c r="D620" s="12"/>
      <c r="E620" s="12"/>
      <c r="F620" s="12"/>
      <c r="G620" s="12"/>
      <c r="H620" s="12"/>
      <c r="I620" s="21" t="str">
        <f>IF(COUNTA('[1]Virus production'!A606)=1,('[1]Virus production'!A606),"")</f>
        <v/>
      </c>
      <c r="J620" s="12"/>
      <c r="L620" s="12"/>
      <c r="M620" s="12"/>
      <c r="N620" s="12"/>
      <c r="O620" s="12"/>
      <c r="P620" s="12"/>
      <c r="Q620" s="12"/>
      <c r="R620" s="12"/>
      <c r="S620" s="12"/>
      <c r="T620" s="12"/>
      <c r="U620" s="12"/>
      <c r="V620" s="12"/>
      <c r="W620" s="12"/>
      <c r="X620" s="12"/>
      <c r="Y620" s="12"/>
      <c r="Z620" s="12"/>
      <c r="AA620" s="12"/>
      <c r="AB620" s="12"/>
      <c r="AD620" s="31"/>
      <c r="AE620" s="12"/>
      <c r="AF620" s="12"/>
      <c r="AG620" s="12"/>
      <c r="AH620" s="12"/>
      <c r="AI620" s="12"/>
      <c r="AJ620" s="12"/>
      <c r="AK620" s="12"/>
      <c r="AL620" s="12"/>
      <c r="AM620" s="12"/>
      <c r="AN620" s="12"/>
      <c r="AO620" s="12"/>
      <c r="AP620" s="12"/>
      <c r="AQ620" s="12"/>
      <c r="AR620" s="12"/>
      <c r="AS620" s="12"/>
      <c r="AT620" s="12"/>
    </row>
    <row r="621" spans="1:46" x14ac:dyDescent="0.25">
      <c r="A621" s="12"/>
      <c r="B621" s="12"/>
      <c r="C621" s="12"/>
      <c r="D621" s="12"/>
      <c r="E621" s="12"/>
      <c r="F621" s="12"/>
      <c r="G621" s="12"/>
      <c r="H621" s="12"/>
      <c r="I621" s="21" t="str">
        <f>IF(COUNTA('[1]Virus production'!A607)=1,('[1]Virus production'!A607),"")</f>
        <v/>
      </c>
      <c r="J621" s="12"/>
      <c r="L621" s="12"/>
      <c r="M621" s="12"/>
      <c r="N621" s="12"/>
      <c r="O621" s="12"/>
      <c r="P621" s="12"/>
      <c r="Q621" s="12"/>
      <c r="R621" s="12"/>
      <c r="S621" s="12"/>
      <c r="T621" s="12"/>
      <c r="U621" s="12"/>
      <c r="V621" s="12"/>
      <c r="W621" s="12"/>
      <c r="X621" s="12"/>
      <c r="Y621" s="12"/>
      <c r="Z621" s="12"/>
      <c r="AA621" s="12"/>
      <c r="AB621" s="12"/>
      <c r="AD621" s="31"/>
      <c r="AE621" s="12"/>
      <c r="AF621" s="12"/>
      <c r="AG621" s="12"/>
      <c r="AH621" s="12"/>
      <c r="AI621" s="12"/>
      <c r="AJ621" s="12"/>
      <c r="AK621" s="12"/>
      <c r="AL621" s="12"/>
      <c r="AM621" s="12"/>
      <c r="AN621" s="12"/>
      <c r="AO621" s="12"/>
      <c r="AP621" s="12"/>
      <c r="AQ621" s="12"/>
      <c r="AR621" s="12"/>
      <c r="AS621" s="12"/>
      <c r="AT621" s="12"/>
    </row>
    <row r="622" spans="1:46" x14ac:dyDescent="0.25">
      <c r="A622" s="12"/>
      <c r="B622" s="12"/>
      <c r="C622" s="12"/>
      <c r="D622" s="12"/>
      <c r="E622" s="12"/>
      <c r="F622" s="12"/>
      <c r="G622" s="12"/>
      <c r="H622" s="12"/>
      <c r="I622" s="21" t="str">
        <f>IF(COUNTA('[1]Virus production'!A608)=1,('[1]Virus production'!A608),"")</f>
        <v/>
      </c>
      <c r="J622" s="12"/>
      <c r="L622" s="12"/>
      <c r="M622" s="12"/>
      <c r="N622" s="12"/>
      <c r="O622" s="12"/>
      <c r="P622" s="12"/>
      <c r="Q622" s="12"/>
      <c r="R622" s="12"/>
      <c r="S622" s="12"/>
      <c r="T622" s="12"/>
      <c r="U622" s="12"/>
      <c r="V622" s="12"/>
      <c r="W622" s="12"/>
      <c r="X622" s="12"/>
      <c r="Y622" s="12"/>
      <c r="Z622" s="12"/>
      <c r="AA622" s="12"/>
      <c r="AB622" s="12"/>
      <c r="AD622" s="31"/>
      <c r="AE622" s="12"/>
      <c r="AF622" s="12"/>
      <c r="AG622" s="12"/>
      <c r="AH622" s="12"/>
      <c r="AI622" s="12"/>
      <c r="AJ622" s="12"/>
      <c r="AK622" s="12"/>
      <c r="AL622" s="12"/>
      <c r="AM622" s="12"/>
      <c r="AN622" s="12"/>
      <c r="AO622" s="12"/>
      <c r="AP622" s="12"/>
      <c r="AQ622" s="12"/>
      <c r="AR622" s="12"/>
      <c r="AS622" s="12"/>
      <c r="AT622" s="12"/>
    </row>
    <row r="623" spans="1:46" x14ac:dyDescent="0.25">
      <c r="A623" s="12"/>
      <c r="B623" s="12"/>
      <c r="C623" s="12"/>
      <c r="D623" s="12"/>
      <c r="E623" s="12"/>
      <c r="F623" s="12"/>
      <c r="G623" s="12"/>
      <c r="H623" s="12"/>
      <c r="I623" s="21" t="str">
        <f>IF(COUNTA('[1]Virus production'!A609)=1,('[1]Virus production'!A609),"")</f>
        <v/>
      </c>
      <c r="J623" s="12"/>
      <c r="L623" s="12"/>
      <c r="M623" s="12"/>
      <c r="N623" s="12"/>
      <c r="O623" s="12"/>
      <c r="P623" s="12"/>
      <c r="Q623" s="12"/>
      <c r="R623" s="12"/>
      <c r="S623" s="12"/>
      <c r="T623" s="12"/>
      <c r="U623" s="12"/>
      <c r="V623" s="12"/>
      <c r="W623" s="12"/>
      <c r="X623" s="12"/>
      <c r="Y623" s="12"/>
      <c r="Z623" s="12"/>
      <c r="AA623" s="12"/>
      <c r="AB623" s="12"/>
      <c r="AD623" s="31"/>
      <c r="AE623" s="12"/>
      <c r="AF623" s="12"/>
      <c r="AG623" s="12"/>
      <c r="AH623" s="12"/>
      <c r="AI623" s="12"/>
      <c r="AJ623" s="12"/>
      <c r="AK623" s="12"/>
      <c r="AL623" s="12"/>
      <c r="AM623" s="12"/>
      <c r="AN623" s="12"/>
      <c r="AO623" s="12"/>
      <c r="AP623" s="12"/>
      <c r="AQ623" s="12"/>
      <c r="AR623" s="12"/>
      <c r="AS623" s="12"/>
      <c r="AT623" s="12"/>
    </row>
    <row r="624" spans="1:46" x14ac:dyDescent="0.25">
      <c r="A624" s="12"/>
      <c r="B624" s="12"/>
      <c r="C624" s="12"/>
      <c r="D624" s="12"/>
      <c r="E624" s="12"/>
      <c r="F624" s="12"/>
      <c r="G624" s="12"/>
      <c r="H624" s="12"/>
      <c r="I624" s="21" t="str">
        <f>IF(COUNTA('[1]Virus production'!A610)=1,('[1]Virus production'!A610),"")</f>
        <v/>
      </c>
      <c r="J624" s="12"/>
      <c r="L624" s="12"/>
      <c r="M624" s="12"/>
      <c r="N624" s="12"/>
      <c r="O624" s="12"/>
      <c r="P624" s="12"/>
      <c r="Q624" s="12"/>
      <c r="R624" s="12"/>
      <c r="S624" s="12"/>
      <c r="T624" s="12"/>
      <c r="U624" s="12"/>
      <c r="V624" s="12"/>
      <c r="W624" s="12"/>
      <c r="X624" s="12"/>
      <c r="Y624" s="12"/>
      <c r="Z624" s="12"/>
      <c r="AA624" s="12"/>
      <c r="AB624" s="12"/>
      <c r="AD624" s="31"/>
      <c r="AE624" s="12"/>
      <c r="AF624" s="12"/>
      <c r="AG624" s="12"/>
      <c r="AH624" s="12"/>
      <c r="AI624" s="12"/>
      <c r="AJ624" s="12"/>
      <c r="AK624" s="12"/>
      <c r="AL624" s="12"/>
      <c r="AM624" s="12"/>
      <c r="AN624" s="12"/>
      <c r="AO624" s="12"/>
      <c r="AP624" s="12"/>
      <c r="AQ624" s="12"/>
      <c r="AR624" s="12"/>
      <c r="AS624" s="12"/>
      <c r="AT624" s="12"/>
    </row>
    <row r="625" spans="1:46" x14ac:dyDescent="0.25">
      <c r="A625" s="12"/>
      <c r="B625" s="12"/>
      <c r="C625" s="12"/>
      <c r="D625" s="12"/>
      <c r="E625" s="12"/>
      <c r="F625" s="12"/>
      <c r="G625" s="12"/>
      <c r="H625" s="12"/>
      <c r="I625" s="21" t="str">
        <f>IF(COUNTA('[1]Virus production'!A611)=1,('[1]Virus production'!A611),"")</f>
        <v/>
      </c>
      <c r="J625" s="12"/>
      <c r="L625" s="12"/>
      <c r="M625" s="12"/>
      <c r="N625" s="12"/>
      <c r="O625" s="12"/>
      <c r="P625" s="12"/>
      <c r="Q625" s="12"/>
      <c r="R625" s="12"/>
      <c r="S625" s="12"/>
      <c r="T625" s="12"/>
      <c r="U625" s="12"/>
      <c r="V625" s="12"/>
      <c r="W625" s="12"/>
      <c r="X625" s="12"/>
      <c r="Y625" s="12"/>
      <c r="Z625" s="12"/>
      <c r="AA625" s="12"/>
      <c r="AB625" s="12"/>
      <c r="AD625" s="31"/>
      <c r="AE625" s="12"/>
      <c r="AF625" s="12"/>
      <c r="AG625" s="12"/>
      <c r="AH625" s="12"/>
      <c r="AI625" s="12"/>
      <c r="AJ625" s="12"/>
      <c r="AK625" s="12"/>
      <c r="AL625" s="12"/>
      <c r="AM625" s="12"/>
      <c r="AN625" s="12"/>
      <c r="AO625" s="12"/>
      <c r="AP625" s="12"/>
      <c r="AQ625" s="12"/>
      <c r="AR625" s="12"/>
      <c r="AS625" s="12"/>
      <c r="AT625" s="12"/>
    </row>
    <row r="626" spans="1:46" x14ac:dyDescent="0.25">
      <c r="A626" s="12"/>
      <c r="B626" s="12"/>
      <c r="C626" s="12"/>
      <c r="D626" s="12"/>
      <c r="E626" s="12"/>
      <c r="F626" s="12"/>
      <c r="G626" s="12"/>
      <c r="H626" s="12"/>
      <c r="I626" s="21" t="str">
        <f>IF(COUNTA('[1]Virus production'!A612)=1,('[1]Virus production'!A612),"")</f>
        <v/>
      </c>
      <c r="J626" s="12"/>
      <c r="L626" s="12"/>
      <c r="M626" s="12"/>
      <c r="N626" s="12"/>
      <c r="O626" s="12"/>
      <c r="P626" s="12"/>
      <c r="Q626" s="12"/>
      <c r="R626" s="12"/>
      <c r="S626" s="12"/>
      <c r="T626" s="12"/>
      <c r="U626" s="12"/>
      <c r="V626" s="12"/>
      <c r="W626" s="12"/>
      <c r="X626" s="12"/>
      <c r="Y626" s="12"/>
      <c r="Z626" s="12"/>
      <c r="AA626" s="12"/>
      <c r="AB626" s="12"/>
      <c r="AD626" s="31"/>
      <c r="AE626" s="12"/>
      <c r="AF626" s="12"/>
      <c r="AG626" s="12"/>
      <c r="AH626" s="12"/>
      <c r="AI626" s="12"/>
      <c r="AJ626" s="12"/>
      <c r="AK626" s="12"/>
      <c r="AL626" s="12"/>
      <c r="AM626" s="12"/>
      <c r="AN626" s="12"/>
      <c r="AO626" s="12"/>
      <c r="AP626" s="12"/>
      <c r="AQ626" s="12"/>
      <c r="AR626" s="12"/>
      <c r="AS626" s="12"/>
      <c r="AT626" s="12"/>
    </row>
    <row r="627" spans="1:46" x14ac:dyDescent="0.25">
      <c r="A627" s="12"/>
      <c r="B627" s="12"/>
      <c r="C627" s="12"/>
      <c r="D627" s="12"/>
      <c r="E627" s="12"/>
      <c r="F627" s="12"/>
      <c r="G627" s="12"/>
      <c r="H627" s="12"/>
      <c r="I627" s="21" t="str">
        <f>IF(COUNTA('[1]Virus production'!A613)=1,('[1]Virus production'!A613),"")</f>
        <v/>
      </c>
      <c r="J627" s="12"/>
      <c r="L627" s="12"/>
      <c r="M627" s="12"/>
      <c r="N627" s="12"/>
      <c r="O627" s="12"/>
      <c r="P627" s="12"/>
      <c r="Q627" s="12"/>
      <c r="R627" s="12"/>
      <c r="S627" s="12"/>
      <c r="T627" s="12"/>
      <c r="U627" s="12"/>
      <c r="V627" s="12"/>
      <c r="W627" s="12"/>
      <c r="X627" s="12"/>
      <c r="Y627" s="12"/>
      <c r="Z627" s="12"/>
      <c r="AA627" s="12"/>
      <c r="AB627" s="12"/>
      <c r="AD627" s="31"/>
      <c r="AE627" s="12"/>
      <c r="AF627" s="12"/>
      <c r="AG627" s="12"/>
      <c r="AH627" s="12"/>
      <c r="AI627" s="12"/>
      <c r="AJ627" s="12"/>
      <c r="AK627" s="12"/>
      <c r="AL627" s="12"/>
      <c r="AM627" s="12"/>
      <c r="AN627" s="12"/>
      <c r="AO627" s="12"/>
      <c r="AP627" s="12"/>
      <c r="AQ627" s="12"/>
      <c r="AR627" s="12"/>
      <c r="AS627" s="12"/>
      <c r="AT627" s="12"/>
    </row>
    <row r="628" spans="1:46" x14ac:dyDescent="0.25">
      <c r="A628" s="12"/>
      <c r="B628" s="12"/>
      <c r="C628" s="12"/>
      <c r="D628" s="12"/>
      <c r="E628" s="12"/>
      <c r="F628" s="12"/>
      <c r="G628" s="12"/>
      <c r="H628" s="12"/>
      <c r="I628" s="21" t="str">
        <f>IF(COUNTA('[1]Virus production'!A614)=1,('[1]Virus production'!A614),"")</f>
        <v/>
      </c>
      <c r="J628" s="12"/>
      <c r="L628" s="12"/>
      <c r="M628" s="12"/>
      <c r="N628" s="12"/>
      <c r="O628" s="12"/>
      <c r="P628" s="12"/>
      <c r="Q628" s="12"/>
      <c r="R628" s="12"/>
      <c r="S628" s="12"/>
      <c r="T628" s="12"/>
      <c r="U628" s="12"/>
      <c r="V628" s="12"/>
      <c r="W628" s="12"/>
      <c r="X628" s="12"/>
      <c r="Y628" s="12"/>
      <c r="Z628" s="12"/>
      <c r="AA628" s="12"/>
      <c r="AB628" s="12"/>
      <c r="AD628" s="31"/>
      <c r="AE628" s="12"/>
      <c r="AF628" s="12"/>
      <c r="AG628" s="12"/>
      <c r="AH628" s="12"/>
      <c r="AI628" s="12"/>
      <c r="AJ628" s="12"/>
      <c r="AK628" s="12"/>
      <c r="AL628" s="12"/>
      <c r="AM628" s="12"/>
      <c r="AN628" s="12"/>
      <c r="AO628" s="12"/>
      <c r="AP628" s="12"/>
      <c r="AQ628" s="12"/>
      <c r="AR628" s="12"/>
      <c r="AS628" s="12"/>
      <c r="AT628" s="12"/>
    </row>
    <row r="629" spans="1:46" x14ac:dyDescent="0.25">
      <c r="A629" s="12"/>
      <c r="B629" s="12"/>
      <c r="C629" s="12"/>
      <c r="D629" s="12"/>
      <c r="E629" s="12"/>
      <c r="F629" s="12"/>
      <c r="G629" s="12"/>
      <c r="H629" s="12"/>
      <c r="I629" s="21" t="str">
        <f>IF(COUNTA('[1]Virus production'!A615)=1,('[1]Virus production'!A615),"")</f>
        <v/>
      </c>
      <c r="J629" s="12"/>
      <c r="L629" s="12"/>
      <c r="M629" s="12"/>
      <c r="N629" s="12"/>
      <c r="O629" s="12"/>
      <c r="P629" s="12"/>
      <c r="Q629" s="12"/>
      <c r="R629" s="12"/>
      <c r="S629" s="12"/>
      <c r="T629" s="12"/>
      <c r="U629" s="12"/>
      <c r="V629" s="12"/>
      <c r="W629" s="12"/>
      <c r="X629" s="12"/>
      <c r="Y629" s="12"/>
      <c r="Z629" s="12"/>
      <c r="AA629" s="12"/>
      <c r="AB629" s="12"/>
      <c r="AD629" s="31"/>
      <c r="AE629" s="12"/>
      <c r="AF629" s="12"/>
      <c r="AG629" s="12"/>
      <c r="AH629" s="12"/>
      <c r="AI629" s="12"/>
      <c r="AJ629" s="12"/>
      <c r="AK629" s="12"/>
      <c r="AL629" s="12"/>
      <c r="AM629" s="12"/>
      <c r="AN629" s="12"/>
      <c r="AO629" s="12"/>
      <c r="AP629" s="12"/>
      <c r="AQ629" s="12"/>
      <c r="AR629" s="12"/>
      <c r="AS629" s="12"/>
      <c r="AT629" s="12"/>
    </row>
    <row r="630" spans="1:46" x14ac:dyDescent="0.25">
      <c r="A630" s="12"/>
      <c r="B630" s="12"/>
      <c r="C630" s="12"/>
      <c r="D630" s="12"/>
      <c r="E630" s="12"/>
      <c r="F630" s="12"/>
      <c r="G630" s="12"/>
      <c r="H630" s="12"/>
      <c r="I630" s="21" t="str">
        <f>IF(COUNTA('[1]Virus production'!A616)=1,('[1]Virus production'!A616),"")</f>
        <v/>
      </c>
      <c r="J630" s="12"/>
      <c r="L630" s="12"/>
      <c r="M630" s="12"/>
      <c r="N630" s="12"/>
      <c r="O630" s="12"/>
      <c r="P630" s="12"/>
      <c r="Q630" s="12"/>
      <c r="R630" s="12"/>
      <c r="S630" s="12"/>
      <c r="T630" s="12"/>
      <c r="U630" s="12"/>
      <c r="V630" s="12"/>
      <c r="W630" s="12"/>
      <c r="X630" s="12"/>
      <c r="Y630" s="12"/>
      <c r="Z630" s="12"/>
      <c r="AA630" s="12"/>
      <c r="AB630" s="12"/>
      <c r="AD630" s="31"/>
      <c r="AE630" s="12"/>
      <c r="AF630" s="12"/>
      <c r="AG630" s="12"/>
      <c r="AH630" s="12"/>
      <c r="AI630" s="12"/>
      <c r="AJ630" s="12"/>
      <c r="AK630" s="12"/>
      <c r="AL630" s="12"/>
      <c r="AM630" s="12"/>
      <c r="AN630" s="12"/>
      <c r="AO630" s="12"/>
      <c r="AP630" s="12"/>
      <c r="AQ630" s="12"/>
      <c r="AR630" s="12"/>
      <c r="AS630" s="12"/>
      <c r="AT630" s="12"/>
    </row>
    <row r="631" spans="1:46" x14ac:dyDescent="0.25">
      <c r="A631" s="12"/>
      <c r="B631" s="12"/>
      <c r="C631" s="12"/>
      <c r="D631" s="12"/>
      <c r="E631" s="12"/>
      <c r="F631" s="12"/>
      <c r="G631" s="12"/>
      <c r="H631" s="12"/>
      <c r="I631" s="21" t="str">
        <f>IF(COUNTA('[1]Virus production'!A617)=1,('[1]Virus production'!A617),"")</f>
        <v/>
      </c>
      <c r="J631" s="12"/>
      <c r="L631" s="12"/>
      <c r="M631" s="12"/>
      <c r="N631" s="12"/>
      <c r="O631" s="12"/>
      <c r="P631" s="12"/>
      <c r="Q631" s="12"/>
      <c r="R631" s="12"/>
      <c r="S631" s="12"/>
      <c r="T631" s="12"/>
      <c r="U631" s="12"/>
      <c r="V631" s="12"/>
      <c r="W631" s="12"/>
      <c r="X631" s="12"/>
      <c r="Y631" s="12"/>
      <c r="Z631" s="12"/>
      <c r="AA631" s="12"/>
      <c r="AB631" s="12"/>
      <c r="AD631" s="31"/>
      <c r="AE631" s="12"/>
      <c r="AF631" s="12"/>
      <c r="AG631" s="12"/>
      <c r="AH631" s="12"/>
      <c r="AI631" s="12"/>
      <c r="AJ631" s="12"/>
      <c r="AK631" s="12"/>
      <c r="AL631" s="12"/>
      <c r="AM631" s="12"/>
      <c r="AN631" s="12"/>
      <c r="AO631" s="12"/>
      <c r="AP631" s="12"/>
      <c r="AQ631" s="12"/>
      <c r="AR631" s="12"/>
      <c r="AS631" s="12"/>
      <c r="AT631" s="12"/>
    </row>
    <row r="632" spans="1:46" x14ac:dyDescent="0.25">
      <c r="A632" s="12"/>
      <c r="B632" s="12"/>
      <c r="C632" s="12"/>
      <c r="D632" s="12"/>
      <c r="E632" s="12"/>
      <c r="F632" s="12"/>
      <c r="G632" s="12"/>
      <c r="H632" s="12"/>
      <c r="I632" s="21" t="str">
        <f>IF(COUNTA('[1]Virus production'!A618)=1,('[1]Virus production'!A618),"")</f>
        <v/>
      </c>
      <c r="J632" s="12"/>
      <c r="L632" s="12"/>
      <c r="M632" s="12"/>
      <c r="N632" s="12"/>
      <c r="O632" s="12"/>
      <c r="P632" s="12"/>
      <c r="Q632" s="12"/>
      <c r="R632" s="12"/>
      <c r="S632" s="12"/>
      <c r="T632" s="12"/>
      <c r="U632" s="12"/>
      <c r="V632" s="12"/>
      <c r="W632" s="12"/>
      <c r="X632" s="12"/>
      <c r="Y632" s="12"/>
      <c r="Z632" s="12"/>
      <c r="AA632" s="12"/>
      <c r="AB632" s="12"/>
      <c r="AD632" s="31"/>
      <c r="AE632" s="12"/>
      <c r="AF632" s="12"/>
      <c r="AG632" s="12"/>
      <c r="AH632" s="12"/>
      <c r="AI632" s="12"/>
      <c r="AJ632" s="12"/>
      <c r="AK632" s="12"/>
      <c r="AL632" s="12"/>
      <c r="AM632" s="12"/>
      <c r="AN632" s="12"/>
      <c r="AO632" s="12"/>
      <c r="AP632" s="12"/>
      <c r="AQ632" s="12"/>
      <c r="AR632" s="12"/>
      <c r="AS632" s="12"/>
      <c r="AT632" s="12"/>
    </row>
    <row r="633" spans="1:46" x14ac:dyDescent="0.25">
      <c r="A633" s="12"/>
      <c r="B633" s="12"/>
      <c r="C633" s="12"/>
      <c r="D633" s="12"/>
      <c r="E633" s="12"/>
      <c r="F633" s="12"/>
      <c r="G633" s="12"/>
      <c r="H633" s="12"/>
      <c r="I633" s="21" t="str">
        <f>IF(COUNTA('[1]Virus production'!A619)=1,('[1]Virus production'!A619),"")</f>
        <v/>
      </c>
      <c r="J633" s="12"/>
      <c r="L633" s="12"/>
      <c r="M633" s="12"/>
      <c r="N633" s="12"/>
      <c r="O633" s="12"/>
      <c r="P633" s="12"/>
      <c r="Q633" s="12"/>
      <c r="R633" s="12"/>
      <c r="S633" s="12"/>
      <c r="T633" s="12"/>
      <c r="U633" s="12"/>
      <c r="V633" s="12"/>
      <c r="W633" s="12"/>
      <c r="X633" s="12"/>
      <c r="Y633" s="12"/>
      <c r="Z633" s="12"/>
      <c r="AA633" s="12"/>
      <c r="AB633" s="12"/>
      <c r="AD633" s="31"/>
      <c r="AE633" s="12"/>
      <c r="AF633" s="12"/>
      <c r="AG633" s="12"/>
      <c r="AH633" s="12"/>
      <c r="AI633" s="12"/>
      <c r="AJ633" s="12"/>
      <c r="AK633" s="12"/>
      <c r="AL633" s="12"/>
      <c r="AM633" s="12"/>
      <c r="AN633" s="12"/>
      <c r="AO633" s="12"/>
      <c r="AP633" s="12"/>
      <c r="AQ633" s="12"/>
      <c r="AR633" s="12"/>
      <c r="AS633" s="12"/>
      <c r="AT633" s="12"/>
    </row>
    <row r="634" spans="1:46" x14ac:dyDescent="0.25">
      <c r="A634" s="12"/>
      <c r="B634" s="12"/>
      <c r="C634" s="12"/>
      <c r="D634" s="12"/>
      <c r="E634" s="12"/>
      <c r="F634" s="12"/>
      <c r="G634" s="12"/>
      <c r="H634" s="12"/>
      <c r="I634" s="21" t="str">
        <f>IF(COUNTA('[1]Virus production'!A620)=1,('[1]Virus production'!A620),"")</f>
        <v/>
      </c>
      <c r="J634" s="12"/>
      <c r="L634" s="12"/>
      <c r="M634" s="12"/>
      <c r="N634" s="12"/>
      <c r="O634" s="12"/>
      <c r="P634" s="12"/>
      <c r="Q634" s="12"/>
      <c r="R634" s="12"/>
      <c r="S634" s="12"/>
      <c r="T634" s="12"/>
      <c r="U634" s="12"/>
      <c r="V634" s="12"/>
      <c r="W634" s="12"/>
      <c r="X634" s="12"/>
      <c r="Y634" s="12"/>
      <c r="Z634" s="12"/>
      <c r="AA634" s="12"/>
      <c r="AB634" s="12"/>
      <c r="AD634" s="31"/>
      <c r="AE634" s="12"/>
      <c r="AF634" s="12"/>
      <c r="AG634" s="12"/>
      <c r="AH634" s="12"/>
      <c r="AI634" s="12"/>
      <c r="AJ634" s="12"/>
      <c r="AK634" s="12"/>
      <c r="AL634" s="12"/>
      <c r="AM634" s="12"/>
      <c r="AN634" s="12"/>
      <c r="AO634" s="12"/>
      <c r="AP634" s="12"/>
      <c r="AQ634" s="12"/>
      <c r="AR634" s="12"/>
      <c r="AS634" s="12"/>
      <c r="AT634" s="12"/>
    </row>
    <row r="635" spans="1:46" x14ac:dyDescent="0.25">
      <c r="A635" s="12"/>
      <c r="B635" s="12"/>
      <c r="C635" s="12"/>
      <c r="D635" s="12"/>
      <c r="E635" s="12"/>
      <c r="F635" s="12"/>
      <c r="G635" s="12"/>
      <c r="H635" s="12"/>
      <c r="I635" s="21" t="str">
        <f>IF(COUNTA('[1]Virus production'!A621)=1,('[1]Virus production'!A621),"")</f>
        <v/>
      </c>
      <c r="J635" s="12"/>
      <c r="L635" s="12"/>
      <c r="M635" s="12"/>
      <c r="N635" s="12"/>
      <c r="O635" s="12"/>
      <c r="P635" s="12"/>
      <c r="Q635" s="12"/>
      <c r="R635" s="12"/>
      <c r="S635" s="12"/>
      <c r="T635" s="12"/>
      <c r="U635" s="12"/>
      <c r="V635" s="12"/>
      <c r="W635" s="12"/>
      <c r="X635" s="12"/>
      <c r="Y635" s="12"/>
      <c r="Z635" s="12"/>
      <c r="AA635" s="12"/>
      <c r="AB635" s="12"/>
      <c r="AD635" s="31"/>
      <c r="AE635" s="12"/>
      <c r="AF635" s="12"/>
      <c r="AG635" s="12"/>
      <c r="AH635" s="12"/>
      <c r="AI635" s="12"/>
      <c r="AJ635" s="12"/>
      <c r="AK635" s="12"/>
      <c r="AL635" s="12"/>
      <c r="AM635" s="12"/>
      <c r="AN635" s="12"/>
      <c r="AO635" s="12"/>
      <c r="AP635" s="12"/>
      <c r="AQ635" s="12"/>
      <c r="AR635" s="12"/>
      <c r="AS635" s="12"/>
      <c r="AT635" s="12"/>
    </row>
    <row r="636" spans="1:46" x14ac:dyDescent="0.25">
      <c r="A636" s="12"/>
      <c r="B636" s="12"/>
      <c r="C636" s="12"/>
      <c r="D636" s="12"/>
      <c r="E636" s="12"/>
      <c r="F636" s="12"/>
      <c r="G636" s="12"/>
      <c r="H636" s="12"/>
      <c r="I636" s="21" t="str">
        <f>IF(COUNTA('[1]Virus production'!A622)=1,('[1]Virus production'!A622),"")</f>
        <v/>
      </c>
      <c r="J636" s="12"/>
      <c r="L636" s="12"/>
      <c r="M636" s="12"/>
      <c r="N636" s="12"/>
      <c r="O636" s="12"/>
      <c r="P636" s="12"/>
      <c r="Q636" s="12"/>
      <c r="R636" s="12"/>
      <c r="S636" s="12"/>
      <c r="T636" s="12"/>
      <c r="U636" s="12"/>
      <c r="V636" s="12"/>
      <c r="W636" s="12"/>
      <c r="X636" s="12"/>
      <c r="Y636" s="12"/>
      <c r="Z636" s="12"/>
      <c r="AA636" s="12"/>
      <c r="AB636" s="12"/>
      <c r="AD636" s="31"/>
      <c r="AE636" s="12"/>
      <c r="AF636" s="12"/>
      <c r="AG636" s="12"/>
      <c r="AH636" s="12"/>
      <c r="AI636" s="12"/>
      <c r="AJ636" s="12"/>
      <c r="AK636" s="12"/>
      <c r="AL636" s="12"/>
      <c r="AM636" s="12"/>
      <c r="AN636" s="12"/>
      <c r="AO636" s="12"/>
      <c r="AP636" s="12"/>
      <c r="AQ636" s="12"/>
      <c r="AR636" s="12"/>
      <c r="AS636" s="12"/>
      <c r="AT636" s="12"/>
    </row>
    <row r="637" spans="1:46" x14ac:dyDescent="0.25">
      <c r="A637" s="12"/>
      <c r="B637" s="12"/>
      <c r="C637" s="12"/>
      <c r="D637" s="12"/>
      <c r="E637" s="12"/>
      <c r="F637" s="12"/>
      <c r="G637" s="12"/>
      <c r="H637" s="12"/>
      <c r="I637" s="21" t="str">
        <f>IF(COUNTA('[1]Virus production'!A623)=1,('[1]Virus production'!A623),"")</f>
        <v/>
      </c>
      <c r="J637" s="12"/>
      <c r="L637" s="12"/>
      <c r="M637" s="12"/>
      <c r="N637" s="12"/>
      <c r="O637" s="12"/>
      <c r="P637" s="12"/>
      <c r="Q637" s="12"/>
      <c r="R637" s="12"/>
      <c r="S637" s="12"/>
      <c r="T637" s="12"/>
      <c r="U637" s="12"/>
      <c r="V637" s="12"/>
      <c r="W637" s="12"/>
      <c r="X637" s="12"/>
      <c r="Y637" s="12"/>
      <c r="Z637" s="12"/>
      <c r="AA637" s="12"/>
      <c r="AB637" s="12"/>
      <c r="AD637" s="31"/>
      <c r="AE637" s="12"/>
      <c r="AF637" s="12"/>
      <c r="AG637" s="12"/>
      <c r="AH637" s="12"/>
      <c r="AI637" s="12"/>
      <c r="AJ637" s="12"/>
      <c r="AK637" s="12"/>
      <c r="AL637" s="12"/>
      <c r="AM637" s="12"/>
      <c r="AN637" s="12"/>
      <c r="AO637" s="12"/>
      <c r="AP637" s="12"/>
      <c r="AQ637" s="12"/>
      <c r="AR637" s="12"/>
      <c r="AS637" s="12"/>
      <c r="AT637" s="12"/>
    </row>
    <row r="638" spans="1:46" x14ac:dyDescent="0.25">
      <c r="A638" s="12"/>
      <c r="B638" s="12"/>
      <c r="C638" s="12"/>
      <c r="D638" s="12"/>
      <c r="E638" s="12"/>
      <c r="F638" s="12"/>
      <c r="G638" s="12"/>
      <c r="H638" s="12"/>
      <c r="I638" s="21" t="str">
        <f>IF(COUNTA('[1]Virus production'!A624)=1,('[1]Virus production'!A624),"")</f>
        <v/>
      </c>
      <c r="J638" s="12"/>
      <c r="L638" s="12"/>
      <c r="M638" s="12"/>
      <c r="N638" s="12"/>
      <c r="O638" s="12"/>
      <c r="P638" s="12"/>
      <c r="Q638" s="12"/>
      <c r="R638" s="12"/>
      <c r="S638" s="12"/>
      <c r="T638" s="12"/>
      <c r="U638" s="12"/>
      <c r="V638" s="12"/>
      <c r="W638" s="12"/>
      <c r="X638" s="12"/>
      <c r="Y638" s="12"/>
      <c r="Z638" s="12"/>
      <c r="AA638" s="12"/>
      <c r="AB638" s="12"/>
      <c r="AD638" s="31"/>
      <c r="AE638" s="12"/>
      <c r="AF638" s="12"/>
      <c r="AG638" s="12"/>
      <c r="AH638" s="12"/>
      <c r="AI638" s="12"/>
      <c r="AJ638" s="12"/>
      <c r="AK638" s="12"/>
      <c r="AL638" s="12"/>
      <c r="AM638" s="12"/>
      <c r="AN638" s="12"/>
      <c r="AO638" s="12"/>
      <c r="AP638" s="12"/>
      <c r="AQ638" s="12"/>
      <c r="AR638" s="12"/>
      <c r="AS638" s="12"/>
      <c r="AT638" s="12"/>
    </row>
    <row r="639" spans="1:46" x14ac:dyDescent="0.25">
      <c r="A639" s="12"/>
      <c r="B639" s="12"/>
      <c r="C639" s="12"/>
      <c r="D639" s="12"/>
      <c r="E639" s="12"/>
      <c r="F639" s="12"/>
      <c r="G639" s="12"/>
      <c r="H639" s="12"/>
      <c r="I639" s="21" t="str">
        <f>IF(COUNTA('[1]Virus production'!A625)=1,('[1]Virus production'!A625),"")</f>
        <v/>
      </c>
      <c r="J639" s="12"/>
      <c r="L639" s="12"/>
      <c r="M639" s="12"/>
      <c r="N639" s="12"/>
      <c r="O639" s="12"/>
      <c r="P639" s="12"/>
      <c r="Q639" s="12"/>
      <c r="R639" s="12"/>
      <c r="S639" s="12"/>
      <c r="T639" s="12"/>
      <c r="U639" s="12"/>
      <c r="V639" s="12"/>
      <c r="W639" s="12"/>
      <c r="X639" s="12"/>
      <c r="Y639" s="12"/>
      <c r="Z639" s="12"/>
      <c r="AA639" s="12"/>
      <c r="AB639" s="12"/>
      <c r="AD639" s="31"/>
      <c r="AE639" s="12"/>
      <c r="AF639" s="12"/>
      <c r="AG639" s="12"/>
      <c r="AH639" s="12"/>
      <c r="AI639" s="12"/>
      <c r="AJ639" s="12"/>
      <c r="AK639" s="12"/>
      <c r="AL639" s="12"/>
      <c r="AM639" s="12"/>
      <c r="AN639" s="12"/>
      <c r="AO639" s="12"/>
      <c r="AP639" s="12"/>
      <c r="AQ639" s="12"/>
      <c r="AR639" s="12"/>
      <c r="AS639" s="12"/>
      <c r="AT639" s="12"/>
    </row>
    <row r="640" spans="1:46" x14ac:dyDescent="0.25">
      <c r="A640" s="12"/>
      <c r="B640" s="12"/>
      <c r="C640" s="12"/>
      <c r="D640" s="12"/>
      <c r="E640" s="12"/>
      <c r="F640" s="12"/>
      <c r="G640" s="12"/>
      <c r="H640" s="12"/>
      <c r="I640" s="21" t="str">
        <f>IF(COUNTA('[1]Virus production'!A626)=1,('[1]Virus production'!A626),"")</f>
        <v/>
      </c>
      <c r="J640" s="12"/>
      <c r="L640" s="12"/>
      <c r="M640" s="12"/>
      <c r="N640" s="12"/>
      <c r="O640" s="12"/>
      <c r="P640" s="12"/>
      <c r="Q640" s="12"/>
      <c r="R640" s="12"/>
      <c r="S640" s="12"/>
      <c r="T640" s="12"/>
      <c r="U640" s="12"/>
      <c r="V640" s="12"/>
      <c r="W640" s="12"/>
      <c r="X640" s="12"/>
      <c r="Y640" s="12"/>
      <c r="Z640" s="12"/>
      <c r="AA640" s="12"/>
      <c r="AB640" s="12"/>
      <c r="AD640" s="31"/>
      <c r="AE640" s="12"/>
      <c r="AF640" s="12"/>
      <c r="AG640" s="12"/>
      <c r="AH640" s="12"/>
      <c r="AI640" s="12"/>
      <c r="AJ640" s="12"/>
      <c r="AK640" s="12"/>
      <c r="AL640" s="12"/>
      <c r="AM640" s="12"/>
      <c r="AN640" s="12"/>
      <c r="AO640" s="12"/>
      <c r="AP640" s="12"/>
      <c r="AQ640" s="12"/>
      <c r="AR640" s="12"/>
      <c r="AS640" s="12"/>
      <c r="AT640" s="12"/>
    </row>
    <row r="641" spans="1:46" x14ac:dyDescent="0.25">
      <c r="A641" s="12"/>
      <c r="B641" s="12"/>
      <c r="C641" s="12"/>
      <c r="D641" s="12"/>
      <c r="E641" s="12"/>
      <c r="F641" s="12"/>
      <c r="G641" s="12"/>
      <c r="H641" s="12"/>
      <c r="I641" s="21" t="str">
        <f>IF(COUNTA('[1]Virus production'!A627)=1,('[1]Virus production'!A627),"")</f>
        <v/>
      </c>
      <c r="J641" s="12"/>
      <c r="L641" s="12"/>
      <c r="M641" s="12"/>
      <c r="N641" s="12"/>
      <c r="O641" s="12"/>
      <c r="P641" s="12"/>
      <c r="Q641" s="12"/>
      <c r="R641" s="12"/>
      <c r="S641" s="12"/>
      <c r="T641" s="12"/>
      <c r="U641" s="12"/>
      <c r="V641" s="12"/>
      <c r="W641" s="12"/>
      <c r="X641" s="12"/>
      <c r="Y641" s="12"/>
      <c r="Z641" s="12"/>
      <c r="AA641" s="12"/>
      <c r="AB641" s="12"/>
      <c r="AD641" s="31"/>
      <c r="AE641" s="12"/>
      <c r="AF641" s="12"/>
      <c r="AG641" s="12"/>
      <c r="AH641" s="12"/>
      <c r="AI641" s="12"/>
      <c r="AJ641" s="12"/>
      <c r="AK641" s="12"/>
      <c r="AL641" s="12"/>
      <c r="AM641" s="12"/>
      <c r="AN641" s="12"/>
      <c r="AO641" s="12"/>
      <c r="AP641" s="12"/>
      <c r="AQ641" s="12"/>
      <c r="AR641" s="12"/>
      <c r="AS641" s="12"/>
      <c r="AT641" s="12"/>
    </row>
    <row r="642" spans="1:46" x14ac:dyDescent="0.25">
      <c r="A642" s="12"/>
      <c r="B642" s="12"/>
      <c r="C642" s="12"/>
      <c r="D642" s="12"/>
      <c r="E642" s="12"/>
      <c r="F642" s="12"/>
      <c r="G642" s="12"/>
      <c r="H642" s="12"/>
      <c r="I642" s="21" t="str">
        <f>IF(COUNTA('[1]Virus production'!A628)=1,('[1]Virus production'!A628),"")</f>
        <v/>
      </c>
      <c r="J642" s="12"/>
      <c r="L642" s="12"/>
      <c r="M642" s="12"/>
      <c r="N642" s="12"/>
      <c r="O642" s="12"/>
      <c r="P642" s="12"/>
      <c r="Q642" s="12"/>
      <c r="R642" s="12"/>
      <c r="S642" s="12"/>
      <c r="T642" s="12"/>
      <c r="U642" s="12"/>
      <c r="V642" s="12"/>
      <c r="W642" s="12"/>
      <c r="X642" s="12"/>
      <c r="Y642" s="12"/>
      <c r="Z642" s="12"/>
      <c r="AA642" s="12"/>
      <c r="AB642" s="12"/>
      <c r="AD642" s="31"/>
      <c r="AE642" s="12"/>
      <c r="AF642" s="12"/>
      <c r="AG642" s="12"/>
      <c r="AH642" s="12"/>
      <c r="AI642" s="12"/>
      <c r="AJ642" s="12"/>
      <c r="AK642" s="12"/>
      <c r="AL642" s="12"/>
      <c r="AM642" s="12"/>
      <c r="AN642" s="12"/>
      <c r="AO642" s="12"/>
      <c r="AP642" s="12"/>
      <c r="AQ642" s="12"/>
      <c r="AR642" s="12"/>
      <c r="AS642" s="12"/>
      <c r="AT642" s="12"/>
    </row>
    <row r="643" spans="1:46" x14ac:dyDescent="0.25">
      <c r="A643" s="12"/>
      <c r="B643" s="12"/>
      <c r="C643" s="12"/>
      <c r="D643" s="12"/>
      <c r="E643" s="12"/>
      <c r="F643" s="12"/>
      <c r="G643" s="12"/>
      <c r="H643" s="12"/>
      <c r="I643" s="21" t="str">
        <f>IF(COUNTA('[1]Virus production'!A629)=1,('[1]Virus production'!A629),"")</f>
        <v/>
      </c>
      <c r="J643" s="12"/>
      <c r="L643" s="12"/>
      <c r="M643" s="12"/>
      <c r="N643" s="12"/>
      <c r="O643" s="12"/>
      <c r="P643" s="12"/>
      <c r="Q643" s="12"/>
      <c r="R643" s="12"/>
      <c r="S643" s="12"/>
      <c r="T643" s="12"/>
      <c r="U643" s="12"/>
      <c r="V643" s="12"/>
      <c r="W643" s="12"/>
      <c r="X643" s="12"/>
      <c r="Y643" s="12"/>
      <c r="Z643" s="12"/>
      <c r="AA643" s="12"/>
      <c r="AB643" s="12"/>
      <c r="AD643" s="31"/>
      <c r="AE643" s="12"/>
      <c r="AF643" s="12"/>
      <c r="AG643" s="12"/>
      <c r="AH643" s="12"/>
      <c r="AI643" s="12"/>
      <c r="AJ643" s="12"/>
      <c r="AK643" s="12"/>
      <c r="AL643" s="12"/>
      <c r="AM643" s="12"/>
      <c r="AN643" s="12"/>
      <c r="AO643" s="12"/>
      <c r="AP643" s="12"/>
      <c r="AQ643" s="12"/>
      <c r="AR643" s="12"/>
      <c r="AS643" s="12"/>
      <c r="AT643" s="12"/>
    </row>
    <row r="644" spans="1:46" x14ac:dyDescent="0.25">
      <c r="A644" s="12"/>
      <c r="B644" s="12"/>
      <c r="C644" s="12"/>
      <c r="D644" s="12"/>
      <c r="E644" s="12"/>
      <c r="F644" s="12"/>
      <c r="G644" s="12"/>
      <c r="H644" s="12"/>
      <c r="I644" s="21" t="str">
        <f>IF(COUNTA('[1]Virus production'!A630)=1,('[1]Virus production'!A630),"")</f>
        <v/>
      </c>
      <c r="J644" s="12"/>
      <c r="L644" s="12"/>
      <c r="M644" s="12"/>
      <c r="N644" s="12"/>
      <c r="O644" s="12"/>
      <c r="P644" s="12"/>
      <c r="Q644" s="12"/>
      <c r="R644" s="12"/>
      <c r="S644" s="12"/>
      <c r="T644" s="12"/>
      <c r="U644" s="12"/>
      <c r="V644" s="12"/>
      <c r="W644" s="12"/>
      <c r="X644" s="12"/>
      <c r="Y644" s="12"/>
      <c r="Z644" s="12"/>
      <c r="AA644" s="12"/>
      <c r="AB644" s="12"/>
      <c r="AD644" s="31"/>
      <c r="AE644" s="12"/>
      <c r="AF644" s="12"/>
      <c r="AG644" s="12"/>
      <c r="AH644" s="12"/>
      <c r="AI644" s="12"/>
      <c r="AJ644" s="12"/>
      <c r="AK644" s="12"/>
      <c r="AL644" s="12"/>
      <c r="AM644" s="12"/>
      <c r="AN644" s="12"/>
      <c r="AO644" s="12"/>
      <c r="AP644" s="12"/>
      <c r="AQ644" s="12"/>
      <c r="AR644" s="12"/>
      <c r="AS644" s="12"/>
      <c r="AT644" s="12"/>
    </row>
    <row r="645" spans="1:46" x14ac:dyDescent="0.25">
      <c r="A645" s="12"/>
      <c r="B645" s="12"/>
      <c r="C645" s="12"/>
      <c r="D645" s="12"/>
      <c r="E645" s="12"/>
      <c r="F645" s="12"/>
      <c r="G645" s="12"/>
      <c r="H645" s="12"/>
      <c r="I645" s="21" t="str">
        <f>IF(COUNTA('[1]Virus production'!A631)=1,('[1]Virus production'!A631),"")</f>
        <v/>
      </c>
      <c r="J645" s="12"/>
      <c r="L645" s="12"/>
      <c r="M645" s="12"/>
      <c r="N645" s="12"/>
      <c r="O645" s="12"/>
      <c r="P645" s="12"/>
      <c r="Q645" s="12"/>
      <c r="R645" s="12"/>
      <c r="S645" s="12"/>
      <c r="T645" s="12"/>
      <c r="U645" s="12"/>
      <c r="V645" s="12"/>
      <c r="W645" s="12"/>
      <c r="X645" s="12"/>
      <c r="Y645" s="12"/>
      <c r="Z645" s="12"/>
      <c r="AA645" s="12"/>
      <c r="AB645" s="12"/>
      <c r="AD645" s="31"/>
      <c r="AE645" s="12"/>
      <c r="AF645" s="12"/>
      <c r="AG645" s="12"/>
      <c r="AH645" s="12"/>
      <c r="AI645" s="12"/>
      <c r="AJ645" s="12"/>
      <c r="AK645" s="12"/>
      <c r="AL645" s="12"/>
      <c r="AM645" s="12"/>
      <c r="AN645" s="12"/>
      <c r="AO645" s="12"/>
      <c r="AP645" s="12"/>
      <c r="AQ645" s="12"/>
      <c r="AR645" s="12"/>
      <c r="AS645" s="12"/>
      <c r="AT645" s="12"/>
    </row>
    <row r="646" spans="1:46" x14ac:dyDescent="0.25">
      <c r="A646" s="12"/>
      <c r="B646" s="12"/>
      <c r="C646" s="12"/>
      <c r="D646" s="12"/>
      <c r="E646" s="12"/>
      <c r="F646" s="12"/>
      <c r="G646" s="12"/>
      <c r="H646" s="12"/>
      <c r="I646" s="21" t="str">
        <f>IF(COUNTA('[1]Virus production'!A632)=1,('[1]Virus production'!A632),"")</f>
        <v/>
      </c>
      <c r="J646" s="12"/>
      <c r="L646" s="12"/>
      <c r="M646" s="12"/>
      <c r="N646" s="12"/>
      <c r="O646" s="12"/>
      <c r="P646" s="12"/>
      <c r="Q646" s="12"/>
      <c r="R646" s="12"/>
      <c r="S646" s="12"/>
      <c r="T646" s="12"/>
      <c r="U646" s="12"/>
      <c r="V646" s="12"/>
      <c r="W646" s="12"/>
      <c r="X646" s="12"/>
      <c r="Y646" s="12"/>
      <c r="Z646" s="12"/>
      <c r="AA646" s="12"/>
      <c r="AB646" s="12"/>
      <c r="AD646" s="31"/>
      <c r="AE646" s="12"/>
      <c r="AF646" s="12"/>
      <c r="AG646" s="12"/>
      <c r="AH646" s="12"/>
      <c r="AI646" s="12"/>
      <c r="AJ646" s="12"/>
      <c r="AK646" s="12"/>
      <c r="AL646" s="12"/>
      <c r="AM646" s="12"/>
      <c r="AN646" s="12"/>
      <c r="AO646" s="12"/>
      <c r="AP646" s="12"/>
      <c r="AQ646" s="12"/>
      <c r="AR646" s="12"/>
      <c r="AS646" s="12"/>
      <c r="AT646" s="12"/>
    </row>
    <row r="647" spans="1:46" x14ac:dyDescent="0.25">
      <c r="A647" s="12"/>
      <c r="B647" s="12"/>
      <c r="C647" s="12"/>
      <c r="D647" s="12"/>
      <c r="E647" s="12"/>
      <c r="F647" s="12"/>
      <c r="G647" s="12"/>
      <c r="H647" s="12"/>
      <c r="I647" s="21" t="str">
        <f>IF(COUNTA('[1]Virus production'!A633)=1,('[1]Virus production'!A633),"")</f>
        <v/>
      </c>
      <c r="J647" s="12"/>
      <c r="L647" s="12"/>
      <c r="M647" s="12"/>
      <c r="N647" s="12"/>
      <c r="O647" s="12"/>
      <c r="P647" s="12"/>
      <c r="Q647" s="12"/>
      <c r="R647" s="12"/>
      <c r="S647" s="12"/>
      <c r="T647" s="12"/>
      <c r="U647" s="12"/>
      <c r="V647" s="12"/>
      <c r="W647" s="12"/>
      <c r="X647" s="12"/>
      <c r="Y647" s="12"/>
      <c r="Z647" s="12"/>
      <c r="AA647" s="12"/>
      <c r="AB647" s="12"/>
      <c r="AD647" s="31"/>
      <c r="AE647" s="12"/>
      <c r="AF647" s="12"/>
      <c r="AG647" s="12"/>
      <c r="AH647" s="12"/>
      <c r="AI647" s="12"/>
      <c r="AJ647" s="12"/>
      <c r="AK647" s="12"/>
      <c r="AL647" s="12"/>
      <c r="AM647" s="12"/>
      <c r="AN647" s="12"/>
      <c r="AO647" s="12"/>
      <c r="AP647" s="12"/>
      <c r="AQ647" s="12"/>
      <c r="AR647" s="12"/>
      <c r="AS647" s="12"/>
      <c r="AT647" s="12"/>
    </row>
    <row r="648" spans="1:46" x14ac:dyDescent="0.25">
      <c r="A648" s="12"/>
      <c r="B648" s="12"/>
      <c r="C648" s="12"/>
      <c r="D648" s="12"/>
      <c r="E648" s="12"/>
      <c r="F648" s="12"/>
      <c r="G648" s="12"/>
      <c r="H648" s="12"/>
      <c r="I648" s="21" t="str">
        <f>IF(COUNTA('[1]Virus production'!A634)=1,('[1]Virus production'!A634),"")</f>
        <v/>
      </c>
      <c r="J648" s="12"/>
      <c r="L648" s="12"/>
      <c r="M648" s="12"/>
      <c r="N648" s="12"/>
      <c r="O648" s="12"/>
      <c r="P648" s="12"/>
      <c r="Q648" s="12"/>
      <c r="R648" s="12"/>
      <c r="S648" s="12"/>
      <c r="T648" s="12"/>
      <c r="U648" s="12"/>
      <c r="V648" s="12"/>
      <c r="W648" s="12"/>
      <c r="X648" s="12"/>
      <c r="Y648" s="12"/>
      <c r="Z648" s="12"/>
      <c r="AA648" s="12"/>
      <c r="AB648" s="12"/>
      <c r="AD648" s="31"/>
      <c r="AE648" s="12"/>
      <c r="AF648" s="12"/>
      <c r="AG648" s="12"/>
      <c r="AH648" s="12"/>
      <c r="AI648" s="12"/>
      <c r="AJ648" s="12"/>
      <c r="AK648" s="12"/>
      <c r="AL648" s="12"/>
      <c r="AM648" s="12"/>
      <c r="AN648" s="12"/>
      <c r="AO648" s="12"/>
      <c r="AP648" s="12"/>
      <c r="AQ648" s="12"/>
      <c r="AR648" s="12"/>
      <c r="AS648" s="12"/>
      <c r="AT648" s="12"/>
    </row>
    <row r="649" spans="1:46" x14ac:dyDescent="0.25">
      <c r="A649" s="12"/>
      <c r="B649" s="12"/>
      <c r="C649" s="12"/>
      <c r="D649" s="12"/>
      <c r="E649" s="12"/>
      <c r="F649" s="12"/>
      <c r="G649" s="12"/>
      <c r="H649" s="12"/>
      <c r="I649" s="21" t="str">
        <f>IF(COUNTA('[1]Virus production'!A635)=1,('[1]Virus production'!A635),"")</f>
        <v/>
      </c>
      <c r="J649" s="12"/>
      <c r="L649" s="12"/>
      <c r="M649" s="12"/>
      <c r="N649" s="12"/>
      <c r="O649" s="12"/>
      <c r="P649" s="12"/>
      <c r="Q649" s="12"/>
      <c r="R649" s="12"/>
      <c r="S649" s="12"/>
      <c r="T649" s="12"/>
      <c r="U649" s="12"/>
      <c r="V649" s="12"/>
      <c r="W649" s="12"/>
      <c r="X649" s="12"/>
      <c r="Y649" s="12"/>
      <c r="Z649" s="12"/>
      <c r="AA649" s="12"/>
      <c r="AB649" s="12"/>
      <c r="AD649" s="31"/>
      <c r="AE649" s="12"/>
      <c r="AF649" s="12"/>
      <c r="AG649" s="12"/>
      <c r="AH649" s="12"/>
      <c r="AI649" s="12"/>
      <c r="AJ649" s="12"/>
      <c r="AK649" s="12"/>
      <c r="AL649" s="12"/>
      <c r="AM649" s="12"/>
      <c r="AN649" s="12"/>
      <c r="AO649" s="12"/>
      <c r="AP649" s="12"/>
      <c r="AQ649" s="12"/>
      <c r="AR649" s="12"/>
      <c r="AS649" s="12"/>
      <c r="AT649" s="12"/>
    </row>
    <row r="650" spans="1:46" x14ac:dyDescent="0.25">
      <c r="A650" s="12"/>
      <c r="B650" s="12"/>
      <c r="C650" s="12"/>
      <c r="D650" s="12"/>
      <c r="E650" s="12"/>
      <c r="F650" s="12"/>
      <c r="G650" s="12"/>
      <c r="H650" s="12"/>
      <c r="I650" s="21" t="str">
        <f>IF(COUNTA('[1]Virus production'!A636)=1,('[1]Virus production'!A636),"")</f>
        <v/>
      </c>
      <c r="J650" s="12"/>
      <c r="L650" s="12"/>
      <c r="M650" s="12"/>
      <c r="N650" s="12"/>
      <c r="O650" s="12"/>
      <c r="P650" s="12"/>
      <c r="Q650" s="12"/>
      <c r="R650" s="12"/>
      <c r="S650" s="12"/>
      <c r="T650" s="12"/>
      <c r="U650" s="12"/>
      <c r="V650" s="12"/>
      <c r="W650" s="12"/>
      <c r="X650" s="12"/>
      <c r="Y650" s="12"/>
      <c r="Z650" s="12"/>
      <c r="AA650" s="12"/>
      <c r="AB650" s="12"/>
      <c r="AD650" s="31"/>
      <c r="AE650" s="12"/>
      <c r="AF650" s="12"/>
      <c r="AG650" s="12"/>
      <c r="AH650" s="12"/>
      <c r="AI650" s="12"/>
      <c r="AJ650" s="12"/>
      <c r="AK650" s="12"/>
      <c r="AL650" s="12"/>
      <c r="AM650" s="12"/>
      <c r="AN650" s="12"/>
      <c r="AO650" s="12"/>
      <c r="AP650" s="12"/>
      <c r="AQ650" s="12"/>
      <c r="AR650" s="12"/>
      <c r="AS650" s="12"/>
      <c r="AT650" s="12"/>
    </row>
    <row r="651" spans="1:46" x14ac:dyDescent="0.25">
      <c r="A651" s="12"/>
      <c r="B651" s="12"/>
      <c r="C651" s="12"/>
      <c r="D651" s="12"/>
      <c r="E651" s="12"/>
      <c r="F651" s="12"/>
      <c r="G651" s="12"/>
      <c r="H651" s="12"/>
      <c r="I651" s="21" t="str">
        <f>IF(COUNTA('[1]Virus production'!A637)=1,('[1]Virus production'!A637),"")</f>
        <v/>
      </c>
      <c r="J651" s="12"/>
      <c r="L651" s="12"/>
      <c r="M651" s="12"/>
      <c r="N651" s="12"/>
      <c r="O651" s="12"/>
      <c r="P651" s="12"/>
      <c r="Q651" s="12"/>
      <c r="R651" s="12"/>
      <c r="S651" s="12"/>
      <c r="T651" s="12"/>
      <c r="U651" s="12"/>
      <c r="V651" s="12"/>
      <c r="W651" s="12"/>
      <c r="X651" s="12"/>
      <c r="Y651" s="12"/>
      <c r="Z651" s="12"/>
      <c r="AA651" s="12"/>
      <c r="AB651" s="12"/>
      <c r="AD651" s="31"/>
      <c r="AE651" s="12"/>
      <c r="AF651" s="12"/>
      <c r="AG651" s="12"/>
      <c r="AH651" s="12"/>
      <c r="AI651" s="12"/>
      <c r="AJ651" s="12"/>
      <c r="AK651" s="12"/>
      <c r="AL651" s="12"/>
      <c r="AM651" s="12"/>
      <c r="AN651" s="12"/>
      <c r="AO651" s="12"/>
      <c r="AP651" s="12"/>
      <c r="AQ651" s="12"/>
      <c r="AR651" s="12"/>
      <c r="AS651" s="12"/>
      <c r="AT651" s="12"/>
    </row>
    <row r="652" spans="1:46" x14ac:dyDescent="0.25">
      <c r="A652" s="12"/>
      <c r="B652" s="12"/>
      <c r="C652" s="12"/>
      <c r="D652" s="12"/>
      <c r="E652" s="12"/>
      <c r="F652" s="12"/>
      <c r="G652" s="12"/>
      <c r="H652" s="12"/>
      <c r="I652" s="21" t="str">
        <f>IF(COUNTA('[1]Virus production'!A638)=1,('[1]Virus production'!A638),"")</f>
        <v/>
      </c>
      <c r="J652" s="12"/>
      <c r="L652" s="12"/>
      <c r="M652" s="12"/>
      <c r="N652" s="12"/>
      <c r="O652" s="12"/>
      <c r="P652" s="12"/>
      <c r="Q652" s="12"/>
      <c r="R652" s="12"/>
      <c r="S652" s="12"/>
      <c r="T652" s="12"/>
      <c r="U652" s="12"/>
      <c r="V652" s="12"/>
      <c r="W652" s="12"/>
      <c r="X652" s="12"/>
      <c r="Y652" s="12"/>
      <c r="Z652" s="12"/>
      <c r="AA652" s="12"/>
      <c r="AB652" s="12"/>
      <c r="AD652" s="31"/>
      <c r="AE652" s="12"/>
      <c r="AF652" s="12"/>
      <c r="AG652" s="12"/>
      <c r="AH652" s="12"/>
      <c r="AI652" s="12"/>
      <c r="AJ652" s="12"/>
      <c r="AK652" s="12"/>
      <c r="AL652" s="12"/>
      <c r="AM652" s="12"/>
      <c r="AN652" s="12"/>
      <c r="AO652" s="12"/>
      <c r="AP652" s="12"/>
      <c r="AQ652" s="12"/>
      <c r="AR652" s="12"/>
      <c r="AS652" s="12"/>
      <c r="AT652" s="12"/>
    </row>
    <row r="653" spans="1:46" x14ac:dyDescent="0.25">
      <c r="A653" s="12"/>
      <c r="B653" s="12"/>
      <c r="C653" s="12"/>
      <c r="D653" s="12"/>
      <c r="E653" s="12"/>
      <c r="F653" s="12"/>
      <c r="G653" s="12"/>
      <c r="H653" s="12"/>
      <c r="I653" s="21" t="str">
        <f>IF(COUNTA('[1]Virus production'!A639)=1,('[1]Virus production'!A639),"")</f>
        <v/>
      </c>
      <c r="J653" s="12"/>
      <c r="L653" s="12"/>
      <c r="M653" s="12"/>
      <c r="N653" s="12"/>
      <c r="O653" s="12"/>
      <c r="P653" s="12"/>
      <c r="Q653" s="12"/>
      <c r="R653" s="12"/>
      <c r="S653" s="12"/>
      <c r="T653" s="12"/>
      <c r="U653" s="12"/>
      <c r="V653" s="12"/>
      <c r="W653" s="12"/>
      <c r="X653" s="12"/>
      <c r="Y653" s="12"/>
      <c r="Z653" s="12"/>
      <c r="AA653" s="12"/>
      <c r="AB653" s="12"/>
      <c r="AD653" s="31"/>
      <c r="AE653" s="12"/>
      <c r="AF653" s="12"/>
      <c r="AG653" s="12"/>
      <c r="AH653" s="12"/>
      <c r="AI653" s="12"/>
      <c r="AJ653" s="12"/>
      <c r="AK653" s="12"/>
      <c r="AL653" s="12"/>
      <c r="AM653" s="12"/>
      <c r="AN653" s="12"/>
      <c r="AO653" s="12"/>
      <c r="AP653" s="12"/>
      <c r="AQ653" s="12"/>
      <c r="AR653" s="12"/>
      <c r="AS653" s="12"/>
      <c r="AT653" s="12"/>
    </row>
    <row r="654" spans="1:46" x14ac:dyDescent="0.25">
      <c r="A654" s="12"/>
      <c r="B654" s="12"/>
      <c r="C654" s="12"/>
      <c r="D654" s="12"/>
      <c r="E654" s="12"/>
      <c r="F654" s="12"/>
      <c r="G654" s="12"/>
      <c r="H654" s="12"/>
      <c r="I654" s="21" t="str">
        <f>IF(COUNTA('[1]Virus production'!A640)=1,('[1]Virus production'!A640),"")</f>
        <v/>
      </c>
      <c r="J654" s="12"/>
      <c r="L654" s="12"/>
      <c r="M654" s="12"/>
      <c r="N654" s="12"/>
      <c r="O654" s="12"/>
      <c r="P654" s="12"/>
      <c r="Q654" s="12"/>
      <c r="R654" s="12"/>
      <c r="S654" s="12"/>
      <c r="T654" s="12"/>
      <c r="U654" s="12"/>
      <c r="V654" s="12"/>
      <c r="W654" s="12"/>
      <c r="X654" s="12"/>
      <c r="Y654" s="12"/>
      <c r="Z654" s="12"/>
      <c r="AA654" s="12"/>
      <c r="AB654" s="12"/>
      <c r="AD654" s="31"/>
      <c r="AE654" s="12"/>
      <c r="AF654" s="12"/>
      <c r="AG654" s="12"/>
      <c r="AH654" s="12"/>
      <c r="AI654" s="12"/>
      <c r="AJ654" s="12"/>
      <c r="AK654" s="12"/>
      <c r="AL654" s="12"/>
      <c r="AM654" s="12"/>
      <c r="AN654" s="12"/>
      <c r="AO654" s="12"/>
      <c r="AP654" s="12"/>
      <c r="AQ654" s="12"/>
      <c r="AR654" s="12"/>
      <c r="AS654" s="12"/>
      <c r="AT654" s="12"/>
    </row>
    <row r="655" spans="1:46" x14ac:dyDescent="0.25">
      <c r="A655" s="12"/>
      <c r="B655" s="12"/>
      <c r="C655" s="12"/>
      <c r="D655" s="12"/>
      <c r="E655" s="12"/>
      <c r="F655" s="12"/>
      <c r="G655" s="12"/>
      <c r="H655" s="12"/>
      <c r="I655" s="21" t="str">
        <f>IF(COUNTA('[1]Virus production'!A641)=1,('[1]Virus production'!A641),"")</f>
        <v/>
      </c>
      <c r="J655" s="12"/>
      <c r="L655" s="12"/>
      <c r="M655" s="12"/>
      <c r="N655" s="12"/>
      <c r="O655" s="12"/>
      <c r="P655" s="12"/>
      <c r="Q655" s="12"/>
      <c r="R655" s="12"/>
      <c r="S655" s="12"/>
      <c r="T655" s="12"/>
      <c r="U655" s="12"/>
      <c r="V655" s="12"/>
      <c r="W655" s="12"/>
      <c r="X655" s="12"/>
      <c r="Y655" s="12"/>
      <c r="Z655" s="12"/>
      <c r="AA655" s="12"/>
      <c r="AB655" s="12"/>
      <c r="AD655" s="31"/>
      <c r="AE655" s="12"/>
      <c r="AF655" s="12"/>
      <c r="AG655" s="12"/>
      <c r="AH655" s="12"/>
      <c r="AI655" s="12"/>
      <c r="AJ655" s="12"/>
      <c r="AK655" s="12"/>
      <c r="AL655" s="12"/>
      <c r="AM655" s="12"/>
      <c r="AN655" s="12"/>
      <c r="AO655" s="12"/>
      <c r="AP655" s="12"/>
      <c r="AQ655" s="12"/>
      <c r="AR655" s="12"/>
      <c r="AS655" s="12"/>
      <c r="AT655" s="12"/>
    </row>
    <row r="656" spans="1:46" x14ac:dyDescent="0.25">
      <c r="A656" s="12"/>
      <c r="B656" s="12"/>
      <c r="C656" s="12"/>
      <c r="D656" s="12"/>
      <c r="E656" s="12"/>
      <c r="F656" s="12"/>
      <c r="G656" s="12"/>
      <c r="H656" s="12"/>
      <c r="I656" s="21" t="str">
        <f>IF(COUNTA('[1]Virus production'!A642)=1,('[1]Virus production'!A642),"")</f>
        <v/>
      </c>
      <c r="J656" s="12"/>
      <c r="L656" s="12"/>
      <c r="M656" s="12"/>
      <c r="N656" s="12"/>
      <c r="O656" s="12"/>
      <c r="P656" s="12"/>
      <c r="Q656" s="12"/>
      <c r="R656" s="12"/>
      <c r="S656" s="12"/>
      <c r="T656" s="12"/>
      <c r="U656" s="12"/>
      <c r="V656" s="12"/>
      <c r="W656" s="12"/>
      <c r="X656" s="12"/>
      <c r="Y656" s="12"/>
      <c r="Z656" s="12"/>
      <c r="AA656" s="12"/>
      <c r="AB656" s="12"/>
      <c r="AD656" s="31"/>
      <c r="AE656" s="12"/>
      <c r="AF656" s="12"/>
      <c r="AG656" s="12"/>
      <c r="AH656" s="12"/>
      <c r="AI656" s="12"/>
      <c r="AJ656" s="12"/>
      <c r="AK656" s="12"/>
      <c r="AL656" s="12"/>
      <c r="AM656" s="12"/>
      <c r="AN656" s="12"/>
      <c r="AO656" s="12"/>
      <c r="AP656" s="12"/>
      <c r="AQ656" s="12"/>
      <c r="AR656" s="12"/>
      <c r="AS656" s="12"/>
      <c r="AT656" s="12"/>
    </row>
    <row r="657" spans="1:46" x14ac:dyDescent="0.25">
      <c r="A657" s="12"/>
      <c r="B657" s="12"/>
      <c r="C657" s="12"/>
      <c r="D657" s="12"/>
      <c r="E657" s="12"/>
      <c r="F657" s="12"/>
      <c r="G657" s="12"/>
      <c r="H657" s="12"/>
      <c r="I657" s="21" t="str">
        <f>IF(COUNTA('[1]Virus production'!A643)=1,('[1]Virus production'!A643),"")</f>
        <v/>
      </c>
      <c r="J657" s="12"/>
      <c r="L657" s="12"/>
      <c r="M657" s="12"/>
      <c r="N657" s="12"/>
      <c r="O657" s="12"/>
      <c r="P657" s="12"/>
      <c r="Q657" s="12"/>
      <c r="R657" s="12"/>
      <c r="S657" s="12"/>
      <c r="T657" s="12"/>
      <c r="U657" s="12"/>
      <c r="V657" s="12"/>
      <c r="W657" s="12"/>
      <c r="X657" s="12"/>
      <c r="Y657" s="12"/>
      <c r="Z657" s="12"/>
      <c r="AA657" s="12"/>
      <c r="AB657" s="12"/>
      <c r="AD657" s="31"/>
      <c r="AE657" s="12"/>
      <c r="AF657" s="12"/>
      <c r="AG657" s="12"/>
      <c r="AH657" s="12"/>
      <c r="AI657" s="12"/>
      <c r="AJ657" s="12"/>
      <c r="AK657" s="12"/>
      <c r="AL657" s="12"/>
      <c r="AM657" s="12"/>
      <c r="AN657" s="12"/>
      <c r="AO657" s="12"/>
      <c r="AP657" s="12"/>
      <c r="AQ657" s="12"/>
      <c r="AR657" s="12"/>
      <c r="AS657" s="12"/>
      <c r="AT657" s="12"/>
    </row>
    <row r="658" spans="1:46" x14ac:dyDescent="0.25">
      <c r="A658" s="12"/>
      <c r="B658" s="12"/>
      <c r="C658" s="12"/>
      <c r="D658" s="12"/>
      <c r="E658" s="12"/>
      <c r="F658" s="12"/>
      <c r="G658" s="12"/>
      <c r="H658" s="12"/>
      <c r="I658" s="21" t="str">
        <f>IF(COUNTA('[1]Virus production'!A644)=1,('[1]Virus production'!A644),"")</f>
        <v/>
      </c>
      <c r="J658" s="12"/>
      <c r="L658" s="12"/>
      <c r="M658" s="12"/>
      <c r="N658" s="12"/>
      <c r="O658" s="12"/>
      <c r="P658" s="12"/>
      <c r="Q658" s="12"/>
      <c r="R658" s="12"/>
      <c r="S658" s="12"/>
      <c r="T658" s="12"/>
      <c r="U658" s="12"/>
      <c r="V658" s="12"/>
      <c r="W658" s="12"/>
      <c r="X658" s="12"/>
      <c r="Y658" s="12"/>
      <c r="Z658" s="12"/>
      <c r="AA658" s="12"/>
      <c r="AB658" s="12"/>
      <c r="AD658" s="31"/>
      <c r="AE658" s="12"/>
      <c r="AF658" s="12"/>
      <c r="AG658" s="12"/>
      <c r="AH658" s="12"/>
      <c r="AI658" s="12"/>
      <c r="AJ658" s="12"/>
      <c r="AK658" s="12"/>
      <c r="AL658" s="12"/>
      <c r="AM658" s="12"/>
      <c r="AN658" s="12"/>
      <c r="AO658" s="12"/>
      <c r="AP658" s="12"/>
      <c r="AQ658" s="12"/>
      <c r="AR658" s="12"/>
      <c r="AS658" s="12"/>
      <c r="AT658" s="12"/>
    </row>
    <row r="659" spans="1:46" x14ac:dyDescent="0.25">
      <c r="A659" s="12"/>
      <c r="B659" s="12"/>
      <c r="C659" s="12"/>
      <c r="D659" s="12"/>
      <c r="E659" s="12"/>
      <c r="F659" s="12"/>
      <c r="G659" s="12"/>
      <c r="H659" s="12"/>
      <c r="I659" s="21" t="str">
        <f>IF(COUNTA('[1]Virus production'!A645)=1,('[1]Virus production'!A645),"")</f>
        <v/>
      </c>
      <c r="J659" s="12"/>
      <c r="L659" s="12"/>
      <c r="M659" s="12"/>
      <c r="N659" s="12"/>
      <c r="O659" s="12"/>
      <c r="P659" s="12"/>
      <c r="Q659" s="12"/>
      <c r="R659" s="12"/>
      <c r="S659" s="12"/>
      <c r="T659" s="12"/>
      <c r="U659" s="12"/>
      <c r="V659" s="12"/>
      <c r="W659" s="12"/>
      <c r="X659" s="12"/>
      <c r="Y659" s="12"/>
      <c r="Z659" s="12"/>
      <c r="AA659" s="12"/>
      <c r="AB659" s="12"/>
      <c r="AD659" s="31"/>
      <c r="AE659" s="12"/>
      <c r="AF659" s="12"/>
      <c r="AG659" s="12"/>
      <c r="AH659" s="12"/>
      <c r="AI659" s="12"/>
      <c r="AJ659" s="12"/>
      <c r="AK659" s="12"/>
      <c r="AL659" s="12"/>
      <c r="AM659" s="12"/>
      <c r="AN659" s="12"/>
      <c r="AO659" s="12"/>
      <c r="AP659" s="12"/>
      <c r="AQ659" s="12"/>
      <c r="AR659" s="12"/>
      <c r="AS659" s="12"/>
      <c r="AT659" s="12"/>
    </row>
    <row r="660" spans="1:46" x14ac:dyDescent="0.25">
      <c r="A660" s="12"/>
      <c r="B660" s="12"/>
      <c r="C660" s="12"/>
      <c r="D660" s="12"/>
      <c r="E660" s="12"/>
      <c r="F660" s="12"/>
      <c r="G660" s="12"/>
      <c r="H660" s="12"/>
      <c r="I660" s="21" t="str">
        <f>IF(COUNTA('[1]Virus production'!A646)=1,('[1]Virus production'!A646),"")</f>
        <v/>
      </c>
      <c r="J660" s="12"/>
      <c r="L660" s="12"/>
      <c r="M660" s="12"/>
      <c r="N660" s="12"/>
      <c r="O660" s="12"/>
      <c r="P660" s="12"/>
      <c r="Q660" s="12"/>
      <c r="R660" s="12"/>
      <c r="S660" s="12"/>
      <c r="T660" s="12"/>
      <c r="U660" s="12"/>
      <c r="V660" s="12"/>
      <c r="W660" s="12"/>
      <c r="X660" s="12"/>
      <c r="Y660" s="12"/>
      <c r="Z660" s="12"/>
      <c r="AA660" s="12"/>
      <c r="AB660" s="12"/>
      <c r="AD660" s="31"/>
      <c r="AE660" s="12"/>
      <c r="AF660" s="12"/>
      <c r="AG660" s="12"/>
      <c r="AH660" s="12"/>
      <c r="AI660" s="12"/>
      <c r="AJ660" s="12"/>
      <c r="AK660" s="12"/>
      <c r="AL660" s="12"/>
      <c r="AM660" s="12"/>
      <c r="AN660" s="12"/>
      <c r="AO660" s="12"/>
      <c r="AP660" s="12"/>
      <c r="AQ660" s="12"/>
      <c r="AR660" s="12"/>
      <c r="AS660" s="12"/>
      <c r="AT660" s="12"/>
    </row>
    <row r="661" spans="1:46" x14ac:dyDescent="0.25">
      <c r="A661" s="12"/>
      <c r="B661" s="12"/>
      <c r="C661" s="12"/>
      <c r="D661" s="12"/>
      <c r="E661" s="12"/>
      <c r="F661" s="12"/>
      <c r="G661" s="12"/>
      <c r="H661" s="12"/>
      <c r="I661" s="21" t="str">
        <f>IF(COUNTA('[1]Virus production'!A647)=1,('[1]Virus production'!A647),"")</f>
        <v/>
      </c>
      <c r="J661" s="12"/>
      <c r="L661" s="12"/>
      <c r="M661" s="12"/>
      <c r="N661" s="12"/>
      <c r="O661" s="12"/>
      <c r="P661" s="12"/>
      <c r="Q661" s="12"/>
      <c r="R661" s="12"/>
      <c r="S661" s="12"/>
      <c r="T661" s="12"/>
      <c r="U661" s="12"/>
      <c r="V661" s="12"/>
      <c r="W661" s="12"/>
      <c r="X661" s="12"/>
      <c r="Y661" s="12"/>
      <c r="Z661" s="12"/>
      <c r="AA661" s="12"/>
      <c r="AB661" s="12"/>
      <c r="AD661" s="31"/>
      <c r="AE661" s="12"/>
      <c r="AF661" s="12"/>
      <c r="AG661" s="12"/>
      <c r="AH661" s="12"/>
      <c r="AI661" s="12"/>
      <c r="AJ661" s="12"/>
      <c r="AK661" s="12"/>
      <c r="AL661" s="12"/>
      <c r="AM661" s="12"/>
      <c r="AN661" s="12"/>
      <c r="AO661" s="12"/>
      <c r="AP661" s="12"/>
      <c r="AQ661" s="12"/>
      <c r="AR661" s="12"/>
      <c r="AS661" s="12"/>
      <c r="AT661" s="12"/>
    </row>
    <row r="662" spans="1:46" x14ac:dyDescent="0.25">
      <c r="A662" s="12"/>
      <c r="B662" s="12"/>
      <c r="C662" s="12"/>
      <c r="D662" s="12"/>
      <c r="E662" s="12"/>
      <c r="F662" s="12"/>
      <c r="G662" s="12"/>
      <c r="H662" s="12"/>
      <c r="I662" s="21" t="str">
        <f>IF(COUNTA('[1]Virus production'!A648)=1,('[1]Virus production'!A648),"")</f>
        <v/>
      </c>
      <c r="J662" s="12"/>
      <c r="L662" s="12"/>
      <c r="M662" s="12"/>
      <c r="N662" s="12"/>
      <c r="O662" s="12"/>
      <c r="P662" s="12"/>
      <c r="Q662" s="12"/>
      <c r="R662" s="12"/>
      <c r="S662" s="12"/>
      <c r="T662" s="12"/>
      <c r="U662" s="12"/>
      <c r="V662" s="12"/>
      <c r="W662" s="12"/>
      <c r="X662" s="12"/>
      <c r="Y662" s="12"/>
      <c r="Z662" s="12"/>
      <c r="AA662" s="12"/>
      <c r="AB662" s="12"/>
      <c r="AD662" s="31"/>
      <c r="AE662" s="12"/>
      <c r="AF662" s="12"/>
      <c r="AG662" s="12"/>
      <c r="AH662" s="12"/>
      <c r="AI662" s="12"/>
      <c r="AJ662" s="12"/>
      <c r="AK662" s="12"/>
      <c r="AL662" s="12"/>
      <c r="AM662" s="12"/>
      <c r="AN662" s="12"/>
      <c r="AO662" s="12"/>
      <c r="AP662" s="12"/>
      <c r="AQ662" s="12"/>
      <c r="AR662" s="12"/>
      <c r="AS662" s="12"/>
      <c r="AT662" s="12"/>
    </row>
    <row r="663" spans="1:46" x14ac:dyDescent="0.25">
      <c r="A663" s="12"/>
      <c r="B663" s="12"/>
      <c r="C663" s="12"/>
      <c r="D663" s="12"/>
      <c r="E663" s="12"/>
      <c r="F663" s="12"/>
      <c r="G663" s="12"/>
      <c r="H663" s="12"/>
      <c r="I663" s="21" t="str">
        <f>IF(COUNTA('[1]Virus production'!A649)=1,('[1]Virus production'!A649),"")</f>
        <v/>
      </c>
      <c r="J663" s="12"/>
      <c r="L663" s="12"/>
      <c r="M663" s="12"/>
      <c r="N663" s="12"/>
      <c r="O663" s="12"/>
      <c r="P663" s="12"/>
      <c r="Q663" s="12"/>
      <c r="R663" s="12"/>
      <c r="S663" s="12"/>
      <c r="T663" s="12"/>
      <c r="U663" s="12"/>
      <c r="V663" s="12"/>
      <c r="W663" s="12"/>
      <c r="X663" s="12"/>
      <c r="Y663" s="12"/>
      <c r="Z663" s="12"/>
      <c r="AA663" s="12"/>
      <c r="AB663" s="12"/>
      <c r="AD663" s="31"/>
      <c r="AE663" s="12"/>
      <c r="AF663" s="12"/>
      <c r="AG663" s="12"/>
      <c r="AH663" s="12"/>
      <c r="AI663" s="12"/>
      <c r="AJ663" s="12"/>
      <c r="AK663" s="12"/>
      <c r="AL663" s="12"/>
      <c r="AM663" s="12"/>
      <c r="AN663" s="12"/>
      <c r="AO663" s="12"/>
      <c r="AP663" s="12"/>
      <c r="AQ663" s="12"/>
      <c r="AR663" s="12"/>
      <c r="AS663" s="12"/>
      <c r="AT663" s="12"/>
    </row>
    <row r="664" spans="1:46" x14ac:dyDescent="0.25">
      <c r="A664" s="12"/>
      <c r="B664" s="12"/>
      <c r="C664" s="12"/>
      <c r="D664" s="12"/>
      <c r="E664" s="12"/>
      <c r="F664" s="12"/>
      <c r="G664" s="12"/>
      <c r="H664" s="12"/>
      <c r="I664" s="21" t="str">
        <f>IF(COUNTA('[1]Virus production'!A650)=1,('[1]Virus production'!A650),"")</f>
        <v/>
      </c>
      <c r="J664" s="12"/>
      <c r="L664" s="12"/>
      <c r="M664" s="12"/>
      <c r="N664" s="12"/>
      <c r="O664" s="12"/>
      <c r="P664" s="12"/>
      <c r="Q664" s="12"/>
      <c r="R664" s="12"/>
      <c r="S664" s="12"/>
      <c r="T664" s="12"/>
      <c r="U664" s="12"/>
      <c r="V664" s="12"/>
      <c r="W664" s="12"/>
      <c r="X664" s="12"/>
      <c r="Y664" s="12"/>
      <c r="Z664" s="12"/>
      <c r="AA664" s="12"/>
      <c r="AB664" s="12"/>
      <c r="AD664" s="31"/>
      <c r="AE664" s="12"/>
      <c r="AF664" s="12"/>
      <c r="AG664" s="12"/>
      <c r="AH664" s="12"/>
      <c r="AI664" s="12"/>
      <c r="AJ664" s="12"/>
      <c r="AK664" s="12"/>
      <c r="AL664" s="12"/>
      <c r="AM664" s="12"/>
      <c r="AN664" s="12"/>
      <c r="AO664" s="12"/>
      <c r="AP664" s="12"/>
      <c r="AQ664" s="12"/>
      <c r="AR664" s="12"/>
      <c r="AS664" s="12"/>
      <c r="AT664" s="12"/>
    </row>
    <row r="665" spans="1:46" x14ac:dyDescent="0.25">
      <c r="A665" s="12"/>
      <c r="B665" s="12"/>
      <c r="C665" s="12"/>
      <c r="D665" s="12"/>
      <c r="E665" s="12"/>
      <c r="F665" s="12"/>
      <c r="G665" s="12"/>
      <c r="H665" s="12"/>
      <c r="I665" s="21" t="str">
        <f>IF(COUNTA('[1]Virus production'!A651)=1,('[1]Virus production'!A651),"")</f>
        <v/>
      </c>
      <c r="J665" s="12"/>
      <c r="L665" s="12"/>
      <c r="M665" s="12"/>
      <c r="N665" s="12"/>
      <c r="O665" s="12"/>
      <c r="P665" s="12"/>
      <c r="Q665" s="12"/>
      <c r="R665" s="12"/>
      <c r="S665" s="12"/>
      <c r="T665" s="12"/>
      <c r="U665" s="12"/>
      <c r="V665" s="12"/>
      <c r="W665" s="12"/>
      <c r="X665" s="12"/>
      <c r="Y665" s="12"/>
      <c r="Z665" s="12"/>
      <c r="AA665" s="12"/>
      <c r="AB665" s="12"/>
      <c r="AD665" s="31"/>
      <c r="AE665" s="12"/>
      <c r="AF665" s="12"/>
      <c r="AG665" s="12"/>
      <c r="AH665" s="12"/>
      <c r="AI665" s="12"/>
      <c r="AJ665" s="12"/>
      <c r="AK665" s="12"/>
      <c r="AL665" s="12"/>
      <c r="AM665" s="12"/>
      <c r="AN665" s="12"/>
      <c r="AO665" s="12"/>
      <c r="AP665" s="12"/>
      <c r="AQ665" s="12"/>
      <c r="AR665" s="12"/>
      <c r="AS665" s="12"/>
      <c r="AT665" s="12"/>
    </row>
    <row r="666" spans="1:46" x14ac:dyDescent="0.25">
      <c r="A666" s="12"/>
      <c r="B666" s="12"/>
      <c r="C666" s="12"/>
      <c r="D666" s="12"/>
      <c r="E666" s="12"/>
      <c r="F666" s="12"/>
      <c r="G666" s="12"/>
      <c r="H666" s="12"/>
      <c r="I666" s="21" t="str">
        <f>IF(COUNTA('[1]Virus production'!A652)=1,('[1]Virus production'!A652),"")</f>
        <v/>
      </c>
      <c r="J666" s="12"/>
      <c r="L666" s="12"/>
      <c r="M666" s="12"/>
      <c r="N666" s="12"/>
      <c r="O666" s="12"/>
      <c r="P666" s="12"/>
      <c r="Q666" s="12"/>
      <c r="R666" s="12"/>
      <c r="S666" s="12"/>
      <c r="T666" s="12"/>
      <c r="U666" s="12"/>
      <c r="V666" s="12"/>
      <c r="W666" s="12"/>
      <c r="X666" s="12"/>
      <c r="Y666" s="12"/>
      <c r="Z666" s="12"/>
      <c r="AA666" s="12"/>
      <c r="AB666" s="12"/>
      <c r="AD666" s="31"/>
      <c r="AE666" s="12"/>
      <c r="AF666" s="12"/>
      <c r="AG666" s="12"/>
      <c r="AH666" s="12"/>
      <c r="AI666" s="12"/>
      <c r="AJ666" s="12"/>
      <c r="AK666" s="12"/>
      <c r="AL666" s="12"/>
      <c r="AM666" s="12"/>
      <c r="AN666" s="12"/>
      <c r="AO666" s="12"/>
      <c r="AP666" s="12"/>
      <c r="AQ666" s="12"/>
      <c r="AR666" s="12"/>
      <c r="AS666" s="12"/>
      <c r="AT666" s="12"/>
    </row>
    <row r="667" spans="1:46" x14ac:dyDescent="0.25">
      <c r="A667" s="12"/>
      <c r="B667" s="12"/>
      <c r="C667" s="12"/>
      <c r="D667" s="12"/>
      <c r="E667" s="12"/>
      <c r="F667" s="12"/>
      <c r="G667" s="12"/>
      <c r="H667" s="12"/>
      <c r="I667" s="21" t="str">
        <f>IF(COUNTA('[1]Virus production'!A653)=1,('[1]Virus production'!A653),"")</f>
        <v/>
      </c>
      <c r="J667" s="12"/>
      <c r="L667" s="12"/>
      <c r="M667" s="12"/>
      <c r="N667" s="12"/>
      <c r="O667" s="12"/>
      <c r="P667" s="12"/>
      <c r="Q667" s="12"/>
      <c r="R667" s="12"/>
      <c r="S667" s="12"/>
      <c r="T667" s="12"/>
      <c r="U667" s="12"/>
      <c r="V667" s="12"/>
      <c r="W667" s="12"/>
      <c r="X667" s="12"/>
      <c r="Y667" s="12"/>
      <c r="Z667" s="12"/>
      <c r="AA667" s="12"/>
      <c r="AB667" s="12"/>
      <c r="AD667" s="31"/>
      <c r="AE667" s="12"/>
      <c r="AF667" s="12"/>
      <c r="AG667" s="12"/>
      <c r="AH667" s="12"/>
      <c r="AI667" s="12"/>
      <c r="AJ667" s="12"/>
      <c r="AK667" s="12"/>
      <c r="AL667" s="12"/>
      <c r="AM667" s="12"/>
      <c r="AN667" s="12"/>
      <c r="AO667" s="12"/>
      <c r="AP667" s="12"/>
      <c r="AQ667" s="12"/>
      <c r="AR667" s="12"/>
      <c r="AS667" s="12"/>
      <c r="AT667" s="12"/>
    </row>
    <row r="668" spans="1:46" x14ac:dyDescent="0.25">
      <c r="A668" s="12"/>
      <c r="B668" s="12"/>
      <c r="C668" s="12"/>
      <c r="D668" s="12"/>
      <c r="E668" s="12"/>
      <c r="F668" s="12"/>
      <c r="G668" s="12"/>
      <c r="H668" s="12"/>
      <c r="I668" s="21" t="str">
        <f>IF(COUNTA('[1]Virus production'!A654)=1,('[1]Virus production'!A654),"")</f>
        <v/>
      </c>
      <c r="J668" s="12"/>
      <c r="L668" s="12"/>
      <c r="M668" s="12"/>
      <c r="N668" s="12"/>
      <c r="O668" s="12"/>
      <c r="P668" s="12"/>
      <c r="Q668" s="12"/>
      <c r="R668" s="12"/>
      <c r="S668" s="12"/>
      <c r="T668" s="12"/>
      <c r="U668" s="12"/>
      <c r="V668" s="12"/>
      <c r="W668" s="12"/>
      <c r="X668" s="12"/>
      <c r="Y668" s="12"/>
      <c r="Z668" s="12"/>
      <c r="AA668" s="12"/>
      <c r="AB668" s="12"/>
      <c r="AD668" s="31"/>
      <c r="AE668" s="12"/>
      <c r="AF668" s="12"/>
      <c r="AG668" s="12"/>
      <c r="AH668" s="12"/>
      <c r="AI668" s="12"/>
      <c r="AJ668" s="12"/>
      <c r="AK668" s="12"/>
      <c r="AL668" s="12"/>
      <c r="AM668" s="12"/>
      <c r="AN668" s="12"/>
      <c r="AO668" s="12"/>
      <c r="AP668" s="12"/>
      <c r="AQ668" s="12"/>
      <c r="AR668" s="12"/>
      <c r="AS668" s="12"/>
      <c r="AT668" s="12"/>
    </row>
    <row r="669" spans="1:46" x14ac:dyDescent="0.25">
      <c r="A669" s="12"/>
      <c r="B669" s="12"/>
      <c r="C669" s="12"/>
      <c r="D669" s="12"/>
      <c r="E669" s="12"/>
      <c r="F669" s="12"/>
      <c r="G669" s="12"/>
      <c r="H669" s="12"/>
      <c r="I669" s="21" t="str">
        <f>IF(COUNTA('[1]Virus production'!A655)=1,('[1]Virus production'!A655),"")</f>
        <v/>
      </c>
      <c r="J669" s="12"/>
      <c r="L669" s="12"/>
      <c r="M669" s="12"/>
      <c r="N669" s="12"/>
      <c r="O669" s="12"/>
      <c r="P669" s="12"/>
      <c r="Q669" s="12"/>
      <c r="R669" s="12"/>
      <c r="S669" s="12"/>
      <c r="T669" s="12"/>
      <c r="U669" s="12"/>
      <c r="V669" s="12"/>
      <c r="W669" s="12"/>
      <c r="X669" s="12"/>
      <c r="Y669" s="12"/>
      <c r="Z669" s="12"/>
      <c r="AA669" s="12"/>
      <c r="AB669" s="12"/>
      <c r="AD669" s="31"/>
      <c r="AE669" s="12"/>
      <c r="AF669" s="12"/>
      <c r="AG669" s="12"/>
      <c r="AH669" s="12"/>
      <c r="AI669" s="12"/>
      <c r="AJ669" s="12"/>
      <c r="AK669" s="12"/>
      <c r="AL669" s="12"/>
      <c r="AM669" s="12"/>
      <c r="AN669" s="12"/>
      <c r="AO669" s="12"/>
      <c r="AP669" s="12"/>
      <c r="AQ669" s="12"/>
      <c r="AR669" s="12"/>
      <c r="AS669" s="12"/>
      <c r="AT669" s="12"/>
    </row>
    <row r="670" spans="1:46" x14ac:dyDescent="0.25">
      <c r="A670" s="12"/>
      <c r="B670" s="12"/>
      <c r="C670" s="12"/>
      <c r="D670" s="12"/>
      <c r="E670" s="12"/>
      <c r="F670" s="12"/>
      <c r="G670" s="12"/>
      <c r="H670" s="12"/>
      <c r="I670" s="21" t="str">
        <f>IF(COUNTA('[1]Virus production'!A656)=1,('[1]Virus production'!A656),"")</f>
        <v/>
      </c>
      <c r="J670" s="12"/>
      <c r="L670" s="12"/>
      <c r="M670" s="12"/>
      <c r="N670" s="12"/>
      <c r="O670" s="12"/>
      <c r="P670" s="12"/>
      <c r="Q670" s="12"/>
      <c r="R670" s="12"/>
      <c r="S670" s="12"/>
      <c r="T670" s="12"/>
      <c r="U670" s="12"/>
      <c r="V670" s="12"/>
      <c r="W670" s="12"/>
      <c r="X670" s="12"/>
      <c r="Y670" s="12"/>
      <c r="Z670" s="12"/>
      <c r="AA670" s="12"/>
      <c r="AB670" s="12"/>
      <c r="AD670" s="31"/>
      <c r="AE670" s="12"/>
      <c r="AF670" s="12"/>
      <c r="AG670" s="12"/>
      <c r="AH670" s="12"/>
      <c r="AI670" s="12"/>
      <c r="AJ670" s="12"/>
      <c r="AK670" s="12"/>
      <c r="AL670" s="12"/>
      <c r="AM670" s="12"/>
      <c r="AN670" s="12"/>
      <c r="AO670" s="12"/>
      <c r="AP670" s="12"/>
      <c r="AQ670" s="12"/>
      <c r="AR670" s="12"/>
      <c r="AS670" s="12"/>
      <c r="AT670" s="12"/>
    </row>
    <row r="671" spans="1:46" x14ac:dyDescent="0.25">
      <c r="A671" s="12"/>
      <c r="B671" s="12"/>
      <c r="C671" s="12"/>
      <c r="D671" s="12"/>
      <c r="E671" s="12"/>
      <c r="F671" s="12"/>
      <c r="G671" s="12"/>
      <c r="H671" s="12"/>
      <c r="I671" s="21" t="str">
        <f>IF(COUNTA('[1]Virus production'!A657)=1,('[1]Virus production'!A657),"")</f>
        <v/>
      </c>
      <c r="J671" s="12"/>
      <c r="L671" s="12"/>
      <c r="M671" s="12"/>
      <c r="N671" s="12"/>
      <c r="O671" s="12"/>
      <c r="P671" s="12"/>
      <c r="Q671" s="12"/>
      <c r="R671" s="12"/>
      <c r="S671" s="12"/>
      <c r="T671" s="12"/>
      <c r="U671" s="12"/>
      <c r="V671" s="12"/>
      <c r="W671" s="12"/>
      <c r="X671" s="12"/>
      <c r="Y671" s="12"/>
      <c r="Z671" s="12"/>
      <c r="AA671" s="12"/>
      <c r="AB671" s="12"/>
      <c r="AD671" s="31"/>
      <c r="AE671" s="12"/>
      <c r="AF671" s="12"/>
      <c r="AG671" s="12"/>
      <c r="AH671" s="12"/>
      <c r="AI671" s="12"/>
      <c r="AJ671" s="12"/>
      <c r="AK671" s="12"/>
      <c r="AL671" s="12"/>
      <c r="AM671" s="12"/>
      <c r="AN671" s="12"/>
      <c r="AO671" s="12"/>
      <c r="AP671" s="12"/>
      <c r="AQ671" s="12"/>
      <c r="AR671" s="12"/>
      <c r="AS671" s="12"/>
      <c r="AT671" s="12"/>
    </row>
    <row r="672" spans="1:46" x14ac:dyDescent="0.25">
      <c r="A672" s="12"/>
      <c r="B672" s="12"/>
      <c r="C672" s="12"/>
      <c r="D672" s="12"/>
      <c r="E672" s="12"/>
      <c r="F672" s="12"/>
      <c r="G672" s="12"/>
      <c r="H672" s="12"/>
      <c r="I672" s="21" t="str">
        <f>IF(COUNTA('[1]Virus production'!A658)=1,('[1]Virus production'!A658),"")</f>
        <v/>
      </c>
      <c r="J672" s="12"/>
      <c r="L672" s="12"/>
      <c r="M672" s="12"/>
      <c r="N672" s="12"/>
      <c r="O672" s="12"/>
      <c r="P672" s="12"/>
      <c r="Q672" s="12"/>
      <c r="R672" s="12"/>
      <c r="S672" s="12"/>
      <c r="T672" s="12"/>
      <c r="U672" s="12"/>
      <c r="V672" s="12"/>
      <c r="W672" s="12"/>
      <c r="X672" s="12"/>
      <c r="Y672" s="12"/>
      <c r="Z672" s="12"/>
      <c r="AA672" s="12"/>
      <c r="AB672" s="12"/>
      <c r="AD672" s="31"/>
      <c r="AE672" s="12"/>
      <c r="AF672" s="12"/>
      <c r="AG672" s="12"/>
      <c r="AH672" s="12"/>
      <c r="AI672" s="12"/>
      <c r="AJ672" s="12"/>
      <c r="AK672" s="12"/>
      <c r="AL672" s="12"/>
      <c r="AM672" s="12"/>
      <c r="AN672" s="12"/>
      <c r="AO672" s="12"/>
      <c r="AP672" s="12"/>
      <c r="AQ672" s="12"/>
      <c r="AR672" s="12"/>
      <c r="AS672" s="12"/>
      <c r="AT672" s="12"/>
    </row>
    <row r="673" spans="1:46" x14ac:dyDescent="0.25">
      <c r="A673" s="12"/>
      <c r="B673" s="12"/>
      <c r="C673" s="12"/>
      <c r="D673" s="12"/>
      <c r="E673" s="12"/>
      <c r="F673" s="12"/>
      <c r="G673" s="12"/>
      <c r="H673" s="12"/>
      <c r="I673" s="21" t="str">
        <f>IF(COUNTA('[1]Virus production'!A659)=1,('[1]Virus production'!A659),"")</f>
        <v/>
      </c>
      <c r="J673" s="12"/>
      <c r="L673" s="12"/>
      <c r="M673" s="12"/>
      <c r="N673" s="12"/>
      <c r="O673" s="12"/>
      <c r="P673" s="12"/>
      <c r="Q673" s="12"/>
      <c r="R673" s="12"/>
      <c r="S673" s="12"/>
      <c r="T673" s="12"/>
      <c r="U673" s="12"/>
      <c r="V673" s="12"/>
      <c r="W673" s="12"/>
      <c r="X673" s="12"/>
      <c r="Y673" s="12"/>
      <c r="Z673" s="12"/>
      <c r="AA673" s="12"/>
      <c r="AB673" s="12"/>
      <c r="AD673" s="31"/>
      <c r="AE673" s="12"/>
      <c r="AF673" s="12"/>
      <c r="AG673" s="12"/>
      <c r="AH673" s="12"/>
      <c r="AI673" s="12"/>
      <c r="AJ673" s="12"/>
      <c r="AK673" s="12"/>
      <c r="AL673" s="12"/>
      <c r="AM673" s="12"/>
      <c r="AN673" s="12"/>
      <c r="AO673" s="12"/>
      <c r="AP673" s="12"/>
      <c r="AQ673" s="12"/>
      <c r="AR673" s="12"/>
      <c r="AS673" s="12"/>
      <c r="AT673" s="12"/>
    </row>
    <row r="674" spans="1:46" x14ac:dyDescent="0.25">
      <c r="A674" s="12"/>
      <c r="B674" s="12"/>
      <c r="C674" s="12"/>
      <c r="D674" s="12"/>
      <c r="E674" s="12"/>
      <c r="F674" s="12"/>
      <c r="G674" s="12"/>
      <c r="H674" s="12"/>
      <c r="I674" s="21" t="str">
        <f>IF(COUNTA('[1]Virus production'!A660)=1,('[1]Virus production'!A660),"")</f>
        <v/>
      </c>
      <c r="J674" s="12"/>
      <c r="L674" s="12"/>
      <c r="M674" s="12"/>
      <c r="N674" s="12"/>
      <c r="O674" s="12"/>
      <c r="P674" s="12"/>
      <c r="Q674" s="12"/>
      <c r="R674" s="12"/>
      <c r="S674" s="12"/>
      <c r="T674" s="12"/>
      <c r="U674" s="12"/>
      <c r="V674" s="12"/>
      <c r="W674" s="12"/>
      <c r="X674" s="12"/>
      <c r="Y674" s="12"/>
      <c r="Z674" s="12"/>
      <c r="AA674" s="12"/>
      <c r="AB674" s="12"/>
      <c r="AD674" s="31"/>
      <c r="AE674" s="12"/>
      <c r="AF674" s="12"/>
      <c r="AG674" s="12"/>
      <c r="AH674" s="12"/>
      <c r="AI674" s="12"/>
      <c r="AJ674" s="12"/>
      <c r="AK674" s="12"/>
      <c r="AL674" s="12"/>
      <c r="AM674" s="12"/>
      <c r="AN674" s="12"/>
      <c r="AO674" s="12"/>
      <c r="AP674" s="12"/>
      <c r="AQ674" s="12"/>
      <c r="AR674" s="12"/>
      <c r="AS674" s="12"/>
      <c r="AT674" s="12"/>
    </row>
    <row r="675" spans="1:46" x14ac:dyDescent="0.25">
      <c r="A675" s="12"/>
      <c r="B675" s="12"/>
      <c r="C675" s="12"/>
      <c r="D675" s="12"/>
      <c r="E675" s="12"/>
      <c r="F675" s="12"/>
      <c r="G675" s="12"/>
      <c r="H675" s="12"/>
      <c r="I675" s="21" t="str">
        <f>IF(COUNTA('[1]Virus production'!A661)=1,('[1]Virus production'!A661),"")</f>
        <v/>
      </c>
      <c r="J675" s="12"/>
      <c r="L675" s="12"/>
      <c r="M675" s="12"/>
      <c r="N675" s="12"/>
      <c r="O675" s="12"/>
      <c r="P675" s="12"/>
      <c r="Q675" s="12"/>
      <c r="R675" s="12"/>
      <c r="S675" s="12"/>
      <c r="T675" s="12"/>
      <c r="U675" s="12"/>
      <c r="V675" s="12"/>
      <c r="W675" s="12"/>
      <c r="X675" s="12"/>
      <c r="Y675" s="12"/>
      <c r="Z675" s="12"/>
      <c r="AA675" s="12"/>
      <c r="AB675" s="12"/>
      <c r="AD675" s="31"/>
      <c r="AE675" s="12"/>
      <c r="AF675" s="12"/>
      <c r="AG675" s="12"/>
      <c r="AH675" s="12"/>
      <c r="AI675" s="12"/>
      <c r="AJ675" s="12"/>
      <c r="AK675" s="12"/>
      <c r="AL675" s="12"/>
      <c r="AM675" s="12"/>
      <c r="AN675" s="12"/>
      <c r="AO675" s="12"/>
      <c r="AP675" s="12"/>
      <c r="AQ675" s="12"/>
      <c r="AR675" s="12"/>
      <c r="AS675" s="12"/>
      <c r="AT675" s="12"/>
    </row>
    <row r="676" spans="1:46" x14ac:dyDescent="0.25">
      <c r="A676" s="12"/>
      <c r="B676" s="12"/>
      <c r="C676" s="12"/>
      <c r="D676" s="12"/>
      <c r="E676" s="12"/>
      <c r="F676" s="12"/>
      <c r="G676" s="12"/>
      <c r="H676" s="12"/>
      <c r="I676" s="21" t="str">
        <f>IF(COUNTA('[1]Virus production'!A662)=1,('[1]Virus production'!A662),"")</f>
        <v/>
      </c>
      <c r="J676" s="12"/>
      <c r="L676" s="12"/>
      <c r="M676" s="12"/>
      <c r="N676" s="12"/>
      <c r="O676" s="12"/>
      <c r="P676" s="12"/>
      <c r="Q676" s="12"/>
      <c r="R676" s="12"/>
      <c r="S676" s="12"/>
      <c r="T676" s="12"/>
      <c r="U676" s="12"/>
      <c r="V676" s="12"/>
      <c r="W676" s="12"/>
      <c r="X676" s="12"/>
      <c r="Y676" s="12"/>
      <c r="Z676" s="12"/>
      <c r="AA676" s="12"/>
      <c r="AB676" s="12"/>
      <c r="AD676" s="31"/>
      <c r="AE676" s="12"/>
      <c r="AF676" s="12"/>
      <c r="AG676" s="12"/>
      <c r="AH676" s="12"/>
      <c r="AI676" s="12"/>
      <c r="AJ676" s="12"/>
      <c r="AK676" s="12"/>
      <c r="AL676" s="12"/>
      <c r="AM676" s="12"/>
      <c r="AN676" s="12"/>
      <c r="AO676" s="12"/>
      <c r="AP676" s="12"/>
      <c r="AQ676" s="12"/>
      <c r="AR676" s="12"/>
      <c r="AS676" s="12"/>
      <c r="AT676" s="12"/>
    </row>
    <row r="677" spans="1:46" x14ac:dyDescent="0.25">
      <c r="A677" s="12"/>
      <c r="B677" s="12"/>
      <c r="C677" s="12"/>
      <c r="D677" s="12"/>
      <c r="E677" s="12"/>
      <c r="F677" s="12"/>
      <c r="G677" s="12"/>
      <c r="H677" s="12"/>
      <c r="I677" s="21" t="str">
        <f>IF(COUNTA('[1]Virus production'!A663)=1,('[1]Virus production'!A663),"")</f>
        <v/>
      </c>
      <c r="J677" s="12"/>
      <c r="L677" s="12"/>
      <c r="M677" s="12"/>
      <c r="N677" s="12"/>
      <c r="O677" s="12"/>
      <c r="P677" s="12"/>
      <c r="Q677" s="12"/>
      <c r="R677" s="12"/>
      <c r="S677" s="12"/>
      <c r="T677" s="12"/>
      <c r="U677" s="12"/>
      <c r="V677" s="12"/>
      <c r="W677" s="12"/>
      <c r="X677" s="12"/>
      <c r="Y677" s="12"/>
      <c r="Z677" s="12"/>
      <c r="AA677" s="12"/>
      <c r="AB677" s="12"/>
      <c r="AD677" s="31"/>
      <c r="AE677" s="12"/>
      <c r="AF677" s="12"/>
      <c r="AG677" s="12"/>
      <c r="AH677" s="12"/>
      <c r="AI677" s="12"/>
      <c r="AJ677" s="12"/>
      <c r="AK677" s="12"/>
      <c r="AL677" s="12"/>
      <c r="AM677" s="12"/>
      <c r="AN677" s="12"/>
      <c r="AO677" s="12"/>
      <c r="AP677" s="12"/>
      <c r="AQ677" s="12"/>
      <c r="AR677" s="12"/>
      <c r="AS677" s="12"/>
      <c r="AT677" s="12"/>
    </row>
    <row r="678" spans="1:46" x14ac:dyDescent="0.25">
      <c r="A678" s="12"/>
      <c r="B678" s="12"/>
      <c r="C678" s="12"/>
      <c r="D678" s="12"/>
      <c r="E678" s="12"/>
      <c r="F678" s="12"/>
      <c r="G678" s="12"/>
      <c r="H678" s="12"/>
      <c r="I678" s="21" t="str">
        <f>IF(COUNTA('[1]Virus production'!A664)=1,('[1]Virus production'!A664),"")</f>
        <v/>
      </c>
      <c r="J678" s="12"/>
      <c r="L678" s="12"/>
      <c r="M678" s="12"/>
      <c r="N678" s="12"/>
      <c r="O678" s="12"/>
      <c r="P678" s="12"/>
      <c r="Q678" s="12"/>
      <c r="R678" s="12"/>
      <c r="S678" s="12"/>
      <c r="T678" s="12"/>
      <c r="U678" s="12"/>
      <c r="V678" s="12"/>
      <c r="W678" s="12"/>
      <c r="X678" s="12"/>
      <c r="Y678" s="12"/>
      <c r="Z678" s="12"/>
      <c r="AA678" s="12"/>
      <c r="AB678" s="12"/>
      <c r="AD678" s="31"/>
      <c r="AE678" s="12"/>
      <c r="AF678" s="12"/>
      <c r="AG678" s="12"/>
      <c r="AH678" s="12"/>
      <c r="AI678" s="12"/>
      <c r="AJ678" s="12"/>
      <c r="AK678" s="12"/>
      <c r="AL678" s="12"/>
      <c r="AM678" s="12"/>
      <c r="AN678" s="12"/>
      <c r="AO678" s="12"/>
      <c r="AP678" s="12"/>
      <c r="AQ678" s="12"/>
      <c r="AR678" s="12"/>
      <c r="AS678" s="12"/>
      <c r="AT678" s="12"/>
    </row>
    <row r="679" spans="1:46" x14ac:dyDescent="0.25">
      <c r="A679" s="12"/>
      <c r="B679" s="12"/>
      <c r="C679" s="12"/>
      <c r="D679" s="12"/>
      <c r="E679" s="12"/>
      <c r="F679" s="12"/>
      <c r="G679" s="12"/>
      <c r="H679" s="12"/>
      <c r="I679" s="21" t="str">
        <f>IF(COUNTA('[1]Virus production'!A665)=1,('[1]Virus production'!A665),"")</f>
        <v/>
      </c>
      <c r="J679" s="12"/>
      <c r="L679" s="12"/>
      <c r="M679" s="12"/>
      <c r="N679" s="12"/>
      <c r="O679" s="12"/>
      <c r="P679" s="12"/>
      <c r="Q679" s="12"/>
      <c r="R679" s="12"/>
      <c r="S679" s="12"/>
      <c r="T679" s="12"/>
      <c r="U679" s="12"/>
      <c r="V679" s="12"/>
      <c r="W679" s="12"/>
      <c r="X679" s="12"/>
      <c r="Y679" s="12"/>
      <c r="Z679" s="12"/>
      <c r="AA679" s="12"/>
      <c r="AB679" s="12"/>
      <c r="AD679" s="31"/>
      <c r="AE679" s="12"/>
      <c r="AF679" s="12"/>
      <c r="AG679" s="12"/>
      <c r="AH679" s="12"/>
      <c r="AI679" s="12"/>
      <c r="AJ679" s="12"/>
      <c r="AK679" s="12"/>
      <c r="AL679" s="12"/>
      <c r="AM679" s="12"/>
      <c r="AN679" s="12"/>
      <c r="AO679" s="12"/>
      <c r="AP679" s="12"/>
      <c r="AQ679" s="12"/>
      <c r="AR679" s="12"/>
      <c r="AS679" s="12"/>
      <c r="AT679" s="12"/>
    </row>
    <row r="680" spans="1:46" x14ac:dyDescent="0.25">
      <c r="A680" s="12"/>
      <c r="B680" s="12"/>
      <c r="C680" s="12"/>
      <c r="D680" s="12"/>
      <c r="E680" s="12"/>
      <c r="F680" s="12"/>
      <c r="G680" s="12"/>
      <c r="H680" s="12"/>
      <c r="I680" s="21" t="str">
        <f>IF(COUNTA('[1]Virus production'!A666)=1,('[1]Virus production'!A666),"")</f>
        <v/>
      </c>
      <c r="J680" s="12"/>
      <c r="L680" s="12"/>
      <c r="M680" s="12"/>
      <c r="N680" s="12"/>
      <c r="O680" s="12"/>
      <c r="P680" s="12"/>
      <c r="Q680" s="12"/>
      <c r="R680" s="12"/>
      <c r="S680" s="12"/>
      <c r="T680" s="12"/>
      <c r="U680" s="12"/>
      <c r="V680" s="12"/>
      <c r="W680" s="12"/>
      <c r="X680" s="12"/>
      <c r="Y680" s="12"/>
      <c r="Z680" s="12"/>
      <c r="AA680" s="12"/>
      <c r="AB680" s="12"/>
      <c r="AD680" s="31"/>
      <c r="AE680" s="12"/>
      <c r="AF680" s="12"/>
      <c r="AG680" s="12"/>
      <c r="AH680" s="12"/>
      <c r="AI680" s="12"/>
      <c r="AJ680" s="12"/>
      <c r="AK680" s="12"/>
      <c r="AL680" s="12"/>
      <c r="AM680" s="12"/>
      <c r="AN680" s="12"/>
      <c r="AO680" s="12"/>
      <c r="AP680" s="12"/>
      <c r="AQ680" s="12"/>
      <c r="AR680" s="12"/>
      <c r="AS680" s="12"/>
      <c r="AT680" s="12"/>
    </row>
    <row r="681" spans="1:46" x14ac:dyDescent="0.25">
      <c r="A681" s="12"/>
      <c r="B681" s="12"/>
      <c r="C681" s="12"/>
      <c r="D681" s="12"/>
      <c r="E681" s="12"/>
      <c r="F681" s="12"/>
      <c r="G681" s="12"/>
      <c r="H681" s="12"/>
      <c r="I681" s="21" t="str">
        <f>IF(COUNTA('[1]Virus production'!A667)=1,('[1]Virus production'!A667),"")</f>
        <v/>
      </c>
      <c r="J681" s="12"/>
      <c r="L681" s="12"/>
      <c r="M681" s="12"/>
      <c r="N681" s="12"/>
      <c r="O681" s="12"/>
      <c r="P681" s="12"/>
      <c r="Q681" s="12"/>
      <c r="R681" s="12"/>
      <c r="S681" s="12"/>
      <c r="T681" s="12"/>
      <c r="U681" s="12"/>
      <c r="V681" s="12"/>
      <c r="W681" s="12"/>
      <c r="X681" s="12"/>
      <c r="Y681" s="12"/>
      <c r="Z681" s="12"/>
      <c r="AA681" s="12"/>
      <c r="AB681" s="12"/>
      <c r="AD681" s="31"/>
      <c r="AE681" s="12"/>
      <c r="AF681" s="12"/>
      <c r="AG681" s="12"/>
      <c r="AH681" s="12"/>
      <c r="AI681" s="12"/>
      <c r="AJ681" s="12"/>
      <c r="AK681" s="12"/>
      <c r="AL681" s="12"/>
      <c r="AM681" s="12"/>
      <c r="AN681" s="12"/>
      <c r="AO681" s="12"/>
      <c r="AP681" s="12"/>
      <c r="AQ681" s="12"/>
      <c r="AR681" s="12"/>
      <c r="AS681" s="12"/>
      <c r="AT681" s="12"/>
    </row>
    <row r="682" spans="1:46" x14ac:dyDescent="0.25">
      <c r="A682" s="12"/>
      <c r="B682" s="12"/>
      <c r="C682" s="12"/>
      <c r="D682" s="12"/>
      <c r="E682" s="12"/>
      <c r="F682" s="12"/>
      <c r="G682" s="12"/>
      <c r="H682" s="12"/>
      <c r="I682" s="21" t="str">
        <f>IF(COUNTA('[1]Virus production'!A668)=1,('[1]Virus production'!A668),"")</f>
        <v/>
      </c>
      <c r="J682" s="12"/>
      <c r="L682" s="12"/>
      <c r="M682" s="12"/>
      <c r="N682" s="12"/>
      <c r="O682" s="12"/>
      <c r="P682" s="12"/>
      <c r="Q682" s="12"/>
      <c r="R682" s="12"/>
      <c r="S682" s="12"/>
      <c r="T682" s="12"/>
      <c r="U682" s="12"/>
      <c r="V682" s="12"/>
      <c r="W682" s="12"/>
      <c r="X682" s="12"/>
      <c r="Y682" s="12"/>
      <c r="Z682" s="12"/>
      <c r="AA682" s="12"/>
      <c r="AB682" s="12"/>
      <c r="AD682" s="31"/>
      <c r="AE682" s="12"/>
      <c r="AF682" s="12"/>
      <c r="AG682" s="12"/>
      <c r="AH682" s="12"/>
      <c r="AI682" s="12"/>
      <c r="AJ682" s="12"/>
      <c r="AK682" s="12"/>
      <c r="AL682" s="12"/>
      <c r="AM682" s="12"/>
      <c r="AN682" s="12"/>
      <c r="AO682" s="12"/>
      <c r="AP682" s="12"/>
      <c r="AQ682" s="12"/>
      <c r="AR682" s="12"/>
      <c r="AS682" s="12"/>
      <c r="AT682" s="12"/>
    </row>
    <row r="683" spans="1:46" x14ac:dyDescent="0.25">
      <c r="A683" s="12"/>
      <c r="B683" s="12"/>
      <c r="C683" s="12"/>
      <c r="D683" s="12"/>
      <c r="E683" s="12"/>
      <c r="F683" s="12"/>
      <c r="G683" s="12"/>
      <c r="H683" s="12"/>
      <c r="I683" s="21" t="str">
        <f>IF(COUNTA('[1]Virus production'!A669)=1,('[1]Virus production'!A669),"")</f>
        <v/>
      </c>
      <c r="J683" s="12"/>
      <c r="L683" s="12"/>
      <c r="M683" s="12"/>
      <c r="N683" s="12"/>
      <c r="O683" s="12"/>
      <c r="P683" s="12"/>
      <c r="Q683" s="12"/>
      <c r="R683" s="12"/>
      <c r="S683" s="12"/>
      <c r="T683" s="12"/>
      <c r="U683" s="12"/>
      <c r="V683" s="12"/>
      <c r="W683" s="12"/>
      <c r="X683" s="12"/>
      <c r="Y683" s="12"/>
      <c r="Z683" s="12"/>
      <c r="AA683" s="12"/>
      <c r="AB683" s="12"/>
      <c r="AD683" s="31"/>
      <c r="AE683" s="12"/>
      <c r="AF683" s="12"/>
      <c r="AG683" s="12"/>
      <c r="AH683" s="12"/>
      <c r="AI683" s="12"/>
      <c r="AJ683" s="12"/>
      <c r="AK683" s="12"/>
      <c r="AL683" s="12"/>
      <c r="AM683" s="12"/>
      <c r="AN683" s="12"/>
      <c r="AO683" s="12"/>
      <c r="AP683" s="12"/>
      <c r="AQ683" s="12"/>
      <c r="AR683" s="12"/>
      <c r="AS683" s="12"/>
      <c r="AT683" s="12"/>
    </row>
    <row r="684" spans="1:46" x14ac:dyDescent="0.25">
      <c r="A684" s="12"/>
      <c r="B684" s="12"/>
      <c r="C684" s="12"/>
      <c r="D684" s="12"/>
      <c r="E684" s="12"/>
      <c r="F684" s="12"/>
      <c r="G684" s="12"/>
      <c r="H684" s="12"/>
      <c r="I684" s="21" t="str">
        <f>IF(COUNTA('[1]Virus production'!A670)=1,('[1]Virus production'!A670),"")</f>
        <v/>
      </c>
      <c r="J684" s="12"/>
      <c r="L684" s="12"/>
      <c r="M684" s="12"/>
      <c r="N684" s="12"/>
      <c r="O684" s="12"/>
      <c r="P684" s="12"/>
      <c r="Q684" s="12"/>
      <c r="R684" s="12"/>
      <c r="S684" s="12"/>
      <c r="T684" s="12"/>
      <c r="U684" s="12"/>
      <c r="V684" s="12"/>
      <c r="W684" s="12"/>
      <c r="X684" s="12"/>
      <c r="Y684" s="12"/>
      <c r="Z684" s="12"/>
      <c r="AA684" s="12"/>
      <c r="AB684" s="12"/>
      <c r="AD684" s="31"/>
      <c r="AE684" s="12"/>
      <c r="AF684" s="12"/>
      <c r="AG684" s="12"/>
      <c r="AH684" s="12"/>
      <c r="AI684" s="12"/>
      <c r="AJ684" s="12"/>
      <c r="AK684" s="12"/>
      <c r="AL684" s="12"/>
      <c r="AM684" s="12"/>
      <c r="AN684" s="12"/>
      <c r="AO684" s="12"/>
      <c r="AP684" s="12"/>
      <c r="AQ684" s="12"/>
      <c r="AR684" s="12"/>
      <c r="AS684" s="12"/>
      <c r="AT684" s="12"/>
    </row>
    <row r="685" spans="1:46" x14ac:dyDescent="0.25">
      <c r="A685" s="12"/>
      <c r="B685" s="12"/>
      <c r="C685" s="12"/>
      <c r="D685" s="12"/>
      <c r="E685" s="12"/>
      <c r="F685" s="12"/>
      <c r="G685" s="12"/>
      <c r="H685" s="12"/>
      <c r="I685" s="21" t="str">
        <f>IF(COUNTA('[1]Virus production'!A671)=1,('[1]Virus production'!A671),"")</f>
        <v/>
      </c>
      <c r="J685" s="12"/>
      <c r="L685" s="12"/>
      <c r="M685" s="12"/>
      <c r="N685" s="12"/>
      <c r="O685" s="12"/>
      <c r="P685" s="12"/>
      <c r="Q685" s="12"/>
      <c r="R685" s="12"/>
      <c r="S685" s="12"/>
      <c r="T685" s="12"/>
      <c r="U685" s="12"/>
      <c r="V685" s="12"/>
      <c r="W685" s="12"/>
      <c r="X685" s="12"/>
      <c r="Y685" s="12"/>
      <c r="Z685" s="12"/>
      <c r="AA685" s="12"/>
      <c r="AB685" s="12"/>
      <c r="AD685" s="31"/>
      <c r="AE685" s="12"/>
      <c r="AF685" s="12"/>
      <c r="AG685" s="12"/>
      <c r="AH685" s="12"/>
      <c r="AI685" s="12"/>
      <c r="AJ685" s="12"/>
      <c r="AK685" s="12"/>
      <c r="AL685" s="12"/>
      <c r="AM685" s="12"/>
      <c r="AN685" s="12"/>
      <c r="AO685" s="12"/>
      <c r="AP685" s="12"/>
      <c r="AQ685" s="12"/>
      <c r="AR685" s="12"/>
      <c r="AS685" s="12"/>
      <c r="AT685" s="12"/>
    </row>
    <row r="686" spans="1:46" x14ac:dyDescent="0.25">
      <c r="A686" s="12"/>
      <c r="B686" s="12"/>
      <c r="C686" s="12"/>
      <c r="D686" s="12"/>
      <c r="E686" s="12"/>
      <c r="F686" s="12"/>
      <c r="G686" s="12"/>
      <c r="H686" s="12"/>
      <c r="I686" s="21" t="str">
        <f>IF(COUNTA('[1]Virus production'!A672)=1,('[1]Virus production'!A672),"")</f>
        <v/>
      </c>
      <c r="J686" s="12"/>
      <c r="L686" s="12"/>
      <c r="M686" s="12"/>
      <c r="N686" s="12"/>
      <c r="O686" s="12"/>
      <c r="P686" s="12"/>
      <c r="Q686" s="12"/>
      <c r="R686" s="12"/>
      <c r="S686" s="12"/>
      <c r="T686" s="12"/>
      <c r="U686" s="12"/>
      <c r="V686" s="12"/>
      <c r="W686" s="12"/>
      <c r="X686" s="12"/>
      <c r="Y686" s="12"/>
      <c r="Z686" s="12"/>
      <c r="AA686" s="12"/>
      <c r="AB686" s="12"/>
      <c r="AD686" s="31"/>
      <c r="AE686" s="12"/>
      <c r="AF686" s="12"/>
      <c r="AG686" s="12"/>
      <c r="AH686" s="12"/>
      <c r="AI686" s="12"/>
      <c r="AJ686" s="12"/>
      <c r="AK686" s="12"/>
      <c r="AL686" s="12"/>
      <c r="AM686" s="12"/>
      <c r="AN686" s="12"/>
      <c r="AO686" s="12"/>
      <c r="AP686" s="12"/>
      <c r="AQ686" s="12"/>
      <c r="AR686" s="12"/>
      <c r="AS686" s="12"/>
      <c r="AT686" s="12"/>
    </row>
    <row r="687" spans="1:46" x14ac:dyDescent="0.25">
      <c r="A687" s="12"/>
      <c r="B687" s="12"/>
      <c r="C687" s="12"/>
      <c r="D687" s="12"/>
      <c r="E687" s="12"/>
      <c r="F687" s="12"/>
      <c r="G687" s="12"/>
      <c r="H687" s="12"/>
      <c r="I687" s="21" t="str">
        <f>IF(COUNTA('[1]Virus production'!A673)=1,('[1]Virus production'!A673),"")</f>
        <v/>
      </c>
      <c r="J687" s="12"/>
      <c r="L687" s="12"/>
      <c r="M687" s="12"/>
      <c r="N687" s="12"/>
      <c r="O687" s="12"/>
      <c r="P687" s="12"/>
      <c r="Q687" s="12"/>
      <c r="R687" s="12"/>
      <c r="S687" s="12"/>
      <c r="T687" s="12"/>
      <c r="U687" s="12"/>
      <c r="V687" s="12"/>
      <c r="W687" s="12"/>
      <c r="X687" s="12"/>
      <c r="Y687" s="12"/>
      <c r="Z687" s="12"/>
      <c r="AA687" s="12"/>
      <c r="AB687" s="12"/>
      <c r="AD687" s="31"/>
      <c r="AE687" s="12"/>
      <c r="AF687" s="12"/>
      <c r="AG687" s="12"/>
      <c r="AH687" s="12"/>
      <c r="AI687" s="12"/>
      <c r="AJ687" s="12"/>
      <c r="AK687" s="12"/>
      <c r="AL687" s="12"/>
      <c r="AM687" s="12"/>
      <c r="AN687" s="12"/>
      <c r="AO687" s="12"/>
      <c r="AP687" s="12"/>
      <c r="AQ687" s="12"/>
      <c r="AR687" s="12"/>
      <c r="AS687" s="12"/>
      <c r="AT687" s="12"/>
    </row>
    <row r="688" spans="1:46" x14ac:dyDescent="0.25">
      <c r="A688" s="12"/>
      <c r="B688" s="12"/>
      <c r="C688" s="12"/>
      <c r="D688" s="12"/>
      <c r="E688" s="12"/>
      <c r="F688" s="12"/>
      <c r="G688" s="12"/>
      <c r="H688" s="12"/>
      <c r="I688" s="21" t="str">
        <f>IF(COUNTA('[1]Virus production'!A674)=1,('[1]Virus production'!A674),"")</f>
        <v/>
      </c>
      <c r="J688" s="12"/>
      <c r="L688" s="12"/>
      <c r="M688" s="12"/>
      <c r="N688" s="12"/>
      <c r="O688" s="12"/>
      <c r="P688" s="12"/>
      <c r="Q688" s="12"/>
      <c r="R688" s="12"/>
      <c r="S688" s="12"/>
      <c r="T688" s="12"/>
      <c r="U688" s="12"/>
      <c r="V688" s="12"/>
      <c r="W688" s="12"/>
      <c r="X688" s="12"/>
      <c r="Y688" s="12"/>
      <c r="Z688" s="12"/>
      <c r="AA688" s="12"/>
      <c r="AB688" s="12"/>
      <c r="AD688" s="31"/>
      <c r="AE688" s="12"/>
      <c r="AF688" s="12"/>
      <c r="AG688" s="12"/>
      <c r="AH688" s="12"/>
      <c r="AI688" s="12"/>
      <c r="AJ688" s="12"/>
      <c r="AK688" s="12"/>
      <c r="AL688" s="12"/>
      <c r="AM688" s="12"/>
      <c r="AN688" s="12"/>
      <c r="AO688" s="12"/>
      <c r="AP688" s="12"/>
      <c r="AQ688" s="12"/>
      <c r="AR688" s="12"/>
      <c r="AS688" s="12"/>
      <c r="AT688" s="12"/>
    </row>
    <row r="689" spans="1:46" x14ac:dyDescent="0.25">
      <c r="A689" s="12"/>
      <c r="B689" s="12"/>
      <c r="C689" s="12"/>
      <c r="D689" s="12"/>
      <c r="E689" s="12"/>
      <c r="F689" s="12"/>
      <c r="G689" s="12"/>
      <c r="H689" s="12"/>
      <c r="I689" s="21" t="str">
        <f>IF(COUNTA('[1]Virus production'!A675)=1,('[1]Virus production'!A675),"")</f>
        <v/>
      </c>
      <c r="J689" s="12"/>
      <c r="L689" s="12"/>
      <c r="M689" s="12"/>
      <c r="N689" s="12"/>
      <c r="O689" s="12"/>
      <c r="P689" s="12"/>
      <c r="Q689" s="12"/>
      <c r="R689" s="12"/>
      <c r="S689" s="12"/>
      <c r="T689" s="12"/>
      <c r="U689" s="12"/>
      <c r="V689" s="12"/>
      <c r="W689" s="12"/>
      <c r="X689" s="12"/>
      <c r="Y689" s="12"/>
      <c r="Z689" s="12"/>
      <c r="AA689" s="12"/>
      <c r="AB689" s="12"/>
      <c r="AD689" s="31"/>
      <c r="AE689" s="12"/>
      <c r="AF689" s="12"/>
      <c r="AG689" s="12"/>
      <c r="AH689" s="12"/>
      <c r="AI689" s="12"/>
      <c r="AJ689" s="12"/>
      <c r="AK689" s="12"/>
      <c r="AL689" s="12"/>
      <c r="AM689" s="12"/>
      <c r="AN689" s="12"/>
      <c r="AO689" s="12"/>
      <c r="AP689" s="12"/>
      <c r="AQ689" s="12"/>
      <c r="AR689" s="12"/>
      <c r="AS689" s="12"/>
      <c r="AT689" s="12"/>
    </row>
    <row r="690" spans="1:46" x14ac:dyDescent="0.25">
      <c r="A690" s="12"/>
      <c r="B690" s="12"/>
      <c r="C690" s="12"/>
      <c r="D690" s="12"/>
      <c r="E690" s="12"/>
      <c r="F690" s="12"/>
      <c r="G690" s="12"/>
      <c r="H690" s="12"/>
      <c r="I690" s="21" t="str">
        <f>IF(COUNTA('[1]Virus production'!A676)=1,('[1]Virus production'!A676),"")</f>
        <v/>
      </c>
      <c r="J690" s="12"/>
      <c r="L690" s="12"/>
      <c r="M690" s="12"/>
      <c r="N690" s="12"/>
      <c r="O690" s="12"/>
      <c r="P690" s="12"/>
      <c r="Q690" s="12"/>
      <c r="R690" s="12"/>
      <c r="S690" s="12"/>
      <c r="T690" s="12"/>
      <c r="U690" s="12"/>
      <c r="V690" s="12"/>
      <c r="W690" s="12"/>
      <c r="X690" s="12"/>
      <c r="Y690" s="12"/>
      <c r="Z690" s="12"/>
      <c r="AA690" s="12"/>
      <c r="AB690" s="12"/>
      <c r="AD690" s="31"/>
      <c r="AE690" s="12"/>
      <c r="AF690" s="12"/>
      <c r="AG690" s="12"/>
      <c r="AH690" s="12"/>
      <c r="AI690" s="12"/>
      <c r="AJ690" s="12"/>
      <c r="AK690" s="12"/>
      <c r="AL690" s="12"/>
      <c r="AM690" s="12"/>
      <c r="AN690" s="12"/>
      <c r="AO690" s="12"/>
      <c r="AP690" s="12"/>
      <c r="AQ690" s="12"/>
      <c r="AR690" s="12"/>
      <c r="AS690" s="12"/>
      <c r="AT690" s="12"/>
    </row>
    <row r="691" spans="1:46" x14ac:dyDescent="0.25">
      <c r="A691" s="12"/>
      <c r="B691" s="12"/>
      <c r="C691" s="12"/>
      <c r="D691" s="12"/>
      <c r="E691" s="12"/>
      <c r="F691" s="12"/>
      <c r="G691" s="12"/>
      <c r="H691" s="12"/>
      <c r="I691" s="21" t="str">
        <f>IF(COUNTA('[1]Virus production'!A677)=1,('[1]Virus production'!A677),"")</f>
        <v/>
      </c>
      <c r="J691" s="12"/>
      <c r="L691" s="12"/>
      <c r="M691" s="12"/>
      <c r="N691" s="12"/>
      <c r="O691" s="12"/>
      <c r="P691" s="12"/>
      <c r="Q691" s="12"/>
      <c r="R691" s="12"/>
      <c r="S691" s="12"/>
      <c r="T691" s="12"/>
      <c r="U691" s="12"/>
      <c r="V691" s="12"/>
      <c r="W691" s="12"/>
      <c r="X691" s="12"/>
      <c r="Y691" s="12"/>
      <c r="Z691" s="12"/>
      <c r="AA691" s="12"/>
      <c r="AB691" s="12"/>
      <c r="AD691" s="31"/>
      <c r="AE691" s="12"/>
      <c r="AF691" s="12"/>
      <c r="AG691" s="12"/>
      <c r="AH691" s="12"/>
      <c r="AI691" s="12"/>
      <c r="AJ691" s="12"/>
      <c r="AK691" s="12"/>
      <c r="AL691" s="12"/>
      <c r="AM691" s="12"/>
      <c r="AN691" s="12"/>
      <c r="AO691" s="12"/>
      <c r="AP691" s="12"/>
      <c r="AQ691" s="12"/>
      <c r="AR691" s="12"/>
      <c r="AS691" s="12"/>
      <c r="AT691" s="12"/>
    </row>
    <row r="692" spans="1:46" x14ac:dyDescent="0.25">
      <c r="A692" s="12"/>
      <c r="B692" s="12"/>
      <c r="C692" s="12"/>
      <c r="D692" s="12"/>
      <c r="E692" s="12"/>
      <c r="F692" s="12"/>
      <c r="G692" s="12"/>
      <c r="H692" s="12"/>
      <c r="I692" s="21" t="str">
        <f>IF(COUNTA('[1]Virus production'!A678)=1,('[1]Virus production'!A678),"")</f>
        <v/>
      </c>
      <c r="J692" s="12"/>
      <c r="L692" s="12"/>
      <c r="M692" s="12"/>
      <c r="N692" s="12"/>
      <c r="O692" s="12"/>
      <c r="P692" s="12"/>
      <c r="Q692" s="12"/>
      <c r="R692" s="12"/>
      <c r="S692" s="12"/>
      <c r="T692" s="12"/>
      <c r="U692" s="12"/>
      <c r="V692" s="12"/>
      <c r="W692" s="12"/>
      <c r="X692" s="12"/>
      <c r="Y692" s="12"/>
      <c r="Z692" s="12"/>
      <c r="AA692" s="12"/>
      <c r="AB692" s="12"/>
      <c r="AD692" s="12"/>
      <c r="AE692" s="12"/>
      <c r="AF692" s="12"/>
      <c r="AG692" s="12"/>
      <c r="AH692" s="12"/>
      <c r="AI692" s="12"/>
      <c r="AJ692" s="12"/>
      <c r="AK692" s="12"/>
      <c r="AL692" s="12"/>
      <c r="AM692" s="12"/>
      <c r="AN692" s="12"/>
      <c r="AO692" s="12"/>
      <c r="AP692" s="12"/>
      <c r="AQ692" s="12"/>
      <c r="AR692" s="12"/>
      <c r="AS692" s="12"/>
      <c r="AT692" s="12"/>
    </row>
    <row r="693" spans="1:46" x14ac:dyDescent="0.25">
      <c r="A693" s="12"/>
      <c r="B693" s="12"/>
      <c r="C693" s="12"/>
      <c r="D693" s="12"/>
      <c r="E693" s="12"/>
      <c r="F693" s="12"/>
      <c r="G693" s="12"/>
      <c r="H693" s="12"/>
      <c r="I693" s="21" t="str">
        <f>IF(COUNTA('[1]Virus production'!A679)=1,('[1]Virus production'!A679),"")</f>
        <v/>
      </c>
      <c r="J693" s="12"/>
      <c r="L693" s="12"/>
      <c r="M693" s="12"/>
      <c r="N693" s="12"/>
      <c r="O693" s="12"/>
      <c r="P693" s="12"/>
      <c r="Q693" s="12"/>
      <c r="R693" s="12"/>
      <c r="S693" s="12"/>
      <c r="T693" s="12"/>
      <c r="U693" s="12"/>
      <c r="V693" s="12"/>
      <c r="W693" s="12"/>
      <c r="X693" s="12"/>
      <c r="Y693" s="12"/>
      <c r="Z693" s="12"/>
      <c r="AA693" s="12"/>
      <c r="AB693" s="12"/>
      <c r="AD693" s="12"/>
      <c r="AE693" s="12"/>
      <c r="AF693" s="12"/>
      <c r="AG693" s="12"/>
      <c r="AH693" s="12"/>
      <c r="AI693" s="12"/>
      <c r="AJ693" s="12"/>
      <c r="AK693" s="12"/>
      <c r="AL693" s="12"/>
      <c r="AM693" s="12"/>
      <c r="AN693" s="12"/>
      <c r="AO693" s="12"/>
      <c r="AP693" s="12"/>
      <c r="AQ693" s="12"/>
      <c r="AR693" s="12"/>
      <c r="AS693" s="12"/>
      <c r="AT693" s="12"/>
    </row>
    <row r="694" spans="1:46" x14ac:dyDescent="0.25">
      <c r="A694" s="12"/>
      <c r="B694" s="12"/>
      <c r="C694" s="12"/>
      <c r="D694" s="12"/>
      <c r="E694" s="12"/>
      <c r="F694" s="12"/>
      <c r="G694" s="12"/>
      <c r="H694" s="12"/>
      <c r="I694" s="21" t="str">
        <f>IF(COUNTA('[1]Virus production'!A680)=1,('[1]Virus production'!A680),"")</f>
        <v/>
      </c>
      <c r="J694" s="12"/>
      <c r="L694" s="12"/>
      <c r="M694" s="12"/>
      <c r="N694" s="12"/>
      <c r="O694" s="12"/>
      <c r="P694" s="12"/>
      <c r="Q694" s="12"/>
      <c r="R694" s="12"/>
      <c r="S694" s="12"/>
      <c r="T694" s="12"/>
      <c r="U694" s="12"/>
      <c r="V694" s="12"/>
      <c r="W694" s="12"/>
      <c r="X694" s="12"/>
      <c r="Y694" s="12"/>
      <c r="Z694" s="12"/>
      <c r="AA694" s="12"/>
      <c r="AB694" s="12"/>
      <c r="AD694" s="12"/>
      <c r="AE694" s="12"/>
      <c r="AF694" s="12"/>
      <c r="AG694" s="12"/>
      <c r="AH694" s="12"/>
      <c r="AI694" s="12"/>
      <c r="AJ694" s="12"/>
      <c r="AK694" s="12"/>
      <c r="AL694" s="12"/>
      <c r="AM694" s="12"/>
      <c r="AN694" s="12"/>
      <c r="AO694" s="12"/>
      <c r="AP694" s="12"/>
      <c r="AQ694" s="12"/>
      <c r="AR694" s="12"/>
      <c r="AS694" s="12"/>
      <c r="AT694" s="12"/>
    </row>
    <row r="695" spans="1:46" x14ac:dyDescent="0.25">
      <c r="A695" s="12"/>
      <c r="B695" s="12"/>
      <c r="C695" s="12"/>
      <c r="D695" s="12"/>
      <c r="E695" s="12"/>
      <c r="F695" s="12"/>
      <c r="G695" s="12"/>
      <c r="H695" s="12"/>
      <c r="I695" s="21" t="str">
        <f>IF(COUNTA('[1]Virus production'!A681)=1,('[1]Virus production'!A681),"")</f>
        <v/>
      </c>
      <c r="J695" s="12"/>
      <c r="L695" s="12"/>
      <c r="M695" s="12"/>
      <c r="N695" s="12"/>
      <c r="O695" s="12"/>
      <c r="P695" s="12"/>
      <c r="Q695" s="12"/>
      <c r="R695" s="12"/>
      <c r="S695" s="12"/>
      <c r="T695" s="12"/>
      <c r="U695" s="12"/>
      <c r="V695" s="12"/>
      <c r="W695" s="12"/>
      <c r="X695" s="12"/>
      <c r="Y695" s="12"/>
      <c r="Z695" s="12"/>
      <c r="AA695" s="12"/>
      <c r="AB695" s="12"/>
      <c r="AD695" s="12"/>
      <c r="AE695" s="12"/>
      <c r="AF695" s="12"/>
      <c r="AG695" s="12"/>
      <c r="AH695" s="12"/>
      <c r="AI695" s="12"/>
      <c r="AJ695" s="12"/>
      <c r="AK695" s="12"/>
      <c r="AL695" s="12"/>
      <c r="AM695" s="12"/>
      <c r="AN695" s="12"/>
      <c r="AO695" s="12"/>
      <c r="AP695" s="12"/>
      <c r="AQ695" s="12"/>
      <c r="AR695" s="12"/>
      <c r="AS695" s="12"/>
      <c r="AT695" s="12"/>
    </row>
    <row r="696" spans="1:46" x14ac:dyDescent="0.25">
      <c r="A696" s="12"/>
      <c r="B696" s="12"/>
      <c r="C696" s="12"/>
      <c r="D696" s="12"/>
      <c r="E696" s="12"/>
      <c r="F696" s="12"/>
      <c r="G696" s="12"/>
      <c r="H696" s="12"/>
      <c r="I696" s="21" t="str">
        <f>IF(COUNTA('[1]Virus production'!A682)=1,('[1]Virus production'!A682),"")</f>
        <v/>
      </c>
      <c r="J696" s="12"/>
      <c r="L696" s="12"/>
      <c r="M696" s="12"/>
      <c r="N696" s="12"/>
      <c r="O696" s="12"/>
      <c r="P696" s="12"/>
      <c r="Q696" s="12"/>
      <c r="R696" s="12"/>
      <c r="S696" s="12"/>
      <c r="T696" s="12"/>
      <c r="U696" s="12"/>
      <c r="V696" s="12"/>
      <c r="W696" s="12"/>
      <c r="X696" s="12"/>
      <c r="Y696" s="12"/>
      <c r="Z696" s="12"/>
      <c r="AA696" s="12"/>
      <c r="AB696" s="12"/>
      <c r="AD696" s="12"/>
      <c r="AE696" s="12"/>
      <c r="AF696" s="12"/>
      <c r="AG696" s="12"/>
      <c r="AH696" s="12"/>
      <c r="AI696" s="12"/>
      <c r="AJ696" s="12"/>
      <c r="AK696" s="12"/>
      <c r="AL696" s="12"/>
      <c r="AM696" s="12"/>
      <c r="AN696" s="12"/>
      <c r="AO696" s="12"/>
      <c r="AP696" s="12"/>
      <c r="AQ696" s="12"/>
      <c r="AR696" s="12"/>
      <c r="AS696" s="12"/>
      <c r="AT696" s="12"/>
    </row>
    <row r="697" spans="1:46" x14ac:dyDescent="0.25">
      <c r="A697" s="12"/>
      <c r="B697" s="12"/>
      <c r="C697" s="12"/>
      <c r="D697" s="12"/>
      <c r="E697" s="12"/>
      <c r="F697" s="12"/>
      <c r="G697" s="12"/>
      <c r="H697" s="12"/>
      <c r="I697" s="21" t="str">
        <f>IF(COUNTA('[1]Virus production'!A683)=1,('[1]Virus production'!A683),"")</f>
        <v/>
      </c>
      <c r="J697" s="12"/>
      <c r="L697" s="12"/>
      <c r="M697" s="12"/>
      <c r="N697" s="12"/>
      <c r="O697" s="12"/>
      <c r="P697" s="12"/>
      <c r="Q697" s="12"/>
      <c r="R697" s="12"/>
      <c r="S697" s="12"/>
      <c r="T697" s="12"/>
      <c r="U697" s="12"/>
      <c r="V697" s="12"/>
      <c r="W697" s="12"/>
      <c r="X697" s="12"/>
      <c r="Y697" s="12"/>
      <c r="Z697" s="12"/>
      <c r="AA697" s="12"/>
      <c r="AB697" s="12"/>
      <c r="AD697" s="12"/>
      <c r="AE697" s="12"/>
      <c r="AF697" s="12"/>
      <c r="AG697" s="12"/>
      <c r="AH697" s="12"/>
      <c r="AI697" s="12"/>
      <c r="AJ697" s="12"/>
      <c r="AK697" s="12"/>
      <c r="AL697" s="12"/>
      <c r="AM697" s="12"/>
      <c r="AN697" s="12"/>
      <c r="AO697" s="12"/>
      <c r="AP697" s="12"/>
      <c r="AQ697" s="12"/>
      <c r="AR697" s="12"/>
      <c r="AS697" s="12"/>
      <c r="AT697" s="12"/>
    </row>
    <row r="698" spans="1:46" x14ac:dyDescent="0.25">
      <c r="A698" s="12"/>
      <c r="B698" s="12"/>
      <c r="C698" s="12"/>
      <c r="D698" s="12"/>
      <c r="E698" s="12"/>
      <c r="F698" s="12"/>
      <c r="G698" s="12"/>
      <c r="H698" s="12"/>
      <c r="I698" s="21" t="str">
        <f>IF(COUNTA('[1]Virus production'!A684)=1,('[1]Virus production'!A684),"")</f>
        <v/>
      </c>
      <c r="J698" s="12"/>
      <c r="L698" s="12"/>
      <c r="M698" s="12"/>
      <c r="N698" s="12"/>
      <c r="O698" s="12"/>
      <c r="P698" s="12"/>
      <c r="Q698" s="12"/>
      <c r="R698" s="12"/>
      <c r="S698" s="12"/>
      <c r="T698" s="12"/>
      <c r="U698" s="12"/>
      <c r="V698" s="12"/>
      <c r="W698" s="12"/>
      <c r="X698" s="12"/>
      <c r="Y698" s="12"/>
      <c r="Z698" s="12"/>
      <c r="AA698" s="12"/>
      <c r="AB698" s="12"/>
      <c r="AD698" s="12"/>
      <c r="AE698" s="12"/>
      <c r="AF698" s="12"/>
      <c r="AG698" s="12"/>
      <c r="AH698" s="12"/>
      <c r="AI698" s="12"/>
      <c r="AJ698" s="12"/>
      <c r="AK698" s="12"/>
      <c r="AL698" s="12"/>
      <c r="AM698" s="12"/>
      <c r="AN698" s="12"/>
      <c r="AO698" s="12"/>
      <c r="AP698" s="12"/>
      <c r="AQ698" s="12"/>
      <c r="AR698" s="12"/>
      <c r="AS698" s="12"/>
      <c r="AT698" s="12"/>
    </row>
    <row r="699" spans="1:46" x14ac:dyDescent="0.25">
      <c r="A699" s="12"/>
      <c r="B699" s="12"/>
      <c r="C699" s="12"/>
      <c r="D699" s="12"/>
      <c r="E699" s="12"/>
      <c r="F699" s="12"/>
      <c r="G699" s="12"/>
      <c r="H699" s="12"/>
      <c r="I699" s="21" t="str">
        <f>IF(COUNTA('[1]Virus production'!A685)=1,('[1]Virus production'!A685),"")</f>
        <v/>
      </c>
      <c r="J699" s="12"/>
      <c r="L699" s="12"/>
      <c r="M699" s="12"/>
      <c r="N699" s="12"/>
      <c r="O699" s="12"/>
      <c r="P699" s="12"/>
      <c r="Q699" s="12"/>
      <c r="R699" s="12"/>
      <c r="S699" s="12"/>
      <c r="T699" s="12"/>
      <c r="U699" s="12"/>
      <c r="V699" s="12"/>
      <c r="W699" s="12"/>
      <c r="X699" s="12"/>
      <c r="Y699" s="12"/>
      <c r="Z699" s="12"/>
      <c r="AA699" s="12"/>
      <c r="AB699" s="12"/>
      <c r="AD699" s="12"/>
      <c r="AE699" s="12"/>
      <c r="AF699" s="12"/>
      <c r="AG699" s="12"/>
      <c r="AH699" s="12"/>
      <c r="AI699" s="12"/>
      <c r="AJ699" s="12"/>
      <c r="AK699" s="12"/>
      <c r="AL699" s="12"/>
      <c r="AM699" s="12"/>
      <c r="AN699" s="12"/>
      <c r="AO699" s="12"/>
      <c r="AP699" s="12"/>
      <c r="AQ699" s="12"/>
      <c r="AR699" s="12"/>
      <c r="AS699" s="12"/>
      <c r="AT699" s="12"/>
    </row>
    <row r="700" spans="1:46" x14ac:dyDescent="0.25">
      <c r="A700" s="12"/>
      <c r="B700" s="12"/>
      <c r="C700" s="12"/>
      <c r="D700" s="12"/>
      <c r="E700" s="12"/>
      <c r="F700" s="12"/>
      <c r="G700" s="12"/>
      <c r="H700" s="12"/>
      <c r="I700" s="21" t="str">
        <f>IF(COUNTA('[1]Virus production'!A686)=1,('[1]Virus production'!A686),"")</f>
        <v/>
      </c>
      <c r="J700" s="12"/>
      <c r="L700" s="12"/>
      <c r="M700" s="12"/>
      <c r="N700" s="12"/>
      <c r="O700" s="12"/>
      <c r="P700" s="12"/>
      <c r="Q700" s="12"/>
      <c r="R700" s="12"/>
      <c r="S700" s="12"/>
      <c r="T700" s="12"/>
      <c r="U700" s="12"/>
      <c r="V700" s="12"/>
      <c r="W700" s="12"/>
      <c r="X700" s="12"/>
      <c r="Y700" s="12"/>
      <c r="Z700" s="12"/>
      <c r="AA700" s="12"/>
      <c r="AB700" s="12"/>
      <c r="AD700" s="12"/>
      <c r="AE700" s="12"/>
      <c r="AF700" s="12"/>
      <c r="AG700" s="12"/>
      <c r="AH700" s="12"/>
      <c r="AI700" s="12"/>
      <c r="AJ700" s="12"/>
      <c r="AK700" s="12"/>
      <c r="AL700" s="12"/>
      <c r="AM700" s="12"/>
      <c r="AN700" s="12"/>
      <c r="AO700" s="12"/>
      <c r="AP700" s="12"/>
      <c r="AQ700" s="12"/>
      <c r="AR700" s="12"/>
      <c r="AS700" s="12"/>
      <c r="AT700" s="12"/>
    </row>
    <row r="701" spans="1:46" x14ac:dyDescent="0.25">
      <c r="A701" s="12"/>
      <c r="B701" s="12"/>
      <c r="C701" s="12"/>
      <c r="D701" s="12"/>
      <c r="E701" s="12"/>
      <c r="F701" s="12"/>
      <c r="G701" s="12"/>
      <c r="H701" s="12"/>
      <c r="I701" s="21" t="str">
        <f>IF(COUNTA('[1]Virus production'!A687)=1,('[1]Virus production'!A687),"")</f>
        <v/>
      </c>
      <c r="J701" s="12"/>
      <c r="L701" s="12"/>
      <c r="M701" s="12"/>
      <c r="N701" s="12"/>
      <c r="O701" s="12"/>
      <c r="P701" s="12"/>
      <c r="Q701" s="12"/>
      <c r="R701" s="12"/>
      <c r="S701" s="12"/>
      <c r="T701" s="12"/>
      <c r="U701" s="12"/>
      <c r="V701" s="12"/>
      <c r="W701" s="12"/>
      <c r="X701" s="12"/>
      <c r="Y701" s="12"/>
      <c r="Z701" s="12"/>
      <c r="AA701" s="12"/>
      <c r="AB701" s="12"/>
      <c r="AD701" s="12"/>
      <c r="AE701" s="12"/>
      <c r="AF701" s="12"/>
      <c r="AG701" s="12"/>
      <c r="AH701" s="12"/>
      <c r="AI701" s="12"/>
      <c r="AJ701" s="12"/>
      <c r="AK701" s="12"/>
      <c r="AL701" s="12"/>
      <c r="AM701" s="12"/>
      <c r="AN701" s="12"/>
      <c r="AO701" s="12"/>
      <c r="AP701" s="12"/>
      <c r="AQ701" s="12"/>
      <c r="AR701" s="12"/>
      <c r="AS701" s="12"/>
      <c r="AT701" s="12"/>
    </row>
    <row r="702" spans="1:46" x14ac:dyDescent="0.25">
      <c r="A702" s="12"/>
      <c r="B702" s="12"/>
      <c r="C702" s="12"/>
      <c r="D702" s="12"/>
      <c r="E702" s="12"/>
      <c r="F702" s="12"/>
      <c r="G702" s="12"/>
      <c r="H702" s="12"/>
      <c r="I702" s="21" t="str">
        <f>IF(COUNTA('[1]Virus production'!A688)=1,('[1]Virus production'!A688),"")</f>
        <v/>
      </c>
      <c r="J702" s="12"/>
      <c r="L702" s="12"/>
      <c r="M702" s="12"/>
      <c r="N702" s="12"/>
      <c r="O702" s="12"/>
      <c r="P702" s="12"/>
      <c r="Q702" s="12"/>
      <c r="R702" s="12"/>
      <c r="S702" s="12"/>
      <c r="T702" s="12"/>
      <c r="U702" s="12"/>
      <c r="V702" s="12"/>
      <c r="W702" s="12"/>
      <c r="X702" s="12"/>
      <c r="Y702" s="12"/>
      <c r="Z702" s="12"/>
      <c r="AA702" s="12"/>
      <c r="AB702" s="12"/>
      <c r="AD702" s="12"/>
      <c r="AE702" s="12"/>
      <c r="AF702" s="12"/>
      <c r="AG702" s="12"/>
      <c r="AH702" s="12"/>
      <c r="AI702" s="12"/>
      <c r="AJ702" s="12"/>
      <c r="AK702" s="12"/>
      <c r="AL702" s="12"/>
      <c r="AM702" s="12"/>
      <c r="AN702" s="12"/>
      <c r="AO702" s="12"/>
      <c r="AP702" s="12"/>
      <c r="AQ702" s="12"/>
      <c r="AR702" s="12"/>
      <c r="AS702" s="12"/>
      <c r="AT702" s="12"/>
    </row>
    <row r="703" spans="1:46" x14ac:dyDescent="0.25">
      <c r="A703" s="12"/>
      <c r="B703" s="12"/>
      <c r="C703" s="12"/>
      <c r="D703" s="12"/>
      <c r="E703" s="12"/>
      <c r="F703" s="12"/>
      <c r="G703" s="12"/>
      <c r="H703" s="12"/>
      <c r="I703" s="21" t="str">
        <f>IF(COUNTA('[1]Virus production'!A689)=1,('[1]Virus production'!A689),"")</f>
        <v/>
      </c>
      <c r="J703" s="12"/>
      <c r="L703" s="12"/>
      <c r="M703" s="12"/>
      <c r="N703" s="12"/>
      <c r="O703" s="12"/>
      <c r="P703" s="12"/>
      <c r="Q703" s="12"/>
      <c r="R703" s="12"/>
      <c r="S703" s="12"/>
      <c r="T703" s="12"/>
      <c r="U703" s="12"/>
      <c r="V703" s="12"/>
      <c r="W703" s="12"/>
      <c r="X703" s="12"/>
      <c r="Y703" s="12"/>
      <c r="Z703" s="12"/>
      <c r="AA703" s="12"/>
      <c r="AB703" s="12"/>
      <c r="AD703" s="12"/>
      <c r="AE703" s="12"/>
      <c r="AF703" s="12"/>
      <c r="AG703" s="12"/>
      <c r="AH703" s="12"/>
      <c r="AI703" s="12"/>
      <c r="AJ703" s="12"/>
      <c r="AK703" s="12"/>
      <c r="AL703" s="12"/>
      <c r="AM703" s="12"/>
      <c r="AN703" s="12"/>
      <c r="AO703" s="12"/>
      <c r="AP703" s="12"/>
      <c r="AQ703" s="12"/>
      <c r="AR703" s="12"/>
      <c r="AS703" s="12"/>
      <c r="AT703" s="12"/>
    </row>
    <row r="704" spans="1:46" x14ac:dyDescent="0.25">
      <c r="A704" s="12"/>
      <c r="B704" s="12"/>
      <c r="C704" s="12"/>
      <c r="D704" s="12"/>
      <c r="E704" s="12"/>
      <c r="F704" s="12"/>
      <c r="G704" s="12"/>
      <c r="H704" s="12"/>
      <c r="I704" s="21" t="str">
        <f>IF(COUNTA('[1]Virus production'!A690)=1,('[1]Virus production'!A690),"")</f>
        <v/>
      </c>
      <c r="J704" s="12"/>
      <c r="L704" s="12"/>
      <c r="M704" s="12"/>
      <c r="N704" s="12"/>
      <c r="O704" s="12"/>
      <c r="P704" s="12"/>
      <c r="Q704" s="12"/>
      <c r="R704" s="12"/>
      <c r="S704" s="12"/>
      <c r="T704" s="12"/>
      <c r="U704" s="12"/>
      <c r="V704" s="12"/>
      <c r="W704" s="12"/>
      <c r="X704" s="12"/>
      <c r="Y704" s="12"/>
      <c r="Z704" s="12"/>
      <c r="AA704" s="12"/>
      <c r="AB704" s="12"/>
      <c r="AD704" s="12"/>
      <c r="AE704" s="12"/>
      <c r="AF704" s="12"/>
      <c r="AG704" s="12"/>
      <c r="AH704" s="12"/>
      <c r="AI704" s="12"/>
      <c r="AJ704" s="12"/>
      <c r="AK704" s="12"/>
      <c r="AL704" s="12"/>
      <c r="AM704" s="12"/>
      <c r="AN704" s="12"/>
      <c r="AO704" s="12"/>
      <c r="AP704" s="12"/>
      <c r="AQ704" s="12"/>
      <c r="AR704" s="12"/>
      <c r="AS704" s="12"/>
      <c r="AT704" s="12"/>
    </row>
    <row r="705" spans="1:46" x14ac:dyDescent="0.25">
      <c r="A705" s="12"/>
      <c r="B705" s="12"/>
      <c r="C705" s="12"/>
      <c r="D705" s="12"/>
      <c r="E705" s="12"/>
      <c r="F705" s="12"/>
      <c r="G705" s="12"/>
      <c r="H705" s="12"/>
      <c r="I705" s="21" t="str">
        <f>IF(COUNTA('[1]Virus production'!A691)=1,('[1]Virus production'!A691),"")</f>
        <v/>
      </c>
      <c r="J705" s="12"/>
      <c r="L705" s="12"/>
      <c r="M705" s="12"/>
      <c r="N705" s="12"/>
      <c r="O705" s="12"/>
      <c r="P705" s="12"/>
      <c r="Q705" s="12"/>
      <c r="R705" s="12"/>
      <c r="S705" s="12"/>
      <c r="T705" s="12"/>
      <c r="U705" s="12"/>
      <c r="V705" s="12"/>
      <c r="W705" s="12"/>
      <c r="X705" s="12"/>
      <c r="Y705" s="12"/>
      <c r="Z705" s="12"/>
      <c r="AA705" s="12"/>
      <c r="AB705" s="12"/>
      <c r="AD705" s="12"/>
      <c r="AE705" s="12"/>
      <c r="AF705" s="12"/>
      <c r="AG705" s="12"/>
      <c r="AH705" s="12"/>
      <c r="AI705" s="12"/>
      <c r="AJ705" s="12"/>
      <c r="AK705" s="12"/>
      <c r="AL705" s="12"/>
      <c r="AM705" s="12"/>
      <c r="AN705" s="12"/>
      <c r="AO705" s="12"/>
      <c r="AP705" s="12"/>
      <c r="AQ705" s="12"/>
      <c r="AR705" s="12"/>
      <c r="AS705" s="12"/>
      <c r="AT705" s="12"/>
    </row>
    <row r="706" spans="1:46" x14ac:dyDescent="0.25">
      <c r="A706" s="12"/>
      <c r="B706" s="12"/>
      <c r="C706" s="12"/>
      <c r="D706" s="12"/>
      <c r="E706" s="12"/>
      <c r="F706" s="12"/>
      <c r="G706" s="12"/>
      <c r="H706" s="12"/>
      <c r="I706" s="21" t="str">
        <f>IF(COUNTA('[1]Virus production'!A692)=1,('[1]Virus production'!A692),"")</f>
        <v/>
      </c>
      <c r="J706" s="12"/>
      <c r="L706" s="12"/>
      <c r="M706" s="12"/>
      <c r="N706" s="12"/>
      <c r="O706" s="12"/>
      <c r="P706" s="12"/>
      <c r="Q706" s="12"/>
      <c r="R706" s="12"/>
      <c r="S706" s="12"/>
      <c r="T706" s="12"/>
      <c r="U706" s="12"/>
      <c r="V706" s="12"/>
      <c r="W706" s="12"/>
      <c r="X706" s="12"/>
      <c r="Y706" s="12"/>
      <c r="Z706" s="12"/>
      <c r="AA706" s="12"/>
      <c r="AB706" s="12"/>
      <c r="AD706" s="12"/>
      <c r="AE706" s="12"/>
      <c r="AF706" s="12"/>
      <c r="AG706" s="12"/>
      <c r="AH706" s="12"/>
      <c r="AI706" s="12"/>
      <c r="AJ706" s="12"/>
      <c r="AK706" s="12"/>
      <c r="AL706" s="12"/>
      <c r="AM706" s="12"/>
      <c r="AN706" s="12"/>
      <c r="AO706" s="12"/>
      <c r="AP706" s="12"/>
      <c r="AQ706" s="12"/>
      <c r="AR706" s="12"/>
      <c r="AS706" s="12"/>
      <c r="AT706" s="12"/>
    </row>
    <row r="707" spans="1:46" x14ac:dyDescent="0.25">
      <c r="A707" s="12"/>
      <c r="B707" s="12"/>
      <c r="C707" s="12"/>
      <c r="D707" s="12"/>
      <c r="E707" s="12"/>
      <c r="F707" s="12"/>
      <c r="G707" s="12"/>
      <c r="H707" s="12"/>
      <c r="I707" s="21" t="str">
        <f>IF(COUNTA('[1]Virus production'!A693)=1,('[1]Virus production'!A693),"")</f>
        <v/>
      </c>
      <c r="J707" s="12"/>
      <c r="L707" s="12"/>
      <c r="M707" s="12"/>
      <c r="N707" s="12"/>
      <c r="O707" s="12"/>
      <c r="P707" s="12"/>
      <c r="Q707" s="12"/>
      <c r="R707" s="12"/>
      <c r="S707" s="12"/>
      <c r="T707" s="12"/>
      <c r="U707" s="12"/>
      <c r="V707" s="12"/>
      <c r="W707" s="12"/>
      <c r="X707" s="12"/>
      <c r="Y707" s="12"/>
      <c r="Z707" s="12"/>
      <c r="AA707" s="12"/>
      <c r="AB707" s="12"/>
      <c r="AD707" s="12"/>
      <c r="AE707" s="12"/>
      <c r="AF707" s="12"/>
      <c r="AG707" s="12"/>
      <c r="AH707" s="12"/>
      <c r="AI707" s="12"/>
      <c r="AJ707" s="12"/>
      <c r="AK707" s="12"/>
      <c r="AL707" s="12"/>
      <c r="AM707" s="12"/>
      <c r="AN707" s="12"/>
      <c r="AO707" s="12"/>
      <c r="AP707" s="12"/>
      <c r="AQ707" s="12"/>
      <c r="AR707" s="12"/>
      <c r="AS707" s="12"/>
      <c r="AT707" s="12"/>
    </row>
    <row r="708" spans="1:46" x14ac:dyDescent="0.25">
      <c r="A708" s="12"/>
      <c r="B708" s="12"/>
      <c r="C708" s="12"/>
      <c r="D708" s="12"/>
      <c r="E708" s="12"/>
      <c r="F708" s="12"/>
      <c r="G708" s="12"/>
      <c r="H708" s="12"/>
      <c r="I708" s="21" t="str">
        <f>IF(COUNTA('[1]Virus production'!A694)=1,('[1]Virus production'!A694),"")</f>
        <v/>
      </c>
      <c r="J708" s="12"/>
      <c r="L708" s="12"/>
      <c r="M708" s="12"/>
      <c r="N708" s="12"/>
      <c r="O708" s="12"/>
      <c r="P708" s="12"/>
      <c r="Q708" s="12"/>
      <c r="R708" s="12"/>
      <c r="S708" s="12"/>
      <c r="T708" s="12"/>
      <c r="U708" s="12"/>
      <c r="V708" s="12"/>
      <c r="W708" s="12"/>
      <c r="X708" s="12"/>
      <c r="Y708" s="12"/>
      <c r="Z708" s="12"/>
      <c r="AA708" s="12"/>
      <c r="AB708" s="12"/>
      <c r="AD708" s="12"/>
      <c r="AE708" s="12"/>
      <c r="AF708" s="12"/>
      <c r="AG708" s="12"/>
      <c r="AH708" s="12"/>
      <c r="AI708" s="12"/>
      <c r="AJ708" s="12"/>
      <c r="AK708" s="12"/>
      <c r="AL708" s="12"/>
      <c r="AM708" s="12"/>
      <c r="AN708" s="12"/>
      <c r="AO708" s="12"/>
      <c r="AP708" s="12"/>
      <c r="AQ708" s="12"/>
      <c r="AR708" s="12"/>
      <c r="AS708" s="12"/>
      <c r="AT708" s="12"/>
    </row>
    <row r="709" spans="1:46" x14ac:dyDescent="0.25">
      <c r="A709" s="12"/>
      <c r="B709" s="12"/>
      <c r="C709" s="12"/>
      <c r="D709" s="12"/>
      <c r="E709" s="12"/>
      <c r="F709" s="12"/>
      <c r="G709" s="12"/>
      <c r="H709" s="12"/>
      <c r="I709" s="21" t="str">
        <f>IF(COUNTA('[1]Virus production'!A695)=1,('[1]Virus production'!A695),"")</f>
        <v/>
      </c>
      <c r="J709" s="12"/>
      <c r="L709" s="12"/>
      <c r="M709" s="12"/>
      <c r="N709" s="12"/>
      <c r="O709" s="12"/>
      <c r="P709" s="12"/>
      <c r="Q709" s="12"/>
      <c r="R709" s="12"/>
      <c r="S709" s="12"/>
      <c r="T709" s="12"/>
      <c r="U709" s="12"/>
      <c r="V709" s="12"/>
      <c r="W709" s="12"/>
      <c r="X709" s="12"/>
      <c r="Y709" s="12"/>
      <c r="Z709" s="12"/>
      <c r="AA709" s="12"/>
      <c r="AB709" s="12"/>
      <c r="AD709" s="12"/>
      <c r="AE709" s="12"/>
      <c r="AF709" s="12"/>
      <c r="AG709" s="12"/>
      <c r="AH709" s="12"/>
      <c r="AI709" s="12"/>
      <c r="AJ709" s="12"/>
      <c r="AK709" s="12"/>
      <c r="AL709" s="12"/>
      <c r="AM709" s="12"/>
      <c r="AN709" s="12"/>
      <c r="AO709" s="12"/>
      <c r="AP709" s="12"/>
      <c r="AQ709" s="12"/>
      <c r="AR709" s="12"/>
      <c r="AS709" s="12"/>
      <c r="AT709" s="12"/>
    </row>
    <row r="710" spans="1:46" x14ac:dyDescent="0.25">
      <c r="A710" s="12"/>
      <c r="B710" s="12"/>
      <c r="C710" s="12"/>
      <c r="D710" s="12"/>
      <c r="E710" s="12"/>
      <c r="F710" s="12"/>
      <c r="G710" s="12"/>
      <c r="H710" s="12"/>
      <c r="I710" s="21" t="str">
        <f>IF(COUNTA('[1]Virus production'!A696)=1,('[1]Virus production'!A696),"")</f>
        <v/>
      </c>
      <c r="J710" s="12"/>
      <c r="L710" s="12"/>
      <c r="M710" s="12"/>
      <c r="N710" s="12"/>
      <c r="O710" s="12"/>
      <c r="P710" s="12"/>
      <c r="Q710" s="12"/>
      <c r="R710" s="12"/>
      <c r="S710" s="12"/>
      <c r="T710" s="12"/>
      <c r="U710" s="12"/>
      <c r="V710" s="12"/>
      <c r="W710" s="12"/>
      <c r="X710" s="12"/>
      <c r="Y710" s="12"/>
      <c r="Z710" s="12"/>
      <c r="AA710" s="12"/>
      <c r="AB710" s="12"/>
      <c r="AD710" s="12"/>
      <c r="AE710" s="12"/>
      <c r="AF710" s="12"/>
      <c r="AG710" s="12"/>
      <c r="AH710" s="12"/>
      <c r="AI710" s="12"/>
      <c r="AJ710" s="12"/>
      <c r="AK710" s="12"/>
      <c r="AL710" s="12"/>
      <c r="AM710" s="12"/>
      <c r="AN710" s="12"/>
      <c r="AO710" s="12"/>
      <c r="AP710" s="12"/>
      <c r="AQ710" s="12"/>
      <c r="AR710" s="12"/>
      <c r="AS710" s="12"/>
      <c r="AT710" s="12"/>
    </row>
    <row r="711" spans="1:46" x14ac:dyDescent="0.25">
      <c r="A711" s="12"/>
      <c r="B711" s="12"/>
      <c r="C711" s="12"/>
      <c r="D711" s="12"/>
      <c r="E711" s="12"/>
      <c r="F711" s="12"/>
      <c r="G711" s="12"/>
      <c r="H711" s="12"/>
      <c r="I711" s="21" t="str">
        <f>IF(COUNTA('[1]Virus production'!A697)=1,('[1]Virus production'!A697),"")</f>
        <v/>
      </c>
      <c r="J711" s="12"/>
      <c r="L711" s="12"/>
      <c r="M711" s="12"/>
      <c r="N711" s="12"/>
      <c r="O711" s="12"/>
      <c r="P711" s="12"/>
      <c r="Q711" s="12"/>
      <c r="R711" s="12"/>
      <c r="S711" s="12"/>
      <c r="T711" s="12"/>
      <c r="U711" s="12"/>
      <c r="V711" s="12"/>
      <c r="W711" s="12"/>
      <c r="X711" s="12"/>
      <c r="Y711" s="12"/>
      <c r="Z711" s="12"/>
      <c r="AA711" s="12"/>
      <c r="AB711" s="12"/>
      <c r="AD711" s="12"/>
      <c r="AE711" s="12"/>
      <c r="AF711" s="12"/>
      <c r="AG711" s="12"/>
      <c r="AH711" s="12"/>
      <c r="AI711" s="12"/>
      <c r="AJ711" s="12"/>
      <c r="AK711" s="12"/>
      <c r="AL711" s="12"/>
      <c r="AM711" s="12"/>
      <c r="AN711" s="12"/>
      <c r="AO711" s="12"/>
      <c r="AP711" s="12"/>
      <c r="AQ711" s="12"/>
      <c r="AR711" s="12"/>
      <c r="AS711" s="12"/>
      <c r="AT711" s="12"/>
    </row>
    <row r="712" spans="1:46" x14ac:dyDescent="0.25">
      <c r="A712" s="12"/>
      <c r="B712" s="12"/>
      <c r="C712" s="12"/>
      <c r="D712" s="12"/>
      <c r="E712" s="12"/>
      <c r="F712" s="12"/>
      <c r="G712" s="12"/>
      <c r="H712" s="12"/>
      <c r="I712" s="21" t="str">
        <f>IF(COUNTA('[1]Virus production'!A698)=1,('[1]Virus production'!A698),"")</f>
        <v/>
      </c>
      <c r="J712" s="12"/>
      <c r="L712" s="12"/>
      <c r="M712" s="12"/>
      <c r="N712" s="12"/>
      <c r="O712" s="12"/>
      <c r="P712" s="12"/>
      <c r="Q712" s="12"/>
      <c r="R712" s="12"/>
      <c r="S712" s="12"/>
      <c r="T712" s="12"/>
      <c r="U712" s="12"/>
      <c r="V712" s="12"/>
      <c r="W712" s="12"/>
      <c r="X712" s="12"/>
      <c r="Y712" s="12"/>
      <c r="Z712" s="12"/>
      <c r="AA712" s="12"/>
      <c r="AB712" s="12"/>
      <c r="AD712" s="12"/>
      <c r="AE712" s="12"/>
      <c r="AF712" s="12"/>
      <c r="AG712" s="12"/>
      <c r="AH712" s="12"/>
      <c r="AI712" s="12"/>
      <c r="AJ712" s="12"/>
      <c r="AK712" s="12"/>
      <c r="AL712" s="12"/>
      <c r="AM712" s="12"/>
      <c r="AN712" s="12"/>
      <c r="AO712" s="12"/>
      <c r="AP712" s="12"/>
      <c r="AQ712" s="12"/>
      <c r="AR712" s="12"/>
      <c r="AS712" s="12"/>
      <c r="AT712" s="12"/>
    </row>
    <row r="713" spans="1:46" x14ac:dyDescent="0.25">
      <c r="A713" s="12"/>
      <c r="B713" s="12"/>
      <c r="C713" s="12"/>
      <c r="D713" s="12"/>
      <c r="E713" s="12"/>
      <c r="F713" s="12"/>
      <c r="G713" s="12"/>
      <c r="H713" s="12"/>
      <c r="I713" s="21" t="str">
        <f>IF(COUNTA('[1]Virus production'!A699)=1,('[1]Virus production'!A699),"")</f>
        <v/>
      </c>
      <c r="J713" s="12"/>
      <c r="L713" s="12"/>
      <c r="M713" s="12"/>
      <c r="N713" s="12"/>
      <c r="O713" s="12"/>
      <c r="P713" s="12"/>
      <c r="Q713" s="12"/>
      <c r="R713" s="12"/>
      <c r="S713" s="12"/>
      <c r="T713" s="12"/>
      <c r="U713" s="12"/>
      <c r="V713" s="12"/>
      <c r="W713" s="12"/>
      <c r="X713" s="12"/>
      <c r="Y713" s="12"/>
      <c r="Z713" s="12"/>
      <c r="AA713" s="12"/>
      <c r="AB713" s="12"/>
      <c r="AD713" s="12"/>
      <c r="AE713" s="12"/>
      <c r="AF713" s="12"/>
      <c r="AG713" s="12"/>
      <c r="AH713" s="12"/>
      <c r="AI713" s="12"/>
      <c r="AJ713" s="12"/>
      <c r="AK713" s="12"/>
      <c r="AL713" s="12"/>
      <c r="AM713" s="12"/>
      <c r="AN713" s="12"/>
      <c r="AO713" s="12"/>
      <c r="AP713" s="12"/>
      <c r="AQ713" s="12"/>
      <c r="AR713" s="12"/>
      <c r="AS713" s="12"/>
      <c r="AT713" s="12"/>
    </row>
    <row r="714" spans="1:46" x14ac:dyDescent="0.25">
      <c r="A714" s="12"/>
      <c r="B714" s="12"/>
      <c r="C714" s="12"/>
      <c r="D714" s="12"/>
      <c r="E714" s="12"/>
      <c r="F714" s="12"/>
      <c r="G714" s="12"/>
      <c r="H714" s="12"/>
      <c r="I714" s="21" t="str">
        <f>IF(COUNTA('[1]Virus production'!A700)=1,('[1]Virus production'!A700),"")</f>
        <v/>
      </c>
      <c r="J714" s="12"/>
      <c r="L714" s="12"/>
      <c r="M714" s="12"/>
      <c r="N714" s="12"/>
      <c r="O714" s="12"/>
      <c r="P714" s="12"/>
      <c r="Q714" s="12"/>
      <c r="R714" s="12"/>
      <c r="S714" s="12"/>
      <c r="T714" s="12"/>
      <c r="U714" s="12"/>
      <c r="V714" s="12"/>
      <c r="W714" s="12"/>
      <c r="X714" s="12"/>
      <c r="Y714" s="12"/>
      <c r="Z714" s="12"/>
      <c r="AA714" s="12"/>
      <c r="AB714" s="12"/>
      <c r="AD714" s="12"/>
      <c r="AE714" s="12"/>
      <c r="AF714" s="12"/>
      <c r="AG714" s="12"/>
      <c r="AH714" s="12"/>
      <c r="AI714" s="12"/>
      <c r="AJ714" s="12"/>
      <c r="AK714" s="12"/>
      <c r="AL714" s="12"/>
      <c r="AM714" s="12"/>
      <c r="AN714" s="12"/>
      <c r="AO714" s="12"/>
      <c r="AP714" s="12"/>
      <c r="AQ714" s="12"/>
      <c r="AR714" s="12"/>
      <c r="AS714" s="12"/>
      <c r="AT714" s="12"/>
    </row>
    <row r="715" spans="1:46" x14ac:dyDescent="0.25">
      <c r="A715" s="12"/>
      <c r="B715" s="12"/>
      <c r="C715" s="12"/>
      <c r="D715" s="12"/>
      <c r="E715" s="12"/>
      <c r="F715" s="12"/>
      <c r="G715" s="12"/>
      <c r="H715" s="12"/>
      <c r="I715" s="21" t="str">
        <f>IF(COUNTA('[1]Virus production'!A701)=1,('[1]Virus production'!A701),"")</f>
        <v/>
      </c>
      <c r="J715" s="12"/>
      <c r="L715" s="12"/>
      <c r="M715" s="12"/>
      <c r="N715" s="12"/>
      <c r="O715" s="12"/>
      <c r="P715" s="12"/>
      <c r="Q715" s="12"/>
      <c r="R715" s="12"/>
      <c r="S715" s="12"/>
      <c r="T715" s="12"/>
      <c r="U715" s="12"/>
      <c r="V715" s="12"/>
      <c r="W715" s="12"/>
      <c r="X715" s="12"/>
      <c r="Y715" s="12"/>
      <c r="Z715" s="12"/>
      <c r="AA715" s="12"/>
      <c r="AB715" s="12"/>
      <c r="AD715" s="12"/>
      <c r="AE715" s="12"/>
      <c r="AF715" s="12"/>
      <c r="AG715" s="12"/>
      <c r="AH715" s="12"/>
      <c r="AI715" s="12"/>
      <c r="AJ715" s="12"/>
      <c r="AK715" s="12"/>
      <c r="AL715" s="12"/>
      <c r="AM715" s="12"/>
      <c r="AN715" s="12"/>
      <c r="AO715" s="12"/>
      <c r="AP715" s="12"/>
      <c r="AQ715" s="12"/>
      <c r="AR715" s="12"/>
      <c r="AS715" s="12"/>
      <c r="AT715" s="12"/>
    </row>
    <row r="716" spans="1:46" x14ac:dyDescent="0.25">
      <c r="A716" s="12"/>
      <c r="B716" s="12"/>
      <c r="C716" s="12"/>
      <c r="D716" s="12"/>
      <c r="E716" s="12"/>
      <c r="F716" s="12"/>
      <c r="G716" s="12"/>
      <c r="H716" s="12"/>
      <c r="I716" s="21" t="str">
        <f>IF(COUNTA('[1]Virus production'!A702)=1,('[1]Virus production'!A702),"")</f>
        <v/>
      </c>
      <c r="J716" s="12"/>
      <c r="L716" s="12"/>
      <c r="M716" s="12"/>
      <c r="N716" s="12"/>
      <c r="O716" s="12"/>
      <c r="P716" s="12"/>
      <c r="Q716" s="12"/>
      <c r="R716" s="12"/>
      <c r="S716" s="12"/>
      <c r="T716" s="12"/>
      <c r="U716" s="12"/>
      <c r="V716" s="12"/>
      <c r="W716" s="12"/>
      <c r="X716" s="12"/>
      <c r="Y716" s="12"/>
      <c r="Z716" s="12"/>
      <c r="AA716" s="12"/>
      <c r="AB716" s="12"/>
      <c r="AD716" s="12"/>
      <c r="AE716" s="12"/>
      <c r="AF716" s="12"/>
      <c r="AG716" s="12"/>
      <c r="AH716" s="12"/>
      <c r="AI716" s="12"/>
      <c r="AJ716" s="12"/>
      <c r="AK716" s="12"/>
      <c r="AL716" s="12"/>
      <c r="AM716" s="12"/>
      <c r="AN716" s="12"/>
      <c r="AO716" s="12"/>
      <c r="AP716" s="12"/>
      <c r="AQ716" s="12"/>
      <c r="AR716" s="12"/>
      <c r="AS716" s="12"/>
      <c r="AT716" s="12"/>
    </row>
    <row r="717" spans="1:46" x14ac:dyDescent="0.25">
      <c r="A717" s="12"/>
      <c r="B717" s="12"/>
      <c r="C717" s="12"/>
      <c r="D717" s="12"/>
      <c r="E717" s="12"/>
      <c r="F717" s="12"/>
      <c r="G717" s="12"/>
      <c r="H717" s="12"/>
      <c r="I717" s="21" t="str">
        <f>IF(COUNTA('[1]Virus production'!A703)=1,('[1]Virus production'!A703),"")</f>
        <v/>
      </c>
      <c r="J717" s="12"/>
      <c r="L717" s="12"/>
      <c r="M717" s="12"/>
      <c r="N717" s="12"/>
      <c r="O717" s="12"/>
      <c r="P717" s="12"/>
      <c r="Q717" s="12"/>
      <c r="R717" s="12"/>
      <c r="S717" s="12"/>
      <c r="T717" s="12"/>
      <c r="U717" s="12"/>
      <c r="V717" s="12"/>
      <c r="W717" s="12"/>
      <c r="X717" s="12"/>
      <c r="Y717" s="12"/>
      <c r="Z717" s="12"/>
      <c r="AA717" s="12"/>
      <c r="AB717" s="12"/>
      <c r="AD717" s="12"/>
      <c r="AE717" s="12"/>
      <c r="AF717" s="12"/>
      <c r="AG717" s="12"/>
      <c r="AH717" s="12"/>
      <c r="AI717" s="12"/>
      <c r="AJ717" s="12"/>
      <c r="AK717" s="12"/>
      <c r="AL717" s="12"/>
      <c r="AM717" s="12"/>
      <c r="AN717" s="12"/>
      <c r="AO717" s="12"/>
      <c r="AP717" s="12"/>
      <c r="AQ717" s="12"/>
      <c r="AR717" s="12"/>
      <c r="AS717" s="12"/>
      <c r="AT717" s="12"/>
    </row>
    <row r="718" spans="1:46" x14ac:dyDescent="0.25">
      <c r="A718" s="12"/>
      <c r="B718" s="12"/>
      <c r="C718" s="12"/>
      <c r="D718" s="12"/>
      <c r="E718" s="12"/>
      <c r="F718" s="12"/>
      <c r="G718" s="12"/>
      <c r="H718" s="12"/>
      <c r="I718" s="21" t="str">
        <f>IF(COUNTA('[1]Virus production'!A704)=1,('[1]Virus production'!A704),"")</f>
        <v/>
      </c>
      <c r="J718" s="12"/>
      <c r="L718" s="12"/>
      <c r="M718" s="12"/>
      <c r="N718" s="12"/>
      <c r="O718" s="12"/>
      <c r="P718" s="12"/>
      <c r="Q718" s="12"/>
      <c r="R718" s="12"/>
      <c r="S718" s="12"/>
      <c r="T718" s="12"/>
      <c r="U718" s="12"/>
      <c r="V718" s="12"/>
      <c r="W718" s="12"/>
      <c r="X718" s="12"/>
      <c r="Y718" s="12"/>
      <c r="Z718" s="12"/>
      <c r="AA718" s="12"/>
      <c r="AB718" s="12"/>
      <c r="AD718" s="12"/>
      <c r="AE718" s="12"/>
      <c r="AF718" s="12"/>
      <c r="AG718" s="12"/>
      <c r="AH718" s="12"/>
      <c r="AI718" s="12"/>
      <c r="AJ718" s="12"/>
      <c r="AK718" s="12"/>
      <c r="AL718" s="12"/>
      <c r="AM718" s="12"/>
      <c r="AN718" s="12"/>
      <c r="AO718" s="12"/>
      <c r="AP718" s="12"/>
      <c r="AQ718" s="12"/>
      <c r="AR718" s="12"/>
      <c r="AS718" s="12"/>
      <c r="AT718" s="12"/>
    </row>
    <row r="719" spans="1:46" x14ac:dyDescent="0.25">
      <c r="A719" s="12"/>
      <c r="B719" s="12"/>
      <c r="C719" s="12"/>
      <c r="D719" s="12"/>
      <c r="E719" s="12"/>
      <c r="F719" s="12"/>
      <c r="G719" s="12"/>
      <c r="H719" s="12"/>
      <c r="I719" s="21" t="str">
        <f>IF(COUNTA('[1]Virus production'!A705)=1,('[1]Virus production'!A705),"")</f>
        <v/>
      </c>
      <c r="J719" s="12"/>
      <c r="L719" s="12"/>
      <c r="M719" s="12"/>
      <c r="N719" s="12"/>
      <c r="O719" s="12"/>
      <c r="P719" s="12"/>
      <c r="Q719" s="12"/>
      <c r="R719" s="12"/>
      <c r="S719" s="12"/>
      <c r="T719" s="12"/>
      <c r="U719" s="12"/>
      <c r="V719" s="12"/>
      <c r="W719" s="12"/>
      <c r="X719" s="12"/>
      <c r="Y719" s="12"/>
      <c r="Z719" s="12"/>
      <c r="AA719" s="12"/>
      <c r="AB719" s="12"/>
      <c r="AD719" s="12"/>
      <c r="AE719" s="12"/>
      <c r="AF719" s="12"/>
      <c r="AG719" s="12"/>
      <c r="AH719" s="12"/>
      <c r="AI719" s="12"/>
      <c r="AJ719" s="12"/>
      <c r="AK719" s="12"/>
      <c r="AL719" s="12"/>
      <c r="AM719" s="12"/>
      <c r="AN719" s="12"/>
      <c r="AO719" s="12"/>
      <c r="AP719" s="12"/>
      <c r="AQ719" s="12"/>
      <c r="AR719" s="12"/>
      <c r="AS719" s="12"/>
      <c r="AT719" s="12"/>
    </row>
    <row r="720" spans="1:46" x14ac:dyDescent="0.25">
      <c r="A720" s="12"/>
      <c r="B720" s="12"/>
      <c r="C720" s="12"/>
      <c r="D720" s="12"/>
      <c r="E720" s="12"/>
      <c r="F720" s="12"/>
      <c r="G720" s="12"/>
      <c r="H720" s="12"/>
      <c r="I720" s="21" t="str">
        <f>IF(COUNTA('[1]Virus production'!A706)=1,('[1]Virus production'!A706),"")</f>
        <v/>
      </c>
      <c r="J720" s="12"/>
      <c r="L720" s="12"/>
      <c r="M720" s="12"/>
      <c r="N720" s="12"/>
      <c r="O720" s="12"/>
      <c r="P720" s="12"/>
      <c r="Q720" s="12"/>
      <c r="R720" s="12"/>
      <c r="S720" s="12"/>
      <c r="T720" s="12"/>
      <c r="U720" s="12"/>
      <c r="V720" s="12"/>
      <c r="W720" s="12"/>
      <c r="X720" s="12"/>
      <c r="Y720" s="12"/>
      <c r="Z720" s="12"/>
      <c r="AA720" s="12"/>
      <c r="AB720" s="12"/>
      <c r="AD720" s="12"/>
      <c r="AE720" s="12"/>
      <c r="AF720" s="12"/>
      <c r="AG720" s="12"/>
      <c r="AH720" s="12"/>
      <c r="AI720" s="12"/>
      <c r="AJ720" s="12"/>
      <c r="AK720" s="12"/>
      <c r="AL720" s="12"/>
      <c r="AM720" s="12"/>
      <c r="AN720" s="12"/>
      <c r="AO720" s="12"/>
      <c r="AP720" s="12"/>
      <c r="AQ720" s="12"/>
      <c r="AR720" s="12"/>
      <c r="AS720" s="12"/>
      <c r="AT720" s="12"/>
    </row>
    <row r="721" spans="1:46" x14ac:dyDescent="0.25">
      <c r="A721" s="12"/>
      <c r="B721" s="12"/>
      <c r="C721" s="12"/>
      <c r="D721" s="12"/>
      <c r="E721" s="12"/>
      <c r="F721" s="12"/>
      <c r="G721" s="12"/>
      <c r="H721" s="12"/>
      <c r="I721" s="21" t="str">
        <f>IF(COUNTA('[1]Virus production'!A707)=1,('[1]Virus production'!A707),"")</f>
        <v/>
      </c>
      <c r="J721" s="12"/>
      <c r="L721" s="12"/>
      <c r="M721" s="12"/>
      <c r="N721" s="12"/>
      <c r="O721" s="12"/>
      <c r="P721" s="12"/>
      <c r="Q721" s="12"/>
      <c r="R721" s="12"/>
      <c r="S721" s="12"/>
      <c r="T721" s="12"/>
      <c r="U721" s="12"/>
      <c r="V721" s="12"/>
      <c r="W721" s="12"/>
      <c r="X721" s="12"/>
      <c r="Y721" s="12"/>
      <c r="Z721" s="12"/>
      <c r="AA721" s="12"/>
      <c r="AB721" s="12"/>
      <c r="AD721" s="12"/>
      <c r="AE721" s="12"/>
      <c r="AF721" s="12"/>
      <c r="AG721" s="12"/>
      <c r="AH721" s="12"/>
      <c r="AI721" s="12"/>
      <c r="AJ721" s="12"/>
      <c r="AK721" s="12"/>
      <c r="AL721" s="12"/>
      <c r="AM721" s="12"/>
      <c r="AN721" s="12"/>
      <c r="AO721" s="12"/>
      <c r="AP721" s="12"/>
      <c r="AQ721" s="12"/>
      <c r="AR721" s="12"/>
      <c r="AS721" s="12"/>
      <c r="AT721" s="12"/>
    </row>
    <row r="722" spans="1:46" x14ac:dyDescent="0.25">
      <c r="A722" s="12"/>
      <c r="B722" s="12"/>
      <c r="C722" s="12"/>
      <c r="D722" s="12"/>
      <c r="E722" s="12"/>
      <c r="F722" s="12"/>
      <c r="G722" s="12"/>
      <c r="H722" s="12"/>
      <c r="I722" s="21" t="str">
        <f>IF(COUNTA('[1]Virus production'!A708)=1,('[1]Virus production'!A708),"")</f>
        <v/>
      </c>
      <c r="J722" s="12"/>
      <c r="L722" s="12"/>
      <c r="M722" s="12"/>
      <c r="N722" s="12"/>
      <c r="O722" s="12"/>
      <c r="P722" s="12"/>
      <c r="Q722" s="12"/>
      <c r="R722" s="12"/>
      <c r="S722" s="12"/>
      <c r="T722" s="12"/>
      <c r="U722" s="12"/>
      <c r="V722" s="12"/>
      <c r="W722" s="12"/>
      <c r="X722" s="12"/>
      <c r="Y722" s="12"/>
      <c r="Z722" s="12"/>
      <c r="AA722" s="12"/>
      <c r="AB722" s="12"/>
      <c r="AD722" s="12"/>
      <c r="AE722" s="12"/>
      <c r="AF722" s="12"/>
      <c r="AG722" s="12"/>
      <c r="AH722" s="12"/>
      <c r="AI722" s="12"/>
      <c r="AJ722" s="12"/>
      <c r="AK722" s="12"/>
      <c r="AL722" s="12"/>
      <c r="AM722" s="12"/>
      <c r="AN722" s="12"/>
      <c r="AO722" s="12"/>
      <c r="AP722" s="12"/>
      <c r="AQ722" s="12"/>
      <c r="AR722" s="12"/>
      <c r="AS722" s="12"/>
      <c r="AT722" s="12"/>
    </row>
    <row r="723" spans="1:46" x14ac:dyDescent="0.25">
      <c r="A723" s="12"/>
      <c r="B723" s="12"/>
      <c r="C723" s="12"/>
      <c r="D723" s="12"/>
      <c r="E723" s="12"/>
      <c r="F723" s="12"/>
      <c r="G723" s="12"/>
      <c r="H723" s="12"/>
      <c r="I723" s="21" t="str">
        <f>IF(COUNTA('[1]Virus production'!A709)=1,('[1]Virus production'!A709),"")</f>
        <v/>
      </c>
      <c r="J723" s="12"/>
      <c r="L723" s="12"/>
      <c r="M723" s="12"/>
      <c r="N723" s="12"/>
      <c r="O723" s="12"/>
      <c r="P723" s="12"/>
      <c r="Q723" s="12"/>
      <c r="R723" s="12"/>
      <c r="S723" s="12"/>
      <c r="T723" s="12"/>
      <c r="U723" s="12"/>
      <c r="V723" s="12"/>
      <c r="W723" s="12"/>
      <c r="X723" s="12"/>
      <c r="Y723" s="12"/>
      <c r="Z723" s="12"/>
      <c r="AA723" s="12"/>
      <c r="AB723" s="12"/>
      <c r="AD723" s="12"/>
      <c r="AE723" s="12"/>
      <c r="AF723" s="12"/>
      <c r="AG723" s="12"/>
      <c r="AH723" s="12"/>
      <c r="AI723" s="12"/>
      <c r="AJ723" s="12"/>
      <c r="AK723" s="12"/>
      <c r="AL723" s="12"/>
      <c r="AM723" s="12"/>
      <c r="AN723" s="12"/>
      <c r="AO723" s="12"/>
      <c r="AP723" s="12"/>
      <c r="AQ723" s="12"/>
      <c r="AR723" s="12"/>
      <c r="AS723" s="12"/>
      <c r="AT723" s="12"/>
    </row>
    <row r="724" spans="1:46" x14ac:dyDescent="0.25">
      <c r="A724" s="12"/>
      <c r="B724" s="12"/>
      <c r="C724" s="12"/>
      <c r="D724" s="12"/>
      <c r="E724" s="12"/>
      <c r="F724" s="12"/>
      <c r="G724" s="12"/>
      <c r="H724" s="12"/>
      <c r="I724" s="21" t="str">
        <f>IF(COUNTA('[1]Virus production'!A710)=1,('[1]Virus production'!A710),"")</f>
        <v/>
      </c>
      <c r="J724" s="12"/>
      <c r="L724" s="12"/>
      <c r="M724" s="12"/>
      <c r="N724" s="12"/>
      <c r="O724" s="12"/>
      <c r="P724" s="12"/>
      <c r="Q724" s="12"/>
      <c r="R724" s="12"/>
      <c r="S724" s="12"/>
      <c r="T724" s="12"/>
      <c r="U724" s="12"/>
      <c r="V724" s="12"/>
      <c r="W724" s="12"/>
      <c r="X724" s="12"/>
      <c r="Y724" s="12"/>
      <c r="Z724" s="12"/>
      <c r="AA724" s="12"/>
      <c r="AB724" s="12"/>
      <c r="AD724" s="12"/>
      <c r="AE724" s="12"/>
      <c r="AF724" s="12"/>
      <c r="AG724" s="12"/>
      <c r="AH724" s="12"/>
      <c r="AI724" s="12"/>
      <c r="AJ724" s="12"/>
      <c r="AK724" s="12"/>
      <c r="AL724" s="12"/>
      <c r="AM724" s="12"/>
      <c r="AN724" s="12"/>
      <c r="AO724" s="12"/>
      <c r="AP724" s="12"/>
      <c r="AQ724" s="12"/>
      <c r="AR724" s="12"/>
      <c r="AS724" s="12"/>
      <c r="AT724" s="12"/>
    </row>
    <row r="725" spans="1:46" x14ac:dyDescent="0.25">
      <c r="A725" s="12"/>
      <c r="B725" s="12"/>
      <c r="C725" s="12"/>
      <c r="D725" s="12"/>
      <c r="E725" s="12"/>
      <c r="F725" s="12"/>
      <c r="G725" s="12"/>
      <c r="H725" s="12"/>
      <c r="I725" s="21" t="str">
        <f>IF(COUNTA('[1]Virus production'!A711)=1,('[1]Virus production'!A711),"")</f>
        <v/>
      </c>
      <c r="J725" s="12"/>
      <c r="L725" s="12"/>
      <c r="M725" s="12"/>
      <c r="N725" s="12"/>
      <c r="O725" s="12"/>
      <c r="P725" s="12"/>
      <c r="Q725" s="12"/>
      <c r="R725" s="12"/>
      <c r="S725" s="12"/>
      <c r="T725" s="12"/>
      <c r="U725" s="12"/>
      <c r="V725" s="12"/>
      <c r="W725" s="12"/>
      <c r="X725" s="12"/>
      <c r="Y725" s="12"/>
      <c r="Z725" s="12"/>
      <c r="AA725" s="12"/>
      <c r="AB725" s="12"/>
      <c r="AD725" s="12"/>
      <c r="AE725" s="12"/>
      <c r="AF725" s="12"/>
      <c r="AG725" s="12"/>
      <c r="AH725" s="12"/>
      <c r="AI725" s="12"/>
      <c r="AJ725" s="12"/>
      <c r="AK725" s="12"/>
      <c r="AL725" s="12"/>
      <c r="AM725" s="12"/>
      <c r="AN725" s="12"/>
      <c r="AO725" s="12"/>
      <c r="AP725" s="12"/>
      <c r="AQ725" s="12"/>
      <c r="AR725" s="12"/>
      <c r="AS725" s="12"/>
      <c r="AT725" s="12"/>
    </row>
    <row r="726" spans="1:46" x14ac:dyDescent="0.25">
      <c r="A726" s="12"/>
      <c r="B726" s="12"/>
      <c r="C726" s="12"/>
      <c r="D726" s="12"/>
      <c r="E726" s="12"/>
      <c r="F726" s="12"/>
      <c r="G726" s="12"/>
      <c r="H726" s="12"/>
      <c r="I726" s="21" t="str">
        <f>IF(COUNTA('[1]Virus production'!A712)=1,('[1]Virus production'!A712),"")</f>
        <v/>
      </c>
      <c r="J726" s="12"/>
      <c r="L726" s="12"/>
      <c r="M726" s="12"/>
      <c r="N726" s="12"/>
      <c r="O726" s="12"/>
      <c r="P726" s="12"/>
      <c r="Q726" s="12"/>
      <c r="R726" s="12"/>
      <c r="S726" s="12"/>
      <c r="T726" s="12"/>
      <c r="U726" s="12"/>
      <c r="V726" s="12"/>
      <c r="W726" s="12"/>
      <c r="X726" s="12"/>
      <c r="Y726" s="12"/>
      <c r="Z726" s="12"/>
      <c r="AA726" s="12"/>
      <c r="AB726" s="12"/>
      <c r="AD726" s="12"/>
      <c r="AE726" s="12"/>
      <c r="AF726" s="12"/>
      <c r="AG726" s="12"/>
      <c r="AH726" s="12"/>
      <c r="AI726" s="12"/>
      <c r="AJ726" s="12"/>
      <c r="AK726" s="12"/>
      <c r="AL726" s="12"/>
      <c r="AM726" s="12"/>
      <c r="AN726" s="12"/>
      <c r="AO726" s="12"/>
      <c r="AP726" s="12"/>
      <c r="AQ726" s="12"/>
      <c r="AR726" s="12"/>
      <c r="AS726" s="12"/>
      <c r="AT726" s="12"/>
    </row>
    <row r="727" spans="1:46" x14ac:dyDescent="0.25">
      <c r="A727" s="12"/>
      <c r="B727" s="12"/>
      <c r="C727" s="12"/>
      <c r="D727" s="12"/>
      <c r="E727" s="12"/>
      <c r="F727" s="12"/>
      <c r="G727" s="12"/>
      <c r="H727" s="12"/>
      <c r="I727" s="21" t="str">
        <f>IF(COUNTA('[1]Virus production'!A713)=1,('[1]Virus production'!A713),"")</f>
        <v/>
      </c>
      <c r="J727" s="12"/>
      <c r="L727" s="12"/>
      <c r="M727" s="12"/>
      <c r="N727" s="12"/>
      <c r="O727" s="12"/>
      <c r="P727" s="12"/>
      <c r="Q727" s="12"/>
      <c r="R727" s="12"/>
      <c r="S727" s="12"/>
      <c r="T727" s="12"/>
      <c r="U727" s="12"/>
      <c r="V727" s="12"/>
      <c r="W727" s="12"/>
      <c r="X727" s="12"/>
      <c r="Y727" s="12"/>
      <c r="Z727" s="12"/>
      <c r="AA727" s="12"/>
      <c r="AB727" s="12"/>
      <c r="AD727" s="12"/>
      <c r="AE727" s="12"/>
      <c r="AF727" s="12"/>
      <c r="AG727" s="12"/>
      <c r="AH727" s="12"/>
      <c r="AI727" s="12"/>
      <c r="AJ727" s="12"/>
      <c r="AK727" s="12"/>
      <c r="AL727" s="12"/>
      <c r="AM727" s="12"/>
      <c r="AN727" s="12"/>
      <c r="AO727" s="12"/>
      <c r="AP727" s="12"/>
      <c r="AQ727" s="12"/>
      <c r="AR727" s="12"/>
      <c r="AS727" s="12"/>
      <c r="AT727" s="12"/>
    </row>
    <row r="728" spans="1:46" x14ac:dyDescent="0.25">
      <c r="A728" s="12"/>
      <c r="B728" s="12"/>
      <c r="C728" s="12"/>
      <c r="D728" s="12"/>
      <c r="E728" s="12"/>
      <c r="F728" s="12"/>
      <c r="G728" s="12"/>
      <c r="H728" s="12"/>
      <c r="I728" s="21" t="str">
        <f>IF(COUNTA('[1]Virus production'!A714)=1,('[1]Virus production'!A714),"")</f>
        <v/>
      </c>
      <c r="J728" s="12"/>
      <c r="L728" s="12"/>
      <c r="M728" s="12"/>
      <c r="N728" s="12"/>
      <c r="O728" s="12"/>
      <c r="P728" s="12"/>
      <c r="Q728" s="12"/>
      <c r="R728" s="12"/>
      <c r="S728" s="12"/>
      <c r="T728" s="12"/>
      <c r="U728" s="12"/>
      <c r="V728" s="12"/>
      <c r="W728" s="12"/>
      <c r="X728" s="12"/>
      <c r="Y728" s="12"/>
      <c r="Z728" s="12"/>
      <c r="AA728" s="12"/>
      <c r="AB728" s="12"/>
      <c r="AD728" s="12"/>
      <c r="AE728" s="12"/>
      <c r="AF728" s="12"/>
      <c r="AG728" s="12"/>
      <c r="AH728" s="12"/>
      <c r="AI728" s="12"/>
      <c r="AJ728" s="12"/>
      <c r="AK728" s="12"/>
      <c r="AL728" s="12"/>
      <c r="AM728" s="12"/>
      <c r="AN728" s="12"/>
      <c r="AO728" s="12"/>
      <c r="AP728" s="12"/>
      <c r="AQ728" s="12"/>
      <c r="AR728" s="12"/>
      <c r="AS728" s="12"/>
      <c r="AT728" s="12"/>
    </row>
    <row r="729" spans="1:46" x14ac:dyDescent="0.25">
      <c r="A729" s="12"/>
      <c r="B729" s="12"/>
      <c r="C729" s="12"/>
      <c r="D729" s="12"/>
      <c r="E729" s="12"/>
      <c r="F729" s="12"/>
      <c r="G729" s="12"/>
      <c r="H729" s="12"/>
      <c r="I729" s="21" t="str">
        <f>IF(COUNTA('[1]Virus production'!A715)=1,('[1]Virus production'!A715),"")</f>
        <v/>
      </c>
      <c r="J729" s="12"/>
      <c r="L729" s="12"/>
      <c r="M729" s="12"/>
      <c r="N729" s="12"/>
      <c r="O729" s="12"/>
      <c r="P729" s="12"/>
      <c r="Q729" s="12"/>
      <c r="R729" s="12"/>
      <c r="S729" s="12"/>
      <c r="T729" s="12"/>
      <c r="U729" s="12"/>
      <c r="V729" s="12"/>
      <c r="W729" s="12"/>
      <c r="X729" s="12"/>
      <c r="Y729" s="12"/>
      <c r="Z729" s="12"/>
      <c r="AA729" s="12"/>
      <c r="AB729" s="12"/>
      <c r="AD729" s="12"/>
      <c r="AE729" s="12"/>
      <c r="AF729" s="12"/>
      <c r="AG729" s="12"/>
      <c r="AH729" s="12"/>
      <c r="AI729" s="12"/>
      <c r="AJ729" s="12"/>
      <c r="AK729" s="12"/>
      <c r="AL729" s="12"/>
      <c r="AM729" s="12"/>
      <c r="AN729" s="12"/>
      <c r="AO729" s="12"/>
      <c r="AP729" s="12"/>
      <c r="AQ729" s="12"/>
      <c r="AR729" s="12"/>
      <c r="AS729" s="12"/>
      <c r="AT729" s="12"/>
    </row>
    <row r="730" spans="1:46" x14ac:dyDescent="0.25">
      <c r="A730" s="12"/>
      <c r="B730" s="12"/>
      <c r="C730" s="12"/>
      <c r="D730" s="12"/>
      <c r="E730" s="12"/>
      <c r="F730" s="12"/>
      <c r="G730" s="12"/>
      <c r="H730" s="12"/>
      <c r="I730" s="21" t="str">
        <f>IF(COUNTA('[1]Virus production'!A716)=1,('[1]Virus production'!A716),"")</f>
        <v/>
      </c>
      <c r="J730" s="12"/>
      <c r="L730" s="12"/>
      <c r="M730" s="12"/>
      <c r="N730" s="12"/>
      <c r="O730" s="12"/>
      <c r="P730" s="12"/>
      <c r="Q730" s="12"/>
      <c r="R730" s="12"/>
      <c r="S730" s="12"/>
      <c r="T730" s="12"/>
      <c r="U730" s="12"/>
      <c r="V730" s="12"/>
      <c r="W730" s="12"/>
      <c r="X730" s="12"/>
      <c r="Y730" s="12"/>
      <c r="Z730" s="12"/>
      <c r="AA730" s="12"/>
      <c r="AB730" s="12"/>
      <c r="AD730" s="12"/>
      <c r="AE730" s="12"/>
      <c r="AF730" s="12"/>
      <c r="AG730" s="12"/>
      <c r="AH730" s="12"/>
      <c r="AI730" s="12"/>
      <c r="AJ730" s="12"/>
      <c r="AK730" s="12"/>
      <c r="AL730" s="12"/>
      <c r="AM730" s="12"/>
      <c r="AN730" s="12"/>
      <c r="AO730" s="12"/>
      <c r="AP730" s="12"/>
      <c r="AQ730" s="12"/>
      <c r="AR730" s="12"/>
      <c r="AS730" s="12"/>
      <c r="AT730" s="12"/>
    </row>
    <row r="731" spans="1:46" x14ac:dyDescent="0.25">
      <c r="A731" s="12"/>
      <c r="B731" s="12"/>
      <c r="C731" s="12"/>
      <c r="D731" s="12"/>
      <c r="E731" s="12"/>
      <c r="F731" s="12"/>
      <c r="G731" s="12"/>
      <c r="H731" s="12"/>
      <c r="I731" s="21" t="str">
        <f>IF(COUNTA('[1]Virus production'!A717)=1,('[1]Virus production'!A717),"")</f>
        <v/>
      </c>
      <c r="J731" s="12"/>
      <c r="L731" s="12"/>
      <c r="M731" s="12"/>
      <c r="N731" s="12"/>
      <c r="O731" s="12"/>
      <c r="P731" s="12"/>
      <c r="Q731" s="12"/>
      <c r="R731" s="12"/>
      <c r="S731" s="12"/>
      <c r="T731" s="12"/>
      <c r="U731" s="12"/>
      <c r="V731" s="12"/>
      <c r="W731" s="12"/>
      <c r="X731" s="12"/>
      <c r="Y731" s="12"/>
      <c r="Z731" s="12"/>
      <c r="AA731" s="12"/>
      <c r="AB731" s="12"/>
      <c r="AD731" s="12"/>
      <c r="AE731" s="12"/>
      <c r="AF731" s="12"/>
      <c r="AG731" s="12"/>
      <c r="AH731" s="12"/>
      <c r="AI731" s="12"/>
      <c r="AJ731" s="12"/>
      <c r="AK731" s="12"/>
      <c r="AL731" s="12"/>
      <c r="AM731" s="12"/>
      <c r="AN731" s="12"/>
      <c r="AO731" s="12"/>
      <c r="AP731" s="12"/>
      <c r="AQ731" s="12"/>
      <c r="AR731" s="12"/>
      <c r="AS731" s="12"/>
      <c r="AT731" s="12"/>
    </row>
    <row r="732" spans="1:46" x14ac:dyDescent="0.25">
      <c r="A732" s="12"/>
      <c r="B732" s="12"/>
      <c r="C732" s="12"/>
      <c r="D732" s="12"/>
      <c r="E732" s="12"/>
      <c r="F732" s="12"/>
      <c r="G732" s="12"/>
      <c r="H732" s="12"/>
      <c r="I732" s="21" t="str">
        <f>IF(COUNTA('[1]Virus production'!A718)=1,('[1]Virus production'!A718),"")</f>
        <v/>
      </c>
      <c r="J732" s="12"/>
      <c r="L732" s="12"/>
      <c r="M732" s="12"/>
      <c r="N732" s="12"/>
      <c r="O732" s="12"/>
      <c r="P732" s="12"/>
      <c r="Q732" s="12"/>
      <c r="R732" s="12"/>
      <c r="S732" s="12"/>
      <c r="T732" s="12"/>
      <c r="U732" s="12"/>
      <c r="V732" s="12"/>
      <c r="W732" s="12"/>
      <c r="X732" s="12"/>
      <c r="Y732" s="12"/>
      <c r="Z732" s="12"/>
      <c r="AA732" s="12"/>
      <c r="AB732" s="12"/>
      <c r="AD732" s="12"/>
      <c r="AE732" s="12"/>
      <c r="AF732" s="12"/>
      <c r="AG732" s="12"/>
      <c r="AH732" s="12"/>
      <c r="AI732" s="12"/>
      <c r="AJ732" s="12"/>
      <c r="AK732" s="12"/>
      <c r="AL732" s="12"/>
      <c r="AM732" s="12"/>
      <c r="AN732" s="12"/>
      <c r="AO732" s="12"/>
      <c r="AP732" s="12"/>
      <c r="AQ732" s="12"/>
      <c r="AR732" s="12"/>
      <c r="AS732" s="12"/>
      <c r="AT732" s="12"/>
    </row>
    <row r="733" spans="1:46" x14ac:dyDescent="0.25">
      <c r="A733" s="12"/>
      <c r="B733" s="12"/>
      <c r="C733" s="12"/>
      <c r="D733" s="12"/>
      <c r="E733" s="12"/>
      <c r="F733" s="12"/>
      <c r="G733" s="12"/>
      <c r="H733" s="12"/>
      <c r="I733" s="21" t="str">
        <f>IF(COUNTA('[1]Virus production'!A719)=1,('[1]Virus production'!A719),"")</f>
        <v/>
      </c>
      <c r="J733" s="12"/>
      <c r="L733" s="12"/>
      <c r="M733" s="12"/>
      <c r="N733" s="12"/>
      <c r="O733" s="12"/>
      <c r="P733" s="12"/>
      <c r="Q733" s="12"/>
      <c r="R733" s="12"/>
      <c r="S733" s="12"/>
      <c r="T733" s="12"/>
      <c r="U733" s="12"/>
      <c r="V733" s="12"/>
      <c r="W733" s="12"/>
      <c r="X733" s="12"/>
      <c r="Y733" s="12"/>
      <c r="Z733" s="12"/>
      <c r="AA733" s="12"/>
      <c r="AB733" s="12"/>
      <c r="AD733" s="12"/>
      <c r="AE733" s="12"/>
      <c r="AF733" s="12"/>
      <c r="AG733" s="12"/>
      <c r="AH733" s="12"/>
      <c r="AI733" s="12"/>
      <c r="AJ733" s="12"/>
      <c r="AK733" s="12"/>
      <c r="AL733" s="12"/>
      <c r="AM733" s="12"/>
      <c r="AN733" s="12"/>
      <c r="AO733" s="12"/>
      <c r="AP733" s="12"/>
      <c r="AQ733" s="12"/>
      <c r="AR733" s="12"/>
      <c r="AS733" s="12"/>
      <c r="AT733" s="12"/>
    </row>
    <row r="734" spans="1:46" x14ac:dyDescent="0.25">
      <c r="A734" s="12"/>
      <c r="B734" s="12"/>
      <c r="C734" s="12"/>
      <c r="D734" s="12"/>
      <c r="E734" s="12"/>
      <c r="F734" s="12"/>
      <c r="G734" s="12"/>
      <c r="H734" s="12"/>
      <c r="I734" s="21" t="str">
        <f>IF(COUNTA('[1]Virus production'!A720)=1,('[1]Virus production'!A720),"")</f>
        <v/>
      </c>
      <c r="J734" s="12"/>
      <c r="L734" s="12"/>
      <c r="M734" s="12"/>
      <c r="N734" s="12"/>
      <c r="O734" s="12"/>
      <c r="P734" s="12"/>
      <c r="Q734" s="12"/>
      <c r="R734" s="12"/>
      <c r="S734" s="12"/>
      <c r="T734" s="12"/>
      <c r="U734" s="12"/>
      <c r="V734" s="12"/>
      <c r="W734" s="12"/>
      <c r="X734" s="12"/>
      <c r="Y734" s="12"/>
      <c r="Z734" s="12"/>
      <c r="AA734" s="12"/>
      <c r="AB734" s="12"/>
      <c r="AD734" s="12"/>
      <c r="AE734" s="12"/>
      <c r="AF734" s="12"/>
      <c r="AG734" s="12"/>
      <c r="AH734" s="12"/>
      <c r="AI734" s="12"/>
      <c r="AJ734" s="12"/>
      <c r="AK734" s="12"/>
      <c r="AL734" s="12"/>
      <c r="AM734" s="12"/>
      <c r="AN734" s="12"/>
      <c r="AO734" s="12"/>
      <c r="AP734" s="12"/>
      <c r="AQ734" s="12"/>
      <c r="AR734" s="12"/>
      <c r="AS734" s="12"/>
      <c r="AT734" s="12"/>
    </row>
    <row r="735" spans="1:46" x14ac:dyDescent="0.25">
      <c r="A735" s="12"/>
      <c r="B735" s="12"/>
      <c r="C735" s="12"/>
      <c r="D735" s="12"/>
      <c r="E735" s="12"/>
      <c r="F735" s="12"/>
      <c r="G735" s="12"/>
      <c r="H735" s="12"/>
      <c r="I735" s="21" t="str">
        <f>IF(COUNTA('[1]Virus production'!A721)=1,('[1]Virus production'!A721),"")</f>
        <v/>
      </c>
      <c r="J735" s="12"/>
      <c r="L735" s="12"/>
      <c r="M735" s="12"/>
      <c r="N735" s="12"/>
      <c r="O735" s="12"/>
      <c r="P735" s="12"/>
      <c r="Q735" s="12"/>
      <c r="R735" s="12"/>
      <c r="S735" s="12"/>
      <c r="T735" s="12"/>
      <c r="U735" s="12"/>
      <c r="V735" s="12"/>
      <c r="W735" s="12"/>
      <c r="X735" s="12"/>
      <c r="Y735" s="12"/>
      <c r="Z735" s="12"/>
      <c r="AA735" s="12"/>
      <c r="AB735" s="12"/>
      <c r="AD735" s="12"/>
      <c r="AE735" s="12"/>
      <c r="AF735" s="12"/>
      <c r="AG735" s="12"/>
      <c r="AH735" s="12"/>
      <c r="AI735" s="12"/>
      <c r="AJ735" s="12"/>
      <c r="AK735" s="12"/>
      <c r="AL735" s="12"/>
      <c r="AM735" s="12"/>
      <c r="AN735" s="12"/>
      <c r="AO735" s="12"/>
      <c r="AP735" s="12"/>
      <c r="AQ735" s="12"/>
      <c r="AR735" s="12"/>
      <c r="AS735" s="12"/>
      <c r="AT735" s="12"/>
    </row>
    <row r="736" spans="1:46" x14ac:dyDescent="0.25">
      <c r="A736" s="12"/>
      <c r="B736" s="12"/>
      <c r="C736" s="12"/>
      <c r="D736" s="12"/>
      <c r="E736" s="12"/>
      <c r="F736" s="12"/>
      <c r="G736" s="12"/>
      <c r="H736" s="12"/>
      <c r="I736" s="21" t="str">
        <f>IF(COUNTA('[1]Virus production'!A722)=1,('[1]Virus production'!A722),"")</f>
        <v/>
      </c>
      <c r="J736" s="12"/>
      <c r="L736" s="12"/>
      <c r="M736" s="12"/>
      <c r="N736" s="12"/>
      <c r="O736" s="12"/>
      <c r="P736" s="12"/>
      <c r="Q736" s="12"/>
      <c r="R736" s="12"/>
      <c r="S736" s="12"/>
      <c r="T736" s="12"/>
      <c r="U736" s="12"/>
      <c r="V736" s="12"/>
      <c r="W736" s="12"/>
      <c r="X736" s="12"/>
      <c r="Y736" s="12"/>
      <c r="Z736" s="12"/>
      <c r="AA736" s="12"/>
      <c r="AB736" s="12"/>
      <c r="AD736" s="12"/>
      <c r="AE736" s="12"/>
      <c r="AF736" s="12"/>
      <c r="AG736" s="12"/>
      <c r="AH736" s="12"/>
      <c r="AI736" s="12"/>
      <c r="AJ736" s="12"/>
      <c r="AK736" s="12"/>
      <c r="AL736" s="12"/>
      <c r="AM736" s="12"/>
      <c r="AN736" s="12"/>
      <c r="AO736" s="12"/>
      <c r="AP736" s="12"/>
      <c r="AQ736" s="12"/>
      <c r="AR736" s="12"/>
      <c r="AS736" s="12"/>
      <c r="AT736" s="12"/>
    </row>
    <row r="737" spans="1:46" x14ac:dyDescent="0.25">
      <c r="A737" s="12"/>
      <c r="B737" s="12"/>
      <c r="C737" s="12"/>
      <c r="D737" s="12"/>
      <c r="E737" s="12"/>
      <c r="F737" s="12"/>
      <c r="G737" s="12"/>
      <c r="H737" s="12"/>
      <c r="I737" s="21" t="str">
        <f>IF(COUNTA('[1]Virus production'!A723)=1,('[1]Virus production'!A723),"")</f>
        <v/>
      </c>
      <c r="J737" s="12"/>
      <c r="L737" s="12"/>
      <c r="M737" s="12"/>
      <c r="N737" s="12"/>
      <c r="O737" s="12"/>
      <c r="P737" s="12"/>
      <c r="Q737" s="12"/>
      <c r="R737" s="12"/>
      <c r="S737" s="12"/>
      <c r="T737" s="12"/>
      <c r="U737" s="12"/>
      <c r="V737" s="12"/>
      <c r="W737" s="12"/>
      <c r="X737" s="12"/>
      <c r="Y737" s="12"/>
      <c r="Z737" s="12"/>
      <c r="AA737" s="12"/>
      <c r="AB737" s="12"/>
      <c r="AD737" s="12"/>
      <c r="AE737" s="12"/>
      <c r="AF737" s="12"/>
      <c r="AG737" s="12"/>
      <c r="AH737" s="12"/>
      <c r="AI737" s="12"/>
      <c r="AJ737" s="12"/>
      <c r="AK737" s="12"/>
      <c r="AL737" s="12"/>
      <c r="AM737" s="12"/>
      <c r="AN737" s="12"/>
      <c r="AO737" s="12"/>
      <c r="AP737" s="12"/>
      <c r="AQ737" s="12"/>
      <c r="AR737" s="12"/>
      <c r="AS737" s="12"/>
      <c r="AT737" s="12"/>
    </row>
    <row r="738" spans="1:46" x14ac:dyDescent="0.25">
      <c r="A738" s="12"/>
      <c r="B738" s="12"/>
      <c r="C738" s="12"/>
      <c r="D738" s="12"/>
      <c r="E738" s="12"/>
      <c r="F738" s="12"/>
      <c r="G738" s="12"/>
      <c r="H738" s="12"/>
      <c r="I738" s="21" t="str">
        <f>IF(COUNTA('[1]Virus production'!A724)=1,('[1]Virus production'!A724),"")</f>
        <v/>
      </c>
      <c r="J738" s="12"/>
      <c r="L738" s="12"/>
      <c r="M738" s="12"/>
      <c r="N738" s="12"/>
      <c r="O738" s="12"/>
      <c r="P738" s="12"/>
      <c r="Q738" s="12"/>
      <c r="R738" s="12"/>
      <c r="S738" s="12"/>
      <c r="T738" s="12"/>
      <c r="U738" s="12"/>
      <c r="V738" s="12"/>
      <c r="W738" s="12"/>
      <c r="X738" s="12"/>
      <c r="Y738" s="12"/>
      <c r="Z738" s="12"/>
      <c r="AA738" s="12"/>
      <c r="AB738" s="12"/>
      <c r="AD738" s="12"/>
      <c r="AE738" s="12"/>
      <c r="AF738" s="12"/>
      <c r="AG738" s="12"/>
      <c r="AH738" s="12"/>
      <c r="AI738" s="12"/>
      <c r="AJ738" s="12"/>
      <c r="AK738" s="12"/>
      <c r="AL738" s="12"/>
      <c r="AM738" s="12"/>
      <c r="AN738" s="12"/>
      <c r="AO738" s="12"/>
      <c r="AP738" s="12"/>
      <c r="AQ738" s="12"/>
      <c r="AR738" s="12"/>
      <c r="AS738" s="12"/>
      <c r="AT738" s="12"/>
    </row>
    <row r="739" spans="1:46" x14ac:dyDescent="0.25">
      <c r="A739" s="12"/>
      <c r="B739" s="12"/>
      <c r="C739" s="12"/>
      <c r="D739" s="12"/>
      <c r="E739" s="12"/>
      <c r="F739" s="12"/>
      <c r="G739" s="12"/>
      <c r="H739" s="12"/>
      <c r="I739" s="21" t="str">
        <f>IF(COUNTA('[1]Virus production'!A725)=1,('[1]Virus production'!A725),"")</f>
        <v/>
      </c>
      <c r="J739" s="12"/>
      <c r="L739" s="12"/>
      <c r="M739" s="12"/>
      <c r="N739" s="12"/>
      <c r="O739" s="12"/>
      <c r="P739" s="12"/>
      <c r="Q739" s="12"/>
      <c r="R739" s="12"/>
      <c r="S739" s="12"/>
      <c r="T739" s="12"/>
      <c r="U739" s="12"/>
      <c r="V739" s="12"/>
      <c r="W739" s="12"/>
      <c r="X739" s="12"/>
      <c r="Y739" s="12"/>
      <c r="Z739" s="12"/>
      <c r="AA739" s="12"/>
      <c r="AB739" s="12"/>
      <c r="AD739" s="12"/>
      <c r="AE739" s="12"/>
      <c r="AF739" s="12"/>
      <c r="AG739" s="12"/>
      <c r="AH739" s="12"/>
      <c r="AI739" s="12"/>
      <c r="AJ739" s="12"/>
      <c r="AK739" s="12"/>
      <c r="AL739" s="12"/>
      <c r="AM739" s="12"/>
      <c r="AN739" s="12"/>
      <c r="AO739" s="12"/>
      <c r="AP739" s="12"/>
      <c r="AQ739" s="12"/>
      <c r="AR739" s="12"/>
      <c r="AS739" s="12"/>
      <c r="AT739" s="12"/>
    </row>
    <row r="740" spans="1:46" x14ac:dyDescent="0.25">
      <c r="A740" s="12"/>
      <c r="B740" s="12"/>
      <c r="C740" s="12"/>
      <c r="D740" s="12"/>
      <c r="E740" s="12"/>
      <c r="F740" s="12"/>
      <c r="G740" s="12"/>
      <c r="H740" s="12"/>
      <c r="I740" s="21" t="str">
        <f>IF(COUNTA('[1]Virus production'!A726)=1,('[1]Virus production'!A726),"")</f>
        <v/>
      </c>
      <c r="J740" s="12"/>
      <c r="L740" s="12"/>
      <c r="M740" s="12"/>
      <c r="N740" s="12"/>
      <c r="O740" s="12"/>
      <c r="P740" s="12"/>
      <c r="Q740" s="12"/>
      <c r="R740" s="12"/>
      <c r="S740" s="12"/>
      <c r="T740" s="12"/>
      <c r="U740" s="12"/>
      <c r="V740" s="12"/>
      <c r="W740" s="12"/>
      <c r="X740" s="12"/>
      <c r="Y740" s="12"/>
      <c r="Z740" s="12"/>
      <c r="AA740" s="12"/>
      <c r="AB740" s="12"/>
      <c r="AD740" s="12"/>
      <c r="AE740" s="12"/>
      <c r="AF740" s="12"/>
      <c r="AG740" s="12"/>
      <c r="AH740" s="12"/>
      <c r="AI740" s="12"/>
      <c r="AJ740" s="12"/>
      <c r="AK740" s="12"/>
      <c r="AL740" s="12"/>
      <c r="AM740" s="12"/>
      <c r="AN740" s="12"/>
      <c r="AO740" s="12"/>
      <c r="AP740" s="12"/>
      <c r="AQ740" s="12"/>
      <c r="AR740" s="12"/>
      <c r="AS740" s="12"/>
      <c r="AT740" s="12"/>
    </row>
    <row r="741" spans="1:46" x14ac:dyDescent="0.25">
      <c r="A741" s="12"/>
      <c r="B741" s="12"/>
      <c r="C741" s="12"/>
      <c r="D741" s="12"/>
      <c r="E741" s="12"/>
      <c r="F741" s="12"/>
      <c r="G741" s="12"/>
      <c r="H741" s="12"/>
      <c r="I741" s="21" t="str">
        <f>IF(COUNTA('[1]Virus production'!A727)=1,('[1]Virus production'!A727),"")</f>
        <v/>
      </c>
      <c r="J741" s="12"/>
      <c r="L741" s="12"/>
      <c r="M741" s="12"/>
      <c r="N741" s="12"/>
      <c r="O741" s="12"/>
      <c r="P741" s="12"/>
      <c r="Q741" s="12"/>
      <c r="R741" s="12"/>
      <c r="S741" s="12"/>
      <c r="T741" s="12"/>
      <c r="U741" s="12"/>
      <c r="V741" s="12"/>
      <c r="W741" s="12"/>
      <c r="X741" s="12"/>
      <c r="Y741" s="12"/>
      <c r="Z741" s="12"/>
      <c r="AA741" s="12"/>
      <c r="AB741" s="12"/>
      <c r="AD741" s="12"/>
      <c r="AE741" s="12"/>
      <c r="AF741" s="12"/>
      <c r="AG741" s="12"/>
      <c r="AH741" s="12"/>
      <c r="AI741" s="12"/>
      <c r="AJ741" s="12"/>
      <c r="AK741" s="12"/>
      <c r="AL741" s="12"/>
      <c r="AM741" s="12"/>
      <c r="AN741" s="12"/>
      <c r="AO741" s="12"/>
      <c r="AP741" s="12"/>
      <c r="AQ741" s="12"/>
      <c r="AR741" s="12"/>
      <c r="AS741" s="12"/>
      <c r="AT741" s="12"/>
    </row>
    <row r="742" spans="1:46" x14ac:dyDescent="0.25">
      <c r="A742" s="12"/>
      <c r="B742" s="12"/>
      <c r="C742" s="12"/>
      <c r="D742" s="12"/>
      <c r="E742" s="12"/>
      <c r="F742" s="12"/>
      <c r="G742" s="12"/>
      <c r="H742" s="12"/>
      <c r="I742" s="21" t="str">
        <f>IF(COUNTA('[1]Virus production'!A728)=1,('[1]Virus production'!A728),"")</f>
        <v/>
      </c>
      <c r="J742" s="12"/>
      <c r="L742" s="12"/>
      <c r="M742" s="12"/>
      <c r="N742" s="12"/>
      <c r="O742" s="12"/>
      <c r="P742" s="12"/>
      <c r="Q742" s="12"/>
      <c r="R742" s="12"/>
      <c r="S742" s="12"/>
      <c r="T742" s="12"/>
      <c r="U742" s="12"/>
      <c r="V742" s="12"/>
      <c r="W742" s="12"/>
      <c r="X742" s="12"/>
      <c r="Y742" s="12"/>
      <c r="Z742" s="12"/>
      <c r="AA742" s="12"/>
      <c r="AB742" s="12"/>
      <c r="AD742" s="12"/>
      <c r="AE742" s="12"/>
      <c r="AF742" s="12"/>
      <c r="AG742" s="12"/>
      <c r="AH742" s="12"/>
      <c r="AI742" s="12"/>
      <c r="AJ742" s="12"/>
      <c r="AK742" s="12"/>
      <c r="AL742" s="12"/>
      <c r="AM742" s="12"/>
      <c r="AN742" s="12"/>
      <c r="AO742" s="12"/>
      <c r="AP742" s="12"/>
      <c r="AQ742" s="12"/>
      <c r="AR742" s="12"/>
      <c r="AS742" s="12"/>
      <c r="AT742" s="12"/>
    </row>
    <row r="743" spans="1:46" x14ac:dyDescent="0.25">
      <c r="A743" s="12"/>
      <c r="B743" s="12"/>
      <c r="C743" s="12"/>
      <c r="D743" s="12"/>
      <c r="E743" s="12"/>
      <c r="F743" s="12"/>
      <c r="G743" s="12"/>
      <c r="H743" s="12"/>
      <c r="I743" s="21" t="str">
        <f>IF(COUNTA('[1]Virus production'!A729)=1,('[1]Virus production'!A729),"")</f>
        <v/>
      </c>
      <c r="J743" s="12"/>
      <c r="L743" s="12"/>
      <c r="M743" s="12"/>
      <c r="N743" s="12"/>
      <c r="O743" s="12"/>
      <c r="P743" s="12"/>
      <c r="Q743" s="12"/>
      <c r="R743" s="12"/>
      <c r="S743" s="12"/>
      <c r="T743" s="12"/>
      <c r="U743" s="12"/>
      <c r="V743" s="12"/>
      <c r="W743" s="12"/>
      <c r="X743" s="12"/>
      <c r="Y743" s="12"/>
      <c r="Z743" s="12"/>
      <c r="AA743" s="12"/>
      <c r="AB743" s="12"/>
      <c r="AD743" s="12"/>
      <c r="AE743" s="12"/>
      <c r="AF743" s="12"/>
      <c r="AG743" s="12"/>
      <c r="AH743" s="12"/>
      <c r="AI743" s="12"/>
      <c r="AJ743" s="12"/>
      <c r="AK743" s="12"/>
      <c r="AL743" s="12"/>
      <c r="AM743" s="12"/>
      <c r="AN743" s="12"/>
      <c r="AO743" s="12"/>
      <c r="AP743" s="12"/>
      <c r="AQ743" s="12"/>
      <c r="AR743" s="12"/>
      <c r="AS743" s="12"/>
      <c r="AT743" s="12"/>
    </row>
    <row r="744" spans="1:46" x14ac:dyDescent="0.25">
      <c r="A744" s="12"/>
      <c r="B744" s="12"/>
      <c r="C744" s="12"/>
      <c r="D744" s="12"/>
      <c r="E744" s="12"/>
      <c r="F744" s="12"/>
      <c r="G744" s="12"/>
      <c r="H744" s="12"/>
      <c r="I744" s="21" t="str">
        <f>IF(COUNTA('[1]Virus production'!A730)=1,('[1]Virus production'!A730),"")</f>
        <v/>
      </c>
      <c r="J744" s="12"/>
      <c r="L744" s="12"/>
      <c r="M744" s="12"/>
      <c r="N744" s="12"/>
      <c r="O744" s="12"/>
      <c r="P744" s="12"/>
      <c r="Q744" s="12"/>
      <c r="R744" s="12"/>
      <c r="S744" s="12"/>
      <c r="T744" s="12"/>
      <c r="U744" s="12"/>
      <c r="V744" s="12"/>
      <c r="W744" s="12"/>
      <c r="X744" s="12"/>
      <c r="Y744" s="12"/>
      <c r="Z744" s="12"/>
      <c r="AA744" s="12"/>
      <c r="AB744" s="12"/>
      <c r="AD744" s="12"/>
      <c r="AE744" s="12"/>
      <c r="AF744" s="12"/>
      <c r="AG744" s="12"/>
      <c r="AH744" s="12"/>
      <c r="AI744" s="12"/>
      <c r="AJ744" s="12"/>
      <c r="AK744" s="12"/>
      <c r="AL744" s="12"/>
      <c r="AM744" s="12"/>
      <c r="AN744" s="12"/>
      <c r="AO744" s="12"/>
      <c r="AP744" s="12"/>
      <c r="AQ744" s="12"/>
      <c r="AR744" s="12"/>
      <c r="AS744" s="12"/>
      <c r="AT744" s="12"/>
    </row>
    <row r="745" spans="1:46" x14ac:dyDescent="0.25">
      <c r="A745" s="12"/>
      <c r="B745" s="12"/>
      <c r="C745" s="12"/>
      <c r="D745" s="12"/>
      <c r="E745" s="12"/>
      <c r="F745" s="12"/>
      <c r="G745" s="12"/>
      <c r="H745" s="12"/>
      <c r="I745" s="21" t="str">
        <f>IF(COUNTA('[1]Virus production'!A731)=1,('[1]Virus production'!A731),"")</f>
        <v/>
      </c>
      <c r="J745" s="12"/>
      <c r="L745" s="12"/>
      <c r="M745" s="12"/>
      <c r="N745" s="12"/>
      <c r="O745" s="12"/>
      <c r="P745" s="12"/>
      <c r="Q745" s="12"/>
      <c r="R745" s="12"/>
      <c r="S745" s="12"/>
      <c r="T745" s="12"/>
      <c r="U745" s="12"/>
      <c r="V745" s="12"/>
      <c r="W745" s="12"/>
      <c r="X745" s="12"/>
      <c r="Y745" s="12"/>
      <c r="Z745" s="12"/>
      <c r="AA745" s="12"/>
      <c r="AB745" s="12"/>
      <c r="AD745" s="12"/>
      <c r="AE745" s="12"/>
      <c r="AF745" s="12"/>
      <c r="AG745" s="12"/>
      <c r="AH745" s="12"/>
      <c r="AI745" s="12"/>
      <c r="AJ745" s="12"/>
      <c r="AK745" s="12"/>
      <c r="AL745" s="12"/>
      <c r="AM745" s="12"/>
      <c r="AN745" s="12"/>
      <c r="AO745" s="12"/>
      <c r="AP745" s="12"/>
      <c r="AQ745" s="12"/>
      <c r="AR745" s="12"/>
      <c r="AS745" s="12"/>
      <c r="AT745" s="12"/>
    </row>
    <row r="746" spans="1:46" x14ac:dyDescent="0.25">
      <c r="A746" s="12"/>
      <c r="B746" s="12"/>
      <c r="C746" s="12"/>
      <c r="D746" s="12"/>
      <c r="E746" s="12"/>
      <c r="F746" s="12"/>
      <c r="G746" s="12"/>
      <c r="H746" s="12"/>
      <c r="I746" s="21" t="str">
        <f>IF(COUNTA('[1]Virus production'!A732)=1,('[1]Virus production'!A732),"")</f>
        <v/>
      </c>
      <c r="J746" s="12"/>
      <c r="L746" s="12"/>
      <c r="M746" s="12"/>
      <c r="N746" s="12"/>
      <c r="O746" s="12"/>
      <c r="P746" s="12"/>
      <c r="Q746" s="12"/>
      <c r="R746" s="12"/>
      <c r="S746" s="12"/>
      <c r="T746" s="12"/>
      <c r="U746" s="12"/>
      <c r="V746" s="12"/>
      <c r="W746" s="12"/>
      <c r="X746" s="12"/>
      <c r="Y746" s="12"/>
      <c r="Z746" s="12"/>
      <c r="AA746" s="12"/>
      <c r="AB746" s="12"/>
      <c r="AD746" s="12"/>
      <c r="AE746" s="12"/>
      <c r="AF746" s="12"/>
      <c r="AG746" s="12"/>
      <c r="AH746" s="12"/>
      <c r="AI746" s="12"/>
      <c r="AJ746" s="12"/>
      <c r="AK746" s="12"/>
      <c r="AL746" s="12"/>
      <c r="AM746" s="12"/>
      <c r="AN746" s="12"/>
      <c r="AO746" s="12"/>
      <c r="AP746" s="12"/>
      <c r="AQ746" s="12"/>
      <c r="AR746" s="12"/>
      <c r="AS746" s="12"/>
      <c r="AT746" s="12"/>
    </row>
    <row r="747" spans="1:46" x14ac:dyDescent="0.25">
      <c r="A747" s="12"/>
      <c r="B747" s="12"/>
      <c r="C747" s="12"/>
      <c r="D747" s="12"/>
      <c r="E747" s="12"/>
      <c r="F747" s="12"/>
      <c r="G747" s="12"/>
      <c r="H747" s="12"/>
      <c r="I747" s="21" t="str">
        <f>IF(COUNTA('[1]Virus production'!A733)=1,('[1]Virus production'!A733),"")</f>
        <v/>
      </c>
      <c r="J747" s="12"/>
      <c r="L747" s="12"/>
      <c r="M747" s="12"/>
      <c r="N747" s="12"/>
      <c r="O747" s="12"/>
      <c r="P747" s="12"/>
      <c r="Q747" s="12"/>
      <c r="R747" s="12"/>
      <c r="S747" s="12"/>
      <c r="T747" s="12"/>
      <c r="U747" s="12"/>
      <c r="V747" s="12"/>
      <c r="W747" s="12"/>
      <c r="X747" s="12"/>
      <c r="Y747" s="12"/>
      <c r="Z747" s="12"/>
      <c r="AA747" s="12"/>
      <c r="AB747" s="12"/>
      <c r="AD747" s="12"/>
      <c r="AE747" s="12"/>
      <c r="AF747" s="12"/>
      <c r="AG747" s="12"/>
      <c r="AH747" s="12"/>
      <c r="AI747" s="12"/>
      <c r="AJ747" s="12"/>
      <c r="AK747" s="12"/>
      <c r="AL747" s="12"/>
      <c r="AM747" s="12"/>
      <c r="AN747" s="12"/>
      <c r="AO747" s="12"/>
      <c r="AP747" s="12"/>
      <c r="AQ747" s="12"/>
      <c r="AR747" s="12"/>
      <c r="AS747" s="12"/>
      <c r="AT747" s="12"/>
    </row>
    <row r="748" spans="1:46" x14ac:dyDescent="0.25">
      <c r="A748" s="12"/>
      <c r="B748" s="12"/>
      <c r="C748" s="12"/>
      <c r="D748" s="12"/>
      <c r="E748" s="12"/>
      <c r="F748" s="12"/>
      <c r="G748" s="12"/>
      <c r="H748" s="12"/>
      <c r="I748" s="21" t="str">
        <f>IF(COUNTA('[1]Virus production'!A734)=1,('[1]Virus production'!A734),"")</f>
        <v/>
      </c>
      <c r="J748" s="12"/>
      <c r="L748" s="12"/>
      <c r="M748" s="12"/>
      <c r="N748" s="12"/>
      <c r="O748" s="12"/>
      <c r="P748" s="12"/>
      <c r="Q748" s="12"/>
      <c r="R748" s="12"/>
      <c r="S748" s="12"/>
      <c r="T748" s="12"/>
      <c r="U748" s="12"/>
      <c r="V748" s="12"/>
      <c r="W748" s="12"/>
      <c r="X748" s="12"/>
      <c r="Y748" s="12"/>
      <c r="Z748" s="12"/>
      <c r="AA748" s="12"/>
      <c r="AB748" s="12"/>
      <c r="AD748" s="12"/>
      <c r="AE748" s="12"/>
      <c r="AF748" s="12"/>
      <c r="AG748" s="12"/>
      <c r="AH748" s="12"/>
      <c r="AI748" s="12"/>
      <c r="AJ748" s="12"/>
      <c r="AK748" s="12"/>
      <c r="AL748" s="12"/>
      <c r="AM748" s="12"/>
      <c r="AN748" s="12"/>
      <c r="AO748" s="12"/>
      <c r="AP748" s="12"/>
      <c r="AQ748" s="12"/>
      <c r="AR748" s="12"/>
      <c r="AS748" s="12"/>
      <c r="AT748" s="12"/>
    </row>
    <row r="749" spans="1:46" x14ac:dyDescent="0.25">
      <c r="A749" s="12"/>
      <c r="B749" s="12"/>
      <c r="C749" s="12"/>
      <c r="D749" s="12"/>
      <c r="E749" s="12"/>
      <c r="F749" s="12"/>
      <c r="G749" s="12"/>
      <c r="H749" s="12"/>
      <c r="I749" s="21" t="str">
        <f>IF(COUNTA('[1]Virus production'!A735)=1,('[1]Virus production'!A735),"")</f>
        <v/>
      </c>
      <c r="J749" s="12"/>
      <c r="L749" s="12"/>
      <c r="M749" s="12"/>
      <c r="N749" s="12"/>
      <c r="O749" s="12"/>
      <c r="P749" s="12"/>
      <c r="Q749" s="12"/>
      <c r="R749" s="12"/>
      <c r="S749" s="12"/>
      <c r="T749" s="12"/>
      <c r="U749" s="12"/>
      <c r="V749" s="12"/>
      <c r="W749" s="12"/>
      <c r="X749" s="12"/>
      <c r="Y749" s="12"/>
      <c r="Z749" s="12"/>
      <c r="AA749" s="12"/>
      <c r="AB749" s="12"/>
      <c r="AD749" s="12"/>
      <c r="AE749" s="12"/>
      <c r="AF749" s="12"/>
      <c r="AG749" s="12"/>
      <c r="AH749" s="12"/>
      <c r="AI749" s="12"/>
      <c r="AJ749" s="12"/>
      <c r="AK749" s="12"/>
      <c r="AL749" s="12"/>
      <c r="AM749" s="12"/>
      <c r="AN749" s="12"/>
      <c r="AO749" s="12"/>
      <c r="AP749" s="12"/>
      <c r="AQ749" s="12"/>
      <c r="AR749" s="12"/>
      <c r="AS749" s="12"/>
      <c r="AT749" s="12"/>
    </row>
    <row r="750" spans="1:46" x14ac:dyDescent="0.25">
      <c r="A750" s="12"/>
      <c r="B750" s="12"/>
      <c r="C750" s="12"/>
      <c r="D750" s="12"/>
      <c r="E750" s="12"/>
      <c r="F750" s="12"/>
      <c r="G750" s="12"/>
      <c r="H750" s="12"/>
      <c r="I750" s="21" t="str">
        <f>IF(COUNTA('[1]Virus production'!A736)=1,('[1]Virus production'!A736),"")</f>
        <v/>
      </c>
      <c r="J750" s="12"/>
      <c r="L750" s="12"/>
      <c r="M750" s="12"/>
      <c r="N750" s="12"/>
      <c r="O750" s="12"/>
      <c r="P750" s="12"/>
      <c r="Q750" s="12"/>
      <c r="R750" s="12"/>
      <c r="S750" s="12"/>
      <c r="T750" s="12"/>
      <c r="U750" s="12"/>
      <c r="V750" s="12"/>
      <c r="W750" s="12"/>
      <c r="X750" s="12"/>
      <c r="Y750" s="12"/>
      <c r="Z750" s="12"/>
      <c r="AA750" s="12"/>
      <c r="AB750" s="12"/>
      <c r="AD750" s="12"/>
      <c r="AE750" s="12"/>
      <c r="AF750" s="12"/>
      <c r="AG750" s="12"/>
      <c r="AH750" s="12"/>
      <c r="AI750" s="12"/>
      <c r="AJ750" s="12"/>
      <c r="AK750" s="12"/>
      <c r="AL750" s="12"/>
      <c r="AM750" s="12"/>
      <c r="AN750" s="12"/>
      <c r="AO750" s="12"/>
      <c r="AP750" s="12"/>
      <c r="AQ750" s="12"/>
      <c r="AR750" s="12"/>
      <c r="AS750" s="12"/>
      <c r="AT750" s="12"/>
    </row>
    <row r="751" spans="1:46" x14ac:dyDescent="0.25">
      <c r="A751" s="12"/>
      <c r="B751" s="12"/>
      <c r="C751" s="12"/>
      <c r="D751" s="12"/>
      <c r="E751" s="12"/>
      <c r="F751" s="12"/>
      <c r="G751" s="12"/>
      <c r="H751" s="12"/>
      <c r="I751" s="21" t="str">
        <f>IF(COUNTA('[1]Virus production'!A737)=1,('[1]Virus production'!A737),"")</f>
        <v/>
      </c>
      <c r="J751" s="12"/>
      <c r="L751" s="12"/>
      <c r="M751" s="12"/>
      <c r="N751" s="12"/>
      <c r="O751" s="12"/>
      <c r="P751" s="12"/>
      <c r="Q751" s="12"/>
      <c r="R751" s="12"/>
      <c r="S751" s="12"/>
      <c r="T751" s="12"/>
      <c r="U751" s="12"/>
      <c r="V751" s="12"/>
      <c r="W751" s="12"/>
      <c r="X751" s="12"/>
      <c r="Y751" s="12"/>
      <c r="Z751" s="12"/>
      <c r="AA751" s="12"/>
      <c r="AB751" s="12"/>
      <c r="AD751" s="12"/>
      <c r="AE751" s="12"/>
      <c r="AF751" s="12"/>
      <c r="AG751" s="12"/>
      <c r="AH751" s="12"/>
      <c r="AI751" s="12"/>
      <c r="AJ751" s="12"/>
      <c r="AK751" s="12"/>
      <c r="AL751" s="12"/>
      <c r="AM751" s="12"/>
      <c r="AN751" s="12"/>
      <c r="AO751" s="12"/>
      <c r="AP751" s="12"/>
      <c r="AQ751" s="12"/>
      <c r="AR751" s="12"/>
      <c r="AS751" s="12"/>
      <c r="AT751" s="12"/>
    </row>
    <row r="752" spans="1:46" x14ac:dyDescent="0.25">
      <c r="A752" s="12"/>
      <c r="B752" s="12"/>
      <c r="C752" s="12"/>
      <c r="D752" s="12"/>
      <c r="E752" s="12"/>
      <c r="F752" s="12"/>
      <c r="G752" s="12"/>
      <c r="H752" s="12"/>
      <c r="I752" s="21" t="str">
        <f>IF(COUNTA('[1]Virus production'!A738)=1,('[1]Virus production'!A738),"")</f>
        <v/>
      </c>
      <c r="J752" s="12"/>
      <c r="L752" s="12"/>
      <c r="M752" s="12"/>
      <c r="N752" s="12"/>
      <c r="O752" s="12"/>
      <c r="P752" s="12"/>
      <c r="Q752" s="12"/>
      <c r="R752" s="12"/>
      <c r="S752" s="12"/>
      <c r="T752" s="12"/>
      <c r="U752" s="12"/>
      <c r="V752" s="12"/>
      <c r="W752" s="12"/>
      <c r="X752" s="12"/>
      <c r="Y752" s="12"/>
      <c r="Z752" s="12"/>
      <c r="AA752" s="12"/>
      <c r="AB752" s="12"/>
      <c r="AD752" s="12"/>
      <c r="AE752" s="12"/>
      <c r="AF752" s="12"/>
      <c r="AG752" s="12"/>
      <c r="AH752" s="12"/>
      <c r="AI752" s="12"/>
      <c r="AJ752" s="12"/>
      <c r="AK752" s="12"/>
      <c r="AL752" s="12"/>
      <c r="AM752" s="12"/>
      <c r="AN752" s="12"/>
      <c r="AO752" s="12"/>
      <c r="AP752" s="12"/>
      <c r="AQ752" s="12"/>
      <c r="AR752" s="12"/>
      <c r="AS752" s="12"/>
      <c r="AT752" s="12"/>
    </row>
    <row r="753" spans="1:46" x14ac:dyDescent="0.25">
      <c r="A753" s="12"/>
      <c r="B753" s="12"/>
      <c r="C753" s="12"/>
      <c r="D753" s="12"/>
      <c r="E753" s="12"/>
      <c r="F753" s="12"/>
      <c r="G753" s="12"/>
      <c r="H753" s="12"/>
      <c r="I753" s="21" t="str">
        <f>IF(COUNTA('[1]Virus production'!A739)=1,('[1]Virus production'!A739),"")</f>
        <v/>
      </c>
      <c r="J753" s="12"/>
      <c r="L753" s="12"/>
      <c r="M753" s="12"/>
      <c r="N753" s="12"/>
      <c r="O753" s="12"/>
      <c r="P753" s="12"/>
      <c r="Q753" s="12"/>
      <c r="R753" s="12"/>
      <c r="S753" s="12"/>
      <c r="T753" s="12"/>
      <c r="U753" s="12"/>
      <c r="V753" s="12"/>
      <c r="W753" s="12"/>
      <c r="X753" s="12"/>
      <c r="Y753" s="12"/>
      <c r="Z753" s="12"/>
      <c r="AA753" s="12"/>
      <c r="AB753" s="12"/>
      <c r="AD753" s="12"/>
      <c r="AE753" s="12"/>
      <c r="AF753" s="12"/>
      <c r="AG753" s="12"/>
      <c r="AH753" s="12"/>
      <c r="AI753" s="12"/>
      <c r="AJ753" s="12"/>
      <c r="AK753" s="12"/>
      <c r="AL753" s="12"/>
      <c r="AM753" s="12"/>
      <c r="AN753" s="12"/>
      <c r="AO753" s="12"/>
      <c r="AP753" s="12"/>
      <c r="AQ753" s="12"/>
      <c r="AR753" s="12"/>
      <c r="AS753" s="12"/>
      <c r="AT753" s="12"/>
    </row>
    <row r="754" spans="1:46" x14ac:dyDescent="0.25">
      <c r="A754" s="12"/>
      <c r="B754" s="12"/>
      <c r="C754" s="12"/>
      <c r="D754" s="12"/>
      <c r="E754" s="12"/>
      <c r="F754" s="12"/>
      <c r="G754" s="12"/>
      <c r="H754" s="12"/>
      <c r="I754" s="21" t="str">
        <f>IF(COUNTA('[1]Virus production'!A740)=1,('[1]Virus production'!A740),"")</f>
        <v/>
      </c>
      <c r="J754" s="12"/>
      <c r="L754" s="12"/>
      <c r="M754" s="12"/>
      <c r="N754" s="12"/>
      <c r="O754" s="12"/>
      <c r="P754" s="12"/>
      <c r="Q754" s="12"/>
      <c r="R754" s="12"/>
      <c r="S754" s="12"/>
      <c r="T754" s="12"/>
      <c r="U754" s="12"/>
      <c r="V754" s="12"/>
      <c r="W754" s="12"/>
      <c r="X754" s="12"/>
      <c r="Y754" s="12"/>
      <c r="Z754" s="12"/>
      <c r="AA754" s="12"/>
      <c r="AB754" s="12"/>
      <c r="AD754" s="12"/>
      <c r="AE754" s="12"/>
      <c r="AF754" s="12"/>
      <c r="AG754" s="12"/>
      <c r="AH754" s="12"/>
      <c r="AI754" s="12"/>
      <c r="AJ754" s="12"/>
      <c r="AK754" s="12"/>
      <c r="AL754" s="12"/>
      <c r="AM754" s="12"/>
      <c r="AN754" s="12"/>
      <c r="AO754" s="12"/>
      <c r="AP754" s="12"/>
      <c r="AQ754" s="12"/>
      <c r="AR754" s="12"/>
      <c r="AS754" s="12"/>
      <c r="AT754" s="12"/>
    </row>
    <row r="755" spans="1:46" x14ac:dyDescent="0.25">
      <c r="A755" s="12"/>
      <c r="B755" s="12"/>
      <c r="C755" s="12"/>
      <c r="D755" s="12"/>
      <c r="E755" s="12"/>
      <c r="F755" s="12"/>
      <c r="G755" s="12"/>
      <c r="H755" s="12"/>
      <c r="I755" s="21" t="str">
        <f>IF(COUNTA('[1]Virus production'!A741)=1,('[1]Virus production'!A741),"")</f>
        <v/>
      </c>
      <c r="J755" s="12"/>
      <c r="L755" s="12"/>
      <c r="M755" s="12"/>
      <c r="N755" s="12"/>
      <c r="O755" s="12"/>
      <c r="P755" s="12"/>
      <c r="Q755" s="12"/>
      <c r="R755" s="12"/>
      <c r="S755" s="12"/>
      <c r="T755" s="12"/>
      <c r="U755" s="12"/>
      <c r="V755" s="12"/>
      <c r="W755" s="12"/>
      <c r="X755" s="12"/>
      <c r="Y755" s="12"/>
      <c r="Z755" s="12"/>
      <c r="AA755" s="12"/>
      <c r="AB755" s="12"/>
      <c r="AD755" s="12"/>
      <c r="AE755" s="12"/>
      <c r="AF755" s="12"/>
      <c r="AG755" s="12"/>
      <c r="AH755" s="12"/>
      <c r="AI755" s="12"/>
      <c r="AJ755" s="12"/>
      <c r="AK755" s="12"/>
      <c r="AL755" s="12"/>
      <c r="AM755" s="12"/>
      <c r="AN755" s="12"/>
      <c r="AO755" s="12"/>
      <c r="AP755" s="12"/>
      <c r="AQ755" s="12"/>
      <c r="AR755" s="12"/>
      <c r="AS755" s="12"/>
      <c r="AT755" s="12"/>
    </row>
    <row r="756" spans="1:46" x14ac:dyDescent="0.25">
      <c r="A756" s="12"/>
      <c r="B756" s="12"/>
      <c r="C756" s="12"/>
      <c r="D756" s="12"/>
      <c r="E756" s="12"/>
      <c r="F756" s="12"/>
      <c r="G756" s="12"/>
      <c r="H756" s="12"/>
      <c r="I756" s="21" t="str">
        <f>IF(COUNTA('[1]Virus production'!A742)=1,('[1]Virus production'!A742),"")</f>
        <v/>
      </c>
      <c r="J756" s="12"/>
      <c r="L756" s="12"/>
      <c r="M756" s="12"/>
      <c r="N756" s="12"/>
      <c r="O756" s="12"/>
      <c r="P756" s="12"/>
      <c r="Q756" s="12"/>
      <c r="R756" s="12"/>
      <c r="S756" s="12"/>
      <c r="T756" s="12"/>
      <c r="U756" s="12"/>
      <c r="V756" s="12"/>
      <c r="W756" s="12"/>
      <c r="X756" s="12"/>
      <c r="Y756" s="12"/>
      <c r="Z756" s="12"/>
      <c r="AA756" s="12"/>
      <c r="AB756" s="12"/>
      <c r="AD756" s="12"/>
      <c r="AE756" s="12"/>
      <c r="AF756" s="12"/>
      <c r="AG756" s="12"/>
      <c r="AH756" s="12"/>
      <c r="AI756" s="12"/>
      <c r="AJ756" s="12"/>
      <c r="AK756" s="12"/>
      <c r="AL756" s="12"/>
      <c r="AM756" s="12"/>
      <c r="AN756" s="12"/>
      <c r="AO756" s="12"/>
      <c r="AP756" s="12"/>
      <c r="AQ756" s="12"/>
      <c r="AR756" s="12"/>
      <c r="AS756" s="12"/>
      <c r="AT756" s="12"/>
    </row>
    <row r="757" spans="1:46" x14ac:dyDescent="0.25">
      <c r="A757" s="12"/>
      <c r="B757" s="12"/>
      <c r="C757" s="12"/>
      <c r="D757" s="12"/>
      <c r="E757" s="12"/>
      <c r="F757" s="12"/>
      <c r="G757" s="12"/>
      <c r="H757" s="12"/>
      <c r="I757" s="21" t="str">
        <f>IF(COUNTA('[1]Virus production'!A743)=1,('[1]Virus production'!A743),"")</f>
        <v/>
      </c>
      <c r="J757" s="12"/>
      <c r="L757" s="12"/>
      <c r="M757" s="12"/>
      <c r="N757" s="12"/>
      <c r="O757" s="12"/>
      <c r="P757" s="12"/>
      <c r="Q757" s="12"/>
      <c r="R757" s="12"/>
      <c r="S757" s="12"/>
      <c r="T757" s="12"/>
      <c r="U757" s="12"/>
      <c r="V757" s="12"/>
      <c r="W757" s="12"/>
      <c r="X757" s="12"/>
      <c r="Y757" s="12"/>
      <c r="Z757" s="12"/>
      <c r="AA757" s="12"/>
      <c r="AB757" s="12"/>
      <c r="AD757" s="12"/>
      <c r="AE757" s="12"/>
      <c r="AF757" s="12"/>
      <c r="AG757" s="12"/>
      <c r="AH757" s="12"/>
      <c r="AI757" s="12"/>
      <c r="AJ757" s="12"/>
      <c r="AK757" s="12"/>
      <c r="AL757" s="12"/>
      <c r="AM757" s="12"/>
      <c r="AN757" s="12"/>
      <c r="AO757" s="12"/>
      <c r="AP757" s="12"/>
      <c r="AQ757" s="12"/>
      <c r="AR757" s="12"/>
      <c r="AS757" s="12"/>
      <c r="AT757" s="12"/>
    </row>
    <row r="758" spans="1:46" x14ac:dyDescent="0.25">
      <c r="A758" s="12"/>
      <c r="B758" s="12"/>
      <c r="C758" s="12"/>
      <c r="D758" s="12"/>
      <c r="E758" s="12"/>
      <c r="F758" s="12"/>
      <c r="G758" s="12"/>
      <c r="H758" s="12"/>
      <c r="I758" s="21" t="str">
        <f>IF(COUNTA('[1]Virus production'!A744)=1,('[1]Virus production'!A744),"")</f>
        <v/>
      </c>
      <c r="J758" s="12"/>
      <c r="L758" s="12"/>
      <c r="M758" s="12"/>
      <c r="N758" s="12"/>
      <c r="O758" s="12"/>
      <c r="P758" s="12"/>
      <c r="Q758" s="12"/>
      <c r="R758" s="12"/>
      <c r="S758" s="12"/>
      <c r="T758" s="12"/>
      <c r="U758" s="12"/>
      <c r="V758" s="12"/>
      <c r="W758" s="12"/>
      <c r="X758" s="12"/>
      <c r="Y758" s="12"/>
      <c r="Z758" s="12"/>
      <c r="AA758" s="12"/>
      <c r="AB758" s="12"/>
      <c r="AD758" s="12"/>
      <c r="AE758" s="12"/>
      <c r="AF758" s="12"/>
      <c r="AG758" s="12"/>
      <c r="AH758" s="12"/>
      <c r="AI758" s="12"/>
      <c r="AJ758" s="12"/>
      <c r="AK758" s="12"/>
      <c r="AL758" s="12"/>
      <c r="AM758" s="12"/>
      <c r="AN758" s="12"/>
      <c r="AO758" s="12"/>
      <c r="AP758" s="12"/>
      <c r="AQ758" s="12"/>
      <c r="AR758" s="12"/>
      <c r="AS758" s="12"/>
      <c r="AT758" s="12"/>
    </row>
    <row r="759" spans="1:46" x14ac:dyDescent="0.25">
      <c r="A759" s="12"/>
      <c r="B759" s="12"/>
      <c r="C759" s="12"/>
      <c r="D759" s="12"/>
      <c r="E759" s="12"/>
      <c r="F759" s="12"/>
      <c r="G759" s="12"/>
      <c r="H759" s="12"/>
      <c r="I759" s="21" t="str">
        <f>IF(COUNTA('[1]Virus production'!A745)=1,('[1]Virus production'!A745),"")</f>
        <v/>
      </c>
      <c r="J759" s="12"/>
      <c r="L759" s="12"/>
      <c r="M759" s="12"/>
      <c r="N759" s="12"/>
      <c r="O759" s="12"/>
      <c r="P759" s="12"/>
      <c r="Q759" s="12"/>
      <c r="R759" s="12"/>
      <c r="S759" s="12"/>
      <c r="T759" s="12"/>
      <c r="U759" s="12"/>
      <c r="V759" s="12"/>
      <c r="W759" s="12"/>
      <c r="X759" s="12"/>
      <c r="Y759" s="12"/>
      <c r="Z759" s="12"/>
      <c r="AA759" s="12"/>
      <c r="AB759" s="12"/>
      <c r="AD759" s="12"/>
      <c r="AE759" s="12"/>
      <c r="AF759" s="12"/>
      <c r="AG759" s="12"/>
      <c r="AH759" s="12"/>
      <c r="AI759" s="12"/>
      <c r="AJ759" s="12"/>
      <c r="AK759" s="12"/>
      <c r="AL759" s="12"/>
      <c r="AM759" s="12"/>
      <c r="AN759" s="12"/>
      <c r="AO759" s="12"/>
      <c r="AP759" s="12"/>
      <c r="AQ759" s="12"/>
      <c r="AR759" s="12"/>
      <c r="AS759" s="12"/>
      <c r="AT759" s="12"/>
    </row>
    <row r="760" spans="1:46" x14ac:dyDescent="0.25">
      <c r="A760" s="12"/>
      <c r="B760" s="12"/>
      <c r="C760" s="12"/>
      <c r="D760" s="12"/>
      <c r="E760" s="12"/>
      <c r="F760" s="12"/>
      <c r="G760" s="12"/>
      <c r="H760" s="12"/>
      <c r="I760" s="21" t="str">
        <f>IF(COUNTA('[1]Virus production'!A746)=1,('[1]Virus production'!A746),"")</f>
        <v/>
      </c>
      <c r="J760" s="12"/>
      <c r="L760" s="12"/>
      <c r="M760" s="12"/>
      <c r="N760" s="12"/>
      <c r="O760" s="12"/>
      <c r="P760" s="12"/>
      <c r="Q760" s="12"/>
      <c r="R760" s="12"/>
      <c r="S760" s="12"/>
      <c r="T760" s="12"/>
      <c r="U760" s="12"/>
      <c r="V760" s="12"/>
      <c r="W760" s="12"/>
      <c r="X760" s="12"/>
      <c r="Y760" s="12"/>
      <c r="Z760" s="12"/>
      <c r="AA760" s="12"/>
      <c r="AB760" s="12"/>
      <c r="AD760" s="12"/>
      <c r="AE760" s="12"/>
      <c r="AF760" s="12"/>
      <c r="AG760" s="12"/>
      <c r="AH760" s="12"/>
      <c r="AI760" s="12"/>
      <c r="AJ760" s="12"/>
      <c r="AK760" s="12"/>
      <c r="AL760" s="12"/>
      <c r="AM760" s="12"/>
      <c r="AN760" s="12"/>
      <c r="AO760" s="12"/>
      <c r="AP760" s="12"/>
      <c r="AQ760" s="12"/>
      <c r="AR760" s="12"/>
      <c r="AS760" s="12"/>
      <c r="AT760" s="12"/>
    </row>
    <row r="761" spans="1:46" x14ac:dyDescent="0.25">
      <c r="A761" s="12"/>
      <c r="B761" s="12"/>
      <c r="C761" s="12"/>
      <c r="D761" s="12"/>
      <c r="E761" s="12"/>
      <c r="F761" s="12"/>
      <c r="G761" s="12"/>
      <c r="H761" s="12"/>
      <c r="I761" s="21" t="str">
        <f>IF(COUNTA('[1]Virus production'!A747)=1,('[1]Virus production'!A747),"")</f>
        <v/>
      </c>
      <c r="J761" s="12"/>
      <c r="L761" s="12"/>
      <c r="M761" s="12"/>
      <c r="N761" s="12"/>
      <c r="O761" s="12"/>
      <c r="P761" s="12"/>
      <c r="Q761" s="12"/>
      <c r="R761" s="12"/>
      <c r="S761" s="12"/>
      <c r="T761" s="12"/>
      <c r="U761" s="12"/>
      <c r="V761" s="12"/>
      <c r="W761" s="12"/>
      <c r="X761" s="12"/>
      <c r="Y761" s="12"/>
      <c r="Z761" s="12"/>
      <c r="AA761" s="12"/>
      <c r="AB761" s="12"/>
      <c r="AD761" s="12"/>
      <c r="AE761" s="12"/>
      <c r="AF761" s="12"/>
      <c r="AG761" s="12"/>
      <c r="AH761" s="12"/>
      <c r="AI761" s="12"/>
      <c r="AJ761" s="12"/>
      <c r="AK761" s="12"/>
      <c r="AL761" s="12"/>
      <c r="AM761" s="12"/>
      <c r="AN761" s="12"/>
      <c r="AO761" s="12"/>
      <c r="AP761" s="12"/>
      <c r="AQ761" s="12"/>
      <c r="AR761" s="12"/>
      <c r="AS761" s="12"/>
      <c r="AT761" s="12"/>
    </row>
    <row r="762" spans="1:46" x14ac:dyDescent="0.25">
      <c r="A762" s="12"/>
      <c r="B762" s="12"/>
      <c r="C762" s="12"/>
      <c r="D762" s="12"/>
      <c r="E762" s="12"/>
      <c r="F762" s="12"/>
      <c r="G762" s="12"/>
      <c r="H762" s="12"/>
      <c r="I762" s="21" t="str">
        <f>IF(COUNTA('[1]Virus production'!A748)=1,('[1]Virus production'!A748),"")</f>
        <v/>
      </c>
      <c r="J762" s="12"/>
      <c r="L762" s="12"/>
      <c r="M762" s="12"/>
      <c r="N762" s="12"/>
      <c r="O762" s="12"/>
      <c r="P762" s="12"/>
      <c r="Q762" s="12"/>
      <c r="R762" s="12"/>
      <c r="S762" s="12"/>
      <c r="T762" s="12"/>
      <c r="U762" s="12"/>
      <c r="V762" s="12"/>
      <c r="W762" s="12"/>
      <c r="X762" s="12"/>
      <c r="Y762" s="12"/>
      <c r="Z762" s="12"/>
      <c r="AA762" s="12"/>
      <c r="AB762" s="12"/>
      <c r="AD762" s="12"/>
      <c r="AE762" s="12"/>
      <c r="AF762" s="12"/>
      <c r="AG762" s="12"/>
      <c r="AH762" s="12"/>
      <c r="AI762" s="12"/>
      <c r="AJ762" s="12"/>
      <c r="AK762" s="12"/>
      <c r="AL762" s="12"/>
      <c r="AM762" s="12"/>
      <c r="AN762" s="12"/>
      <c r="AO762" s="12"/>
      <c r="AP762" s="12"/>
      <c r="AQ762" s="12"/>
      <c r="AR762" s="12"/>
      <c r="AS762" s="12"/>
      <c r="AT762" s="12"/>
    </row>
    <row r="763" spans="1:46" x14ac:dyDescent="0.25">
      <c r="A763" s="12"/>
      <c r="B763" s="12"/>
      <c r="C763" s="12"/>
      <c r="D763" s="12"/>
      <c r="E763" s="12"/>
      <c r="F763" s="12"/>
      <c r="G763" s="12"/>
      <c r="H763" s="12"/>
      <c r="I763" s="21" t="str">
        <f>IF(COUNTA('[1]Virus production'!A749)=1,('[1]Virus production'!A749),"")</f>
        <v/>
      </c>
      <c r="J763" s="12"/>
      <c r="L763" s="12"/>
      <c r="M763" s="12"/>
      <c r="N763" s="12"/>
      <c r="O763" s="12"/>
      <c r="P763" s="12"/>
      <c r="Q763" s="12"/>
      <c r="R763" s="12"/>
      <c r="S763" s="12"/>
      <c r="T763" s="12"/>
      <c r="U763" s="12"/>
      <c r="V763" s="12"/>
      <c r="W763" s="12"/>
      <c r="X763" s="12"/>
      <c r="Y763" s="12"/>
      <c r="Z763" s="12"/>
      <c r="AA763" s="12"/>
      <c r="AB763" s="12"/>
      <c r="AD763" s="12"/>
      <c r="AE763" s="12"/>
      <c r="AF763" s="12"/>
      <c r="AG763" s="12"/>
      <c r="AH763" s="12"/>
      <c r="AI763" s="12"/>
      <c r="AJ763" s="12"/>
      <c r="AK763" s="12"/>
      <c r="AL763" s="12"/>
      <c r="AM763" s="12"/>
      <c r="AN763" s="12"/>
      <c r="AO763" s="12"/>
      <c r="AP763" s="12"/>
      <c r="AQ763" s="12"/>
      <c r="AR763" s="12"/>
      <c r="AS763" s="12"/>
      <c r="AT763" s="12"/>
    </row>
    <row r="764" spans="1:46" x14ac:dyDescent="0.25">
      <c r="A764" s="12"/>
      <c r="B764" s="12"/>
      <c r="C764" s="12"/>
      <c r="D764" s="12"/>
      <c r="E764" s="12"/>
      <c r="F764" s="12"/>
      <c r="G764" s="12"/>
      <c r="H764" s="12"/>
      <c r="I764" s="21" t="str">
        <f>IF(COUNTA('[1]Virus production'!A750)=1,('[1]Virus production'!A750),"")</f>
        <v/>
      </c>
      <c r="J764" s="12"/>
      <c r="L764" s="12"/>
      <c r="M764" s="12"/>
      <c r="N764" s="12"/>
      <c r="O764" s="12"/>
      <c r="P764" s="12"/>
      <c r="Q764" s="12"/>
      <c r="R764" s="12"/>
      <c r="S764" s="12"/>
      <c r="T764" s="12"/>
      <c r="U764" s="12"/>
      <c r="V764" s="12"/>
      <c r="W764" s="12"/>
      <c r="X764" s="12"/>
      <c r="Y764" s="12"/>
      <c r="Z764" s="12"/>
      <c r="AA764" s="12"/>
      <c r="AB764" s="12"/>
      <c r="AD764" s="12"/>
      <c r="AE764" s="12"/>
      <c r="AF764" s="12"/>
      <c r="AG764" s="12"/>
      <c r="AH764" s="12"/>
      <c r="AI764" s="12"/>
      <c r="AJ764" s="12"/>
      <c r="AK764" s="12"/>
      <c r="AL764" s="12"/>
      <c r="AM764" s="12"/>
      <c r="AN764" s="12"/>
      <c r="AO764" s="12"/>
      <c r="AP764" s="12"/>
      <c r="AQ764" s="12"/>
      <c r="AR764" s="12"/>
      <c r="AS764" s="12"/>
      <c r="AT764" s="12"/>
    </row>
    <row r="765" spans="1:46" x14ac:dyDescent="0.25">
      <c r="A765" s="12"/>
      <c r="B765" s="12"/>
      <c r="C765" s="12"/>
      <c r="D765" s="12"/>
      <c r="E765" s="12"/>
      <c r="F765" s="12"/>
      <c r="G765" s="12"/>
      <c r="H765" s="12"/>
      <c r="I765" s="21" t="str">
        <f>IF(COUNTA('[1]Virus production'!A751)=1,('[1]Virus production'!A751),"")</f>
        <v/>
      </c>
      <c r="J765" s="12"/>
      <c r="L765" s="12"/>
      <c r="M765" s="12"/>
      <c r="N765" s="12"/>
      <c r="O765" s="12"/>
      <c r="P765" s="12"/>
      <c r="Q765" s="12"/>
      <c r="R765" s="12"/>
      <c r="S765" s="12"/>
      <c r="T765" s="12"/>
      <c r="U765" s="12"/>
      <c r="V765" s="12"/>
      <c r="W765" s="12"/>
      <c r="X765" s="12"/>
      <c r="Y765" s="12"/>
      <c r="Z765" s="12"/>
      <c r="AA765" s="12"/>
      <c r="AB765" s="12"/>
      <c r="AD765" s="12"/>
      <c r="AE765" s="12"/>
      <c r="AF765" s="12"/>
      <c r="AG765" s="12"/>
      <c r="AH765" s="12"/>
      <c r="AI765" s="12"/>
      <c r="AJ765" s="12"/>
      <c r="AK765" s="12"/>
      <c r="AL765" s="12"/>
      <c r="AM765" s="12"/>
      <c r="AN765" s="12"/>
      <c r="AO765" s="12"/>
      <c r="AP765" s="12"/>
      <c r="AQ765" s="12"/>
      <c r="AR765" s="12"/>
      <c r="AS765" s="12"/>
      <c r="AT765" s="12"/>
    </row>
    <row r="766" spans="1:46" x14ac:dyDescent="0.25">
      <c r="A766" s="12"/>
      <c r="B766" s="12"/>
      <c r="C766" s="12"/>
      <c r="D766" s="12"/>
      <c r="E766" s="12"/>
      <c r="F766" s="12"/>
      <c r="G766" s="12"/>
      <c r="H766" s="12"/>
      <c r="I766" s="21" t="str">
        <f>IF(COUNTA('[1]Virus production'!A752)=1,('[1]Virus production'!A752),"")</f>
        <v/>
      </c>
      <c r="J766" s="12"/>
      <c r="L766" s="12"/>
      <c r="M766" s="12"/>
      <c r="N766" s="12"/>
      <c r="O766" s="12"/>
      <c r="P766" s="12"/>
      <c r="Q766" s="12"/>
      <c r="R766" s="12"/>
      <c r="S766" s="12"/>
      <c r="T766" s="12"/>
      <c r="U766" s="12"/>
      <c r="V766" s="12"/>
      <c r="W766" s="12"/>
      <c r="X766" s="12"/>
      <c r="Y766" s="12"/>
      <c r="Z766" s="12"/>
      <c r="AA766" s="12"/>
      <c r="AB766" s="12"/>
      <c r="AD766" s="12"/>
      <c r="AE766" s="12"/>
      <c r="AF766" s="12"/>
      <c r="AG766" s="12"/>
      <c r="AH766" s="12"/>
      <c r="AI766" s="12"/>
      <c r="AJ766" s="12"/>
      <c r="AK766" s="12"/>
      <c r="AL766" s="12"/>
      <c r="AM766" s="12"/>
      <c r="AN766" s="12"/>
      <c r="AO766" s="12"/>
      <c r="AP766" s="12"/>
      <c r="AQ766" s="12"/>
      <c r="AR766" s="12"/>
      <c r="AS766" s="12"/>
      <c r="AT766" s="12"/>
    </row>
    <row r="767" spans="1:46" x14ac:dyDescent="0.25">
      <c r="A767" s="12"/>
      <c r="B767" s="12"/>
      <c r="C767" s="12"/>
      <c r="D767" s="12"/>
      <c r="E767" s="12"/>
      <c r="F767" s="12"/>
      <c r="G767" s="12"/>
      <c r="H767" s="12"/>
      <c r="I767" s="21" t="str">
        <f>IF(COUNTA('[1]Virus production'!A753)=1,('[1]Virus production'!A753),"")</f>
        <v/>
      </c>
      <c r="J767" s="12"/>
      <c r="L767" s="12"/>
      <c r="M767" s="12"/>
      <c r="N767" s="12"/>
      <c r="O767" s="12"/>
      <c r="P767" s="12"/>
      <c r="Q767" s="12"/>
      <c r="R767" s="12"/>
      <c r="S767" s="12"/>
      <c r="T767" s="12"/>
      <c r="U767" s="12"/>
      <c r="V767" s="12"/>
      <c r="W767" s="12"/>
      <c r="X767" s="12"/>
      <c r="Y767" s="12"/>
      <c r="Z767" s="12"/>
      <c r="AA767" s="12"/>
      <c r="AB767" s="12"/>
      <c r="AD767" s="12"/>
      <c r="AE767" s="12"/>
      <c r="AF767" s="12"/>
      <c r="AG767" s="12"/>
      <c r="AH767" s="12"/>
      <c r="AI767" s="12"/>
      <c r="AJ767" s="12"/>
      <c r="AK767" s="12"/>
      <c r="AL767" s="12"/>
      <c r="AM767" s="12"/>
      <c r="AN767" s="12"/>
      <c r="AO767" s="12"/>
      <c r="AP767" s="12"/>
      <c r="AQ767" s="12"/>
      <c r="AR767" s="12"/>
      <c r="AS767" s="12"/>
      <c r="AT767" s="12"/>
    </row>
    <row r="768" spans="1:46" x14ac:dyDescent="0.25">
      <c r="A768" s="12"/>
      <c r="B768" s="12"/>
      <c r="C768" s="12"/>
      <c r="D768" s="12"/>
      <c r="E768" s="12"/>
      <c r="F768" s="12"/>
      <c r="G768" s="12"/>
      <c r="H768" s="12"/>
      <c r="I768" s="21" t="str">
        <f>IF(COUNTA('[1]Virus production'!A754)=1,('[1]Virus production'!A754),"")</f>
        <v/>
      </c>
      <c r="J768" s="12"/>
      <c r="L768" s="12"/>
      <c r="M768" s="12"/>
      <c r="N768" s="12"/>
      <c r="O768" s="12"/>
      <c r="P768" s="12"/>
      <c r="Q768" s="12"/>
      <c r="R768" s="12"/>
      <c r="S768" s="12"/>
      <c r="T768" s="12"/>
      <c r="U768" s="12"/>
      <c r="V768" s="12"/>
      <c r="W768" s="12"/>
      <c r="X768" s="12"/>
      <c r="Y768" s="12"/>
      <c r="Z768" s="12"/>
      <c r="AA768" s="12"/>
      <c r="AB768" s="12"/>
      <c r="AD768" s="12"/>
      <c r="AE768" s="12"/>
      <c r="AF768" s="12"/>
      <c r="AG768" s="12"/>
      <c r="AH768" s="12"/>
      <c r="AI768" s="12"/>
      <c r="AJ768" s="12"/>
      <c r="AK768" s="12"/>
      <c r="AL768" s="12"/>
      <c r="AM768" s="12"/>
      <c r="AN768" s="12"/>
      <c r="AO768" s="12"/>
      <c r="AP768" s="12"/>
      <c r="AQ768" s="12"/>
      <c r="AR768" s="12"/>
      <c r="AS768" s="12"/>
      <c r="AT768" s="12"/>
    </row>
    <row r="769" spans="1:46" x14ac:dyDescent="0.25">
      <c r="A769" s="12"/>
      <c r="B769" s="12"/>
      <c r="C769" s="12"/>
      <c r="D769" s="12"/>
      <c r="E769" s="12"/>
      <c r="F769" s="12"/>
      <c r="G769" s="12"/>
      <c r="H769" s="12"/>
      <c r="I769" s="21" t="str">
        <f>IF(COUNTA('[1]Virus production'!A755)=1,('[1]Virus production'!A755),"")</f>
        <v/>
      </c>
      <c r="J769" s="12"/>
      <c r="L769" s="12"/>
      <c r="M769" s="12"/>
      <c r="N769" s="12"/>
      <c r="O769" s="12"/>
      <c r="P769" s="12"/>
      <c r="Q769" s="12"/>
      <c r="R769" s="12"/>
      <c r="S769" s="12"/>
      <c r="T769" s="12"/>
      <c r="U769" s="12"/>
      <c r="V769" s="12"/>
      <c r="W769" s="12"/>
      <c r="X769" s="12"/>
      <c r="Y769" s="12"/>
      <c r="Z769" s="12"/>
      <c r="AA769" s="12"/>
      <c r="AB769" s="12"/>
      <c r="AD769" s="12"/>
      <c r="AE769" s="12"/>
      <c r="AF769" s="12"/>
      <c r="AG769" s="12"/>
      <c r="AH769" s="12"/>
      <c r="AI769" s="12"/>
      <c r="AJ769" s="12"/>
      <c r="AK769" s="12"/>
      <c r="AL769" s="12"/>
      <c r="AM769" s="12"/>
      <c r="AN769" s="12"/>
      <c r="AO769" s="12"/>
      <c r="AP769" s="12"/>
      <c r="AQ769" s="12"/>
      <c r="AR769" s="12"/>
      <c r="AS769" s="12"/>
      <c r="AT769" s="12"/>
    </row>
    <row r="770" spans="1:46" x14ac:dyDescent="0.25">
      <c r="A770" s="12"/>
      <c r="B770" s="12"/>
      <c r="C770" s="12"/>
      <c r="D770" s="12"/>
      <c r="E770" s="12"/>
      <c r="F770" s="12"/>
      <c r="G770" s="12"/>
      <c r="H770" s="12"/>
      <c r="I770" s="21" t="str">
        <f>IF(COUNTA('[1]Virus production'!A756)=1,('[1]Virus production'!A756),"")</f>
        <v/>
      </c>
      <c r="J770" s="12"/>
      <c r="L770" s="12"/>
      <c r="M770" s="12"/>
      <c r="N770" s="12"/>
      <c r="O770" s="12"/>
      <c r="P770" s="12"/>
      <c r="Q770" s="12"/>
      <c r="R770" s="12"/>
      <c r="S770" s="12"/>
      <c r="T770" s="12"/>
      <c r="U770" s="12"/>
      <c r="V770" s="12"/>
      <c r="W770" s="12"/>
      <c r="X770" s="12"/>
      <c r="Y770" s="12"/>
      <c r="Z770" s="12"/>
      <c r="AA770" s="12"/>
      <c r="AB770" s="12"/>
      <c r="AD770" s="12"/>
      <c r="AE770" s="12"/>
      <c r="AF770" s="12"/>
      <c r="AG770" s="12"/>
      <c r="AH770" s="12"/>
      <c r="AI770" s="12"/>
      <c r="AJ770" s="12"/>
      <c r="AK770" s="12"/>
      <c r="AL770" s="12"/>
      <c r="AM770" s="12"/>
      <c r="AN770" s="12"/>
      <c r="AO770" s="12"/>
      <c r="AP770" s="12"/>
      <c r="AQ770" s="12"/>
      <c r="AR770" s="12"/>
      <c r="AS770" s="12"/>
      <c r="AT770" s="12"/>
    </row>
    <row r="771" spans="1:46" x14ac:dyDescent="0.25">
      <c r="A771" s="12"/>
      <c r="B771" s="12"/>
      <c r="C771" s="12"/>
      <c r="D771" s="12"/>
      <c r="E771" s="12"/>
      <c r="F771" s="12"/>
      <c r="G771" s="12"/>
      <c r="H771" s="12"/>
      <c r="I771" s="21" t="str">
        <f>IF(COUNTA('[1]Virus production'!A757)=1,('[1]Virus production'!A757),"")</f>
        <v/>
      </c>
      <c r="J771" s="12"/>
      <c r="L771" s="12"/>
      <c r="M771" s="12"/>
      <c r="N771" s="12"/>
      <c r="O771" s="12"/>
      <c r="P771" s="12"/>
      <c r="Q771" s="12"/>
      <c r="R771" s="12"/>
      <c r="S771" s="12"/>
      <c r="T771" s="12"/>
      <c r="U771" s="12"/>
      <c r="V771" s="12"/>
      <c r="W771" s="12"/>
      <c r="X771" s="12"/>
      <c r="Y771" s="12"/>
      <c r="Z771" s="12"/>
      <c r="AA771" s="12"/>
      <c r="AB771" s="12"/>
      <c r="AD771" s="12"/>
      <c r="AE771" s="12"/>
      <c r="AF771" s="12"/>
      <c r="AG771" s="12"/>
      <c r="AH771" s="12"/>
      <c r="AI771" s="12"/>
      <c r="AJ771" s="12"/>
      <c r="AK771" s="12"/>
      <c r="AL771" s="12"/>
      <c r="AM771" s="12"/>
      <c r="AN771" s="12"/>
      <c r="AO771" s="12"/>
      <c r="AP771" s="12"/>
      <c r="AQ771" s="12"/>
      <c r="AR771" s="12"/>
      <c r="AS771" s="12"/>
      <c r="AT771" s="12"/>
    </row>
    <row r="772" spans="1:46" x14ac:dyDescent="0.25">
      <c r="A772" s="12"/>
      <c r="B772" s="12"/>
      <c r="C772" s="12"/>
      <c r="D772" s="12"/>
      <c r="E772" s="12"/>
      <c r="F772" s="12"/>
      <c r="G772" s="12"/>
      <c r="H772" s="12"/>
      <c r="I772" s="21" t="str">
        <f>IF(COUNTA('[1]Virus production'!A758)=1,('[1]Virus production'!A758),"")</f>
        <v/>
      </c>
      <c r="J772" s="12"/>
      <c r="L772" s="12"/>
      <c r="M772" s="12"/>
      <c r="N772" s="12"/>
      <c r="O772" s="12"/>
      <c r="P772" s="12"/>
      <c r="Q772" s="12"/>
      <c r="R772" s="12"/>
      <c r="S772" s="12"/>
      <c r="T772" s="12"/>
      <c r="U772" s="12"/>
      <c r="V772" s="12"/>
      <c r="W772" s="12"/>
      <c r="X772" s="12"/>
      <c r="Y772" s="12"/>
      <c r="Z772" s="12"/>
      <c r="AA772" s="12"/>
      <c r="AB772" s="12"/>
      <c r="AD772" s="12"/>
      <c r="AE772" s="12"/>
      <c r="AF772" s="12"/>
      <c r="AG772" s="12"/>
      <c r="AH772" s="12"/>
      <c r="AI772" s="12"/>
      <c r="AJ772" s="12"/>
      <c r="AK772" s="12"/>
      <c r="AL772" s="12"/>
      <c r="AM772" s="12"/>
      <c r="AN772" s="12"/>
      <c r="AO772" s="12"/>
      <c r="AP772" s="12"/>
      <c r="AQ772" s="12"/>
      <c r="AR772" s="12"/>
      <c r="AS772" s="12"/>
      <c r="AT772" s="12"/>
    </row>
    <row r="773" spans="1:46" x14ac:dyDescent="0.25">
      <c r="A773" s="12"/>
      <c r="B773" s="12"/>
      <c r="C773" s="12"/>
      <c r="D773" s="12"/>
      <c r="E773" s="12"/>
      <c r="F773" s="12"/>
      <c r="G773" s="12"/>
      <c r="H773" s="12"/>
      <c r="I773" s="21" t="str">
        <f>IF(COUNTA('[1]Virus production'!A759)=1,('[1]Virus production'!A759),"")</f>
        <v/>
      </c>
      <c r="J773" s="12"/>
      <c r="L773" s="12"/>
      <c r="M773" s="12"/>
      <c r="N773" s="12"/>
      <c r="O773" s="12"/>
      <c r="P773" s="12"/>
      <c r="Q773" s="12"/>
      <c r="R773" s="12"/>
      <c r="S773" s="12"/>
      <c r="T773" s="12"/>
      <c r="U773" s="12"/>
      <c r="V773" s="12"/>
      <c r="W773" s="12"/>
      <c r="X773" s="12"/>
      <c r="Y773" s="12"/>
      <c r="Z773" s="12"/>
      <c r="AA773" s="12"/>
      <c r="AB773" s="12"/>
      <c r="AD773" s="12"/>
      <c r="AE773" s="12"/>
      <c r="AF773" s="12"/>
      <c r="AG773" s="12"/>
      <c r="AH773" s="12"/>
      <c r="AI773" s="12"/>
      <c r="AJ773" s="12"/>
      <c r="AK773" s="12"/>
      <c r="AL773" s="12"/>
      <c r="AM773" s="12"/>
      <c r="AN773" s="12"/>
      <c r="AO773" s="12"/>
      <c r="AP773" s="12"/>
      <c r="AQ773" s="12"/>
      <c r="AR773" s="12"/>
      <c r="AS773" s="12"/>
      <c r="AT773" s="12"/>
    </row>
    <row r="774" spans="1:46" x14ac:dyDescent="0.25">
      <c r="A774" s="12"/>
      <c r="B774" s="12"/>
      <c r="C774" s="12"/>
      <c r="D774" s="12"/>
      <c r="E774" s="12"/>
      <c r="F774" s="12"/>
      <c r="G774" s="12"/>
      <c r="H774" s="12"/>
      <c r="I774" s="21" t="str">
        <f>IF(COUNTA('[1]Virus production'!A760)=1,('[1]Virus production'!A760),"")</f>
        <v/>
      </c>
      <c r="J774" s="12"/>
      <c r="L774" s="12"/>
      <c r="M774" s="12"/>
      <c r="N774" s="12"/>
      <c r="O774" s="12"/>
      <c r="P774" s="12"/>
      <c r="Q774" s="12"/>
      <c r="R774" s="12"/>
      <c r="S774" s="12"/>
      <c r="T774" s="12"/>
      <c r="U774" s="12"/>
      <c r="V774" s="12"/>
      <c r="W774" s="12"/>
      <c r="X774" s="12"/>
      <c r="Y774" s="12"/>
      <c r="Z774" s="12"/>
      <c r="AA774" s="12"/>
      <c r="AB774" s="12"/>
      <c r="AD774" s="12"/>
      <c r="AE774" s="12"/>
      <c r="AF774" s="12"/>
      <c r="AG774" s="12"/>
      <c r="AH774" s="12"/>
      <c r="AI774" s="12"/>
      <c r="AJ774" s="12"/>
      <c r="AK774" s="12"/>
      <c r="AL774" s="12"/>
      <c r="AM774" s="12"/>
      <c r="AN774" s="12"/>
      <c r="AO774" s="12"/>
      <c r="AP774" s="12"/>
      <c r="AQ774" s="12"/>
      <c r="AR774" s="12"/>
      <c r="AS774" s="12"/>
      <c r="AT774" s="12"/>
    </row>
    <row r="775" spans="1:46" x14ac:dyDescent="0.25">
      <c r="A775" s="12"/>
      <c r="B775" s="12"/>
      <c r="C775" s="12"/>
      <c r="D775" s="12"/>
      <c r="E775" s="12"/>
      <c r="F775" s="12"/>
      <c r="G775" s="12"/>
      <c r="H775" s="12"/>
      <c r="I775" s="21" t="str">
        <f>IF(COUNTA('[1]Virus production'!A761)=1,('[1]Virus production'!A761),"")</f>
        <v/>
      </c>
      <c r="J775" s="12"/>
      <c r="L775" s="12"/>
      <c r="M775" s="12"/>
      <c r="N775" s="12"/>
      <c r="O775" s="12"/>
      <c r="P775" s="12"/>
      <c r="Q775" s="12"/>
      <c r="R775" s="12"/>
      <c r="S775" s="12"/>
      <c r="T775" s="12"/>
      <c r="U775" s="12"/>
      <c r="V775" s="12"/>
      <c r="W775" s="12"/>
      <c r="X775" s="12"/>
      <c r="Y775" s="12"/>
      <c r="Z775" s="12"/>
      <c r="AA775" s="12"/>
      <c r="AB775" s="12"/>
      <c r="AD775" s="12"/>
      <c r="AE775" s="12"/>
      <c r="AF775" s="12"/>
      <c r="AG775" s="12"/>
      <c r="AH775" s="12"/>
      <c r="AI775" s="12"/>
      <c r="AJ775" s="12"/>
      <c r="AK775" s="12"/>
      <c r="AL775" s="12"/>
      <c r="AM775" s="12"/>
      <c r="AN775" s="12"/>
      <c r="AO775" s="12"/>
      <c r="AP775" s="12"/>
      <c r="AQ775" s="12"/>
      <c r="AR775" s="12"/>
      <c r="AS775" s="12"/>
      <c r="AT775" s="12"/>
    </row>
    <row r="776" spans="1:46" x14ac:dyDescent="0.25">
      <c r="A776" s="12"/>
      <c r="B776" s="12"/>
      <c r="C776" s="12"/>
      <c r="D776" s="12"/>
      <c r="E776" s="12"/>
      <c r="F776" s="12"/>
      <c r="G776" s="12"/>
      <c r="H776" s="12"/>
      <c r="I776" s="21" t="str">
        <f>IF(COUNTA('[1]Virus production'!A762)=1,('[1]Virus production'!A762),"")</f>
        <v/>
      </c>
      <c r="J776" s="12"/>
      <c r="L776" s="12"/>
      <c r="M776" s="12"/>
      <c r="N776" s="12"/>
      <c r="O776" s="12"/>
      <c r="P776" s="12"/>
      <c r="Q776" s="12"/>
      <c r="R776" s="12"/>
      <c r="S776" s="12"/>
      <c r="T776" s="12"/>
      <c r="U776" s="12"/>
      <c r="V776" s="12"/>
      <c r="W776" s="12"/>
      <c r="X776" s="12"/>
      <c r="Y776" s="12"/>
      <c r="Z776" s="12"/>
      <c r="AA776" s="12"/>
      <c r="AB776" s="12"/>
      <c r="AD776" s="12"/>
      <c r="AE776" s="12"/>
      <c r="AF776" s="12"/>
      <c r="AG776" s="12"/>
      <c r="AH776" s="12"/>
      <c r="AI776" s="12"/>
      <c r="AJ776" s="12"/>
      <c r="AK776" s="12"/>
      <c r="AL776" s="12"/>
      <c r="AM776" s="12"/>
      <c r="AN776" s="12"/>
      <c r="AO776" s="12"/>
      <c r="AP776" s="12"/>
      <c r="AQ776" s="12"/>
      <c r="AR776" s="12"/>
      <c r="AS776" s="12"/>
      <c r="AT776" s="12"/>
    </row>
    <row r="777" spans="1:46" x14ac:dyDescent="0.25">
      <c r="A777" s="12"/>
      <c r="B777" s="12"/>
      <c r="C777" s="12"/>
      <c r="D777" s="12"/>
      <c r="E777" s="12"/>
      <c r="F777" s="12"/>
      <c r="G777" s="12"/>
      <c r="H777" s="12"/>
      <c r="I777" s="21" t="str">
        <f>IF(COUNTA('[1]Virus production'!A763)=1,('[1]Virus production'!A763),"")</f>
        <v/>
      </c>
      <c r="J777" s="12"/>
      <c r="L777" s="12"/>
      <c r="M777" s="12"/>
      <c r="N777" s="12"/>
      <c r="O777" s="12"/>
      <c r="P777" s="12"/>
      <c r="Q777" s="12"/>
      <c r="R777" s="12"/>
      <c r="S777" s="12"/>
      <c r="T777" s="12"/>
      <c r="U777" s="12"/>
      <c r="V777" s="12"/>
      <c r="W777" s="12"/>
      <c r="X777" s="12"/>
      <c r="Y777" s="12"/>
      <c r="Z777" s="12"/>
      <c r="AA777" s="12"/>
      <c r="AB777" s="12"/>
      <c r="AD777" s="12"/>
      <c r="AE777" s="12"/>
      <c r="AF777" s="12"/>
      <c r="AG777" s="12"/>
      <c r="AH777" s="12"/>
      <c r="AI777" s="12"/>
      <c r="AJ777" s="12"/>
      <c r="AK777" s="12"/>
      <c r="AL777" s="12"/>
      <c r="AM777" s="12"/>
      <c r="AN777" s="12"/>
      <c r="AO777" s="12"/>
      <c r="AP777" s="12"/>
      <c r="AQ777" s="12"/>
      <c r="AR777" s="12"/>
      <c r="AS777" s="12"/>
      <c r="AT777" s="12"/>
    </row>
    <row r="778" spans="1:46" x14ac:dyDescent="0.25">
      <c r="A778" s="12"/>
      <c r="B778" s="12"/>
      <c r="C778" s="12"/>
      <c r="D778" s="12"/>
      <c r="E778" s="12"/>
      <c r="F778" s="12"/>
      <c r="G778" s="12"/>
      <c r="H778" s="12"/>
      <c r="I778" s="21" t="str">
        <f>IF(COUNTA('[1]Virus production'!A764)=1,('[1]Virus production'!A764),"")</f>
        <v/>
      </c>
      <c r="J778" s="12"/>
      <c r="L778" s="12"/>
      <c r="M778" s="12"/>
      <c r="N778" s="12"/>
      <c r="O778" s="12"/>
      <c r="P778" s="12"/>
      <c r="Q778" s="12"/>
      <c r="R778" s="12"/>
      <c r="S778" s="12"/>
      <c r="T778" s="12"/>
      <c r="U778" s="12"/>
      <c r="V778" s="12"/>
      <c r="W778" s="12"/>
      <c r="X778" s="12"/>
      <c r="Y778" s="12"/>
      <c r="Z778" s="12"/>
      <c r="AA778" s="12"/>
      <c r="AB778" s="12"/>
      <c r="AD778" s="12"/>
      <c r="AE778" s="12"/>
      <c r="AF778" s="12"/>
      <c r="AG778" s="12"/>
      <c r="AH778" s="12"/>
      <c r="AI778" s="12"/>
      <c r="AJ778" s="12"/>
      <c r="AK778" s="12"/>
      <c r="AL778" s="12"/>
      <c r="AM778" s="12"/>
      <c r="AN778" s="12"/>
      <c r="AO778" s="12"/>
      <c r="AP778" s="12"/>
      <c r="AQ778" s="12"/>
      <c r="AR778" s="12"/>
      <c r="AS778" s="12"/>
      <c r="AT778" s="12"/>
    </row>
    <row r="779" spans="1:46" x14ac:dyDescent="0.25">
      <c r="A779" s="12"/>
      <c r="B779" s="12"/>
      <c r="C779" s="12"/>
      <c r="D779" s="12"/>
      <c r="E779" s="12"/>
      <c r="F779" s="12"/>
      <c r="G779" s="12"/>
      <c r="H779" s="12"/>
      <c r="I779" s="21" t="str">
        <f>IF(COUNTA('[1]Virus production'!A765)=1,('[1]Virus production'!A765),"")</f>
        <v/>
      </c>
      <c r="J779" s="12"/>
      <c r="L779" s="12"/>
      <c r="M779" s="12"/>
      <c r="N779" s="12"/>
      <c r="O779" s="12"/>
      <c r="P779" s="12"/>
      <c r="Q779" s="12"/>
      <c r="R779" s="12"/>
      <c r="S779" s="12"/>
      <c r="T779" s="12"/>
      <c r="U779" s="12"/>
      <c r="V779" s="12"/>
      <c r="W779" s="12"/>
      <c r="X779" s="12"/>
      <c r="Y779" s="12"/>
      <c r="Z779" s="12"/>
      <c r="AA779" s="12"/>
      <c r="AB779" s="12"/>
      <c r="AD779" s="12"/>
      <c r="AE779" s="12"/>
      <c r="AF779" s="12"/>
      <c r="AG779" s="12"/>
      <c r="AH779" s="12"/>
      <c r="AI779" s="12"/>
      <c r="AJ779" s="12"/>
      <c r="AK779" s="12"/>
      <c r="AL779" s="12"/>
      <c r="AM779" s="12"/>
      <c r="AN779" s="12"/>
      <c r="AO779" s="12"/>
      <c r="AP779" s="12"/>
      <c r="AQ779" s="12"/>
      <c r="AR779" s="12"/>
      <c r="AS779" s="12"/>
      <c r="AT779" s="12"/>
    </row>
    <row r="780" spans="1:46" x14ac:dyDescent="0.25">
      <c r="A780" s="12"/>
      <c r="B780" s="12"/>
      <c r="C780" s="12"/>
      <c r="D780" s="12"/>
      <c r="E780" s="12"/>
      <c r="F780" s="12"/>
      <c r="G780" s="12"/>
      <c r="H780" s="12"/>
      <c r="I780" s="21" t="str">
        <f>IF(COUNTA('[1]Virus production'!A766)=1,('[1]Virus production'!A766),"")</f>
        <v/>
      </c>
      <c r="J780" s="12"/>
      <c r="L780" s="12"/>
      <c r="M780" s="12"/>
      <c r="N780" s="12"/>
      <c r="O780" s="12"/>
      <c r="P780" s="12"/>
      <c r="Q780" s="12"/>
      <c r="R780" s="12"/>
      <c r="S780" s="12"/>
      <c r="T780" s="12"/>
      <c r="U780" s="12"/>
      <c r="V780" s="12"/>
      <c r="W780" s="12"/>
      <c r="X780" s="12"/>
      <c r="Y780" s="12"/>
      <c r="Z780" s="12"/>
      <c r="AA780" s="12"/>
      <c r="AB780" s="12"/>
      <c r="AD780" s="12"/>
      <c r="AE780" s="12"/>
      <c r="AF780" s="12"/>
      <c r="AG780" s="12"/>
      <c r="AH780" s="12"/>
      <c r="AI780" s="12"/>
      <c r="AJ780" s="12"/>
      <c r="AK780" s="12"/>
      <c r="AL780" s="12"/>
      <c r="AM780" s="12"/>
      <c r="AN780" s="12"/>
      <c r="AO780" s="12"/>
      <c r="AP780" s="12"/>
      <c r="AQ780" s="12"/>
      <c r="AR780" s="12"/>
      <c r="AS780" s="12"/>
      <c r="AT780" s="12"/>
    </row>
    <row r="781" spans="1:46" x14ac:dyDescent="0.25">
      <c r="A781" s="12"/>
      <c r="B781" s="12"/>
      <c r="C781" s="12"/>
      <c r="D781" s="12"/>
      <c r="E781" s="12"/>
      <c r="F781" s="12"/>
      <c r="G781" s="12"/>
      <c r="H781" s="12"/>
      <c r="I781" s="21" t="str">
        <f>IF(COUNTA('[1]Virus production'!A767)=1,('[1]Virus production'!A767),"")</f>
        <v/>
      </c>
      <c r="J781" s="12"/>
      <c r="L781" s="12"/>
      <c r="M781" s="12"/>
      <c r="N781" s="12"/>
      <c r="O781" s="12"/>
      <c r="P781" s="12"/>
      <c r="Q781" s="12"/>
      <c r="R781" s="12"/>
      <c r="S781" s="12"/>
      <c r="T781" s="12"/>
      <c r="U781" s="12"/>
      <c r="V781" s="12"/>
      <c r="W781" s="12"/>
      <c r="X781" s="12"/>
      <c r="Y781" s="12"/>
      <c r="Z781" s="12"/>
      <c r="AA781" s="12"/>
      <c r="AB781" s="12"/>
      <c r="AD781" s="12"/>
      <c r="AE781" s="12"/>
      <c r="AF781" s="12"/>
      <c r="AG781" s="12"/>
      <c r="AH781" s="12"/>
      <c r="AI781" s="12"/>
      <c r="AJ781" s="12"/>
      <c r="AK781" s="12"/>
      <c r="AL781" s="12"/>
      <c r="AM781" s="12"/>
      <c r="AN781" s="12"/>
      <c r="AO781" s="12"/>
      <c r="AP781" s="12"/>
      <c r="AQ781" s="12"/>
      <c r="AR781" s="12"/>
      <c r="AS781" s="12"/>
      <c r="AT781" s="12"/>
    </row>
    <row r="782" spans="1:46" x14ac:dyDescent="0.25">
      <c r="A782" s="12"/>
      <c r="B782" s="12"/>
      <c r="C782" s="12"/>
      <c r="D782" s="12"/>
      <c r="E782" s="12"/>
      <c r="F782" s="12"/>
      <c r="G782" s="12"/>
      <c r="H782" s="12"/>
      <c r="I782" s="21" t="str">
        <f>IF(COUNTA('[1]Virus production'!A768)=1,('[1]Virus production'!A768),"")</f>
        <v/>
      </c>
      <c r="J782" s="12"/>
      <c r="L782" s="12"/>
      <c r="M782" s="12"/>
      <c r="N782" s="12"/>
      <c r="O782" s="12"/>
      <c r="P782" s="12"/>
      <c r="Q782" s="12"/>
      <c r="R782" s="12"/>
      <c r="S782" s="12"/>
      <c r="T782" s="12"/>
      <c r="U782" s="12"/>
      <c r="V782" s="12"/>
      <c r="W782" s="12"/>
      <c r="X782" s="12"/>
      <c r="Y782" s="12"/>
      <c r="Z782" s="12"/>
      <c r="AA782" s="12"/>
      <c r="AB782" s="12"/>
      <c r="AD782" s="12"/>
      <c r="AE782" s="12"/>
      <c r="AF782" s="12"/>
      <c r="AG782" s="12"/>
      <c r="AH782" s="12"/>
      <c r="AI782" s="12"/>
      <c r="AJ782" s="12"/>
      <c r="AK782" s="12"/>
      <c r="AL782" s="12"/>
      <c r="AM782" s="12"/>
      <c r="AN782" s="12"/>
      <c r="AO782" s="12"/>
      <c r="AP782" s="12"/>
      <c r="AQ782" s="12"/>
      <c r="AR782" s="12"/>
      <c r="AS782" s="12"/>
      <c r="AT782" s="12"/>
    </row>
    <row r="783" spans="1:46" x14ac:dyDescent="0.25">
      <c r="A783" s="12"/>
      <c r="B783" s="12"/>
      <c r="C783" s="12"/>
      <c r="D783" s="12"/>
      <c r="E783" s="12"/>
      <c r="F783" s="12"/>
      <c r="G783" s="12"/>
      <c r="H783" s="12"/>
      <c r="I783" s="21" t="str">
        <f>IF(COUNTA('[1]Virus production'!A769)=1,('[1]Virus production'!A769),"")</f>
        <v/>
      </c>
      <c r="J783" s="12"/>
      <c r="L783" s="12"/>
      <c r="M783" s="12"/>
      <c r="N783" s="12"/>
      <c r="O783" s="12"/>
      <c r="P783" s="12"/>
      <c r="Q783" s="12"/>
      <c r="R783" s="12"/>
      <c r="S783" s="12"/>
      <c r="T783" s="12"/>
      <c r="U783" s="12"/>
      <c r="V783" s="12"/>
      <c r="W783" s="12"/>
      <c r="X783" s="12"/>
      <c r="Y783" s="12"/>
      <c r="Z783" s="12"/>
      <c r="AA783" s="12"/>
      <c r="AB783" s="12"/>
      <c r="AD783" s="12"/>
      <c r="AE783" s="12"/>
      <c r="AF783" s="12"/>
      <c r="AG783" s="12"/>
      <c r="AH783" s="12"/>
      <c r="AI783" s="12"/>
      <c r="AJ783" s="12"/>
      <c r="AK783" s="12"/>
      <c r="AL783" s="12"/>
      <c r="AM783" s="12"/>
      <c r="AN783" s="12"/>
      <c r="AO783" s="12"/>
      <c r="AP783" s="12"/>
      <c r="AQ783" s="12"/>
      <c r="AR783" s="12"/>
      <c r="AS783" s="12"/>
      <c r="AT783" s="12"/>
    </row>
    <row r="784" spans="1:46" x14ac:dyDescent="0.25">
      <c r="A784" s="12"/>
      <c r="B784" s="12"/>
      <c r="C784" s="12"/>
      <c r="D784" s="12"/>
      <c r="E784" s="12"/>
      <c r="F784" s="12"/>
      <c r="G784" s="12"/>
      <c r="H784" s="12"/>
      <c r="I784" s="21" t="str">
        <f>IF(COUNTA('[1]Virus production'!A770)=1,('[1]Virus production'!A770),"")</f>
        <v/>
      </c>
      <c r="J784" s="12"/>
      <c r="L784" s="12"/>
      <c r="M784" s="12"/>
      <c r="N784" s="12"/>
      <c r="O784" s="12"/>
      <c r="P784" s="12"/>
      <c r="Q784" s="12"/>
      <c r="R784" s="12"/>
      <c r="S784" s="12"/>
      <c r="T784" s="12"/>
      <c r="U784" s="12"/>
      <c r="V784" s="12"/>
      <c r="W784" s="12"/>
      <c r="X784" s="12"/>
      <c r="Y784" s="12"/>
      <c r="Z784" s="12"/>
      <c r="AA784" s="12"/>
      <c r="AB784" s="12"/>
      <c r="AD784" s="12"/>
      <c r="AE784" s="12"/>
      <c r="AF784" s="12"/>
      <c r="AG784" s="12"/>
      <c r="AH784" s="12"/>
      <c r="AI784" s="12"/>
      <c r="AJ784" s="12"/>
      <c r="AK784" s="12"/>
      <c r="AL784" s="12"/>
      <c r="AM784" s="12"/>
      <c r="AN784" s="12"/>
      <c r="AO784" s="12"/>
      <c r="AP784" s="12"/>
      <c r="AQ784" s="12"/>
      <c r="AR784" s="12"/>
      <c r="AS784" s="12"/>
      <c r="AT784" s="12"/>
    </row>
    <row r="785" spans="1:46" x14ac:dyDescent="0.25">
      <c r="A785" s="12"/>
      <c r="B785" s="12"/>
      <c r="C785" s="12"/>
      <c r="D785" s="12"/>
      <c r="E785" s="12"/>
      <c r="F785" s="12"/>
      <c r="G785" s="12"/>
      <c r="H785" s="12"/>
      <c r="I785" s="21" t="str">
        <f>IF(COUNTA('[1]Virus production'!A771)=1,('[1]Virus production'!A771),"")</f>
        <v/>
      </c>
      <c r="J785" s="12"/>
      <c r="L785" s="12"/>
      <c r="M785" s="12"/>
      <c r="N785" s="12"/>
      <c r="O785" s="12"/>
      <c r="P785" s="12"/>
      <c r="Q785" s="12"/>
      <c r="R785" s="12"/>
      <c r="S785" s="12"/>
      <c r="T785" s="12"/>
      <c r="U785" s="12"/>
      <c r="V785" s="12"/>
      <c r="W785" s="12"/>
      <c r="X785" s="12"/>
      <c r="Y785" s="12"/>
      <c r="Z785" s="12"/>
      <c r="AA785" s="12"/>
      <c r="AB785" s="12"/>
      <c r="AD785" s="12"/>
      <c r="AE785" s="12"/>
      <c r="AF785" s="12"/>
      <c r="AG785" s="12"/>
      <c r="AH785" s="12"/>
      <c r="AI785" s="12"/>
      <c r="AJ785" s="12"/>
      <c r="AK785" s="12"/>
      <c r="AL785" s="12"/>
      <c r="AM785" s="12"/>
      <c r="AN785" s="12"/>
      <c r="AO785" s="12"/>
      <c r="AP785" s="12"/>
      <c r="AQ785" s="12"/>
      <c r="AR785" s="12"/>
      <c r="AS785" s="12"/>
      <c r="AT785" s="12"/>
    </row>
    <row r="786" spans="1:46" x14ac:dyDescent="0.25">
      <c r="A786" s="12"/>
      <c r="B786" s="12"/>
      <c r="C786" s="12"/>
      <c r="D786" s="12"/>
      <c r="E786" s="12"/>
      <c r="F786" s="12"/>
      <c r="G786" s="12"/>
      <c r="H786" s="12"/>
      <c r="I786" s="21" t="str">
        <f>IF(COUNTA('[1]Virus production'!A772)=1,('[1]Virus production'!A772),"")</f>
        <v/>
      </c>
      <c r="J786" s="12"/>
      <c r="L786" s="12"/>
      <c r="M786" s="12"/>
      <c r="N786" s="12"/>
      <c r="O786" s="12"/>
      <c r="P786" s="12"/>
      <c r="Q786" s="12"/>
      <c r="R786" s="12"/>
      <c r="S786" s="12"/>
      <c r="T786" s="12"/>
      <c r="U786" s="12"/>
      <c r="V786" s="12"/>
      <c r="W786" s="12"/>
      <c r="X786" s="12"/>
      <c r="Y786" s="12"/>
      <c r="Z786" s="12"/>
      <c r="AA786" s="12"/>
      <c r="AB786" s="12"/>
      <c r="AD786" s="12"/>
      <c r="AE786" s="12"/>
      <c r="AF786" s="12"/>
      <c r="AG786" s="12"/>
      <c r="AH786" s="12"/>
      <c r="AI786" s="12"/>
      <c r="AJ786" s="12"/>
      <c r="AK786" s="12"/>
      <c r="AL786" s="12"/>
      <c r="AM786" s="12"/>
      <c r="AN786" s="12"/>
      <c r="AO786" s="12"/>
      <c r="AP786" s="12"/>
      <c r="AQ786" s="12"/>
      <c r="AR786" s="12"/>
      <c r="AS786" s="12"/>
      <c r="AT786" s="12"/>
    </row>
    <row r="787" spans="1:46" x14ac:dyDescent="0.25">
      <c r="A787" s="12"/>
      <c r="B787" s="12"/>
      <c r="C787" s="12"/>
      <c r="D787" s="12"/>
      <c r="E787" s="12"/>
      <c r="F787" s="12"/>
      <c r="G787" s="12"/>
      <c r="H787" s="12"/>
      <c r="I787" s="21" t="str">
        <f>IF(COUNTA('[1]Virus production'!A773)=1,('[1]Virus production'!A773),"")</f>
        <v/>
      </c>
      <c r="J787" s="12"/>
      <c r="L787" s="12"/>
      <c r="M787" s="12"/>
      <c r="N787" s="12"/>
      <c r="O787" s="12"/>
      <c r="P787" s="12"/>
      <c r="Q787" s="12"/>
      <c r="R787" s="12"/>
      <c r="S787" s="12"/>
      <c r="T787" s="12"/>
      <c r="U787" s="12"/>
      <c r="V787" s="12"/>
      <c r="W787" s="12"/>
      <c r="X787" s="12"/>
      <c r="Y787" s="12"/>
      <c r="Z787" s="12"/>
      <c r="AA787" s="12"/>
      <c r="AB787" s="12"/>
      <c r="AD787" s="12"/>
      <c r="AE787" s="12"/>
      <c r="AF787" s="12"/>
      <c r="AG787" s="12"/>
      <c r="AH787" s="12"/>
      <c r="AI787" s="12"/>
      <c r="AJ787" s="12"/>
      <c r="AK787" s="12"/>
      <c r="AL787" s="12"/>
      <c r="AM787" s="12"/>
      <c r="AN787" s="12"/>
      <c r="AO787" s="12"/>
      <c r="AP787" s="12"/>
      <c r="AQ787" s="12"/>
      <c r="AR787" s="12"/>
      <c r="AS787" s="12"/>
      <c r="AT787" s="12"/>
    </row>
    <row r="788" spans="1:46" x14ac:dyDescent="0.25">
      <c r="A788" s="12"/>
      <c r="B788" s="12"/>
      <c r="C788" s="12"/>
      <c r="D788" s="12"/>
      <c r="E788" s="12"/>
      <c r="F788" s="12"/>
      <c r="G788" s="12"/>
      <c r="H788" s="12"/>
      <c r="I788" s="21" t="str">
        <f>IF(COUNTA('[1]Virus production'!A774)=1,('[1]Virus production'!A774),"")</f>
        <v/>
      </c>
      <c r="J788" s="12"/>
      <c r="L788" s="12"/>
      <c r="M788" s="12"/>
      <c r="N788" s="12"/>
      <c r="O788" s="12"/>
      <c r="P788" s="12"/>
      <c r="Q788" s="12"/>
      <c r="R788" s="12"/>
      <c r="S788" s="12"/>
      <c r="T788" s="12"/>
      <c r="U788" s="12"/>
      <c r="V788" s="12"/>
      <c r="W788" s="12"/>
      <c r="X788" s="12"/>
      <c r="Y788" s="12"/>
      <c r="Z788" s="12"/>
      <c r="AA788" s="12"/>
      <c r="AB788" s="12"/>
      <c r="AD788" s="12"/>
      <c r="AE788" s="12"/>
      <c r="AF788" s="12"/>
      <c r="AG788" s="12"/>
      <c r="AH788" s="12"/>
      <c r="AI788" s="12"/>
      <c r="AJ788" s="12"/>
      <c r="AK788" s="12"/>
      <c r="AL788" s="12"/>
      <c r="AM788" s="12"/>
      <c r="AN788" s="12"/>
      <c r="AO788" s="12"/>
      <c r="AP788" s="12"/>
      <c r="AQ788" s="12"/>
      <c r="AR788" s="12"/>
      <c r="AS788" s="12"/>
      <c r="AT788" s="12"/>
    </row>
    <row r="789" spans="1:46" x14ac:dyDescent="0.25">
      <c r="A789" s="12"/>
      <c r="B789" s="12"/>
      <c r="C789" s="12"/>
      <c r="D789" s="12"/>
      <c r="E789" s="12"/>
      <c r="F789" s="12"/>
      <c r="G789" s="12"/>
      <c r="H789" s="12"/>
      <c r="I789" s="21" t="str">
        <f>IF(COUNTA('[1]Virus production'!A775)=1,('[1]Virus production'!A775),"")</f>
        <v/>
      </c>
      <c r="J789" s="12"/>
      <c r="L789" s="12"/>
      <c r="M789" s="12"/>
      <c r="N789" s="12"/>
      <c r="O789" s="12"/>
      <c r="P789" s="12"/>
      <c r="Q789" s="12"/>
      <c r="R789" s="12"/>
      <c r="S789" s="12"/>
      <c r="T789" s="12"/>
      <c r="U789" s="12"/>
      <c r="V789" s="12"/>
      <c r="W789" s="12"/>
      <c r="X789" s="12"/>
      <c r="Y789" s="12"/>
      <c r="Z789" s="12"/>
      <c r="AA789" s="12"/>
      <c r="AB789" s="12"/>
      <c r="AD789" s="12"/>
      <c r="AE789" s="12"/>
      <c r="AF789" s="12"/>
      <c r="AG789" s="12"/>
      <c r="AH789" s="12"/>
      <c r="AI789" s="12"/>
      <c r="AJ789" s="12"/>
      <c r="AK789" s="12"/>
      <c r="AL789" s="12"/>
      <c r="AM789" s="12"/>
      <c r="AN789" s="12"/>
      <c r="AO789" s="12"/>
      <c r="AP789" s="12"/>
      <c r="AQ789" s="12"/>
      <c r="AR789" s="12"/>
      <c r="AS789" s="12"/>
      <c r="AT789" s="12"/>
    </row>
    <row r="790" spans="1:46" x14ac:dyDescent="0.25">
      <c r="A790" s="12"/>
      <c r="B790" s="12"/>
      <c r="C790" s="12"/>
      <c r="D790" s="12"/>
      <c r="E790" s="12"/>
      <c r="F790" s="12"/>
      <c r="G790" s="12"/>
      <c r="H790" s="12"/>
      <c r="I790" s="21" t="str">
        <f>IF(COUNTA('[1]Virus production'!A776)=1,('[1]Virus production'!A776),"")</f>
        <v/>
      </c>
      <c r="J790" s="12"/>
      <c r="L790" s="12"/>
      <c r="M790" s="12"/>
      <c r="N790" s="12"/>
      <c r="O790" s="12"/>
      <c r="P790" s="12"/>
      <c r="Q790" s="12"/>
      <c r="R790" s="12"/>
      <c r="S790" s="12"/>
      <c r="T790" s="12"/>
      <c r="U790" s="12"/>
      <c r="V790" s="12"/>
      <c r="W790" s="12"/>
      <c r="X790" s="12"/>
      <c r="Y790" s="12"/>
      <c r="Z790" s="12"/>
      <c r="AA790" s="12"/>
      <c r="AB790" s="12"/>
      <c r="AD790" s="12"/>
      <c r="AE790" s="12"/>
      <c r="AF790" s="12"/>
      <c r="AG790" s="12"/>
      <c r="AH790" s="12"/>
      <c r="AI790" s="12"/>
      <c r="AJ790" s="12"/>
      <c r="AK790" s="12"/>
      <c r="AL790" s="12"/>
      <c r="AM790" s="12"/>
      <c r="AN790" s="12"/>
      <c r="AO790" s="12"/>
      <c r="AP790" s="12"/>
      <c r="AQ790" s="12"/>
      <c r="AR790" s="12"/>
      <c r="AS790" s="12"/>
      <c r="AT790" s="12"/>
    </row>
    <row r="791" spans="1:46" x14ac:dyDescent="0.25">
      <c r="A791" s="12"/>
      <c r="B791" s="12"/>
      <c r="C791" s="12"/>
      <c r="D791" s="12"/>
      <c r="E791" s="12"/>
      <c r="F791" s="12"/>
      <c r="G791" s="12"/>
      <c r="H791" s="12"/>
      <c r="I791" s="21" t="str">
        <f>IF(COUNTA('[1]Virus production'!A777)=1,('[1]Virus production'!A777),"")</f>
        <v/>
      </c>
      <c r="J791" s="12"/>
      <c r="L791" s="12"/>
      <c r="M791" s="12"/>
      <c r="N791" s="12"/>
      <c r="O791" s="12"/>
      <c r="P791" s="12"/>
      <c r="Q791" s="12"/>
      <c r="R791" s="12"/>
      <c r="S791" s="12"/>
      <c r="T791" s="12"/>
      <c r="U791" s="12"/>
      <c r="V791" s="12"/>
      <c r="W791" s="12"/>
      <c r="X791" s="12"/>
      <c r="Y791" s="12"/>
      <c r="Z791" s="12"/>
      <c r="AA791" s="12"/>
      <c r="AB791" s="12"/>
      <c r="AD791" s="12"/>
      <c r="AE791" s="12"/>
      <c r="AF791" s="12"/>
      <c r="AG791" s="12"/>
      <c r="AH791" s="12"/>
      <c r="AI791" s="12"/>
      <c r="AJ791" s="12"/>
      <c r="AK791" s="12"/>
      <c r="AL791" s="12"/>
      <c r="AM791" s="12"/>
      <c r="AN791" s="12"/>
      <c r="AO791" s="12"/>
      <c r="AP791" s="12"/>
      <c r="AQ791" s="12"/>
      <c r="AR791" s="12"/>
      <c r="AS791" s="12"/>
      <c r="AT791" s="12"/>
    </row>
    <row r="792" spans="1:46" x14ac:dyDescent="0.25">
      <c r="A792" s="12"/>
      <c r="B792" s="12"/>
      <c r="C792" s="12"/>
      <c r="D792" s="12"/>
      <c r="E792" s="12"/>
      <c r="F792" s="12"/>
      <c r="G792" s="12"/>
      <c r="H792" s="12"/>
      <c r="I792" s="21" t="str">
        <f>IF(COUNTA('[1]Virus production'!A778)=1,('[1]Virus production'!A778),"")</f>
        <v/>
      </c>
      <c r="J792" s="12"/>
      <c r="L792" s="12"/>
      <c r="M792" s="12"/>
      <c r="N792" s="12"/>
      <c r="O792" s="12"/>
      <c r="P792" s="12"/>
      <c r="Q792" s="12"/>
      <c r="R792" s="12"/>
      <c r="S792" s="12"/>
      <c r="T792" s="12"/>
      <c r="U792" s="12"/>
      <c r="V792" s="12"/>
      <c r="W792" s="12"/>
      <c r="X792" s="12"/>
      <c r="Y792" s="12"/>
      <c r="Z792" s="12"/>
      <c r="AA792" s="12"/>
      <c r="AB792" s="12"/>
      <c r="AD792" s="12"/>
      <c r="AE792" s="12"/>
      <c r="AF792" s="12"/>
      <c r="AG792" s="12"/>
      <c r="AH792" s="12"/>
      <c r="AI792" s="12"/>
      <c r="AJ792" s="12"/>
      <c r="AK792" s="12"/>
      <c r="AL792" s="12"/>
      <c r="AM792" s="12"/>
      <c r="AN792" s="12"/>
      <c r="AO792" s="12"/>
      <c r="AP792" s="12"/>
      <c r="AQ792" s="12"/>
      <c r="AR792" s="12"/>
      <c r="AS792" s="12"/>
      <c r="AT792" s="12"/>
    </row>
    <row r="793" spans="1:46" x14ac:dyDescent="0.25">
      <c r="A793" s="12"/>
      <c r="B793" s="12"/>
      <c r="C793" s="12"/>
      <c r="D793" s="12"/>
      <c r="E793" s="12"/>
      <c r="F793" s="12"/>
      <c r="G793" s="12"/>
      <c r="H793" s="12"/>
      <c r="I793" s="21" t="str">
        <f>IF(COUNTA('[1]Virus production'!A779)=1,('[1]Virus production'!A779),"")</f>
        <v/>
      </c>
      <c r="J793" s="12"/>
      <c r="L793" s="12"/>
      <c r="M793" s="12"/>
      <c r="N793" s="12"/>
      <c r="O793" s="12"/>
      <c r="P793" s="12"/>
      <c r="Q793" s="12"/>
      <c r="R793" s="12"/>
      <c r="S793" s="12"/>
      <c r="T793" s="12"/>
      <c r="U793" s="12"/>
      <c r="V793" s="12"/>
      <c r="W793" s="12"/>
      <c r="X793" s="12"/>
      <c r="Y793" s="12"/>
      <c r="Z793" s="12"/>
      <c r="AA793" s="12"/>
      <c r="AB793" s="12"/>
      <c r="AD793" s="12"/>
      <c r="AE793" s="12"/>
      <c r="AF793" s="12"/>
      <c r="AG793" s="12"/>
      <c r="AH793" s="12"/>
      <c r="AI793" s="12"/>
      <c r="AJ793" s="12"/>
      <c r="AK793" s="12"/>
      <c r="AL793" s="12"/>
      <c r="AM793" s="12"/>
      <c r="AN793" s="12"/>
      <c r="AO793" s="12"/>
      <c r="AP793" s="12"/>
      <c r="AQ793" s="12"/>
      <c r="AR793" s="12"/>
      <c r="AS793" s="12"/>
      <c r="AT793" s="12"/>
    </row>
    <row r="794" spans="1:46" x14ac:dyDescent="0.25">
      <c r="A794" s="12"/>
      <c r="B794" s="12"/>
      <c r="C794" s="12"/>
      <c r="D794" s="12"/>
      <c r="E794" s="12"/>
      <c r="F794" s="12"/>
      <c r="G794" s="12"/>
      <c r="H794" s="12"/>
      <c r="I794" s="21" t="str">
        <f>IF(COUNTA('[1]Virus production'!A780)=1,('[1]Virus production'!A780),"")</f>
        <v/>
      </c>
      <c r="J794" s="12"/>
      <c r="L794" s="12"/>
      <c r="M794" s="12"/>
      <c r="N794" s="12"/>
      <c r="O794" s="12"/>
      <c r="P794" s="12"/>
      <c r="Q794" s="12"/>
      <c r="R794" s="12"/>
      <c r="S794" s="12"/>
      <c r="T794" s="12"/>
      <c r="U794" s="12"/>
      <c r="V794" s="12"/>
      <c r="W794" s="12"/>
      <c r="X794" s="12"/>
      <c r="Y794" s="12"/>
      <c r="Z794" s="12"/>
      <c r="AA794" s="12"/>
      <c r="AB794" s="12"/>
      <c r="AD794" s="12"/>
      <c r="AE794" s="12"/>
      <c r="AF794" s="12"/>
      <c r="AG794" s="12"/>
      <c r="AH794" s="12"/>
      <c r="AI794" s="12"/>
      <c r="AJ794" s="12"/>
      <c r="AK794" s="12"/>
      <c r="AL794" s="12"/>
      <c r="AM794" s="12"/>
      <c r="AN794" s="12"/>
      <c r="AO794" s="12"/>
      <c r="AP794" s="12"/>
      <c r="AQ794" s="12"/>
      <c r="AR794" s="12"/>
      <c r="AS794" s="12"/>
      <c r="AT794" s="12"/>
    </row>
    <row r="795" spans="1:46" x14ac:dyDescent="0.25">
      <c r="A795" s="12"/>
      <c r="B795" s="12"/>
      <c r="C795" s="12"/>
      <c r="D795" s="12"/>
      <c r="E795" s="12"/>
      <c r="F795" s="12"/>
      <c r="G795" s="12"/>
      <c r="H795" s="12"/>
      <c r="I795" s="21" t="str">
        <f>IF(COUNTA('[1]Virus production'!A781)=1,('[1]Virus production'!A781),"")</f>
        <v/>
      </c>
      <c r="J795" s="12"/>
      <c r="L795" s="12"/>
      <c r="M795" s="12"/>
      <c r="N795" s="12"/>
      <c r="O795" s="12"/>
      <c r="P795" s="12"/>
      <c r="Q795" s="12"/>
      <c r="R795" s="12"/>
      <c r="S795" s="12"/>
      <c r="T795" s="12"/>
      <c r="U795" s="12"/>
      <c r="V795" s="12"/>
      <c r="W795" s="12"/>
      <c r="X795" s="12"/>
      <c r="Y795" s="12"/>
      <c r="Z795" s="12"/>
      <c r="AA795" s="12"/>
      <c r="AB795" s="12"/>
      <c r="AD795" s="12"/>
      <c r="AE795" s="12"/>
      <c r="AF795" s="12"/>
      <c r="AG795" s="12"/>
      <c r="AH795" s="12"/>
      <c r="AI795" s="12"/>
      <c r="AJ795" s="12"/>
      <c r="AK795" s="12"/>
      <c r="AL795" s="12"/>
      <c r="AM795" s="12"/>
      <c r="AN795" s="12"/>
      <c r="AO795" s="12"/>
      <c r="AP795" s="12"/>
      <c r="AQ795" s="12"/>
      <c r="AR795" s="12"/>
      <c r="AS795" s="12"/>
      <c r="AT795" s="12"/>
    </row>
    <row r="796" spans="1:46" x14ac:dyDescent="0.25">
      <c r="A796" s="12"/>
      <c r="B796" s="12"/>
      <c r="C796" s="12"/>
      <c r="D796" s="12"/>
      <c r="E796" s="12"/>
      <c r="F796" s="12"/>
      <c r="G796" s="12"/>
      <c r="H796" s="12"/>
      <c r="I796" s="21" t="str">
        <f>IF(COUNTA('[1]Virus production'!A782)=1,('[1]Virus production'!A782),"")</f>
        <v/>
      </c>
      <c r="J796" s="12"/>
      <c r="L796" s="12"/>
      <c r="M796" s="12"/>
      <c r="N796" s="12"/>
      <c r="O796" s="12"/>
      <c r="P796" s="12"/>
      <c r="Q796" s="12"/>
      <c r="R796" s="12"/>
      <c r="S796" s="12"/>
      <c r="T796" s="12"/>
      <c r="U796" s="12"/>
      <c r="V796" s="12"/>
      <c r="W796" s="12"/>
      <c r="X796" s="12"/>
      <c r="Y796" s="12"/>
      <c r="Z796" s="12"/>
      <c r="AA796" s="12"/>
      <c r="AB796" s="12"/>
      <c r="AD796" s="12"/>
      <c r="AE796" s="12"/>
      <c r="AF796" s="12"/>
      <c r="AG796" s="12"/>
      <c r="AH796" s="12"/>
      <c r="AI796" s="12"/>
      <c r="AJ796" s="12"/>
      <c r="AK796" s="12"/>
      <c r="AL796" s="12"/>
      <c r="AM796" s="12"/>
      <c r="AN796" s="12"/>
      <c r="AO796" s="12"/>
      <c r="AP796" s="12"/>
      <c r="AQ796" s="12"/>
      <c r="AR796" s="12"/>
      <c r="AS796" s="12"/>
      <c r="AT796" s="12"/>
    </row>
    <row r="797" spans="1:46" x14ac:dyDescent="0.25">
      <c r="A797" s="12"/>
      <c r="B797" s="12"/>
      <c r="C797" s="12"/>
      <c r="D797" s="12"/>
      <c r="E797" s="12"/>
      <c r="F797" s="12"/>
      <c r="G797" s="12"/>
      <c r="H797" s="12"/>
      <c r="I797" s="21" t="str">
        <f>IF(COUNTA('[1]Virus production'!A783)=1,('[1]Virus production'!A783),"")</f>
        <v/>
      </c>
      <c r="J797" s="12"/>
      <c r="L797" s="12"/>
      <c r="M797" s="12"/>
      <c r="N797" s="12"/>
      <c r="O797" s="12"/>
      <c r="P797" s="12"/>
      <c r="Q797" s="12"/>
      <c r="R797" s="12"/>
      <c r="S797" s="12"/>
      <c r="T797" s="12"/>
      <c r="U797" s="12"/>
      <c r="V797" s="12"/>
      <c r="W797" s="12"/>
      <c r="X797" s="12"/>
      <c r="Y797" s="12"/>
      <c r="Z797" s="12"/>
      <c r="AA797" s="12"/>
      <c r="AB797" s="12"/>
      <c r="AD797" s="12"/>
      <c r="AE797" s="12"/>
      <c r="AF797" s="12"/>
      <c r="AG797" s="12"/>
      <c r="AH797" s="12"/>
      <c r="AI797" s="12"/>
      <c r="AJ797" s="12"/>
      <c r="AK797" s="12"/>
      <c r="AL797" s="12"/>
      <c r="AM797" s="12"/>
      <c r="AN797" s="12"/>
      <c r="AO797" s="12"/>
      <c r="AP797" s="12"/>
      <c r="AQ797" s="12"/>
      <c r="AR797" s="12"/>
      <c r="AS797" s="12"/>
      <c r="AT797" s="12"/>
    </row>
    <row r="798" spans="1:46" x14ac:dyDescent="0.25">
      <c r="A798" s="12"/>
      <c r="B798" s="12"/>
      <c r="C798" s="12"/>
      <c r="D798" s="12"/>
      <c r="E798" s="12"/>
      <c r="F798" s="12"/>
      <c r="G798" s="12"/>
      <c r="H798" s="12"/>
      <c r="I798" s="21" t="str">
        <f>IF(COUNTA('[1]Virus production'!A784)=1,('[1]Virus production'!A784),"")</f>
        <v/>
      </c>
      <c r="J798" s="12"/>
      <c r="L798" s="12"/>
      <c r="M798" s="12"/>
      <c r="N798" s="12"/>
      <c r="O798" s="12"/>
      <c r="P798" s="12"/>
      <c r="Q798" s="12"/>
      <c r="R798" s="12"/>
      <c r="S798" s="12"/>
      <c r="T798" s="12"/>
      <c r="U798" s="12"/>
      <c r="V798" s="12"/>
      <c r="W798" s="12"/>
      <c r="X798" s="12"/>
      <c r="Y798" s="12"/>
      <c r="Z798" s="12"/>
      <c r="AA798" s="12"/>
      <c r="AB798" s="12"/>
      <c r="AD798" s="12"/>
      <c r="AE798" s="12"/>
      <c r="AF798" s="12"/>
      <c r="AG798" s="12"/>
      <c r="AH798" s="12"/>
      <c r="AI798" s="12"/>
      <c r="AJ798" s="12"/>
      <c r="AK798" s="12"/>
      <c r="AL798" s="12"/>
      <c r="AM798" s="12"/>
      <c r="AN798" s="12"/>
      <c r="AO798" s="12"/>
      <c r="AP798" s="12"/>
      <c r="AQ798" s="12"/>
      <c r="AR798" s="12"/>
      <c r="AS798" s="12"/>
      <c r="AT798" s="12"/>
    </row>
    <row r="799" spans="1:46" x14ac:dyDescent="0.25">
      <c r="A799" s="12"/>
      <c r="B799" s="12"/>
      <c r="C799" s="12"/>
      <c r="D799" s="12"/>
      <c r="E799" s="12"/>
      <c r="F799" s="12"/>
      <c r="G799" s="12"/>
      <c r="H799" s="12"/>
      <c r="I799" s="21" t="str">
        <f>IF(COUNTA('[1]Virus production'!A785)=1,('[1]Virus production'!A785),"")</f>
        <v/>
      </c>
      <c r="J799" s="12"/>
      <c r="L799" s="12"/>
      <c r="M799" s="12"/>
      <c r="N799" s="12"/>
      <c r="O799" s="12"/>
      <c r="P799" s="12"/>
      <c r="Q799" s="12"/>
      <c r="R799" s="12"/>
      <c r="S799" s="12"/>
      <c r="T799" s="12"/>
      <c r="U799" s="12"/>
      <c r="V799" s="12"/>
      <c r="W799" s="12"/>
      <c r="X799" s="12"/>
      <c r="Y799" s="12"/>
      <c r="Z799" s="12"/>
      <c r="AA799" s="12"/>
      <c r="AB799" s="12"/>
      <c r="AD799" s="12"/>
      <c r="AE799" s="12"/>
      <c r="AF799" s="12"/>
      <c r="AG799" s="12"/>
      <c r="AH799" s="12"/>
      <c r="AI799" s="12"/>
      <c r="AJ799" s="12"/>
      <c r="AK799" s="12"/>
      <c r="AL799" s="12"/>
      <c r="AM799" s="12"/>
      <c r="AN799" s="12"/>
      <c r="AO799" s="12"/>
      <c r="AP799" s="12"/>
      <c r="AQ799" s="12"/>
      <c r="AR799" s="12"/>
      <c r="AS799" s="12"/>
      <c r="AT799" s="12"/>
    </row>
    <row r="800" spans="1:46" x14ac:dyDescent="0.25">
      <c r="A800" s="12"/>
      <c r="B800" s="12"/>
      <c r="C800" s="12"/>
      <c r="D800" s="12"/>
      <c r="E800" s="12"/>
      <c r="F800" s="12"/>
      <c r="G800" s="12"/>
      <c r="H800" s="12"/>
      <c r="I800" s="21" t="str">
        <f>IF(COUNTA('[1]Virus production'!A786)=1,('[1]Virus production'!A786),"")</f>
        <v/>
      </c>
      <c r="J800" s="12"/>
      <c r="L800" s="12"/>
      <c r="M800" s="12"/>
      <c r="N800" s="12"/>
      <c r="O800" s="12"/>
      <c r="P800" s="12"/>
      <c r="Q800" s="12"/>
      <c r="R800" s="12"/>
      <c r="S800" s="12"/>
      <c r="T800" s="12"/>
      <c r="U800" s="12"/>
      <c r="V800" s="12"/>
      <c r="W800" s="12"/>
      <c r="X800" s="12"/>
      <c r="Y800" s="12"/>
      <c r="Z800" s="12"/>
      <c r="AA800" s="12"/>
      <c r="AB800" s="12"/>
      <c r="AD800" s="12"/>
      <c r="AE800" s="12"/>
      <c r="AF800" s="12"/>
      <c r="AG800" s="12"/>
      <c r="AH800" s="12"/>
      <c r="AI800" s="12"/>
      <c r="AJ800" s="12"/>
      <c r="AK800" s="12"/>
      <c r="AL800" s="12"/>
      <c r="AM800" s="12"/>
      <c r="AN800" s="12"/>
      <c r="AO800" s="12"/>
      <c r="AP800" s="12"/>
      <c r="AQ800" s="12"/>
      <c r="AR800" s="12"/>
      <c r="AS800" s="12"/>
      <c r="AT800" s="12"/>
    </row>
    <row r="801" spans="1:46" x14ac:dyDescent="0.25">
      <c r="A801" s="12"/>
      <c r="B801" s="12"/>
      <c r="C801" s="12"/>
      <c r="D801" s="12"/>
      <c r="E801" s="12"/>
      <c r="F801" s="12"/>
      <c r="G801" s="12"/>
      <c r="H801" s="12"/>
      <c r="I801" s="21" t="str">
        <f>IF(COUNTA('[1]Virus production'!A787)=1,('[1]Virus production'!A787),"")</f>
        <v/>
      </c>
      <c r="J801" s="12"/>
      <c r="L801" s="12"/>
      <c r="M801" s="12"/>
      <c r="N801" s="12"/>
      <c r="O801" s="12"/>
      <c r="P801" s="12"/>
      <c r="Q801" s="12"/>
      <c r="R801" s="12"/>
      <c r="S801" s="12"/>
      <c r="T801" s="12"/>
      <c r="U801" s="12"/>
      <c r="V801" s="12"/>
      <c r="W801" s="12"/>
      <c r="X801" s="12"/>
      <c r="Y801" s="12"/>
      <c r="Z801" s="12"/>
      <c r="AA801" s="12"/>
      <c r="AB801" s="12"/>
      <c r="AD801" s="12"/>
      <c r="AE801" s="12"/>
      <c r="AF801" s="12"/>
      <c r="AG801" s="12"/>
      <c r="AH801" s="12"/>
      <c r="AI801" s="12"/>
      <c r="AJ801" s="12"/>
      <c r="AK801" s="12"/>
      <c r="AL801" s="12"/>
      <c r="AM801" s="12"/>
      <c r="AN801" s="12"/>
      <c r="AO801" s="12"/>
      <c r="AP801" s="12"/>
      <c r="AQ801" s="12"/>
      <c r="AR801" s="12"/>
      <c r="AS801" s="12"/>
      <c r="AT801" s="12"/>
    </row>
    <row r="802" spans="1:46" x14ac:dyDescent="0.25">
      <c r="A802" s="12"/>
      <c r="B802" s="12"/>
      <c r="C802" s="12"/>
      <c r="D802" s="12"/>
      <c r="E802" s="12"/>
      <c r="F802" s="12"/>
      <c r="G802" s="12"/>
      <c r="H802" s="12"/>
      <c r="I802" s="21" t="str">
        <f>IF(COUNTA('[1]Virus production'!A788)=1,('[1]Virus production'!A788),"")</f>
        <v/>
      </c>
      <c r="J802" s="12"/>
      <c r="L802" s="12"/>
      <c r="M802" s="12"/>
      <c r="N802" s="12"/>
      <c r="O802" s="12"/>
      <c r="P802" s="12"/>
      <c r="Q802" s="12"/>
      <c r="R802" s="12"/>
      <c r="S802" s="12"/>
      <c r="T802" s="12"/>
      <c r="U802" s="12"/>
      <c r="V802" s="12"/>
      <c r="W802" s="12"/>
      <c r="X802" s="12"/>
      <c r="Y802" s="12"/>
      <c r="Z802" s="12"/>
      <c r="AA802" s="12"/>
      <c r="AB802" s="12"/>
      <c r="AD802" s="12"/>
      <c r="AE802" s="12"/>
      <c r="AF802" s="12"/>
      <c r="AG802" s="12"/>
      <c r="AH802" s="12"/>
      <c r="AI802" s="12"/>
      <c r="AJ802" s="12"/>
      <c r="AK802" s="12"/>
      <c r="AL802" s="12"/>
      <c r="AM802" s="12"/>
      <c r="AN802" s="12"/>
      <c r="AO802" s="12"/>
      <c r="AP802" s="12"/>
      <c r="AQ802" s="12"/>
      <c r="AR802" s="12"/>
      <c r="AS802" s="12"/>
      <c r="AT802" s="12"/>
    </row>
    <row r="803" spans="1:46" x14ac:dyDescent="0.25">
      <c r="A803" s="12"/>
      <c r="B803" s="12"/>
      <c r="C803" s="12"/>
      <c r="D803" s="12"/>
      <c r="E803" s="12"/>
      <c r="F803" s="12"/>
      <c r="G803" s="12"/>
      <c r="H803" s="12"/>
      <c r="I803" s="21" t="str">
        <f>IF(COUNTA('[1]Virus production'!A789)=1,('[1]Virus production'!A789),"")</f>
        <v/>
      </c>
      <c r="J803" s="12"/>
      <c r="L803" s="12"/>
      <c r="M803" s="12"/>
      <c r="N803" s="12"/>
      <c r="O803" s="12"/>
      <c r="P803" s="12"/>
      <c r="Q803" s="12"/>
      <c r="R803" s="12"/>
      <c r="S803" s="12"/>
      <c r="T803" s="12"/>
      <c r="U803" s="12"/>
      <c r="V803" s="12"/>
      <c r="W803" s="12"/>
      <c r="X803" s="12"/>
      <c r="Y803" s="12"/>
      <c r="Z803" s="12"/>
      <c r="AA803" s="12"/>
      <c r="AB803" s="12"/>
      <c r="AD803" s="12"/>
      <c r="AE803" s="12"/>
      <c r="AF803" s="12"/>
      <c r="AG803" s="12"/>
      <c r="AH803" s="12"/>
      <c r="AI803" s="12"/>
      <c r="AJ803" s="12"/>
      <c r="AK803" s="12"/>
      <c r="AL803" s="12"/>
      <c r="AM803" s="12"/>
      <c r="AN803" s="12"/>
      <c r="AO803" s="12"/>
      <c r="AP803" s="12"/>
      <c r="AQ803" s="12"/>
      <c r="AR803" s="12"/>
      <c r="AS803" s="12"/>
      <c r="AT803" s="12"/>
    </row>
    <row r="804" spans="1:46" x14ac:dyDescent="0.25">
      <c r="A804" s="12"/>
      <c r="B804" s="12"/>
      <c r="C804" s="12"/>
      <c r="D804" s="12"/>
      <c r="E804" s="12"/>
      <c r="F804" s="12"/>
      <c r="G804" s="12"/>
      <c r="H804" s="12"/>
      <c r="I804" s="21" t="str">
        <f>IF(COUNTA('[1]Virus production'!A790)=1,('[1]Virus production'!A790),"")</f>
        <v/>
      </c>
      <c r="J804" s="12"/>
      <c r="L804" s="12"/>
      <c r="M804" s="12"/>
      <c r="N804" s="12"/>
      <c r="O804" s="12"/>
      <c r="P804" s="12"/>
      <c r="Q804" s="12"/>
      <c r="R804" s="12"/>
      <c r="S804" s="12"/>
      <c r="T804" s="12"/>
      <c r="U804" s="12"/>
      <c r="V804" s="12"/>
      <c r="W804" s="12"/>
      <c r="X804" s="12"/>
      <c r="Y804" s="12"/>
      <c r="Z804" s="12"/>
      <c r="AA804" s="12"/>
      <c r="AB804" s="12"/>
      <c r="AD804" s="12"/>
      <c r="AE804" s="12"/>
      <c r="AF804" s="12"/>
      <c r="AG804" s="12"/>
      <c r="AH804" s="12"/>
      <c r="AI804" s="12"/>
      <c r="AJ804" s="12"/>
      <c r="AK804" s="12"/>
      <c r="AL804" s="12"/>
      <c r="AM804" s="12"/>
      <c r="AN804" s="12"/>
      <c r="AO804" s="12"/>
      <c r="AP804" s="12"/>
      <c r="AQ804" s="12"/>
      <c r="AR804" s="12"/>
      <c r="AS804" s="12"/>
      <c r="AT804" s="12"/>
    </row>
    <row r="805" spans="1:46" x14ac:dyDescent="0.25">
      <c r="A805" s="12"/>
      <c r="B805" s="12"/>
      <c r="C805" s="12"/>
      <c r="D805" s="12"/>
      <c r="E805" s="12"/>
      <c r="F805" s="12"/>
      <c r="G805" s="12"/>
      <c r="H805" s="12"/>
      <c r="I805" s="21" t="str">
        <f>IF(COUNTA('[1]Virus production'!A791)=1,('[1]Virus production'!A791),"")</f>
        <v/>
      </c>
      <c r="J805" s="12"/>
      <c r="L805" s="12"/>
      <c r="M805" s="12"/>
      <c r="N805" s="12"/>
      <c r="O805" s="12"/>
      <c r="P805" s="12"/>
      <c r="Q805" s="12"/>
      <c r="R805" s="12"/>
      <c r="S805" s="12"/>
      <c r="T805" s="12"/>
      <c r="U805" s="12"/>
      <c r="V805" s="12"/>
      <c r="W805" s="12"/>
      <c r="X805" s="12"/>
      <c r="Y805" s="12"/>
      <c r="Z805" s="12"/>
      <c r="AA805" s="12"/>
      <c r="AB805" s="12"/>
      <c r="AD805" s="12"/>
      <c r="AE805" s="12"/>
      <c r="AF805" s="12"/>
      <c r="AG805" s="12"/>
      <c r="AH805" s="12"/>
      <c r="AI805" s="12"/>
      <c r="AJ805" s="12"/>
      <c r="AK805" s="12"/>
      <c r="AL805" s="12"/>
      <c r="AM805" s="12"/>
      <c r="AN805" s="12"/>
      <c r="AO805" s="12"/>
      <c r="AP805" s="12"/>
      <c r="AQ805" s="12"/>
      <c r="AR805" s="12"/>
      <c r="AS805" s="12"/>
      <c r="AT805" s="12"/>
    </row>
    <row r="806" spans="1:46" x14ac:dyDescent="0.25">
      <c r="A806" s="12"/>
      <c r="B806" s="12"/>
      <c r="C806" s="12"/>
      <c r="D806" s="12"/>
      <c r="E806" s="12"/>
      <c r="F806" s="12"/>
      <c r="G806" s="12"/>
      <c r="H806" s="12"/>
      <c r="I806" s="21" t="str">
        <f>IF(COUNTA('[1]Virus production'!A792)=1,('[1]Virus production'!A792),"")</f>
        <v/>
      </c>
      <c r="J806" s="12"/>
      <c r="L806" s="12"/>
      <c r="M806" s="12"/>
      <c r="N806" s="12"/>
      <c r="O806" s="12"/>
      <c r="P806" s="12"/>
      <c r="Q806" s="12"/>
      <c r="R806" s="12"/>
      <c r="S806" s="12"/>
      <c r="T806" s="12"/>
      <c r="U806" s="12"/>
      <c r="V806" s="12"/>
      <c r="W806" s="12"/>
      <c r="X806" s="12"/>
      <c r="Y806" s="12"/>
      <c r="Z806" s="12"/>
      <c r="AA806" s="12"/>
      <c r="AB806" s="12"/>
      <c r="AD806" s="12"/>
      <c r="AE806" s="12"/>
      <c r="AF806" s="12"/>
      <c r="AG806" s="12"/>
      <c r="AH806" s="12"/>
      <c r="AI806" s="12"/>
      <c r="AJ806" s="12"/>
      <c r="AK806" s="12"/>
      <c r="AL806" s="12"/>
      <c r="AM806" s="12"/>
      <c r="AN806" s="12"/>
      <c r="AO806" s="12"/>
      <c r="AP806" s="12"/>
      <c r="AQ806" s="12"/>
      <c r="AR806" s="12"/>
      <c r="AS806" s="12"/>
      <c r="AT806" s="12"/>
    </row>
    <row r="807" spans="1:46" x14ac:dyDescent="0.25">
      <c r="A807" s="12"/>
      <c r="B807" s="12"/>
      <c r="C807" s="12"/>
      <c r="D807" s="12"/>
      <c r="E807" s="12"/>
      <c r="F807" s="12"/>
      <c r="G807" s="12"/>
      <c r="H807" s="12"/>
      <c r="I807" s="21" t="str">
        <f>IF(COUNTA('[1]Virus production'!A793)=1,('[1]Virus production'!A793),"")</f>
        <v/>
      </c>
      <c r="J807" s="12"/>
      <c r="L807" s="12"/>
      <c r="M807" s="12"/>
      <c r="N807" s="12"/>
      <c r="O807" s="12"/>
      <c r="P807" s="12"/>
      <c r="Q807" s="12"/>
      <c r="R807" s="12"/>
      <c r="S807" s="12"/>
      <c r="T807" s="12"/>
      <c r="U807" s="12"/>
      <c r="V807" s="12"/>
      <c r="W807" s="12"/>
      <c r="X807" s="12"/>
      <c r="Y807" s="12"/>
      <c r="Z807" s="12"/>
      <c r="AA807" s="12"/>
      <c r="AB807" s="12"/>
      <c r="AD807" s="12"/>
      <c r="AE807" s="12"/>
      <c r="AF807" s="12"/>
      <c r="AG807" s="12"/>
      <c r="AH807" s="12"/>
      <c r="AI807" s="12"/>
      <c r="AJ807" s="12"/>
      <c r="AK807" s="12"/>
      <c r="AL807" s="12"/>
      <c r="AM807" s="12"/>
      <c r="AN807" s="12"/>
      <c r="AO807" s="12"/>
      <c r="AP807" s="12"/>
      <c r="AQ807" s="12"/>
      <c r="AR807" s="12"/>
      <c r="AS807" s="12"/>
      <c r="AT807" s="12"/>
    </row>
    <row r="808" spans="1:46" x14ac:dyDescent="0.25">
      <c r="A808" s="12"/>
      <c r="B808" s="12"/>
      <c r="C808" s="12"/>
      <c r="D808" s="12"/>
      <c r="E808" s="12"/>
      <c r="F808" s="12"/>
      <c r="G808" s="12"/>
      <c r="H808" s="12"/>
      <c r="I808" s="21" t="str">
        <f>IF(COUNTA('[1]Virus production'!A794)=1,('[1]Virus production'!A794),"")</f>
        <v/>
      </c>
      <c r="J808" s="12"/>
      <c r="L808" s="12"/>
      <c r="M808" s="12"/>
      <c r="N808" s="12"/>
      <c r="O808" s="12"/>
      <c r="P808" s="12"/>
      <c r="Q808" s="12"/>
      <c r="R808" s="12"/>
      <c r="S808" s="12"/>
      <c r="T808" s="12"/>
      <c r="U808" s="12"/>
      <c r="V808" s="12"/>
      <c r="W808" s="12"/>
      <c r="X808" s="12"/>
      <c r="Y808" s="12"/>
      <c r="Z808" s="12"/>
      <c r="AA808" s="12"/>
      <c r="AB808" s="12"/>
      <c r="AD808" s="12"/>
      <c r="AE808" s="12"/>
      <c r="AF808" s="12"/>
      <c r="AG808" s="12"/>
      <c r="AH808" s="12"/>
      <c r="AI808" s="12"/>
      <c r="AJ808" s="12"/>
      <c r="AK808" s="12"/>
      <c r="AL808" s="12"/>
      <c r="AM808" s="12"/>
      <c r="AN808" s="12"/>
      <c r="AO808" s="12"/>
      <c r="AP808" s="12"/>
      <c r="AQ808" s="12"/>
      <c r="AR808" s="12"/>
      <c r="AS808" s="12"/>
      <c r="AT808" s="12"/>
    </row>
    <row r="809" spans="1:46" x14ac:dyDescent="0.25">
      <c r="A809" s="12"/>
      <c r="B809" s="12"/>
      <c r="C809" s="12"/>
      <c r="D809" s="12"/>
      <c r="E809" s="12"/>
      <c r="F809" s="12"/>
      <c r="G809" s="12"/>
      <c r="H809" s="12"/>
      <c r="I809" s="21" t="str">
        <f>IF(COUNTA('[1]Virus production'!A795)=1,('[1]Virus production'!A795),"")</f>
        <v/>
      </c>
      <c r="J809" s="12"/>
      <c r="L809" s="12"/>
      <c r="M809" s="12"/>
      <c r="N809" s="12"/>
      <c r="O809" s="12"/>
      <c r="P809" s="12"/>
      <c r="Q809" s="12"/>
      <c r="R809" s="12"/>
      <c r="S809" s="12"/>
      <c r="T809" s="12"/>
      <c r="U809" s="12"/>
      <c r="V809" s="12"/>
      <c r="W809" s="12"/>
      <c r="X809" s="12"/>
      <c r="Y809" s="12"/>
      <c r="Z809" s="12"/>
      <c r="AA809" s="12"/>
      <c r="AB809" s="12"/>
      <c r="AD809" s="12"/>
      <c r="AE809" s="12"/>
      <c r="AF809" s="12"/>
      <c r="AG809" s="12"/>
      <c r="AH809" s="12"/>
      <c r="AI809" s="12"/>
      <c r="AJ809" s="12"/>
      <c r="AK809" s="12"/>
      <c r="AL809" s="12"/>
      <c r="AM809" s="12"/>
      <c r="AN809" s="12"/>
      <c r="AO809" s="12"/>
      <c r="AP809" s="12"/>
      <c r="AQ809" s="12"/>
      <c r="AR809" s="12"/>
      <c r="AS809" s="12"/>
      <c r="AT809" s="12"/>
    </row>
    <row r="810" spans="1:46" x14ac:dyDescent="0.25">
      <c r="A810" s="12"/>
      <c r="B810" s="12"/>
      <c r="C810" s="12"/>
      <c r="D810" s="12"/>
      <c r="E810" s="12"/>
      <c r="F810" s="12"/>
      <c r="G810" s="12"/>
      <c r="H810" s="12"/>
      <c r="I810" s="21" t="str">
        <f>IF(COUNTA('[1]Virus production'!A796)=1,('[1]Virus production'!A796),"")</f>
        <v/>
      </c>
      <c r="J810" s="12"/>
      <c r="L810" s="12"/>
      <c r="M810" s="12"/>
      <c r="N810" s="12"/>
      <c r="O810" s="12"/>
      <c r="P810" s="12"/>
      <c r="Q810" s="12"/>
      <c r="R810" s="12"/>
      <c r="S810" s="12"/>
      <c r="T810" s="12"/>
      <c r="U810" s="12"/>
      <c r="V810" s="12"/>
      <c r="W810" s="12"/>
      <c r="X810" s="12"/>
      <c r="Y810" s="12"/>
      <c r="Z810" s="12"/>
      <c r="AA810" s="12"/>
      <c r="AB810" s="12"/>
      <c r="AD810" s="12"/>
      <c r="AE810" s="12"/>
      <c r="AF810" s="12"/>
      <c r="AG810" s="12"/>
      <c r="AH810" s="12"/>
      <c r="AI810" s="12"/>
      <c r="AJ810" s="12"/>
      <c r="AK810" s="12"/>
      <c r="AL810" s="12"/>
      <c r="AM810" s="12"/>
      <c r="AN810" s="12"/>
      <c r="AO810" s="12"/>
      <c r="AP810" s="12"/>
      <c r="AQ810" s="12"/>
      <c r="AR810" s="12"/>
      <c r="AS810" s="12"/>
      <c r="AT810" s="12"/>
    </row>
    <row r="811" spans="1:46" x14ac:dyDescent="0.25">
      <c r="A811" s="12"/>
      <c r="B811" s="12"/>
      <c r="C811" s="12"/>
      <c r="D811" s="12"/>
      <c r="E811" s="12"/>
      <c r="F811" s="12"/>
      <c r="G811" s="12"/>
      <c r="H811" s="12"/>
      <c r="I811" s="21" t="str">
        <f>IF(COUNTA('[1]Virus production'!A797)=1,('[1]Virus production'!A797),"")</f>
        <v/>
      </c>
      <c r="J811" s="12"/>
      <c r="L811" s="12"/>
      <c r="M811" s="12"/>
      <c r="N811" s="12"/>
      <c r="O811" s="12"/>
      <c r="P811" s="12"/>
      <c r="Q811" s="12"/>
      <c r="R811" s="12"/>
      <c r="S811" s="12"/>
      <c r="T811" s="12"/>
      <c r="U811" s="12"/>
      <c r="V811" s="12"/>
      <c r="W811" s="12"/>
      <c r="X811" s="12"/>
      <c r="Y811" s="12"/>
      <c r="Z811" s="12"/>
      <c r="AA811" s="12"/>
      <c r="AB811" s="12"/>
      <c r="AD811" s="12"/>
      <c r="AE811" s="12"/>
      <c r="AF811" s="12"/>
      <c r="AG811" s="12"/>
      <c r="AH811" s="12"/>
      <c r="AI811" s="12"/>
      <c r="AJ811" s="12"/>
      <c r="AK811" s="12"/>
      <c r="AL811" s="12"/>
      <c r="AM811" s="12"/>
      <c r="AN811" s="12"/>
      <c r="AO811" s="12"/>
      <c r="AP811" s="12"/>
      <c r="AQ811" s="12"/>
      <c r="AR811" s="12"/>
      <c r="AS811" s="12"/>
      <c r="AT811" s="12"/>
    </row>
    <row r="812" spans="1:46" x14ac:dyDescent="0.25">
      <c r="A812" s="12"/>
      <c r="B812" s="12"/>
      <c r="C812" s="12"/>
      <c r="D812" s="12"/>
      <c r="E812" s="12"/>
      <c r="F812" s="12"/>
      <c r="G812" s="12"/>
      <c r="H812" s="12"/>
      <c r="I812" s="21" t="str">
        <f>IF(COUNTA('[1]Virus production'!A798)=1,('[1]Virus production'!A798),"")</f>
        <v/>
      </c>
      <c r="J812" s="12"/>
      <c r="L812" s="12"/>
      <c r="M812" s="12"/>
      <c r="N812" s="12"/>
      <c r="O812" s="12"/>
      <c r="P812" s="12"/>
      <c r="Q812" s="12"/>
      <c r="R812" s="12"/>
      <c r="S812" s="12"/>
      <c r="T812" s="12"/>
      <c r="U812" s="12"/>
      <c r="V812" s="12"/>
      <c r="W812" s="12"/>
      <c r="X812" s="12"/>
      <c r="Y812" s="12"/>
      <c r="Z812" s="12"/>
      <c r="AA812" s="12"/>
      <c r="AB812" s="12"/>
      <c r="AD812" s="12"/>
      <c r="AE812" s="12"/>
      <c r="AF812" s="12"/>
      <c r="AG812" s="12"/>
      <c r="AH812" s="12"/>
      <c r="AI812" s="12"/>
      <c r="AJ812" s="12"/>
      <c r="AK812" s="12"/>
      <c r="AL812" s="12"/>
      <c r="AM812" s="12"/>
      <c r="AN812" s="12"/>
      <c r="AO812" s="12"/>
      <c r="AP812" s="12"/>
      <c r="AQ812" s="12"/>
      <c r="AR812" s="12"/>
      <c r="AS812" s="12"/>
      <c r="AT812" s="12"/>
    </row>
    <row r="813" spans="1:46" x14ac:dyDescent="0.25">
      <c r="A813" s="12"/>
      <c r="B813" s="12"/>
      <c r="C813" s="12"/>
      <c r="D813" s="12"/>
      <c r="E813" s="12"/>
      <c r="F813" s="12"/>
      <c r="G813" s="12"/>
      <c r="H813" s="12"/>
      <c r="I813" s="21" t="str">
        <f>IF(COUNTA('[1]Virus production'!A799)=1,('[1]Virus production'!A799),"")</f>
        <v/>
      </c>
      <c r="J813" s="12"/>
      <c r="L813" s="12"/>
      <c r="M813" s="12"/>
      <c r="N813" s="12"/>
      <c r="O813" s="12"/>
      <c r="P813" s="12"/>
      <c r="Q813" s="12"/>
      <c r="R813" s="12"/>
      <c r="S813" s="12"/>
      <c r="T813" s="12"/>
      <c r="U813" s="12"/>
      <c r="V813" s="12"/>
      <c r="W813" s="12"/>
      <c r="X813" s="12"/>
      <c r="Y813" s="12"/>
      <c r="Z813" s="12"/>
      <c r="AA813" s="12"/>
      <c r="AB813" s="12"/>
      <c r="AD813" s="12"/>
      <c r="AE813" s="12"/>
      <c r="AF813" s="12"/>
      <c r="AG813" s="12"/>
      <c r="AH813" s="12"/>
      <c r="AI813" s="12"/>
      <c r="AJ813" s="12"/>
      <c r="AK813" s="12"/>
      <c r="AL813" s="12"/>
      <c r="AM813" s="12"/>
      <c r="AN813" s="12"/>
      <c r="AO813" s="12"/>
      <c r="AP813" s="12"/>
      <c r="AQ813" s="12"/>
      <c r="AR813" s="12"/>
      <c r="AS813" s="12"/>
      <c r="AT813" s="12"/>
    </row>
    <row r="814" spans="1:46" x14ac:dyDescent="0.25">
      <c r="A814" s="12"/>
      <c r="B814" s="12"/>
      <c r="C814" s="12"/>
      <c r="D814" s="12"/>
      <c r="E814" s="12"/>
      <c r="F814" s="12"/>
      <c r="G814" s="12"/>
      <c r="H814" s="12"/>
      <c r="I814" s="21" t="str">
        <f>IF(COUNTA('[1]Virus production'!A800)=1,('[1]Virus production'!A800),"")</f>
        <v/>
      </c>
      <c r="J814" s="12"/>
      <c r="L814" s="12"/>
      <c r="M814" s="12"/>
      <c r="N814" s="12"/>
      <c r="O814" s="12"/>
      <c r="P814" s="12"/>
      <c r="Q814" s="12"/>
      <c r="R814" s="12"/>
      <c r="S814" s="12"/>
      <c r="T814" s="12"/>
      <c r="U814" s="12"/>
      <c r="V814" s="12"/>
      <c r="W814" s="12"/>
      <c r="X814" s="12"/>
      <c r="Y814" s="12"/>
      <c r="Z814" s="12"/>
      <c r="AA814" s="12"/>
      <c r="AB814" s="12"/>
      <c r="AD814" s="12"/>
      <c r="AE814" s="12"/>
      <c r="AF814" s="12"/>
      <c r="AG814" s="12"/>
      <c r="AH814" s="12"/>
      <c r="AI814" s="12"/>
      <c r="AJ814" s="12"/>
      <c r="AK814" s="12"/>
      <c r="AL814" s="12"/>
      <c r="AM814" s="12"/>
      <c r="AN814" s="12"/>
      <c r="AO814" s="12"/>
      <c r="AP814" s="12"/>
      <c r="AQ814" s="12"/>
      <c r="AR814" s="12"/>
      <c r="AS814" s="12"/>
      <c r="AT814" s="12"/>
    </row>
    <row r="815" spans="1:46" x14ac:dyDescent="0.25">
      <c r="A815" s="12"/>
      <c r="B815" s="12"/>
      <c r="C815" s="12"/>
      <c r="D815" s="12"/>
      <c r="E815" s="12"/>
      <c r="F815" s="12"/>
      <c r="G815" s="12"/>
      <c r="H815" s="12"/>
      <c r="I815" s="21" t="str">
        <f>IF(COUNTA('[1]Virus production'!A801)=1,('[1]Virus production'!A801),"")</f>
        <v/>
      </c>
      <c r="J815" s="12"/>
      <c r="L815" s="12"/>
      <c r="M815" s="12"/>
      <c r="N815" s="12"/>
      <c r="O815" s="12"/>
      <c r="P815" s="12"/>
      <c r="Q815" s="12"/>
      <c r="R815" s="12"/>
      <c r="S815" s="12"/>
      <c r="T815" s="12"/>
      <c r="U815" s="12"/>
      <c r="V815" s="12"/>
      <c r="W815" s="12"/>
      <c r="X815" s="12"/>
      <c r="Y815" s="12"/>
      <c r="Z815" s="12"/>
      <c r="AA815" s="12"/>
      <c r="AB815" s="12"/>
      <c r="AD815" s="12"/>
      <c r="AE815" s="12"/>
      <c r="AF815" s="12"/>
      <c r="AG815" s="12"/>
      <c r="AH815" s="12"/>
      <c r="AI815" s="12"/>
      <c r="AJ815" s="12"/>
      <c r="AK815" s="12"/>
      <c r="AL815" s="12"/>
      <c r="AM815" s="12"/>
      <c r="AN815" s="12"/>
      <c r="AO815" s="12"/>
      <c r="AP815" s="12"/>
      <c r="AQ815" s="12"/>
      <c r="AR815" s="12"/>
      <c r="AS815" s="12"/>
      <c r="AT815" s="12"/>
    </row>
    <row r="816" spans="1:46" x14ac:dyDescent="0.25">
      <c r="A816" s="12"/>
      <c r="B816" s="12"/>
      <c r="C816" s="12"/>
      <c r="D816" s="12"/>
      <c r="E816" s="12"/>
      <c r="F816" s="12"/>
      <c r="G816" s="12"/>
      <c r="H816" s="12"/>
      <c r="I816" s="21" t="str">
        <f>IF(COUNTA('[1]Virus production'!A802)=1,('[1]Virus production'!A802),"")</f>
        <v/>
      </c>
      <c r="J816" s="12"/>
      <c r="L816" s="12"/>
      <c r="M816" s="12"/>
      <c r="N816" s="12"/>
      <c r="O816" s="12"/>
      <c r="P816" s="12"/>
      <c r="Q816" s="12"/>
      <c r="R816" s="12"/>
      <c r="S816" s="12"/>
      <c r="T816" s="12"/>
      <c r="U816" s="12"/>
      <c r="V816" s="12"/>
      <c r="W816" s="12"/>
      <c r="X816" s="12"/>
      <c r="Y816" s="12"/>
      <c r="Z816" s="12"/>
      <c r="AA816" s="12"/>
      <c r="AB816" s="12"/>
      <c r="AD816" s="12"/>
      <c r="AE816" s="12"/>
      <c r="AF816" s="12"/>
      <c r="AG816" s="12"/>
      <c r="AH816" s="12"/>
      <c r="AI816" s="12"/>
      <c r="AJ816" s="12"/>
      <c r="AK816" s="12"/>
      <c r="AL816" s="12"/>
      <c r="AM816" s="12"/>
      <c r="AN816" s="12"/>
      <c r="AO816" s="12"/>
      <c r="AP816" s="12"/>
      <c r="AQ816" s="12"/>
      <c r="AR816" s="12"/>
      <c r="AS816" s="12"/>
      <c r="AT816" s="12"/>
    </row>
    <row r="817" spans="1:46" x14ac:dyDescent="0.25">
      <c r="A817" s="12"/>
      <c r="B817" s="12"/>
      <c r="C817" s="12"/>
      <c r="D817" s="12"/>
      <c r="E817" s="12"/>
      <c r="F817" s="12"/>
      <c r="G817" s="12"/>
      <c r="H817" s="12"/>
      <c r="I817" s="21" t="str">
        <f>IF(COUNTA('[1]Virus production'!A803)=1,('[1]Virus production'!A803),"")</f>
        <v/>
      </c>
      <c r="J817" s="12"/>
      <c r="L817" s="12"/>
      <c r="M817" s="12"/>
      <c r="N817" s="12"/>
      <c r="O817" s="12"/>
      <c r="P817" s="12"/>
      <c r="Q817" s="12"/>
      <c r="R817" s="12"/>
      <c r="S817" s="12"/>
      <c r="T817" s="12"/>
      <c r="U817" s="12"/>
      <c r="V817" s="12"/>
      <c r="W817" s="12"/>
      <c r="X817" s="12"/>
      <c r="Y817" s="12"/>
      <c r="Z817" s="12"/>
      <c r="AA817" s="12"/>
      <c r="AB817" s="12"/>
      <c r="AD817" s="12"/>
      <c r="AE817" s="12"/>
      <c r="AF817" s="12"/>
      <c r="AG817" s="12"/>
      <c r="AH817" s="12"/>
      <c r="AI817" s="12"/>
      <c r="AJ817" s="12"/>
      <c r="AK817" s="12"/>
      <c r="AL817" s="12"/>
      <c r="AM817" s="12"/>
      <c r="AN817" s="12"/>
      <c r="AO817" s="12"/>
      <c r="AP817" s="12"/>
      <c r="AQ817" s="12"/>
      <c r="AR817" s="12"/>
      <c r="AS817" s="12"/>
      <c r="AT817" s="12"/>
    </row>
    <row r="818" spans="1:46" x14ac:dyDescent="0.25">
      <c r="A818" s="12"/>
      <c r="B818" s="12"/>
      <c r="C818" s="12"/>
      <c r="D818" s="12"/>
      <c r="E818" s="12"/>
      <c r="F818" s="12"/>
      <c r="G818" s="12"/>
      <c r="H818" s="12"/>
      <c r="I818" s="21" t="str">
        <f>IF(COUNTA('[1]Virus production'!A804)=1,('[1]Virus production'!A804),"")</f>
        <v/>
      </c>
      <c r="J818" s="12"/>
      <c r="L818" s="12"/>
      <c r="M818" s="12"/>
      <c r="N818" s="12"/>
      <c r="O818" s="12"/>
      <c r="P818" s="12"/>
      <c r="Q818" s="12"/>
      <c r="R818" s="12"/>
      <c r="S818" s="12"/>
      <c r="T818" s="12"/>
      <c r="U818" s="12"/>
      <c r="V818" s="12"/>
      <c r="W818" s="12"/>
      <c r="X818" s="12"/>
      <c r="Y818" s="12"/>
      <c r="Z818" s="12"/>
      <c r="AA818" s="12"/>
      <c r="AB818" s="12"/>
      <c r="AD818" s="12"/>
      <c r="AE818" s="12"/>
      <c r="AF818" s="12"/>
      <c r="AG818" s="12"/>
      <c r="AH818" s="12"/>
      <c r="AI818" s="12"/>
      <c r="AJ818" s="12"/>
      <c r="AK818" s="12"/>
      <c r="AL818" s="12"/>
      <c r="AM818" s="12"/>
      <c r="AN818" s="12"/>
      <c r="AO818" s="12"/>
      <c r="AP818" s="12"/>
      <c r="AQ818" s="12"/>
      <c r="AR818" s="12"/>
      <c r="AS818" s="12"/>
      <c r="AT818" s="12"/>
    </row>
    <row r="819" spans="1:46" x14ac:dyDescent="0.25">
      <c r="A819" s="12"/>
      <c r="B819" s="12"/>
      <c r="C819" s="12"/>
      <c r="D819" s="12"/>
      <c r="E819" s="12"/>
      <c r="F819" s="12"/>
      <c r="G819" s="12"/>
      <c r="H819" s="12"/>
      <c r="I819" s="21" t="str">
        <f>IF(COUNTA('[1]Virus production'!A805)=1,('[1]Virus production'!A805),"")</f>
        <v/>
      </c>
      <c r="J819" s="12"/>
      <c r="L819" s="12"/>
      <c r="M819" s="12"/>
      <c r="N819" s="12"/>
      <c r="O819" s="12"/>
      <c r="P819" s="12"/>
      <c r="Q819" s="12"/>
      <c r="R819" s="12"/>
      <c r="S819" s="12"/>
      <c r="T819" s="12"/>
      <c r="U819" s="12"/>
      <c r="V819" s="12"/>
      <c r="W819" s="12"/>
      <c r="X819" s="12"/>
      <c r="Y819" s="12"/>
      <c r="Z819" s="12"/>
      <c r="AA819" s="12"/>
      <c r="AB819" s="12"/>
      <c r="AD819" s="12"/>
      <c r="AE819" s="12"/>
      <c r="AF819" s="12"/>
      <c r="AG819" s="12"/>
      <c r="AH819" s="12"/>
      <c r="AI819" s="12"/>
      <c r="AJ819" s="12"/>
      <c r="AK819" s="12"/>
      <c r="AL819" s="12"/>
      <c r="AM819" s="12"/>
      <c r="AN819" s="12"/>
      <c r="AO819" s="12"/>
      <c r="AP819" s="12"/>
      <c r="AQ819" s="12"/>
      <c r="AR819" s="12"/>
      <c r="AS819" s="12"/>
      <c r="AT819" s="12"/>
    </row>
    <row r="820" spans="1:46" x14ac:dyDescent="0.25">
      <c r="A820" s="12"/>
      <c r="B820" s="12"/>
      <c r="C820" s="12"/>
      <c r="D820" s="12"/>
      <c r="E820" s="12"/>
      <c r="F820" s="12"/>
      <c r="G820" s="12"/>
      <c r="H820" s="12"/>
      <c r="I820" s="21" t="str">
        <f>IF(COUNTA('[1]Virus production'!A806)=1,('[1]Virus production'!A806),"")</f>
        <v/>
      </c>
      <c r="J820" s="12"/>
      <c r="L820" s="12"/>
      <c r="M820" s="12"/>
      <c r="N820" s="12"/>
      <c r="O820" s="12"/>
      <c r="P820" s="12"/>
      <c r="Q820" s="12"/>
      <c r="R820" s="12"/>
      <c r="S820" s="12"/>
      <c r="T820" s="12"/>
      <c r="U820" s="12"/>
      <c r="V820" s="12"/>
      <c r="W820" s="12"/>
      <c r="X820" s="12"/>
      <c r="Y820" s="12"/>
      <c r="Z820" s="12"/>
      <c r="AA820" s="12"/>
      <c r="AB820" s="12"/>
      <c r="AD820" s="12"/>
      <c r="AE820" s="12"/>
      <c r="AF820" s="12"/>
      <c r="AG820" s="12"/>
      <c r="AH820" s="12"/>
      <c r="AI820" s="12"/>
      <c r="AJ820" s="12"/>
      <c r="AK820" s="12"/>
      <c r="AL820" s="12"/>
      <c r="AM820" s="12"/>
      <c r="AN820" s="12"/>
      <c r="AO820" s="12"/>
      <c r="AP820" s="12"/>
      <c r="AQ820" s="12"/>
      <c r="AR820" s="12"/>
      <c r="AS820" s="12"/>
      <c r="AT820" s="12"/>
    </row>
    <row r="821" spans="1:46" x14ac:dyDescent="0.25">
      <c r="A821" s="12"/>
      <c r="B821" s="12"/>
      <c r="C821" s="12"/>
      <c r="D821" s="12"/>
      <c r="E821" s="12"/>
      <c r="F821" s="12"/>
      <c r="G821" s="12"/>
      <c r="H821" s="12"/>
      <c r="I821" s="21" t="str">
        <f>IF(COUNTA('[1]Virus production'!A807)=1,('[1]Virus production'!A807),"")</f>
        <v/>
      </c>
      <c r="J821" s="12"/>
      <c r="L821" s="12"/>
      <c r="M821" s="12"/>
      <c r="N821" s="12"/>
      <c r="O821" s="12"/>
      <c r="P821" s="12"/>
      <c r="Q821" s="12"/>
      <c r="R821" s="12"/>
      <c r="S821" s="12"/>
      <c r="T821" s="12"/>
      <c r="U821" s="12"/>
      <c r="V821" s="12"/>
      <c r="W821" s="12"/>
      <c r="X821" s="12"/>
      <c r="Y821" s="12"/>
      <c r="Z821" s="12"/>
      <c r="AA821" s="12"/>
      <c r="AB821" s="12"/>
      <c r="AD821" s="12"/>
      <c r="AE821" s="12"/>
      <c r="AF821" s="12"/>
      <c r="AG821" s="12"/>
      <c r="AH821" s="12"/>
      <c r="AI821" s="12"/>
      <c r="AJ821" s="12"/>
      <c r="AK821" s="12"/>
      <c r="AL821" s="12"/>
      <c r="AM821" s="12"/>
      <c r="AN821" s="12"/>
      <c r="AO821" s="12"/>
      <c r="AP821" s="12"/>
      <c r="AQ821" s="12"/>
      <c r="AR821" s="12"/>
      <c r="AS821" s="12"/>
      <c r="AT821" s="12"/>
    </row>
    <row r="822" spans="1:46" x14ac:dyDescent="0.25">
      <c r="A822" s="12"/>
      <c r="B822" s="12"/>
      <c r="C822" s="12"/>
      <c r="D822" s="12"/>
      <c r="E822" s="12"/>
      <c r="F822" s="12"/>
      <c r="G822" s="12"/>
      <c r="H822" s="12"/>
      <c r="I822" s="21" t="str">
        <f>IF(COUNTA('[1]Virus production'!A808)=1,('[1]Virus production'!A808),"")</f>
        <v/>
      </c>
      <c r="J822" s="12"/>
      <c r="L822" s="12"/>
      <c r="M822" s="12"/>
      <c r="N822" s="12"/>
      <c r="O822" s="12"/>
      <c r="P822" s="12"/>
      <c r="Q822" s="12"/>
      <c r="R822" s="12"/>
      <c r="S822" s="12"/>
      <c r="T822" s="12"/>
      <c r="U822" s="12"/>
      <c r="V822" s="12"/>
      <c r="W822" s="12"/>
      <c r="X822" s="12"/>
      <c r="Y822" s="12"/>
      <c r="Z822" s="12"/>
      <c r="AA822" s="12"/>
      <c r="AB822" s="12"/>
      <c r="AD822" s="12"/>
      <c r="AE822" s="12"/>
      <c r="AF822" s="12"/>
      <c r="AG822" s="12"/>
      <c r="AH822" s="12"/>
      <c r="AI822" s="12"/>
      <c r="AJ822" s="12"/>
      <c r="AK822" s="12"/>
      <c r="AL822" s="12"/>
      <c r="AM822" s="12"/>
      <c r="AN822" s="12"/>
      <c r="AO822" s="12"/>
      <c r="AP822" s="12"/>
      <c r="AQ822" s="12"/>
      <c r="AR822" s="12"/>
      <c r="AS822" s="12"/>
      <c r="AT822" s="12"/>
    </row>
    <row r="823" spans="1:46" x14ac:dyDescent="0.25">
      <c r="A823" s="12"/>
      <c r="B823" s="12"/>
      <c r="C823" s="12"/>
      <c r="D823" s="12"/>
      <c r="E823" s="12"/>
      <c r="F823" s="12"/>
      <c r="G823" s="12"/>
      <c r="H823" s="12"/>
      <c r="I823" s="21" t="str">
        <f>IF(COUNTA('[1]Virus production'!A809)=1,('[1]Virus production'!A809),"")</f>
        <v/>
      </c>
      <c r="J823" s="12"/>
      <c r="L823" s="12"/>
      <c r="M823" s="12"/>
      <c r="N823" s="12"/>
      <c r="O823" s="12"/>
      <c r="P823" s="12"/>
      <c r="Q823" s="12"/>
      <c r="R823" s="12"/>
      <c r="S823" s="12"/>
      <c r="T823" s="12"/>
      <c r="U823" s="12"/>
      <c r="V823" s="12"/>
      <c r="W823" s="12"/>
      <c r="X823" s="12"/>
      <c r="Y823" s="12"/>
      <c r="Z823" s="12"/>
      <c r="AA823" s="12"/>
      <c r="AB823" s="12"/>
      <c r="AD823" s="12"/>
      <c r="AE823" s="12"/>
      <c r="AF823" s="12"/>
      <c r="AG823" s="12"/>
      <c r="AH823" s="12"/>
      <c r="AI823" s="12"/>
      <c r="AJ823" s="12"/>
      <c r="AK823" s="12"/>
      <c r="AL823" s="12"/>
      <c r="AM823" s="12"/>
      <c r="AN823" s="12"/>
      <c r="AO823" s="12"/>
      <c r="AP823" s="12"/>
      <c r="AQ823" s="12"/>
      <c r="AR823" s="12"/>
      <c r="AS823" s="12"/>
      <c r="AT823" s="12"/>
    </row>
    <row r="824" spans="1:46" x14ac:dyDescent="0.25">
      <c r="A824" s="12"/>
      <c r="B824" s="12"/>
      <c r="C824" s="12"/>
      <c r="D824" s="12"/>
      <c r="E824" s="12"/>
      <c r="F824" s="12"/>
      <c r="G824" s="12"/>
      <c r="H824" s="12"/>
      <c r="I824" s="21" t="str">
        <f>IF(COUNTA('[1]Virus production'!A810)=1,('[1]Virus production'!A810),"")</f>
        <v/>
      </c>
      <c r="J824" s="12"/>
      <c r="L824" s="12"/>
      <c r="M824" s="12"/>
      <c r="N824" s="12"/>
      <c r="O824" s="12"/>
      <c r="P824" s="12"/>
      <c r="Q824" s="12"/>
      <c r="R824" s="12"/>
      <c r="S824" s="12"/>
      <c r="T824" s="12"/>
      <c r="U824" s="12"/>
      <c r="V824" s="12"/>
      <c r="W824" s="12"/>
      <c r="X824" s="12"/>
      <c r="Y824" s="12"/>
      <c r="Z824" s="12"/>
      <c r="AA824" s="12"/>
      <c r="AB824" s="12"/>
      <c r="AD824" s="12"/>
      <c r="AE824" s="12"/>
      <c r="AF824" s="12"/>
      <c r="AG824" s="12"/>
      <c r="AH824" s="12"/>
      <c r="AI824" s="12"/>
      <c r="AJ824" s="12"/>
      <c r="AK824" s="12"/>
      <c r="AL824" s="12"/>
      <c r="AM824" s="12"/>
      <c r="AN824" s="12"/>
      <c r="AO824" s="12"/>
      <c r="AP824" s="12"/>
      <c r="AQ824" s="12"/>
      <c r="AR824" s="12"/>
      <c r="AS824" s="12"/>
      <c r="AT824" s="12"/>
    </row>
    <row r="825" spans="1:46" x14ac:dyDescent="0.25">
      <c r="A825" s="12"/>
      <c r="B825" s="12"/>
      <c r="C825" s="12"/>
      <c r="D825" s="12"/>
      <c r="E825" s="12"/>
      <c r="F825" s="12"/>
      <c r="G825" s="12"/>
      <c r="H825" s="12"/>
      <c r="I825" s="21" t="str">
        <f>IF(COUNTA('[1]Virus production'!A811)=1,('[1]Virus production'!A811),"")</f>
        <v/>
      </c>
      <c r="J825" s="12"/>
      <c r="L825" s="12"/>
      <c r="M825" s="12"/>
      <c r="N825" s="12"/>
      <c r="O825" s="12"/>
      <c r="P825" s="12"/>
      <c r="Q825" s="12"/>
      <c r="R825" s="12"/>
      <c r="S825" s="12"/>
      <c r="T825" s="12"/>
      <c r="U825" s="12"/>
      <c r="V825" s="12"/>
      <c r="W825" s="12"/>
      <c r="X825" s="12"/>
      <c r="Y825" s="12"/>
      <c r="Z825" s="12"/>
      <c r="AA825" s="12"/>
      <c r="AB825" s="12"/>
      <c r="AD825" s="12"/>
      <c r="AE825" s="12"/>
      <c r="AF825" s="12"/>
      <c r="AG825" s="12"/>
      <c r="AH825" s="12"/>
      <c r="AI825" s="12"/>
      <c r="AJ825" s="12"/>
      <c r="AK825" s="12"/>
      <c r="AL825" s="12"/>
      <c r="AM825" s="12"/>
      <c r="AN825" s="12"/>
      <c r="AO825" s="12"/>
      <c r="AP825" s="12"/>
      <c r="AQ825" s="12"/>
      <c r="AR825" s="12"/>
      <c r="AS825" s="12"/>
      <c r="AT825" s="12"/>
    </row>
    <row r="826" spans="1:46" x14ac:dyDescent="0.25">
      <c r="A826" s="12"/>
      <c r="B826" s="12"/>
      <c r="C826" s="12"/>
      <c r="D826" s="12"/>
      <c r="E826" s="12"/>
      <c r="F826" s="12"/>
      <c r="G826" s="12"/>
      <c r="H826" s="12"/>
      <c r="I826" s="21" t="str">
        <f>IF(COUNTA('[1]Virus production'!A812)=1,('[1]Virus production'!A812),"")</f>
        <v/>
      </c>
      <c r="J826" s="12"/>
      <c r="L826" s="12"/>
      <c r="M826" s="12"/>
      <c r="N826" s="12"/>
      <c r="O826" s="12"/>
      <c r="P826" s="12"/>
      <c r="Q826" s="12"/>
      <c r="R826" s="12"/>
      <c r="S826" s="12"/>
      <c r="T826" s="12"/>
      <c r="U826" s="12"/>
      <c r="V826" s="12"/>
      <c r="W826" s="12"/>
      <c r="X826" s="12"/>
      <c r="Y826" s="12"/>
      <c r="Z826" s="12"/>
      <c r="AA826" s="12"/>
      <c r="AB826" s="12"/>
      <c r="AD826" s="12"/>
      <c r="AE826" s="12"/>
      <c r="AF826" s="12"/>
      <c r="AG826" s="12"/>
      <c r="AH826" s="12"/>
      <c r="AI826" s="12"/>
      <c r="AJ826" s="12"/>
      <c r="AK826" s="12"/>
      <c r="AL826" s="12"/>
      <c r="AM826" s="12"/>
      <c r="AN826" s="12"/>
      <c r="AO826" s="12"/>
      <c r="AP826" s="12"/>
      <c r="AQ826" s="12"/>
      <c r="AR826" s="12"/>
      <c r="AS826" s="12"/>
      <c r="AT826" s="12"/>
    </row>
    <row r="827" spans="1:46" x14ac:dyDescent="0.25">
      <c r="A827" s="12"/>
      <c r="B827" s="12"/>
      <c r="C827" s="12"/>
      <c r="D827" s="12"/>
      <c r="E827" s="12"/>
      <c r="F827" s="12"/>
      <c r="G827" s="12"/>
      <c r="H827" s="12"/>
      <c r="I827" s="21" t="str">
        <f>IF(COUNTA('[1]Virus production'!A813)=1,('[1]Virus production'!A813),"")</f>
        <v/>
      </c>
      <c r="J827" s="12"/>
      <c r="L827" s="12"/>
      <c r="M827" s="12"/>
      <c r="N827" s="12"/>
      <c r="O827" s="12"/>
      <c r="P827" s="12"/>
      <c r="Q827" s="12"/>
      <c r="R827" s="12"/>
      <c r="S827" s="12"/>
      <c r="T827" s="12"/>
      <c r="U827" s="12"/>
      <c r="V827" s="12"/>
      <c r="W827" s="12"/>
      <c r="X827" s="12"/>
      <c r="Y827" s="12"/>
      <c r="Z827" s="12"/>
      <c r="AA827" s="12"/>
      <c r="AB827" s="12"/>
      <c r="AD827" s="12"/>
      <c r="AE827" s="12"/>
      <c r="AF827" s="12"/>
      <c r="AG827" s="12"/>
      <c r="AH827" s="12"/>
      <c r="AI827" s="12"/>
      <c r="AJ827" s="12"/>
      <c r="AK827" s="12"/>
      <c r="AL827" s="12"/>
      <c r="AM827" s="12"/>
      <c r="AN827" s="12"/>
      <c r="AO827" s="12"/>
      <c r="AP827" s="12"/>
      <c r="AQ827" s="12"/>
      <c r="AR827" s="12"/>
      <c r="AS827" s="12"/>
      <c r="AT827" s="12"/>
    </row>
    <row r="828" spans="1:46" x14ac:dyDescent="0.25">
      <c r="A828" s="12"/>
      <c r="B828" s="12"/>
      <c r="C828" s="12"/>
      <c r="D828" s="12"/>
      <c r="E828" s="12"/>
      <c r="F828" s="12"/>
      <c r="G828" s="12"/>
      <c r="H828" s="12"/>
      <c r="I828" s="21" t="str">
        <f>IF(COUNTA('[1]Virus production'!A814)=1,('[1]Virus production'!A814),"")</f>
        <v/>
      </c>
      <c r="J828" s="12"/>
      <c r="L828" s="12"/>
      <c r="M828" s="12"/>
      <c r="N828" s="12"/>
      <c r="O828" s="12"/>
      <c r="P828" s="12"/>
      <c r="Q828" s="12"/>
      <c r="R828" s="12"/>
      <c r="S828" s="12"/>
      <c r="T828" s="12"/>
      <c r="U828" s="12"/>
      <c r="V828" s="12"/>
      <c r="W828" s="12"/>
      <c r="X828" s="12"/>
      <c r="Y828" s="12"/>
      <c r="Z828" s="12"/>
      <c r="AA828" s="12"/>
      <c r="AB828" s="12"/>
      <c r="AD828" s="12"/>
      <c r="AE828" s="12"/>
      <c r="AF828" s="12"/>
      <c r="AG828" s="12"/>
      <c r="AH828" s="12"/>
      <c r="AI828" s="12"/>
      <c r="AJ828" s="12"/>
      <c r="AK828" s="12"/>
      <c r="AL828" s="12"/>
      <c r="AM828" s="12"/>
      <c r="AN828" s="12"/>
      <c r="AO828" s="12"/>
      <c r="AP828" s="12"/>
      <c r="AQ828" s="12"/>
      <c r="AR828" s="12"/>
      <c r="AS828" s="12"/>
      <c r="AT828" s="12"/>
    </row>
    <row r="829" spans="1:46" x14ac:dyDescent="0.25">
      <c r="A829" s="12"/>
      <c r="B829" s="12"/>
      <c r="C829" s="12"/>
      <c r="D829" s="12"/>
      <c r="E829" s="12"/>
      <c r="F829" s="12"/>
      <c r="G829" s="12"/>
      <c r="H829" s="12"/>
      <c r="I829" s="21" t="str">
        <f>IF(COUNTA('[1]Virus production'!A815)=1,('[1]Virus production'!A815),"")</f>
        <v/>
      </c>
      <c r="J829" s="12"/>
      <c r="L829" s="12"/>
      <c r="M829" s="12"/>
      <c r="N829" s="12"/>
      <c r="O829" s="12"/>
      <c r="P829" s="12"/>
      <c r="Q829" s="12"/>
      <c r="R829" s="12"/>
      <c r="S829" s="12"/>
      <c r="T829" s="12"/>
      <c r="U829" s="12"/>
      <c r="V829" s="12"/>
      <c r="W829" s="12"/>
      <c r="X829" s="12"/>
      <c r="Y829" s="12"/>
      <c r="Z829" s="12"/>
      <c r="AA829" s="12"/>
      <c r="AB829" s="12"/>
      <c r="AD829" s="12"/>
      <c r="AE829" s="12"/>
      <c r="AF829" s="12"/>
      <c r="AG829" s="12"/>
      <c r="AH829" s="12"/>
      <c r="AI829" s="12"/>
      <c r="AJ829" s="12"/>
      <c r="AK829" s="12"/>
      <c r="AL829" s="12"/>
      <c r="AM829" s="12"/>
      <c r="AN829" s="12"/>
      <c r="AO829" s="12"/>
      <c r="AP829" s="12"/>
      <c r="AQ829" s="12"/>
      <c r="AR829" s="12"/>
      <c r="AS829" s="12"/>
      <c r="AT829" s="12"/>
    </row>
    <row r="830" spans="1:46" x14ac:dyDescent="0.25">
      <c r="A830" s="12"/>
      <c r="B830" s="12"/>
      <c r="C830" s="12"/>
      <c r="D830" s="12"/>
      <c r="E830" s="12"/>
      <c r="F830" s="12"/>
      <c r="G830" s="12"/>
      <c r="H830" s="12"/>
      <c r="I830" s="21" t="str">
        <f>IF(COUNTA('[1]Virus production'!A816)=1,('[1]Virus production'!A816),"")</f>
        <v/>
      </c>
      <c r="J830" s="12"/>
      <c r="L830" s="12"/>
      <c r="M830" s="12"/>
      <c r="N830" s="12"/>
      <c r="O830" s="12"/>
      <c r="P830" s="12"/>
      <c r="Q830" s="12"/>
      <c r="R830" s="12"/>
      <c r="S830" s="12"/>
      <c r="T830" s="12"/>
      <c r="U830" s="12"/>
      <c r="V830" s="12"/>
      <c r="W830" s="12"/>
      <c r="X830" s="12"/>
      <c r="Y830" s="12"/>
      <c r="Z830" s="12"/>
      <c r="AA830" s="12"/>
      <c r="AB830" s="12"/>
      <c r="AD830" s="12"/>
      <c r="AE830" s="12"/>
      <c r="AF830" s="12"/>
      <c r="AG830" s="12"/>
      <c r="AH830" s="12"/>
      <c r="AI830" s="12"/>
      <c r="AJ830" s="12"/>
      <c r="AK830" s="12"/>
      <c r="AL830" s="12"/>
      <c r="AM830" s="12"/>
      <c r="AN830" s="12"/>
      <c r="AO830" s="12"/>
      <c r="AP830" s="12"/>
      <c r="AQ830" s="12"/>
      <c r="AR830" s="12"/>
      <c r="AS830" s="12"/>
      <c r="AT830" s="12"/>
    </row>
    <row r="831" spans="1:46" x14ac:dyDescent="0.25">
      <c r="A831" s="12"/>
      <c r="B831" s="12"/>
      <c r="C831" s="12"/>
      <c r="D831" s="12"/>
      <c r="E831" s="12"/>
      <c r="F831" s="12"/>
      <c r="G831" s="12"/>
      <c r="H831" s="12"/>
      <c r="I831" s="21" t="str">
        <f>IF(COUNTA('[1]Virus production'!A817)=1,('[1]Virus production'!A817),"")</f>
        <v/>
      </c>
      <c r="J831" s="12"/>
      <c r="L831" s="12"/>
      <c r="M831" s="12"/>
      <c r="N831" s="12"/>
      <c r="O831" s="12"/>
      <c r="P831" s="12"/>
      <c r="Q831" s="12"/>
      <c r="R831" s="12"/>
      <c r="S831" s="12"/>
      <c r="T831" s="12"/>
      <c r="U831" s="12"/>
      <c r="V831" s="12"/>
      <c r="W831" s="12"/>
      <c r="X831" s="12"/>
      <c r="Y831" s="12"/>
      <c r="Z831" s="12"/>
      <c r="AA831" s="12"/>
      <c r="AB831" s="12"/>
      <c r="AD831" s="12"/>
      <c r="AE831" s="12"/>
      <c r="AF831" s="12"/>
      <c r="AG831" s="12"/>
      <c r="AH831" s="12"/>
      <c r="AI831" s="12"/>
      <c r="AJ831" s="12"/>
      <c r="AK831" s="12"/>
      <c r="AL831" s="12"/>
      <c r="AM831" s="12"/>
      <c r="AN831" s="12"/>
      <c r="AO831" s="12"/>
      <c r="AP831" s="12"/>
      <c r="AQ831" s="12"/>
      <c r="AR831" s="12"/>
      <c r="AS831" s="12"/>
      <c r="AT831" s="12"/>
    </row>
    <row r="832" spans="1:46" x14ac:dyDescent="0.25">
      <c r="A832" s="12"/>
      <c r="B832" s="12"/>
      <c r="C832" s="12"/>
      <c r="D832" s="12"/>
      <c r="E832" s="12"/>
      <c r="F832" s="12"/>
      <c r="G832" s="12"/>
      <c r="H832" s="12"/>
      <c r="I832" s="21" t="str">
        <f>IF(COUNTA('[1]Virus production'!A818)=1,('[1]Virus production'!A818),"")</f>
        <v/>
      </c>
      <c r="J832" s="12"/>
      <c r="L832" s="12"/>
      <c r="M832" s="12"/>
      <c r="N832" s="12"/>
      <c r="O832" s="12"/>
      <c r="P832" s="12"/>
      <c r="Q832" s="12"/>
      <c r="R832" s="12"/>
      <c r="S832" s="12"/>
      <c r="T832" s="12"/>
      <c r="U832" s="12"/>
      <c r="V832" s="12"/>
      <c r="W832" s="12"/>
      <c r="X832" s="12"/>
      <c r="Y832" s="12"/>
      <c r="Z832" s="12"/>
      <c r="AA832" s="12"/>
      <c r="AB832" s="12"/>
      <c r="AD832" s="12"/>
      <c r="AE832" s="12"/>
      <c r="AF832" s="12"/>
      <c r="AG832" s="12"/>
      <c r="AH832" s="12"/>
      <c r="AI832" s="12"/>
      <c r="AJ832" s="12"/>
      <c r="AK832" s="12"/>
      <c r="AL832" s="12"/>
      <c r="AM832" s="12"/>
      <c r="AN832" s="12"/>
      <c r="AO832" s="12"/>
      <c r="AP832" s="12"/>
      <c r="AQ832" s="12"/>
      <c r="AR832" s="12"/>
      <c r="AS832" s="12"/>
      <c r="AT832" s="12"/>
    </row>
    <row r="833" spans="1:46" x14ac:dyDescent="0.25">
      <c r="A833" s="12"/>
      <c r="B833" s="12"/>
      <c r="C833" s="12"/>
      <c r="D833" s="12"/>
      <c r="E833" s="12"/>
      <c r="F833" s="12"/>
      <c r="G833" s="12"/>
      <c r="H833" s="12"/>
      <c r="I833" s="21" t="str">
        <f>IF(COUNTA('[1]Virus production'!A819)=1,('[1]Virus production'!A819),"")</f>
        <v/>
      </c>
      <c r="J833" s="12"/>
      <c r="L833" s="12"/>
      <c r="M833" s="12"/>
      <c r="N833" s="12"/>
      <c r="O833" s="12"/>
      <c r="P833" s="12"/>
      <c r="Q833" s="12"/>
      <c r="R833" s="12"/>
      <c r="S833" s="12"/>
      <c r="T833" s="12"/>
      <c r="U833" s="12"/>
      <c r="V833" s="12"/>
      <c r="W833" s="12"/>
      <c r="X833" s="12"/>
      <c r="Y833" s="12"/>
      <c r="Z833" s="12"/>
      <c r="AA833" s="12"/>
      <c r="AB833" s="12"/>
      <c r="AD833" s="12"/>
      <c r="AE833" s="12"/>
      <c r="AF833" s="12"/>
      <c r="AG833" s="12"/>
      <c r="AH833" s="12"/>
      <c r="AI833" s="12"/>
      <c r="AJ833" s="12"/>
      <c r="AK833" s="12"/>
      <c r="AL833" s="12"/>
      <c r="AM833" s="12"/>
      <c r="AN833" s="12"/>
      <c r="AO833" s="12"/>
      <c r="AP833" s="12"/>
      <c r="AQ833" s="12"/>
      <c r="AR833" s="12"/>
      <c r="AS833" s="12"/>
      <c r="AT833" s="12"/>
    </row>
    <row r="834" spans="1:46" x14ac:dyDescent="0.25">
      <c r="A834" s="12"/>
      <c r="B834" s="12"/>
      <c r="C834" s="12"/>
      <c r="D834" s="12"/>
      <c r="E834" s="12"/>
      <c r="F834" s="12"/>
      <c r="G834" s="12"/>
      <c r="H834" s="12"/>
      <c r="I834" s="21" t="str">
        <f>IF(COUNTA('[1]Virus production'!A820)=1,('[1]Virus production'!A820),"")</f>
        <v/>
      </c>
      <c r="J834" s="12"/>
      <c r="L834" s="12"/>
      <c r="M834" s="12"/>
      <c r="N834" s="12"/>
      <c r="O834" s="12"/>
      <c r="P834" s="12"/>
      <c r="Q834" s="12"/>
      <c r="R834" s="12"/>
      <c r="S834" s="12"/>
      <c r="T834" s="12"/>
      <c r="U834" s="12"/>
      <c r="V834" s="12"/>
      <c r="W834" s="12"/>
      <c r="X834" s="12"/>
      <c r="Y834" s="12"/>
      <c r="Z834" s="12"/>
      <c r="AA834" s="12"/>
      <c r="AB834" s="12"/>
      <c r="AD834" s="12"/>
      <c r="AE834" s="12"/>
      <c r="AF834" s="12"/>
      <c r="AG834" s="12"/>
      <c r="AH834" s="12"/>
      <c r="AI834" s="12"/>
      <c r="AJ834" s="12"/>
      <c r="AK834" s="12"/>
      <c r="AL834" s="12"/>
      <c r="AM834" s="12"/>
      <c r="AN834" s="12"/>
      <c r="AO834" s="12"/>
      <c r="AP834" s="12"/>
      <c r="AQ834" s="12"/>
      <c r="AR834" s="12"/>
      <c r="AS834" s="12"/>
      <c r="AT834" s="12"/>
    </row>
    <row r="835" spans="1:46" x14ac:dyDescent="0.25">
      <c r="A835" s="12"/>
      <c r="B835" s="12"/>
      <c r="C835" s="12"/>
      <c r="D835" s="12"/>
      <c r="E835" s="12"/>
      <c r="F835" s="12"/>
      <c r="G835" s="12"/>
      <c r="H835" s="12"/>
      <c r="I835" s="21" t="str">
        <f>IF(COUNTA('[1]Virus production'!A821)=1,('[1]Virus production'!A821),"")</f>
        <v/>
      </c>
      <c r="J835" s="12"/>
      <c r="L835" s="12"/>
      <c r="M835" s="12"/>
      <c r="N835" s="12"/>
      <c r="O835" s="12"/>
      <c r="P835" s="12"/>
      <c r="Q835" s="12"/>
      <c r="R835" s="12"/>
      <c r="S835" s="12"/>
      <c r="T835" s="12"/>
      <c r="U835" s="12"/>
      <c r="V835" s="12"/>
      <c r="W835" s="12"/>
      <c r="X835" s="12"/>
      <c r="Y835" s="12"/>
      <c r="Z835" s="12"/>
      <c r="AA835" s="12"/>
      <c r="AB835" s="12"/>
      <c r="AD835" s="12"/>
      <c r="AE835" s="12"/>
      <c r="AF835" s="12"/>
      <c r="AG835" s="12"/>
      <c r="AH835" s="12"/>
      <c r="AI835" s="12"/>
      <c r="AJ835" s="12"/>
      <c r="AK835" s="12"/>
      <c r="AL835" s="12"/>
      <c r="AM835" s="12"/>
      <c r="AN835" s="12"/>
      <c r="AO835" s="12"/>
      <c r="AP835" s="12"/>
      <c r="AQ835" s="12"/>
      <c r="AR835" s="12"/>
      <c r="AS835" s="12"/>
      <c r="AT835" s="12"/>
    </row>
    <row r="836" spans="1:46" x14ac:dyDescent="0.25">
      <c r="A836" s="12"/>
      <c r="B836" s="12"/>
      <c r="C836" s="12"/>
      <c r="D836" s="12"/>
      <c r="E836" s="12"/>
      <c r="F836" s="12"/>
      <c r="G836" s="12"/>
      <c r="H836" s="12"/>
      <c r="I836" s="21" t="str">
        <f>IF(COUNTA('[1]Virus production'!A822)=1,('[1]Virus production'!A822),"")</f>
        <v/>
      </c>
      <c r="J836" s="12"/>
      <c r="L836" s="12"/>
      <c r="M836" s="12"/>
      <c r="N836" s="12"/>
      <c r="O836" s="12"/>
      <c r="P836" s="12"/>
      <c r="Q836" s="12"/>
      <c r="R836" s="12"/>
      <c r="S836" s="12"/>
      <c r="T836" s="12"/>
      <c r="U836" s="12"/>
      <c r="V836" s="12"/>
      <c r="W836" s="12"/>
      <c r="X836" s="12"/>
      <c r="Y836" s="12"/>
      <c r="Z836" s="12"/>
      <c r="AA836" s="12"/>
      <c r="AB836" s="12"/>
      <c r="AD836" s="12"/>
      <c r="AE836" s="12"/>
      <c r="AF836" s="12"/>
      <c r="AG836" s="12"/>
      <c r="AH836" s="12"/>
      <c r="AI836" s="12"/>
      <c r="AJ836" s="12"/>
      <c r="AK836" s="12"/>
      <c r="AL836" s="12"/>
      <c r="AM836" s="12"/>
      <c r="AN836" s="12"/>
      <c r="AO836" s="12"/>
      <c r="AP836" s="12"/>
      <c r="AQ836" s="12"/>
      <c r="AR836" s="12"/>
      <c r="AS836" s="12"/>
      <c r="AT836" s="12"/>
    </row>
    <row r="837" spans="1:46" x14ac:dyDescent="0.25">
      <c r="A837" s="12"/>
      <c r="B837" s="12"/>
      <c r="C837" s="12"/>
      <c r="D837" s="12"/>
      <c r="E837" s="12"/>
      <c r="F837" s="12"/>
      <c r="G837" s="12"/>
      <c r="H837" s="12"/>
      <c r="I837" s="21" t="str">
        <f>IF(COUNTA('[1]Virus production'!A823)=1,('[1]Virus production'!A823),"")</f>
        <v/>
      </c>
      <c r="J837" s="12"/>
      <c r="L837" s="12"/>
      <c r="M837" s="12"/>
      <c r="N837" s="12"/>
      <c r="O837" s="12"/>
      <c r="P837" s="12"/>
      <c r="Q837" s="12"/>
      <c r="R837" s="12"/>
      <c r="S837" s="12"/>
      <c r="T837" s="12"/>
      <c r="U837" s="12"/>
      <c r="V837" s="12"/>
      <c r="W837" s="12"/>
      <c r="X837" s="12"/>
      <c r="Y837" s="12"/>
      <c r="Z837" s="12"/>
      <c r="AA837" s="12"/>
      <c r="AB837" s="12"/>
      <c r="AD837" s="12"/>
      <c r="AE837" s="12"/>
      <c r="AF837" s="12"/>
      <c r="AG837" s="12"/>
      <c r="AH837" s="12"/>
      <c r="AI837" s="12"/>
      <c r="AJ837" s="12"/>
      <c r="AK837" s="12"/>
      <c r="AL837" s="12"/>
      <c r="AM837" s="12"/>
      <c r="AN837" s="12"/>
      <c r="AO837" s="12"/>
      <c r="AP837" s="12"/>
      <c r="AQ837" s="12"/>
      <c r="AR837" s="12"/>
      <c r="AS837" s="12"/>
      <c r="AT837" s="12"/>
    </row>
    <row r="838" spans="1:46" x14ac:dyDescent="0.25">
      <c r="A838" s="12"/>
      <c r="B838" s="12"/>
      <c r="C838" s="12"/>
      <c r="D838" s="12"/>
      <c r="E838" s="12"/>
      <c r="F838" s="12"/>
      <c r="G838" s="12"/>
      <c r="H838" s="12"/>
      <c r="I838" s="21" t="str">
        <f>IF(COUNTA('[1]Virus production'!A824)=1,('[1]Virus production'!A824),"")</f>
        <v/>
      </c>
      <c r="J838" s="12"/>
      <c r="L838" s="12"/>
      <c r="M838" s="12"/>
      <c r="N838" s="12"/>
      <c r="O838" s="12"/>
      <c r="P838" s="12"/>
      <c r="Q838" s="12"/>
      <c r="R838" s="12"/>
      <c r="S838" s="12"/>
      <c r="T838" s="12"/>
      <c r="U838" s="12"/>
      <c r="V838" s="12"/>
      <c r="W838" s="12"/>
      <c r="X838" s="12"/>
      <c r="Y838" s="12"/>
      <c r="Z838" s="12"/>
      <c r="AA838" s="12"/>
      <c r="AB838" s="12"/>
      <c r="AD838" s="12"/>
      <c r="AE838" s="12"/>
      <c r="AF838" s="12"/>
      <c r="AG838" s="12"/>
      <c r="AH838" s="12"/>
      <c r="AI838" s="12"/>
      <c r="AJ838" s="12"/>
      <c r="AK838" s="12"/>
      <c r="AL838" s="12"/>
      <c r="AM838" s="12"/>
      <c r="AN838" s="12"/>
      <c r="AO838" s="12"/>
      <c r="AP838" s="12"/>
      <c r="AQ838" s="12"/>
      <c r="AR838" s="12"/>
      <c r="AS838" s="12"/>
      <c r="AT838" s="12"/>
    </row>
    <row r="839" spans="1:46" x14ac:dyDescent="0.25">
      <c r="A839" s="12"/>
      <c r="B839" s="12"/>
      <c r="C839" s="12"/>
      <c r="D839" s="12"/>
      <c r="E839" s="12"/>
      <c r="F839" s="12"/>
      <c r="G839" s="12"/>
      <c r="H839" s="12"/>
      <c r="I839" s="21" t="str">
        <f>IF(COUNTA('[1]Virus production'!A825)=1,('[1]Virus production'!A825),"")</f>
        <v/>
      </c>
      <c r="J839" s="12"/>
      <c r="L839" s="12"/>
      <c r="M839" s="12"/>
      <c r="N839" s="12"/>
      <c r="O839" s="12"/>
      <c r="P839" s="12"/>
      <c r="Q839" s="12"/>
      <c r="R839" s="12"/>
      <c r="S839" s="12"/>
      <c r="T839" s="12"/>
      <c r="U839" s="12"/>
      <c r="V839" s="12"/>
      <c r="W839" s="12"/>
      <c r="X839" s="12"/>
      <c r="Y839" s="12"/>
      <c r="Z839" s="12"/>
      <c r="AA839" s="12"/>
      <c r="AB839" s="12"/>
      <c r="AD839" s="12"/>
      <c r="AE839" s="12"/>
      <c r="AF839" s="12"/>
      <c r="AG839" s="12"/>
      <c r="AH839" s="12"/>
      <c r="AI839" s="12"/>
      <c r="AJ839" s="12"/>
      <c r="AK839" s="12"/>
      <c r="AL839" s="12"/>
      <c r="AM839" s="12"/>
      <c r="AN839" s="12"/>
      <c r="AO839" s="12"/>
      <c r="AP839" s="12"/>
      <c r="AQ839" s="12"/>
      <c r="AR839" s="12"/>
      <c r="AS839" s="12"/>
      <c r="AT839" s="12"/>
    </row>
    <row r="840" spans="1:46" x14ac:dyDescent="0.25">
      <c r="A840" s="12"/>
      <c r="B840" s="12"/>
      <c r="C840" s="12"/>
      <c r="D840" s="12"/>
      <c r="E840" s="12"/>
      <c r="F840" s="12"/>
      <c r="G840" s="12"/>
      <c r="H840" s="12"/>
      <c r="I840" s="21" t="str">
        <f>IF(COUNTA('[1]Virus production'!A826)=1,('[1]Virus production'!A826),"")</f>
        <v/>
      </c>
      <c r="J840" s="12"/>
      <c r="L840" s="12"/>
      <c r="M840" s="12"/>
      <c r="N840" s="12"/>
      <c r="O840" s="12"/>
      <c r="P840" s="12"/>
      <c r="Q840" s="12"/>
      <c r="R840" s="12"/>
      <c r="S840" s="12"/>
      <c r="T840" s="12"/>
      <c r="U840" s="12"/>
      <c r="V840" s="12"/>
      <c r="W840" s="12"/>
      <c r="X840" s="12"/>
      <c r="Y840" s="12"/>
      <c r="Z840" s="12"/>
      <c r="AA840" s="12"/>
      <c r="AB840" s="12"/>
      <c r="AD840" s="12"/>
      <c r="AE840" s="12"/>
      <c r="AF840" s="12"/>
      <c r="AG840" s="12"/>
      <c r="AH840" s="12"/>
      <c r="AI840" s="12"/>
      <c r="AJ840" s="12"/>
      <c r="AK840" s="12"/>
      <c r="AL840" s="12"/>
      <c r="AM840" s="12"/>
      <c r="AN840" s="12"/>
      <c r="AO840" s="12"/>
      <c r="AP840" s="12"/>
      <c r="AQ840" s="12"/>
      <c r="AR840" s="12"/>
      <c r="AS840" s="12"/>
      <c r="AT840" s="12"/>
    </row>
    <row r="841" spans="1:46" x14ac:dyDescent="0.25">
      <c r="A841" s="12"/>
      <c r="B841" s="12"/>
      <c r="C841" s="12"/>
      <c r="D841" s="12"/>
      <c r="E841" s="12"/>
      <c r="F841" s="12"/>
      <c r="G841" s="12"/>
      <c r="H841" s="12"/>
      <c r="I841" s="21" t="str">
        <f>IF(COUNTA('[1]Virus production'!A827)=1,('[1]Virus production'!A827),"")</f>
        <v/>
      </c>
      <c r="J841" s="12"/>
      <c r="L841" s="12"/>
      <c r="M841" s="12"/>
      <c r="N841" s="12"/>
      <c r="O841" s="12"/>
      <c r="P841" s="12"/>
      <c r="Q841" s="12"/>
      <c r="R841" s="12"/>
      <c r="S841" s="12"/>
      <c r="T841" s="12"/>
      <c r="U841" s="12"/>
      <c r="V841" s="12"/>
      <c r="W841" s="12"/>
      <c r="X841" s="12"/>
      <c r="Y841" s="12"/>
      <c r="Z841" s="12"/>
      <c r="AA841" s="12"/>
      <c r="AB841" s="12"/>
      <c r="AD841" s="12"/>
      <c r="AE841" s="12"/>
      <c r="AF841" s="12"/>
      <c r="AG841" s="12"/>
      <c r="AH841" s="12"/>
      <c r="AI841" s="12"/>
      <c r="AJ841" s="12"/>
      <c r="AK841" s="12"/>
      <c r="AL841" s="12"/>
      <c r="AM841" s="12"/>
      <c r="AN841" s="12"/>
      <c r="AO841" s="12"/>
      <c r="AP841" s="12"/>
      <c r="AQ841" s="12"/>
      <c r="AR841" s="12"/>
      <c r="AS841" s="12"/>
      <c r="AT841" s="12"/>
    </row>
    <row r="842" spans="1:46" x14ac:dyDescent="0.25">
      <c r="A842" s="12"/>
      <c r="B842" s="12"/>
      <c r="C842" s="12"/>
      <c r="D842" s="12"/>
      <c r="E842" s="12"/>
      <c r="F842" s="12"/>
      <c r="G842" s="12"/>
      <c r="H842" s="12"/>
      <c r="I842" s="21" t="str">
        <f>IF(COUNTA('[1]Virus production'!A828)=1,('[1]Virus production'!A828),"")</f>
        <v/>
      </c>
      <c r="J842" s="12"/>
      <c r="L842" s="12"/>
      <c r="M842" s="12"/>
      <c r="N842" s="12"/>
      <c r="O842" s="12"/>
      <c r="P842" s="12"/>
      <c r="Q842" s="12"/>
      <c r="R842" s="12"/>
      <c r="S842" s="12"/>
      <c r="T842" s="12"/>
      <c r="U842" s="12"/>
      <c r="V842" s="12"/>
      <c r="W842" s="12"/>
      <c r="X842" s="12"/>
      <c r="Y842" s="12"/>
      <c r="Z842" s="12"/>
      <c r="AA842" s="12"/>
      <c r="AB842" s="12"/>
      <c r="AD842" s="12"/>
      <c r="AE842" s="12"/>
      <c r="AF842" s="12"/>
      <c r="AG842" s="12"/>
      <c r="AH842" s="12"/>
      <c r="AI842" s="12"/>
      <c r="AJ842" s="12"/>
      <c r="AK842" s="12"/>
      <c r="AL842" s="12"/>
      <c r="AM842" s="12"/>
      <c r="AN842" s="12"/>
      <c r="AO842" s="12"/>
      <c r="AP842" s="12"/>
      <c r="AQ842" s="12"/>
      <c r="AR842" s="12"/>
      <c r="AS842" s="12"/>
      <c r="AT842" s="12"/>
    </row>
    <row r="843" spans="1:46" x14ac:dyDescent="0.25">
      <c r="A843" s="12"/>
      <c r="B843" s="12"/>
      <c r="C843" s="12"/>
      <c r="D843" s="12"/>
      <c r="E843" s="12"/>
      <c r="F843" s="12"/>
      <c r="G843" s="12"/>
      <c r="H843" s="12"/>
      <c r="I843" s="21" t="str">
        <f>IF(COUNTA('[1]Virus production'!A829)=1,('[1]Virus production'!A829),"")</f>
        <v/>
      </c>
      <c r="J843" s="12"/>
      <c r="L843" s="12"/>
      <c r="M843" s="12"/>
      <c r="N843" s="12"/>
      <c r="O843" s="12"/>
      <c r="P843" s="12"/>
      <c r="Q843" s="12"/>
      <c r="R843" s="12"/>
      <c r="S843" s="12"/>
      <c r="T843" s="12"/>
      <c r="U843" s="12"/>
      <c r="V843" s="12"/>
      <c r="W843" s="12"/>
      <c r="X843" s="12"/>
      <c r="Y843" s="12"/>
      <c r="Z843" s="12"/>
      <c r="AA843" s="12"/>
      <c r="AB843" s="12"/>
      <c r="AD843" s="12"/>
      <c r="AE843" s="12"/>
      <c r="AF843" s="12"/>
      <c r="AG843" s="12"/>
      <c r="AH843" s="12"/>
      <c r="AI843" s="12"/>
      <c r="AJ843" s="12"/>
      <c r="AK843" s="12"/>
      <c r="AL843" s="12"/>
      <c r="AM843" s="12"/>
      <c r="AN843" s="12"/>
      <c r="AO843" s="12"/>
      <c r="AP843" s="12"/>
      <c r="AQ843" s="12"/>
      <c r="AR843" s="12"/>
      <c r="AS843" s="12"/>
      <c r="AT843" s="12"/>
    </row>
    <row r="844" spans="1:46" x14ac:dyDescent="0.25">
      <c r="A844" s="12"/>
      <c r="B844" s="12"/>
      <c r="C844" s="12"/>
      <c r="D844" s="12"/>
      <c r="E844" s="12"/>
      <c r="F844" s="12"/>
      <c r="G844" s="12"/>
      <c r="H844" s="12"/>
      <c r="I844" s="21" t="str">
        <f>IF(COUNTA('[1]Virus production'!A830)=1,('[1]Virus production'!A830),"")</f>
        <v/>
      </c>
      <c r="J844" s="12"/>
      <c r="L844" s="12"/>
      <c r="M844" s="12"/>
      <c r="N844" s="12"/>
      <c r="O844" s="12"/>
      <c r="P844" s="12"/>
      <c r="Q844" s="12"/>
      <c r="R844" s="12"/>
      <c r="S844" s="12"/>
      <c r="T844" s="12"/>
      <c r="U844" s="12"/>
      <c r="V844" s="12"/>
      <c r="W844" s="12"/>
      <c r="X844" s="12"/>
      <c r="Y844" s="12"/>
      <c r="Z844" s="12"/>
      <c r="AA844" s="12"/>
      <c r="AB844" s="12"/>
      <c r="AD844" s="12"/>
      <c r="AE844" s="12"/>
      <c r="AF844" s="12"/>
      <c r="AG844" s="12"/>
      <c r="AH844" s="12"/>
      <c r="AI844" s="12"/>
      <c r="AJ844" s="12"/>
      <c r="AK844" s="12"/>
      <c r="AL844" s="12"/>
      <c r="AM844" s="12"/>
      <c r="AN844" s="12"/>
      <c r="AO844" s="12"/>
      <c r="AP844" s="12"/>
      <c r="AQ844" s="12"/>
      <c r="AR844" s="12"/>
      <c r="AS844" s="12"/>
      <c r="AT844" s="12"/>
    </row>
    <row r="845" spans="1:46" x14ac:dyDescent="0.25">
      <c r="A845" s="12"/>
      <c r="B845" s="12"/>
      <c r="C845" s="12"/>
      <c r="D845" s="12"/>
      <c r="E845" s="12"/>
      <c r="F845" s="12"/>
      <c r="G845" s="12"/>
      <c r="H845" s="12"/>
      <c r="I845" s="21" t="str">
        <f>IF(COUNTA('[1]Virus production'!A831)=1,('[1]Virus production'!A831),"")</f>
        <v/>
      </c>
      <c r="J845" s="12"/>
      <c r="L845" s="12"/>
      <c r="M845" s="12"/>
      <c r="N845" s="12"/>
      <c r="O845" s="12"/>
      <c r="P845" s="12"/>
      <c r="Q845" s="12"/>
      <c r="R845" s="12"/>
      <c r="S845" s="12"/>
      <c r="T845" s="12"/>
      <c r="U845" s="12"/>
      <c r="V845" s="12"/>
      <c r="W845" s="12"/>
      <c r="X845" s="12"/>
      <c r="Y845" s="12"/>
      <c r="Z845" s="12"/>
      <c r="AA845" s="12"/>
      <c r="AB845" s="12"/>
      <c r="AD845" s="12"/>
      <c r="AE845" s="12"/>
      <c r="AF845" s="12"/>
      <c r="AG845" s="12"/>
      <c r="AH845" s="12"/>
      <c r="AI845" s="12"/>
      <c r="AJ845" s="12"/>
      <c r="AK845" s="12"/>
      <c r="AL845" s="12"/>
      <c r="AM845" s="12"/>
      <c r="AN845" s="12"/>
      <c r="AO845" s="12"/>
      <c r="AP845" s="12"/>
      <c r="AQ845" s="12"/>
      <c r="AR845" s="12"/>
      <c r="AS845" s="12"/>
      <c r="AT845" s="12"/>
    </row>
    <row r="846" spans="1:46" x14ac:dyDescent="0.25">
      <c r="A846" s="12"/>
      <c r="B846" s="12"/>
      <c r="C846" s="12"/>
      <c r="D846" s="12"/>
      <c r="E846" s="12"/>
      <c r="F846" s="12"/>
      <c r="G846" s="12"/>
      <c r="H846" s="12"/>
      <c r="I846" s="21" t="str">
        <f>IF(COUNTA('[1]Virus production'!A832)=1,('[1]Virus production'!A832),"")</f>
        <v/>
      </c>
      <c r="J846" s="12"/>
      <c r="L846" s="12"/>
      <c r="M846" s="12"/>
      <c r="N846" s="12"/>
      <c r="O846" s="12"/>
      <c r="P846" s="12"/>
      <c r="Q846" s="12"/>
      <c r="R846" s="12"/>
      <c r="S846" s="12"/>
      <c r="T846" s="12"/>
      <c r="U846" s="12"/>
      <c r="V846" s="12"/>
      <c r="W846" s="12"/>
      <c r="X846" s="12"/>
      <c r="Y846" s="12"/>
      <c r="Z846" s="12"/>
      <c r="AA846" s="12"/>
      <c r="AB846" s="12"/>
      <c r="AD846" s="12"/>
      <c r="AE846" s="12"/>
      <c r="AF846" s="12"/>
      <c r="AG846" s="12"/>
      <c r="AH846" s="12"/>
      <c r="AI846" s="12"/>
      <c r="AJ846" s="12"/>
      <c r="AK846" s="12"/>
      <c r="AL846" s="12"/>
      <c r="AM846" s="12"/>
      <c r="AN846" s="12"/>
      <c r="AO846" s="12"/>
      <c r="AP846" s="12"/>
      <c r="AQ846" s="12"/>
      <c r="AR846" s="12"/>
      <c r="AS846" s="12"/>
      <c r="AT846" s="12"/>
    </row>
    <row r="847" spans="1:46" x14ac:dyDescent="0.25">
      <c r="A847" s="12"/>
      <c r="B847" s="12"/>
      <c r="C847" s="12"/>
      <c r="D847" s="12"/>
      <c r="E847" s="12"/>
      <c r="F847" s="12"/>
      <c r="G847" s="12"/>
      <c r="H847" s="12"/>
      <c r="I847" s="21" t="str">
        <f>IF(COUNTA('[1]Virus production'!A833)=1,('[1]Virus production'!A833),"")</f>
        <v/>
      </c>
      <c r="J847" s="12"/>
      <c r="L847" s="12"/>
      <c r="M847" s="12"/>
      <c r="N847" s="12"/>
      <c r="O847" s="12"/>
      <c r="P847" s="12"/>
      <c r="Q847" s="12"/>
      <c r="R847" s="12"/>
      <c r="S847" s="12"/>
      <c r="T847" s="12"/>
      <c r="U847" s="12"/>
      <c r="V847" s="12"/>
      <c r="W847" s="12"/>
      <c r="X847" s="12"/>
      <c r="Y847" s="12"/>
      <c r="Z847" s="12"/>
      <c r="AA847" s="12"/>
      <c r="AB847" s="12"/>
      <c r="AD847" s="12"/>
      <c r="AE847" s="12"/>
      <c r="AF847" s="12"/>
      <c r="AG847" s="12"/>
      <c r="AH847" s="12"/>
      <c r="AI847" s="12"/>
      <c r="AJ847" s="12"/>
      <c r="AK847" s="12"/>
      <c r="AL847" s="12"/>
      <c r="AM847" s="12"/>
      <c r="AN847" s="12"/>
      <c r="AO847" s="12"/>
      <c r="AP847" s="12"/>
      <c r="AQ847" s="12"/>
      <c r="AR847" s="12"/>
      <c r="AS847" s="12"/>
      <c r="AT847" s="12"/>
    </row>
    <row r="848" spans="1:46" x14ac:dyDescent="0.25">
      <c r="A848" s="12"/>
      <c r="B848" s="12"/>
      <c r="C848" s="12"/>
      <c r="D848" s="12"/>
      <c r="E848" s="12"/>
      <c r="F848" s="12"/>
      <c r="G848" s="12"/>
      <c r="H848" s="12"/>
      <c r="I848" s="21" t="str">
        <f>IF(COUNTA('[1]Virus production'!A834)=1,('[1]Virus production'!A834),"")</f>
        <v/>
      </c>
      <c r="J848" s="12"/>
      <c r="L848" s="12"/>
      <c r="M848" s="12"/>
      <c r="N848" s="12"/>
      <c r="O848" s="12"/>
      <c r="P848" s="12"/>
      <c r="Q848" s="12"/>
      <c r="R848" s="12"/>
      <c r="S848" s="12"/>
      <c r="T848" s="12"/>
      <c r="U848" s="12"/>
      <c r="V848" s="12"/>
      <c r="W848" s="12"/>
      <c r="X848" s="12"/>
      <c r="Y848" s="12"/>
      <c r="Z848" s="12"/>
      <c r="AA848" s="12"/>
      <c r="AB848" s="12"/>
      <c r="AD848" s="12"/>
      <c r="AE848" s="12"/>
      <c r="AF848" s="12"/>
      <c r="AG848" s="12"/>
      <c r="AH848" s="12"/>
      <c r="AI848" s="12"/>
      <c r="AJ848" s="12"/>
      <c r="AK848" s="12"/>
      <c r="AL848" s="12"/>
      <c r="AM848" s="12"/>
      <c r="AN848" s="12"/>
      <c r="AO848" s="12"/>
      <c r="AP848" s="12"/>
      <c r="AQ848" s="12"/>
      <c r="AR848" s="12"/>
      <c r="AS848" s="12"/>
      <c r="AT848" s="12"/>
    </row>
    <row r="849" spans="1:46" x14ac:dyDescent="0.25">
      <c r="A849" s="12"/>
      <c r="B849" s="12"/>
      <c r="C849" s="12"/>
      <c r="D849" s="12"/>
      <c r="E849" s="12"/>
      <c r="F849" s="12"/>
      <c r="G849" s="12"/>
      <c r="H849" s="12"/>
      <c r="I849" s="21" t="str">
        <f>IF(COUNTA('[1]Virus production'!A835)=1,('[1]Virus production'!A835),"")</f>
        <v/>
      </c>
      <c r="J849" s="12"/>
      <c r="L849" s="12"/>
      <c r="M849" s="12"/>
      <c r="N849" s="12"/>
      <c r="O849" s="12"/>
      <c r="P849" s="12"/>
      <c r="Q849" s="12"/>
      <c r="R849" s="12"/>
      <c r="S849" s="12"/>
      <c r="T849" s="12"/>
      <c r="U849" s="12"/>
      <c r="V849" s="12"/>
      <c r="W849" s="12"/>
      <c r="X849" s="12"/>
      <c r="Y849" s="12"/>
      <c r="Z849" s="12"/>
      <c r="AA849" s="12"/>
      <c r="AB849" s="12"/>
      <c r="AD849" s="12"/>
      <c r="AE849" s="12"/>
      <c r="AF849" s="12"/>
      <c r="AG849" s="12"/>
      <c r="AH849" s="12"/>
      <c r="AI849" s="12"/>
      <c r="AJ849" s="12"/>
      <c r="AK849" s="12"/>
      <c r="AL849" s="12"/>
      <c r="AM849" s="12"/>
      <c r="AN849" s="12"/>
      <c r="AO849" s="12"/>
      <c r="AP849" s="12"/>
      <c r="AQ849" s="12"/>
      <c r="AR849" s="12"/>
      <c r="AS849" s="12"/>
      <c r="AT849" s="12"/>
    </row>
    <row r="850" spans="1:46" x14ac:dyDescent="0.25">
      <c r="A850" s="12"/>
      <c r="B850" s="12"/>
      <c r="C850" s="12"/>
      <c r="D850" s="12"/>
      <c r="E850" s="12"/>
      <c r="F850" s="12"/>
      <c r="G850" s="12"/>
      <c r="H850" s="12"/>
      <c r="I850" s="21" t="str">
        <f>IF(COUNTA('[1]Virus production'!A836)=1,('[1]Virus production'!A836),"")</f>
        <v/>
      </c>
      <c r="J850" s="12"/>
      <c r="L850" s="12"/>
      <c r="M850" s="12"/>
      <c r="N850" s="12"/>
      <c r="O850" s="12"/>
      <c r="P850" s="12"/>
      <c r="Q850" s="12"/>
      <c r="R850" s="12"/>
      <c r="S850" s="12"/>
      <c r="T850" s="12"/>
      <c r="U850" s="12"/>
      <c r="V850" s="12"/>
      <c r="W850" s="12"/>
      <c r="X850" s="12"/>
      <c r="Y850" s="12"/>
      <c r="Z850" s="12"/>
      <c r="AA850" s="12"/>
      <c r="AB850" s="12"/>
      <c r="AD850" s="12"/>
      <c r="AE850" s="12"/>
      <c r="AF850" s="12"/>
      <c r="AG850" s="12"/>
      <c r="AH850" s="12"/>
      <c r="AI850" s="12"/>
      <c r="AJ850" s="12"/>
      <c r="AK850" s="12"/>
      <c r="AL850" s="12"/>
      <c r="AM850" s="12"/>
      <c r="AN850" s="12"/>
      <c r="AO850" s="12"/>
      <c r="AP850" s="12"/>
      <c r="AQ850" s="12"/>
      <c r="AR850" s="12"/>
      <c r="AS850" s="12"/>
      <c r="AT850" s="12"/>
    </row>
    <row r="851" spans="1:46" x14ac:dyDescent="0.25">
      <c r="A851" s="12"/>
      <c r="B851" s="12"/>
      <c r="C851" s="12"/>
      <c r="D851" s="12"/>
      <c r="E851" s="12"/>
      <c r="F851" s="12"/>
      <c r="G851" s="12"/>
      <c r="H851" s="12"/>
      <c r="I851" s="21" t="str">
        <f>IF(COUNTA('[1]Virus production'!A837)=1,('[1]Virus production'!A837),"")</f>
        <v/>
      </c>
      <c r="J851" s="12"/>
      <c r="L851" s="12"/>
      <c r="M851" s="12"/>
      <c r="N851" s="12"/>
      <c r="O851" s="12"/>
      <c r="P851" s="12"/>
      <c r="Q851" s="12"/>
      <c r="R851" s="12"/>
      <c r="S851" s="12"/>
      <c r="T851" s="12"/>
      <c r="U851" s="12"/>
      <c r="V851" s="12"/>
      <c r="W851" s="12"/>
      <c r="X851" s="12"/>
      <c r="Y851" s="12"/>
      <c r="Z851" s="12"/>
      <c r="AA851" s="12"/>
      <c r="AB851" s="12"/>
      <c r="AD851" s="12"/>
      <c r="AE851" s="12"/>
      <c r="AF851" s="12"/>
      <c r="AG851" s="12"/>
      <c r="AH851" s="12"/>
      <c r="AI851" s="12"/>
      <c r="AJ851" s="12"/>
      <c r="AK851" s="12"/>
      <c r="AL851" s="12"/>
      <c r="AM851" s="12"/>
      <c r="AN851" s="12"/>
      <c r="AO851" s="12"/>
      <c r="AP851" s="12"/>
      <c r="AQ851" s="12"/>
      <c r="AR851" s="12"/>
      <c r="AS851" s="12"/>
      <c r="AT851" s="12"/>
    </row>
    <row r="852" spans="1:46" x14ac:dyDescent="0.25">
      <c r="A852" s="12"/>
      <c r="B852" s="12"/>
      <c r="C852" s="12"/>
      <c r="D852" s="12"/>
      <c r="E852" s="12"/>
      <c r="F852" s="12"/>
      <c r="G852" s="12"/>
      <c r="H852" s="12"/>
      <c r="I852" s="21" t="str">
        <f>IF(COUNTA('[1]Virus production'!A838)=1,('[1]Virus production'!A838),"")</f>
        <v/>
      </c>
      <c r="J852" s="12"/>
      <c r="L852" s="12"/>
      <c r="M852" s="12"/>
      <c r="N852" s="12"/>
      <c r="O852" s="12"/>
      <c r="P852" s="12"/>
      <c r="Q852" s="12"/>
      <c r="R852" s="12"/>
      <c r="S852" s="12"/>
      <c r="T852" s="12"/>
      <c r="U852" s="12"/>
      <c r="V852" s="12"/>
      <c r="W852" s="12"/>
      <c r="X852" s="12"/>
      <c r="Y852" s="12"/>
      <c r="Z852" s="12"/>
      <c r="AA852" s="12"/>
      <c r="AB852" s="12"/>
      <c r="AD852" s="12"/>
      <c r="AE852" s="12"/>
      <c r="AF852" s="12"/>
      <c r="AG852" s="12"/>
      <c r="AH852" s="12"/>
      <c r="AI852" s="12"/>
      <c r="AJ852" s="12"/>
      <c r="AK852" s="12"/>
      <c r="AL852" s="12"/>
      <c r="AM852" s="12"/>
      <c r="AN852" s="12"/>
      <c r="AO852" s="12"/>
      <c r="AP852" s="12"/>
      <c r="AQ852" s="12"/>
      <c r="AR852" s="12"/>
      <c r="AS852" s="12"/>
      <c r="AT852" s="12"/>
    </row>
    <row r="853" spans="1:46" x14ac:dyDescent="0.25">
      <c r="A853" s="12"/>
      <c r="B853" s="12"/>
      <c r="C853" s="12"/>
      <c r="D853" s="12"/>
      <c r="E853" s="12"/>
      <c r="F853" s="12"/>
      <c r="G853" s="12"/>
      <c r="H853" s="12"/>
      <c r="I853" s="21" t="str">
        <f>IF(COUNTA('[1]Virus production'!A839)=1,('[1]Virus production'!A839),"")</f>
        <v/>
      </c>
      <c r="J853" s="12"/>
      <c r="L853" s="12"/>
      <c r="M853" s="12"/>
      <c r="N853" s="12"/>
      <c r="O853" s="12"/>
      <c r="P853" s="12"/>
      <c r="Q853" s="12"/>
      <c r="R853" s="12"/>
      <c r="S853" s="12"/>
      <c r="T853" s="12"/>
      <c r="U853" s="12"/>
      <c r="V853" s="12"/>
      <c r="W853" s="12"/>
      <c r="X853" s="12"/>
      <c r="Y853" s="12"/>
      <c r="Z853" s="12"/>
      <c r="AA853" s="12"/>
      <c r="AB853" s="12"/>
      <c r="AD853" s="12"/>
      <c r="AE853" s="12"/>
      <c r="AF853" s="12"/>
      <c r="AG853" s="12"/>
      <c r="AH853" s="12"/>
      <c r="AI853" s="12"/>
      <c r="AJ853" s="12"/>
      <c r="AK853" s="12"/>
      <c r="AL853" s="12"/>
      <c r="AM853" s="12"/>
      <c r="AN853" s="12"/>
      <c r="AO853" s="12"/>
      <c r="AP853" s="12"/>
      <c r="AQ853" s="12"/>
      <c r="AR853" s="12"/>
      <c r="AS853" s="12"/>
      <c r="AT853" s="12"/>
    </row>
    <row r="854" spans="1:46" x14ac:dyDescent="0.25">
      <c r="A854" s="12"/>
      <c r="B854" s="12"/>
      <c r="C854" s="12"/>
      <c r="D854" s="12"/>
      <c r="E854" s="12"/>
      <c r="F854" s="12"/>
      <c r="G854" s="12"/>
      <c r="H854" s="12"/>
      <c r="I854" s="21" t="str">
        <f>IF(COUNTA('[1]Virus production'!A840)=1,('[1]Virus production'!A840),"")</f>
        <v/>
      </c>
      <c r="J854" s="12"/>
      <c r="L854" s="12"/>
      <c r="M854" s="12"/>
      <c r="N854" s="12"/>
      <c r="O854" s="12"/>
      <c r="P854" s="12"/>
      <c r="Q854" s="12"/>
      <c r="R854" s="12"/>
      <c r="S854" s="12"/>
      <c r="T854" s="12"/>
      <c r="U854" s="12"/>
      <c r="V854" s="12"/>
      <c r="W854" s="12"/>
      <c r="X854" s="12"/>
      <c r="Y854" s="12"/>
      <c r="Z854" s="12"/>
      <c r="AA854" s="12"/>
      <c r="AB854" s="12"/>
      <c r="AD854" s="12"/>
      <c r="AE854" s="12"/>
      <c r="AF854" s="12"/>
      <c r="AG854" s="12"/>
      <c r="AH854" s="12"/>
      <c r="AI854" s="12"/>
      <c r="AJ854" s="12"/>
      <c r="AK854" s="12"/>
      <c r="AL854" s="12"/>
      <c r="AM854" s="12"/>
      <c r="AN854" s="12"/>
      <c r="AO854" s="12"/>
      <c r="AP854" s="12"/>
      <c r="AQ854" s="12"/>
      <c r="AR854" s="12"/>
      <c r="AS854" s="12"/>
      <c r="AT854" s="12"/>
    </row>
    <row r="855" spans="1:46" x14ac:dyDescent="0.25">
      <c r="A855" s="12"/>
      <c r="B855" s="12"/>
      <c r="C855" s="12"/>
      <c r="D855" s="12"/>
      <c r="E855" s="12"/>
      <c r="F855" s="12"/>
      <c r="G855" s="12"/>
      <c r="H855" s="12"/>
      <c r="I855" s="21" t="str">
        <f>IF(COUNTA('[1]Virus production'!A841)=1,('[1]Virus production'!A841),"")</f>
        <v/>
      </c>
      <c r="J855" s="12"/>
      <c r="L855" s="12"/>
      <c r="M855" s="12"/>
      <c r="N855" s="12"/>
      <c r="O855" s="12"/>
      <c r="P855" s="12"/>
      <c r="Q855" s="12"/>
      <c r="R855" s="12"/>
      <c r="S855" s="12"/>
      <c r="T855" s="12"/>
      <c r="U855" s="12"/>
      <c r="V855" s="12"/>
      <c r="W855" s="12"/>
      <c r="X855" s="12"/>
      <c r="Y855" s="12"/>
      <c r="Z855" s="12"/>
      <c r="AA855" s="12"/>
      <c r="AB855" s="12"/>
      <c r="AD855" s="12"/>
      <c r="AE855" s="12"/>
      <c r="AF855" s="12"/>
      <c r="AG855" s="12"/>
      <c r="AH855" s="12"/>
      <c r="AI855" s="12"/>
      <c r="AJ855" s="12"/>
      <c r="AK855" s="12"/>
      <c r="AL855" s="12"/>
      <c r="AM855" s="12"/>
      <c r="AN855" s="12"/>
      <c r="AO855" s="12"/>
      <c r="AP855" s="12"/>
      <c r="AQ855" s="12"/>
      <c r="AR855" s="12"/>
      <c r="AS855" s="12"/>
      <c r="AT855" s="12"/>
    </row>
    <row r="856" spans="1:46" x14ac:dyDescent="0.25">
      <c r="A856" s="12"/>
      <c r="B856" s="12"/>
      <c r="C856" s="12"/>
      <c r="D856" s="12"/>
      <c r="E856" s="12"/>
      <c r="F856" s="12"/>
      <c r="G856" s="12"/>
      <c r="H856" s="12"/>
      <c r="I856" s="21" t="str">
        <f>IF(COUNTA('[1]Virus production'!A842)=1,('[1]Virus production'!A842),"")</f>
        <v/>
      </c>
      <c r="J856" s="12"/>
      <c r="L856" s="12"/>
      <c r="M856" s="12"/>
      <c r="N856" s="12"/>
      <c r="O856" s="12"/>
      <c r="P856" s="12"/>
      <c r="Q856" s="12"/>
      <c r="R856" s="12"/>
      <c r="S856" s="12"/>
      <c r="T856" s="12"/>
      <c r="U856" s="12"/>
      <c r="V856" s="12"/>
      <c r="W856" s="12"/>
      <c r="X856" s="12"/>
      <c r="Y856" s="12"/>
      <c r="Z856" s="12"/>
      <c r="AA856" s="12"/>
      <c r="AB856" s="12"/>
      <c r="AD856" s="12"/>
      <c r="AE856" s="12"/>
      <c r="AF856" s="12"/>
      <c r="AG856" s="12"/>
      <c r="AH856" s="12"/>
      <c r="AI856" s="12"/>
      <c r="AJ856" s="12"/>
      <c r="AK856" s="12"/>
      <c r="AL856" s="12"/>
      <c r="AM856" s="12"/>
      <c r="AN856" s="12"/>
      <c r="AO856" s="12"/>
      <c r="AP856" s="12"/>
      <c r="AQ856" s="12"/>
      <c r="AR856" s="12"/>
      <c r="AS856" s="12"/>
      <c r="AT856" s="12"/>
    </row>
    <row r="857" spans="1:46" x14ac:dyDescent="0.25">
      <c r="A857" s="12"/>
      <c r="B857" s="12"/>
      <c r="C857" s="12"/>
      <c r="D857" s="12"/>
      <c r="E857" s="12"/>
      <c r="F857" s="12"/>
      <c r="G857" s="12"/>
      <c r="H857" s="12"/>
      <c r="I857" s="21" t="str">
        <f>IF(COUNTA('[1]Virus production'!A843)=1,('[1]Virus production'!A843),"")</f>
        <v/>
      </c>
      <c r="J857" s="12"/>
      <c r="L857" s="12"/>
      <c r="M857" s="12"/>
      <c r="N857" s="12"/>
      <c r="O857" s="12"/>
      <c r="P857" s="12"/>
      <c r="Q857" s="12"/>
      <c r="R857" s="12"/>
      <c r="S857" s="12"/>
      <c r="T857" s="12"/>
      <c r="U857" s="12"/>
      <c r="V857" s="12"/>
      <c r="W857" s="12"/>
      <c r="X857" s="12"/>
      <c r="Y857" s="12"/>
      <c r="Z857" s="12"/>
      <c r="AA857" s="12"/>
      <c r="AB857" s="12"/>
      <c r="AD857" s="12"/>
      <c r="AE857" s="12"/>
      <c r="AF857" s="12"/>
      <c r="AG857" s="12"/>
      <c r="AH857" s="12"/>
      <c r="AI857" s="12"/>
      <c r="AJ857" s="12"/>
      <c r="AK857" s="12"/>
      <c r="AL857" s="12"/>
      <c r="AM857" s="12"/>
      <c r="AN857" s="12"/>
      <c r="AO857" s="12"/>
      <c r="AP857" s="12"/>
      <c r="AQ857" s="12"/>
      <c r="AR857" s="12"/>
      <c r="AS857" s="12"/>
      <c r="AT857" s="12"/>
    </row>
    <row r="858" spans="1:46" x14ac:dyDescent="0.25">
      <c r="A858" s="12"/>
      <c r="B858" s="12"/>
      <c r="C858" s="12"/>
      <c r="D858" s="12"/>
      <c r="E858" s="12"/>
      <c r="F858" s="12"/>
      <c r="G858" s="12"/>
      <c r="H858" s="12"/>
      <c r="I858" s="21" t="str">
        <f>IF(COUNTA('[1]Virus production'!A844)=1,('[1]Virus production'!A844),"")</f>
        <v/>
      </c>
      <c r="J858" s="12"/>
      <c r="L858" s="12"/>
      <c r="M858" s="12"/>
      <c r="N858" s="12"/>
      <c r="O858" s="12"/>
      <c r="P858" s="12"/>
      <c r="Q858" s="12"/>
      <c r="R858" s="12"/>
      <c r="S858" s="12"/>
      <c r="T858" s="12"/>
      <c r="U858" s="12"/>
      <c r="V858" s="12"/>
      <c r="W858" s="12"/>
      <c r="X858" s="12"/>
      <c r="Y858" s="12"/>
      <c r="Z858" s="12"/>
      <c r="AA858" s="12"/>
      <c r="AB858" s="12"/>
      <c r="AD858" s="12"/>
      <c r="AE858" s="12"/>
      <c r="AF858" s="12"/>
      <c r="AG858" s="12"/>
      <c r="AH858" s="12"/>
      <c r="AI858" s="12"/>
      <c r="AJ858" s="12"/>
      <c r="AK858" s="12"/>
      <c r="AL858" s="12"/>
      <c r="AM858" s="12"/>
      <c r="AN858" s="12"/>
      <c r="AO858" s="12"/>
      <c r="AP858" s="12"/>
      <c r="AQ858" s="12"/>
      <c r="AR858" s="12"/>
      <c r="AS858" s="12"/>
      <c r="AT858" s="12"/>
    </row>
    <row r="859" spans="1:46" x14ac:dyDescent="0.25">
      <c r="A859" s="12"/>
      <c r="B859" s="12"/>
      <c r="C859" s="12"/>
      <c r="D859" s="12"/>
      <c r="E859" s="12"/>
      <c r="F859" s="12"/>
      <c r="G859" s="12"/>
      <c r="H859" s="12"/>
      <c r="I859" s="21" t="str">
        <f>IF(COUNTA('[1]Virus production'!A845)=1,('[1]Virus production'!A845),"")</f>
        <v/>
      </c>
      <c r="J859" s="12"/>
      <c r="L859" s="12"/>
      <c r="M859" s="12"/>
      <c r="N859" s="12"/>
      <c r="O859" s="12"/>
      <c r="P859" s="12"/>
      <c r="Q859" s="12"/>
      <c r="R859" s="12"/>
      <c r="S859" s="12"/>
      <c r="T859" s="12"/>
      <c r="U859" s="12"/>
      <c r="V859" s="12"/>
      <c r="W859" s="12"/>
      <c r="X859" s="12"/>
      <c r="Y859" s="12"/>
      <c r="Z859" s="12"/>
      <c r="AA859" s="12"/>
      <c r="AB859" s="12"/>
      <c r="AD859" s="12"/>
      <c r="AE859" s="12"/>
      <c r="AF859" s="12"/>
      <c r="AG859" s="12"/>
      <c r="AH859" s="12"/>
      <c r="AI859" s="12"/>
      <c r="AJ859" s="12"/>
      <c r="AK859" s="12"/>
      <c r="AL859" s="12"/>
      <c r="AM859" s="12"/>
      <c r="AN859" s="12"/>
      <c r="AO859" s="12"/>
      <c r="AP859" s="12"/>
      <c r="AQ859" s="12"/>
      <c r="AR859" s="12"/>
      <c r="AS859" s="12"/>
      <c r="AT859" s="12"/>
    </row>
    <row r="860" spans="1:46" x14ac:dyDescent="0.25">
      <c r="A860" s="12"/>
      <c r="B860" s="12"/>
      <c r="C860" s="12"/>
      <c r="D860" s="12"/>
      <c r="E860" s="12"/>
      <c r="F860" s="12"/>
      <c r="G860" s="12"/>
      <c r="H860" s="12"/>
      <c r="I860" s="21" t="str">
        <f>IF(COUNTA('[1]Virus production'!A846)=1,('[1]Virus production'!A846),"")</f>
        <v/>
      </c>
      <c r="J860" s="12"/>
      <c r="L860" s="12"/>
      <c r="M860" s="12"/>
      <c r="N860" s="12"/>
      <c r="O860" s="12"/>
      <c r="P860" s="12"/>
      <c r="Q860" s="12"/>
      <c r="R860" s="12"/>
      <c r="S860" s="12"/>
      <c r="T860" s="12"/>
      <c r="U860" s="12"/>
      <c r="V860" s="12"/>
      <c r="W860" s="12"/>
      <c r="X860" s="12"/>
      <c r="Y860" s="12"/>
      <c r="Z860" s="12"/>
      <c r="AA860" s="12"/>
      <c r="AB860" s="12"/>
      <c r="AD860" s="12"/>
      <c r="AE860" s="12"/>
      <c r="AF860" s="12"/>
      <c r="AG860" s="12"/>
      <c r="AH860" s="12"/>
      <c r="AI860" s="12"/>
      <c r="AJ860" s="12"/>
      <c r="AK860" s="12"/>
      <c r="AL860" s="12"/>
      <c r="AM860" s="12"/>
      <c r="AN860" s="12"/>
      <c r="AO860" s="12"/>
      <c r="AP860" s="12"/>
      <c r="AQ860" s="12"/>
      <c r="AR860" s="12"/>
      <c r="AS860" s="12"/>
      <c r="AT860" s="12"/>
    </row>
    <row r="861" spans="1:46" x14ac:dyDescent="0.25">
      <c r="A861" s="12"/>
      <c r="B861" s="12"/>
      <c r="C861" s="12"/>
      <c r="D861" s="12"/>
      <c r="E861" s="12"/>
      <c r="F861" s="12"/>
      <c r="G861" s="12"/>
      <c r="H861" s="12"/>
      <c r="I861" s="21" t="str">
        <f>IF(COUNTA('[1]Virus production'!A847)=1,('[1]Virus production'!A847),"")</f>
        <v/>
      </c>
      <c r="J861" s="12"/>
      <c r="L861" s="12"/>
      <c r="M861" s="12"/>
      <c r="N861" s="12"/>
      <c r="O861" s="12"/>
      <c r="P861" s="12"/>
      <c r="Q861" s="12"/>
      <c r="R861" s="12"/>
      <c r="S861" s="12"/>
      <c r="T861" s="12"/>
      <c r="U861" s="12"/>
      <c r="V861" s="12"/>
      <c r="W861" s="12"/>
      <c r="X861" s="12"/>
      <c r="Y861" s="12"/>
      <c r="Z861" s="12"/>
      <c r="AA861" s="12"/>
      <c r="AB861" s="12"/>
      <c r="AD861" s="12"/>
      <c r="AE861" s="12"/>
      <c r="AF861" s="12"/>
      <c r="AG861" s="12"/>
      <c r="AH861" s="12"/>
      <c r="AI861" s="12"/>
      <c r="AJ861" s="12"/>
      <c r="AK861" s="12"/>
      <c r="AL861" s="12"/>
      <c r="AM861" s="12"/>
      <c r="AN861" s="12"/>
      <c r="AO861" s="12"/>
      <c r="AP861" s="12"/>
      <c r="AQ861" s="12"/>
      <c r="AR861" s="12"/>
      <c r="AS861" s="12"/>
      <c r="AT861" s="12"/>
    </row>
    <row r="862" spans="1:46" x14ac:dyDescent="0.25">
      <c r="A862" s="12"/>
      <c r="B862" s="12"/>
      <c r="C862" s="12"/>
      <c r="D862" s="12"/>
      <c r="E862" s="12"/>
      <c r="F862" s="12"/>
      <c r="G862" s="12"/>
      <c r="H862" s="12"/>
      <c r="I862" s="21" t="str">
        <f>IF(COUNTA('[1]Virus production'!A848)=1,('[1]Virus production'!A848),"")</f>
        <v/>
      </c>
      <c r="J862" s="12"/>
      <c r="L862" s="12"/>
      <c r="M862" s="12"/>
      <c r="N862" s="12"/>
      <c r="O862" s="12"/>
      <c r="P862" s="12"/>
      <c r="Q862" s="12"/>
      <c r="R862" s="12"/>
      <c r="S862" s="12"/>
      <c r="T862" s="12"/>
      <c r="U862" s="12"/>
      <c r="V862" s="12"/>
      <c r="W862" s="12"/>
      <c r="X862" s="12"/>
      <c r="Y862" s="12"/>
      <c r="Z862" s="12"/>
      <c r="AA862" s="12"/>
      <c r="AB862" s="12"/>
      <c r="AD862" s="12"/>
      <c r="AE862" s="12"/>
      <c r="AF862" s="12"/>
      <c r="AG862" s="12"/>
      <c r="AH862" s="12"/>
      <c r="AI862" s="12"/>
      <c r="AJ862" s="12"/>
      <c r="AK862" s="12"/>
      <c r="AL862" s="12"/>
      <c r="AM862" s="12"/>
      <c r="AN862" s="12"/>
      <c r="AO862" s="12"/>
      <c r="AP862" s="12"/>
      <c r="AQ862" s="12"/>
      <c r="AR862" s="12"/>
      <c r="AS862" s="12"/>
      <c r="AT862" s="12"/>
    </row>
    <row r="863" spans="1:46" x14ac:dyDescent="0.25">
      <c r="A863" s="12"/>
      <c r="B863" s="12"/>
      <c r="C863" s="12"/>
      <c r="D863" s="12"/>
      <c r="E863" s="12"/>
      <c r="F863" s="12"/>
      <c r="G863" s="12"/>
      <c r="H863" s="12"/>
      <c r="I863" s="21" t="str">
        <f>IF(COUNTA('[1]Virus production'!A849)=1,('[1]Virus production'!A849),"")</f>
        <v/>
      </c>
      <c r="J863" s="12"/>
      <c r="L863" s="12"/>
      <c r="M863" s="12"/>
      <c r="N863" s="12"/>
      <c r="O863" s="12"/>
      <c r="P863" s="12"/>
      <c r="Q863" s="12"/>
      <c r="R863" s="12"/>
      <c r="S863" s="12"/>
      <c r="T863" s="12"/>
      <c r="U863" s="12"/>
      <c r="V863" s="12"/>
      <c r="W863" s="12"/>
      <c r="X863" s="12"/>
      <c r="Y863" s="12"/>
      <c r="Z863" s="12"/>
      <c r="AA863" s="12"/>
      <c r="AB863" s="12"/>
      <c r="AD863" s="12"/>
      <c r="AE863" s="12"/>
      <c r="AF863" s="12"/>
      <c r="AG863" s="12"/>
      <c r="AH863" s="12"/>
      <c r="AI863" s="12"/>
      <c r="AJ863" s="12"/>
      <c r="AK863" s="12"/>
      <c r="AL863" s="12"/>
      <c r="AM863" s="12"/>
      <c r="AN863" s="12"/>
      <c r="AO863" s="12"/>
      <c r="AP863" s="12"/>
      <c r="AQ863" s="12"/>
      <c r="AR863" s="12"/>
      <c r="AS863" s="12"/>
      <c r="AT863" s="12"/>
    </row>
    <row r="864" spans="1:46" x14ac:dyDescent="0.25">
      <c r="A864" s="12"/>
      <c r="B864" s="12"/>
      <c r="C864" s="12"/>
      <c r="D864" s="12"/>
      <c r="E864" s="12"/>
      <c r="F864" s="12"/>
      <c r="G864" s="12"/>
      <c r="H864" s="12"/>
      <c r="I864" s="21" t="str">
        <f>IF(COUNTA('[1]Virus production'!A850)=1,('[1]Virus production'!A850),"")</f>
        <v/>
      </c>
      <c r="J864" s="12"/>
      <c r="L864" s="12"/>
      <c r="M864" s="12"/>
      <c r="N864" s="12"/>
      <c r="O864" s="12"/>
      <c r="P864" s="12"/>
      <c r="Q864" s="12"/>
      <c r="R864" s="12"/>
      <c r="S864" s="12"/>
      <c r="T864" s="12"/>
      <c r="U864" s="12"/>
      <c r="V864" s="12"/>
      <c r="W864" s="12"/>
      <c r="X864" s="12"/>
      <c r="Y864" s="12"/>
      <c r="Z864" s="12"/>
      <c r="AA864" s="12"/>
      <c r="AB864" s="12"/>
      <c r="AD864" s="12"/>
      <c r="AE864" s="12"/>
      <c r="AF864" s="12"/>
      <c r="AG864" s="12"/>
      <c r="AH864" s="12"/>
      <c r="AI864" s="12"/>
      <c r="AJ864" s="12"/>
      <c r="AK864" s="12"/>
      <c r="AL864" s="12"/>
      <c r="AM864" s="12"/>
      <c r="AN864" s="12"/>
      <c r="AO864" s="12"/>
      <c r="AP864" s="12"/>
      <c r="AQ864" s="12"/>
      <c r="AR864" s="12"/>
      <c r="AS864" s="12"/>
      <c r="AT864" s="12"/>
    </row>
    <row r="865" spans="1:46" x14ac:dyDescent="0.25">
      <c r="A865" s="12"/>
      <c r="B865" s="12"/>
      <c r="C865" s="12"/>
      <c r="D865" s="12"/>
      <c r="E865" s="12"/>
      <c r="F865" s="12"/>
      <c r="G865" s="12"/>
      <c r="H865" s="12"/>
      <c r="I865" s="21" t="str">
        <f>IF(COUNTA('[1]Virus production'!A851)=1,('[1]Virus production'!A851),"")</f>
        <v/>
      </c>
      <c r="J865" s="12"/>
      <c r="L865" s="12"/>
      <c r="M865" s="12"/>
      <c r="N865" s="12"/>
      <c r="O865" s="12"/>
      <c r="P865" s="12"/>
      <c r="Q865" s="12"/>
      <c r="R865" s="12"/>
      <c r="S865" s="12"/>
      <c r="T865" s="12"/>
      <c r="U865" s="12"/>
      <c r="V865" s="12"/>
      <c r="W865" s="12"/>
      <c r="X865" s="12"/>
      <c r="Y865" s="12"/>
      <c r="Z865" s="12"/>
      <c r="AA865" s="12"/>
      <c r="AB865" s="12"/>
      <c r="AD865" s="12"/>
      <c r="AE865" s="12"/>
      <c r="AF865" s="12"/>
      <c r="AG865" s="12"/>
      <c r="AH865" s="12"/>
      <c r="AI865" s="12"/>
      <c r="AJ865" s="12"/>
      <c r="AK865" s="12"/>
      <c r="AL865" s="12"/>
      <c r="AM865" s="12"/>
      <c r="AN865" s="12"/>
      <c r="AO865" s="12"/>
      <c r="AP865" s="12"/>
      <c r="AQ865" s="12"/>
      <c r="AR865" s="12"/>
      <c r="AS865" s="12"/>
      <c r="AT865" s="12"/>
    </row>
    <row r="866" spans="1:46" x14ac:dyDescent="0.25">
      <c r="A866" s="12"/>
      <c r="B866" s="12"/>
      <c r="C866" s="12"/>
      <c r="D866" s="12"/>
      <c r="E866" s="12"/>
      <c r="F866" s="12"/>
      <c r="G866" s="12"/>
      <c r="H866" s="12"/>
      <c r="I866" s="21" t="str">
        <f>IF(COUNTA('[1]Virus production'!A852)=1,('[1]Virus production'!A852),"")</f>
        <v/>
      </c>
      <c r="J866" s="12"/>
      <c r="L866" s="12"/>
      <c r="M866" s="12"/>
      <c r="N866" s="12"/>
      <c r="O866" s="12"/>
      <c r="P866" s="12"/>
      <c r="Q866" s="12"/>
      <c r="R866" s="12"/>
      <c r="S866" s="12"/>
      <c r="T866" s="12"/>
      <c r="U866" s="12"/>
      <c r="V866" s="12"/>
      <c r="W866" s="12"/>
      <c r="X866" s="12"/>
      <c r="Y866" s="12"/>
      <c r="Z866" s="12"/>
      <c r="AA866" s="12"/>
      <c r="AB866" s="12"/>
      <c r="AD866" s="12"/>
      <c r="AE866" s="12"/>
      <c r="AF866" s="12"/>
      <c r="AG866" s="12"/>
      <c r="AH866" s="12"/>
      <c r="AI866" s="12"/>
      <c r="AJ866" s="12"/>
      <c r="AK866" s="12"/>
      <c r="AL866" s="12"/>
      <c r="AM866" s="12"/>
      <c r="AN866" s="12"/>
      <c r="AO866" s="12"/>
      <c r="AP866" s="12"/>
      <c r="AQ866" s="12"/>
      <c r="AR866" s="12"/>
      <c r="AS866" s="12"/>
      <c r="AT866" s="12"/>
    </row>
    <row r="867" spans="1:46" x14ac:dyDescent="0.25">
      <c r="A867" s="12"/>
      <c r="B867" s="12"/>
      <c r="C867" s="12"/>
      <c r="D867" s="12"/>
      <c r="E867" s="12"/>
      <c r="F867" s="12"/>
      <c r="G867" s="12"/>
      <c r="H867" s="12"/>
      <c r="I867" s="21" t="str">
        <f>IF(COUNTA('[1]Virus production'!A853)=1,('[1]Virus production'!A853),"")</f>
        <v/>
      </c>
      <c r="J867" s="12"/>
      <c r="L867" s="12"/>
      <c r="M867" s="12"/>
      <c r="N867" s="12"/>
      <c r="O867" s="12"/>
      <c r="P867" s="12"/>
      <c r="Q867" s="12"/>
      <c r="R867" s="12"/>
      <c r="S867" s="12"/>
      <c r="T867" s="12"/>
      <c r="U867" s="12"/>
      <c r="V867" s="12"/>
      <c r="W867" s="12"/>
      <c r="X867" s="12"/>
      <c r="Y867" s="12"/>
      <c r="Z867" s="12"/>
      <c r="AA867" s="12"/>
      <c r="AB867" s="12"/>
      <c r="AD867" s="12"/>
      <c r="AE867" s="12"/>
      <c r="AF867" s="12"/>
      <c r="AG867" s="12"/>
      <c r="AH867" s="12"/>
      <c r="AI867" s="12"/>
      <c r="AJ867" s="12"/>
      <c r="AK867" s="12"/>
      <c r="AL867" s="12"/>
      <c r="AM867" s="12"/>
      <c r="AN867" s="12"/>
      <c r="AO867" s="12"/>
      <c r="AP867" s="12"/>
      <c r="AQ867" s="12"/>
      <c r="AR867" s="12"/>
      <c r="AS867" s="12"/>
      <c r="AT867" s="12"/>
    </row>
    <row r="868" spans="1:46" x14ac:dyDescent="0.25">
      <c r="A868" s="12"/>
      <c r="B868" s="12"/>
      <c r="C868" s="12"/>
      <c r="D868" s="12"/>
      <c r="E868" s="12"/>
      <c r="F868" s="12"/>
      <c r="G868" s="12"/>
      <c r="H868" s="12"/>
      <c r="I868" s="21" t="str">
        <f>IF(COUNTA('[1]Virus production'!A854)=1,('[1]Virus production'!A854),"")</f>
        <v/>
      </c>
      <c r="J868" s="12"/>
      <c r="L868" s="12"/>
      <c r="M868" s="12"/>
      <c r="N868" s="12"/>
      <c r="O868" s="12"/>
      <c r="P868" s="12"/>
      <c r="Q868" s="12"/>
      <c r="R868" s="12"/>
      <c r="S868" s="12"/>
      <c r="T868" s="12"/>
      <c r="U868" s="12"/>
      <c r="V868" s="12"/>
      <c r="W868" s="12"/>
      <c r="X868" s="12"/>
      <c r="Y868" s="12"/>
      <c r="Z868" s="12"/>
      <c r="AA868" s="12"/>
      <c r="AB868" s="12"/>
      <c r="AD868" s="12"/>
      <c r="AE868" s="12"/>
      <c r="AF868" s="12"/>
      <c r="AG868" s="12"/>
      <c r="AH868" s="12"/>
      <c r="AI868" s="12"/>
      <c r="AJ868" s="12"/>
      <c r="AK868" s="12"/>
      <c r="AL868" s="12"/>
      <c r="AM868" s="12"/>
      <c r="AN868" s="12"/>
      <c r="AO868" s="12"/>
      <c r="AP868" s="12"/>
      <c r="AQ868" s="12"/>
      <c r="AR868" s="12"/>
      <c r="AS868" s="12"/>
      <c r="AT868" s="12"/>
    </row>
    <row r="869" spans="1:46" x14ac:dyDescent="0.25">
      <c r="A869" s="12"/>
      <c r="B869" s="12"/>
      <c r="C869" s="12"/>
      <c r="D869" s="12"/>
      <c r="E869" s="12"/>
      <c r="F869" s="12"/>
      <c r="G869" s="12"/>
      <c r="H869" s="12"/>
      <c r="I869" s="21" t="str">
        <f>IF(COUNTA('[1]Virus production'!A855)=1,('[1]Virus production'!A855),"")</f>
        <v/>
      </c>
      <c r="J869" s="12"/>
      <c r="L869" s="12"/>
      <c r="M869" s="12"/>
      <c r="N869" s="12"/>
      <c r="O869" s="12"/>
      <c r="P869" s="12"/>
      <c r="Q869" s="12"/>
      <c r="R869" s="12"/>
      <c r="S869" s="12"/>
      <c r="T869" s="12"/>
      <c r="U869" s="12"/>
      <c r="V869" s="12"/>
      <c r="W869" s="12"/>
      <c r="X869" s="12"/>
      <c r="Y869" s="12"/>
      <c r="Z869" s="12"/>
      <c r="AA869" s="12"/>
      <c r="AB869" s="12"/>
      <c r="AD869" s="12"/>
      <c r="AE869" s="12"/>
      <c r="AF869" s="12"/>
      <c r="AG869" s="12"/>
      <c r="AH869" s="12"/>
      <c r="AI869" s="12"/>
      <c r="AJ869" s="12"/>
      <c r="AK869" s="12"/>
      <c r="AL869" s="12"/>
      <c r="AM869" s="12"/>
      <c r="AN869" s="12"/>
      <c r="AO869" s="12"/>
      <c r="AP869" s="12"/>
      <c r="AQ869" s="12"/>
      <c r="AR869" s="12"/>
      <c r="AS869" s="12"/>
      <c r="AT869" s="12"/>
    </row>
    <row r="870" spans="1:46" x14ac:dyDescent="0.25">
      <c r="A870" s="12"/>
      <c r="B870" s="12"/>
      <c r="C870" s="12"/>
      <c r="D870" s="12"/>
      <c r="E870" s="12"/>
      <c r="F870" s="12"/>
      <c r="G870" s="12"/>
      <c r="H870" s="12"/>
      <c r="I870" s="21" t="str">
        <f>IF(COUNTA('[1]Virus production'!A856)=1,('[1]Virus production'!A856),"")</f>
        <v/>
      </c>
      <c r="J870" s="12"/>
      <c r="L870" s="12"/>
      <c r="M870" s="12"/>
      <c r="N870" s="12"/>
      <c r="O870" s="12"/>
      <c r="P870" s="12"/>
      <c r="Q870" s="12"/>
      <c r="R870" s="12"/>
      <c r="S870" s="12"/>
      <c r="T870" s="12"/>
      <c r="U870" s="12"/>
      <c r="V870" s="12"/>
      <c r="W870" s="12"/>
      <c r="X870" s="12"/>
      <c r="Y870" s="12"/>
      <c r="Z870" s="12"/>
      <c r="AA870" s="12"/>
      <c r="AB870" s="12"/>
      <c r="AD870" s="12"/>
      <c r="AE870" s="12"/>
      <c r="AF870" s="12"/>
      <c r="AG870" s="12"/>
      <c r="AH870" s="12"/>
      <c r="AI870" s="12"/>
      <c r="AJ870" s="12"/>
      <c r="AK870" s="12"/>
      <c r="AL870" s="12"/>
      <c r="AM870" s="12"/>
      <c r="AN870" s="12"/>
      <c r="AO870" s="12"/>
      <c r="AP870" s="12"/>
      <c r="AQ870" s="12"/>
      <c r="AR870" s="12"/>
      <c r="AS870" s="12"/>
      <c r="AT870" s="12"/>
    </row>
    <row r="871" spans="1:46" x14ac:dyDescent="0.25">
      <c r="A871" s="12"/>
      <c r="B871" s="12"/>
      <c r="C871" s="12"/>
      <c r="D871" s="12"/>
      <c r="E871" s="12"/>
      <c r="F871" s="12"/>
      <c r="G871" s="12"/>
      <c r="H871" s="12"/>
      <c r="I871" s="21" t="str">
        <f>IF(COUNTA('[1]Virus production'!A857)=1,('[1]Virus production'!A857),"")</f>
        <v/>
      </c>
      <c r="J871" s="12"/>
      <c r="L871" s="12"/>
      <c r="M871" s="12"/>
      <c r="N871" s="12"/>
      <c r="O871" s="12"/>
      <c r="P871" s="12"/>
      <c r="Q871" s="12"/>
      <c r="R871" s="12"/>
      <c r="S871" s="12"/>
      <c r="T871" s="12"/>
      <c r="U871" s="12"/>
      <c r="V871" s="12"/>
      <c r="W871" s="12"/>
      <c r="X871" s="12"/>
      <c r="Y871" s="12"/>
      <c r="Z871" s="12"/>
      <c r="AA871" s="12"/>
      <c r="AB871" s="12"/>
      <c r="AD871" s="12"/>
      <c r="AE871" s="12"/>
      <c r="AF871" s="12"/>
      <c r="AG871" s="12"/>
      <c r="AH871" s="12"/>
      <c r="AI871" s="12"/>
      <c r="AJ871" s="12"/>
      <c r="AK871" s="12"/>
      <c r="AL871" s="12"/>
      <c r="AM871" s="12"/>
      <c r="AN871" s="12"/>
      <c r="AO871" s="12"/>
      <c r="AP871" s="12"/>
      <c r="AQ871" s="12"/>
      <c r="AR871" s="12"/>
      <c r="AS871" s="12"/>
      <c r="AT871" s="12"/>
    </row>
    <row r="872" spans="1:46" x14ac:dyDescent="0.25">
      <c r="A872" s="12"/>
      <c r="B872" s="12"/>
      <c r="C872" s="12"/>
      <c r="D872" s="12"/>
      <c r="E872" s="12"/>
      <c r="F872" s="12"/>
      <c r="G872" s="12"/>
      <c r="H872" s="12"/>
      <c r="I872" s="21" t="str">
        <f>IF(COUNTA('[1]Virus production'!A858)=1,('[1]Virus production'!A858),"")</f>
        <v/>
      </c>
      <c r="J872" s="12"/>
      <c r="L872" s="12"/>
      <c r="M872" s="12"/>
      <c r="N872" s="12"/>
      <c r="O872" s="12"/>
      <c r="P872" s="12"/>
      <c r="Q872" s="12"/>
      <c r="R872" s="12"/>
      <c r="S872" s="12"/>
      <c r="T872" s="12"/>
      <c r="U872" s="12"/>
      <c r="V872" s="12"/>
      <c r="W872" s="12"/>
      <c r="X872" s="12"/>
      <c r="Y872" s="12"/>
      <c r="Z872" s="12"/>
      <c r="AA872" s="12"/>
      <c r="AB872" s="12"/>
      <c r="AD872" s="12"/>
      <c r="AE872" s="12"/>
      <c r="AF872" s="12"/>
      <c r="AG872" s="12"/>
      <c r="AH872" s="12"/>
      <c r="AI872" s="12"/>
      <c r="AJ872" s="12"/>
      <c r="AK872" s="12"/>
      <c r="AL872" s="12"/>
      <c r="AM872" s="12"/>
      <c r="AN872" s="12"/>
      <c r="AO872" s="12"/>
      <c r="AP872" s="12"/>
      <c r="AQ872" s="12"/>
      <c r="AR872" s="12"/>
      <c r="AS872" s="12"/>
      <c r="AT872" s="12"/>
    </row>
    <row r="873" spans="1:46" x14ac:dyDescent="0.25">
      <c r="A873" s="12"/>
      <c r="B873" s="12"/>
      <c r="C873" s="12"/>
      <c r="D873" s="12"/>
      <c r="E873" s="12"/>
      <c r="F873" s="12"/>
      <c r="G873" s="12"/>
      <c r="H873" s="12"/>
      <c r="I873" s="21" t="str">
        <f>IF(COUNTA('[1]Virus production'!A859)=1,('[1]Virus production'!A859),"")</f>
        <v/>
      </c>
      <c r="J873" s="12"/>
      <c r="L873" s="12"/>
      <c r="M873" s="12"/>
      <c r="N873" s="12"/>
      <c r="O873" s="12"/>
      <c r="P873" s="12"/>
      <c r="Q873" s="12"/>
      <c r="R873" s="12"/>
      <c r="S873" s="12"/>
      <c r="T873" s="12"/>
      <c r="U873" s="12"/>
      <c r="V873" s="12"/>
      <c r="W873" s="12"/>
      <c r="X873" s="12"/>
      <c r="Y873" s="12"/>
      <c r="Z873" s="12"/>
      <c r="AA873" s="12"/>
      <c r="AB873" s="12"/>
      <c r="AD873" s="12"/>
      <c r="AE873" s="12"/>
      <c r="AF873" s="12"/>
      <c r="AG873" s="12"/>
      <c r="AH873" s="12"/>
      <c r="AI873" s="12"/>
      <c r="AJ873" s="12"/>
      <c r="AK873" s="12"/>
      <c r="AL873" s="12"/>
      <c r="AM873" s="12"/>
      <c r="AN873" s="12"/>
      <c r="AO873" s="12"/>
      <c r="AP873" s="12"/>
      <c r="AQ873" s="12"/>
      <c r="AR873" s="12"/>
      <c r="AS873" s="12"/>
      <c r="AT873" s="12"/>
    </row>
    <row r="874" spans="1:46" x14ac:dyDescent="0.25">
      <c r="A874" s="12"/>
      <c r="B874" s="12"/>
      <c r="C874" s="12"/>
      <c r="D874" s="12"/>
      <c r="E874" s="12"/>
      <c r="F874" s="12"/>
      <c r="G874" s="12"/>
      <c r="H874" s="12"/>
      <c r="I874" s="21" t="str">
        <f>IF(COUNTA('[1]Virus production'!A860)=1,('[1]Virus production'!A860),"")</f>
        <v/>
      </c>
      <c r="J874" s="12"/>
      <c r="L874" s="12"/>
      <c r="M874" s="12"/>
      <c r="N874" s="12"/>
      <c r="O874" s="12"/>
      <c r="P874" s="12"/>
      <c r="Q874" s="12"/>
      <c r="R874" s="12"/>
      <c r="S874" s="12"/>
      <c r="T874" s="12"/>
      <c r="U874" s="12"/>
      <c r="V874" s="12"/>
      <c r="W874" s="12"/>
      <c r="X874" s="12"/>
      <c r="Y874" s="12"/>
      <c r="Z874" s="12"/>
      <c r="AA874" s="12"/>
      <c r="AB874" s="12"/>
      <c r="AD874" s="12"/>
      <c r="AE874" s="12"/>
      <c r="AF874" s="12"/>
      <c r="AG874" s="12"/>
      <c r="AH874" s="12"/>
      <c r="AI874" s="12"/>
      <c r="AJ874" s="12"/>
      <c r="AK874" s="12"/>
      <c r="AL874" s="12"/>
      <c r="AM874" s="12"/>
      <c r="AN874" s="12"/>
      <c r="AO874" s="12"/>
      <c r="AP874" s="12"/>
      <c r="AQ874" s="12"/>
      <c r="AR874" s="12"/>
      <c r="AS874" s="12"/>
      <c r="AT874" s="12"/>
    </row>
    <row r="875" spans="1:46" x14ac:dyDescent="0.25">
      <c r="A875" s="12"/>
      <c r="B875" s="12"/>
      <c r="C875" s="12"/>
      <c r="D875" s="12"/>
      <c r="E875" s="12"/>
      <c r="F875" s="12"/>
      <c r="G875" s="12"/>
      <c r="H875" s="12"/>
      <c r="I875" s="21" t="str">
        <f>IF(COUNTA('[1]Virus production'!A861)=1,('[1]Virus production'!A861),"")</f>
        <v/>
      </c>
      <c r="J875" s="12"/>
      <c r="L875" s="12"/>
      <c r="M875" s="12"/>
      <c r="N875" s="12"/>
      <c r="O875" s="12"/>
      <c r="P875" s="12"/>
      <c r="Q875" s="12"/>
      <c r="R875" s="12"/>
      <c r="S875" s="12"/>
      <c r="T875" s="12"/>
      <c r="U875" s="12"/>
      <c r="V875" s="12"/>
      <c r="W875" s="12"/>
      <c r="X875" s="12"/>
      <c r="Y875" s="12"/>
      <c r="Z875" s="12"/>
      <c r="AA875" s="12"/>
      <c r="AB875" s="12"/>
      <c r="AD875" s="12"/>
      <c r="AE875" s="12"/>
      <c r="AF875" s="12"/>
      <c r="AG875" s="12"/>
      <c r="AH875" s="12"/>
      <c r="AI875" s="12"/>
      <c r="AJ875" s="12"/>
      <c r="AK875" s="12"/>
      <c r="AL875" s="12"/>
      <c r="AM875" s="12"/>
      <c r="AN875" s="12"/>
      <c r="AO875" s="12"/>
      <c r="AP875" s="12"/>
      <c r="AQ875" s="12"/>
      <c r="AR875" s="12"/>
      <c r="AS875" s="12"/>
      <c r="AT875" s="12"/>
    </row>
    <row r="876" spans="1:46" x14ac:dyDescent="0.25">
      <c r="A876" s="12"/>
      <c r="B876" s="12"/>
      <c r="C876" s="12"/>
      <c r="D876" s="12"/>
      <c r="E876" s="12"/>
      <c r="F876" s="12"/>
      <c r="G876" s="12"/>
      <c r="H876" s="12"/>
      <c r="I876" s="21" t="str">
        <f>IF(COUNTA('[1]Virus production'!A862)=1,('[1]Virus production'!A862),"")</f>
        <v/>
      </c>
      <c r="J876" s="12"/>
      <c r="L876" s="12"/>
      <c r="M876" s="12"/>
      <c r="N876" s="12"/>
      <c r="O876" s="12"/>
      <c r="P876" s="12"/>
      <c r="Q876" s="12"/>
      <c r="R876" s="12"/>
      <c r="S876" s="12"/>
      <c r="T876" s="12"/>
      <c r="U876" s="12"/>
      <c r="V876" s="12"/>
      <c r="W876" s="12"/>
      <c r="X876" s="12"/>
      <c r="Y876" s="12"/>
      <c r="Z876" s="12"/>
      <c r="AA876" s="12"/>
      <c r="AB876" s="12"/>
      <c r="AD876" s="12"/>
      <c r="AE876" s="12"/>
      <c r="AF876" s="12"/>
      <c r="AG876" s="12"/>
      <c r="AH876" s="12"/>
      <c r="AI876" s="12"/>
      <c r="AJ876" s="12"/>
      <c r="AK876" s="12"/>
      <c r="AL876" s="12"/>
      <c r="AM876" s="12"/>
      <c r="AN876" s="12"/>
      <c r="AO876" s="12"/>
      <c r="AP876" s="12"/>
      <c r="AQ876" s="12"/>
      <c r="AR876" s="12"/>
      <c r="AS876" s="12"/>
      <c r="AT876" s="12"/>
    </row>
    <row r="877" spans="1:46" x14ac:dyDescent="0.25">
      <c r="A877" s="12"/>
      <c r="B877" s="12"/>
      <c r="C877" s="12"/>
      <c r="D877" s="12"/>
      <c r="E877" s="12"/>
      <c r="F877" s="12"/>
      <c r="G877" s="12"/>
      <c r="H877" s="12"/>
      <c r="I877" s="21" t="str">
        <f>IF(COUNTA('[1]Virus production'!A863)=1,('[1]Virus production'!A863),"")</f>
        <v/>
      </c>
      <c r="J877" s="12"/>
      <c r="L877" s="12"/>
      <c r="M877" s="12"/>
      <c r="N877" s="12"/>
      <c r="O877" s="12"/>
      <c r="P877" s="12"/>
      <c r="Q877" s="12"/>
      <c r="R877" s="12"/>
      <c r="S877" s="12"/>
      <c r="T877" s="12"/>
      <c r="U877" s="12"/>
      <c r="V877" s="12"/>
      <c r="W877" s="12"/>
      <c r="X877" s="12"/>
      <c r="Y877" s="12"/>
      <c r="Z877" s="12"/>
      <c r="AA877" s="12"/>
      <c r="AB877" s="12"/>
      <c r="AD877" s="12"/>
      <c r="AE877" s="12"/>
      <c r="AF877" s="12"/>
      <c r="AG877" s="12"/>
      <c r="AH877" s="12"/>
      <c r="AI877" s="12"/>
      <c r="AJ877" s="12"/>
      <c r="AK877" s="12"/>
      <c r="AL877" s="12"/>
      <c r="AM877" s="12"/>
      <c r="AN877" s="12"/>
      <c r="AO877" s="12"/>
      <c r="AP877" s="12"/>
      <c r="AQ877" s="12"/>
      <c r="AR877" s="12"/>
      <c r="AS877" s="12"/>
      <c r="AT877" s="12"/>
    </row>
    <row r="878" spans="1:46" x14ac:dyDescent="0.25">
      <c r="A878" s="12"/>
      <c r="B878" s="12"/>
      <c r="C878" s="12"/>
      <c r="D878" s="12"/>
      <c r="E878" s="12"/>
      <c r="F878" s="12"/>
      <c r="G878" s="12"/>
      <c r="H878" s="12"/>
      <c r="I878" s="21" t="str">
        <f>IF(COUNTA('[1]Virus production'!A864)=1,('[1]Virus production'!A864),"")</f>
        <v/>
      </c>
      <c r="J878" s="12"/>
      <c r="L878" s="12"/>
      <c r="M878" s="12"/>
      <c r="N878" s="12"/>
      <c r="O878" s="12"/>
      <c r="P878" s="12"/>
      <c r="Q878" s="12"/>
      <c r="R878" s="12"/>
      <c r="S878" s="12"/>
      <c r="T878" s="12"/>
      <c r="U878" s="12"/>
      <c r="V878" s="12"/>
      <c r="W878" s="12"/>
      <c r="X878" s="12"/>
      <c r="Y878" s="12"/>
      <c r="Z878" s="12"/>
      <c r="AA878" s="12"/>
      <c r="AB878" s="12"/>
      <c r="AD878" s="12"/>
      <c r="AE878" s="12"/>
      <c r="AF878" s="12"/>
      <c r="AG878" s="12"/>
      <c r="AH878" s="12"/>
      <c r="AI878" s="12"/>
      <c r="AJ878" s="12"/>
      <c r="AK878" s="12"/>
      <c r="AL878" s="12"/>
      <c r="AM878" s="12"/>
      <c r="AN878" s="12"/>
      <c r="AO878" s="12"/>
      <c r="AP878" s="12"/>
      <c r="AQ878" s="12"/>
      <c r="AR878" s="12"/>
      <c r="AS878" s="12"/>
      <c r="AT878" s="12"/>
    </row>
    <row r="879" spans="1:46" x14ac:dyDescent="0.25">
      <c r="A879" s="12"/>
      <c r="B879" s="12"/>
      <c r="C879" s="12"/>
      <c r="D879" s="12"/>
      <c r="E879" s="12"/>
      <c r="F879" s="12"/>
      <c r="G879" s="12"/>
      <c r="H879" s="12"/>
      <c r="I879" s="21" t="str">
        <f>IF(COUNTA('[1]Virus production'!A865)=1,('[1]Virus production'!A865),"")</f>
        <v/>
      </c>
      <c r="J879" s="12"/>
      <c r="L879" s="12"/>
      <c r="M879" s="12"/>
      <c r="N879" s="12"/>
      <c r="O879" s="12"/>
      <c r="P879" s="12"/>
      <c r="Q879" s="12"/>
      <c r="R879" s="12"/>
      <c r="S879" s="12"/>
      <c r="T879" s="12"/>
      <c r="U879" s="12"/>
      <c r="V879" s="12"/>
      <c r="W879" s="12"/>
      <c r="X879" s="12"/>
      <c r="Y879" s="12"/>
      <c r="Z879" s="12"/>
      <c r="AA879" s="12"/>
      <c r="AB879" s="12"/>
      <c r="AD879" s="12"/>
      <c r="AE879" s="12"/>
      <c r="AF879" s="12"/>
      <c r="AG879" s="12"/>
      <c r="AH879" s="12"/>
      <c r="AI879" s="12"/>
      <c r="AJ879" s="12"/>
      <c r="AK879" s="12"/>
      <c r="AL879" s="12"/>
      <c r="AM879" s="12"/>
      <c r="AN879" s="12"/>
      <c r="AO879" s="12"/>
      <c r="AP879" s="12"/>
      <c r="AQ879" s="12"/>
      <c r="AR879" s="12"/>
      <c r="AS879" s="12"/>
      <c r="AT879" s="12"/>
    </row>
    <row r="880" spans="1:46" x14ac:dyDescent="0.25">
      <c r="A880" s="12"/>
      <c r="B880" s="12"/>
      <c r="C880" s="12"/>
      <c r="D880" s="12"/>
      <c r="E880" s="12"/>
      <c r="F880" s="12"/>
      <c r="G880" s="12"/>
      <c r="H880" s="12"/>
      <c r="I880" s="21" t="str">
        <f>IF(COUNTA('[1]Virus production'!A866)=1,('[1]Virus production'!A866),"")</f>
        <v/>
      </c>
      <c r="J880" s="12"/>
      <c r="L880" s="12"/>
      <c r="M880" s="12"/>
      <c r="N880" s="12"/>
      <c r="O880" s="12"/>
      <c r="P880" s="12"/>
      <c r="Q880" s="12"/>
      <c r="R880" s="12"/>
      <c r="S880" s="12"/>
      <c r="T880" s="12"/>
      <c r="U880" s="12"/>
      <c r="V880" s="12"/>
      <c r="W880" s="12"/>
      <c r="X880" s="12"/>
      <c r="Y880" s="12"/>
      <c r="Z880" s="12"/>
      <c r="AA880" s="12"/>
      <c r="AB880" s="12"/>
      <c r="AD880" s="12"/>
      <c r="AE880" s="12"/>
      <c r="AF880" s="12"/>
      <c r="AG880" s="12"/>
      <c r="AH880" s="12"/>
      <c r="AI880" s="12"/>
      <c r="AJ880" s="12"/>
      <c r="AK880" s="12"/>
      <c r="AL880" s="12"/>
      <c r="AM880" s="12"/>
      <c r="AN880" s="12"/>
      <c r="AO880" s="12"/>
      <c r="AP880" s="12"/>
      <c r="AQ880" s="12"/>
      <c r="AR880" s="12"/>
      <c r="AS880" s="12"/>
      <c r="AT880" s="12"/>
    </row>
    <row r="881" spans="1:46" x14ac:dyDescent="0.25">
      <c r="A881" s="12"/>
      <c r="B881" s="12"/>
      <c r="C881" s="12"/>
      <c r="D881" s="12"/>
      <c r="E881" s="12"/>
      <c r="F881" s="12"/>
      <c r="G881" s="12"/>
      <c r="H881" s="12"/>
      <c r="I881" s="21" t="str">
        <f>IF(COUNTA('[1]Virus production'!A867)=1,('[1]Virus production'!A867),"")</f>
        <v/>
      </c>
      <c r="J881" s="12"/>
      <c r="L881" s="12"/>
      <c r="M881" s="12"/>
      <c r="N881" s="12"/>
      <c r="O881" s="12"/>
      <c r="P881" s="12"/>
      <c r="Q881" s="12"/>
      <c r="R881" s="12"/>
      <c r="S881" s="12"/>
      <c r="T881" s="12"/>
      <c r="U881" s="12"/>
      <c r="V881" s="12"/>
      <c r="W881" s="12"/>
      <c r="X881" s="12"/>
      <c r="Y881" s="12"/>
      <c r="Z881" s="12"/>
      <c r="AA881" s="12"/>
      <c r="AB881" s="12"/>
      <c r="AD881" s="12"/>
      <c r="AE881" s="12"/>
      <c r="AF881" s="12"/>
      <c r="AG881" s="12"/>
      <c r="AH881" s="12"/>
      <c r="AI881" s="12"/>
      <c r="AJ881" s="12"/>
      <c r="AK881" s="12"/>
      <c r="AL881" s="12"/>
      <c r="AM881" s="12"/>
      <c r="AN881" s="12"/>
      <c r="AO881" s="12"/>
      <c r="AP881" s="12"/>
      <c r="AQ881" s="12"/>
      <c r="AR881" s="12"/>
      <c r="AS881" s="12"/>
      <c r="AT881" s="12"/>
    </row>
    <row r="882" spans="1:46" x14ac:dyDescent="0.25">
      <c r="A882" s="12"/>
      <c r="B882" s="12"/>
      <c r="C882" s="12"/>
      <c r="D882" s="12"/>
      <c r="E882" s="12"/>
      <c r="F882" s="12"/>
      <c r="G882" s="12"/>
      <c r="H882" s="12"/>
      <c r="I882" s="21" t="str">
        <f>IF(COUNTA('[1]Virus production'!A868)=1,('[1]Virus production'!A868),"")</f>
        <v/>
      </c>
      <c r="J882" s="12"/>
      <c r="L882" s="12"/>
      <c r="M882" s="12"/>
      <c r="N882" s="12"/>
      <c r="O882" s="12"/>
      <c r="P882" s="12"/>
      <c r="Q882" s="12"/>
      <c r="R882" s="12"/>
      <c r="S882" s="12"/>
      <c r="T882" s="12"/>
      <c r="U882" s="12"/>
      <c r="V882" s="12"/>
      <c r="W882" s="12"/>
      <c r="X882" s="12"/>
      <c r="Y882" s="12"/>
      <c r="Z882" s="12"/>
      <c r="AA882" s="12"/>
      <c r="AB882" s="12"/>
      <c r="AD882" s="12"/>
      <c r="AE882" s="12"/>
      <c r="AF882" s="12"/>
      <c r="AG882" s="12"/>
      <c r="AH882" s="12"/>
      <c r="AI882" s="12"/>
      <c r="AJ882" s="12"/>
      <c r="AK882" s="12"/>
      <c r="AL882" s="12"/>
      <c r="AM882" s="12"/>
      <c r="AN882" s="12"/>
      <c r="AO882" s="12"/>
      <c r="AP882" s="12"/>
      <c r="AQ882" s="12"/>
      <c r="AR882" s="12"/>
      <c r="AS882" s="12"/>
      <c r="AT882" s="12"/>
    </row>
    <row r="883" spans="1:46" x14ac:dyDescent="0.25">
      <c r="A883" s="12"/>
      <c r="B883" s="12"/>
      <c r="C883" s="12"/>
      <c r="D883" s="12"/>
      <c r="E883" s="12"/>
      <c r="F883" s="12"/>
      <c r="G883" s="12"/>
      <c r="H883" s="12"/>
      <c r="I883" s="21" t="str">
        <f>IF(COUNTA('[1]Virus production'!A869)=1,('[1]Virus production'!A869),"")</f>
        <v/>
      </c>
      <c r="J883" s="12"/>
      <c r="L883" s="12"/>
      <c r="M883" s="12"/>
      <c r="N883" s="12"/>
      <c r="O883" s="12"/>
      <c r="P883" s="12"/>
      <c r="Q883" s="12"/>
      <c r="R883" s="12"/>
      <c r="S883" s="12"/>
      <c r="T883" s="12"/>
      <c r="U883" s="12"/>
      <c r="V883" s="12"/>
      <c r="W883" s="12"/>
      <c r="X883" s="12"/>
      <c r="Y883" s="12"/>
      <c r="Z883" s="12"/>
      <c r="AA883" s="12"/>
      <c r="AB883" s="12"/>
      <c r="AD883" s="12"/>
      <c r="AE883" s="12"/>
      <c r="AF883" s="12"/>
      <c r="AG883" s="12"/>
      <c r="AH883" s="12"/>
      <c r="AI883" s="12"/>
      <c r="AJ883" s="12"/>
      <c r="AK883" s="12"/>
      <c r="AL883" s="12"/>
      <c r="AM883" s="12"/>
      <c r="AN883" s="12"/>
      <c r="AO883" s="12"/>
      <c r="AP883" s="12"/>
      <c r="AQ883" s="12"/>
      <c r="AR883" s="12"/>
      <c r="AS883" s="12"/>
      <c r="AT883" s="12"/>
    </row>
    <row r="884" spans="1:46" x14ac:dyDescent="0.25">
      <c r="A884" s="12"/>
      <c r="B884" s="12"/>
      <c r="C884" s="12"/>
      <c r="D884" s="12"/>
      <c r="E884" s="12"/>
      <c r="F884" s="12"/>
      <c r="G884" s="12"/>
      <c r="H884" s="12"/>
      <c r="I884" s="21" t="str">
        <f>IF(COUNTA('[1]Virus production'!A870)=1,('[1]Virus production'!A870),"")</f>
        <v/>
      </c>
      <c r="J884" s="12"/>
      <c r="L884" s="12"/>
      <c r="M884" s="12"/>
      <c r="N884" s="12"/>
      <c r="O884" s="12"/>
      <c r="P884" s="12"/>
      <c r="Q884" s="12"/>
      <c r="R884" s="12"/>
      <c r="S884" s="12"/>
      <c r="T884" s="12"/>
      <c r="U884" s="12"/>
      <c r="V884" s="12"/>
      <c r="W884" s="12"/>
      <c r="X884" s="12"/>
      <c r="Y884" s="12"/>
      <c r="Z884" s="12"/>
      <c r="AA884" s="12"/>
      <c r="AB884" s="12"/>
      <c r="AD884" s="12"/>
      <c r="AE884" s="12"/>
      <c r="AF884" s="12"/>
      <c r="AG884" s="12"/>
      <c r="AH884" s="12"/>
      <c r="AI884" s="12"/>
      <c r="AJ884" s="12"/>
      <c r="AK884" s="12"/>
      <c r="AL884" s="12"/>
      <c r="AM884" s="12"/>
      <c r="AN884" s="12"/>
      <c r="AO884" s="12"/>
      <c r="AP884" s="12"/>
      <c r="AQ884" s="12"/>
      <c r="AR884" s="12"/>
      <c r="AS884" s="12"/>
      <c r="AT884" s="12"/>
    </row>
    <row r="885" spans="1:46" x14ac:dyDescent="0.25">
      <c r="A885" s="12"/>
      <c r="B885" s="12"/>
      <c r="C885" s="12"/>
      <c r="D885" s="12"/>
      <c r="E885" s="12"/>
      <c r="F885" s="12"/>
      <c r="G885" s="12"/>
      <c r="H885" s="12"/>
      <c r="I885" s="21" t="str">
        <f>IF(COUNTA('[1]Virus production'!A871)=1,('[1]Virus production'!A871),"")</f>
        <v/>
      </c>
      <c r="J885" s="12"/>
      <c r="L885" s="12"/>
      <c r="M885" s="12"/>
      <c r="N885" s="12"/>
      <c r="O885" s="12"/>
      <c r="P885" s="12"/>
      <c r="Q885" s="12"/>
      <c r="R885" s="12"/>
      <c r="S885" s="12"/>
      <c r="T885" s="12"/>
      <c r="U885" s="12"/>
      <c r="V885" s="12"/>
      <c r="W885" s="12"/>
      <c r="X885" s="12"/>
      <c r="Y885" s="12"/>
      <c r="Z885" s="12"/>
      <c r="AA885" s="12"/>
      <c r="AB885" s="12"/>
      <c r="AD885" s="12"/>
      <c r="AE885" s="12"/>
      <c r="AF885" s="12"/>
      <c r="AG885" s="12"/>
      <c r="AH885" s="12"/>
      <c r="AI885" s="12"/>
      <c r="AJ885" s="12"/>
      <c r="AK885" s="12"/>
      <c r="AL885" s="12"/>
      <c r="AM885" s="12"/>
      <c r="AN885" s="12"/>
      <c r="AO885" s="12"/>
      <c r="AP885" s="12"/>
      <c r="AQ885" s="12"/>
      <c r="AR885" s="12"/>
      <c r="AS885" s="12"/>
      <c r="AT885" s="12"/>
    </row>
    <row r="886" spans="1:46" x14ac:dyDescent="0.25">
      <c r="A886" s="12"/>
      <c r="B886" s="12"/>
      <c r="C886" s="12"/>
      <c r="D886" s="12"/>
      <c r="E886" s="12"/>
      <c r="F886" s="12"/>
      <c r="G886" s="12"/>
      <c r="H886" s="12"/>
      <c r="I886" s="21" t="str">
        <f>IF(COUNTA('[1]Virus production'!A872)=1,('[1]Virus production'!A872),"")</f>
        <v/>
      </c>
      <c r="J886" s="12"/>
      <c r="L886" s="12"/>
      <c r="M886" s="12"/>
      <c r="N886" s="12"/>
      <c r="O886" s="12"/>
      <c r="P886" s="12"/>
      <c r="Q886" s="12"/>
      <c r="R886" s="12"/>
      <c r="S886" s="12"/>
      <c r="T886" s="12"/>
      <c r="U886" s="12"/>
      <c r="V886" s="12"/>
      <c r="W886" s="12"/>
      <c r="X886" s="12"/>
      <c r="Y886" s="12"/>
      <c r="Z886" s="12"/>
      <c r="AA886" s="12"/>
      <c r="AB886" s="12"/>
      <c r="AD886" s="12"/>
      <c r="AE886" s="12"/>
      <c r="AF886" s="12"/>
      <c r="AG886" s="12"/>
      <c r="AH886" s="12"/>
      <c r="AI886" s="12"/>
      <c r="AJ886" s="12"/>
      <c r="AK886" s="12"/>
      <c r="AL886" s="12"/>
      <c r="AM886" s="12"/>
      <c r="AN886" s="12"/>
      <c r="AO886" s="12"/>
      <c r="AP886" s="12"/>
      <c r="AQ886" s="12"/>
      <c r="AR886" s="12"/>
      <c r="AS886" s="12"/>
      <c r="AT886" s="12"/>
    </row>
    <row r="887" spans="1:46" x14ac:dyDescent="0.25">
      <c r="A887" s="12"/>
      <c r="B887" s="12"/>
      <c r="C887" s="12"/>
      <c r="D887" s="12"/>
      <c r="E887" s="12"/>
      <c r="F887" s="12"/>
      <c r="G887" s="12"/>
      <c r="H887" s="12"/>
      <c r="I887" s="21" t="str">
        <f>IF(COUNTA('[1]Virus production'!A873)=1,('[1]Virus production'!A873),"")</f>
        <v/>
      </c>
      <c r="J887" s="12"/>
      <c r="L887" s="12"/>
      <c r="M887" s="12"/>
      <c r="N887" s="12"/>
      <c r="O887" s="12"/>
      <c r="P887" s="12"/>
      <c r="Q887" s="12"/>
      <c r="R887" s="12"/>
      <c r="S887" s="12"/>
      <c r="T887" s="12"/>
      <c r="U887" s="12"/>
      <c r="V887" s="12"/>
      <c r="W887" s="12"/>
      <c r="X887" s="12"/>
      <c r="Y887" s="12"/>
      <c r="Z887" s="12"/>
      <c r="AA887" s="12"/>
      <c r="AB887" s="12"/>
      <c r="AD887" s="12"/>
      <c r="AE887" s="12"/>
      <c r="AF887" s="12"/>
      <c r="AG887" s="12"/>
      <c r="AH887" s="12"/>
      <c r="AI887" s="12"/>
      <c r="AJ887" s="12"/>
      <c r="AK887" s="12"/>
      <c r="AL887" s="12"/>
      <c r="AM887" s="12"/>
      <c r="AN887" s="12"/>
      <c r="AO887" s="12"/>
      <c r="AP887" s="12"/>
      <c r="AQ887" s="12"/>
      <c r="AR887" s="12"/>
      <c r="AS887" s="12"/>
      <c r="AT887" s="12"/>
    </row>
    <row r="888" spans="1:46" x14ac:dyDescent="0.25">
      <c r="A888" s="12"/>
      <c r="B888" s="12"/>
      <c r="C888" s="12"/>
      <c r="D888" s="12"/>
      <c r="E888" s="12"/>
      <c r="F888" s="12"/>
      <c r="G888" s="12"/>
      <c r="H888" s="12"/>
      <c r="I888" s="21" t="str">
        <f>IF(COUNTA('[1]Virus production'!A874)=1,('[1]Virus production'!A874),"")</f>
        <v/>
      </c>
      <c r="J888" s="12"/>
      <c r="L888" s="12"/>
      <c r="M888" s="12"/>
      <c r="N888" s="12"/>
      <c r="O888" s="12"/>
      <c r="P888" s="12"/>
      <c r="Q888" s="12"/>
      <c r="R888" s="12"/>
      <c r="S888" s="12"/>
      <c r="T888" s="12"/>
      <c r="U888" s="12"/>
      <c r="V888" s="12"/>
      <c r="W888" s="12"/>
      <c r="X888" s="12"/>
      <c r="Y888" s="12"/>
      <c r="Z888" s="12"/>
      <c r="AA888" s="12"/>
      <c r="AB888" s="12"/>
      <c r="AD888" s="12"/>
      <c r="AE888" s="12"/>
      <c r="AF888" s="12"/>
      <c r="AG888" s="12"/>
      <c r="AH888" s="12"/>
      <c r="AI888" s="12"/>
      <c r="AJ888" s="12"/>
      <c r="AK888" s="12"/>
      <c r="AL888" s="12"/>
      <c r="AM888" s="12"/>
      <c r="AN888" s="12"/>
      <c r="AO888" s="12"/>
      <c r="AP888" s="12"/>
      <c r="AQ888" s="12"/>
      <c r="AR888" s="12"/>
      <c r="AS888" s="12"/>
      <c r="AT888" s="12"/>
    </row>
    <row r="889" spans="1:46" x14ac:dyDescent="0.25">
      <c r="A889" s="12"/>
      <c r="B889" s="12"/>
      <c r="C889" s="12"/>
      <c r="D889" s="12"/>
      <c r="E889" s="12"/>
      <c r="F889" s="12"/>
      <c r="G889" s="12"/>
      <c r="H889" s="12"/>
      <c r="I889" s="21" t="str">
        <f>IF(COUNTA('[1]Virus production'!A875)=1,('[1]Virus production'!A875),"")</f>
        <v/>
      </c>
      <c r="J889" s="12"/>
      <c r="L889" s="12"/>
      <c r="M889" s="12"/>
      <c r="N889" s="12"/>
      <c r="O889" s="12"/>
      <c r="P889" s="12"/>
      <c r="Q889" s="12"/>
      <c r="R889" s="12"/>
      <c r="S889" s="12"/>
      <c r="T889" s="12"/>
      <c r="U889" s="12"/>
      <c r="V889" s="12"/>
      <c r="W889" s="12"/>
      <c r="X889" s="12"/>
      <c r="Y889" s="12"/>
      <c r="Z889" s="12"/>
      <c r="AA889" s="12"/>
      <c r="AB889" s="12"/>
      <c r="AD889" s="12"/>
      <c r="AE889" s="12"/>
      <c r="AF889" s="12"/>
      <c r="AG889" s="12"/>
      <c r="AH889" s="12"/>
      <c r="AI889" s="12"/>
      <c r="AJ889" s="12"/>
      <c r="AK889" s="12"/>
      <c r="AL889" s="12"/>
      <c r="AM889" s="12"/>
      <c r="AN889" s="12"/>
      <c r="AO889" s="12"/>
      <c r="AP889" s="12"/>
      <c r="AQ889" s="12"/>
      <c r="AR889" s="12"/>
      <c r="AS889" s="12"/>
      <c r="AT889" s="12"/>
    </row>
    <row r="890" spans="1:46" x14ac:dyDescent="0.25">
      <c r="A890" s="12"/>
      <c r="B890" s="12"/>
      <c r="C890" s="12"/>
      <c r="D890" s="12"/>
      <c r="E890" s="12"/>
      <c r="F890" s="12"/>
      <c r="G890" s="12"/>
      <c r="H890" s="12"/>
      <c r="I890" s="21" t="str">
        <f>IF(COUNTA('[1]Virus production'!A876)=1,('[1]Virus production'!A876),"")</f>
        <v/>
      </c>
      <c r="J890" s="12"/>
      <c r="L890" s="12"/>
      <c r="M890" s="12"/>
      <c r="N890" s="12"/>
      <c r="O890" s="12"/>
      <c r="P890" s="12"/>
      <c r="Q890" s="12"/>
      <c r="R890" s="12"/>
      <c r="S890" s="12"/>
      <c r="T890" s="12"/>
      <c r="U890" s="12"/>
      <c r="V890" s="12"/>
      <c r="W890" s="12"/>
      <c r="X890" s="12"/>
      <c r="Y890" s="12"/>
      <c r="Z890" s="12"/>
      <c r="AA890" s="12"/>
      <c r="AB890" s="12"/>
      <c r="AD890" s="12"/>
      <c r="AE890" s="12"/>
      <c r="AF890" s="12"/>
      <c r="AG890" s="12"/>
      <c r="AH890" s="12"/>
      <c r="AI890" s="12"/>
      <c r="AJ890" s="12"/>
      <c r="AK890" s="12"/>
      <c r="AL890" s="12"/>
      <c r="AM890" s="12"/>
      <c r="AN890" s="12"/>
      <c r="AO890" s="12"/>
      <c r="AP890" s="12"/>
      <c r="AQ890" s="12"/>
      <c r="AR890" s="12"/>
      <c r="AS890" s="12"/>
      <c r="AT890" s="12"/>
    </row>
    <row r="891" spans="1:46" x14ac:dyDescent="0.25">
      <c r="A891" s="12"/>
      <c r="B891" s="12"/>
      <c r="C891" s="12"/>
      <c r="D891" s="12"/>
      <c r="E891" s="12"/>
      <c r="F891" s="12"/>
      <c r="G891" s="12"/>
      <c r="H891" s="12"/>
      <c r="I891" s="21" t="str">
        <f>IF(COUNTA('[1]Virus production'!A877)=1,('[1]Virus production'!A877),"")</f>
        <v/>
      </c>
      <c r="J891" s="12"/>
      <c r="L891" s="12"/>
      <c r="M891" s="12"/>
      <c r="N891" s="12"/>
      <c r="O891" s="12"/>
      <c r="P891" s="12"/>
      <c r="Q891" s="12"/>
      <c r="R891" s="12"/>
      <c r="S891" s="12"/>
      <c r="T891" s="12"/>
      <c r="U891" s="12"/>
      <c r="V891" s="12"/>
      <c r="W891" s="12"/>
      <c r="X891" s="12"/>
      <c r="Y891" s="12"/>
      <c r="Z891" s="12"/>
      <c r="AA891" s="12"/>
      <c r="AB891" s="12"/>
      <c r="AD891" s="12"/>
      <c r="AE891" s="12"/>
      <c r="AF891" s="12"/>
      <c r="AG891" s="12"/>
      <c r="AH891" s="12"/>
      <c r="AI891" s="12"/>
      <c r="AJ891" s="12"/>
      <c r="AK891" s="12"/>
      <c r="AL891" s="12"/>
      <c r="AM891" s="12"/>
      <c r="AN891" s="12"/>
      <c r="AO891" s="12"/>
      <c r="AP891" s="12"/>
      <c r="AQ891" s="12"/>
      <c r="AR891" s="12"/>
      <c r="AS891" s="12"/>
      <c r="AT891" s="12"/>
    </row>
    <row r="892" spans="1:46" x14ac:dyDescent="0.25">
      <c r="A892" s="12"/>
      <c r="B892" s="12"/>
      <c r="C892" s="12"/>
      <c r="D892" s="12"/>
      <c r="E892" s="12"/>
      <c r="F892" s="12"/>
      <c r="G892" s="12"/>
      <c r="H892" s="12"/>
      <c r="I892" s="21" t="str">
        <f>IF(COUNTA('[1]Virus production'!A878)=1,('[1]Virus production'!A878),"")</f>
        <v/>
      </c>
      <c r="J892" s="12"/>
      <c r="L892" s="12"/>
      <c r="M892" s="12"/>
      <c r="N892" s="12"/>
      <c r="O892" s="12"/>
      <c r="P892" s="12"/>
      <c r="Q892" s="12"/>
      <c r="R892" s="12"/>
      <c r="S892" s="12"/>
      <c r="T892" s="12"/>
      <c r="U892" s="12"/>
      <c r="V892" s="12"/>
      <c r="W892" s="12"/>
      <c r="X892" s="12"/>
      <c r="Y892" s="12"/>
      <c r="Z892" s="12"/>
      <c r="AA892" s="12"/>
      <c r="AB892" s="12"/>
      <c r="AD892" s="12"/>
      <c r="AE892" s="12"/>
      <c r="AF892" s="12"/>
      <c r="AG892" s="12"/>
      <c r="AH892" s="12"/>
      <c r="AI892" s="12"/>
      <c r="AJ892" s="12"/>
      <c r="AK892" s="12"/>
      <c r="AL892" s="12"/>
      <c r="AM892" s="12"/>
      <c r="AN892" s="12"/>
      <c r="AO892" s="12"/>
      <c r="AP892" s="12"/>
      <c r="AQ892" s="12"/>
      <c r="AR892" s="12"/>
      <c r="AS892" s="12"/>
      <c r="AT892" s="12"/>
    </row>
    <row r="893" spans="1:46" x14ac:dyDescent="0.25">
      <c r="A893" s="12"/>
      <c r="B893" s="12"/>
      <c r="C893" s="12"/>
      <c r="D893" s="12"/>
      <c r="E893" s="12"/>
      <c r="F893" s="12"/>
      <c r="G893" s="12"/>
      <c r="H893" s="12"/>
      <c r="I893" s="21" t="str">
        <f>IF(COUNTA('[1]Virus production'!A879)=1,('[1]Virus production'!A879),"")</f>
        <v/>
      </c>
      <c r="J893" s="12"/>
      <c r="L893" s="12"/>
      <c r="M893" s="12"/>
      <c r="N893" s="12"/>
      <c r="O893" s="12"/>
      <c r="P893" s="12"/>
      <c r="Q893" s="12"/>
      <c r="R893" s="12"/>
      <c r="S893" s="12"/>
      <c r="T893" s="12"/>
      <c r="U893" s="12"/>
      <c r="V893" s="12"/>
      <c r="W893" s="12"/>
      <c r="X893" s="12"/>
      <c r="Y893" s="12"/>
      <c r="Z893" s="12"/>
      <c r="AA893" s="12"/>
      <c r="AB893" s="12"/>
      <c r="AD893" s="12"/>
      <c r="AE893" s="12"/>
      <c r="AF893" s="12"/>
      <c r="AG893" s="12"/>
      <c r="AH893" s="12"/>
      <c r="AI893" s="12"/>
      <c r="AJ893" s="12"/>
      <c r="AK893" s="12"/>
      <c r="AL893" s="12"/>
      <c r="AM893" s="12"/>
      <c r="AN893" s="12"/>
      <c r="AO893" s="12"/>
      <c r="AP893" s="12"/>
      <c r="AQ893" s="12"/>
      <c r="AR893" s="12"/>
      <c r="AS893" s="12"/>
      <c r="AT893" s="12"/>
    </row>
    <row r="894" spans="1:46" x14ac:dyDescent="0.25">
      <c r="A894" s="12"/>
      <c r="B894" s="12"/>
      <c r="C894" s="12"/>
      <c r="D894" s="12"/>
      <c r="E894" s="12"/>
      <c r="F894" s="12"/>
      <c r="G894" s="12"/>
      <c r="H894" s="12"/>
      <c r="I894" s="21" t="str">
        <f>IF(COUNTA('[1]Virus production'!A880)=1,('[1]Virus production'!A880),"")</f>
        <v/>
      </c>
      <c r="J894" s="12"/>
      <c r="L894" s="12"/>
      <c r="M894" s="12"/>
      <c r="N894" s="12"/>
      <c r="O894" s="12"/>
      <c r="P894" s="12"/>
      <c r="Q894" s="12"/>
      <c r="R894" s="12"/>
      <c r="S894" s="12"/>
      <c r="T894" s="12"/>
      <c r="U894" s="12"/>
      <c r="V894" s="12"/>
      <c r="W894" s="12"/>
      <c r="X894" s="12"/>
      <c r="Y894" s="12"/>
      <c r="Z894" s="12"/>
      <c r="AA894" s="12"/>
      <c r="AB894" s="12"/>
      <c r="AD894" s="12"/>
      <c r="AE894" s="12"/>
      <c r="AF894" s="12"/>
      <c r="AG894" s="12"/>
      <c r="AH894" s="12"/>
      <c r="AI894" s="12"/>
      <c r="AJ894" s="12"/>
      <c r="AK894" s="12"/>
      <c r="AL894" s="12"/>
      <c r="AM894" s="12"/>
      <c r="AN894" s="12"/>
      <c r="AO894" s="12"/>
      <c r="AP894" s="12"/>
      <c r="AQ894" s="12"/>
      <c r="AR894" s="12"/>
      <c r="AS894" s="12"/>
      <c r="AT894" s="12"/>
    </row>
    <row r="895" spans="1:46" x14ac:dyDescent="0.25">
      <c r="A895" s="12"/>
      <c r="B895" s="12"/>
      <c r="C895" s="12"/>
      <c r="D895" s="12"/>
      <c r="E895" s="12"/>
      <c r="F895" s="12"/>
      <c r="G895" s="12"/>
      <c r="H895" s="12"/>
      <c r="I895" s="21" t="str">
        <f>IF(COUNTA('[1]Virus production'!A881)=1,('[1]Virus production'!A881),"")</f>
        <v/>
      </c>
      <c r="J895" s="12"/>
      <c r="L895" s="12"/>
      <c r="M895" s="12"/>
      <c r="N895" s="12"/>
      <c r="O895" s="12"/>
      <c r="P895" s="12"/>
      <c r="Q895" s="12"/>
      <c r="R895" s="12"/>
      <c r="S895" s="12"/>
      <c r="T895" s="12"/>
      <c r="U895" s="12"/>
      <c r="V895" s="12"/>
      <c r="W895" s="12"/>
      <c r="X895" s="12"/>
      <c r="Y895" s="12"/>
      <c r="Z895" s="12"/>
      <c r="AA895" s="12"/>
      <c r="AB895" s="12"/>
      <c r="AD895" s="12"/>
      <c r="AE895" s="12"/>
      <c r="AF895" s="12"/>
      <c r="AG895" s="12"/>
      <c r="AH895" s="12"/>
      <c r="AI895" s="12"/>
      <c r="AJ895" s="12"/>
      <c r="AK895" s="12"/>
      <c r="AL895" s="12"/>
      <c r="AM895" s="12"/>
      <c r="AN895" s="12"/>
      <c r="AO895" s="12"/>
      <c r="AP895" s="12"/>
      <c r="AQ895" s="12"/>
      <c r="AR895" s="12"/>
      <c r="AS895" s="12"/>
      <c r="AT895" s="12"/>
    </row>
    <row r="896" spans="1:46" x14ac:dyDescent="0.25">
      <c r="A896" s="12"/>
      <c r="B896" s="12"/>
      <c r="C896" s="12"/>
      <c r="D896" s="12"/>
      <c r="E896" s="12"/>
      <c r="F896" s="12"/>
      <c r="G896" s="12"/>
      <c r="H896" s="12"/>
      <c r="I896" s="21" t="str">
        <f>IF(COUNTA('[1]Virus production'!A882)=1,('[1]Virus production'!A882),"")</f>
        <v/>
      </c>
      <c r="J896" s="12"/>
      <c r="L896" s="12"/>
      <c r="M896" s="12"/>
      <c r="N896" s="12"/>
      <c r="O896" s="12"/>
      <c r="P896" s="12"/>
      <c r="Q896" s="12"/>
      <c r="R896" s="12"/>
      <c r="S896" s="12"/>
      <c r="T896" s="12"/>
      <c r="U896" s="12"/>
      <c r="V896" s="12"/>
      <c r="W896" s="12"/>
      <c r="X896" s="12"/>
      <c r="Y896" s="12"/>
      <c r="Z896" s="12"/>
      <c r="AA896" s="12"/>
      <c r="AB896" s="12"/>
      <c r="AD896" s="12"/>
      <c r="AE896" s="12"/>
      <c r="AF896" s="12"/>
      <c r="AG896" s="12"/>
      <c r="AH896" s="12"/>
      <c r="AI896" s="12"/>
      <c r="AJ896" s="12"/>
      <c r="AK896" s="12"/>
      <c r="AL896" s="12"/>
      <c r="AM896" s="12"/>
      <c r="AN896" s="12"/>
      <c r="AO896" s="12"/>
      <c r="AP896" s="12"/>
      <c r="AQ896" s="12"/>
      <c r="AR896" s="12"/>
      <c r="AS896" s="12"/>
      <c r="AT896" s="12"/>
    </row>
    <row r="897" spans="1:46" x14ac:dyDescent="0.25">
      <c r="A897" s="12"/>
      <c r="B897" s="12"/>
      <c r="C897" s="12"/>
      <c r="D897" s="12"/>
      <c r="E897" s="12"/>
      <c r="F897" s="12"/>
      <c r="G897" s="12"/>
      <c r="H897" s="12"/>
      <c r="I897" s="21" t="str">
        <f>IF(COUNTA('[1]Virus production'!A883)=1,('[1]Virus production'!A883),"")</f>
        <v/>
      </c>
      <c r="J897" s="12"/>
      <c r="L897" s="12"/>
      <c r="M897" s="12"/>
      <c r="N897" s="12"/>
      <c r="O897" s="12"/>
      <c r="P897" s="12"/>
      <c r="Q897" s="12"/>
      <c r="R897" s="12"/>
      <c r="S897" s="12"/>
      <c r="T897" s="12"/>
      <c r="U897" s="12"/>
      <c r="V897" s="12"/>
      <c r="W897" s="12"/>
      <c r="X897" s="12"/>
      <c r="Y897" s="12"/>
      <c r="Z897" s="12"/>
      <c r="AA897" s="12"/>
      <c r="AB897" s="12"/>
      <c r="AD897" s="12"/>
      <c r="AE897" s="12"/>
      <c r="AF897" s="12"/>
      <c r="AG897" s="12"/>
      <c r="AH897" s="12"/>
      <c r="AI897" s="12"/>
      <c r="AJ897" s="12"/>
      <c r="AK897" s="12"/>
      <c r="AL897" s="12"/>
      <c r="AM897" s="12"/>
      <c r="AN897" s="12"/>
      <c r="AO897" s="12"/>
      <c r="AP897" s="12"/>
      <c r="AQ897" s="12"/>
      <c r="AR897" s="12"/>
      <c r="AS897" s="12"/>
      <c r="AT897" s="12"/>
    </row>
    <row r="898" spans="1:46" x14ac:dyDescent="0.25">
      <c r="A898" s="12"/>
      <c r="B898" s="12"/>
      <c r="C898" s="12"/>
      <c r="D898" s="12"/>
      <c r="E898" s="12"/>
      <c r="F898" s="12"/>
      <c r="G898" s="12"/>
      <c r="H898" s="12"/>
      <c r="I898" s="21" t="str">
        <f>IF(COUNTA('[1]Virus production'!A884)=1,('[1]Virus production'!A884),"")</f>
        <v/>
      </c>
      <c r="J898" s="12"/>
      <c r="L898" s="12"/>
      <c r="M898" s="12"/>
      <c r="N898" s="12"/>
      <c r="O898" s="12"/>
      <c r="P898" s="12"/>
      <c r="Q898" s="12"/>
      <c r="R898" s="12"/>
      <c r="S898" s="12"/>
      <c r="T898" s="12"/>
      <c r="U898" s="12"/>
      <c r="V898" s="12"/>
      <c r="W898" s="12"/>
      <c r="X898" s="12"/>
      <c r="Y898" s="12"/>
      <c r="Z898" s="12"/>
      <c r="AA898" s="12"/>
      <c r="AB898" s="12"/>
      <c r="AD898" s="12"/>
      <c r="AE898" s="12"/>
      <c r="AF898" s="12"/>
      <c r="AG898" s="12"/>
      <c r="AH898" s="12"/>
      <c r="AI898" s="12"/>
      <c r="AJ898" s="12"/>
      <c r="AK898" s="12"/>
      <c r="AL898" s="12"/>
      <c r="AM898" s="12"/>
      <c r="AN898" s="12"/>
      <c r="AO898" s="12"/>
      <c r="AP898" s="12"/>
      <c r="AQ898" s="12"/>
      <c r="AR898" s="12"/>
      <c r="AS898" s="12"/>
      <c r="AT898" s="12"/>
    </row>
    <row r="899" spans="1:46" x14ac:dyDescent="0.25">
      <c r="A899" s="12"/>
      <c r="B899" s="12"/>
      <c r="C899" s="12"/>
      <c r="D899" s="12"/>
      <c r="E899" s="12"/>
      <c r="F899" s="12"/>
      <c r="G899" s="12"/>
      <c r="H899" s="12"/>
      <c r="I899" s="21" t="str">
        <f>IF(COUNTA('[1]Virus production'!A885)=1,('[1]Virus production'!A885),"")</f>
        <v/>
      </c>
      <c r="J899" s="12"/>
      <c r="L899" s="12"/>
      <c r="M899" s="12"/>
      <c r="N899" s="12"/>
      <c r="O899" s="12"/>
      <c r="P899" s="12"/>
      <c r="Q899" s="12"/>
      <c r="R899" s="12"/>
      <c r="S899" s="12"/>
      <c r="T899" s="12"/>
      <c r="U899" s="12"/>
      <c r="V899" s="12"/>
      <c r="W899" s="12"/>
      <c r="X899" s="12"/>
      <c r="Y899" s="12"/>
      <c r="Z899" s="12"/>
      <c r="AA899" s="12"/>
      <c r="AB899" s="12"/>
      <c r="AD899" s="12"/>
      <c r="AE899" s="12"/>
      <c r="AF899" s="12"/>
      <c r="AG899" s="12"/>
      <c r="AH899" s="12"/>
      <c r="AI899" s="12"/>
      <c r="AJ899" s="12"/>
      <c r="AK899" s="12"/>
      <c r="AL899" s="12"/>
      <c r="AM899" s="12"/>
      <c r="AN899" s="12"/>
      <c r="AO899" s="12"/>
      <c r="AP899" s="12"/>
      <c r="AQ899" s="12"/>
      <c r="AR899" s="12"/>
      <c r="AS899" s="12"/>
      <c r="AT899" s="12"/>
    </row>
    <row r="900" spans="1:46" x14ac:dyDescent="0.25">
      <c r="A900" s="12"/>
      <c r="B900" s="12"/>
      <c r="C900" s="12"/>
      <c r="D900" s="12"/>
      <c r="E900" s="12"/>
      <c r="F900" s="12"/>
      <c r="G900" s="12"/>
      <c r="H900" s="12"/>
      <c r="I900" s="12"/>
      <c r="J900" s="12"/>
      <c r="L900" s="12"/>
      <c r="M900" s="12"/>
      <c r="N900" s="12"/>
      <c r="O900" s="12"/>
      <c r="P900" s="12"/>
      <c r="Q900" s="12"/>
      <c r="R900" s="12"/>
      <c r="S900" s="12"/>
      <c r="T900" s="12"/>
      <c r="U900" s="12"/>
      <c r="V900" s="12"/>
      <c r="W900" s="12"/>
      <c r="X900" s="12"/>
      <c r="Y900" s="12"/>
      <c r="Z900" s="12"/>
      <c r="AA900" s="12"/>
      <c r="AB900" s="12"/>
      <c r="AD900" s="12"/>
      <c r="AE900" s="12"/>
      <c r="AF900" s="12"/>
      <c r="AG900" s="12"/>
      <c r="AH900" s="12"/>
      <c r="AI900" s="12"/>
      <c r="AJ900" s="12"/>
      <c r="AK900" s="12"/>
      <c r="AL900" s="12"/>
      <c r="AM900" s="12"/>
      <c r="AN900" s="12"/>
      <c r="AO900" s="12"/>
      <c r="AP900" s="12"/>
      <c r="AQ900" s="12"/>
      <c r="AR900" s="12"/>
      <c r="AS900" s="12"/>
      <c r="AT900" s="12"/>
    </row>
    <row r="901" spans="1:46" x14ac:dyDescent="0.25">
      <c r="A901" s="12"/>
      <c r="B901" s="12"/>
      <c r="C901" s="12"/>
      <c r="D901" s="12"/>
      <c r="E901" s="12"/>
      <c r="F901" s="12"/>
      <c r="G901" s="12"/>
      <c r="H901" s="12"/>
      <c r="I901" s="12"/>
      <c r="J901" s="12"/>
      <c r="L901" s="12"/>
      <c r="M901" s="12"/>
      <c r="N901" s="12"/>
      <c r="O901" s="12"/>
      <c r="P901" s="12"/>
      <c r="Q901" s="12"/>
      <c r="R901" s="12"/>
      <c r="S901" s="12"/>
      <c r="T901" s="12"/>
      <c r="U901" s="12"/>
      <c r="V901" s="12"/>
      <c r="W901" s="12"/>
      <c r="X901" s="12"/>
      <c r="Y901" s="12"/>
      <c r="Z901" s="12"/>
      <c r="AA901" s="12"/>
      <c r="AB901" s="12"/>
      <c r="AD901" s="12"/>
      <c r="AE901" s="12"/>
      <c r="AF901" s="12"/>
      <c r="AG901" s="12"/>
      <c r="AH901" s="12"/>
      <c r="AI901" s="12"/>
      <c r="AJ901" s="12"/>
      <c r="AK901" s="12"/>
      <c r="AL901" s="12"/>
      <c r="AM901" s="12"/>
      <c r="AN901" s="12"/>
      <c r="AO901" s="12"/>
      <c r="AP901" s="12"/>
      <c r="AQ901" s="12"/>
      <c r="AR901" s="12"/>
      <c r="AS901" s="12"/>
      <c r="AT901" s="12"/>
    </row>
    <row r="902" spans="1:46" x14ac:dyDescent="0.25">
      <c r="A902" s="12"/>
      <c r="B902" s="12"/>
      <c r="C902" s="12"/>
      <c r="D902" s="12"/>
      <c r="E902" s="12"/>
      <c r="F902" s="12"/>
      <c r="G902" s="12"/>
      <c r="H902" s="12"/>
      <c r="I902" s="12"/>
      <c r="J902" s="12"/>
      <c r="L902" s="12"/>
      <c r="M902" s="12"/>
      <c r="N902" s="12"/>
      <c r="O902" s="12"/>
      <c r="P902" s="12"/>
      <c r="Q902" s="12"/>
      <c r="R902" s="12"/>
      <c r="S902" s="12"/>
      <c r="T902" s="12"/>
      <c r="U902" s="12"/>
      <c r="V902" s="12"/>
      <c r="W902" s="12"/>
      <c r="X902" s="12"/>
      <c r="Y902" s="12"/>
      <c r="Z902" s="12"/>
      <c r="AA902" s="12"/>
      <c r="AB902" s="12"/>
      <c r="AD902" s="12"/>
      <c r="AE902" s="12"/>
      <c r="AF902" s="12"/>
      <c r="AG902" s="12"/>
      <c r="AH902" s="12"/>
      <c r="AI902" s="12"/>
      <c r="AJ902" s="12"/>
      <c r="AK902" s="12"/>
      <c r="AL902" s="12"/>
      <c r="AM902" s="12"/>
      <c r="AN902" s="12"/>
      <c r="AO902" s="12"/>
      <c r="AP902" s="12"/>
      <c r="AQ902" s="12"/>
      <c r="AR902" s="12"/>
      <c r="AS902" s="12"/>
      <c r="AT902" s="12"/>
    </row>
    <row r="903" spans="1:46" x14ac:dyDescent="0.25">
      <c r="A903" s="12"/>
      <c r="B903" s="12"/>
      <c r="C903" s="12"/>
      <c r="D903" s="12"/>
      <c r="E903" s="12"/>
      <c r="F903" s="12"/>
      <c r="G903" s="12"/>
      <c r="H903" s="12"/>
      <c r="I903" s="12"/>
      <c r="J903" s="12"/>
      <c r="L903" s="12"/>
      <c r="M903" s="12"/>
      <c r="N903" s="12"/>
      <c r="O903" s="12"/>
      <c r="P903" s="12"/>
      <c r="Q903" s="12"/>
      <c r="R903" s="12"/>
      <c r="S903" s="12"/>
      <c r="T903" s="12"/>
      <c r="U903" s="12"/>
      <c r="V903" s="12"/>
      <c r="W903" s="12"/>
      <c r="X903" s="12"/>
      <c r="Y903" s="12"/>
      <c r="Z903" s="12"/>
      <c r="AA903" s="12"/>
      <c r="AB903" s="12"/>
      <c r="AD903" s="12"/>
      <c r="AE903" s="12"/>
      <c r="AF903" s="12"/>
      <c r="AG903" s="12"/>
      <c r="AH903" s="12"/>
      <c r="AI903" s="12"/>
      <c r="AJ903" s="12"/>
      <c r="AK903" s="12"/>
      <c r="AL903" s="12"/>
      <c r="AM903" s="12"/>
      <c r="AN903" s="12"/>
      <c r="AO903" s="12"/>
      <c r="AP903" s="12"/>
      <c r="AQ903" s="12"/>
      <c r="AR903" s="12"/>
      <c r="AS903" s="12"/>
      <c r="AT903" s="12"/>
    </row>
    <row r="904" spans="1:46" x14ac:dyDescent="0.25">
      <c r="A904" s="12"/>
      <c r="B904" s="12"/>
      <c r="C904" s="12"/>
      <c r="D904" s="12"/>
      <c r="E904" s="12"/>
      <c r="F904" s="12"/>
      <c r="G904" s="12"/>
      <c r="H904" s="12"/>
      <c r="I904" s="12"/>
      <c r="J904" s="12"/>
      <c r="L904" s="12"/>
      <c r="M904" s="12"/>
      <c r="N904" s="12"/>
      <c r="O904" s="12"/>
      <c r="P904" s="12"/>
      <c r="Q904" s="12"/>
      <c r="R904" s="12"/>
      <c r="S904" s="12"/>
      <c r="T904" s="12"/>
      <c r="U904" s="12"/>
      <c r="V904" s="12"/>
      <c r="W904" s="12"/>
      <c r="X904" s="12"/>
      <c r="Y904" s="12"/>
      <c r="Z904" s="12"/>
      <c r="AA904" s="12"/>
      <c r="AB904" s="12"/>
      <c r="AD904" s="12"/>
      <c r="AE904" s="12"/>
      <c r="AF904" s="12"/>
      <c r="AG904" s="12"/>
      <c r="AH904" s="12"/>
      <c r="AI904" s="12"/>
      <c r="AJ904" s="12"/>
      <c r="AK904" s="12"/>
      <c r="AL904" s="12"/>
      <c r="AM904" s="12"/>
      <c r="AN904" s="12"/>
      <c r="AO904" s="12"/>
      <c r="AP904" s="12"/>
      <c r="AQ904" s="12"/>
      <c r="AR904" s="12"/>
      <c r="AS904" s="12"/>
      <c r="AT904" s="12"/>
    </row>
    <row r="905" spans="1:46" x14ac:dyDescent="0.25">
      <c r="A905" s="12"/>
      <c r="B905" s="12"/>
      <c r="C905" s="12"/>
      <c r="D905" s="12"/>
      <c r="E905" s="12"/>
      <c r="F905" s="12"/>
      <c r="G905" s="12"/>
      <c r="H905" s="12"/>
      <c r="I905" s="12"/>
      <c r="J905" s="12"/>
      <c r="L905" s="12"/>
      <c r="M905" s="12"/>
      <c r="N905" s="12"/>
      <c r="O905" s="12"/>
      <c r="P905" s="12"/>
      <c r="Q905" s="12"/>
      <c r="R905" s="12"/>
      <c r="S905" s="12"/>
      <c r="T905" s="12"/>
      <c r="U905" s="12"/>
      <c r="V905" s="12"/>
      <c r="W905" s="12"/>
      <c r="X905" s="12"/>
      <c r="Y905" s="12"/>
      <c r="Z905" s="12"/>
      <c r="AA905" s="12"/>
      <c r="AB905" s="12"/>
      <c r="AD905" s="12"/>
      <c r="AE905" s="12"/>
      <c r="AF905" s="12"/>
      <c r="AG905" s="12"/>
      <c r="AH905" s="12"/>
      <c r="AI905" s="12"/>
      <c r="AJ905" s="12"/>
      <c r="AK905" s="12"/>
      <c r="AL905" s="12"/>
      <c r="AM905" s="12"/>
      <c r="AN905" s="12"/>
      <c r="AO905" s="12"/>
      <c r="AP905" s="12"/>
      <c r="AQ905" s="12"/>
      <c r="AR905" s="12"/>
      <c r="AS905" s="12"/>
      <c r="AT905" s="12"/>
    </row>
    <row r="906" spans="1:46" x14ac:dyDescent="0.25">
      <c r="A906" s="12"/>
      <c r="B906" s="12"/>
      <c r="C906" s="12"/>
      <c r="D906" s="12"/>
      <c r="E906" s="12"/>
      <c r="F906" s="12"/>
      <c r="G906" s="12"/>
      <c r="H906" s="12"/>
      <c r="I906" s="12"/>
      <c r="J906" s="12"/>
      <c r="L906" s="12"/>
      <c r="M906" s="12"/>
      <c r="N906" s="12"/>
      <c r="O906" s="12"/>
      <c r="P906" s="12"/>
      <c r="Q906" s="12"/>
      <c r="R906" s="12"/>
      <c r="S906" s="12"/>
      <c r="T906" s="12"/>
      <c r="U906" s="12"/>
      <c r="V906" s="12"/>
      <c r="W906" s="12"/>
      <c r="X906" s="12"/>
      <c r="Y906" s="12"/>
      <c r="Z906" s="12"/>
      <c r="AA906" s="12"/>
      <c r="AB906" s="12"/>
      <c r="AD906" s="12"/>
      <c r="AE906" s="12"/>
      <c r="AF906" s="12"/>
      <c r="AG906" s="12"/>
      <c r="AH906" s="12"/>
      <c r="AI906" s="12"/>
      <c r="AJ906" s="12"/>
      <c r="AK906" s="12"/>
      <c r="AL906" s="12"/>
      <c r="AM906" s="12"/>
      <c r="AN906" s="12"/>
      <c r="AO906" s="12"/>
      <c r="AP906" s="12"/>
      <c r="AQ906" s="12"/>
      <c r="AR906" s="12"/>
      <c r="AS906" s="12"/>
      <c r="AT906" s="12"/>
    </row>
    <row r="907" spans="1:46" x14ac:dyDescent="0.25">
      <c r="A907" s="12"/>
      <c r="B907" s="12"/>
      <c r="C907" s="12"/>
      <c r="D907" s="12"/>
      <c r="E907" s="12"/>
      <c r="F907" s="12"/>
      <c r="G907" s="12"/>
      <c r="H907" s="12"/>
      <c r="I907" s="12"/>
      <c r="J907" s="12"/>
      <c r="L907" s="12"/>
      <c r="M907" s="12"/>
      <c r="N907" s="12"/>
      <c r="O907" s="12"/>
      <c r="P907" s="12"/>
      <c r="Q907" s="12"/>
      <c r="R907" s="12"/>
      <c r="S907" s="12"/>
      <c r="T907" s="12"/>
      <c r="U907" s="12"/>
      <c r="V907" s="12"/>
      <c r="W907" s="12"/>
      <c r="X907" s="12"/>
      <c r="Y907" s="12"/>
      <c r="Z907" s="12"/>
      <c r="AA907" s="12"/>
      <c r="AB907" s="12"/>
      <c r="AD907" s="12"/>
      <c r="AE907" s="12"/>
      <c r="AF907" s="12"/>
      <c r="AG907" s="12"/>
      <c r="AH907" s="12"/>
      <c r="AI907" s="12"/>
      <c r="AJ907" s="12"/>
      <c r="AK907" s="12"/>
      <c r="AL907" s="12"/>
      <c r="AM907" s="12"/>
      <c r="AN907" s="12"/>
      <c r="AO907" s="12"/>
      <c r="AP907" s="12"/>
      <c r="AQ907" s="12"/>
      <c r="AR907" s="12"/>
      <c r="AS907" s="12"/>
      <c r="AT907" s="12"/>
    </row>
    <row r="908" spans="1:46" x14ac:dyDescent="0.25">
      <c r="A908" s="12"/>
      <c r="B908" s="12"/>
      <c r="C908" s="12"/>
      <c r="D908" s="12"/>
      <c r="E908" s="12"/>
      <c r="F908" s="12"/>
      <c r="G908" s="12"/>
      <c r="H908" s="12"/>
      <c r="I908" s="12"/>
      <c r="J908" s="12"/>
      <c r="L908" s="12"/>
      <c r="M908" s="12"/>
      <c r="N908" s="12"/>
      <c r="O908" s="12"/>
      <c r="P908" s="12"/>
      <c r="Q908" s="12"/>
      <c r="R908" s="12"/>
      <c r="S908" s="12"/>
      <c r="T908" s="12"/>
      <c r="U908" s="12"/>
      <c r="V908" s="12"/>
      <c r="W908" s="12"/>
      <c r="X908" s="12"/>
      <c r="Y908" s="12"/>
      <c r="Z908" s="12"/>
      <c r="AA908" s="12"/>
      <c r="AB908" s="12"/>
      <c r="AD908" s="12"/>
      <c r="AE908" s="12"/>
      <c r="AF908" s="12"/>
      <c r="AG908" s="12"/>
      <c r="AH908" s="12"/>
      <c r="AI908" s="12"/>
      <c r="AJ908" s="12"/>
      <c r="AK908" s="12"/>
      <c r="AL908" s="12"/>
      <c r="AM908" s="12"/>
      <c r="AN908" s="12"/>
      <c r="AO908" s="12"/>
      <c r="AP908" s="12"/>
      <c r="AQ908" s="12"/>
      <c r="AR908" s="12"/>
      <c r="AS908" s="12"/>
      <c r="AT908" s="12"/>
    </row>
    <row r="909" spans="1:46" x14ac:dyDescent="0.25">
      <c r="A909" s="12"/>
      <c r="B909" s="12"/>
      <c r="C909" s="12"/>
      <c r="D909" s="12"/>
      <c r="E909" s="12"/>
      <c r="F909" s="12"/>
      <c r="G909" s="12"/>
      <c r="H909" s="12"/>
      <c r="I909" s="12"/>
      <c r="J909" s="12"/>
      <c r="L909" s="12"/>
      <c r="M909" s="12"/>
      <c r="N909" s="12"/>
      <c r="O909" s="12"/>
      <c r="P909" s="12"/>
      <c r="Q909" s="12"/>
      <c r="R909" s="12"/>
      <c r="S909" s="12"/>
      <c r="T909" s="12"/>
      <c r="U909" s="12"/>
      <c r="V909" s="12"/>
      <c r="W909" s="12"/>
      <c r="X909" s="12"/>
      <c r="Y909" s="12"/>
      <c r="Z909" s="12"/>
      <c r="AA909" s="12"/>
      <c r="AB909" s="12"/>
      <c r="AD909" s="12"/>
      <c r="AE909" s="12"/>
      <c r="AF909" s="12"/>
      <c r="AG909" s="12"/>
      <c r="AH909" s="12"/>
      <c r="AI909" s="12"/>
      <c r="AJ909" s="12"/>
      <c r="AK909" s="12"/>
      <c r="AL909" s="12"/>
      <c r="AM909" s="12"/>
      <c r="AN909" s="12"/>
      <c r="AO909" s="12"/>
      <c r="AP909" s="12"/>
      <c r="AQ909" s="12"/>
      <c r="AR909" s="12"/>
      <c r="AS909" s="12"/>
      <c r="AT909" s="12"/>
    </row>
    <row r="910" spans="1:46" x14ac:dyDescent="0.25">
      <c r="A910" s="12"/>
      <c r="B910" s="12"/>
      <c r="C910" s="12"/>
      <c r="D910" s="12"/>
      <c r="E910" s="12"/>
      <c r="F910" s="12"/>
      <c r="G910" s="12"/>
      <c r="H910" s="12"/>
      <c r="I910" s="12"/>
      <c r="J910" s="12"/>
      <c r="L910" s="12"/>
      <c r="M910" s="12"/>
      <c r="N910" s="12"/>
      <c r="O910" s="12"/>
      <c r="P910" s="12"/>
      <c r="Q910" s="12"/>
      <c r="R910" s="12"/>
      <c r="S910" s="12"/>
      <c r="T910" s="12"/>
      <c r="U910" s="12"/>
      <c r="V910" s="12"/>
      <c r="W910" s="12"/>
      <c r="X910" s="12"/>
      <c r="Y910" s="12"/>
      <c r="Z910" s="12"/>
      <c r="AA910" s="12"/>
      <c r="AB910" s="12"/>
      <c r="AD910" s="12"/>
      <c r="AE910" s="12"/>
      <c r="AF910" s="12"/>
      <c r="AG910" s="12"/>
      <c r="AH910" s="12"/>
      <c r="AI910" s="12"/>
      <c r="AJ910" s="12"/>
      <c r="AK910" s="12"/>
      <c r="AL910" s="12"/>
      <c r="AM910" s="12"/>
      <c r="AN910" s="12"/>
      <c r="AO910" s="12"/>
      <c r="AP910" s="12"/>
      <c r="AQ910" s="12"/>
      <c r="AR910" s="12"/>
      <c r="AS910" s="12"/>
      <c r="AT910" s="12"/>
    </row>
    <row r="911" spans="1:46" x14ac:dyDescent="0.25">
      <c r="A911" s="12"/>
      <c r="B911" s="12"/>
      <c r="C911" s="12"/>
      <c r="D911" s="12"/>
      <c r="E911" s="12"/>
      <c r="F911" s="12"/>
      <c r="G911" s="12"/>
      <c r="H911" s="12"/>
      <c r="I911" s="12"/>
      <c r="J911" s="12"/>
      <c r="L911" s="12"/>
      <c r="M911" s="12"/>
      <c r="N911" s="12"/>
      <c r="O911" s="12"/>
      <c r="P911" s="12"/>
      <c r="Q911" s="12"/>
      <c r="R911" s="12"/>
      <c r="S911" s="12"/>
      <c r="T911" s="12"/>
      <c r="U911" s="12"/>
      <c r="V911" s="12"/>
      <c r="W911" s="12"/>
      <c r="X911" s="12"/>
      <c r="Y911" s="12"/>
      <c r="Z911" s="12"/>
      <c r="AA911" s="12"/>
      <c r="AB911" s="12"/>
      <c r="AD911" s="12"/>
      <c r="AE911" s="12"/>
      <c r="AF911" s="12"/>
      <c r="AG911" s="12"/>
      <c r="AH911" s="12"/>
      <c r="AI911" s="12"/>
      <c r="AJ911" s="12"/>
      <c r="AK911" s="12"/>
      <c r="AL911" s="12"/>
      <c r="AM911" s="12"/>
      <c r="AN911" s="12"/>
      <c r="AO911" s="12"/>
      <c r="AP911" s="12"/>
      <c r="AQ911" s="12"/>
      <c r="AR911" s="12"/>
      <c r="AS911" s="12"/>
      <c r="AT911" s="12"/>
    </row>
    <row r="912" spans="1:46" x14ac:dyDescent="0.25">
      <c r="A912" s="12"/>
      <c r="B912" s="12"/>
      <c r="C912" s="12"/>
      <c r="D912" s="12"/>
      <c r="E912" s="12"/>
      <c r="F912" s="12"/>
      <c r="G912" s="12"/>
      <c r="H912" s="12"/>
      <c r="I912" s="12"/>
      <c r="J912" s="12"/>
      <c r="L912" s="12"/>
      <c r="M912" s="12"/>
      <c r="N912" s="12"/>
      <c r="O912" s="12"/>
      <c r="P912" s="12"/>
      <c r="Q912" s="12"/>
      <c r="R912" s="12"/>
      <c r="S912" s="12"/>
      <c r="T912" s="12"/>
      <c r="U912" s="12"/>
      <c r="V912" s="12"/>
      <c r="W912" s="12"/>
      <c r="X912" s="12"/>
      <c r="Y912" s="12"/>
      <c r="Z912" s="12"/>
      <c r="AA912" s="12"/>
      <c r="AB912" s="12"/>
      <c r="AD912" s="12"/>
      <c r="AE912" s="12"/>
      <c r="AF912" s="12"/>
      <c r="AG912" s="12"/>
      <c r="AH912" s="12"/>
      <c r="AI912" s="12"/>
      <c r="AJ912" s="12"/>
      <c r="AK912" s="12"/>
      <c r="AL912" s="12"/>
      <c r="AM912" s="12"/>
      <c r="AN912" s="12"/>
      <c r="AO912" s="12"/>
      <c r="AP912" s="12"/>
      <c r="AQ912" s="12"/>
      <c r="AR912" s="12"/>
      <c r="AS912" s="12"/>
      <c r="AT912" s="12"/>
    </row>
    <row r="913" spans="1:46" x14ac:dyDescent="0.25">
      <c r="A913" s="12"/>
      <c r="B913" s="12"/>
      <c r="C913" s="12"/>
      <c r="D913" s="12"/>
      <c r="E913" s="12"/>
      <c r="F913" s="12"/>
      <c r="G913" s="12"/>
      <c r="H913" s="12"/>
      <c r="I913" s="12"/>
      <c r="J913" s="12"/>
      <c r="L913" s="12"/>
      <c r="M913" s="12"/>
      <c r="N913" s="12"/>
      <c r="O913" s="12"/>
      <c r="P913" s="12"/>
      <c r="Q913" s="12"/>
      <c r="R913" s="12"/>
      <c r="S913" s="12"/>
      <c r="T913" s="12"/>
      <c r="U913" s="12"/>
      <c r="V913" s="12"/>
      <c r="W913" s="12"/>
      <c r="X913" s="12"/>
      <c r="Y913" s="12"/>
      <c r="Z913" s="12"/>
      <c r="AA913" s="12"/>
      <c r="AB913" s="12"/>
      <c r="AD913" s="12"/>
      <c r="AE913" s="12"/>
      <c r="AF913" s="12"/>
      <c r="AG913" s="12"/>
      <c r="AH913" s="12"/>
      <c r="AI913" s="12"/>
      <c r="AJ913" s="12"/>
      <c r="AK913" s="12"/>
      <c r="AL913" s="12"/>
      <c r="AM913" s="12"/>
      <c r="AN913" s="12"/>
      <c r="AO913" s="12"/>
      <c r="AP913" s="12"/>
      <c r="AQ913" s="12"/>
      <c r="AR913" s="12"/>
      <c r="AS913" s="12"/>
      <c r="AT913" s="12"/>
    </row>
    <row r="914" spans="1:46" x14ac:dyDescent="0.25">
      <c r="A914" s="12"/>
      <c r="B914" s="12"/>
      <c r="C914" s="12"/>
      <c r="D914" s="12"/>
      <c r="E914" s="12"/>
      <c r="F914" s="12"/>
      <c r="G914" s="12"/>
      <c r="H914" s="12"/>
      <c r="I914" s="12"/>
      <c r="J914" s="12"/>
      <c r="L914" s="12"/>
      <c r="M914" s="12"/>
      <c r="N914" s="12"/>
      <c r="O914" s="12"/>
      <c r="P914" s="12"/>
      <c r="Q914" s="12"/>
      <c r="R914" s="12"/>
      <c r="S914" s="12"/>
      <c r="T914" s="12"/>
      <c r="U914" s="12"/>
      <c r="V914" s="12"/>
      <c r="W914" s="12"/>
      <c r="X914" s="12"/>
      <c r="Y914" s="12"/>
      <c r="Z914" s="12"/>
      <c r="AA914" s="12"/>
      <c r="AB914" s="12"/>
      <c r="AD914" s="12"/>
      <c r="AE914" s="12"/>
      <c r="AF914" s="12"/>
      <c r="AG914" s="12"/>
      <c r="AH914" s="12"/>
      <c r="AI914" s="12"/>
      <c r="AJ914" s="12"/>
      <c r="AK914" s="12"/>
      <c r="AL914" s="12"/>
      <c r="AM914" s="12"/>
      <c r="AN914" s="12"/>
      <c r="AO914" s="12"/>
      <c r="AP914" s="12"/>
      <c r="AQ914" s="12"/>
      <c r="AR914" s="12"/>
      <c r="AS914" s="12"/>
      <c r="AT914" s="12"/>
    </row>
    <row r="915" spans="1:46" x14ac:dyDescent="0.25">
      <c r="A915" s="12"/>
      <c r="B915" s="12"/>
      <c r="C915" s="12"/>
      <c r="D915" s="12"/>
      <c r="E915" s="12"/>
      <c r="F915" s="12"/>
      <c r="G915" s="12"/>
      <c r="H915" s="12"/>
      <c r="I915" s="12"/>
      <c r="J915" s="12"/>
      <c r="L915" s="12"/>
      <c r="M915" s="12"/>
      <c r="N915" s="12"/>
      <c r="O915" s="12"/>
      <c r="P915" s="12"/>
      <c r="Q915" s="12"/>
      <c r="R915" s="12"/>
      <c r="S915" s="12"/>
      <c r="T915" s="12"/>
      <c r="U915" s="12"/>
      <c r="V915" s="12"/>
      <c r="W915" s="12"/>
      <c r="X915" s="12"/>
      <c r="Y915" s="12"/>
      <c r="Z915" s="12"/>
      <c r="AA915" s="12"/>
      <c r="AB915" s="12"/>
      <c r="AD915" s="12"/>
      <c r="AE915" s="12"/>
      <c r="AF915" s="12"/>
      <c r="AG915" s="12"/>
      <c r="AH915" s="12"/>
      <c r="AI915" s="12"/>
      <c r="AJ915" s="12"/>
      <c r="AK915" s="12"/>
      <c r="AL915" s="12"/>
      <c r="AM915" s="12"/>
      <c r="AN915" s="12"/>
      <c r="AO915" s="12"/>
      <c r="AP915" s="12"/>
      <c r="AQ915" s="12"/>
      <c r="AR915" s="12"/>
      <c r="AS915" s="12"/>
      <c r="AT915" s="12"/>
    </row>
    <row r="916" spans="1:46" x14ac:dyDescent="0.25">
      <c r="A916" s="12"/>
      <c r="B916" s="12"/>
      <c r="C916" s="12"/>
      <c r="D916" s="12"/>
      <c r="E916" s="12"/>
      <c r="F916" s="12"/>
      <c r="G916" s="12"/>
      <c r="H916" s="12"/>
      <c r="I916" s="12"/>
      <c r="J916" s="12"/>
      <c r="L916" s="12"/>
      <c r="M916" s="12"/>
      <c r="N916" s="12"/>
      <c r="O916" s="12"/>
      <c r="P916" s="12"/>
      <c r="Q916" s="12"/>
      <c r="R916" s="12"/>
      <c r="S916" s="12"/>
      <c r="T916" s="12"/>
      <c r="U916" s="12"/>
      <c r="V916" s="12"/>
      <c r="W916" s="12"/>
      <c r="X916" s="12"/>
      <c r="Y916" s="12"/>
      <c r="Z916" s="12"/>
      <c r="AA916" s="12"/>
      <c r="AB916" s="12"/>
      <c r="AD916" s="12"/>
      <c r="AE916" s="12"/>
      <c r="AF916" s="12"/>
      <c r="AG916" s="12"/>
      <c r="AH916" s="12"/>
      <c r="AI916" s="12"/>
      <c r="AJ916" s="12"/>
      <c r="AK916" s="12"/>
      <c r="AL916" s="12"/>
      <c r="AM916" s="12"/>
      <c r="AN916" s="12"/>
      <c r="AO916" s="12"/>
      <c r="AP916" s="12"/>
      <c r="AQ916" s="12"/>
      <c r="AR916" s="12"/>
      <c r="AS916" s="12"/>
      <c r="AT916" s="12"/>
    </row>
    <row r="917" spans="1:46" x14ac:dyDescent="0.25">
      <c r="A917" s="12"/>
      <c r="B917" s="12"/>
      <c r="C917" s="12"/>
      <c r="D917" s="12"/>
      <c r="E917" s="12"/>
      <c r="F917" s="12"/>
      <c r="G917" s="12"/>
      <c r="H917" s="12"/>
      <c r="I917" s="12"/>
      <c r="J917" s="12"/>
      <c r="L917" s="12"/>
      <c r="M917" s="12"/>
      <c r="N917" s="12"/>
      <c r="O917" s="12"/>
      <c r="P917" s="12"/>
      <c r="Q917" s="12"/>
      <c r="R917" s="12"/>
      <c r="S917" s="12"/>
      <c r="T917" s="12"/>
      <c r="U917" s="12"/>
      <c r="V917" s="12"/>
      <c r="W917" s="12"/>
      <c r="X917" s="12"/>
      <c r="Y917" s="12"/>
      <c r="Z917" s="12"/>
      <c r="AA917" s="12"/>
      <c r="AB917" s="12"/>
      <c r="AD917" s="12"/>
      <c r="AE917" s="12"/>
      <c r="AF917" s="12"/>
      <c r="AG917" s="12"/>
      <c r="AH917" s="12"/>
      <c r="AI917" s="12"/>
      <c r="AJ917" s="12"/>
      <c r="AK917" s="12"/>
      <c r="AL917" s="12"/>
      <c r="AM917" s="12"/>
      <c r="AN917" s="12"/>
      <c r="AO917" s="12"/>
      <c r="AP917" s="12"/>
      <c r="AQ917" s="12"/>
      <c r="AR917" s="12"/>
      <c r="AS917" s="12"/>
      <c r="AT917" s="12"/>
    </row>
    <row r="918" spans="1:46" x14ac:dyDescent="0.25">
      <c r="A918" s="12"/>
      <c r="B918" s="12"/>
      <c r="C918" s="12"/>
      <c r="D918" s="12"/>
      <c r="E918" s="12"/>
      <c r="F918" s="12"/>
      <c r="G918" s="12"/>
      <c r="H918" s="12"/>
      <c r="I918" s="12"/>
      <c r="J918" s="12"/>
      <c r="L918" s="12"/>
      <c r="M918" s="12"/>
      <c r="N918" s="12"/>
      <c r="O918" s="12"/>
      <c r="P918" s="12"/>
      <c r="Q918" s="12"/>
      <c r="R918" s="12"/>
      <c r="S918" s="12"/>
      <c r="T918" s="12"/>
      <c r="U918" s="12"/>
      <c r="V918" s="12"/>
      <c r="W918" s="12"/>
      <c r="X918" s="12"/>
      <c r="Y918" s="12"/>
      <c r="Z918" s="12"/>
      <c r="AA918" s="12"/>
      <c r="AB918" s="12"/>
      <c r="AD918" s="12"/>
      <c r="AE918" s="12"/>
      <c r="AF918" s="12"/>
      <c r="AG918" s="12"/>
      <c r="AH918" s="12"/>
      <c r="AI918" s="12"/>
      <c r="AJ918" s="12"/>
      <c r="AK918" s="12"/>
      <c r="AL918" s="12"/>
      <c r="AM918" s="12"/>
      <c r="AN918" s="12"/>
      <c r="AO918" s="12"/>
      <c r="AP918" s="12"/>
      <c r="AQ918" s="12"/>
      <c r="AR918" s="12"/>
      <c r="AS918" s="12"/>
      <c r="AT918" s="12"/>
    </row>
    <row r="919" spans="1:46" x14ac:dyDescent="0.25">
      <c r="A919" s="12"/>
      <c r="B919" s="12"/>
      <c r="C919" s="12"/>
      <c r="D919" s="12"/>
      <c r="E919" s="12"/>
      <c r="F919" s="12"/>
      <c r="G919" s="12"/>
      <c r="H919" s="12"/>
      <c r="I919" s="12"/>
      <c r="J919" s="12"/>
      <c r="L919" s="12"/>
      <c r="M919" s="12"/>
      <c r="N919" s="12"/>
      <c r="O919" s="12"/>
      <c r="P919" s="12"/>
      <c r="Q919" s="12"/>
      <c r="R919" s="12"/>
      <c r="S919" s="12"/>
      <c r="T919" s="12"/>
      <c r="U919" s="12"/>
      <c r="V919" s="12"/>
      <c r="W919" s="12"/>
      <c r="X919" s="12"/>
      <c r="Y919" s="12"/>
      <c r="Z919" s="12"/>
      <c r="AA919" s="12"/>
      <c r="AB919" s="12"/>
      <c r="AD919" s="12"/>
      <c r="AE919" s="12"/>
      <c r="AF919" s="12"/>
      <c r="AG919" s="12"/>
      <c r="AH919" s="12"/>
      <c r="AI919" s="12"/>
      <c r="AJ919" s="12"/>
      <c r="AK919" s="12"/>
      <c r="AL919" s="12"/>
      <c r="AM919" s="12"/>
      <c r="AN919" s="12"/>
      <c r="AO919" s="12"/>
      <c r="AP919" s="12"/>
      <c r="AQ919" s="12"/>
      <c r="AR919" s="12"/>
      <c r="AS919" s="12"/>
      <c r="AT919" s="12"/>
    </row>
    <row r="920" spans="1:46" x14ac:dyDescent="0.25">
      <c r="A920" s="12"/>
      <c r="B920" s="12"/>
      <c r="C920" s="12"/>
      <c r="D920" s="12"/>
      <c r="E920" s="12"/>
      <c r="F920" s="12"/>
      <c r="G920" s="12"/>
      <c r="H920" s="12"/>
      <c r="I920" s="12"/>
      <c r="J920" s="12"/>
      <c r="L920" s="12"/>
      <c r="M920" s="12"/>
      <c r="N920" s="12"/>
      <c r="O920" s="12"/>
      <c r="P920" s="12"/>
      <c r="Q920" s="12"/>
      <c r="R920" s="12"/>
      <c r="S920" s="12"/>
      <c r="T920" s="12"/>
      <c r="U920" s="12"/>
      <c r="V920" s="12"/>
      <c r="W920" s="12"/>
      <c r="X920" s="12"/>
      <c r="Y920" s="12"/>
      <c r="Z920" s="12"/>
      <c r="AA920" s="12"/>
      <c r="AB920" s="12"/>
      <c r="AD920" s="12"/>
      <c r="AE920" s="12"/>
      <c r="AF920" s="12"/>
      <c r="AG920" s="12"/>
      <c r="AH920" s="12"/>
      <c r="AI920" s="12"/>
      <c r="AJ920" s="12"/>
      <c r="AK920" s="12"/>
      <c r="AL920" s="12"/>
      <c r="AM920" s="12"/>
      <c r="AN920" s="12"/>
      <c r="AO920" s="12"/>
      <c r="AP920" s="12"/>
      <c r="AQ920" s="12"/>
      <c r="AR920" s="12"/>
      <c r="AS920" s="12"/>
      <c r="AT920" s="12"/>
    </row>
    <row r="921" spans="1:46" x14ac:dyDescent="0.25">
      <c r="A921" s="12"/>
      <c r="B921" s="12"/>
      <c r="C921" s="12"/>
      <c r="D921" s="12"/>
      <c r="E921" s="12"/>
      <c r="F921" s="12"/>
      <c r="G921" s="12"/>
      <c r="H921" s="12"/>
      <c r="I921" s="12"/>
      <c r="J921" s="12"/>
      <c r="L921" s="12"/>
      <c r="M921" s="12"/>
      <c r="N921" s="12"/>
      <c r="O921" s="12"/>
      <c r="P921" s="12"/>
      <c r="Q921" s="12"/>
      <c r="R921" s="12"/>
      <c r="S921" s="12"/>
      <c r="T921" s="12"/>
      <c r="U921" s="12"/>
      <c r="V921" s="12"/>
      <c r="W921" s="12"/>
      <c r="X921" s="12"/>
      <c r="Y921" s="12"/>
      <c r="Z921" s="12"/>
      <c r="AA921" s="12"/>
      <c r="AB921" s="12"/>
      <c r="AD921" s="12"/>
      <c r="AE921" s="12"/>
      <c r="AF921" s="12"/>
      <c r="AG921" s="12"/>
      <c r="AH921" s="12"/>
      <c r="AI921" s="12"/>
      <c r="AJ921" s="12"/>
      <c r="AK921" s="12"/>
      <c r="AL921" s="12"/>
      <c r="AM921" s="12"/>
      <c r="AN921" s="12"/>
      <c r="AO921" s="12"/>
      <c r="AP921" s="12"/>
      <c r="AQ921" s="12"/>
      <c r="AR921" s="12"/>
      <c r="AS921" s="12"/>
      <c r="AT921" s="12"/>
    </row>
    <row r="922" spans="1:46" x14ac:dyDescent="0.25">
      <c r="A922" s="12"/>
      <c r="B922" s="12"/>
      <c r="C922" s="12"/>
      <c r="D922" s="12"/>
      <c r="E922" s="12"/>
      <c r="F922" s="12"/>
      <c r="G922" s="12"/>
      <c r="H922" s="12"/>
      <c r="I922" s="12"/>
      <c r="J922" s="12"/>
      <c r="L922" s="12"/>
      <c r="M922" s="12"/>
      <c r="N922" s="12"/>
      <c r="O922" s="12"/>
      <c r="P922" s="12"/>
      <c r="Q922" s="12"/>
      <c r="R922" s="12"/>
      <c r="S922" s="12"/>
      <c r="T922" s="12"/>
      <c r="U922" s="12"/>
      <c r="V922" s="12"/>
      <c r="W922" s="12"/>
      <c r="X922" s="12"/>
      <c r="Y922" s="12"/>
      <c r="Z922" s="12"/>
      <c r="AA922" s="12"/>
      <c r="AB922" s="12"/>
      <c r="AD922" s="12"/>
      <c r="AE922" s="12"/>
      <c r="AF922" s="12"/>
      <c r="AG922" s="12"/>
      <c r="AH922" s="12"/>
      <c r="AI922" s="12"/>
      <c r="AJ922" s="12"/>
      <c r="AK922" s="12"/>
      <c r="AL922" s="12"/>
      <c r="AM922" s="12"/>
      <c r="AN922" s="12"/>
      <c r="AO922" s="12"/>
      <c r="AP922" s="12"/>
      <c r="AQ922" s="12"/>
      <c r="AR922" s="12"/>
      <c r="AS922" s="12"/>
      <c r="AT922" s="12"/>
    </row>
    <row r="923" spans="1:46" x14ac:dyDescent="0.25">
      <c r="A923" s="12"/>
      <c r="B923" s="12"/>
      <c r="C923" s="12"/>
      <c r="D923" s="12"/>
      <c r="E923" s="12"/>
      <c r="F923" s="12"/>
      <c r="G923" s="12"/>
      <c r="H923" s="12"/>
      <c r="I923" s="12"/>
      <c r="J923" s="12"/>
      <c r="L923" s="12"/>
      <c r="M923" s="12"/>
      <c r="N923" s="12"/>
      <c r="O923" s="12"/>
      <c r="P923" s="12"/>
      <c r="Q923" s="12"/>
      <c r="R923" s="12"/>
      <c r="S923" s="12"/>
      <c r="T923" s="12"/>
      <c r="U923" s="12"/>
      <c r="V923" s="12"/>
      <c r="W923" s="12"/>
      <c r="X923" s="12"/>
      <c r="Y923" s="12"/>
      <c r="Z923" s="12"/>
      <c r="AA923" s="12"/>
      <c r="AB923" s="12"/>
      <c r="AD923" s="12"/>
      <c r="AE923" s="12"/>
      <c r="AF923" s="12"/>
      <c r="AG923" s="12"/>
      <c r="AH923" s="12"/>
      <c r="AI923" s="12"/>
      <c r="AJ923" s="12"/>
      <c r="AK923" s="12"/>
      <c r="AL923" s="12"/>
      <c r="AM923" s="12"/>
      <c r="AN923" s="12"/>
      <c r="AO923" s="12"/>
      <c r="AP923" s="12"/>
      <c r="AQ923" s="12"/>
      <c r="AR923" s="12"/>
      <c r="AS923" s="12"/>
      <c r="AT923" s="12"/>
    </row>
    <row r="924" spans="1:46" x14ac:dyDescent="0.25">
      <c r="A924" s="12"/>
      <c r="B924" s="12"/>
      <c r="C924" s="12"/>
      <c r="D924" s="12"/>
      <c r="E924" s="12"/>
      <c r="F924" s="12"/>
      <c r="G924" s="12"/>
      <c r="H924" s="12"/>
      <c r="I924" s="12"/>
      <c r="J924" s="12"/>
      <c r="L924" s="12"/>
      <c r="M924" s="12"/>
      <c r="N924" s="12"/>
      <c r="O924" s="12"/>
      <c r="P924" s="12"/>
      <c r="Q924" s="12"/>
      <c r="R924" s="12"/>
      <c r="S924" s="12"/>
      <c r="T924" s="12"/>
      <c r="U924" s="12"/>
      <c r="V924" s="12"/>
      <c r="W924" s="12"/>
      <c r="X924" s="12"/>
      <c r="Y924" s="12"/>
      <c r="Z924" s="12"/>
      <c r="AA924" s="12"/>
      <c r="AB924" s="12"/>
      <c r="AD924" s="12"/>
      <c r="AE924" s="12"/>
      <c r="AF924" s="12"/>
      <c r="AG924" s="12"/>
      <c r="AH924" s="12"/>
      <c r="AI924" s="12"/>
      <c r="AJ924" s="12"/>
      <c r="AK924" s="12"/>
      <c r="AL924" s="12"/>
      <c r="AM924" s="12"/>
      <c r="AN924" s="12"/>
      <c r="AO924" s="12"/>
      <c r="AP924" s="12"/>
      <c r="AQ924" s="12"/>
      <c r="AR924" s="12"/>
      <c r="AS924" s="12"/>
      <c r="AT924" s="12"/>
    </row>
    <row r="925" spans="1:46" x14ac:dyDescent="0.25">
      <c r="A925" s="12"/>
      <c r="B925" s="12"/>
      <c r="C925" s="12"/>
      <c r="D925" s="12"/>
      <c r="E925" s="12"/>
      <c r="F925" s="12"/>
      <c r="G925" s="12"/>
      <c r="H925" s="12"/>
      <c r="I925" s="12"/>
      <c r="J925" s="12"/>
      <c r="L925" s="12"/>
      <c r="M925" s="12"/>
      <c r="N925" s="12"/>
      <c r="O925" s="12"/>
      <c r="P925" s="12"/>
      <c r="Q925" s="12"/>
      <c r="R925" s="12"/>
      <c r="S925" s="12"/>
      <c r="T925" s="12"/>
      <c r="U925" s="12"/>
      <c r="V925" s="12"/>
      <c r="W925" s="12"/>
      <c r="X925" s="12"/>
      <c r="Y925" s="12"/>
      <c r="Z925" s="12"/>
      <c r="AA925" s="12"/>
      <c r="AB925" s="12"/>
      <c r="AD925" s="12"/>
      <c r="AE925" s="12"/>
      <c r="AF925" s="12"/>
      <c r="AG925" s="12"/>
      <c r="AH925" s="12"/>
      <c r="AI925" s="12"/>
      <c r="AJ925" s="12"/>
      <c r="AK925" s="12"/>
      <c r="AL925" s="12"/>
      <c r="AM925" s="12"/>
      <c r="AN925" s="12"/>
      <c r="AO925" s="12"/>
      <c r="AP925" s="12"/>
      <c r="AQ925" s="12"/>
      <c r="AR925" s="12"/>
      <c r="AS925" s="12"/>
      <c r="AT925" s="12"/>
    </row>
    <row r="926" spans="1:46" x14ac:dyDescent="0.25">
      <c r="A926" s="12"/>
      <c r="B926" s="12"/>
      <c r="C926" s="12"/>
      <c r="D926" s="12"/>
      <c r="E926" s="12"/>
      <c r="F926" s="12"/>
      <c r="G926" s="12"/>
      <c r="H926" s="12"/>
      <c r="I926" s="12"/>
      <c r="J926" s="12"/>
      <c r="L926" s="12"/>
      <c r="M926" s="12"/>
      <c r="N926" s="12"/>
      <c r="O926" s="12"/>
      <c r="P926" s="12"/>
      <c r="Q926" s="12"/>
      <c r="R926" s="12"/>
      <c r="S926" s="12"/>
      <c r="T926" s="12"/>
      <c r="U926" s="12"/>
      <c r="V926" s="12"/>
      <c r="W926" s="12"/>
      <c r="X926" s="12"/>
      <c r="Y926" s="12"/>
      <c r="Z926" s="12"/>
      <c r="AA926" s="12"/>
      <c r="AB926" s="12"/>
      <c r="AD926" s="12"/>
      <c r="AE926" s="12"/>
      <c r="AF926" s="12"/>
      <c r="AG926" s="12"/>
      <c r="AH926" s="12"/>
      <c r="AI926" s="12"/>
      <c r="AJ926" s="12"/>
      <c r="AK926" s="12"/>
      <c r="AL926" s="12"/>
      <c r="AM926" s="12"/>
      <c r="AN926" s="12"/>
      <c r="AO926" s="12"/>
      <c r="AP926" s="12"/>
      <c r="AQ926" s="12"/>
      <c r="AR926" s="12"/>
      <c r="AS926" s="12"/>
      <c r="AT926" s="12"/>
    </row>
    <row r="927" spans="1:46" x14ac:dyDescent="0.25">
      <c r="A927" s="12"/>
      <c r="B927" s="12"/>
      <c r="C927" s="12"/>
      <c r="D927" s="12"/>
      <c r="E927" s="12"/>
      <c r="F927" s="12"/>
      <c r="G927" s="12"/>
      <c r="H927" s="12"/>
      <c r="I927" s="12"/>
      <c r="J927" s="12"/>
      <c r="L927" s="12"/>
      <c r="M927" s="12"/>
      <c r="N927" s="12"/>
      <c r="O927" s="12"/>
      <c r="P927" s="12"/>
      <c r="Q927" s="12"/>
      <c r="R927" s="12"/>
      <c r="S927" s="12"/>
      <c r="T927" s="12"/>
      <c r="U927" s="12"/>
      <c r="V927" s="12"/>
      <c r="W927" s="12"/>
      <c r="X927" s="12"/>
      <c r="Y927" s="12"/>
      <c r="Z927" s="12"/>
      <c r="AA927" s="12"/>
      <c r="AB927" s="12"/>
      <c r="AD927" s="12"/>
      <c r="AE927" s="12"/>
      <c r="AF927" s="12"/>
      <c r="AG927" s="12"/>
      <c r="AH927" s="12"/>
      <c r="AI927" s="12"/>
      <c r="AJ927" s="12"/>
      <c r="AK927" s="12"/>
      <c r="AL927" s="12"/>
      <c r="AM927" s="12"/>
      <c r="AN927" s="12"/>
      <c r="AO927" s="12"/>
      <c r="AP927" s="12"/>
      <c r="AQ927" s="12"/>
      <c r="AR927" s="12"/>
      <c r="AS927" s="12"/>
      <c r="AT927" s="12"/>
    </row>
    <row r="928" spans="1:46" x14ac:dyDescent="0.25">
      <c r="A928" s="12"/>
      <c r="B928" s="12"/>
      <c r="C928" s="12"/>
      <c r="D928" s="12"/>
      <c r="E928" s="12"/>
      <c r="F928" s="12"/>
      <c r="G928" s="12"/>
      <c r="H928" s="12"/>
      <c r="I928" s="12"/>
      <c r="J928" s="12"/>
      <c r="L928" s="12"/>
      <c r="M928" s="12"/>
      <c r="N928" s="12"/>
      <c r="O928" s="12"/>
      <c r="P928" s="12"/>
      <c r="Q928" s="12"/>
      <c r="R928" s="12"/>
      <c r="S928" s="12"/>
      <c r="T928" s="12"/>
      <c r="U928" s="12"/>
      <c r="V928" s="12"/>
      <c r="W928" s="12"/>
      <c r="X928" s="12"/>
      <c r="Y928" s="12"/>
      <c r="Z928" s="12"/>
      <c r="AA928" s="12"/>
      <c r="AB928" s="12"/>
      <c r="AD928" s="12"/>
      <c r="AE928" s="12"/>
      <c r="AF928" s="12"/>
      <c r="AG928" s="12"/>
      <c r="AH928" s="12"/>
      <c r="AI928" s="12"/>
      <c r="AJ928" s="12"/>
      <c r="AK928" s="12"/>
      <c r="AL928" s="12"/>
      <c r="AM928" s="12"/>
      <c r="AN928" s="12"/>
      <c r="AO928" s="12"/>
      <c r="AP928" s="12"/>
      <c r="AQ928" s="12"/>
      <c r="AR928" s="12"/>
      <c r="AS928" s="12"/>
      <c r="AT928" s="12"/>
    </row>
    <row r="929" spans="1:46" x14ac:dyDescent="0.25">
      <c r="A929" s="12"/>
      <c r="B929" s="12"/>
      <c r="C929" s="12"/>
      <c r="D929" s="12"/>
      <c r="E929" s="12"/>
      <c r="F929" s="12"/>
      <c r="G929" s="12"/>
      <c r="H929" s="12"/>
      <c r="I929" s="12"/>
      <c r="J929" s="12"/>
      <c r="L929" s="12"/>
      <c r="M929" s="12"/>
      <c r="N929" s="12"/>
      <c r="O929" s="12"/>
      <c r="P929" s="12"/>
      <c r="Q929" s="12"/>
      <c r="R929" s="12"/>
      <c r="S929" s="12"/>
      <c r="T929" s="12"/>
      <c r="U929" s="12"/>
      <c r="V929" s="12"/>
      <c r="W929" s="12"/>
      <c r="X929" s="12"/>
      <c r="Y929" s="12"/>
      <c r="Z929" s="12"/>
      <c r="AA929" s="12"/>
      <c r="AB929" s="12"/>
      <c r="AD929" s="12"/>
      <c r="AE929" s="12"/>
      <c r="AF929" s="12"/>
      <c r="AG929" s="12"/>
      <c r="AH929" s="12"/>
      <c r="AI929" s="12"/>
      <c r="AJ929" s="12"/>
      <c r="AK929" s="12"/>
      <c r="AL929" s="12"/>
      <c r="AM929" s="12"/>
      <c r="AN929" s="12"/>
      <c r="AO929" s="12"/>
      <c r="AP929" s="12"/>
      <c r="AQ929" s="12"/>
      <c r="AR929" s="12"/>
      <c r="AS929" s="12"/>
      <c r="AT929" s="12"/>
    </row>
    <row r="930" spans="1:46" x14ac:dyDescent="0.25">
      <c r="A930" s="12"/>
      <c r="B930" s="12"/>
      <c r="C930" s="12"/>
      <c r="D930" s="12"/>
      <c r="E930" s="12"/>
      <c r="F930" s="12"/>
      <c r="G930" s="12"/>
      <c r="H930" s="12"/>
      <c r="I930" s="12"/>
      <c r="J930" s="12"/>
      <c r="L930" s="12"/>
      <c r="M930" s="12"/>
      <c r="N930" s="12"/>
      <c r="O930" s="12"/>
      <c r="P930" s="12"/>
      <c r="Q930" s="12"/>
      <c r="R930" s="12"/>
      <c r="S930" s="12"/>
      <c r="T930" s="12"/>
      <c r="U930" s="12"/>
      <c r="V930" s="12"/>
      <c r="W930" s="12"/>
      <c r="X930" s="12"/>
      <c r="Y930" s="12"/>
      <c r="Z930" s="12"/>
      <c r="AA930" s="12"/>
      <c r="AB930" s="12"/>
      <c r="AD930" s="12"/>
      <c r="AE930" s="12"/>
      <c r="AF930" s="12"/>
      <c r="AG930" s="12"/>
      <c r="AH930" s="12"/>
      <c r="AI930" s="12"/>
      <c r="AJ930" s="12"/>
      <c r="AK930" s="12"/>
      <c r="AL930" s="12"/>
      <c r="AM930" s="12"/>
      <c r="AN930" s="12"/>
      <c r="AO930" s="12"/>
      <c r="AP930" s="12"/>
      <c r="AQ930" s="12"/>
      <c r="AR930" s="12"/>
      <c r="AS930" s="12"/>
      <c r="AT930" s="12"/>
    </row>
    <row r="931" spans="1:46" x14ac:dyDescent="0.25">
      <c r="A931" s="12"/>
      <c r="B931" s="12"/>
      <c r="C931" s="12"/>
      <c r="D931" s="12"/>
      <c r="E931" s="12"/>
      <c r="F931" s="12"/>
      <c r="G931" s="12"/>
      <c r="H931" s="12"/>
      <c r="I931" s="12"/>
      <c r="J931" s="12"/>
      <c r="L931" s="12"/>
      <c r="M931" s="12"/>
      <c r="N931" s="12"/>
      <c r="O931" s="12"/>
      <c r="P931" s="12"/>
      <c r="Q931" s="12"/>
      <c r="R931" s="12"/>
      <c r="S931" s="12"/>
      <c r="T931" s="12"/>
      <c r="U931" s="12"/>
      <c r="V931" s="12"/>
      <c r="W931" s="12"/>
      <c r="X931" s="12"/>
      <c r="Y931" s="12"/>
      <c r="Z931" s="12"/>
      <c r="AA931" s="12"/>
      <c r="AB931" s="12"/>
      <c r="AD931" s="12"/>
      <c r="AE931" s="12"/>
      <c r="AF931" s="12"/>
      <c r="AG931" s="12"/>
      <c r="AH931" s="12"/>
      <c r="AI931" s="12"/>
      <c r="AJ931" s="12"/>
      <c r="AK931" s="12"/>
      <c r="AL931" s="12"/>
      <c r="AM931" s="12"/>
      <c r="AN931" s="12"/>
      <c r="AO931" s="12"/>
      <c r="AP931" s="12"/>
      <c r="AQ931" s="12"/>
      <c r="AR931" s="12"/>
      <c r="AS931" s="12"/>
      <c r="AT931" s="12"/>
    </row>
    <row r="932" spans="1:46" x14ac:dyDescent="0.25">
      <c r="A932" s="12"/>
      <c r="B932" s="12"/>
      <c r="C932" s="12"/>
      <c r="D932" s="12"/>
      <c r="E932" s="12"/>
      <c r="F932" s="12"/>
      <c r="G932" s="12"/>
      <c r="H932" s="12"/>
      <c r="I932" s="12"/>
      <c r="J932" s="12"/>
      <c r="L932" s="12"/>
      <c r="M932" s="12"/>
      <c r="N932" s="12"/>
      <c r="O932" s="12"/>
      <c r="P932" s="12"/>
      <c r="Q932" s="12"/>
      <c r="R932" s="12"/>
      <c r="S932" s="12"/>
      <c r="T932" s="12"/>
      <c r="U932" s="12"/>
      <c r="V932" s="12"/>
      <c r="W932" s="12"/>
      <c r="X932" s="12"/>
      <c r="Y932" s="12"/>
      <c r="Z932" s="12"/>
      <c r="AA932" s="12"/>
      <c r="AB932" s="12"/>
      <c r="AD932" s="12"/>
      <c r="AE932" s="12"/>
      <c r="AF932" s="12"/>
      <c r="AG932" s="12"/>
      <c r="AH932" s="12"/>
      <c r="AI932" s="12"/>
      <c r="AJ932" s="12"/>
      <c r="AK932" s="12"/>
      <c r="AL932" s="12"/>
      <c r="AM932" s="12"/>
      <c r="AN932" s="12"/>
      <c r="AO932" s="12"/>
      <c r="AP932" s="12"/>
      <c r="AQ932" s="12"/>
      <c r="AR932" s="12"/>
      <c r="AS932" s="12"/>
      <c r="AT932" s="12"/>
    </row>
    <row r="933" spans="1:46" x14ac:dyDescent="0.25">
      <c r="A933" s="12"/>
      <c r="B933" s="12"/>
      <c r="C933" s="12"/>
      <c r="D933" s="12"/>
      <c r="E933" s="12"/>
      <c r="F933" s="12"/>
      <c r="G933" s="12"/>
      <c r="H933" s="12"/>
      <c r="I933" s="12"/>
      <c r="J933" s="12"/>
      <c r="L933" s="12"/>
      <c r="M933" s="12"/>
      <c r="N933" s="12"/>
      <c r="O933" s="12"/>
      <c r="P933" s="12"/>
      <c r="Q933" s="12"/>
      <c r="R933" s="12"/>
      <c r="S933" s="12"/>
      <c r="T933" s="12"/>
      <c r="U933" s="12"/>
      <c r="V933" s="12"/>
      <c r="W933" s="12"/>
      <c r="X933" s="12"/>
      <c r="Y933" s="12"/>
      <c r="Z933" s="12"/>
      <c r="AA933" s="12"/>
      <c r="AB933" s="12"/>
      <c r="AD933" s="12"/>
      <c r="AE933" s="12"/>
      <c r="AF933" s="12"/>
      <c r="AG933" s="12"/>
      <c r="AH933" s="12"/>
      <c r="AI933" s="12"/>
      <c r="AJ933" s="12"/>
      <c r="AK933" s="12"/>
      <c r="AL933" s="12"/>
      <c r="AM933" s="12"/>
      <c r="AN933" s="12"/>
      <c r="AO933" s="12"/>
      <c r="AP933" s="12"/>
      <c r="AQ933" s="12"/>
      <c r="AR933" s="12"/>
      <c r="AS933" s="12"/>
      <c r="AT933" s="12"/>
    </row>
    <row r="934" spans="1:46" x14ac:dyDescent="0.25">
      <c r="A934" s="12"/>
      <c r="B934" s="12"/>
      <c r="C934" s="12"/>
      <c r="D934" s="12"/>
      <c r="E934" s="12"/>
      <c r="F934" s="12"/>
      <c r="G934" s="12"/>
      <c r="H934" s="12"/>
      <c r="I934" s="12"/>
      <c r="J934" s="12"/>
      <c r="L934" s="12"/>
      <c r="M934" s="12"/>
      <c r="N934" s="12"/>
      <c r="O934" s="12"/>
      <c r="P934" s="12"/>
      <c r="Q934" s="12"/>
      <c r="R934" s="12"/>
      <c r="S934" s="12"/>
      <c r="T934" s="12"/>
      <c r="U934" s="12"/>
      <c r="V934" s="12"/>
      <c r="W934" s="12"/>
      <c r="X934" s="12"/>
      <c r="Y934" s="12"/>
      <c r="Z934" s="12"/>
      <c r="AA934" s="12"/>
      <c r="AB934" s="12"/>
      <c r="AD934" s="12"/>
      <c r="AE934" s="12"/>
      <c r="AF934" s="12"/>
      <c r="AG934" s="12"/>
      <c r="AH934" s="12"/>
      <c r="AI934" s="12"/>
      <c r="AJ934" s="12"/>
      <c r="AK934" s="12"/>
      <c r="AL934" s="12"/>
      <c r="AM934" s="12"/>
      <c r="AN934" s="12"/>
      <c r="AO934" s="12"/>
      <c r="AP934" s="12"/>
      <c r="AQ934" s="12"/>
      <c r="AR934" s="12"/>
      <c r="AS934" s="12"/>
      <c r="AT934" s="12"/>
    </row>
    <row r="935" spans="1:46" x14ac:dyDescent="0.25">
      <c r="A935" s="12"/>
      <c r="B935" s="12"/>
      <c r="C935" s="12"/>
      <c r="D935" s="12"/>
      <c r="E935" s="12"/>
      <c r="F935" s="12"/>
      <c r="G935" s="12"/>
      <c r="H935" s="12"/>
      <c r="I935" s="12"/>
      <c r="J935" s="12"/>
      <c r="L935" s="12"/>
      <c r="M935" s="12"/>
      <c r="N935" s="12"/>
      <c r="O935" s="12"/>
      <c r="P935" s="12"/>
      <c r="Q935" s="12"/>
      <c r="R935" s="12"/>
      <c r="S935" s="12"/>
      <c r="T935" s="12"/>
      <c r="U935" s="12"/>
      <c r="V935" s="12"/>
      <c r="W935" s="12"/>
      <c r="X935" s="12"/>
      <c r="Y935" s="12"/>
      <c r="Z935" s="12"/>
      <c r="AA935" s="12"/>
      <c r="AB935" s="12"/>
      <c r="AD935" s="12"/>
      <c r="AE935" s="12"/>
      <c r="AF935" s="12"/>
      <c r="AG935" s="12"/>
      <c r="AH935" s="12"/>
      <c r="AI935" s="12"/>
      <c r="AJ935" s="12"/>
      <c r="AK935" s="12"/>
      <c r="AL935" s="12"/>
      <c r="AM935" s="12"/>
      <c r="AN935" s="12"/>
      <c r="AO935" s="12"/>
      <c r="AP935" s="12"/>
      <c r="AQ935" s="12"/>
      <c r="AR935" s="12"/>
      <c r="AS935" s="12"/>
      <c r="AT935" s="12"/>
    </row>
    <row r="936" spans="1:46" x14ac:dyDescent="0.25">
      <c r="A936" s="12"/>
      <c r="B936" s="12"/>
      <c r="C936" s="12"/>
      <c r="D936" s="12"/>
      <c r="E936" s="12"/>
      <c r="F936" s="12"/>
      <c r="G936" s="12"/>
      <c r="H936" s="12"/>
      <c r="I936" s="12"/>
      <c r="J936" s="12"/>
      <c r="L936" s="12"/>
      <c r="M936" s="12"/>
      <c r="N936" s="12"/>
      <c r="O936" s="12"/>
      <c r="P936" s="12"/>
      <c r="Q936" s="12"/>
      <c r="R936" s="12"/>
      <c r="S936" s="12"/>
      <c r="T936" s="12"/>
      <c r="U936" s="12"/>
      <c r="V936" s="12"/>
      <c r="W936" s="12"/>
      <c r="X936" s="12"/>
      <c r="Y936" s="12"/>
      <c r="Z936" s="12"/>
      <c r="AA936" s="12"/>
      <c r="AB936" s="12"/>
      <c r="AD936" s="12"/>
      <c r="AE936" s="12"/>
      <c r="AF936" s="12"/>
      <c r="AG936" s="12"/>
      <c r="AH936" s="12"/>
      <c r="AI936" s="12"/>
      <c r="AJ936" s="12"/>
      <c r="AK936" s="12"/>
      <c r="AL936" s="12"/>
      <c r="AM936" s="12"/>
      <c r="AN936" s="12"/>
      <c r="AO936" s="12"/>
      <c r="AP936" s="12"/>
      <c r="AQ936" s="12"/>
      <c r="AR936" s="12"/>
      <c r="AS936" s="12"/>
      <c r="AT936" s="12"/>
    </row>
    <row r="937" spans="1:46" x14ac:dyDescent="0.25">
      <c r="A937" s="12"/>
      <c r="B937" s="12"/>
      <c r="C937" s="12"/>
      <c r="D937" s="12"/>
      <c r="E937" s="12"/>
      <c r="F937" s="12"/>
      <c r="G937" s="12"/>
      <c r="H937" s="12"/>
      <c r="I937" s="12"/>
      <c r="J937" s="12"/>
      <c r="L937" s="12"/>
      <c r="M937" s="12"/>
      <c r="N937" s="12"/>
      <c r="O937" s="12"/>
      <c r="P937" s="12"/>
      <c r="Q937" s="12"/>
      <c r="R937" s="12"/>
      <c r="S937" s="12"/>
      <c r="T937" s="12"/>
      <c r="U937" s="12"/>
      <c r="V937" s="12"/>
      <c r="W937" s="12"/>
      <c r="X937" s="12"/>
      <c r="Y937" s="12"/>
      <c r="Z937" s="12"/>
      <c r="AA937" s="12"/>
      <c r="AB937" s="12"/>
      <c r="AD937" s="12"/>
      <c r="AE937" s="12"/>
      <c r="AF937" s="12"/>
      <c r="AG937" s="12"/>
      <c r="AH937" s="12"/>
      <c r="AI937" s="12"/>
      <c r="AJ937" s="12"/>
      <c r="AK937" s="12"/>
      <c r="AL937" s="12"/>
      <c r="AM937" s="12"/>
      <c r="AN937" s="12"/>
      <c r="AO937" s="12"/>
      <c r="AP937" s="12"/>
      <c r="AQ937" s="12"/>
      <c r="AR937" s="12"/>
      <c r="AS937" s="12"/>
      <c r="AT937" s="12"/>
    </row>
    <row r="938" spans="1:46" x14ac:dyDescent="0.25">
      <c r="A938" s="12"/>
      <c r="B938" s="12"/>
      <c r="C938" s="12"/>
      <c r="D938" s="12"/>
      <c r="E938" s="12"/>
      <c r="F938" s="12"/>
      <c r="G938" s="12"/>
      <c r="H938" s="12"/>
      <c r="I938" s="12"/>
      <c r="J938" s="12"/>
      <c r="L938" s="12"/>
      <c r="M938" s="12"/>
      <c r="N938" s="12"/>
      <c r="O938" s="12"/>
      <c r="P938" s="12"/>
      <c r="Q938" s="12"/>
      <c r="R938" s="12"/>
      <c r="S938" s="12"/>
      <c r="T938" s="12"/>
      <c r="U938" s="12"/>
      <c r="V938" s="12"/>
      <c r="W938" s="12"/>
      <c r="X938" s="12"/>
      <c r="Y938" s="12"/>
      <c r="Z938" s="12"/>
      <c r="AA938" s="12"/>
      <c r="AB938" s="12"/>
      <c r="AD938" s="12"/>
      <c r="AE938" s="12"/>
      <c r="AF938" s="12"/>
      <c r="AG938" s="12"/>
      <c r="AH938" s="12"/>
      <c r="AI938" s="12"/>
      <c r="AJ938" s="12"/>
      <c r="AK938" s="12"/>
      <c r="AL938" s="12"/>
      <c r="AM938" s="12"/>
      <c r="AN938" s="12"/>
      <c r="AO938" s="12"/>
      <c r="AP938" s="12"/>
      <c r="AQ938" s="12"/>
      <c r="AR938" s="12"/>
      <c r="AS938" s="12"/>
      <c r="AT938" s="12"/>
    </row>
    <row r="939" spans="1:46" x14ac:dyDescent="0.25">
      <c r="A939" s="12"/>
      <c r="B939" s="12"/>
      <c r="C939" s="12"/>
      <c r="D939" s="12"/>
      <c r="E939" s="12"/>
      <c r="F939" s="12"/>
      <c r="G939" s="12"/>
      <c r="H939" s="12"/>
      <c r="I939" s="12"/>
      <c r="J939" s="12"/>
      <c r="L939" s="12"/>
      <c r="M939" s="12"/>
      <c r="N939" s="12"/>
      <c r="O939" s="12"/>
      <c r="P939" s="12"/>
      <c r="Q939" s="12"/>
      <c r="R939" s="12"/>
      <c r="S939" s="12"/>
      <c r="T939" s="12"/>
      <c r="U939" s="12"/>
      <c r="V939" s="12"/>
      <c r="W939" s="12"/>
      <c r="X939" s="12"/>
      <c r="Y939" s="12"/>
      <c r="Z939" s="12"/>
      <c r="AA939" s="12"/>
      <c r="AB939" s="12"/>
      <c r="AD939" s="12"/>
      <c r="AE939" s="12"/>
      <c r="AF939" s="12"/>
      <c r="AG939" s="12"/>
      <c r="AH939" s="12"/>
      <c r="AI939" s="12"/>
      <c r="AJ939" s="12"/>
      <c r="AK939" s="12"/>
      <c r="AL939" s="12"/>
      <c r="AM939" s="12"/>
      <c r="AN939" s="12"/>
      <c r="AO939" s="12"/>
      <c r="AP939" s="12"/>
      <c r="AQ939" s="12"/>
      <c r="AR939" s="12"/>
      <c r="AS939" s="12"/>
      <c r="AT939" s="12"/>
    </row>
    <row r="940" spans="1:46" x14ac:dyDescent="0.25">
      <c r="A940" s="12"/>
      <c r="B940" s="12"/>
      <c r="C940" s="12"/>
      <c r="D940" s="12"/>
      <c r="E940" s="12"/>
      <c r="F940" s="12"/>
      <c r="G940" s="12"/>
      <c r="H940" s="12"/>
      <c r="I940" s="12"/>
      <c r="J940" s="12"/>
      <c r="L940" s="12"/>
      <c r="M940" s="12"/>
      <c r="N940" s="12"/>
      <c r="O940" s="12"/>
      <c r="P940" s="12"/>
      <c r="Q940" s="12"/>
      <c r="R940" s="12"/>
      <c r="S940" s="12"/>
      <c r="T940" s="12"/>
      <c r="U940" s="12"/>
      <c r="V940" s="12"/>
      <c r="W940" s="12"/>
      <c r="X940" s="12"/>
      <c r="Y940" s="12"/>
      <c r="Z940" s="12"/>
      <c r="AA940" s="12"/>
      <c r="AB940" s="12"/>
      <c r="AD940" s="12"/>
      <c r="AE940" s="12"/>
      <c r="AF940" s="12"/>
      <c r="AG940" s="12"/>
      <c r="AH940" s="12"/>
      <c r="AI940" s="12"/>
      <c r="AJ940" s="12"/>
      <c r="AK940" s="12"/>
      <c r="AL940" s="12"/>
      <c r="AM940" s="12"/>
      <c r="AN940" s="12"/>
      <c r="AO940" s="12"/>
      <c r="AP940" s="12"/>
      <c r="AQ940" s="12"/>
      <c r="AR940" s="12"/>
      <c r="AS940" s="12"/>
      <c r="AT940" s="12"/>
    </row>
    <row r="941" spans="1:46" x14ac:dyDescent="0.25">
      <c r="A941" s="12"/>
      <c r="B941" s="12"/>
      <c r="C941" s="12"/>
      <c r="D941" s="12"/>
      <c r="E941" s="12"/>
      <c r="F941" s="12"/>
      <c r="G941" s="12"/>
      <c r="H941" s="12"/>
      <c r="I941" s="12"/>
      <c r="J941" s="12"/>
      <c r="L941" s="12"/>
      <c r="M941" s="12"/>
      <c r="N941" s="12"/>
      <c r="O941" s="12"/>
      <c r="P941" s="12"/>
      <c r="Q941" s="12"/>
      <c r="R941" s="12"/>
      <c r="S941" s="12"/>
      <c r="T941" s="12"/>
      <c r="U941" s="12"/>
      <c r="V941" s="12"/>
      <c r="W941" s="12"/>
      <c r="X941" s="12"/>
      <c r="Y941" s="12"/>
      <c r="Z941" s="12"/>
      <c r="AA941" s="12"/>
      <c r="AB941" s="12"/>
      <c r="AD941" s="12"/>
      <c r="AE941" s="12"/>
      <c r="AF941" s="12"/>
      <c r="AG941" s="12"/>
      <c r="AH941" s="12"/>
      <c r="AI941" s="12"/>
      <c r="AJ941" s="12"/>
      <c r="AK941" s="12"/>
      <c r="AL941" s="12"/>
      <c r="AM941" s="12"/>
      <c r="AN941" s="12"/>
      <c r="AO941" s="12"/>
      <c r="AP941" s="12"/>
      <c r="AQ941" s="12"/>
      <c r="AR941" s="12"/>
      <c r="AS941" s="12"/>
      <c r="AT941" s="12"/>
    </row>
    <row r="942" spans="1:46" x14ac:dyDescent="0.25">
      <c r="A942" s="12"/>
      <c r="B942" s="12"/>
      <c r="C942" s="12"/>
      <c r="D942" s="12"/>
      <c r="E942" s="12"/>
      <c r="F942" s="12"/>
      <c r="G942" s="12"/>
      <c r="H942" s="12"/>
      <c r="I942" s="12"/>
      <c r="J942" s="12"/>
      <c r="L942" s="12"/>
      <c r="M942" s="12"/>
      <c r="N942" s="12"/>
      <c r="O942" s="12"/>
      <c r="P942" s="12"/>
      <c r="Q942" s="12"/>
      <c r="R942" s="12"/>
      <c r="S942" s="12"/>
      <c r="T942" s="12"/>
      <c r="U942" s="12"/>
      <c r="V942" s="12"/>
      <c r="W942" s="12"/>
      <c r="X942" s="12"/>
      <c r="Y942" s="12"/>
      <c r="Z942" s="12"/>
      <c r="AA942" s="12"/>
      <c r="AB942" s="12"/>
      <c r="AD942" s="12"/>
      <c r="AE942" s="12"/>
      <c r="AF942" s="12"/>
      <c r="AG942" s="12"/>
      <c r="AH942" s="12"/>
      <c r="AI942" s="12"/>
      <c r="AJ942" s="12"/>
      <c r="AK942" s="12"/>
      <c r="AL942" s="12"/>
      <c r="AM942" s="12"/>
      <c r="AN942" s="12"/>
      <c r="AO942" s="12"/>
      <c r="AP942" s="12"/>
      <c r="AQ942" s="12"/>
      <c r="AR942" s="12"/>
      <c r="AS942" s="12"/>
      <c r="AT942" s="12"/>
    </row>
    <row r="943" spans="1:46" x14ac:dyDescent="0.25">
      <c r="A943" s="12"/>
      <c r="B943" s="12"/>
      <c r="C943" s="12"/>
      <c r="D943" s="12"/>
      <c r="E943" s="12"/>
      <c r="F943" s="12"/>
      <c r="G943" s="12"/>
      <c r="H943" s="12"/>
      <c r="I943" s="12"/>
      <c r="J943" s="12"/>
      <c r="L943" s="12"/>
      <c r="M943" s="12"/>
      <c r="N943" s="12"/>
      <c r="O943" s="12"/>
      <c r="P943" s="12"/>
      <c r="Q943" s="12"/>
      <c r="R943" s="12"/>
      <c r="S943" s="12"/>
      <c r="T943" s="12"/>
      <c r="U943" s="12"/>
      <c r="V943" s="12"/>
      <c r="W943" s="12"/>
      <c r="X943" s="12"/>
      <c r="Y943" s="12"/>
      <c r="Z943" s="12"/>
      <c r="AA943" s="12"/>
      <c r="AB943" s="12"/>
      <c r="AD943" s="12"/>
      <c r="AE943" s="12"/>
      <c r="AF943" s="12"/>
      <c r="AG943" s="12"/>
      <c r="AH943" s="12"/>
      <c r="AI943" s="12"/>
      <c r="AJ943" s="12"/>
      <c r="AK943" s="12"/>
      <c r="AL943" s="12"/>
      <c r="AM943" s="12"/>
      <c r="AN943" s="12"/>
      <c r="AO943" s="12"/>
      <c r="AP943" s="12"/>
      <c r="AQ943" s="12"/>
      <c r="AR943" s="12"/>
      <c r="AS943" s="12"/>
      <c r="AT943" s="12"/>
    </row>
    <row r="944" spans="1:46" x14ac:dyDescent="0.25">
      <c r="A944" s="12"/>
      <c r="B944" s="12"/>
      <c r="C944" s="12"/>
      <c r="D944" s="12"/>
      <c r="E944" s="12"/>
      <c r="F944" s="12"/>
      <c r="G944" s="12"/>
      <c r="H944" s="12"/>
      <c r="I944" s="12"/>
      <c r="J944" s="12"/>
      <c r="L944" s="12"/>
      <c r="M944" s="12"/>
      <c r="N944" s="12"/>
      <c r="O944" s="12"/>
      <c r="P944" s="12"/>
      <c r="Q944" s="12"/>
      <c r="R944" s="12"/>
      <c r="S944" s="12"/>
      <c r="T944" s="12"/>
      <c r="U944" s="12"/>
      <c r="V944" s="12"/>
      <c r="W944" s="12"/>
      <c r="X944" s="12"/>
      <c r="Y944" s="12"/>
      <c r="Z944" s="12"/>
      <c r="AA944" s="12"/>
      <c r="AB944" s="12"/>
      <c r="AD944" s="12"/>
      <c r="AE944" s="12"/>
      <c r="AF944" s="12"/>
      <c r="AG944" s="12"/>
      <c r="AH944" s="12"/>
      <c r="AI944" s="12"/>
      <c r="AJ944" s="12"/>
      <c r="AK944" s="12"/>
      <c r="AL944" s="12"/>
      <c r="AM944" s="12"/>
      <c r="AN944" s="12"/>
      <c r="AO944" s="12"/>
      <c r="AP944" s="12"/>
      <c r="AQ944" s="12"/>
      <c r="AR944" s="12"/>
      <c r="AS944" s="12"/>
      <c r="AT944" s="12"/>
    </row>
    <row r="945" spans="1:46" x14ac:dyDescent="0.25">
      <c r="A945" s="12"/>
      <c r="B945" s="12"/>
      <c r="C945" s="12"/>
      <c r="D945" s="12"/>
      <c r="E945" s="12"/>
      <c r="F945" s="12"/>
      <c r="G945" s="12"/>
      <c r="H945" s="12"/>
      <c r="I945" s="12"/>
      <c r="J945" s="12"/>
      <c r="L945" s="12"/>
      <c r="M945" s="12"/>
      <c r="N945" s="12"/>
      <c r="O945" s="12"/>
      <c r="P945" s="12"/>
      <c r="Q945" s="12"/>
      <c r="R945" s="12"/>
      <c r="S945" s="12"/>
      <c r="T945" s="12"/>
      <c r="U945" s="12"/>
      <c r="V945" s="12"/>
      <c r="W945" s="12"/>
      <c r="X945" s="12"/>
      <c r="Y945" s="12"/>
      <c r="Z945" s="12"/>
      <c r="AA945" s="12"/>
      <c r="AB945" s="12"/>
      <c r="AD945" s="12"/>
      <c r="AE945" s="12"/>
      <c r="AF945" s="12"/>
      <c r="AG945" s="12"/>
      <c r="AH945" s="12"/>
      <c r="AI945" s="12"/>
      <c r="AJ945" s="12"/>
      <c r="AK945" s="12"/>
      <c r="AL945" s="12"/>
      <c r="AM945" s="12"/>
      <c r="AN945" s="12"/>
      <c r="AO945" s="12"/>
      <c r="AP945" s="12"/>
      <c r="AQ945" s="12"/>
      <c r="AR945" s="12"/>
      <c r="AS945" s="12"/>
      <c r="AT945" s="12"/>
    </row>
    <row r="946" spans="1:46" x14ac:dyDescent="0.25">
      <c r="A946" s="12"/>
      <c r="B946" s="12"/>
      <c r="C946" s="12"/>
      <c r="D946" s="12"/>
      <c r="E946" s="12"/>
      <c r="F946" s="12"/>
      <c r="G946" s="12"/>
      <c r="H946" s="12"/>
      <c r="I946" s="12"/>
      <c r="J946" s="12"/>
      <c r="L946" s="12"/>
      <c r="M946" s="12"/>
      <c r="N946" s="12"/>
      <c r="O946" s="12"/>
      <c r="P946" s="12"/>
      <c r="Q946" s="12"/>
      <c r="R946" s="12"/>
      <c r="S946" s="12"/>
      <c r="T946" s="12"/>
      <c r="U946" s="12"/>
      <c r="V946" s="12"/>
      <c r="W946" s="12"/>
      <c r="X946" s="12"/>
      <c r="Y946" s="12"/>
      <c r="Z946" s="12"/>
      <c r="AA946" s="12"/>
      <c r="AB946" s="12"/>
      <c r="AD946" s="12"/>
      <c r="AE946" s="12"/>
      <c r="AF946" s="12"/>
      <c r="AG946" s="12"/>
      <c r="AH946" s="12"/>
      <c r="AI946" s="12"/>
      <c r="AJ946" s="12"/>
      <c r="AK946" s="12"/>
      <c r="AL946" s="12"/>
      <c r="AM946" s="12"/>
      <c r="AN946" s="12"/>
      <c r="AO946" s="12"/>
      <c r="AP946" s="12"/>
      <c r="AQ946" s="12"/>
      <c r="AR946" s="12"/>
      <c r="AS946" s="12"/>
      <c r="AT946" s="12"/>
    </row>
    <row r="947" spans="1:46" x14ac:dyDescent="0.25">
      <c r="A947" s="12"/>
      <c r="B947" s="12"/>
      <c r="C947" s="12"/>
      <c r="D947" s="12"/>
      <c r="E947" s="12"/>
      <c r="F947" s="12"/>
      <c r="G947" s="12"/>
      <c r="H947" s="12"/>
      <c r="I947" s="12"/>
      <c r="J947" s="12"/>
      <c r="L947" s="12"/>
      <c r="M947" s="12"/>
      <c r="N947" s="12"/>
      <c r="O947" s="12"/>
      <c r="P947" s="12"/>
      <c r="Q947" s="12"/>
      <c r="R947" s="12"/>
      <c r="S947" s="12"/>
      <c r="T947" s="12"/>
      <c r="U947" s="12"/>
      <c r="V947" s="12"/>
      <c r="W947" s="12"/>
      <c r="X947" s="12"/>
      <c r="Y947" s="12"/>
      <c r="Z947" s="12"/>
      <c r="AA947" s="12"/>
      <c r="AB947" s="12"/>
      <c r="AD947" s="12"/>
      <c r="AE947" s="12"/>
      <c r="AF947" s="12"/>
      <c r="AG947" s="12"/>
      <c r="AH947" s="12"/>
      <c r="AI947" s="12"/>
      <c r="AJ947" s="12"/>
      <c r="AK947" s="12"/>
      <c r="AL947" s="12"/>
      <c r="AM947" s="12"/>
      <c r="AN947" s="12"/>
      <c r="AO947" s="12"/>
      <c r="AP947" s="12"/>
      <c r="AQ947" s="12"/>
      <c r="AR947" s="12"/>
      <c r="AS947" s="12"/>
      <c r="AT947" s="12"/>
    </row>
    <row r="948" spans="1:46" x14ac:dyDescent="0.25">
      <c r="A948" s="12"/>
      <c r="B948" s="12"/>
      <c r="C948" s="12"/>
      <c r="D948" s="12"/>
      <c r="E948" s="12"/>
      <c r="F948" s="12"/>
      <c r="G948" s="12"/>
      <c r="H948" s="12"/>
      <c r="I948" s="12"/>
      <c r="J948" s="12"/>
      <c r="L948" s="12"/>
      <c r="M948" s="12"/>
      <c r="N948" s="12"/>
      <c r="O948" s="12"/>
      <c r="P948" s="12"/>
      <c r="Q948" s="12"/>
      <c r="R948" s="12"/>
      <c r="S948" s="12"/>
      <c r="T948" s="12"/>
      <c r="U948" s="12"/>
      <c r="V948" s="12"/>
      <c r="W948" s="12"/>
      <c r="X948" s="12"/>
      <c r="Y948" s="12"/>
      <c r="Z948" s="12"/>
      <c r="AA948" s="12"/>
      <c r="AB948" s="12"/>
      <c r="AD948" s="12"/>
      <c r="AE948" s="12"/>
      <c r="AF948" s="12"/>
      <c r="AG948" s="12"/>
      <c r="AH948" s="12"/>
      <c r="AI948" s="12"/>
      <c r="AJ948" s="12"/>
      <c r="AK948" s="12"/>
      <c r="AL948" s="12"/>
      <c r="AM948" s="12"/>
      <c r="AN948" s="12"/>
      <c r="AO948" s="12"/>
      <c r="AP948" s="12"/>
      <c r="AQ948" s="12"/>
      <c r="AR948" s="12"/>
      <c r="AS948" s="12"/>
      <c r="AT948" s="12"/>
    </row>
    <row r="949" spans="1:46" x14ac:dyDescent="0.25">
      <c r="A949" s="12"/>
      <c r="B949" s="12"/>
      <c r="C949" s="12"/>
      <c r="D949" s="12"/>
      <c r="E949" s="12"/>
      <c r="F949" s="12"/>
      <c r="G949" s="12"/>
      <c r="H949" s="12"/>
      <c r="I949" s="12"/>
      <c r="J949" s="12"/>
      <c r="L949" s="12"/>
      <c r="M949" s="12"/>
      <c r="N949" s="12"/>
      <c r="O949" s="12"/>
      <c r="P949" s="12"/>
      <c r="Q949" s="12"/>
      <c r="R949" s="12"/>
      <c r="S949" s="12"/>
      <c r="T949" s="12"/>
      <c r="U949" s="12"/>
      <c r="V949" s="12"/>
      <c r="W949" s="12"/>
      <c r="X949" s="12"/>
      <c r="Y949" s="12"/>
      <c r="Z949" s="12"/>
      <c r="AA949" s="12"/>
      <c r="AB949" s="12"/>
      <c r="AD949" s="12"/>
      <c r="AE949" s="12"/>
      <c r="AF949" s="12"/>
      <c r="AG949" s="12"/>
      <c r="AH949" s="12"/>
      <c r="AI949" s="12"/>
      <c r="AJ949" s="12"/>
      <c r="AK949" s="12"/>
      <c r="AL949" s="12"/>
      <c r="AM949" s="12"/>
      <c r="AN949" s="12"/>
      <c r="AO949" s="12"/>
      <c r="AP949" s="12"/>
      <c r="AQ949" s="12"/>
      <c r="AR949" s="12"/>
      <c r="AS949" s="12"/>
      <c r="AT949" s="12"/>
    </row>
    <row r="950" spans="1:46" x14ac:dyDescent="0.25">
      <c r="A950" s="12"/>
      <c r="B950" s="12"/>
      <c r="C950" s="12"/>
      <c r="D950" s="12"/>
      <c r="E950" s="12"/>
      <c r="F950" s="12"/>
      <c r="G950" s="12"/>
      <c r="H950" s="12"/>
      <c r="I950" s="12"/>
      <c r="J950" s="12"/>
      <c r="L950" s="12"/>
      <c r="M950" s="12"/>
      <c r="N950" s="12"/>
      <c r="O950" s="12"/>
      <c r="P950" s="12"/>
      <c r="Q950" s="12"/>
      <c r="R950" s="12"/>
      <c r="S950" s="12"/>
      <c r="T950" s="12"/>
      <c r="U950" s="12"/>
      <c r="V950" s="12"/>
      <c r="W950" s="12"/>
      <c r="X950" s="12"/>
      <c r="Y950" s="12"/>
      <c r="Z950" s="12"/>
      <c r="AA950" s="12"/>
      <c r="AB950" s="12"/>
      <c r="AD950" s="12"/>
      <c r="AE950" s="12"/>
      <c r="AF950" s="12"/>
      <c r="AG950" s="12"/>
      <c r="AH950" s="12"/>
      <c r="AI950" s="12"/>
      <c r="AJ950" s="12"/>
      <c r="AK950" s="12"/>
      <c r="AL950" s="12"/>
      <c r="AM950" s="12"/>
      <c r="AN950" s="12"/>
      <c r="AO950" s="12"/>
      <c r="AP950" s="12"/>
      <c r="AQ950" s="12"/>
      <c r="AR950" s="12"/>
      <c r="AS950" s="12"/>
      <c r="AT950" s="12"/>
    </row>
    <row r="951" spans="1:46" x14ac:dyDescent="0.25">
      <c r="A951" s="12"/>
      <c r="B951" s="12"/>
      <c r="C951" s="12"/>
      <c r="D951" s="12"/>
      <c r="E951" s="12"/>
      <c r="F951" s="12"/>
      <c r="G951" s="12"/>
      <c r="H951" s="12"/>
      <c r="I951" s="12"/>
      <c r="J951" s="12"/>
      <c r="L951" s="12"/>
      <c r="M951" s="12"/>
      <c r="N951" s="12"/>
      <c r="O951" s="12"/>
      <c r="P951" s="12"/>
      <c r="Q951" s="12"/>
      <c r="R951" s="12"/>
      <c r="S951" s="12"/>
      <c r="T951" s="12"/>
      <c r="U951" s="12"/>
      <c r="V951" s="12"/>
      <c r="W951" s="12"/>
      <c r="X951" s="12"/>
      <c r="Y951" s="12"/>
      <c r="Z951" s="12"/>
      <c r="AA951" s="12"/>
      <c r="AB951" s="12"/>
      <c r="AD951" s="12"/>
      <c r="AE951" s="12"/>
      <c r="AF951" s="12"/>
      <c r="AG951" s="12"/>
      <c r="AH951" s="12"/>
      <c r="AI951" s="12"/>
      <c r="AJ951" s="12"/>
      <c r="AK951" s="12"/>
      <c r="AL951" s="12"/>
      <c r="AM951" s="12"/>
      <c r="AN951" s="12"/>
      <c r="AO951" s="12"/>
      <c r="AP951" s="12"/>
      <c r="AQ951" s="12"/>
      <c r="AR951" s="12"/>
      <c r="AS951" s="12"/>
      <c r="AT951" s="12"/>
    </row>
    <row r="952" spans="1:46" x14ac:dyDescent="0.25">
      <c r="A952" s="12"/>
      <c r="B952" s="12"/>
      <c r="C952" s="12"/>
      <c r="D952" s="12"/>
      <c r="E952" s="12"/>
      <c r="F952" s="12"/>
      <c r="G952" s="12"/>
      <c r="H952" s="12"/>
      <c r="I952" s="12"/>
      <c r="J952" s="12"/>
      <c r="L952" s="12"/>
      <c r="M952" s="12"/>
      <c r="N952" s="12"/>
      <c r="O952" s="12"/>
      <c r="P952" s="12"/>
      <c r="Q952" s="12"/>
      <c r="R952" s="12"/>
      <c r="S952" s="12"/>
      <c r="T952" s="12"/>
      <c r="U952" s="12"/>
      <c r="V952" s="12"/>
      <c r="W952" s="12"/>
      <c r="X952" s="12"/>
      <c r="Y952" s="12"/>
      <c r="Z952" s="12"/>
      <c r="AA952" s="12"/>
      <c r="AB952" s="12"/>
      <c r="AD952" s="12"/>
      <c r="AE952" s="12"/>
      <c r="AF952" s="12"/>
      <c r="AG952" s="12"/>
      <c r="AH952" s="12"/>
      <c r="AI952" s="12"/>
      <c r="AJ952" s="12"/>
      <c r="AK952" s="12"/>
      <c r="AL952" s="12"/>
      <c r="AM952" s="12"/>
      <c r="AN952" s="12"/>
      <c r="AO952" s="12"/>
      <c r="AP952" s="12"/>
      <c r="AQ952" s="12"/>
      <c r="AR952" s="12"/>
      <c r="AS952" s="12"/>
      <c r="AT952" s="12"/>
    </row>
    <row r="953" spans="1:46" x14ac:dyDescent="0.25">
      <c r="A953" s="12"/>
      <c r="B953" s="12"/>
      <c r="C953" s="12"/>
      <c r="D953" s="12"/>
      <c r="E953" s="12"/>
      <c r="F953" s="12"/>
      <c r="G953" s="12"/>
      <c r="H953" s="12"/>
      <c r="I953" s="12"/>
      <c r="J953" s="12"/>
      <c r="L953" s="12"/>
      <c r="M953" s="12"/>
      <c r="N953" s="12"/>
      <c r="O953" s="12"/>
      <c r="P953" s="12"/>
      <c r="Q953" s="12"/>
      <c r="R953" s="12"/>
      <c r="S953" s="12"/>
      <c r="T953" s="12"/>
      <c r="U953" s="12"/>
      <c r="V953" s="12"/>
      <c r="W953" s="12"/>
      <c r="X953" s="12"/>
      <c r="Y953" s="12"/>
      <c r="Z953" s="12"/>
      <c r="AA953" s="12"/>
      <c r="AB953" s="12"/>
      <c r="AD953" s="12"/>
      <c r="AE953" s="12"/>
      <c r="AF953" s="12"/>
      <c r="AG953" s="12"/>
      <c r="AH953" s="12"/>
      <c r="AI953" s="12"/>
      <c r="AJ953" s="12"/>
      <c r="AK953" s="12"/>
      <c r="AL953" s="12"/>
      <c r="AM953" s="12"/>
      <c r="AN953" s="12"/>
      <c r="AO953" s="12"/>
      <c r="AP953" s="12"/>
      <c r="AQ953" s="12"/>
      <c r="AR953" s="12"/>
      <c r="AS953" s="12"/>
      <c r="AT953" s="12"/>
    </row>
    <row r="954" spans="1:46" x14ac:dyDescent="0.25">
      <c r="A954" s="12"/>
      <c r="B954" s="12"/>
      <c r="C954" s="12"/>
      <c r="D954" s="12"/>
      <c r="E954" s="12"/>
      <c r="F954" s="12"/>
      <c r="G954" s="12"/>
      <c r="H954" s="12"/>
      <c r="I954" s="12"/>
      <c r="J954" s="12"/>
      <c r="L954" s="12"/>
      <c r="M954" s="12"/>
      <c r="N954" s="12"/>
      <c r="O954" s="12"/>
      <c r="P954" s="12"/>
      <c r="Q954" s="12"/>
      <c r="R954" s="12"/>
      <c r="S954" s="12"/>
      <c r="T954" s="12"/>
      <c r="U954" s="12"/>
      <c r="V954" s="12"/>
      <c r="W954" s="12"/>
      <c r="X954" s="12"/>
      <c r="Y954" s="12"/>
      <c r="Z954" s="12"/>
      <c r="AA954" s="12"/>
      <c r="AB954" s="12"/>
      <c r="AD954" s="12"/>
      <c r="AE954" s="12"/>
      <c r="AF954" s="12"/>
      <c r="AG954" s="12"/>
      <c r="AH954" s="12"/>
      <c r="AI954" s="12"/>
      <c r="AJ954" s="12"/>
      <c r="AK954" s="12"/>
      <c r="AL954" s="12"/>
      <c r="AM954" s="12"/>
      <c r="AN954" s="12"/>
      <c r="AO954" s="12"/>
      <c r="AP954" s="12"/>
      <c r="AQ954" s="12"/>
      <c r="AR954" s="12"/>
      <c r="AS954" s="12"/>
      <c r="AT954" s="12"/>
    </row>
    <row r="955" spans="1:46" x14ac:dyDescent="0.25">
      <c r="A955" s="12"/>
      <c r="B955" s="12"/>
      <c r="C955" s="12"/>
      <c r="D955" s="12"/>
      <c r="E955" s="12"/>
      <c r="F955" s="12"/>
      <c r="G955" s="12"/>
      <c r="H955" s="12"/>
      <c r="I955" s="12"/>
      <c r="J955" s="12"/>
      <c r="L955" s="12"/>
      <c r="M955" s="12"/>
      <c r="N955" s="12"/>
      <c r="O955" s="12"/>
      <c r="P955" s="12"/>
      <c r="Q955" s="12"/>
      <c r="R955" s="12"/>
      <c r="S955" s="12"/>
      <c r="T955" s="12"/>
      <c r="U955" s="12"/>
      <c r="V955" s="12"/>
      <c r="W955" s="12"/>
      <c r="X955" s="12"/>
      <c r="Y955" s="12"/>
      <c r="Z955" s="12"/>
      <c r="AA955" s="12"/>
      <c r="AB955" s="12"/>
      <c r="AD955" s="12"/>
      <c r="AE955" s="12"/>
      <c r="AF955" s="12"/>
      <c r="AG955" s="12"/>
      <c r="AH955" s="12"/>
      <c r="AI955" s="12"/>
      <c r="AJ955" s="12"/>
      <c r="AK955" s="12"/>
      <c r="AL955" s="12"/>
      <c r="AM955" s="12"/>
      <c r="AN955" s="12"/>
      <c r="AO955" s="12"/>
      <c r="AP955" s="12"/>
      <c r="AQ955" s="12"/>
      <c r="AR955" s="12"/>
      <c r="AS955" s="12"/>
      <c r="AT955" s="12"/>
    </row>
    <row r="956" spans="1:46" x14ac:dyDescent="0.25">
      <c r="A956" s="12"/>
      <c r="B956" s="12"/>
      <c r="C956" s="12"/>
      <c r="D956" s="12"/>
      <c r="E956" s="12"/>
      <c r="F956" s="12"/>
      <c r="G956" s="12"/>
      <c r="H956" s="12"/>
      <c r="I956" s="12"/>
      <c r="J956" s="12"/>
      <c r="L956" s="12"/>
      <c r="M956" s="12"/>
      <c r="N956" s="12"/>
      <c r="O956" s="12"/>
      <c r="P956" s="12"/>
      <c r="Q956" s="12"/>
      <c r="R956" s="12"/>
      <c r="S956" s="12"/>
      <c r="T956" s="12"/>
      <c r="U956" s="12"/>
      <c r="V956" s="12"/>
      <c r="W956" s="12"/>
      <c r="X956" s="12"/>
      <c r="Y956" s="12"/>
      <c r="Z956" s="12"/>
      <c r="AA956" s="12"/>
      <c r="AB956" s="12"/>
      <c r="AD956" s="12"/>
      <c r="AE956" s="12"/>
      <c r="AF956" s="12"/>
      <c r="AG956" s="12"/>
      <c r="AH956" s="12"/>
      <c r="AI956" s="12"/>
      <c r="AJ956" s="12"/>
      <c r="AK956" s="12"/>
      <c r="AL956" s="12"/>
      <c r="AM956" s="12"/>
      <c r="AN956" s="12"/>
      <c r="AO956" s="12"/>
      <c r="AP956" s="12"/>
      <c r="AQ956" s="12"/>
      <c r="AR956" s="12"/>
      <c r="AS956" s="12"/>
      <c r="AT956" s="12"/>
    </row>
    <row r="957" spans="1:46" x14ac:dyDescent="0.25">
      <c r="A957" s="12"/>
      <c r="B957" s="12"/>
      <c r="C957" s="12"/>
      <c r="D957" s="12"/>
      <c r="E957" s="12"/>
      <c r="F957" s="12"/>
      <c r="G957" s="12"/>
      <c r="H957" s="12"/>
      <c r="I957" s="12"/>
      <c r="J957" s="12"/>
      <c r="L957" s="12"/>
      <c r="M957" s="12"/>
      <c r="N957" s="12"/>
      <c r="O957" s="12"/>
      <c r="P957" s="12"/>
      <c r="Q957" s="12"/>
      <c r="R957" s="12"/>
      <c r="S957" s="12"/>
      <c r="T957" s="12"/>
      <c r="U957" s="12"/>
      <c r="V957" s="12"/>
      <c r="W957" s="12"/>
      <c r="X957" s="12"/>
      <c r="Y957" s="12"/>
      <c r="Z957" s="12"/>
      <c r="AA957" s="12"/>
      <c r="AB957" s="12"/>
      <c r="AD957" s="12"/>
      <c r="AE957" s="12"/>
      <c r="AF957" s="12"/>
      <c r="AG957" s="12"/>
      <c r="AH957" s="12"/>
      <c r="AI957" s="12"/>
      <c r="AJ957" s="12"/>
      <c r="AK957" s="12"/>
      <c r="AL957" s="12"/>
      <c r="AM957" s="12"/>
      <c r="AN957" s="12"/>
      <c r="AO957" s="12"/>
      <c r="AP957" s="12"/>
      <c r="AQ957" s="12"/>
      <c r="AR957" s="12"/>
      <c r="AS957" s="12"/>
      <c r="AT957" s="12"/>
    </row>
    <row r="958" spans="1:46" x14ac:dyDescent="0.25">
      <c r="A958" s="12"/>
      <c r="B958" s="12"/>
      <c r="C958" s="12"/>
      <c r="D958" s="12"/>
      <c r="E958" s="12"/>
      <c r="F958" s="12"/>
      <c r="G958" s="12"/>
      <c r="H958" s="12"/>
      <c r="I958" s="12"/>
      <c r="J958" s="12"/>
      <c r="L958" s="12"/>
      <c r="M958" s="12"/>
      <c r="N958" s="12"/>
      <c r="O958" s="12"/>
      <c r="P958" s="12"/>
      <c r="Q958" s="12"/>
      <c r="R958" s="12"/>
      <c r="S958" s="12"/>
      <c r="T958" s="12"/>
      <c r="U958" s="12"/>
      <c r="V958" s="12"/>
      <c r="W958" s="12"/>
      <c r="X958" s="12"/>
      <c r="Y958" s="12"/>
      <c r="Z958" s="12"/>
      <c r="AA958" s="12"/>
      <c r="AB958" s="12"/>
      <c r="AD958" s="12"/>
      <c r="AE958" s="12"/>
      <c r="AF958" s="12"/>
      <c r="AG958" s="12"/>
      <c r="AH958" s="12"/>
      <c r="AI958" s="12"/>
      <c r="AJ958" s="12"/>
      <c r="AK958" s="12"/>
      <c r="AL958" s="12"/>
      <c r="AM958" s="12"/>
      <c r="AN958" s="12"/>
      <c r="AO958" s="12"/>
      <c r="AP958" s="12"/>
      <c r="AQ958" s="12"/>
      <c r="AR958" s="12"/>
      <c r="AS958" s="12"/>
      <c r="AT958" s="12"/>
    </row>
    <row r="959" spans="1:46" x14ac:dyDescent="0.25">
      <c r="A959" s="12"/>
      <c r="B959" s="12"/>
      <c r="C959" s="12"/>
      <c r="D959" s="12"/>
      <c r="E959" s="12"/>
      <c r="F959" s="12"/>
      <c r="G959" s="12"/>
      <c r="H959" s="12"/>
      <c r="I959" s="12"/>
      <c r="J959" s="12"/>
      <c r="L959" s="12"/>
      <c r="M959" s="12"/>
      <c r="N959" s="12"/>
      <c r="O959" s="12"/>
      <c r="P959" s="12"/>
      <c r="Q959" s="12"/>
      <c r="R959" s="12"/>
      <c r="S959" s="12"/>
      <c r="T959" s="12"/>
      <c r="U959" s="12"/>
      <c r="V959" s="12"/>
      <c r="W959" s="12"/>
      <c r="X959" s="12"/>
      <c r="Y959" s="12"/>
      <c r="Z959" s="12"/>
      <c r="AA959" s="12"/>
      <c r="AB959" s="12"/>
      <c r="AD959" s="12"/>
      <c r="AE959" s="12"/>
      <c r="AF959" s="12"/>
      <c r="AG959" s="12"/>
      <c r="AH959" s="12"/>
      <c r="AI959" s="12"/>
      <c r="AJ959" s="12"/>
      <c r="AK959" s="12"/>
      <c r="AL959" s="12"/>
      <c r="AM959" s="12"/>
      <c r="AN959" s="12"/>
      <c r="AO959" s="12"/>
      <c r="AP959" s="12"/>
      <c r="AQ959" s="12"/>
      <c r="AR959" s="12"/>
      <c r="AS959" s="12"/>
      <c r="AT959" s="12"/>
    </row>
    <row r="960" spans="1:46" x14ac:dyDescent="0.25">
      <c r="A960" s="12"/>
      <c r="B960" s="12"/>
      <c r="C960" s="12"/>
      <c r="D960" s="12"/>
      <c r="E960" s="12"/>
      <c r="F960" s="12"/>
      <c r="G960" s="12"/>
      <c r="H960" s="12"/>
      <c r="I960" s="12"/>
      <c r="J960" s="12"/>
      <c r="L960" s="12"/>
      <c r="M960" s="12"/>
      <c r="N960" s="12"/>
      <c r="O960" s="12"/>
      <c r="P960" s="12"/>
      <c r="Q960" s="12"/>
      <c r="R960" s="12"/>
      <c r="S960" s="12"/>
      <c r="T960" s="12"/>
      <c r="U960" s="12"/>
      <c r="V960" s="12"/>
      <c r="W960" s="12"/>
      <c r="X960" s="12"/>
      <c r="Y960" s="12"/>
      <c r="Z960" s="12"/>
      <c r="AA960" s="12"/>
      <c r="AB960" s="12"/>
      <c r="AD960" s="12"/>
      <c r="AE960" s="12"/>
      <c r="AF960" s="12"/>
      <c r="AG960" s="12"/>
      <c r="AH960" s="12"/>
      <c r="AI960" s="12"/>
      <c r="AJ960" s="12"/>
      <c r="AK960" s="12"/>
      <c r="AL960" s="12"/>
      <c r="AM960" s="12"/>
      <c r="AN960" s="12"/>
      <c r="AO960" s="12"/>
      <c r="AP960" s="12"/>
      <c r="AQ960" s="12"/>
      <c r="AR960" s="12"/>
      <c r="AS960" s="12"/>
      <c r="AT960" s="12"/>
    </row>
    <row r="961" spans="1:46" x14ac:dyDescent="0.25">
      <c r="A961" s="12"/>
      <c r="B961" s="12"/>
      <c r="C961" s="12"/>
      <c r="D961" s="12"/>
      <c r="E961" s="12"/>
      <c r="F961" s="12"/>
      <c r="G961" s="12"/>
      <c r="H961" s="12"/>
      <c r="I961" s="12"/>
      <c r="J961" s="12"/>
      <c r="L961" s="12"/>
      <c r="M961" s="12"/>
      <c r="N961" s="12"/>
      <c r="O961" s="12"/>
      <c r="P961" s="12"/>
      <c r="Q961" s="12"/>
      <c r="R961" s="12"/>
      <c r="S961" s="12"/>
      <c r="T961" s="12"/>
      <c r="U961" s="12"/>
      <c r="V961" s="12"/>
      <c r="W961" s="12"/>
      <c r="X961" s="12"/>
      <c r="Y961" s="12"/>
      <c r="Z961" s="12"/>
      <c r="AA961" s="12"/>
      <c r="AB961" s="12"/>
      <c r="AD961" s="12"/>
      <c r="AE961" s="12"/>
      <c r="AF961" s="12"/>
      <c r="AG961" s="12"/>
      <c r="AH961" s="12"/>
      <c r="AI961" s="12"/>
      <c r="AJ961" s="12"/>
      <c r="AK961" s="12"/>
      <c r="AL961" s="12"/>
      <c r="AM961" s="12"/>
      <c r="AN961" s="12"/>
      <c r="AO961" s="12"/>
      <c r="AP961" s="12"/>
      <c r="AQ961" s="12"/>
      <c r="AR961" s="12"/>
      <c r="AS961" s="12"/>
      <c r="AT961" s="12"/>
    </row>
    <row r="962" spans="1:46" x14ac:dyDescent="0.25">
      <c r="A962" s="12"/>
      <c r="B962" s="12"/>
      <c r="C962" s="12"/>
      <c r="D962" s="12"/>
      <c r="E962" s="12"/>
      <c r="F962" s="12"/>
      <c r="G962" s="12"/>
      <c r="H962" s="12"/>
      <c r="I962" s="12"/>
      <c r="J962" s="12"/>
      <c r="L962" s="12"/>
      <c r="M962" s="12"/>
      <c r="N962" s="12"/>
      <c r="O962" s="12"/>
      <c r="P962" s="12"/>
      <c r="Q962" s="12"/>
      <c r="R962" s="12"/>
      <c r="S962" s="12"/>
      <c r="T962" s="12"/>
      <c r="U962" s="12"/>
      <c r="V962" s="12"/>
      <c r="W962" s="12"/>
      <c r="X962" s="12"/>
      <c r="Y962" s="12"/>
      <c r="Z962" s="12"/>
      <c r="AA962" s="12"/>
      <c r="AB962" s="12"/>
      <c r="AD962" s="12"/>
      <c r="AE962" s="12"/>
      <c r="AF962" s="12"/>
      <c r="AG962" s="12"/>
      <c r="AH962" s="12"/>
      <c r="AI962" s="12"/>
      <c r="AJ962" s="12"/>
      <c r="AK962" s="12"/>
      <c r="AL962" s="12"/>
      <c r="AM962" s="12"/>
      <c r="AN962" s="12"/>
      <c r="AO962" s="12"/>
      <c r="AP962" s="12"/>
      <c r="AQ962" s="12"/>
      <c r="AR962" s="12"/>
      <c r="AS962" s="12"/>
      <c r="AT962" s="12"/>
    </row>
    <row r="963" spans="1:46" x14ac:dyDescent="0.25">
      <c r="A963" s="12"/>
      <c r="B963" s="12"/>
      <c r="C963" s="12"/>
      <c r="D963" s="12"/>
      <c r="E963" s="12"/>
      <c r="F963" s="12"/>
      <c r="G963" s="12"/>
      <c r="H963" s="12"/>
      <c r="I963" s="12"/>
      <c r="J963" s="12"/>
      <c r="L963" s="12"/>
      <c r="M963" s="12"/>
      <c r="N963" s="12"/>
      <c r="O963" s="12"/>
      <c r="P963" s="12"/>
      <c r="Q963" s="12"/>
      <c r="R963" s="12"/>
      <c r="S963" s="12"/>
      <c r="T963" s="12"/>
      <c r="U963" s="12"/>
      <c r="V963" s="12"/>
      <c r="W963" s="12"/>
      <c r="X963" s="12"/>
      <c r="Y963" s="12"/>
      <c r="Z963" s="12"/>
      <c r="AA963" s="12"/>
      <c r="AB963" s="12"/>
      <c r="AD963" s="12"/>
      <c r="AE963" s="12"/>
      <c r="AF963" s="12"/>
      <c r="AG963" s="12"/>
      <c r="AH963" s="12"/>
      <c r="AI963" s="12"/>
      <c r="AJ963" s="12"/>
      <c r="AK963" s="12"/>
      <c r="AL963" s="12"/>
      <c r="AM963" s="12"/>
      <c r="AN963" s="12"/>
      <c r="AO963" s="12"/>
      <c r="AP963" s="12"/>
      <c r="AQ963" s="12"/>
      <c r="AR963" s="12"/>
      <c r="AS963" s="12"/>
      <c r="AT963" s="12"/>
    </row>
    <row r="964" spans="1:46" x14ac:dyDescent="0.25">
      <c r="A964" s="12"/>
      <c r="B964" s="12"/>
      <c r="C964" s="12"/>
      <c r="D964" s="12"/>
      <c r="E964" s="12"/>
      <c r="F964" s="12"/>
      <c r="G964" s="12"/>
      <c r="H964" s="12"/>
      <c r="I964" s="12"/>
      <c r="J964" s="12"/>
      <c r="L964" s="12"/>
      <c r="M964" s="12"/>
      <c r="N964" s="12"/>
      <c r="O964" s="12"/>
      <c r="P964" s="12"/>
      <c r="Q964" s="12"/>
      <c r="R964" s="12"/>
      <c r="S964" s="12"/>
      <c r="T964" s="12"/>
      <c r="U964" s="12"/>
      <c r="V964" s="12"/>
      <c r="W964" s="12"/>
      <c r="X964" s="12"/>
      <c r="Y964" s="12"/>
      <c r="Z964" s="12"/>
      <c r="AA964" s="12"/>
      <c r="AB964" s="12"/>
      <c r="AD964" s="12"/>
      <c r="AE964" s="12"/>
      <c r="AF964" s="12"/>
      <c r="AG964" s="12"/>
      <c r="AH964" s="12"/>
      <c r="AI964" s="12"/>
      <c r="AJ964" s="12"/>
      <c r="AK964" s="12"/>
      <c r="AL964" s="12"/>
      <c r="AM964" s="12"/>
      <c r="AN964" s="12"/>
      <c r="AO964" s="12"/>
      <c r="AP964" s="12"/>
      <c r="AQ964" s="12"/>
      <c r="AR964" s="12"/>
      <c r="AS964" s="12"/>
      <c r="AT964" s="12"/>
    </row>
    <row r="965" spans="1:46" x14ac:dyDescent="0.25">
      <c r="A965" s="12"/>
      <c r="B965" s="12"/>
      <c r="C965" s="12"/>
      <c r="D965" s="12"/>
      <c r="E965" s="12"/>
      <c r="F965" s="12"/>
      <c r="G965" s="12"/>
      <c r="H965" s="12"/>
      <c r="I965" s="12"/>
      <c r="J965" s="12"/>
      <c r="L965" s="12"/>
      <c r="M965" s="12"/>
      <c r="N965" s="12"/>
      <c r="O965" s="12"/>
      <c r="P965" s="12"/>
      <c r="Q965" s="12"/>
      <c r="R965" s="12"/>
      <c r="S965" s="12"/>
      <c r="T965" s="12"/>
      <c r="U965" s="12"/>
      <c r="V965" s="12"/>
      <c r="W965" s="12"/>
      <c r="X965" s="12"/>
      <c r="Y965" s="12"/>
      <c r="Z965" s="12"/>
      <c r="AA965" s="12"/>
      <c r="AB965" s="12"/>
      <c r="AD965" s="12"/>
      <c r="AE965" s="12"/>
      <c r="AF965" s="12"/>
      <c r="AG965" s="12"/>
      <c r="AH965" s="12"/>
      <c r="AI965" s="12"/>
      <c r="AJ965" s="12"/>
      <c r="AK965" s="12"/>
      <c r="AL965" s="12"/>
      <c r="AM965" s="12"/>
      <c r="AN965" s="12"/>
      <c r="AO965" s="12"/>
      <c r="AP965" s="12"/>
      <c r="AQ965" s="12"/>
      <c r="AR965" s="12"/>
      <c r="AS965" s="12"/>
      <c r="AT965" s="12"/>
    </row>
    <row r="966" spans="1:46" x14ac:dyDescent="0.25">
      <c r="A966" s="12"/>
      <c r="B966" s="12"/>
      <c r="C966" s="12"/>
      <c r="D966" s="12"/>
      <c r="E966" s="12"/>
      <c r="F966" s="12"/>
      <c r="G966" s="12"/>
      <c r="H966" s="12"/>
      <c r="I966" s="12"/>
      <c r="J966" s="12"/>
      <c r="L966" s="12"/>
      <c r="M966" s="12"/>
      <c r="N966" s="12"/>
      <c r="O966" s="12"/>
      <c r="P966" s="12"/>
      <c r="Q966" s="12"/>
      <c r="R966" s="12"/>
      <c r="S966" s="12"/>
      <c r="T966" s="12"/>
      <c r="U966" s="12"/>
      <c r="V966" s="12"/>
      <c r="W966" s="12"/>
      <c r="X966" s="12"/>
      <c r="Y966" s="12"/>
      <c r="Z966" s="12"/>
      <c r="AA966" s="12"/>
      <c r="AB966" s="12"/>
      <c r="AD966" s="12"/>
      <c r="AE966" s="12"/>
      <c r="AF966" s="12"/>
      <c r="AG966" s="12"/>
      <c r="AH966" s="12"/>
      <c r="AI966" s="12"/>
      <c r="AJ966" s="12"/>
      <c r="AK966" s="12"/>
      <c r="AL966" s="12"/>
      <c r="AM966" s="12"/>
      <c r="AN966" s="12"/>
      <c r="AO966" s="12"/>
      <c r="AP966" s="12"/>
      <c r="AQ966" s="12"/>
      <c r="AR966" s="12"/>
      <c r="AS966" s="12"/>
      <c r="AT966" s="12"/>
    </row>
    <row r="967" spans="1:46" x14ac:dyDescent="0.25">
      <c r="A967" s="12"/>
      <c r="B967" s="12"/>
      <c r="C967" s="12"/>
      <c r="D967" s="12"/>
      <c r="E967" s="12"/>
      <c r="F967" s="12"/>
      <c r="G967" s="12"/>
      <c r="H967" s="12"/>
      <c r="I967" s="12"/>
      <c r="J967" s="12"/>
      <c r="L967" s="12"/>
      <c r="M967" s="12"/>
      <c r="N967" s="12"/>
      <c r="O967" s="12"/>
      <c r="P967" s="12"/>
      <c r="Q967" s="12"/>
      <c r="R967" s="12"/>
      <c r="S967" s="12"/>
      <c r="T967" s="12"/>
      <c r="U967" s="12"/>
      <c r="V967" s="12"/>
      <c r="W967" s="12"/>
      <c r="X967" s="12"/>
      <c r="Y967" s="12"/>
      <c r="Z967" s="12"/>
      <c r="AA967" s="12"/>
      <c r="AB967" s="12"/>
      <c r="AD967" s="12"/>
      <c r="AE967" s="12"/>
      <c r="AF967" s="12"/>
      <c r="AG967" s="12"/>
      <c r="AH967" s="12"/>
      <c r="AI967" s="12"/>
      <c r="AJ967" s="12"/>
      <c r="AK967" s="12"/>
      <c r="AL967" s="12"/>
      <c r="AM967" s="12"/>
      <c r="AN967" s="12"/>
      <c r="AO967" s="12"/>
      <c r="AP967" s="12"/>
      <c r="AQ967" s="12"/>
      <c r="AR967" s="12"/>
      <c r="AS967" s="12"/>
      <c r="AT967" s="12"/>
    </row>
    <row r="968" spans="1:46" x14ac:dyDescent="0.25">
      <c r="A968" s="12"/>
      <c r="B968" s="12"/>
      <c r="C968" s="12"/>
      <c r="D968" s="12"/>
      <c r="E968" s="12"/>
      <c r="F968" s="12"/>
      <c r="G968" s="12"/>
      <c r="H968" s="12"/>
      <c r="I968" s="12"/>
      <c r="J968" s="12"/>
      <c r="L968" s="12"/>
      <c r="M968" s="12"/>
      <c r="N968" s="12"/>
      <c r="O968" s="12"/>
      <c r="P968" s="12"/>
      <c r="Q968" s="12"/>
      <c r="R968" s="12"/>
      <c r="S968" s="12"/>
      <c r="T968" s="12"/>
      <c r="U968" s="12"/>
      <c r="V968" s="12"/>
      <c r="W968" s="12"/>
      <c r="X968" s="12"/>
      <c r="Y968" s="12"/>
      <c r="Z968" s="12"/>
      <c r="AA968" s="12"/>
      <c r="AB968" s="12"/>
      <c r="AD968" s="12"/>
      <c r="AE968" s="12"/>
      <c r="AF968" s="12"/>
      <c r="AG968" s="12"/>
      <c r="AH968" s="12"/>
      <c r="AI968" s="12"/>
      <c r="AJ968" s="12"/>
      <c r="AK968" s="12"/>
      <c r="AL968" s="12"/>
      <c r="AM968" s="12"/>
      <c r="AN968" s="12"/>
      <c r="AO968" s="12"/>
      <c r="AP968" s="12"/>
      <c r="AQ968" s="12"/>
      <c r="AR968" s="12"/>
      <c r="AS968" s="12"/>
      <c r="AT968" s="12"/>
    </row>
    <row r="969" spans="1:46" x14ac:dyDescent="0.25">
      <c r="A969" s="12"/>
      <c r="B969" s="12"/>
      <c r="C969" s="12"/>
      <c r="D969" s="12"/>
      <c r="E969" s="12"/>
      <c r="F969" s="12"/>
      <c r="G969" s="12"/>
      <c r="H969" s="12"/>
      <c r="I969" s="12"/>
      <c r="J969" s="12"/>
      <c r="L969" s="12"/>
      <c r="M969" s="12"/>
      <c r="N969" s="12"/>
      <c r="O969" s="12"/>
      <c r="P969" s="12"/>
      <c r="Q969" s="12"/>
      <c r="R969" s="12"/>
      <c r="S969" s="12"/>
      <c r="T969" s="12"/>
      <c r="U969" s="12"/>
      <c r="V969" s="12"/>
      <c r="W969" s="12"/>
      <c r="X969" s="12"/>
      <c r="Y969" s="12"/>
      <c r="Z969" s="12"/>
      <c r="AA969" s="12"/>
      <c r="AB969" s="12"/>
      <c r="AD969" s="12"/>
      <c r="AE969" s="12"/>
      <c r="AF969" s="12"/>
      <c r="AG969" s="12"/>
      <c r="AH969" s="12"/>
      <c r="AI969" s="12"/>
      <c r="AJ969" s="12"/>
      <c r="AK969" s="12"/>
      <c r="AL969" s="12"/>
      <c r="AM969" s="12"/>
      <c r="AN969" s="12"/>
      <c r="AO969" s="12"/>
      <c r="AP969" s="12"/>
      <c r="AQ969" s="12"/>
      <c r="AR969" s="12"/>
      <c r="AS969" s="12"/>
      <c r="AT969" s="12"/>
    </row>
    <row r="970" spans="1:46" x14ac:dyDescent="0.25">
      <c r="A970" s="12"/>
      <c r="B970" s="12"/>
      <c r="C970" s="12"/>
      <c r="D970" s="12"/>
      <c r="E970" s="12"/>
      <c r="F970" s="12"/>
      <c r="G970" s="12"/>
      <c r="H970" s="12"/>
      <c r="I970" s="12"/>
      <c r="J970" s="12"/>
      <c r="L970" s="12"/>
      <c r="M970" s="12"/>
      <c r="N970" s="12"/>
      <c r="O970" s="12"/>
      <c r="P970" s="12"/>
      <c r="Q970" s="12"/>
      <c r="R970" s="12"/>
      <c r="S970" s="12"/>
      <c r="T970" s="12"/>
      <c r="U970" s="12"/>
      <c r="V970" s="12"/>
      <c r="W970" s="12"/>
      <c r="X970" s="12"/>
      <c r="Y970" s="12"/>
      <c r="Z970" s="12"/>
      <c r="AA970" s="12"/>
      <c r="AB970" s="12"/>
      <c r="AD970" s="12"/>
      <c r="AE970" s="12"/>
      <c r="AF970" s="12"/>
      <c r="AG970" s="12"/>
      <c r="AH970" s="12"/>
      <c r="AI970" s="12"/>
      <c r="AJ970" s="12"/>
      <c r="AK970" s="12"/>
      <c r="AL970" s="12"/>
      <c r="AM970" s="12"/>
      <c r="AN970" s="12"/>
      <c r="AO970" s="12"/>
      <c r="AP970" s="12"/>
      <c r="AQ970" s="12"/>
      <c r="AR970" s="12"/>
      <c r="AS970" s="12"/>
      <c r="AT970" s="12"/>
    </row>
    <row r="971" spans="1:46" x14ac:dyDescent="0.25">
      <c r="A971" s="12"/>
      <c r="B971" s="12"/>
      <c r="C971" s="12"/>
      <c r="D971" s="12"/>
      <c r="E971" s="12"/>
      <c r="F971" s="12"/>
      <c r="G971" s="12"/>
      <c r="H971" s="12"/>
      <c r="I971" s="12"/>
      <c r="J971" s="12"/>
      <c r="L971" s="12"/>
      <c r="M971" s="12"/>
      <c r="N971" s="12"/>
      <c r="O971" s="12"/>
      <c r="P971" s="12"/>
      <c r="Q971" s="12"/>
      <c r="R971" s="12"/>
      <c r="S971" s="12"/>
      <c r="T971" s="12"/>
      <c r="U971" s="12"/>
      <c r="V971" s="12"/>
      <c r="W971" s="12"/>
      <c r="X971" s="12"/>
      <c r="Y971" s="12"/>
      <c r="Z971" s="12"/>
      <c r="AA971" s="12"/>
      <c r="AB971" s="12"/>
      <c r="AD971" s="12"/>
      <c r="AE971" s="12"/>
      <c r="AF971" s="12"/>
      <c r="AG971" s="12"/>
      <c r="AH971" s="12"/>
      <c r="AI971" s="12"/>
      <c r="AJ971" s="12"/>
      <c r="AK971" s="12"/>
      <c r="AL971" s="12"/>
      <c r="AM971" s="12"/>
      <c r="AN971" s="12"/>
      <c r="AO971" s="12"/>
      <c r="AP971" s="12"/>
      <c r="AQ971" s="12"/>
      <c r="AR971" s="12"/>
      <c r="AS971" s="12"/>
      <c r="AT971" s="12"/>
    </row>
    <row r="972" spans="1:46" x14ac:dyDescent="0.25">
      <c r="A972" s="12"/>
      <c r="B972" s="12"/>
      <c r="C972" s="12"/>
      <c r="D972" s="12"/>
      <c r="E972" s="12"/>
      <c r="F972" s="12"/>
      <c r="G972" s="12"/>
      <c r="H972" s="12"/>
      <c r="I972" s="12"/>
      <c r="J972" s="12"/>
      <c r="L972" s="12"/>
      <c r="M972" s="12"/>
      <c r="N972" s="12"/>
      <c r="O972" s="12"/>
      <c r="P972" s="12"/>
      <c r="Q972" s="12"/>
      <c r="R972" s="12"/>
      <c r="S972" s="12"/>
      <c r="T972" s="12"/>
      <c r="U972" s="12"/>
      <c r="V972" s="12"/>
      <c r="W972" s="12"/>
      <c r="X972" s="12"/>
      <c r="Y972" s="12"/>
      <c r="Z972" s="12"/>
      <c r="AA972" s="12"/>
      <c r="AB972" s="12"/>
      <c r="AD972" s="12"/>
      <c r="AE972" s="12"/>
      <c r="AF972" s="12"/>
      <c r="AG972" s="12"/>
      <c r="AH972" s="12"/>
      <c r="AI972" s="12"/>
      <c r="AJ972" s="12"/>
      <c r="AK972" s="12"/>
      <c r="AL972" s="12"/>
      <c r="AM972" s="12"/>
      <c r="AN972" s="12"/>
      <c r="AO972" s="12"/>
      <c r="AP972" s="12"/>
      <c r="AQ972" s="12"/>
      <c r="AR972" s="12"/>
      <c r="AS972" s="12"/>
      <c r="AT972" s="12"/>
    </row>
    <row r="973" spans="1:46" x14ac:dyDescent="0.25">
      <c r="A973" s="12"/>
      <c r="B973" s="12"/>
      <c r="C973" s="12"/>
      <c r="D973" s="12"/>
      <c r="E973" s="12"/>
      <c r="F973" s="12"/>
      <c r="G973" s="12"/>
      <c r="H973" s="12"/>
      <c r="I973" s="12"/>
      <c r="J973" s="12"/>
      <c r="L973" s="12"/>
      <c r="M973" s="12"/>
      <c r="N973" s="12"/>
      <c r="O973" s="12"/>
      <c r="P973" s="12"/>
      <c r="Q973" s="12"/>
      <c r="R973" s="12"/>
      <c r="S973" s="12"/>
      <c r="T973" s="12"/>
      <c r="U973" s="12"/>
      <c r="V973" s="12"/>
      <c r="W973" s="12"/>
      <c r="X973" s="12"/>
      <c r="Y973" s="12"/>
      <c r="Z973" s="12"/>
      <c r="AA973" s="12"/>
      <c r="AB973" s="12"/>
      <c r="AD973" s="12"/>
      <c r="AE973" s="12"/>
      <c r="AF973" s="12"/>
      <c r="AG973" s="12"/>
      <c r="AH973" s="12"/>
      <c r="AI973" s="12"/>
      <c r="AJ973" s="12"/>
      <c r="AK973" s="12"/>
      <c r="AL973" s="12"/>
      <c r="AM973" s="12"/>
      <c r="AN973" s="12"/>
      <c r="AO973" s="12"/>
      <c r="AP973" s="12"/>
      <c r="AQ973" s="12"/>
      <c r="AR973" s="12"/>
      <c r="AS973" s="12"/>
      <c r="AT973" s="12"/>
    </row>
    <row r="974" spans="1:46" x14ac:dyDescent="0.25">
      <c r="A974" s="12"/>
      <c r="B974" s="12"/>
      <c r="C974" s="12"/>
      <c r="D974" s="12"/>
      <c r="E974" s="12"/>
      <c r="F974" s="12"/>
      <c r="G974" s="12"/>
      <c r="H974" s="12"/>
      <c r="I974" s="12"/>
      <c r="J974" s="12"/>
      <c r="L974" s="12"/>
      <c r="M974" s="12"/>
      <c r="N974" s="12"/>
      <c r="O974" s="12"/>
      <c r="P974" s="12"/>
      <c r="Q974" s="12"/>
      <c r="R974" s="12"/>
      <c r="S974" s="12"/>
      <c r="T974" s="12"/>
      <c r="U974" s="12"/>
      <c r="V974" s="12"/>
      <c r="W974" s="12"/>
      <c r="X974" s="12"/>
      <c r="Y974" s="12"/>
      <c r="Z974" s="12"/>
      <c r="AA974" s="12"/>
      <c r="AB974" s="12"/>
      <c r="AD974" s="12"/>
      <c r="AE974" s="12"/>
      <c r="AF974" s="12"/>
      <c r="AG974" s="12"/>
      <c r="AH974" s="12"/>
      <c r="AI974" s="12"/>
      <c r="AJ974" s="12"/>
      <c r="AK974" s="12"/>
      <c r="AL974" s="12"/>
      <c r="AM974" s="12"/>
      <c r="AN974" s="12"/>
      <c r="AO974" s="12"/>
      <c r="AP974" s="12"/>
      <c r="AQ974" s="12"/>
      <c r="AR974" s="12"/>
      <c r="AS974" s="12"/>
      <c r="AT974" s="12"/>
    </row>
    <row r="975" spans="1:46" x14ac:dyDescent="0.25">
      <c r="A975" s="12"/>
      <c r="B975" s="12"/>
      <c r="C975" s="12"/>
      <c r="D975" s="12"/>
      <c r="E975" s="12"/>
      <c r="F975" s="12"/>
      <c r="G975" s="12"/>
      <c r="H975" s="12"/>
      <c r="I975" s="12"/>
      <c r="J975" s="12"/>
      <c r="L975" s="12"/>
      <c r="M975" s="12"/>
      <c r="N975" s="12"/>
      <c r="O975" s="12"/>
      <c r="P975" s="12"/>
      <c r="Q975" s="12"/>
      <c r="R975" s="12"/>
      <c r="S975" s="12"/>
      <c r="T975" s="12"/>
      <c r="U975" s="12"/>
      <c r="V975" s="12"/>
      <c r="W975" s="12"/>
      <c r="X975" s="12"/>
      <c r="Y975" s="12"/>
      <c r="Z975" s="12"/>
      <c r="AA975" s="12"/>
      <c r="AB975" s="12"/>
      <c r="AD975" s="12"/>
      <c r="AE975" s="12"/>
      <c r="AF975" s="12"/>
      <c r="AG975" s="12"/>
      <c r="AH975" s="12"/>
      <c r="AI975" s="12"/>
      <c r="AJ975" s="12"/>
      <c r="AK975" s="12"/>
      <c r="AL975" s="12"/>
      <c r="AM975" s="12"/>
      <c r="AN975" s="12"/>
      <c r="AO975" s="12"/>
      <c r="AP975" s="12"/>
      <c r="AQ975" s="12"/>
      <c r="AR975" s="12"/>
      <c r="AS975" s="12"/>
      <c r="AT975" s="12"/>
    </row>
    <row r="976" spans="1:46" x14ac:dyDescent="0.25">
      <c r="A976" s="12"/>
      <c r="B976" s="12"/>
      <c r="C976" s="12"/>
      <c r="D976" s="12"/>
      <c r="E976" s="12"/>
      <c r="F976" s="12"/>
      <c r="G976" s="12"/>
      <c r="H976" s="12"/>
      <c r="I976" s="12"/>
      <c r="J976" s="12"/>
      <c r="L976" s="12"/>
      <c r="M976" s="12"/>
      <c r="N976" s="12"/>
      <c r="O976" s="12"/>
      <c r="P976" s="12"/>
      <c r="Q976" s="12"/>
      <c r="R976" s="12"/>
      <c r="S976" s="12"/>
      <c r="T976" s="12"/>
      <c r="U976" s="12"/>
      <c r="V976" s="12"/>
      <c r="W976" s="12"/>
      <c r="X976" s="12"/>
      <c r="Y976" s="12"/>
      <c r="Z976" s="12"/>
      <c r="AA976" s="12"/>
      <c r="AB976" s="12"/>
      <c r="AD976" s="12"/>
      <c r="AE976" s="12"/>
      <c r="AF976" s="12"/>
      <c r="AG976" s="12"/>
      <c r="AH976" s="12"/>
      <c r="AI976" s="12"/>
      <c r="AJ976" s="12"/>
      <c r="AK976" s="12"/>
      <c r="AL976" s="12"/>
      <c r="AM976" s="12"/>
      <c r="AN976" s="12"/>
      <c r="AO976" s="12"/>
      <c r="AP976" s="12"/>
      <c r="AQ976" s="12"/>
      <c r="AR976" s="12"/>
      <c r="AS976" s="12"/>
      <c r="AT976" s="12"/>
    </row>
    <row r="977" spans="1:46" x14ac:dyDescent="0.25">
      <c r="A977" s="12"/>
      <c r="B977" s="12"/>
      <c r="C977" s="12"/>
      <c r="D977" s="12"/>
      <c r="E977" s="12"/>
      <c r="F977" s="12"/>
      <c r="G977" s="12"/>
      <c r="H977" s="12"/>
      <c r="I977" s="12"/>
      <c r="J977" s="12"/>
      <c r="L977" s="12"/>
      <c r="M977" s="12"/>
      <c r="N977" s="12"/>
      <c r="O977" s="12"/>
      <c r="P977" s="12"/>
      <c r="Q977" s="12"/>
      <c r="R977" s="12"/>
      <c r="S977" s="12"/>
      <c r="T977" s="12"/>
      <c r="U977" s="12"/>
      <c r="V977" s="12"/>
      <c r="W977" s="12"/>
      <c r="X977" s="12"/>
      <c r="Y977" s="12"/>
      <c r="Z977" s="12"/>
      <c r="AA977" s="12"/>
      <c r="AB977" s="12"/>
      <c r="AD977" s="12"/>
      <c r="AE977" s="12"/>
      <c r="AF977" s="12"/>
      <c r="AG977" s="12"/>
      <c r="AH977" s="12"/>
      <c r="AI977" s="12"/>
      <c r="AJ977" s="12"/>
      <c r="AK977" s="12"/>
      <c r="AL977" s="12"/>
      <c r="AM977" s="12"/>
      <c r="AN977" s="12"/>
      <c r="AO977" s="12"/>
      <c r="AP977" s="12"/>
      <c r="AQ977" s="12"/>
      <c r="AR977" s="12"/>
      <c r="AS977" s="12"/>
      <c r="AT977" s="12"/>
    </row>
    <row r="978" spans="1:46" x14ac:dyDescent="0.25">
      <c r="A978" s="12"/>
      <c r="B978" s="12"/>
      <c r="C978" s="12"/>
      <c r="D978" s="12"/>
      <c r="E978" s="12"/>
      <c r="F978" s="12"/>
      <c r="G978" s="12"/>
      <c r="H978" s="12"/>
      <c r="I978" s="12"/>
      <c r="J978" s="12"/>
      <c r="L978" s="12"/>
      <c r="M978" s="12"/>
      <c r="N978" s="12"/>
      <c r="O978" s="12"/>
      <c r="P978" s="12"/>
      <c r="Q978" s="12"/>
      <c r="R978" s="12"/>
      <c r="S978" s="12"/>
      <c r="T978" s="12"/>
      <c r="U978" s="12"/>
      <c r="V978" s="12"/>
      <c r="W978" s="12"/>
      <c r="X978" s="12"/>
      <c r="Y978" s="12"/>
      <c r="Z978" s="12"/>
      <c r="AA978" s="12"/>
      <c r="AB978" s="12"/>
      <c r="AD978" s="12"/>
      <c r="AE978" s="12"/>
      <c r="AF978" s="12"/>
      <c r="AG978" s="12"/>
      <c r="AH978" s="12"/>
      <c r="AI978" s="12"/>
      <c r="AJ978" s="12"/>
      <c r="AK978" s="12"/>
      <c r="AL978" s="12"/>
      <c r="AM978" s="12"/>
      <c r="AN978" s="12"/>
      <c r="AO978" s="12"/>
      <c r="AP978" s="12"/>
      <c r="AQ978" s="12"/>
      <c r="AR978" s="12"/>
      <c r="AS978" s="12"/>
      <c r="AT978" s="12"/>
    </row>
    <row r="979" spans="1:46" x14ac:dyDescent="0.25">
      <c r="A979" s="12"/>
      <c r="B979" s="12"/>
      <c r="C979" s="12"/>
      <c r="D979" s="12"/>
      <c r="E979" s="12"/>
      <c r="F979" s="12"/>
      <c r="G979" s="12"/>
      <c r="H979" s="12"/>
      <c r="I979" s="12"/>
      <c r="J979" s="12"/>
      <c r="L979" s="12"/>
      <c r="M979" s="12"/>
      <c r="N979" s="12"/>
      <c r="O979" s="12"/>
      <c r="P979" s="12"/>
      <c r="Q979" s="12"/>
      <c r="R979" s="12"/>
      <c r="S979" s="12"/>
      <c r="T979" s="12"/>
      <c r="U979" s="12"/>
      <c r="V979" s="12"/>
      <c r="W979" s="12"/>
      <c r="X979" s="12"/>
      <c r="Y979" s="12"/>
      <c r="Z979" s="12"/>
      <c r="AA979" s="12"/>
      <c r="AB979" s="12"/>
      <c r="AD979" s="12"/>
      <c r="AE979" s="12"/>
      <c r="AF979" s="12"/>
      <c r="AG979" s="12"/>
      <c r="AH979" s="12"/>
      <c r="AI979" s="12"/>
      <c r="AJ979" s="12"/>
      <c r="AK979" s="12"/>
      <c r="AL979" s="12"/>
      <c r="AM979" s="12"/>
      <c r="AN979" s="12"/>
      <c r="AO979" s="12"/>
      <c r="AP979" s="12"/>
      <c r="AQ979" s="12"/>
      <c r="AR979" s="12"/>
      <c r="AS979" s="12"/>
      <c r="AT979" s="12"/>
    </row>
    <row r="980" spans="1:46" x14ac:dyDescent="0.25">
      <c r="A980" s="12"/>
      <c r="B980" s="12"/>
      <c r="C980" s="12"/>
      <c r="D980" s="12"/>
      <c r="E980" s="12"/>
      <c r="F980" s="12"/>
      <c r="G980" s="12"/>
      <c r="H980" s="12"/>
      <c r="I980" s="12"/>
      <c r="J980" s="12"/>
      <c r="L980" s="12"/>
      <c r="M980" s="12"/>
      <c r="N980" s="12"/>
      <c r="O980" s="12"/>
      <c r="P980" s="12"/>
      <c r="Q980" s="12"/>
      <c r="R980" s="12"/>
      <c r="S980" s="12"/>
      <c r="T980" s="12"/>
      <c r="U980" s="12"/>
      <c r="V980" s="12"/>
      <c r="W980" s="12"/>
      <c r="X980" s="12"/>
      <c r="Y980" s="12"/>
      <c r="Z980" s="12"/>
      <c r="AA980" s="12"/>
      <c r="AB980" s="12"/>
      <c r="AD980" s="12"/>
      <c r="AE980" s="12"/>
      <c r="AF980" s="12"/>
      <c r="AG980" s="12"/>
      <c r="AH980" s="12"/>
      <c r="AI980" s="12"/>
      <c r="AJ980" s="12"/>
      <c r="AK980" s="12"/>
      <c r="AL980" s="12"/>
      <c r="AM980" s="12"/>
      <c r="AN980" s="12"/>
      <c r="AO980" s="12"/>
      <c r="AP980" s="12"/>
      <c r="AQ980" s="12"/>
      <c r="AR980" s="12"/>
      <c r="AS980" s="12"/>
      <c r="AT980" s="12"/>
    </row>
    <row r="981" spans="1:46" x14ac:dyDescent="0.25">
      <c r="A981" s="12"/>
      <c r="B981" s="12"/>
      <c r="C981" s="12"/>
      <c r="D981" s="12"/>
      <c r="E981" s="12"/>
      <c r="F981" s="12"/>
      <c r="G981" s="12"/>
      <c r="H981" s="12"/>
      <c r="I981" s="12"/>
      <c r="J981" s="12"/>
      <c r="L981" s="12"/>
      <c r="M981" s="12"/>
      <c r="N981" s="12"/>
      <c r="O981" s="12"/>
      <c r="P981" s="12"/>
      <c r="Q981" s="12"/>
      <c r="R981" s="12"/>
      <c r="S981" s="12"/>
      <c r="T981" s="12"/>
      <c r="U981" s="12"/>
      <c r="V981" s="12"/>
      <c r="W981" s="12"/>
      <c r="X981" s="12"/>
      <c r="Y981" s="12"/>
      <c r="Z981" s="12"/>
      <c r="AA981" s="12"/>
      <c r="AB981" s="12"/>
      <c r="AD981" s="12"/>
      <c r="AE981" s="12"/>
      <c r="AF981" s="12"/>
      <c r="AG981" s="12"/>
      <c r="AH981" s="12"/>
      <c r="AI981" s="12"/>
      <c r="AJ981" s="12"/>
      <c r="AK981" s="12"/>
      <c r="AL981" s="12"/>
      <c r="AM981" s="12"/>
      <c r="AN981" s="12"/>
      <c r="AO981" s="12"/>
      <c r="AP981" s="12"/>
      <c r="AQ981" s="12"/>
      <c r="AR981" s="12"/>
      <c r="AS981" s="12"/>
      <c r="AT981" s="12"/>
    </row>
    <row r="982" spans="1:46" x14ac:dyDescent="0.25">
      <c r="A982" s="12"/>
      <c r="B982" s="12"/>
      <c r="C982" s="12"/>
      <c r="D982" s="12"/>
      <c r="E982" s="12"/>
      <c r="F982" s="12"/>
      <c r="G982" s="12"/>
      <c r="H982" s="12"/>
      <c r="I982" s="12"/>
      <c r="J982" s="12"/>
      <c r="L982" s="12"/>
      <c r="M982" s="12"/>
      <c r="N982" s="12"/>
      <c r="O982" s="12"/>
      <c r="P982" s="12"/>
      <c r="Q982" s="12"/>
      <c r="R982" s="12"/>
      <c r="S982" s="12"/>
      <c r="T982" s="12"/>
      <c r="U982" s="12"/>
      <c r="V982" s="12"/>
      <c r="W982" s="12"/>
      <c r="X982" s="12"/>
      <c r="Y982" s="12"/>
      <c r="Z982" s="12"/>
      <c r="AA982" s="12"/>
      <c r="AB982" s="12"/>
      <c r="AD982" s="12"/>
      <c r="AE982" s="12"/>
      <c r="AF982" s="12"/>
      <c r="AG982" s="12"/>
      <c r="AH982" s="12"/>
      <c r="AI982" s="12"/>
      <c r="AJ982" s="12"/>
      <c r="AK982" s="12"/>
      <c r="AL982" s="12"/>
      <c r="AM982" s="12"/>
      <c r="AN982" s="12"/>
      <c r="AO982" s="12"/>
      <c r="AP982" s="12"/>
      <c r="AQ982" s="12"/>
      <c r="AR982" s="12"/>
      <c r="AS982" s="12"/>
      <c r="AT982" s="12"/>
    </row>
    <row r="983" spans="1:46" x14ac:dyDescent="0.25">
      <c r="A983" s="12"/>
      <c r="B983" s="12"/>
      <c r="C983" s="12"/>
      <c r="D983" s="12"/>
      <c r="E983" s="12"/>
      <c r="F983" s="12"/>
      <c r="G983" s="12"/>
      <c r="H983" s="12"/>
      <c r="I983" s="12"/>
      <c r="J983" s="12"/>
      <c r="L983" s="12"/>
      <c r="M983" s="12"/>
      <c r="N983" s="12"/>
      <c r="O983" s="12"/>
      <c r="P983" s="12"/>
      <c r="Q983" s="12"/>
      <c r="R983" s="12"/>
      <c r="S983" s="12"/>
      <c r="T983" s="12"/>
      <c r="U983" s="12"/>
      <c r="V983" s="12"/>
      <c r="W983" s="12"/>
      <c r="X983" s="12"/>
      <c r="Y983" s="12"/>
      <c r="Z983" s="12"/>
      <c r="AA983" s="12"/>
      <c r="AB983" s="12"/>
      <c r="AD983" s="12"/>
      <c r="AE983" s="12"/>
      <c r="AF983" s="12"/>
      <c r="AG983" s="12"/>
      <c r="AH983" s="12"/>
      <c r="AI983" s="12"/>
      <c r="AJ983" s="12"/>
      <c r="AK983" s="12"/>
      <c r="AL983" s="12"/>
      <c r="AM983" s="12"/>
      <c r="AN983" s="12"/>
      <c r="AO983" s="12"/>
      <c r="AP983" s="12"/>
      <c r="AQ983" s="12"/>
      <c r="AR983" s="12"/>
      <c r="AS983" s="12"/>
      <c r="AT983" s="12"/>
    </row>
    <row r="984" spans="1:46" x14ac:dyDescent="0.25">
      <c r="A984" s="12"/>
      <c r="B984" s="12"/>
      <c r="C984" s="12"/>
      <c r="D984" s="12"/>
      <c r="E984" s="12"/>
      <c r="F984" s="12"/>
      <c r="G984" s="12"/>
      <c r="H984" s="12"/>
      <c r="I984" s="12"/>
      <c r="J984" s="12"/>
      <c r="L984" s="12"/>
      <c r="M984" s="12"/>
      <c r="N984" s="12"/>
      <c r="O984" s="12"/>
      <c r="P984" s="12"/>
      <c r="Q984" s="12"/>
      <c r="R984" s="12"/>
      <c r="S984" s="12"/>
      <c r="T984" s="12"/>
      <c r="U984" s="12"/>
      <c r="V984" s="12"/>
      <c r="W984" s="12"/>
      <c r="X984" s="12"/>
      <c r="Y984" s="12"/>
      <c r="Z984" s="12"/>
      <c r="AA984" s="12"/>
      <c r="AB984" s="12"/>
      <c r="AD984" s="12"/>
      <c r="AE984" s="12"/>
      <c r="AF984" s="12"/>
      <c r="AG984" s="12"/>
      <c r="AH984" s="12"/>
      <c r="AI984" s="12"/>
      <c r="AJ984" s="12"/>
      <c r="AK984" s="12"/>
      <c r="AL984" s="12"/>
      <c r="AM984" s="12"/>
      <c r="AN984" s="12"/>
      <c r="AO984" s="12"/>
      <c r="AP984" s="12"/>
      <c r="AQ984" s="12"/>
      <c r="AR984" s="12"/>
      <c r="AS984" s="12"/>
      <c r="AT984" s="12"/>
    </row>
    <row r="985" spans="1:46" x14ac:dyDescent="0.25">
      <c r="A985" s="12"/>
      <c r="B985" s="12"/>
      <c r="C985" s="12"/>
      <c r="D985" s="12"/>
      <c r="E985" s="12"/>
      <c r="F985" s="12"/>
      <c r="G985" s="12"/>
      <c r="H985" s="12"/>
      <c r="I985" s="12"/>
      <c r="J985" s="12"/>
      <c r="L985" s="12"/>
      <c r="M985" s="12"/>
      <c r="N985" s="12"/>
      <c r="O985" s="12"/>
      <c r="P985" s="12"/>
      <c r="Q985" s="12"/>
      <c r="R985" s="12"/>
      <c r="S985" s="12"/>
      <c r="T985" s="12"/>
      <c r="U985" s="12"/>
      <c r="V985" s="12"/>
      <c r="W985" s="12"/>
      <c r="X985" s="12"/>
      <c r="Y985" s="12"/>
      <c r="Z985" s="12"/>
      <c r="AA985" s="12"/>
      <c r="AB985" s="12"/>
      <c r="AD985" s="12"/>
      <c r="AE985" s="12"/>
      <c r="AF985" s="12"/>
      <c r="AG985" s="12"/>
      <c r="AH985" s="12"/>
      <c r="AI985" s="12"/>
      <c r="AJ985" s="12"/>
      <c r="AK985" s="12"/>
      <c r="AL985" s="12"/>
      <c r="AM985" s="12"/>
      <c r="AN985" s="12"/>
      <c r="AO985" s="12"/>
      <c r="AP985" s="12"/>
      <c r="AQ985" s="12"/>
      <c r="AR985" s="12"/>
      <c r="AS985" s="12"/>
      <c r="AT985" s="12"/>
    </row>
    <row r="986" spans="1:46" x14ac:dyDescent="0.25">
      <c r="A986" s="12"/>
      <c r="B986" s="12"/>
      <c r="C986" s="12"/>
      <c r="D986" s="12"/>
      <c r="E986" s="12"/>
      <c r="F986" s="12"/>
      <c r="G986" s="12"/>
      <c r="H986" s="12"/>
      <c r="I986" s="12"/>
      <c r="J986" s="12"/>
      <c r="L986" s="12"/>
      <c r="M986" s="12"/>
      <c r="N986" s="12"/>
      <c r="O986" s="12"/>
      <c r="P986" s="12"/>
      <c r="Q986" s="12"/>
      <c r="R986" s="12"/>
      <c r="S986" s="12"/>
      <c r="T986" s="12"/>
      <c r="U986" s="12"/>
      <c r="V986" s="12"/>
      <c r="W986" s="12"/>
      <c r="X986" s="12"/>
      <c r="Y986" s="12"/>
      <c r="Z986" s="12"/>
      <c r="AA986" s="12"/>
      <c r="AB986" s="12"/>
      <c r="AD986" s="12"/>
      <c r="AE986" s="12"/>
      <c r="AF986" s="12"/>
      <c r="AG986" s="12"/>
      <c r="AH986" s="12"/>
      <c r="AI986" s="12"/>
      <c r="AJ986" s="12"/>
      <c r="AK986" s="12"/>
      <c r="AL986" s="12"/>
      <c r="AM986" s="12"/>
      <c r="AN986" s="12"/>
      <c r="AO986" s="12"/>
      <c r="AP986" s="12"/>
      <c r="AQ986" s="12"/>
      <c r="AR986" s="12"/>
      <c r="AS986" s="12"/>
      <c r="AT986" s="12"/>
    </row>
    <row r="987" spans="1:46" x14ac:dyDescent="0.25">
      <c r="A987" s="12"/>
      <c r="B987" s="12"/>
      <c r="C987" s="12"/>
      <c r="D987" s="12"/>
      <c r="E987" s="12"/>
      <c r="F987" s="12"/>
      <c r="G987" s="12"/>
      <c r="H987" s="12"/>
      <c r="I987" s="12"/>
      <c r="J987" s="12"/>
      <c r="L987" s="12"/>
      <c r="M987" s="12"/>
      <c r="N987" s="12"/>
      <c r="O987" s="12"/>
      <c r="P987" s="12"/>
      <c r="Q987" s="12"/>
      <c r="R987" s="12"/>
      <c r="S987" s="12"/>
      <c r="T987" s="12"/>
      <c r="U987" s="12"/>
      <c r="V987" s="12"/>
      <c r="W987" s="12"/>
      <c r="X987" s="12"/>
      <c r="Y987" s="12"/>
      <c r="Z987" s="12"/>
      <c r="AA987" s="12"/>
      <c r="AB987" s="12"/>
      <c r="AD987" s="12"/>
      <c r="AE987" s="12"/>
      <c r="AF987" s="12"/>
      <c r="AG987" s="12"/>
      <c r="AH987" s="12"/>
      <c r="AI987" s="12"/>
      <c r="AJ987" s="12"/>
      <c r="AK987" s="12"/>
      <c r="AL987" s="12"/>
      <c r="AM987" s="12"/>
      <c r="AN987" s="12"/>
      <c r="AO987" s="12"/>
      <c r="AP987" s="12"/>
      <c r="AQ987" s="12"/>
      <c r="AR987" s="12"/>
      <c r="AS987" s="12"/>
      <c r="AT987" s="12"/>
    </row>
    <row r="988" spans="1:46" x14ac:dyDescent="0.25">
      <c r="A988" s="12"/>
      <c r="B988" s="12"/>
      <c r="C988" s="12"/>
      <c r="D988" s="12"/>
      <c r="E988" s="12"/>
      <c r="F988" s="12"/>
      <c r="G988" s="12"/>
      <c r="H988" s="12"/>
      <c r="I988" s="12"/>
      <c r="J988" s="12"/>
      <c r="L988" s="12"/>
      <c r="M988" s="12"/>
      <c r="N988" s="12"/>
      <c r="O988" s="12"/>
      <c r="P988" s="12"/>
      <c r="Q988" s="12"/>
      <c r="R988" s="12"/>
      <c r="S988" s="12"/>
      <c r="T988" s="12"/>
      <c r="U988" s="12"/>
      <c r="V988" s="12"/>
      <c r="W988" s="12"/>
      <c r="X988" s="12"/>
      <c r="Y988" s="12"/>
      <c r="Z988" s="12"/>
      <c r="AA988" s="12"/>
      <c r="AB988" s="12"/>
      <c r="AD988" s="12"/>
      <c r="AE988" s="12"/>
      <c r="AF988" s="12"/>
      <c r="AG988" s="12"/>
      <c r="AH988" s="12"/>
      <c r="AI988" s="12"/>
      <c r="AJ988" s="12"/>
      <c r="AK988" s="12"/>
      <c r="AL988" s="12"/>
      <c r="AM988" s="12"/>
      <c r="AN988" s="12"/>
      <c r="AO988" s="12"/>
      <c r="AP988" s="12"/>
      <c r="AQ988" s="12"/>
      <c r="AR988" s="12"/>
      <c r="AS988" s="12"/>
      <c r="AT988" s="12"/>
    </row>
    <row r="989" spans="1:46" x14ac:dyDescent="0.25">
      <c r="A989" s="12"/>
      <c r="B989" s="12"/>
      <c r="C989" s="12"/>
      <c r="D989" s="12"/>
      <c r="E989" s="12"/>
      <c r="F989" s="12"/>
      <c r="G989" s="12"/>
      <c r="H989" s="12"/>
      <c r="I989" s="12"/>
      <c r="J989" s="12"/>
      <c r="L989" s="12"/>
      <c r="M989" s="12"/>
      <c r="N989" s="12"/>
      <c r="O989" s="12"/>
      <c r="P989" s="12"/>
      <c r="Q989" s="12"/>
      <c r="R989" s="12"/>
      <c r="S989" s="12"/>
      <c r="T989" s="12"/>
      <c r="U989" s="12"/>
      <c r="V989" s="12"/>
      <c r="W989" s="12"/>
      <c r="X989" s="12"/>
      <c r="Y989" s="12"/>
      <c r="Z989" s="12"/>
      <c r="AA989" s="12"/>
      <c r="AB989" s="12"/>
      <c r="AD989" s="12"/>
      <c r="AE989" s="12"/>
      <c r="AF989" s="12"/>
      <c r="AG989" s="12"/>
      <c r="AH989" s="12"/>
      <c r="AI989" s="12"/>
      <c r="AJ989" s="12"/>
      <c r="AK989" s="12"/>
      <c r="AL989" s="12"/>
      <c r="AM989" s="12"/>
      <c r="AN989" s="12"/>
      <c r="AO989" s="12"/>
      <c r="AP989" s="12"/>
      <c r="AQ989" s="12"/>
      <c r="AR989" s="12"/>
      <c r="AS989" s="12"/>
      <c r="AT989" s="12"/>
    </row>
    <row r="990" spans="1:46" x14ac:dyDescent="0.25">
      <c r="A990" s="12"/>
      <c r="B990" s="12"/>
      <c r="C990" s="12"/>
      <c r="D990" s="12"/>
      <c r="E990" s="12"/>
      <c r="F990" s="12"/>
      <c r="G990" s="12"/>
      <c r="H990" s="12"/>
      <c r="I990" s="12"/>
      <c r="J990" s="12"/>
      <c r="L990" s="12"/>
      <c r="M990" s="12"/>
      <c r="N990" s="12"/>
      <c r="O990" s="12"/>
      <c r="P990" s="12"/>
      <c r="Q990" s="12"/>
      <c r="R990" s="12"/>
      <c r="S990" s="12"/>
      <c r="T990" s="12"/>
      <c r="U990" s="12"/>
      <c r="V990" s="12"/>
      <c r="W990" s="12"/>
      <c r="X990" s="12"/>
      <c r="Y990" s="12"/>
      <c r="Z990" s="12"/>
      <c r="AA990" s="12"/>
      <c r="AB990" s="12"/>
      <c r="AD990" s="12"/>
      <c r="AE990" s="12"/>
      <c r="AF990" s="12"/>
      <c r="AG990" s="12"/>
      <c r="AH990" s="12"/>
      <c r="AI990" s="12"/>
      <c r="AJ990" s="12"/>
      <c r="AK990" s="12"/>
      <c r="AL990" s="12"/>
      <c r="AM990" s="12"/>
      <c r="AN990" s="12"/>
      <c r="AO990" s="12"/>
      <c r="AP990" s="12"/>
      <c r="AQ990" s="12"/>
      <c r="AR990" s="12"/>
      <c r="AS990" s="12"/>
      <c r="AT990" s="12"/>
    </row>
    <row r="991" spans="1:46" x14ac:dyDescent="0.25">
      <c r="A991" s="12"/>
      <c r="B991" s="12"/>
      <c r="C991" s="12"/>
      <c r="D991" s="12"/>
      <c r="E991" s="12"/>
      <c r="F991" s="12"/>
      <c r="G991" s="12"/>
      <c r="H991" s="12"/>
      <c r="I991" s="12"/>
      <c r="J991" s="12"/>
      <c r="L991" s="12"/>
      <c r="M991" s="12"/>
      <c r="N991" s="12"/>
      <c r="O991" s="12"/>
      <c r="P991" s="12"/>
      <c r="Q991" s="12"/>
      <c r="R991" s="12"/>
      <c r="S991" s="12"/>
      <c r="T991" s="12"/>
      <c r="U991" s="12"/>
      <c r="V991" s="12"/>
      <c r="W991" s="12"/>
      <c r="X991" s="12"/>
      <c r="Y991" s="12"/>
      <c r="Z991" s="12"/>
      <c r="AA991" s="12"/>
      <c r="AB991" s="12"/>
      <c r="AD991" s="12"/>
      <c r="AE991" s="12"/>
      <c r="AF991" s="12"/>
      <c r="AG991" s="12"/>
      <c r="AH991" s="12"/>
      <c r="AI991" s="12"/>
      <c r="AJ991" s="12"/>
      <c r="AK991" s="12"/>
      <c r="AL991" s="12"/>
      <c r="AM991" s="12"/>
      <c r="AN991" s="12"/>
      <c r="AO991" s="12"/>
      <c r="AP991" s="12"/>
      <c r="AQ991" s="12"/>
      <c r="AR991" s="12"/>
      <c r="AS991" s="12"/>
      <c r="AT991" s="12"/>
    </row>
    <row r="992" spans="1:46" x14ac:dyDescent="0.25">
      <c r="A992" s="12"/>
      <c r="B992" s="12"/>
      <c r="C992" s="12"/>
      <c r="D992" s="12"/>
      <c r="E992" s="12"/>
      <c r="F992" s="12"/>
      <c r="G992" s="12"/>
      <c r="H992" s="12"/>
      <c r="I992" s="12"/>
      <c r="J992" s="12"/>
      <c r="L992" s="12"/>
      <c r="M992" s="12"/>
      <c r="N992" s="12"/>
      <c r="O992" s="12"/>
      <c r="P992" s="12"/>
      <c r="Q992" s="12"/>
      <c r="R992" s="12"/>
      <c r="S992" s="12"/>
      <c r="T992" s="12"/>
      <c r="U992" s="12"/>
      <c r="V992" s="12"/>
      <c r="W992" s="12"/>
      <c r="X992" s="12"/>
      <c r="Y992" s="12"/>
      <c r="Z992" s="12"/>
      <c r="AA992" s="12"/>
      <c r="AB992" s="12"/>
      <c r="AD992" s="12"/>
      <c r="AE992" s="12"/>
      <c r="AF992" s="12"/>
      <c r="AG992" s="12"/>
      <c r="AH992" s="12"/>
      <c r="AI992" s="12"/>
      <c r="AJ992" s="12"/>
      <c r="AK992" s="12"/>
      <c r="AL992" s="12"/>
      <c r="AM992" s="12"/>
      <c r="AN992" s="12"/>
      <c r="AO992" s="12"/>
      <c r="AP992" s="12"/>
      <c r="AQ992" s="12"/>
      <c r="AR992" s="12"/>
      <c r="AS992" s="12"/>
      <c r="AT992" s="12"/>
    </row>
    <row r="993" spans="1:46" x14ac:dyDescent="0.25">
      <c r="A993" s="12"/>
      <c r="B993" s="12"/>
      <c r="C993" s="12"/>
      <c r="D993" s="12"/>
      <c r="E993" s="12"/>
      <c r="F993" s="12"/>
      <c r="G993" s="12"/>
      <c r="H993" s="12"/>
      <c r="I993" s="12"/>
      <c r="J993" s="12"/>
      <c r="L993" s="12"/>
      <c r="M993" s="12"/>
      <c r="N993" s="12"/>
      <c r="O993" s="12"/>
      <c r="P993" s="12"/>
      <c r="Q993" s="12"/>
      <c r="R993" s="12"/>
      <c r="S993" s="12"/>
      <c r="T993" s="12"/>
      <c r="U993" s="12"/>
      <c r="V993" s="12"/>
      <c r="W993" s="12"/>
      <c r="X993" s="12"/>
      <c r="Y993" s="12"/>
      <c r="Z993" s="12"/>
      <c r="AA993" s="12"/>
      <c r="AB993" s="12"/>
      <c r="AD993" s="12"/>
      <c r="AE993" s="12"/>
      <c r="AF993" s="12"/>
      <c r="AG993" s="12"/>
      <c r="AH993" s="12"/>
      <c r="AI993" s="12"/>
      <c r="AJ993" s="12"/>
      <c r="AK993" s="12"/>
      <c r="AL993" s="12"/>
      <c r="AM993" s="12"/>
      <c r="AN993" s="12"/>
      <c r="AO993" s="12"/>
      <c r="AP993" s="12"/>
      <c r="AQ993" s="12"/>
      <c r="AR993" s="12"/>
      <c r="AS993" s="12"/>
      <c r="AT993" s="12"/>
    </row>
    <row r="994" spans="1:46" x14ac:dyDescent="0.25">
      <c r="A994" s="12"/>
      <c r="B994" s="12"/>
      <c r="C994" s="12"/>
      <c r="D994" s="12"/>
      <c r="E994" s="12"/>
      <c r="F994" s="12"/>
      <c r="G994" s="12"/>
      <c r="H994" s="12"/>
      <c r="I994" s="12"/>
      <c r="J994" s="12"/>
      <c r="L994" s="12"/>
      <c r="M994" s="12"/>
      <c r="N994" s="12"/>
      <c r="O994" s="12"/>
      <c r="P994" s="12"/>
      <c r="Q994" s="12"/>
      <c r="R994" s="12"/>
      <c r="S994" s="12"/>
      <c r="T994" s="12"/>
      <c r="U994" s="12"/>
      <c r="V994" s="12"/>
      <c r="W994" s="12"/>
      <c r="X994" s="12"/>
      <c r="Y994" s="12"/>
      <c r="Z994" s="12"/>
      <c r="AA994" s="12"/>
      <c r="AB994" s="12"/>
      <c r="AD994" s="12"/>
      <c r="AE994" s="12"/>
      <c r="AF994" s="12"/>
      <c r="AG994" s="12"/>
      <c r="AH994" s="12"/>
      <c r="AI994" s="12"/>
      <c r="AJ994" s="12"/>
      <c r="AK994" s="12"/>
      <c r="AL994" s="12"/>
      <c r="AM994" s="12"/>
      <c r="AN994" s="12"/>
      <c r="AO994" s="12"/>
      <c r="AP994" s="12"/>
      <c r="AQ994" s="12"/>
      <c r="AR994" s="12"/>
      <c r="AS994" s="12"/>
      <c r="AT994" s="12"/>
    </row>
    <row r="995" spans="1:46" x14ac:dyDescent="0.25">
      <c r="A995" s="12"/>
      <c r="B995" s="12"/>
      <c r="C995" s="12"/>
      <c r="D995" s="12"/>
      <c r="E995" s="12"/>
      <c r="F995" s="12"/>
      <c r="G995" s="12"/>
      <c r="H995" s="12"/>
      <c r="I995" s="12"/>
      <c r="J995" s="12"/>
      <c r="L995" s="12"/>
      <c r="M995" s="12"/>
      <c r="N995" s="12"/>
      <c r="O995" s="12"/>
      <c r="P995" s="12"/>
      <c r="Q995" s="12"/>
      <c r="R995" s="12"/>
      <c r="S995" s="12"/>
      <c r="T995" s="12"/>
      <c r="U995" s="12"/>
      <c r="V995" s="12"/>
      <c r="W995" s="12"/>
      <c r="X995" s="12"/>
      <c r="Y995" s="12"/>
      <c r="Z995" s="12"/>
      <c r="AA995" s="12"/>
      <c r="AB995" s="12"/>
      <c r="AD995" s="12"/>
      <c r="AE995" s="12"/>
      <c r="AF995" s="12"/>
      <c r="AG995" s="12"/>
      <c r="AH995" s="12"/>
      <c r="AI995" s="12"/>
      <c r="AJ995" s="12"/>
      <c r="AK995" s="12"/>
      <c r="AL995" s="12"/>
      <c r="AM995" s="12"/>
      <c r="AN995" s="12"/>
      <c r="AO995" s="12"/>
      <c r="AP995" s="12"/>
      <c r="AQ995" s="12"/>
      <c r="AR995" s="12"/>
      <c r="AS995" s="12"/>
      <c r="AT995" s="12"/>
    </row>
    <row r="996" spans="1:46" x14ac:dyDescent="0.25">
      <c r="A996" s="12"/>
      <c r="B996" s="12"/>
      <c r="C996" s="12"/>
      <c r="D996" s="12"/>
      <c r="E996" s="12"/>
      <c r="F996" s="12"/>
      <c r="G996" s="12"/>
      <c r="H996" s="12"/>
      <c r="I996" s="12"/>
      <c r="J996" s="12"/>
      <c r="L996" s="12"/>
      <c r="M996" s="12"/>
      <c r="N996" s="12"/>
      <c r="O996" s="12"/>
      <c r="P996" s="12"/>
      <c r="Q996" s="12"/>
      <c r="R996" s="12"/>
      <c r="S996" s="12"/>
      <c r="T996" s="12"/>
      <c r="U996" s="12"/>
      <c r="V996" s="12"/>
      <c r="W996" s="12"/>
      <c r="X996" s="12"/>
      <c r="Y996" s="12"/>
      <c r="Z996" s="12"/>
      <c r="AA996" s="12"/>
      <c r="AB996" s="12"/>
      <c r="AD996" s="12"/>
      <c r="AE996" s="12"/>
      <c r="AF996" s="12"/>
      <c r="AG996" s="12"/>
      <c r="AH996" s="12"/>
      <c r="AI996" s="12"/>
      <c r="AJ996" s="12"/>
      <c r="AK996" s="12"/>
      <c r="AL996" s="12"/>
      <c r="AM996" s="12"/>
      <c r="AN996" s="12"/>
      <c r="AO996" s="12"/>
      <c r="AP996" s="12"/>
      <c r="AQ996" s="12"/>
      <c r="AR996" s="12"/>
      <c r="AS996" s="12"/>
      <c r="AT996" s="12"/>
    </row>
    <row r="997" spans="1:46" x14ac:dyDescent="0.25">
      <c r="A997" s="12"/>
      <c r="B997" s="12"/>
      <c r="C997" s="12"/>
      <c r="D997" s="12"/>
      <c r="E997" s="12"/>
      <c r="F997" s="12"/>
      <c r="G997" s="12"/>
      <c r="H997" s="12"/>
      <c r="I997" s="12"/>
      <c r="J997" s="12"/>
      <c r="L997" s="12"/>
      <c r="M997" s="12"/>
      <c r="N997" s="12"/>
      <c r="O997" s="12"/>
      <c r="P997" s="12"/>
      <c r="Q997" s="12"/>
      <c r="R997" s="12"/>
      <c r="S997" s="12"/>
      <c r="T997" s="12"/>
      <c r="U997" s="12"/>
      <c r="V997" s="12"/>
      <c r="W997" s="12"/>
      <c r="X997" s="12"/>
      <c r="Y997" s="12"/>
      <c r="Z997" s="12"/>
      <c r="AA997" s="12"/>
      <c r="AB997" s="12"/>
      <c r="AD997" s="12"/>
      <c r="AE997" s="12"/>
      <c r="AF997" s="12"/>
      <c r="AG997" s="12"/>
      <c r="AH997" s="12"/>
      <c r="AI997" s="12"/>
      <c r="AJ997" s="12"/>
      <c r="AK997" s="12"/>
      <c r="AL997" s="12"/>
      <c r="AM997" s="12"/>
      <c r="AN997" s="12"/>
      <c r="AO997" s="12"/>
      <c r="AP997" s="12"/>
      <c r="AQ997" s="12"/>
      <c r="AR997" s="12"/>
      <c r="AS997" s="12"/>
      <c r="AT997" s="12"/>
    </row>
    <row r="998" spans="1:46" x14ac:dyDescent="0.25">
      <c r="A998" s="12"/>
      <c r="B998" s="12"/>
      <c r="C998" s="12"/>
      <c r="D998" s="12"/>
      <c r="E998" s="12"/>
      <c r="F998" s="12"/>
      <c r="G998" s="12"/>
      <c r="H998" s="12"/>
      <c r="I998" s="12"/>
      <c r="J998" s="12"/>
      <c r="L998" s="12"/>
      <c r="M998" s="12"/>
      <c r="N998" s="12"/>
      <c r="O998" s="12"/>
      <c r="P998" s="12"/>
      <c r="Q998" s="12"/>
      <c r="R998" s="12"/>
      <c r="S998" s="12"/>
      <c r="T998" s="12"/>
      <c r="U998" s="12"/>
      <c r="V998" s="12"/>
      <c r="W998" s="12"/>
      <c r="X998" s="12"/>
      <c r="Y998" s="12"/>
      <c r="Z998" s="12"/>
      <c r="AA998" s="12"/>
      <c r="AB998" s="12"/>
      <c r="AD998" s="12"/>
      <c r="AE998" s="12"/>
      <c r="AF998" s="12"/>
      <c r="AG998" s="12"/>
      <c r="AH998" s="12"/>
      <c r="AI998" s="12"/>
      <c r="AJ998" s="12"/>
      <c r="AK998" s="12"/>
      <c r="AL998" s="12"/>
      <c r="AM998" s="12"/>
      <c r="AN998" s="12"/>
      <c r="AO998" s="12"/>
      <c r="AP998" s="12"/>
      <c r="AQ998" s="12"/>
      <c r="AR998" s="12"/>
      <c r="AS998" s="12"/>
      <c r="AT998" s="12"/>
    </row>
    <row r="999" spans="1:46" x14ac:dyDescent="0.25">
      <c r="A999" s="12"/>
      <c r="B999" s="12"/>
      <c r="C999" s="12"/>
      <c r="D999" s="12"/>
      <c r="E999" s="12"/>
      <c r="F999" s="12"/>
      <c r="G999" s="12"/>
      <c r="H999" s="12"/>
      <c r="I999" s="12"/>
      <c r="J999" s="12"/>
      <c r="L999" s="12"/>
      <c r="M999" s="12"/>
      <c r="N999" s="12"/>
      <c r="O999" s="12"/>
      <c r="P999" s="12"/>
      <c r="Q999" s="12"/>
      <c r="R999" s="12"/>
      <c r="S999" s="12"/>
      <c r="T999" s="12"/>
      <c r="U999" s="12"/>
      <c r="V999" s="12"/>
      <c r="W999" s="12"/>
      <c r="X999" s="12"/>
      <c r="Y999" s="12"/>
      <c r="Z999" s="12"/>
      <c r="AA999" s="12"/>
      <c r="AB999" s="12"/>
      <c r="AD999" s="12"/>
      <c r="AE999" s="12"/>
      <c r="AF999" s="12"/>
      <c r="AG999" s="12"/>
      <c r="AH999" s="12"/>
      <c r="AI999" s="12"/>
      <c r="AJ999" s="12"/>
      <c r="AK999" s="12"/>
      <c r="AL999" s="12"/>
      <c r="AM999" s="12"/>
      <c r="AN999" s="12"/>
      <c r="AO999" s="12"/>
      <c r="AP999" s="12"/>
      <c r="AQ999" s="12"/>
      <c r="AR999" s="12"/>
      <c r="AS999" s="12"/>
      <c r="AT999" s="12"/>
    </row>
    <row r="1000" spans="1:46" x14ac:dyDescent="0.25">
      <c r="A1000" s="12"/>
      <c r="B1000" s="12"/>
      <c r="C1000" s="12"/>
      <c r="D1000" s="12"/>
      <c r="E1000" s="12"/>
      <c r="F1000" s="12"/>
      <c r="G1000" s="12"/>
      <c r="H1000" s="12"/>
      <c r="I1000" s="12"/>
      <c r="J1000" s="12"/>
      <c r="L1000" s="12"/>
      <c r="M1000" s="12"/>
      <c r="N1000" s="12"/>
      <c r="O1000" s="12"/>
      <c r="P1000" s="12"/>
      <c r="Q1000" s="12"/>
      <c r="R1000" s="12"/>
      <c r="S1000" s="12"/>
      <c r="T1000" s="12"/>
      <c r="U1000" s="12"/>
      <c r="V1000" s="12"/>
      <c r="W1000" s="12"/>
      <c r="X1000" s="12"/>
      <c r="Y1000" s="12"/>
      <c r="Z1000" s="12"/>
      <c r="AA1000" s="12"/>
      <c r="AB1000" s="12"/>
      <c r="AD1000" s="12"/>
      <c r="AE1000" s="12"/>
      <c r="AF1000" s="12"/>
      <c r="AG1000" s="12"/>
      <c r="AH1000" s="12"/>
      <c r="AI1000" s="12"/>
      <c r="AJ1000" s="12"/>
      <c r="AK1000" s="12"/>
      <c r="AL1000" s="12"/>
      <c r="AM1000" s="12"/>
      <c r="AN1000" s="12"/>
      <c r="AO1000" s="12"/>
      <c r="AP1000" s="12"/>
      <c r="AQ1000" s="12"/>
      <c r="AR1000" s="12"/>
      <c r="AS1000" s="12"/>
      <c r="AT1000" s="12"/>
    </row>
    <row r="1001" spans="1:46" x14ac:dyDescent="0.25">
      <c r="A1001" s="12"/>
      <c r="B1001" s="12"/>
      <c r="C1001" s="12"/>
      <c r="D1001" s="12"/>
      <c r="E1001" s="12"/>
      <c r="F1001" s="12"/>
      <c r="G1001" s="12"/>
      <c r="H1001" s="12"/>
      <c r="I1001" s="12"/>
      <c r="J1001" s="12"/>
      <c r="L1001" s="12"/>
      <c r="M1001" s="12"/>
      <c r="N1001" s="12"/>
      <c r="O1001" s="12"/>
      <c r="P1001" s="12"/>
      <c r="Q1001" s="12"/>
      <c r="R1001" s="12"/>
      <c r="S1001" s="12"/>
      <c r="T1001" s="12"/>
      <c r="U1001" s="12"/>
      <c r="V1001" s="12"/>
      <c r="W1001" s="12"/>
      <c r="X1001" s="12"/>
      <c r="Y1001" s="12"/>
      <c r="Z1001" s="12"/>
      <c r="AA1001" s="12"/>
      <c r="AB1001" s="12"/>
      <c r="AD1001" s="12"/>
      <c r="AE1001" s="12"/>
      <c r="AF1001" s="12"/>
      <c r="AG1001" s="12"/>
      <c r="AH1001" s="12"/>
      <c r="AI1001" s="12"/>
      <c r="AJ1001" s="12"/>
      <c r="AK1001" s="12"/>
      <c r="AL1001" s="12"/>
      <c r="AM1001" s="12"/>
      <c r="AN1001" s="12"/>
      <c r="AO1001" s="12"/>
      <c r="AP1001" s="12"/>
      <c r="AQ1001" s="12"/>
      <c r="AR1001" s="12"/>
      <c r="AS1001" s="12"/>
      <c r="AT1001" s="12"/>
    </row>
    <row r="1002" spans="1:46" x14ac:dyDescent="0.25">
      <c r="A1002" s="12"/>
      <c r="B1002" s="12"/>
      <c r="C1002" s="12"/>
      <c r="D1002" s="12"/>
      <c r="E1002" s="12"/>
      <c r="F1002" s="12"/>
      <c r="G1002" s="12"/>
      <c r="H1002" s="12"/>
      <c r="I1002" s="12"/>
      <c r="J1002" s="12"/>
      <c r="L1002" s="12"/>
      <c r="M1002" s="12"/>
      <c r="N1002" s="12"/>
      <c r="O1002" s="12"/>
      <c r="P1002" s="12"/>
      <c r="Q1002" s="12"/>
      <c r="R1002" s="12"/>
      <c r="S1002" s="12"/>
      <c r="T1002" s="12"/>
      <c r="U1002" s="12"/>
      <c r="V1002" s="12"/>
      <c r="W1002" s="12"/>
      <c r="X1002" s="12"/>
      <c r="Y1002" s="12"/>
      <c r="Z1002" s="12"/>
      <c r="AA1002" s="12"/>
      <c r="AB1002" s="12"/>
      <c r="AD1002" s="12"/>
      <c r="AE1002" s="12"/>
      <c r="AF1002" s="12"/>
      <c r="AG1002" s="12"/>
      <c r="AH1002" s="12"/>
      <c r="AI1002" s="12"/>
      <c r="AJ1002" s="12"/>
      <c r="AK1002" s="12"/>
      <c r="AL1002" s="12"/>
      <c r="AM1002" s="12"/>
      <c r="AN1002" s="12"/>
      <c r="AO1002" s="12"/>
      <c r="AP1002" s="12"/>
      <c r="AQ1002" s="12"/>
      <c r="AR1002" s="12"/>
      <c r="AS1002" s="12"/>
      <c r="AT1002" s="12"/>
    </row>
    <row r="1003" spans="1:46" x14ac:dyDescent="0.25">
      <c r="A1003" s="12"/>
      <c r="B1003" s="12"/>
      <c r="C1003" s="12"/>
      <c r="D1003" s="12"/>
      <c r="E1003" s="12"/>
      <c r="F1003" s="12"/>
      <c r="G1003" s="12"/>
      <c r="H1003" s="12"/>
      <c r="I1003" s="12"/>
      <c r="J1003" s="12"/>
      <c r="L1003" s="12"/>
      <c r="M1003" s="12"/>
      <c r="N1003" s="12"/>
      <c r="O1003" s="12"/>
      <c r="P1003" s="12"/>
      <c r="Q1003" s="12"/>
      <c r="R1003" s="12"/>
      <c r="S1003" s="12"/>
      <c r="T1003" s="12"/>
      <c r="U1003" s="12"/>
      <c r="V1003" s="12"/>
      <c r="W1003" s="12"/>
      <c r="X1003" s="12"/>
      <c r="Y1003" s="12"/>
      <c r="Z1003" s="12"/>
      <c r="AA1003" s="12"/>
      <c r="AB1003" s="12"/>
      <c r="AD1003" s="12"/>
      <c r="AE1003" s="12"/>
      <c r="AF1003" s="12"/>
      <c r="AG1003" s="12"/>
      <c r="AH1003" s="12"/>
      <c r="AI1003" s="12"/>
      <c r="AJ1003" s="12"/>
      <c r="AK1003" s="12"/>
      <c r="AL1003" s="12"/>
      <c r="AM1003" s="12"/>
      <c r="AN1003" s="12"/>
      <c r="AO1003" s="12"/>
      <c r="AP1003" s="12"/>
      <c r="AQ1003" s="12"/>
      <c r="AR1003" s="12"/>
      <c r="AS1003" s="12"/>
      <c r="AT1003" s="12"/>
    </row>
    <row r="1004" spans="1:46" x14ac:dyDescent="0.25">
      <c r="A1004" s="12"/>
      <c r="B1004" s="12"/>
      <c r="C1004" s="12"/>
      <c r="D1004" s="12"/>
      <c r="E1004" s="12"/>
      <c r="F1004" s="12"/>
      <c r="G1004" s="12"/>
      <c r="H1004" s="12"/>
      <c r="I1004" s="12"/>
      <c r="J1004" s="12"/>
      <c r="L1004" s="12"/>
      <c r="M1004" s="12"/>
      <c r="N1004" s="12"/>
      <c r="O1004" s="12"/>
      <c r="P1004" s="12"/>
      <c r="Q1004" s="12"/>
      <c r="R1004" s="12"/>
      <c r="S1004" s="12"/>
      <c r="T1004" s="12"/>
      <c r="U1004" s="12"/>
      <c r="V1004" s="12"/>
      <c r="W1004" s="12"/>
      <c r="X1004" s="12"/>
      <c r="Y1004" s="12"/>
      <c r="Z1004" s="12"/>
      <c r="AA1004" s="12"/>
      <c r="AB1004" s="12"/>
      <c r="AD1004" s="12"/>
      <c r="AE1004" s="12"/>
      <c r="AF1004" s="12"/>
      <c r="AG1004" s="12"/>
      <c r="AH1004" s="12"/>
      <c r="AI1004" s="12"/>
      <c r="AJ1004" s="12"/>
      <c r="AK1004" s="12"/>
      <c r="AL1004" s="12"/>
      <c r="AM1004" s="12"/>
      <c r="AN1004" s="12"/>
      <c r="AO1004" s="12"/>
      <c r="AP1004" s="12"/>
      <c r="AQ1004" s="12"/>
      <c r="AR1004" s="12"/>
      <c r="AS1004" s="12"/>
      <c r="AT1004" s="12"/>
    </row>
    <row r="1005" spans="1:46" x14ac:dyDescent="0.25">
      <c r="A1005" s="12"/>
      <c r="B1005" s="12"/>
      <c r="C1005" s="12"/>
      <c r="D1005" s="12"/>
      <c r="E1005" s="12"/>
      <c r="F1005" s="12"/>
      <c r="G1005" s="12"/>
      <c r="H1005" s="12"/>
      <c r="I1005" s="12"/>
      <c r="J1005" s="12"/>
      <c r="L1005" s="12"/>
      <c r="M1005" s="12"/>
      <c r="N1005" s="12"/>
      <c r="O1005" s="12"/>
      <c r="P1005" s="12"/>
      <c r="Q1005" s="12"/>
      <c r="R1005" s="12"/>
      <c r="S1005" s="12"/>
      <c r="T1005" s="12"/>
      <c r="U1005" s="12"/>
      <c r="V1005" s="12"/>
      <c r="W1005" s="12"/>
      <c r="X1005" s="12"/>
      <c r="Y1005" s="12"/>
      <c r="Z1005" s="12"/>
      <c r="AA1005" s="12"/>
      <c r="AB1005" s="12"/>
      <c r="AD1005" s="12"/>
      <c r="AE1005" s="12"/>
      <c r="AF1005" s="12"/>
      <c r="AG1005" s="12"/>
      <c r="AH1005" s="12"/>
      <c r="AI1005" s="12"/>
      <c r="AJ1005" s="12"/>
      <c r="AK1005" s="12"/>
      <c r="AL1005" s="12"/>
      <c r="AM1005" s="12"/>
      <c r="AN1005" s="12"/>
      <c r="AO1005" s="12"/>
      <c r="AP1005" s="12"/>
      <c r="AQ1005" s="12"/>
      <c r="AR1005" s="12"/>
      <c r="AS1005" s="12"/>
      <c r="AT1005" s="12"/>
    </row>
    <row r="1006" spans="1:46" x14ac:dyDescent="0.25">
      <c r="A1006" s="12"/>
      <c r="B1006" s="12"/>
      <c r="C1006" s="12"/>
      <c r="D1006" s="12"/>
      <c r="E1006" s="12"/>
      <c r="F1006" s="12"/>
      <c r="G1006" s="12"/>
      <c r="H1006" s="12"/>
      <c r="I1006" s="12"/>
      <c r="J1006" s="12"/>
      <c r="L1006" s="12"/>
      <c r="M1006" s="12"/>
      <c r="N1006" s="12"/>
      <c r="O1006" s="12"/>
      <c r="P1006" s="12"/>
      <c r="Q1006" s="12"/>
      <c r="R1006" s="12"/>
      <c r="S1006" s="12"/>
      <c r="T1006" s="12"/>
      <c r="U1006" s="12"/>
      <c r="V1006" s="12"/>
      <c r="W1006" s="12"/>
      <c r="X1006" s="12"/>
      <c r="Y1006" s="12"/>
      <c r="Z1006" s="12"/>
      <c r="AA1006" s="12"/>
      <c r="AB1006" s="12"/>
      <c r="AD1006" s="12"/>
      <c r="AE1006" s="12"/>
      <c r="AF1006" s="12"/>
      <c r="AG1006" s="12"/>
      <c r="AH1006" s="12"/>
      <c r="AI1006" s="12"/>
      <c r="AJ1006" s="12"/>
      <c r="AK1006" s="12"/>
      <c r="AL1006" s="12"/>
      <c r="AM1006" s="12"/>
      <c r="AN1006" s="12"/>
      <c r="AO1006" s="12"/>
      <c r="AP1006" s="12"/>
      <c r="AQ1006" s="12"/>
      <c r="AR1006" s="12"/>
      <c r="AS1006" s="12"/>
      <c r="AT1006" s="12"/>
    </row>
    <row r="1007" spans="1:46" x14ac:dyDescent="0.25">
      <c r="A1007" s="12"/>
      <c r="B1007" s="12"/>
      <c r="C1007" s="12"/>
      <c r="D1007" s="12"/>
      <c r="E1007" s="12"/>
      <c r="F1007" s="12"/>
      <c r="G1007" s="12"/>
      <c r="H1007" s="12"/>
      <c r="I1007" s="12"/>
      <c r="J1007" s="12"/>
      <c r="L1007" s="12"/>
      <c r="M1007" s="12"/>
      <c r="N1007" s="12"/>
      <c r="O1007" s="12"/>
      <c r="P1007" s="12"/>
      <c r="Q1007" s="12"/>
      <c r="R1007" s="12"/>
      <c r="S1007" s="12"/>
      <c r="T1007" s="12"/>
      <c r="U1007" s="12"/>
      <c r="V1007" s="12"/>
      <c r="W1007" s="12"/>
      <c r="X1007" s="12"/>
      <c r="Y1007" s="12"/>
      <c r="Z1007" s="12"/>
      <c r="AA1007" s="12"/>
      <c r="AB1007" s="12"/>
      <c r="AD1007" s="12"/>
      <c r="AE1007" s="12"/>
      <c r="AF1007" s="12"/>
      <c r="AG1007" s="12"/>
      <c r="AH1007" s="12"/>
      <c r="AI1007" s="12"/>
      <c r="AJ1007" s="12"/>
      <c r="AK1007" s="12"/>
      <c r="AL1007" s="12"/>
      <c r="AM1007" s="12"/>
      <c r="AN1007" s="12"/>
      <c r="AO1007" s="12"/>
      <c r="AP1007" s="12"/>
      <c r="AQ1007" s="12"/>
      <c r="AR1007" s="12"/>
      <c r="AS1007" s="12"/>
      <c r="AT1007" s="12"/>
    </row>
    <row r="1008" spans="1:46" x14ac:dyDescent="0.25">
      <c r="A1008" s="12"/>
      <c r="B1008" s="12"/>
      <c r="C1008" s="12"/>
      <c r="D1008" s="12"/>
      <c r="E1008" s="12"/>
      <c r="F1008" s="12"/>
      <c r="G1008" s="12"/>
      <c r="H1008" s="12"/>
      <c r="I1008" s="12"/>
      <c r="J1008" s="12"/>
      <c r="L1008" s="12"/>
      <c r="M1008" s="12"/>
      <c r="N1008" s="12"/>
      <c r="O1008" s="12"/>
      <c r="P1008" s="12"/>
      <c r="Q1008" s="12"/>
      <c r="R1008" s="12"/>
      <c r="S1008" s="12"/>
      <c r="T1008" s="12"/>
      <c r="U1008" s="12"/>
      <c r="V1008" s="12"/>
      <c r="W1008" s="12"/>
      <c r="X1008" s="12"/>
      <c r="Y1008" s="12"/>
      <c r="Z1008" s="12"/>
      <c r="AA1008" s="12"/>
      <c r="AB1008" s="12"/>
      <c r="AD1008" s="12"/>
      <c r="AE1008" s="12"/>
      <c r="AF1008" s="12"/>
      <c r="AG1008" s="12"/>
      <c r="AH1008" s="12"/>
      <c r="AI1008" s="12"/>
      <c r="AJ1008" s="12"/>
      <c r="AK1008" s="12"/>
      <c r="AL1008" s="12"/>
      <c r="AM1008" s="12"/>
      <c r="AN1008" s="12"/>
      <c r="AO1008" s="12"/>
      <c r="AP1008" s="12"/>
      <c r="AQ1008" s="12"/>
      <c r="AR1008" s="12"/>
      <c r="AS1008" s="12"/>
      <c r="AT1008" s="12"/>
    </row>
    <row r="1009" spans="1:46" x14ac:dyDescent="0.25">
      <c r="A1009" s="12"/>
      <c r="B1009" s="12"/>
      <c r="C1009" s="12"/>
      <c r="D1009" s="12"/>
      <c r="E1009" s="12"/>
      <c r="F1009" s="12"/>
      <c r="G1009" s="12"/>
      <c r="H1009" s="12"/>
      <c r="I1009" s="12"/>
      <c r="J1009" s="12"/>
      <c r="L1009" s="12"/>
      <c r="M1009" s="12"/>
      <c r="N1009" s="12"/>
      <c r="O1009" s="12"/>
      <c r="P1009" s="12"/>
      <c r="Q1009" s="12"/>
      <c r="R1009" s="12"/>
      <c r="S1009" s="12"/>
      <c r="T1009" s="12"/>
      <c r="U1009" s="12"/>
      <c r="V1009" s="12"/>
      <c r="W1009" s="12"/>
      <c r="X1009" s="12"/>
      <c r="Y1009" s="12"/>
      <c r="Z1009" s="12"/>
      <c r="AA1009" s="12"/>
      <c r="AB1009" s="12"/>
      <c r="AD1009" s="12"/>
      <c r="AE1009" s="12"/>
      <c r="AF1009" s="12"/>
      <c r="AG1009" s="12"/>
      <c r="AH1009" s="12"/>
      <c r="AI1009" s="12"/>
      <c r="AJ1009" s="12"/>
      <c r="AK1009" s="12"/>
      <c r="AL1009" s="12"/>
      <c r="AM1009" s="12"/>
      <c r="AN1009" s="12"/>
      <c r="AO1009" s="12"/>
      <c r="AP1009" s="12"/>
      <c r="AQ1009" s="12"/>
      <c r="AR1009" s="12"/>
      <c r="AS1009" s="12"/>
      <c r="AT1009" s="12"/>
    </row>
    <row r="1010" spans="1:46" x14ac:dyDescent="0.25">
      <c r="A1010" s="12"/>
      <c r="B1010" s="12"/>
      <c r="C1010" s="12"/>
      <c r="D1010" s="12"/>
      <c r="E1010" s="12"/>
      <c r="F1010" s="12"/>
      <c r="G1010" s="12"/>
      <c r="H1010" s="12"/>
      <c r="I1010" s="12"/>
      <c r="J1010" s="12"/>
      <c r="L1010" s="12"/>
      <c r="M1010" s="12"/>
      <c r="N1010" s="12"/>
      <c r="O1010" s="12"/>
      <c r="P1010" s="12"/>
      <c r="Q1010" s="12"/>
      <c r="R1010" s="12"/>
      <c r="S1010" s="12"/>
      <c r="T1010" s="12"/>
      <c r="U1010" s="12"/>
      <c r="V1010" s="12"/>
      <c r="W1010" s="12"/>
      <c r="X1010" s="12"/>
      <c r="Y1010" s="12"/>
      <c r="Z1010" s="12"/>
      <c r="AA1010" s="12"/>
      <c r="AB1010" s="12"/>
      <c r="AD1010" s="12"/>
      <c r="AE1010" s="12"/>
      <c r="AF1010" s="12"/>
      <c r="AG1010" s="12"/>
      <c r="AH1010" s="12"/>
      <c r="AI1010" s="12"/>
      <c r="AJ1010" s="12"/>
      <c r="AK1010" s="12"/>
      <c r="AL1010" s="12"/>
      <c r="AM1010" s="12"/>
      <c r="AN1010" s="12"/>
      <c r="AO1010" s="12"/>
      <c r="AP1010" s="12"/>
      <c r="AQ1010" s="12"/>
      <c r="AR1010" s="12"/>
      <c r="AS1010" s="12"/>
      <c r="AT1010" s="12"/>
    </row>
    <row r="1011" spans="1:46" x14ac:dyDescent="0.25">
      <c r="A1011" s="12"/>
      <c r="B1011" s="12"/>
      <c r="C1011" s="12"/>
      <c r="D1011" s="12"/>
      <c r="E1011" s="12"/>
      <c r="F1011" s="12"/>
      <c r="G1011" s="12"/>
      <c r="H1011" s="12"/>
      <c r="I1011" s="12"/>
      <c r="J1011" s="12"/>
      <c r="L1011" s="12"/>
      <c r="M1011" s="12"/>
      <c r="N1011" s="12"/>
      <c r="O1011" s="12"/>
      <c r="P1011" s="12"/>
      <c r="Q1011" s="12"/>
      <c r="R1011" s="12"/>
      <c r="S1011" s="12"/>
      <c r="T1011" s="12"/>
      <c r="U1011" s="12"/>
      <c r="V1011" s="12"/>
      <c r="W1011" s="12"/>
      <c r="X1011" s="12"/>
      <c r="Y1011" s="12"/>
      <c r="Z1011" s="12"/>
      <c r="AA1011" s="12"/>
      <c r="AB1011" s="12"/>
      <c r="AD1011" s="12"/>
      <c r="AE1011" s="12"/>
      <c r="AF1011" s="12"/>
      <c r="AG1011" s="12"/>
      <c r="AH1011" s="12"/>
      <c r="AI1011" s="12"/>
      <c r="AJ1011" s="12"/>
      <c r="AK1011" s="12"/>
      <c r="AL1011" s="12"/>
      <c r="AM1011" s="12"/>
      <c r="AN1011" s="12"/>
      <c r="AO1011" s="12"/>
      <c r="AP1011" s="12"/>
      <c r="AQ1011" s="12"/>
      <c r="AR1011" s="12"/>
      <c r="AS1011" s="12"/>
      <c r="AT1011" s="12"/>
    </row>
    <row r="1012" spans="1:46" x14ac:dyDescent="0.25">
      <c r="A1012" s="12"/>
      <c r="B1012" s="12"/>
      <c r="C1012" s="12"/>
      <c r="D1012" s="12"/>
      <c r="E1012" s="12"/>
      <c r="F1012" s="12"/>
      <c r="G1012" s="12"/>
      <c r="H1012" s="12"/>
      <c r="I1012" s="12"/>
      <c r="J1012" s="12"/>
      <c r="L1012" s="12"/>
      <c r="M1012" s="12"/>
      <c r="N1012" s="12"/>
      <c r="O1012" s="12"/>
      <c r="P1012" s="12"/>
      <c r="Q1012" s="12"/>
      <c r="R1012" s="12"/>
      <c r="S1012" s="12"/>
      <c r="T1012" s="12"/>
      <c r="U1012" s="12"/>
      <c r="V1012" s="12"/>
      <c r="W1012" s="12"/>
      <c r="X1012" s="12"/>
      <c r="Y1012" s="12"/>
      <c r="Z1012" s="12"/>
      <c r="AA1012" s="12"/>
      <c r="AB1012" s="12"/>
      <c r="AD1012" s="12"/>
      <c r="AE1012" s="12"/>
      <c r="AF1012" s="12"/>
      <c r="AG1012" s="12"/>
      <c r="AH1012" s="12"/>
      <c r="AI1012" s="12"/>
      <c r="AJ1012" s="12"/>
      <c r="AK1012" s="12"/>
      <c r="AL1012" s="12"/>
      <c r="AM1012" s="12"/>
      <c r="AN1012" s="12"/>
      <c r="AO1012" s="12"/>
      <c r="AP1012" s="12"/>
      <c r="AQ1012" s="12"/>
      <c r="AR1012" s="12"/>
      <c r="AS1012" s="12"/>
      <c r="AT1012" s="12"/>
    </row>
    <row r="1013" spans="1:46" x14ac:dyDescent="0.25">
      <c r="A1013" s="12"/>
      <c r="B1013" s="12"/>
      <c r="C1013" s="12"/>
      <c r="D1013" s="12"/>
      <c r="E1013" s="12"/>
      <c r="F1013" s="12"/>
      <c r="G1013" s="12"/>
      <c r="H1013" s="12"/>
      <c r="I1013" s="12"/>
      <c r="J1013" s="12"/>
      <c r="L1013" s="12"/>
      <c r="M1013" s="12"/>
      <c r="N1013" s="12"/>
      <c r="O1013" s="12"/>
      <c r="P1013" s="12"/>
      <c r="Q1013" s="12"/>
      <c r="R1013" s="12"/>
      <c r="S1013" s="12"/>
      <c r="T1013" s="12"/>
      <c r="U1013" s="12"/>
      <c r="V1013" s="12"/>
      <c r="W1013" s="12"/>
      <c r="X1013" s="12"/>
      <c r="Y1013" s="12"/>
      <c r="Z1013" s="12"/>
      <c r="AA1013" s="12"/>
      <c r="AB1013" s="12"/>
      <c r="AD1013" s="12"/>
      <c r="AE1013" s="12"/>
      <c r="AF1013" s="12"/>
      <c r="AG1013" s="12"/>
      <c r="AH1013" s="12"/>
      <c r="AI1013" s="12"/>
      <c r="AJ1013" s="12"/>
      <c r="AK1013" s="12"/>
      <c r="AL1013" s="12"/>
      <c r="AM1013" s="12"/>
      <c r="AN1013" s="12"/>
      <c r="AO1013" s="12"/>
      <c r="AP1013" s="12"/>
      <c r="AQ1013" s="12"/>
      <c r="AR1013" s="12"/>
      <c r="AS1013" s="12"/>
      <c r="AT1013" s="12"/>
    </row>
    <row r="1014" spans="1:46" x14ac:dyDescent="0.25">
      <c r="A1014" s="12"/>
      <c r="B1014" s="12"/>
      <c r="C1014" s="12"/>
      <c r="D1014" s="12"/>
      <c r="E1014" s="12"/>
      <c r="F1014" s="12"/>
      <c r="G1014" s="12"/>
      <c r="H1014" s="12"/>
      <c r="I1014" s="12"/>
      <c r="J1014" s="12"/>
      <c r="L1014" s="12"/>
      <c r="M1014" s="12"/>
      <c r="N1014" s="12"/>
      <c r="O1014" s="12"/>
      <c r="P1014" s="12"/>
      <c r="Q1014" s="12"/>
      <c r="R1014" s="12"/>
      <c r="S1014" s="12"/>
      <c r="T1014" s="12"/>
      <c r="U1014" s="12"/>
      <c r="V1014" s="12"/>
      <c r="W1014" s="12"/>
      <c r="X1014" s="12"/>
      <c r="Y1014" s="12"/>
      <c r="Z1014" s="12"/>
      <c r="AA1014" s="12"/>
      <c r="AB1014" s="12"/>
      <c r="AD1014" s="12"/>
      <c r="AE1014" s="12"/>
      <c r="AF1014" s="12"/>
      <c r="AG1014" s="12"/>
      <c r="AH1014" s="12"/>
      <c r="AI1014" s="12"/>
      <c r="AJ1014" s="12"/>
      <c r="AK1014" s="12"/>
      <c r="AL1014" s="12"/>
      <c r="AM1014" s="12"/>
      <c r="AN1014" s="12"/>
      <c r="AO1014" s="12"/>
      <c r="AP1014" s="12"/>
      <c r="AQ1014" s="12"/>
      <c r="AR1014" s="12"/>
      <c r="AS1014" s="12"/>
      <c r="AT1014" s="12"/>
    </row>
    <row r="1015" spans="1:46" x14ac:dyDescent="0.25">
      <c r="A1015" s="12"/>
      <c r="B1015" s="12"/>
      <c r="C1015" s="12"/>
      <c r="D1015" s="12"/>
      <c r="E1015" s="12"/>
      <c r="F1015" s="12"/>
      <c r="G1015" s="12"/>
      <c r="H1015" s="12"/>
      <c r="I1015" s="12"/>
      <c r="J1015" s="12"/>
      <c r="L1015" s="12"/>
      <c r="M1015" s="12"/>
      <c r="N1015" s="12"/>
      <c r="O1015" s="12"/>
      <c r="P1015" s="12"/>
      <c r="Q1015" s="12"/>
      <c r="R1015" s="12"/>
      <c r="S1015" s="12"/>
      <c r="T1015" s="12"/>
      <c r="U1015" s="12"/>
      <c r="V1015" s="12"/>
      <c r="W1015" s="12"/>
      <c r="X1015" s="12"/>
      <c r="Y1015" s="12"/>
      <c r="Z1015" s="12"/>
      <c r="AA1015" s="12"/>
      <c r="AB1015" s="12"/>
      <c r="AD1015" s="12"/>
      <c r="AE1015" s="12"/>
      <c r="AF1015" s="12"/>
      <c r="AG1015" s="12"/>
      <c r="AH1015" s="12"/>
      <c r="AI1015" s="12"/>
      <c r="AJ1015" s="12"/>
      <c r="AK1015" s="12"/>
      <c r="AL1015" s="12"/>
      <c r="AM1015" s="12"/>
      <c r="AN1015" s="12"/>
      <c r="AO1015" s="12"/>
      <c r="AP1015" s="12"/>
      <c r="AQ1015" s="12"/>
      <c r="AR1015" s="12"/>
      <c r="AS1015" s="12"/>
      <c r="AT1015" s="12"/>
    </row>
    <row r="1016" spans="1:46" x14ac:dyDescent="0.25">
      <c r="A1016" s="12"/>
      <c r="B1016" s="12"/>
      <c r="C1016" s="12"/>
      <c r="D1016" s="12"/>
      <c r="E1016" s="12"/>
      <c r="F1016" s="12"/>
      <c r="G1016" s="12"/>
      <c r="H1016" s="12"/>
      <c r="I1016" s="12"/>
      <c r="J1016" s="12"/>
      <c r="L1016" s="12"/>
      <c r="M1016" s="12"/>
      <c r="N1016" s="12"/>
      <c r="O1016" s="12"/>
      <c r="P1016" s="12"/>
      <c r="Q1016" s="12"/>
      <c r="R1016" s="12"/>
      <c r="S1016" s="12"/>
      <c r="T1016" s="12"/>
      <c r="U1016" s="12"/>
      <c r="V1016" s="12"/>
      <c r="W1016" s="12"/>
      <c r="X1016" s="12"/>
      <c r="Y1016" s="12"/>
      <c r="Z1016" s="12"/>
      <c r="AA1016" s="12"/>
      <c r="AB1016" s="12"/>
      <c r="AD1016" s="12"/>
      <c r="AE1016" s="12"/>
      <c r="AF1016" s="12"/>
      <c r="AG1016" s="12"/>
      <c r="AH1016" s="12"/>
      <c r="AI1016" s="12"/>
      <c r="AJ1016" s="12"/>
      <c r="AK1016" s="12"/>
      <c r="AL1016" s="12"/>
      <c r="AM1016" s="12"/>
      <c r="AN1016" s="12"/>
      <c r="AO1016" s="12"/>
      <c r="AP1016" s="12"/>
      <c r="AQ1016" s="12"/>
      <c r="AR1016" s="12"/>
      <c r="AS1016" s="12"/>
      <c r="AT1016" s="12"/>
    </row>
    <row r="1017" spans="1:46" x14ac:dyDescent="0.25">
      <c r="A1017" s="12"/>
      <c r="B1017" s="12"/>
      <c r="C1017" s="12"/>
      <c r="D1017" s="12"/>
      <c r="E1017" s="12"/>
      <c r="F1017" s="12"/>
      <c r="G1017" s="12"/>
      <c r="H1017" s="12"/>
      <c r="I1017" s="12"/>
      <c r="J1017" s="12"/>
      <c r="L1017" s="12"/>
      <c r="M1017" s="12"/>
      <c r="N1017" s="12"/>
      <c r="O1017" s="12"/>
      <c r="P1017" s="12"/>
      <c r="Q1017" s="12"/>
      <c r="R1017" s="12"/>
      <c r="S1017" s="12"/>
      <c r="T1017" s="12"/>
      <c r="U1017" s="12"/>
      <c r="V1017" s="12"/>
      <c r="W1017" s="12"/>
      <c r="X1017" s="12"/>
      <c r="Y1017" s="12"/>
      <c r="Z1017" s="12"/>
      <c r="AA1017" s="12"/>
      <c r="AB1017" s="12"/>
      <c r="AD1017" s="12"/>
      <c r="AE1017" s="12"/>
      <c r="AF1017" s="12"/>
      <c r="AG1017" s="12"/>
      <c r="AH1017" s="12"/>
      <c r="AI1017" s="12"/>
      <c r="AJ1017" s="12"/>
      <c r="AK1017" s="12"/>
      <c r="AL1017" s="12"/>
      <c r="AM1017" s="12"/>
      <c r="AN1017" s="12"/>
      <c r="AO1017" s="12"/>
      <c r="AP1017" s="12"/>
      <c r="AQ1017" s="12"/>
      <c r="AR1017" s="12"/>
      <c r="AS1017" s="12"/>
      <c r="AT1017" s="12"/>
    </row>
    <row r="1018" spans="1:46" x14ac:dyDescent="0.25">
      <c r="A1018" s="12"/>
      <c r="B1018" s="12"/>
      <c r="C1018" s="12"/>
      <c r="D1018" s="12"/>
      <c r="E1018" s="12"/>
      <c r="F1018" s="12"/>
      <c r="G1018" s="12"/>
      <c r="H1018" s="12"/>
      <c r="I1018" s="12"/>
      <c r="J1018" s="12"/>
      <c r="L1018" s="12"/>
      <c r="M1018" s="12"/>
      <c r="N1018" s="12"/>
      <c r="O1018" s="12"/>
      <c r="P1018" s="12"/>
      <c r="Q1018" s="12"/>
      <c r="R1018" s="12"/>
      <c r="S1018" s="12"/>
      <c r="T1018" s="12"/>
      <c r="U1018" s="12"/>
      <c r="V1018" s="12"/>
      <c r="W1018" s="12"/>
      <c r="X1018" s="12"/>
      <c r="Y1018" s="12"/>
      <c r="Z1018" s="12"/>
      <c r="AA1018" s="12"/>
      <c r="AB1018" s="12"/>
      <c r="AD1018" s="12"/>
      <c r="AE1018" s="12"/>
      <c r="AF1018" s="12"/>
      <c r="AG1018" s="12"/>
      <c r="AH1018" s="12"/>
      <c r="AI1018" s="12"/>
      <c r="AJ1018" s="12"/>
      <c r="AK1018" s="12"/>
      <c r="AL1018" s="12"/>
      <c r="AM1018" s="12"/>
      <c r="AN1018" s="12"/>
      <c r="AO1018" s="12"/>
      <c r="AP1018" s="12"/>
      <c r="AQ1018" s="12"/>
      <c r="AR1018" s="12"/>
      <c r="AS1018" s="12"/>
      <c r="AT1018" s="12"/>
    </row>
    <row r="1019" spans="1:46" x14ac:dyDescent="0.25">
      <c r="A1019" s="12"/>
      <c r="B1019" s="12"/>
      <c r="C1019" s="12"/>
      <c r="D1019" s="12"/>
      <c r="E1019" s="12"/>
      <c r="F1019" s="12"/>
      <c r="G1019" s="12"/>
      <c r="H1019" s="12"/>
      <c r="I1019" s="12"/>
      <c r="J1019" s="12"/>
      <c r="L1019" s="12"/>
      <c r="M1019" s="12"/>
      <c r="N1019" s="12"/>
      <c r="O1019" s="12"/>
      <c r="P1019" s="12"/>
      <c r="Q1019" s="12"/>
      <c r="R1019" s="12"/>
      <c r="S1019" s="12"/>
      <c r="T1019" s="12"/>
      <c r="U1019" s="12"/>
      <c r="V1019" s="12"/>
      <c r="W1019" s="12"/>
      <c r="X1019" s="12"/>
      <c r="Y1019" s="12"/>
      <c r="Z1019" s="12"/>
      <c r="AA1019" s="12"/>
      <c r="AB1019" s="12"/>
      <c r="AD1019" s="12"/>
      <c r="AE1019" s="12"/>
      <c r="AF1019" s="12"/>
      <c r="AG1019" s="12"/>
      <c r="AH1019" s="12"/>
      <c r="AI1019" s="12"/>
      <c r="AJ1019" s="12"/>
      <c r="AK1019" s="12"/>
      <c r="AL1019" s="12"/>
      <c r="AM1019" s="12"/>
      <c r="AN1019" s="12"/>
      <c r="AO1019" s="12"/>
      <c r="AP1019" s="12"/>
      <c r="AQ1019" s="12"/>
      <c r="AR1019" s="12"/>
      <c r="AS1019" s="12"/>
      <c r="AT1019" s="12"/>
    </row>
    <row r="1020" spans="1:46" x14ac:dyDescent="0.25">
      <c r="A1020" s="12"/>
      <c r="B1020" s="12"/>
      <c r="C1020" s="12"/>
      <c r="D1020" s="12"/>
      <c r="E1020" s="12"/>
      <c r="F1020" s="12"/>
      <c r="G1020" s="12"/>
      <c r="H1020" s="12"/>
      <c r="I1020" s="12"/>
      <c r="J1020" s="12"/>
      <c r="L1020" s="12"/>
      <c r="M1020" s="12"/>
      <c r="N1020" s="12"/>
      <c r="O1020" s="12"/>
      <c r="P1020" s="12"/>
      <c r="Q1020" s="12"/>
      <c r="R1020" s="12"/>
      <c r="S1020" s="12"/>
      <c r="T1020" s="12"/>
      <c r="U1020" s="12"/>
      <c r="V1020" s="12"/>
      <c r="W1020" s="12"/>
      <c r="X1020" s="12"/>
      <c r="Y1020" s="12"/>
      <c r="Z1020" s="12"/>
      <c r="AA1020" s="12"/>
      <c r="AB1020" s="12"/>
      <c r="AD1020" s="12"/>
      <c r="AE1020" s="12"/>
      <c r="AF1020" s="12"/>
      <c r="AG1020" s="12"/>
      <c r="AH1020" s="12"/>
      <c r="AI1020" s="12"/>
      <c r="AJ1020" s="12"/>
      <c r="AK1020" s="12"/>
      <c r="AL1020" s="12"/>
      <c r="AM1020" s="12"/>
      <c r="AN1020" s="12"/>
      <c r="AO1020" s="12"/>
      <c r="AP1020" s="12"/>
      <c r="AQ1020" s="12"/>
      <c r="AR1020" s="12"/>
      <c r="AS1020" s="12"/>
      <c r="AT1020" s="12"/>
    </row>
    <row r="1021" spans="1:46" x14ac:dyDescent="0.25">
      <c r="A1021" s="12"/>
      <c r="B1021" s="12"/>
      <c r="C1021" s="12"/>
      <c r="D1021" s="12"/>
      <c r="E1021" s="12"/>
      <c r="F1021" s="12"/>
      <c r="G1021" s="12"/>
      <c r="H1021" s="12"/>
      <c r="I1021" s="12"/>
      <c r="J1021" s="12"/>
      <c r="L1021" s="12"/>
      <c r="M1021" s="12"/>
      <c r="N1021" s="12"/>
      <c r="O1021" s="12"/>
      <c r="P1021" s="12"/>
      <c r="Q1021" s="12"/>
      <c r="R1021" s="12"/>
      <c r="S1021" s="12"/>
      <c r="T1021" s="12"/>
      <c r="U1021" s="12"/>
      <c r="V1021" s="12"/>
      <c r="W1021" s="12"/>
      <c r="X1021" s="12"/>
      <c r="Y1021" s="12"/>
      <c r="Z1021" s="12"/>
      <c r="AA1021" s="12"/>
      <c r="AB1021" s="12"/>
      <c r="AD1021" s="12"/>
      <c r="AE1021" s="12"/>
      <c r="AF1021" s="12"/>
      <c r="AG1021" s="12"/>
      <c r="AH1021" s="12"/>
      <c r="AI1021" s="12"/>
      <c r="AJ1021" s="12"/>
      <c r="AK1021" s="12"/>
      <c r="AL1021" s="12"/>
      <c r="AM1021" s="12"/>
      <c r="AN1021" s="12"/>
      <c r="AO1021" s="12"/>
      <c r="AP1021" s="12"/>
      <c r="AQ1021" s="12"/>
      <c r="AR1021" s="12"/>
      <c r="AS1021" s="12"/>
      <c r="AT1021" s="12"/>
    </row>
    <row r="1022" spans="1:46" x14ac:dyDescent="0.25">
      <c r="A1022" s="12"/>
      <c r="B1022" s="12"/>
      <c r="C1022" s="12"/>
      <c r="D1022" s="12"/>
      <c r="E1022" s="12"/>
      <c r="F1022" s="12"/>
      <c r="G1022" s="12"/>
      <c r="H1022" s="12"/>
      <c r="I1022" s="12"/>
      <c r="J1022" s="12"/>
      <c r="L1022" s="12"/>
      <c r="M1022" s="12"/>
      <c r="N1022" s="12"/>
      <c r="O1022" s="12"/>
      <c r="P1022" s="12"/>
      <c r="Q1022" s="12"/>
      <c r="R1022" s="12"/>
      <c r="S1022" s="12"/>
      <c r="T1022" s="12"/>
      <c r="U1022" s="12"/>
      <c r="V1022" s="12"/>
      <c r="W1022" s="12"/>
      <c r="X1022" s="12"/>
      <c r="Y1022" s="12"/>
      <c r="Z1022" s="12"/>
      <c r="AA1022" s="12"/>
      <c r="AB1022" s="12"/>
      <c r="AD1022" s="12"/>
      <c r="AE1022" s="12"/>
      <c r="AF1022" s="12"/>
      <c r="AG1022" s="12"/>
      <c r="AH1022" s="12"/>
      <c r="AI1022" s="12"/>
      <c r="AJ1022" s="12"/>
      <c r="AK1022" s="12"/>
      <c r="AL1022" s="12"/>
      <c r="AM1022" s="12"/>
      <c r="AN1022" s="12"/>
      <c r="AO1022" s="12"/>
      <c r="AP1022" s="12"/>
      <c r="AQ1022" s="12"/>
      <c r="AR1022" s="12"/>
      <c r="AS1022" s="12"/>
      <c r="AT1022" s="12"/>
    </row>
    <row r="1023" spans="1:46" x14ac:dyDescent="0.25">
      <c r="A1023" s="12"/>
      <c r="B1023" s="12"/>
      <c r="C1023" s="12"/>
      <c r="D1023" s="12"/>
      <c r="E1023" s="12"/>
      <c r="F1023" s="12"/>
      <c r="G1023" s="12"/>
      <c r="H1023" s="12"/>
      <c r="I1023" s="12"/>
      <c r="J1023" s="12"/>
      <c r="L1023" s="12"/>
      <c r="M1023" s="12"/>
      <c r="N1023" s="12"/>
      <c r="O1023" s="12"/>
      <c r="P1023" s="12"/>
      <c r="Q1023" s="12"/>
      <c r="R1023" s="12"/>
      <c r="S1023" s="12"/>
      <c r="T1023" s="12"/>
      <c r="U1023" s="12"/>
      <c r="V1023" s="12"/>
      <c r="W1023" s="12"/>
      <c r="X1023" s="12"/>
      <c r="Y1023" s="12"/>
      <c r="Z1023" s="12"/>
      <c r="AA1023" s="12"/>
      <c r="AB1023" s="12"/>
      <c r="AD1023" s="12"/>
      <c r="AE1023" s="12"/>
      <c r="AF1023" s="12"/>
      <c r="AG1023" s="12"/>
      <c r="AH1023" s="12"/>
      <c r="AI1023" s="12"/>
      <c r="AJ1023" s="12"/>
      <c r="AK1023" s="12"/>
      <c r="AL1023" s="12"/>
      <c r="AM1023" s="12"/>
      <c r="AN1023" s="12"/>
      <c r="AO1023" s="12"/>
      <c r="AP1023" s="12"/>
      <c r="AQ1023" s="12"/>
      <c r="AR1023" s="12"/>
      <c r="AS1023" s="12"/>
      <c r="AT1023" s="12"/>
    </row>
    <row r="1024" spans="1:46" x14ac:dyDescent="0.25">
      <c r="A1024" s="12"/>
      <c r="B1024" s="12"/>
      <c r="C1024" s="12"/>
      <c r="D1024" s="12"/>
      <c r="E1024" s="12"/>
      <c r="F1024" s="12"/>
      <c r="G1024" s="12"/>
      <c r="H1024" s="12"/>
      <c r="I1024" s="12"/>
      <c r="J1024" s="12"/>
      <c r="L1024" s="12"/>
      <c r="M1024" s="12"/>
      <c r="N1024" s="12"/>
      <c r="O1024" s="12"/>
      <c r="P1024" s="12"/>
      <c r="Q1024" s="12"/>
      <c r="R1024" s="12"/>
      <c r="S1024" s="12"/>
      <c r="T1024" s="12"/>
      <c r="U1024" s="12"/>
      <c r="V1024" s="12"/>
      <c r="W1024" s="12"/>
      <c r="X1024" s="12"/>
      <c r="Y1024" s="12"/>
      <c r="Z1024" s="12"/>
      <c r="AA1024" s="12"/>
      <c r="AB1024" s="12"/>
      <c r="AD1024" s="12"/>
      <c r="AE1024" s="12"/>
      <c r="AF1024" s="12"/>
      <c r="AG1024" s="12"/>
      <c r="AH1024" s="12"/>
      <c r="AI1024" s="12"/>
      <c r="AJ1024" s="12"/>
      <c r="AK1024" s="12"/>
      <c r="AL1024" s="12"/>
      <c r="AM1024" s="12"/>
      <c r="AN1024" s="12"/>
      <c r="AO1024" s="12"/>
      <c r="AP1024" s="12"/>
      <c r="AQ1024" s="12"/>
      <c r="AR1024" s="12"/>
      <c r="AS1024" s="12"/>
      <c r="AT1024" s="12"/>
    </row>
    <row r="1025" spans="1:46" x14ac:dyDescent="0.25">
      <c r="A1025" s="12"/>
      <c r="B1025" s="12"/>
      <c r="C1025" s="12"/>
      <c r="D1025" s="12"/>
      <c r="E1025" s="12"/>
      <c r="F1025" s="12"/>
      <c r="G1025" s="12"/>
      <c r="H1025" s="12"/>
      <c r="I1025" s="12"/>
      <c r="J1025" s="12"/>
      <c r="L1025" s="12"/>
      <c r="M1025" s="12"/>
      <c r="N1025" s="12"/>
      <c r="O1025" s="12"/>
      <c r="P1025" s="12"/>
      <c r="Q1025" s="12"/>
      <c r="R1025" s="12"/>
      <c r="S1025" s="12"/>
      <c r="T1025" s="12"/>
      <c r="U1025" s="12"/>
      <c r="V1025" s="12"/>
      <c r="W1025" s="12"/>
      <c r="X1025" s="12"/>
      <c r="Y1025" s="12"/>
      <c r="Z1025" s="12"/>
      <c r="AA1025" s="12"/>
      <c r="AB1025" s="12"/>
      <c r="AD1025" s="12"/>
      <c r="AE1025" s="12"/>
      <c r="AF1025" s="12"/>
      <c r="AG1025" s="12"/>
      <c r="AH1025" s="12"/>
      <c r="AI1025" s="12"/>
      <c r="AJ1025" s="12"/>
      <c r="AK1025" s="12"/>
      <c r="AL1025" s="12"/>
      <c r="AM1025" s="12"/>
      <c r="AN1025" s="12"/>
      <c r="AO1025" s="12"/>
      <c r="AP1025" s="12"/>
      <c r="AQ1025" s="12"/>
      <c r="AR1025" s="12"/>
      <c r="AS1025" s="12"/>
      <c r="AT1025" s="12"/>
    </row>
    <row r="1026" spans="1:46" x14ac:dyDescent="0.25">
      <c r="A1026" s="12"/>
      <c r="B1026" s="12"/>
      <c r="C1026" s="12"/>
      <c r="D1026" s="12"/>
      <c r="E1026" s="12"/>
      <c r="F1026" s="12"/>
      <c r="G1026" s="12"/>
      <c r="H1026" s="12"/>
      <c r="I1026" s="12"/>
      <c r="J1026" s="12"/>
      <c r="L1026" s="12"/>
      <c r="M1026" s="12"/>
      <c r="N1026" s="12"/>
      <c r="O1026" s="12"/>
      <c r="P1026" s="12"/>
      <c r="Q1026" s="12"/>
      <c r="R1026" s="12"/>
      <c r="S1026" s="12"/>
      <c r="T1026" s="12"/>
      <c r="U1026" s="12"/>
      <c r="V1026" s="12"/>
      <c r="W1026" s="12"/>
      <c r="X1026" s="12"/>
      <c r="Y1026" s="12"/>
      <c r="Z1026" s="12"/>
      <c r="AA1026" s="12"/>
      <c r="AB1026" s="12"/>
      <c r="AD1026" s="12"/>
      <c r="AE1026" s="12"/>
      <c r="AF1026" s="12"/>
      <c r="AG1026" s="12"/>
      <c r="AH1026" s="12"/>
      <c r="AI1026" s="12"/>
      <c r="AJ1026" s="12"/>
      <c r="AK1026" s="12"/>
      <c r="AL1026" s="12"/>
      <c r="AM1026" s="12"/>
      <c r="AN1026" s="12"/>
      <c r="AO1026" s="12"/>
      <c r="AP1026" s="12"/>
      <c r="AQ1026" s="12"/>
      <c r="AR1026" s="12"/>
      <c r="AS1026" s="12"/>
      <c r="AT1026" s="12"/>
    </row>
    <row r="1027" spans="1:46" x14ac:dyDescent="0.25">
      <c r="A1027" s="12"/>
      <c r="B1027" s="12"/>
      <c r="C1027" s="12"/>
      <c r="D1027" s="12"/>
      <c r="E1027" s="12"/>
      <c r="F1027" s="12"/>
      <c r="G1027" s="12"/>
      <c r="H1027" s="12"/>
      <c r="I1027" s="12"/>
      <c r="J1027" s="12"/>
      <c r="L1027" s="12"/>
      <c r="M1027" s="12"/>
      <c r="N1027" s="12"/>
      <c r="O1027" s="12"/>
      <c r="P1027" s="12"/>
      <c r="Q1027" s="12"/>
      <c r="R1027" s="12"/>
      <c r="S1027" s="12"/>
      <c r="T1027" s="12"/>
      <c r="U1027" s="12"/>
      <c r="V1027" s="12"/>
      <c r="W1027" s="12"/>
      <c r="X1027" s="12"/>
      <c r="Y1027" s="12"/>
      <c r="Z1027" s="12"/>
      <c r="AA1027" s="12"/>
      <c r="AB1027" s="12"/>
      <c r="AD1027" s="12"/>
      <c r="AE1027" s="12"/>
      <c r="AF1027" s="12"/>
      <c r="AG1027" s="12"/>
      <c r="AH1027" s="12"/>
      <c r="AI1027" s="12"/>
      <c r="AJ1027" s="12"/>
      <c r="AK1027" s="12"/>
      <c r="AL1027" s="12"/>
      <c r="AM1027" s="12"/>
      <c r="AN1027" s="12"/>
      <c r="AO1027" s="12"/>
      <c r="AP1027" s="12"/>
      <c r="AQ1027" s="12"/>
      <c r="AR1027" s="12"/>
      <c r="AS1027" s="12"/>
      <c r="AT1027" s="12"/>
    </row>
    <row r="1028" spans="1:46" x14ac:dyDescent="0.25">
      <c r="A1028" s="12"/>
      <c r="B1028" s="12"/>
      <c r="C1028" s="12"/>
      <c r="D1028" s="12"/>
      <c r="E1028" s="12"/>
      <c r="F1028" s="12"/>
      <c r="G1028" s="12"/>
      <c r="H1028" s="12"/>
      <c r="I1028" s="12"/>
      <c r="J1028" s="12"/>
      <c r="L1028" s="12"/>
      <c r="M1028" s="12"/>
      <c r="N1028" s="12"/>
      <c r="O1028" s="12"/>
      <c r="P1028" s="12"/>
      <c r="Q1028" s="12"/>
      <c r="R1028" s="12"/>
      <c r="S1028" s="12"/>
      <c r="T1028" s="12"/>
      <c r="U1028" s="12"/>
      <c r="V1028" s="12"/>
      <c r="W1028" s="12"/>
      <c r="X1028" s="12"/>
      <c r="Y1028" s="12"/>
      <c r="Z1028" s="12"/>
      <c r="AA1028" s="12"/>
      <c r="AB1028" s="12"/>
      <c r="AD1028" s="12"/>
      <c r="AE1028" s="12"/>
      <c r="AF1028" s="12"/>
      <c r="AG1028" s="12"/>
      <c r="AH1028" s="12"/>
      <c r="AI1028" s="12"/>
      <c r="AJ1028" s="12"/>
      <c r="AK1028" s="12"/>
      <c r="AL1028" s="12"/>
      <c r="AM1028" s="12"/>
      <c r="AN1028" s="12"/>
      <c r="AO1028" s="12"/>
      <c r="AP1028" s="12"/>
      <c r="AQ1028" s="12"/>
      <c r="AR1028" s="12"/>
      <c r="AS1028" s="12"/>
      <c r="AT1028" s="12"/>
    </row>
    <row r="1029" spans="1:46" x14ac:dyDescent="0.25">
      <c r="A1029" s="12"/>
      <c r="B1029" s="12"/>
      <c r="C1029" s="12"/>
      <c r="D1029" s="12"/>
      <c r="E1029" s="12"/>
      <c r="F1029" s="12"/>
      <c r="G1029" s="12"/>
      <c r="H1029" s="12"/>
      <c r="I1029" s="12"/>
      <c r="J1029" s="12"/>
      <c r="L1029" s="12"/>
      <c r="M1029" s="12"/>
      <c r="N1029" s="12"/>
      <c r="O1029" s="12"/>
      <c r="P1029" s="12"/>
      <c r="Q1029" s="12"/>
      <c r="R1029" s="12"/>
      <c r="S1029" s="12"/>
      <c r="T1029" s="12"/>
      <c r="U1029" s="12"/>
      <c r="V1029" s="12"/>
      <c r="W1029" s="12"/>
      <c r="X1029" s="12"/>
      <c r="Y1029" s="12"/>
      <c r="Z1029" s="12"/>
      <c r="AA1029" s="12"/>
      <c r="AB1029" s="12"/>
      <c r="AD1029" s="12"/>
      <c r="AE1029" s="12"/>
      <c r="AF1029" s="12"/>
      <c r="AG1029" s="12"/>
      <c r="AH1029" s="12"/>
      <c r="AI1029" s="12"/>
      <c r="AJ1029" s="12"/>
      <c r="AK1029" s="12"/>
      <c r="AL1029" s="12"/>
      <c r="AM1029" s="12"/>
      <c r="AN1029" s="12"/>
      <c r="AO1029" s="12"/>
      <c r="AP1029" s="12"/>
      <c r="AQ1029" s="12"/>
      <c r="AR1029" s="12"/>
      <c r="AS1029" s="12"/>
      <c r="AT1029" s="12"/>
    </row>
    <row r="1030" spans="1:46" x14ac:dyDescent="0.25">
      <c r="A1030" s="12"/>
      <c r="B1030" s="12"/>
      <c r="C1030" s="12"/>
      <c r="D1030" s="12"/>
      <c r="E1030" s="12"/>
      <c r="F1030" s="12"/>
      <c r="G1030" s="12"/>
      <c r="H1030" s="12"/>
      <c r="I1030" s="12"/>
      <c r="J1030" s="12"/>
      <c r="L1030" s="12"/>
      <c r="M1030" s="12"/>
      <c r="N1030" s="12"/>
      <c r="O1030" s="12"/>
      <c r="P1030" s="12"/>
      <c r="Q1030" s="12"/>
      <c r="R1030" s="12"/>
      <c r="S1030" s="12"/>
      <c r="T1030" s="12"/>
      <c r="U1030" s="12"/>
      <c r="V1030" s="12"/>
      <c r="W1030" s="12"/>
      <c r="X1030" s="12"/>
      <c r="Y1030" s="12"/>
      <c r="Z1030" s="12"/>
      <c r="AA1030" s="12"/>
      <c r="AB1030" s="12"/>
      <c r="AD1030" s="12"/>
      <c r="AE1030" s="12"/>
      <c r="AF1030" s="12"/>
      <c r="AG1030" s="12"/>
      <c r="AH1030" s="12"/>
      <c r="AI1030" s="12"/>
      <c r="AJ1030" s="12"/>
      <c r="AK1030" s="12"/>
      <c r="AL1030" s="12"/>
      <c r="AM1030" s="12"/>
      <c r="AN1030" s="12"/>
      <c r="AO1030" s="12"/>
      <c r="AP1030" s="12"/>
      <c r="AQ1030" s="12"/>
      <c r="AR1030" s="12"/>
      <c r="AS1030" s="12"/>
      <c r="AT1030" s="12"/>
    </row>
    <row r="1031" spans="1:46" x14ac:dyDescent="0.25">
      <c r="A1031" s="12"/>
      <c r="B1031" s="12"/>
      <c r="C1031" s="12"/>
      <c r="D1031" s="12"/>
      <c r="E1031" s="12"/>
      <c r="F1031" s="12"/>
      <c r="G1031" s="12"/>
      <c r="H1031" s="12"/>
      <c r="I1031" s="12"/>
      <c r="J1031" s="12"/>
      <c r="L1031" s="12"/>
      <c r="M1031" s="12"/>
      <c r="N1031" s="12"/>
      <c r="O1031" s="12"/>
      <c r="P1031" s="12"/>
      <c r="Q1031" s="12"/>
      <c r="R1031" s="12"/>
      <c r="S1031" s="12"/>
      <c r="T1031" s="12"/>
      <c r="U1031" s="12"/>
      <c r="V1031" s="12"/>
      <c r="W1031" s="12"/>
      <c r="X1031" s="12"/>
      <c r="Y1031" s="12"/>
      <c r="Z1031" s="12"/>
      <c r="AA1031" s="12"/>
      <c r="AB1031" s="12"/>
      <c r="AD1031" s="12"/>
      <c r="AE1031" s="12"/>
      <c r="AF1031" s="12"/>
      <c r="AG1031" s="12"/>
      <c r="AH1031" s="12"/>
      <c r="AI1031" s="12"/>
      <c r="AJ1031" s="12"/>
      <c r="AK1031" s="12"/>
      <c r="AL1031" s="12"/>
      <c r="AM1031" s="12"/>
      <c r="AN1031" s="12"/>
      <c r="AO1031" s="12"/>
      <c r="AP1031" s="12"/>
      <c r="AQ1031" s="12"/>
      <c r="AR1031" s="12"/>
      <c r="AS1031" s="12"/>
      <c r="AT1031" s="12"/>
    </row>
    <row r="1032" spans="1:46" x14ac:dyDescent="0.25">
      <c r="A1032" s="12"/>
      <c r="B1032" s="12"/>
      <c r="C1032" s="12"/>
      <c r="D1032" s="12"/>
      <c r="E1032" s="12"/>
      <c r="F1032" s="12"/>
      <c r="G1032" s="12"/>
      <c r="H1032" s="12"/>
      <c r="I1032" s="12"/>
      <c r="J1032" s="12"/>
      <c r="L1032" s="12"/>
      <c r="M1032" s="12"/>
      <c r="N1032" s="12"/>
      <c r="O1032" s="12"/>
      <c r="P1032" s="12"/>
      <c r="Q1032" s="12"/>
      <c r="R1032" s="12"/>
      <c r="S1032" s="12"/>
      <c r="T1032" s="12"/>
      <c r="U1032" s="12"/>
      <c r="V1032" s="12"/>
      <c r="W1032" s="12"/>
      <c r="X1032" s="12"/>
      <c r="Y1032" s="12"/>
      <c r="Z1032" s="12"/>
      <c r="AA1032" s="12"/>
      <c r="AB1032" s="12"/>
      <c r="AD1032" s="12"/>
      <c r="AE1032" s="12"/>
      <c r="AF1032" s="12"/>
      <c r="AG1032" s="12"/>
      <c r="AH1032" s="12"/>
      <c r="AI1032" s="12"/>
      <c r="AJ1032" s="12"/>
      <c r="AK1032" s="12"/>
      <c r="AL1032" s="12"/>
      <c r="AM1032" s="12"/>
      <c r="AN1032" s="12"/>
      <c r="AO1032" s="12"/>
      <c r="AP1032" s="12"/>
      <c r="AQ1032" s="12"/>
      <c r="AR1032" s="12"/>
      <c r="AS1032" s="12"/>
      <c r="AT1032" s="12"/>
    </row>
    <row r="1033" spans="1:46" x14ac:dyDescent="0.25">
      <c r="A1033" s="12"/>
      <c r="B1033" s="12"/>
      <c r="C1033" s="12"/>
      <c r="D1033" s="12"/>
      <c r="E1033" s="12"/>
      <c r="F1033" s="12"/>
      <c r="G1033" s="12"/>
      <c r="H1033" s="12"/>
      <c r="I1033" s="12"/>
      <c r="J1033" s="12"/>
      <c r="L1033" s="12"/>
      <c r="M1033" s="12"/>
      <c r="N1033" s="12"/>
      <c r="O1033" s="12"/>
      <c r="P1033" s="12"/>
      <c r="Q1033" s="12"/>
      <c r="R1033" s="12"/>
      <c r="S1033" s="12"/>
      <c r="T1033" s="12"/>
      <c r="U1033" s="12"/>
      <c r="V1033" s="12"/>
      <c r="W1033" s="12"/>
      <c r="X1033" s="12"/>
      <c r="Y1033" s="12"/>
      <c r="Z1033" s="12"/>
      <c r="AA1033" s="12"/>
      <c r="AB1033" s="12"/>
      <c r="AD1033" s="12"/>
      <c r="AE1033" s="12"/>
      <c r="AF1033" s="12"/>
      <c r="AG1033" s="12"/>
      <c r="AH1033" s="12"/>
      <c r="AI1033" s="12"/>
      <c r="AJ1033" s="12"/>
      <c r="AK1033" s="12"/>
      <c r="AL1033" s="12"/>
      <c r="AM1033" s="12"/>
      <c r="AN1033" s="12"/>
      <c r="AO1033" s="12"/>
      <c r="AP1033" s="12"/>
      <c r="AQ1033" s="12"/>
      <c r="AR1033" s="12"/>
      <c r="AS1033" s="12"/>
      <c r="AT1033" s="12"/>
    </row>
    <row r="1034" spans="1:46" x14ac:dyDescent="0.25">
      <c r="A1034" s="12"/>
      <c r="B1034" s="12"/>
      <c r="C1034" s="12"/>
      <c r="D1034" s="12"/>
      <c r="E1034" s="12"/>
      <c r="F1034" s="12"/>
      <c r="G1034" s="12"/>
      <c r="H1034" s="12"/>
      <c r="I1034" s="12"/>
      <c r="J1034" s="12"/>
      <c r="L1034" s="12"/>
      <c r="M1034" s="12"/>
      <c r="N1034" s="12"/>
      <c r="O1034" s="12"/>
      <c r="P1034" s="12"/>
      <c r="Q1034" s="12"/>
      <c r="R1034" s="12"/>
      <c r="S1034" s="12"/>
      <c r="T1034" s="12"/>
      <c r="U1034" s="12"/>
      <c r="V1034" s="12"/>
      <c r="W1034" s="12"/>
      <c r="X1034" s="12"/>
      <c r="Y1034" s="12"/>
      <c r="Z1034" s="12"/>
      <c r="AA1034" s="12"/>
      <c r="AB1034" s="12"/>
      <c r="AD1034" s="12"/>
      <c r="AE1034" s="12"/>
      <c r="AF1034" s="12"/>
      <c r="AG1034" s="12"/>
      <c r="AH1034" s="12"/>
      <c r="AI1034" s="12"/>
      <c r="AJ1034" s="12"/>
      <c r="AK1034" s="12"/>
      <c r="AL1034" s="12"/>
      <c r="AM1034" s="12"/>
      <c r="AN1034" s="12"/>
      <c r="AO1034" s="12"/>
      <c r="AP1034" s="12"/>
      <c r="AQ1034" s="12"/>
      <c r="AR1034" s="12"/>
      <c r="AS1034" s="12"/>
      <c r="AT1034" s="12"/>
    </row>
    <row r="1035" spans="1:46" x14ac:dyDescent="0.25">
      <c r="A1035" s="12"/>
      <c r="B1035" s="12"/>
      <c r="C1035" s="12"/>
      <c r="D1035" s="12"/>
      <c r="E1035" s="12"/>
      <c r="F1035" s="12"/>
      <c r="G1035" s="12"/>
      <c r="H1035" s="12"/>
      <c r="I1035" s="12"/>
      <c r="J1035" s="12"/>
      <c r="L1035" s="12"/>
      <c r="M1035" s="12"/>
      <c r="N1035" s="12"/>
      <c r="O1035" s="12"/>
      <c r="P1035" s="12"/>
      <c r="Q1035" s="12"/>
      <c r="R1035" s="12"/>
      <c r="S1035" s="12"/>
      <c r="T1035" s="12"/>
      <c r="U1035" s="12"/>
      <c r="V1035" s="12"/>
      <c r="W1035" s="12"/>
      <c r="X1035" s="12"/>
      <c r="Y1035" s="12"/>
      <c r="Z1035" s="12"/>
      <c r="AA1035" s="12"/>
      <c r="AB1035" s="12"/>
      <c r="AD1035" s="12"/>
      <c r="AE1035" s="12"/>
      <c r="AF1035" s="12"/>
      <c r="AG1035" s="12"/>
      <c r="AH1035" s="12"/>
      <c r="AI1035" s="12"/>
      <c r="AJ1035" s="12"/>
      <c r="AK1035" s="12"/>
      <c r="AL1035" s="12"/>
      <c r="AM1035" s="12"/>
      <c r="AN1035" s="12"/>
      <c r="AO1035" s="12"/>
      <c r="AP1035" s="12"/>
      <c r="AQ1035" s="12"/>
      <c r="AR1035" s="12"/>
      <c r="AS1035" s="12"/>
      <c r="AT1035" s="12"/>
    </row>
    <row r="1036" spans="1:46" x14ac:dyDescent="0.25">
      <c r="A1036" s="12"/>
      <c r="B1036" s="12"/>
      <c r="C1036" s="12"/>
      <c r="D1036" s="12"/>
      <c r="E1036" s="12"/>
      <c r="F1036" s="12"/>
      <c r="G1036" s="12"/>
      <c r="H1036" s="12"/>
      <c r="I1036" s="12"/>
      <c r="J1036" s="12"/>
      <c r="L1036" s="12"/>
      <c r="M1036" s="12"/>
      <c r="N1036" s="12"/>
      <c r="O1036" s="12"/>
      <c r="P1036" s="12"/>
      <c r="Q1036" s="12"/>
      <c r="R1036" s="12"/>
      <c r="S1036" s="12"/>
      <c r="T1036" s="12"/>
      <c r="U1036" s="12"/>
      <c r="V1036" s="12"/>
      <c r="W1036" s="12"/>
      <c r="X1036" s="12"/>
      <c r="Y1036" s="12"/>
      <c r="Z1036" s="12"/>
      <c r="AA1036" s="12"/>
      <c r="AB1036" s="12"/>
      <c r="AD1036" s="12"/>
      <c r="AE1036" s="12"/>
      <c r="AF1036" s="12"/>
      <c r="AG1036" s="12"/>
      <c r="AH1036" s="12"/>
      <c r="AI1036" s="12"/>
      <c r="AJ1036" s="12"/>
      <c r="AK1036" s="12"/>
      <c r="AL1036" s="12"/>
      <c r="AM1036" s="12"/>
      <c r="AN1036" s="12"/>
      <c r="AO1036" s="12"/>
      <c r="AP1036" s="12"/>
      <c r="AQ1036" s="12"/>
      <c r="AR1036" s="12"/>
      <c r="AS1036" s="12"/>
      <c r="AT1036" s="12"/>
    </row>
    <row r="1037" spans="1:46" x14ac:dyDescent="0.25">
      <c r="A1037" s="12"/>
      <c r="B1037" s="12"/>
      <c r="C1037" s="12"/>
      <c r="D1037" s="12"/>
      <c r="E1037" s="12"/>
      <c r="F1037" s="12"/>
      <c r="G1037" s="12"/>
      <c r="H1037" s="12"/>
      <c r="I1037" s="12"/>
      <c r="J1037" s="12"/>
      <c r="L1037" s="12"/>
      <c r="M1037" s="12"/>
      <c r="N1037" s="12"/>
      <c r="O1037" s="12"/>
      <c r="P1037" s="12"/>
      <c r="Q1037" s="12"/>
      <c r="R1037" s="12"/>
      <c r="S1037" s="12"/>
      <c r="T1037" s="12"/>
      <c r="U1037" s="12"/>
      <c r="V1037" s="12"/>
      <c r="W1037" s="12"/>
      <c r="X1037" s="12"/>
      <c r="Y1037" s="12"/>
      <c r="Z1037" s="12"/>
      <c r="AA1037" s="12"/>
      <c r="AB1037" s="12"/>
      <c r="AD1037" s="12"/>
      <c r="AE1037" s="12"/>
      <c r="AF1037" s="12"/>
      <c r="AG1037" s="12"/>
      <c r="AH1037" s="12"/>
      <c r="AI1037" s="12"/>
      <c r="AJ1037" s="12"/>
      <c r="AK1037" s="12"/>
      <c r="AL1037" s="12"/>
      <c r="AM1037" s="12"/>
      <c r="AN1037" s="12"/>
      <c r="AO1037" s="12"/>
      <c r="AP1037" s="12"/>
      <c r="AQ1037" s="12"/>
      <c r="AR1037" s="12"/>
      <c r="AS1037" s="12"/>
      <c r="AT1037" s="12"/>
    </row>
    <row r="1038" spans="1:46" x14ac:dyDescent="0.25">
      <c r="A1038" s="12"/>
      <c r="B1038" s="12"/>
      <c r="C1038" s="12"/>
      <c r="D1038" s="12"/>
      <c r="E1038" s="12"/>
      <c r="F1038" s="12"/>
      <c r="G1038" s="12"/>
      <c r="H1038" s="12"/>
      <c r="I1038" s="12"/>
      <c r="J1038" s="12"/>
      <c r="L1038" s="12"/>
      <c r="M1038" s="12"/>
      <c r="N1038" s="12"/>
      <c r="O1038" s="12"/>
      <c r="P1038" s="12"/>
      <c r="Q1038" s="12"/>
      <c r="R1038" s="12"/>
      <c r="S1038" s="12"/>
      <c r="T1038" s="12"/>
      <c r="U1038" s="12"/>
      <c r="V1038" s="12"/>
      <c r="W1038" s="12"/>
      <c r="X1038" s="12"/>
      <c r="Y1038" s="12"/>
      <c r="Z1038" s="12"/>
      <c r="AA1038" s="12"/>
      <c r="AB1038" s="12"/>
      <c r="AD1038" s="12"/>
      <c r="AE1038" s="12"/>
      <c r="AF1038" s="12"/>
      <c r="AG1038" s="12"/>
      <c r="AH1038" s="12"/>
      <c r="AI1038" s="12"/>
      <c r="AJ1038" s="12"/>
      <c r="AK1038" s="12"/>
      <c r="AL1038" s="12"/>
      <c r="AM1038" s="12"/>
      <c r="AN1038" s="12"/>
      <c r="AO1038" s="12"/>
      <c r="AP1038" s="12"/>
      <c r="AQ1038" s="12"/>
      <c r="AR1038" s="12"/>
      <c r="AS1038" s="12"/>
      <c r="AT1038" s="12"/>
    </row>
    <row r="1039" spans="1:46" x14ac:dyDescent="0.25">
      <c r="A1039" s="12"/>
      <c r="B1039" s="12"/>
      <c r="C1039" s="12"/>
      <c r="D1039" s="12"/>
      <c r="E1039" s="12"/>
      <c r="F1039" s="12"/>
      <c r="G1039" s="12"/>
      <c r="H1039" s="12"/>
      <c r="I1039" s="12"/>
      <c r="J1039" s="12"/>
      <c r="L1039" s="12"/>
      <c r="M1039" s="12"/>
      <c r="N1039" s="12"/>
      <c r="O1039" s="12"/>
      <c r="P1039" s="12"/>
      <c r="Q1039" s="12"/>
      <c r="R1039" s="12"/>
      <c r="S1039" s="12"/>
      <c r="T1039" s="12"/>
      <c r="U1039" s="12"/>
      <c r="V1039" s="12"/>
      <c r="W1039" s="12"/>
      <c r="X1039" s="12"/>
      <c r="Y1039" s="12"/>
      <c r="Z1039" s="12"/>
      <c r="AA1039" s="12"/>
      <c r="AB1039" s="12"/>
      <c r="AD1039" s="12"/>
      <c r="AE1039" s="12"/>
      <c r="AF1039" s="12"/>
      <c r="AG1039" s="12"/>
      <c r="AH1039" s="12"/>
      <c r="AI1039" s="12"/>
      <c r="AJ1039" s="12"/>
      <c r="AK1039" s="12"/>
      <c r="AL1039" s="12"/>
      <c r="AM1039" s="12"/>
      <c r="AN1039" s="12"/>
      <c r="AO1039" s="12"/>
      <c r="AP1039" s="12"/>
      <c r="AQ1039" s="12"/>
      <c r="AR1039" s="12"/>
      <c r="AS1039" s="12"/>
      <c r="AT1039" s="12"/>
    </row>
    <row r="1040" spans="1:46" x14ac:dyDescent="0.25">
      <c r="A1040" s="12"/>
      <c r="B1040" s="12"/>
      <c r="C1040" s="12"/>
      <c r="D1040" s="12"/>
      <c r="E1040" s="12"/>
      <c r="F1040" s="12"/>
      <c r="G1040" s="12"/>
      <c r="H1040" s="12"/>
      <c r="I1040" s="12"/>
      <c r="J1040" s="12"/>
      <c r="L1040" s="12"/>
      <c r="M1040" s="12"/>
      <c r="N1040" s="12"/>
      <c r="O1040" s="12"/>
      <c r="P1040" s="12"/>
      <c r="Q1040" s="12"/>
      <c r="R1040" s="12"/>
      <c r="S1040" s="12"/>
      <c r="T1040" s="12"/>
      <c r="U1040" s="12"/>
      <c r="V1040" s="12"/>
      <c r="W1040" s="12"/>
      <c r="X1040" s="12"/>
      <c r="Y1040" s="12"/>
      <c r="Z1040" s="12"/>
      <c r="AA1040" s="12"/>
      <c r="AB1040" s="12"/>
      <c r="AD1040" s="12"/>
      <c r="AE1040" s="12"/>
      <c r="AF1040" s="12"/>
      <c r="AG1040" s="12"/>
      <c r="AH1040" s="12"/>
      <c r="AI1040" s="12"/>
      <c r="AJ1040" s="12"/>
      <c r="AK1040" s="12"/>
      <c r="AL1040" s="12"/>
      <c r="AM1040" s="12"/>
      <c r="AN1040" s="12"/>
      <c r="AO1040" s="12"/>
      <c r="AP1040" s="12"/>
      <c r="AQ1040" s="12"/>
      <c r="AR1040" s="12"/>
      <c r="AS1040" s="12"/>
      <c r="AT1040" s="12"/>
    </row>
    <row r="1041" spans="1:46" x14ac:dyDescent="0.25">
      <c r="A1041" s="12"/>
      <c r="B1041" s="12"/>
      <c r="C1041" s="12"/>
      <c r="D1041" s="12"/>
      <c r="E1041" s="12"/>
      <c r="F1041" s="12"/>
      <c r="G1041" s="12"/>
      <c r="H1041" s="12"/>
      <c r="I1041" s="12"/>
      <c r="J1041" s="12"/>
      <c r="L1041" s="12"/>
      <c r="M1041" s="12"/>
      <c r="N1041" s="12"/>
      <c r="O1041" s="12"/>
      <c r="P1041" s="12"/>
      <c r="Q1041" s="12"/>
      <c r="R1041" s="12"/>
      <c r="S1041" s="12"/>
      <c r="T1041" s="12"/>
      <c r="U1041" s="12"/>
      <c r="V1041" s="12"/>
      <c r="W1041" s="12"/>
      <c r="X1041" s="12"/>
      <c r="Y1041" s="12"/>
      <c r="Z1041" s="12"/>
      <c r="AA1041" s="12"/>
      <c r="AB1041" s="12"/>
      <c r="AD1041" s="12"/>
      <c r="AE1041" s="12"/>
      <c r="AF1041" s="12"/>
      <c r="AG1041" s="12"/>
      <c r="AH1041" s="12"/>
      <c r="AI1041" s="12"/>
      <c r="AJ1041" s="12"/>
      <c r="AK1041" s="12"/>
      <c r="AL1041" s="12"/>
      <c r="AM1041" s="12"/>
      <c r="AN1041" s="12"/>
      <c r="AO1041" s="12"/>
      <c r="AP1041" s="12"/>
      <c r="AQ1041" s="12"/>
      <c r="AR1041" s="12"/>
      <c r="AS1041" s="12"/>
      <c r="AT1041" s="12"/>
    </row>
    <row r="1042" spans="1:46" x14ac:dyDescent="0.25">
      <c r="A1042" s="12"/>
      <c r="B1042" s="12"/>
      <c r="C1042" s="12"/>
      <c r="D1042" s="12"/>
      <c r="E1042" s="12"/>
      <c r="F1042" s="12"/>
      <c r="G1042" s="12"/>
      <c r="H1042" s="12"/>
      <c r="I1042" s="12"/>
      <c r="J1042" s="12"/>
      <c r="L1042" s="12"/>
      <c r="M1042" s="12"/>
      <c r="N1042" s="12"/>
      <c r="O1042" s="12"/>
      <c r="P1042" s="12"/>
      <c r="Q1042" s="12"/>
      <c r="R1042" s="12"/>
      <c r="S1042" s="12"/>
      <c r="T1042" s="12"/>
      <c r="U1042" s="12"/>
      <c r="V1042" s="12"/>
      <c r="W1042" s="12"/>
      <c r="X1042" s="12"/>
      <c r="Y1042" s="12"/>
      <c r="Z1042" s="12"/>
      <c r="AA1042" s="12"/>
      <c r="AB1042" s="12"/>
      <c r="AD1042" s="12"/>
      <c r="AE1042" s="12"/>
      <c r="AF1042" s="12"/>
      <c r="AG1042" s="12"/>
      <c r="AH1042" s="12"/>
      <c r="AI1042" s="12"/>
      <c r="AJ1042" s="12"/>
      <c r="AK1042" s="12"/>
      <c r="AL1042" s="12"/>
      <c r="AM1042" s="12"/>
      <c r="AN1042" s="12"/>
      <c r="AO1042" s="12"/>
      <c r="AP1042" s="12"/>
      <c r="AQ1042" s="12"/>
      <c r="AR1042" s="12"/>
      <c r="AS1042" s="12"/>
      <c r="AT1042" s="12"/>
    </row>
    <row r="1043" spans="1:46" x14ac:dyDescent="0.25">
      <c r="A1043" s="12"/>
      <c r="B1043" s="12"/>
      <c r="C1043" s="12"/>
      <c r="D1043" s="12"/>
      <c r="E1043" s="12"/>
      <c r="F1043" s="12"/>
      <c r="G1043" s="12"/>
      <c r="H1043" s="12"/>
      <c r="I1043" s="12"/>
      <c r="J1043" s="12"/>
      <c r="L1043" s="12"/>
      <c r="M1043" s="12"/>
      <c r="N1043" s="12"/>
      <c r="O1043" s="12"/>
      <c r="P1043" s="12"/>
      <c r="Q1043" s="12"/>
      <c r="R1043" s="12"/>
      <c r="S1043" s="12"/>
      <c r="T1043" s="12"/>
      <c r="U1043" s="12"/>
      <c r="V1043" s="12"/>
      <c r="W1043" s="12"/>
      <c r="X1043" s="12"/>
      <c r="Y1043" s="12"/>
      <c r="Z1043" s="12"/>
      <c r="AA1043" s="12"/>
      <c r="AB1043" s="12"/>
      <c r="AD1043" s="12"/>
      <c r="AE1043" s="12"/>
      <c r="AF1043" s="12"/>
      <c r="AG1043" s="12"/>
      <c r="AH1043" s="12"/>
      <c r="AI1043" s="12"/>
      <c r="AJ1043" s="12"/>
      <c r="AK1043" s="12"/>
      <c r="AL1043" s="12"/>
      <c r="AM1043" s="12"/>
      <c r="AN1043" s="12"/>
      <c r="AO1043" s="12"/>
      <c r="AP1043" s="12"/>
      <c r="AQ1043" s="12"/>
      <c r="AR1043" s="12"/>
      <c r="AS1043" s="12"/>
      <c r="AT1043" s="12"/>
    </row>
    <row r="1044" spans="1:46" x14ac:dyDescent="0.25">
      <c r="A1044" s="12"/>
      <c r="B1044" s="12"/>
      <c r="C1044" s="12"/>
      <c r="D1044" s="12"/>
      <c r="E1044" s="12"/>
      <c r="F1044" s="12"/>
      <c r="G1044" s="12"/>
      <c r="H1044" s="12"/>
      <c r="I1044" s="12"/>
      <c r="J1044" s="12"/>
      <c r="L1044" s="12"/>
      <c r="M1044" s="12"/>
      <c r="N1044" s="12"/>
      <c r="O1044" s="12"/>
      <c r="P1044" s="12"/>
      <c r="Q1044" s="12"/>
      <c r="R1044" s="12"/>
      <c r="S1044" s="12"/>
      <c r="T1044" s="12"/>
      <c r="U1044" s="12"/>
      <c r="V1044" s="12"/>
      <c r="W1044" s="12"/>
      <c r="X1044" s="12"/>
      <c r="Y1044" s="12"/>
      <c r="Z1044" s="12"/>
      <c r="AA1044" s="12"/>
      <c r="AB1044" s="12"/>
      <c r="AD1044" s="12"/>
      <c r="AE1044" s="12"/>
      <c r="AF1044" s="12"/>
      <c r="AG1044" s="12"/>
      <c r="AH1044" s="12"/>
      <c r="AI1044" s="12"/>
      <c r="AJ1044" s="12"/>
      <c r="AK1044" s="12"/>
      <c r="AL1044" s="12"/>
      <c r="AM1044" s="12"/>
      <c r="AN1044" s="12"/>
      <c r="AO1044" s="12"/>
      <c r="AP1044" s="12"/>
      <c r="AQ1044" s="12"/>
      <c r="AR1044" s="12"/>
      <c r="AS1044" s="12"/>
      <c r="AT1044" s="12"/>
    </row>
    <row r="1045" spans="1:46" x14ac:dyDescent="0.25">
      <c r="A1045" s="12"/>
      <c r="B1045" s="12"/>
      <c r="C1045" s="12"/>
      <c r="D1045" s="12"/>
      <c r="E1045" s="12"/>
      <c r="F1045" s="12"/>
      <c r="G1045" s="12"/>
      <c r="H1045" s="12"/>
      <c r="I1045" s="12"/>
      <c r="J1045" s="12"/>
      <c r="L1045" s="12"/>
      <c r="M1045" s="12"/>
      <c r="N1045" s="12"/>
      <c r="O1045" s="12"/>
      <c r="P1045" s="12"/>
      <c r="Q1045" s="12"/>
      <c r="R1045" s="12"/>
      <c r="S1045" s="12"/>
      <c r="T1045" s="12"/>
      <c r="U1045" s="12"/>
      <c r="V1045" s="12"/>
      <c r="W1045" s="12"/>
      <c r="X1045" s="12"/>
      <c r="Y1045" s="12"/>
      <c r="Z1045" s="12"/>
      <c r="AA1045" s="12"/>
      <c r="AB1045" s="12"/>
      <c r="AD1045" s="12"/>
      <c r="AE1045" s="12"/>
      <c r="AF1045" s="12"/>
      <c r="AG1045" s="12"/>
      <c r="AH1045" s="12"/>
      <c r="AI1045" s="12"/>
      <c r="AJ1045" s="12"/>
      <c r="AK1045" s="12"/>
      <c r="AL1045" s="12"/>
      <c r="AM1045" s="12"/>
      <c r="AN1045" s="12"/>
      <c r="AO1045" s="12"/>
      <c r="AP1045" s="12"/>
      <c r="AQ1045" s="12"/>
      <c r="AR1045" s="12"/>
      <c r="AS1045" s="12"/>
      <c r="AT1045" s="12"/>
    </row>
    <row r="1046" spans="1:46" x14ac:dyDescent="0.25">
      <c r="A1046" s="12"/>
      <c r="B1046" s="12"/>
      <c r="C1046" s="12"/>
      <c r="D1046" s="12"/>
      <c r="E1046" s="12"/>
      <c r="F1046" s="12"/>
      <c r="G1046" s="12"/>
      <c r="H1046" s="12"/>
      <c r="I1046" s="12"/>
      <c r="J1046" s="12"/>
      <c r="L1046" s="12"/>
      <c r="M1046" s="12"/>
      <c r="N1046" s="12"/>
      <c r="O1046" s="12"/>
      <c r="P1046" s="12"/>
      <c r="Q1046" s="12"/>
      <c r="R1046" s="12"/>
      <c r="S1046" s="12"/>
      <c r="T1046" s="12"/>
      <c r="U1046" s="12"/>
      <c r="V1046" s="12"/>
      <c r="W1046" s="12"/>
      <c r="X1046" s="12"/>
      <c r="Y1046" s="12"/>
      <c r="Z1046" s="12"/>
      <c r="AA1046" s="12"/>
      <c r="AB1046" s="12"/>
      <c r="AD1046" s="12"/>
      <c r="AE1046" s="12"/>
      <c r="AF1046" s="12"/>
      <c r="AG1046" s="12"/>
      <c r="AH1046" s="12"/>
      <c r="AI1046" s="12"/>
      <c r="AJ1046" s="12"/>
      <c r="AK1046" s="12"/>
      <c r="AL1046" s="12"/>
      <c r="AM1046" s="12"/>
      <c r="AN1046" s="12"/>
      <c r="AO1046" s="12"/>
      <c r="AP1046" s="12"/>
      <c r="AQ1046" s="12"/>
      <c r="AR1046" s="12"/>
      <c r="AS1046" s="12"/>
      <c r="AT1046" s="12"/>
    </row>
    <row r="1047" spans="1:46" x14ac:dyDescent="0.25">
      <c r="A1047" s="12"/>
      <c r="B1047" s="12"/>
      <c r="C1047" s="12"/>
      <c r="D1047" s="12"/>
      <c r="E1047" s="12"/>
      <c r="F1047" s="12"/>
      <c r="G1047" s="12"/>
      <c r="H1047" s="12"/>
      <c r="I1047" s="12"/>
      <c r="J1047" s="12"/>
      <c r="L1047" s="12"/>
      <c r="M1047" s="12"/>
      <c r="N1047" s="12"/>
      <c r="O1047" s="12"/>
      <c r="P1047" s="12"/>
      <c r="Q1047" s="12"/>
      <c r="R1047" s="12"/>
      <c r="S1047" s="12"/>
      <c r="T1047" s="12"/>
      <c r="U1047" s="12"/>
      <c r="V1047" s="12"/>
      <c r="W1047" s="12"/>
      <c r="X1047" s="12"/>
      <c r="Y1047" s="12"/>
      <c r="Z1047" s="12"/>
      <c r="AA1047" s="12"/>
      <c r="AB1047" s="12"/>
      <c r="AD1047" s="12"/>
      <c r="AE1047" s="12"/>
      <c r="AF1047" s="12"/>
      <c r="AG1047" s="12"/>
      <c r="AH1047" s="12"/>
      <c r="AI1047" s="12"/>
      <c r="AJ1047" s="12"/>
      <c r="AK1047" s="12"/>
      <c r="AL1047" s="12"/>
      <c r="AM1047" s="12"/>
      <c r="AN1047" s="12"/>
      <c r="AO1047" s="12"/>
      <c r="AP1047" s="12"/>
      <c r="AQ1047" s="12"/>
      <c r="AR1047" s="12"/>
      <c r="AS1047" s="12"/>
      <c r="AT1047" s="12"/>
    </row>
    <row r="1048" spans="1:46" x14ac:dyDescent="0.25">
      <c r="A1048" s="12"/>
      <c r="B1048" s="12"/>
      <c r="C1048" s="12"/>
      <c r="D1048" s="12"/>
      <c r="E1048" s="12"/>
      <c r="F1048" s="12"/>
      <c r="G1048" s="12"/>
      <c r="H1048" s="12"/>
      <c r="I1048" s="12"/>
      <c r="J1048" s="12"/>
      <c r="L1048" s="12"/>
      <c r="M1048" s="12"/>
      <c r="N1048" s="12"/>
      <c r="O1048" s="12"/>
      <c r="P1048" s="12"/>
      <c r="Q1048" s="12"/>
      <c r="R1048" s="12"/>
      <c r="S1048" s="12"/>
      <c r="T1048" s="12"/>
      <c r="U1048" s="12"/>
      <c r="V1048" s="12"/>
      <c r="W1048" s="12"/>
      <c r="X1048" s="12"/>
      <c r="Y1048" s="12"/>
      <c r="Z1048" s="12"/>
      <c r="AA1048" s="12"/>
      <c r="AB1048" s="12"/>
      <c r="AD1048" s="12"/>
      <c r="AE1048" s="12"/>
      <c r="AF1048" s="12"/>
      <c r="AG1048" s="12"/>
      <c r="AH1048" s="12"/>
      <c r="AI1048" s="12"/>
      <c r="AJ1048" s="12"/>
      <c r="AK1048" s="12"/>
      <c r="AL1048" s="12"/>
      <c r="AM1048" s="12"/>
      <c r="AN1048" s="12"/>
      <c r="AO1048" s="12"/>
      <c r="AP1048" s="12"/>
      <c r="AQ1048" s="12"/>
      <c r="AR1048" s="12"/>
      <c r="AS1048" s="12"/>
      <c r="AT1048" s="12"/>
    </row>
    <row r="1049" spans="1:46" x14ac:dyDescent="0.25">
      <c r="A1049" s="12"/>
      <c r="B1049" s="12"/>
      <c r="C1049" s="12"/>
      <c r="D1049" s="12"/>
      <c r="E1049" s="12"/>
      <c r="F1049" s="12"/>
      <c r="G1049" s="12"/>
      <c r="H1049" s="12"/>
      <c r="I1049" s="12"/>
      <c r="J1049" s="12"/>
      <c r="L1049" s="12"/>
      <c r="M1049" s="12"/>
      <c r="N1049" s="12"/>
      <c r="O1049" s="12"/>
      <c r="P1049" s="12"/>
      <c r="Q1049" s="12"/>
      <c r="R1049" s="12"/>
      <c r="S1049" s="12"/>
      <c r="T1049" s="12"/>
      <c r="U1049" s="12"/>
      <c r="V1049" s="12"/>
      <c r="W1049" s="12"/>
      <c r="X1049" s="12"/>
      <c r="Y1049" s="12"/>
      <c r="Z1049" s="12"/>
      <c r="AA1049" s="12"/>
      <c r="AB1049" s="12"/>
      <c r="AD1049" s="12"/>
      <c r="AE1049" s="12"/>
      <c r="AF1049" s="12"/>
      <c r="AG1049" s="12"/>
      <c r="AH1049" s="12"/>
      <c r="AI1049" s="12"/>
      <c r="AJ1049" s="12"/>
      <c r="AK1049" s="12"/>
      <c r="AL1049" s="12"/>
      <c r="AM1049" s="12"/>
      <c r="AN1049" s="12"/>
      <c r="AO1049" s="12"/>
      <c r="AP1049" s="12"/>
      <c r="AQ1049" s="12"/>
      <c r="AR1049" s="12"/>
      <c r="AS1049" s="12"/>
      <c r="AT1049" s="12"/>
    </row>
    <row r="1050" spans="1:46" x14ac:dyDescent="0.25">
      <c r="A1050" s="12"/>
      <c r="B1050" s="12"/>
      <c r="C1050" s="12"/>
      <c r="D1050" s="12"/>
      <c r="E1050" s="12"/>
      <c r="F1050" s="12"/>
      <c r="G1050" s="12"/>
      <c r="H1050" s="12"/>
      <c r="I1050" s="12"/>
      <c r="J1050" s="12"/>
      <c r="L1050" s="12"/>
      <c r="M1050" s="12"/>
      <c r="N1050" s="12"/>
      <c r="O1050" s="12"/>
      <c r="P1050" s="12"/>
      <c r="Q1050" s="12"/>
      <c r="R1050" s="12"/>
      <c r="S1050" s="12"/>
      <c r="T1050" s="12"/>
      <c r="U1050" s="12"/>
      <c r="V1050" s="12"/>
      <c r="W1050" s="12"/>
      <c r="X1050" s="12"/>
      <c r="Y1050" s="12"/>
      <c r="Z1050" s="12"/>
      <c r="AA1050" s="12"/>
      <c r="AB1050" s="12"/>
      <c r="AD1050" s="12"/>
      <c r="AE1050" s="12"/>
      <c r="AF1050" s="12"/>
      <c r="AG1050" s="12"/>
      <c r="AH1050" s="12"/>
      <c r="AI1050" s="12"/>
      <c r="AJ1050" s="12"/>
      <c r="AK1050" s="12"/>
      <c r="AL1050" s="12"/>
      <c r="AM1050" s="12"/>
      <c r="AN1050" s="12"/>
      <c r="AO1050" s="12"/>
      <c r="AP1050" s="12"/>
      <c r="AQ1050" s="12"/>
      <c r="AR1050" s="12"/>
      <c r="AS1050" s="12"/>
      <c r="AT1050" s="12"/>
    </row>
    <row r="1051" spans="1:46" x14ac:dyDescent="0.25">
      <c r="A1051" s="12"/>
      <c r="B1051" s="12"/>
      <c r="C1051" s="12"/>
      <c r="D1051" s="12"/>
      <c r="E1051" s="12"/>
      <c r="F1051" s="12"/>
      <c r="G1051" s="12"/>
      <c r="H1051" s="12"/>
      <c r="I1051" s="12"/>
      <c r="J1051" s="12"/>
      <c r="L1051" s="12"/>
      <c r="M1051" s="12"/>
      <c r="N1051" s="12"/>
      <c r="O1051" s="12"/>
      <c r="P1051" s="12"/>
      <c r="Q1051" s="12"/>
      <c r="R1051" s="12"/>
      <c r="S1051" s="12"/>
      <c r="T1051" s="12"/>
      <c r="U1051" s="12"/>
      <c r="V1051" s="12"/>
      <c r="W1051" s="12"/>
      <c r="X1051" s="12"/>
      <c r="Y1051" s="12"/>
      <c r="Z1051" s="12"/>
      <c r="AA1051" s="12"/>
      <c r="AB1051" s="12"/>
      <c r="AD1051" s="12"/>
      <c r="AE1051" s="12"/>
      <c r="AF1051" s="12"/>
      <c r="AG1051" s="12"/>
      <c r="AH1051" s="12"/>
      <c r="AI1051" s="12"/>
      <c r="AJ1051" s="12"/>
      <c r="AK1051" s="12"/>
      <c r="AL1051" s="12"/>
      <c r="AM1051" s="12"/>
      <c r="AN1051" s="12"/>
      <c r="AO1051" s="12"/>
      <c r="AP1051" s="12"/>
      <c r="AQ1051" s="12"/>
      <c r="AR1051" s="12"/>
      <c r="AS1051" s="12"/>
      <c r="AT1051" s="12"/>
    </row>
    <row r="1052" spans="1:46" x14ac:dyDescent="0.25">
      <c r="A1052" s="12"/>
      <c r="B1052" s="12"/>
      <c r="C1052" s="12"/>
      <c r="D1052" s="12"/>
      <c r="E1052" s="12"/>
      <c r="F1052" s="12"/>
      <c r="G1052" s="12"/>
      <c r="H1052" s="12"/>
      <c r="I1052" s="12"/>
      <c r="J1052" s="12"/>
      <c r="L1052" s="12"/>
      <c r="M1052" s="12"/>
      <c r="N1052" s="12"/>
      <c r="O1052" s="12"/>
      <c r="P1052" s="12"/>
      <c r="Q1052" s="12"/>
      <c r="R1052" s="12"/>
      <c r="S1052" s="12"/>
      <c r="T1052" s="12"/>
      <c r="U1052" s="12"/>
      <c r="V1052" s="12"/>
      <c r="W1052" s="12"/>
      <c r="X1052" s="12"/>
      <c r="Y1052" s="12"/>
      <c r="Z1052" s="12"/>
      <c r="AA1052" s="12"/>
      <c r="AB1052" s="12"/>
      <c r="AD1052" s="12"/>
      <c r="AE1052" s="12"/>
      <c r="AF1052" s="12"/>
      <c r="AG1052" s="12"/>
      <c r="AH1052" s="12"/>
      <c r="AI1052" s="12"/>
      <c r="AJ1052" s="12"/>
      <c r="AK1052" s="12"/>
      <c r="AL1052" s="12"/>
      <c r="AM1052" s="12"/>
      <c r="AN1052" s="12"/>
      <c r="AO1052" s="12"/>
      <c r="AP1052" s="12"/>
      <c r="AQ1052" s="12"/>
      <c r="AR1052" s="12"/>
      <c r="AS1052" s="12"/>
      <c r="AT1052" s="12"/>
    </row>
    <row r="1053" spans="1:46" x14ac:dyDescent="0.25">
      <c r="A1053" s="12"/>
      <c r="B1053" s="12"/>
      <c r="C1053" s="12"/>
      <c r="D1053" s="12"/>
      <c r="E1053" s="12"/>
      <c r="F1053" s="12"/>
      <c r="G1053" s="12"/>
      <c r="H1053" s="12"/>
      <c r="I1053" s="12"/>
      <c r="J1053" s="12"/>
      <c r="L1053" s="12"/>
      <c r="M1053" s="12"/>
      <c r="N1053" s="12"/>
      <c r="O1053" s="12"/>
      <c r="P1053" s="12"/>
      <c r="Q1053" s="12"/>
      <c r="R1053" s="12"/>
      <c r="S1053" s="12"/>
      <c r="T1053" s="12"/>
      <c r="U1053" s="12"/>
      <c r="V1053" s="12"/>
      <c r="W1053" s="12"/>
      <c r="X1053" s="12"/>
      <c r="Y1053" s="12"/>
      <c r="Z1053" s="12"/>
      <c r="AA1053" s="12"/>
      <c r="AB1053" s="12"/>
      <c r="AD1053" s="12"/>
      <c r="AE1053" s="12"/>
      <c r="AF1053" s="12"/>
      <c r="AG1053" s="12"/>
      <c r="AH1053" s="12"/>
      <c r="AI1053" s="12"/>
      <c r="AJ1053" s="12"/>
      <c r="AK1053" s="12"/>
      <c r="AL1053" s="12"/>
      <c r="AM1053" s="12"/>
      <c r="AN1053" s="12"/>
      <c r="AO1053" s="12"/>
      <c r="AP1053" s="12"/>
      <c r="AQ1053" s="12"/>
      <c r="AR1053" s="12"/>
      <c r="AS1053" s="12"/>
      <c r="AT1053" s="12"/>
    </row>
    <row r="1054" spans="1:46" x14ac:dyDescent="0.25">
      <c r="A1054" s="12"/>
      <c r="B1054" s="12"/>
      <c r="C1054" s="12"/>
      <c r="D1054" s="12"/>
      <c r="E1054" s="12"/>
      <c r="F1054" s="12"/>
      <c r="G1054" s="12"/>
      <c r="H1054" s="12"/>
      <c r="I1054" s="12"/>
      <c r="J1054" s="12"/>
      <c r="L1054" s="12"/>
      <c r="M1054" s="12"/>
      <c r="N1054" s="12"/>
      <c r="O1054" s="12"/>
      <c r="P1054" s="12"/>
      <c r="Q1054" s="12"/>
      <c r="R1054" s="12"/>
      <c r="S1054" s="12"/>
      <c r="T1054" s="12"/>
      <c r="U1054" s="12"/>
      <c r="V1054" s="12"/>
      <c r="W1054" s="12"/>
      <c r="X1054" s="12"/>
      <c r="Y1054" s="12"/>
      <c r="Z1054" s="12"/>
      <c r="AA1054" s="12"/>
      <c r="AB1054" s="12"/>
      <c r="AD1054" s="12"/>
      <c r="AE1054" s="12"/>
      <c r="AF1054" s="12"/>
      <c r="AG1054" s="12"/>
      <c r="AH1054" s="12"/>
      <c r="AI1054" s="12"/>
      <c r="AJ1054" s="12"/>
      <c r="AK1054" s="12"/>
      <c r="AL1054" s="12"/>
      <c r="AM1054" s="12"/>
      <c r="AN1054" s="12"/>
      <c r="AO1054" s="12"/>
      <c r="AP1054" s="12"/>
      <c r="AQ1054" s="12"/>
      <c r="AR1054" s="12"/>
      <c r="AS1054" s="12"/>
      <c r="AT1054" s="12"/>
    </row>
    <row r="1055" spans="1:46" x14ac:dyDescent="0.25">
      <c r="A1055" s="12"/>
      <c r="B1055" s="12"/>
      <c r="C1055" s="12"/>
      <c r="D1055" s="12"/>
      <c r="E1055" s="12"/>
      <c r="F1055" s="12"/>
      <c r="G1055" s="12"/>
      <c r="H1055" s="12"/>
      <c r="I1055" s="12"/>
      <c r="J1055" s="12"/>
      <c r="L1055" s="12"/>
      <c r="M1055" s="12"/>
      <c r="N1055" s="12"/>
      <c r="O1055" s="12"/>
      <c r="P1055" s="12"/>
      <c r="Q1055" s="12"/>
      <c r="R1055" s="12"/>
      <c r="S1055" s="12"/>
      <c r="T1055" s="12"/>
      <c r="U1055" s="12"/>
      <c r="V1055" s="12"/>
      <c r="W1055" s="12"/>
      <c r="X1055" s="12"/>
      <c r="Y1055" s="12"/>
      <c r="Z1055" s="12"/>
      <c r="AA1055" s="12"/>
      <c r="AB1055" s="12"/>
      <c r="AD1055" s="12"/>
      <c r="AE1055" s="12"/>
      <c r="AF1055" s="12"/>
      <c r="AG1055" s="12"/>
      <c r="AH1055" s="12"/>
      <c r="AI1055" s="12"/>
      <c r="AJ1055" s="12"/>
      <c r="AK1055" s="12"/>
      <c r="AL1055" s="12"/>
      <c r="AM1055" s="12"/>
      <c r="AN1055" s="12"/>
      <c r="AO1055" s="12"/>
      <c r="AP1055" s="12"/>
      <c r="AQ1055" s="12"/>
      <c r="AR1055" s="12"/>
      <c r="AS1055" s="12"/>
      <c r="AT1055" s="12"/>
    </row>
    <row r="1056" spans="1:46" x14ac:dyDescent="0.25">
      <c r="A1056" s="12"/>
      <c r="B1056" s="12"/>
      <c r="C1056" s="12"/>
      <c r="D1056" s="12"/>
      <c r="E1056" s="12"/>
      <c r="F1056" s="12"/>
      <c r="G1056" s="12"/>
      <c r="H1056" s="12"/>
      <c r="I1056" s="12"/>
      <c r="J1056" s="12"/>
      <c r="L1056" s="12"/>
      <c r="M1056" s="12"/>
      <c r="N1056" s="12"/>
      <c r="O1056" s="12"/>
      <c r="P1056" s="12"/>
      <c r="Q1056" s="12"/>
      <c r="R1056" s="12"/>
      <c r="S1056" s="12"/>
      <c r="T1056" s="12"/>
      <c r="U1056" s="12"/>
      <c r="V1056" s="12"/>
      <c r="W1056" s="12"/>
      <c r="X1056" s="12"/>
      <c r="Y1056" s="12"/>
      <c r="Z1056" s="12"/>
      <c r="AA1056" s="12"/>
      <c r="AB1056" s="12"/>
      <c r="AD1056" s="12"/>
      <c r="AE1056" s="12"/>
      <c r="AF1056" s="12"/>
      <c r="AG1056" s="12"/>
      <c r="AH1056" s="12"/>
      <c r="AI1056" s="12"/>
      <c r="AJ1056" s="12"/>
      <c r="AK1056" s="12"/>
      <c r="AL1056" s="12"/>
      <c r="AM1056" s="12"/>
      <c r="AN1056" s="12"/>
      <c r="AO1056" s="12"/>
      <c r="AP1056" s="12"/>
      <c r="AQ1056" s="12"/>
      <c r="AR1056" s="12"/>
      <c r="AS1056" s="12"/>
      <c r="AT1056" s="12"/>
    </row>
    <row r="1057" spans="1:46" x14ac:dyDescent="0.25">
      <c r="A1057" s="12"/>
      <c r="B1057" s="12"/>
      <c r="C1057" s="12"/>
      <c r="D1057" s="12"/>
      <c r="E1057" s="12"/>
      <c r="F1057" s="12"/>
      <c r="G1057" s="12"/>
      <c r="H1057" s="12"/>
      <c r="I1057" s="12"/>
      <c r="J1057" s="12"/>
      <c r="L1057" s="12"/>
      <c r="M1057" s="12"/>
      <c r="N1057" s="12"/>
      <c r="O1057" s="12"/>
      <c r="P1057" s="12"/>
      <c r="Q1057" s="12"/>
      <c r="R1057" s="12"/>
      <c r="S1057" s="12"/>
      <c r="T1057" s="12"/>
      <c r="U1057" s="12"/>
      <c r="V1057" s="12"/>
      <c r="W1057" s="12"/>
      <c r="X1057" s="12"/>
      <c r="Y1057" s="12"/>
      <c r="Z1057" s="12"/>
      <c r="AA1057" s="12"/>
      <c r="AB1057" s="12"/>
      <c r="AD1057" s="12"/>
      <c r="AE1057" s="12"/>
      <c r="AF1057" s="12"/>
      <c r="AG1057" s="12"/>
      <c r="AH1057" s="12"/>
      <c r="AI1057" s="12"/>
      <c r="AJ1057" s="12"/>
      <c r="AK1057" s="12"/>
      <c r="AL1057" s="12"/>
      <c r="AM1057" s="12"/>
      <c r="AN1057" s="12"/>
      <c r="AO1057" s="12"/>
      <c r="AP1057" s="12"/>
      <c r="AQ1057" s="12"/>
      <c r="AR1057" s="12"/>
      <c r="AS1057" s="12"/>
      <c r="AT1057" s="12"/>
    </row>
    <row r="1058" spans="1:46" x14ac:dyDescent="0.25">
      <c r="A1058" s="12"/>
      <c r="B1058" s="12"/>
      <c r="C1058" s="12"/>
      <c r="D1058" s="12"/>
      <c r="E1058" s="12"/>
      <c r="F1058" s="12"/>
      <c r="G1058" s="12"/>
      <c r="H1058" s="12"/>
      <c r="I1058" s="12"/>
      <c r="J1058" s="12"/>
      <c r="L1058" s="12"/>
      <c r="M1058" s="12"/>
      <c r="N1058" s="12"/>
      <c r="O1058" s="12"/>
      <c r="P1058" s="12"/>
      <c r="Q1058" s="12"/>
      <c r="R1058" s="12"/>
      <c r="S1058" s="12"/>
      <c r="T1058" s="12"/>
      <c r="U1058" s="12"/>
      <c r="V1058" s="12"/>
      <c r="W1058" s="12"/>
      <c r="X1058" s="12"/>
      <c r="Y1058" s="12"/>
      <c r="Z1058" s="12"/>
      <c r="AA1058" s="12"/>
      <c r="AB1058" s="12"/>
      <c r="AD1058" s="12"/>
      <c r="AE1058" s="12"/>
      <c r="AF1058" s="12"/>
      <c r="AG1058" s="12"/>
      <c r="AH1058" s="12"/>
      <c r="AI1058" s="12"/>
      <c r="AJ1058" s="12"/>
      <c r="AK1058" s="12"/>
      <c r="AL1058" s="12"/>
      <c r="AM1058" s="12"/>
      <c r="AN1058" s="12"/>
      <c r="AO1058" s="12"/>
      <c r="AP1058" s="12"/>
      <c r="AQ1058" s="12"/>
      <c r="AR1058" s="12"/>
      <c r="AS1058" s="12"/>
      <c r="AT1058" s="12"/>
    </row>
    <row r="1059" spans="1:46" x14ac:dyDescent="0.25">
      <c r="A1059" s="12"/>
      <c r="B1059" s="12"/>
      <c r="C1059" s="12"/>
      <c r="D1059" s="12"/>
      <c r="E1059" s="12"/>
      <c r="F1059" s="12"/>
      <c r="G1059" s="12"/>
      <c r="H1059" s="12"/>
      <c r="I1059" s="12"/>
      <c r="J1059" s="12"/>
      <c r="L1059" s="12"/>
      <c r="M1059" s="12"/>
      <c r="N1059" s="12"/>
      <c r="O1059" s="12"/>
      <c r="P1059" s="12"/>
      <c r="Q1059" s="12"/>
      <c r="R1059" s="12"/>
      <c r="S1059" s="12"/>
      <c r="T1059" s="12"/>
      <c r="U1059" s="12"/>
      <c r="V1059" s="12"/>
      <c r="W1059" s="12"/>
      <c r="X1059" s="12"/>
      <c r="Y1059" s="12"/>
      <c r="Z1059" s="12"/>
      <c r="AA1059" s="12"/>
      <c r="AB1059" s="12"/>
      <c r="AD1059" s="12"/>
      <c r="AE1059" s="12"/>
      <c r="AF1059" s="12"/>
      <c r="AG1059" s="12"/>
      <c r="AH1059" s="12"/>
      <c r="AI1059" s="12"/>
      <c r="AJ1059" s="12"/>
      <c r="AK1059" s="12"/>
      <c r="AL1059" s="12"/>
      <c r="AM1059" s="12"/>
      <c r="AN1059" s="12"/>
      <c r="AO1059" s="12"/>
      <c r="AP1059" s="12"/>
      <c r="AQ1059" s="12"/>
      <c r="AR1059" s="12"/>
      <c r="AS1059" s="12"/>
      <c r="AT1059" s="12"/>
    </row>
    <row r="1060" spans="1:46" x14ac:dyDescent="0.25">
      <c r="A1060" s="12"/>
      <c r="B1060" s="12"/>
      <c r="C1060" s="12"/>
      <c r="D1060" s="12"/>
      <c r="E1060" s="12"/>
      <c r="F1060" s="12"/>
      <c r="G1060" s="12"/>
      <c r="H1060" s="12"/>
      <c r="I1060" s="12"/>
      <c r="J1060" s="12"/>
      <c r="L1060" s="12"/>
      <c r="M1060" s="12"/>
      <c r="N1060" s="12"/>
      <c r="O1060" s="12"/>
      <c r="P1060" s="12"/>
      <c r="Q1060" s="12"/>
      <c r="R1060" s="12"/>
      <c r="S1060" s="12"/>
      <c r="T1060" s="12"/>
      <c r="U1060" s="12"/>
      <c r="V1060" s="12"/>
      <c r="W1060" s="12"/>
      <c r="X1060" s="12"/>
      <c r="Y1060" s="12"/>
      <c r="Z1060" s="12"/>
      <c r="AA1060" s="12"/>
      <c r="AB1060" s="12"/>
      <c r="AD1060" s="12"/>
      <c r="AE1060" s="12"/>
      <c r="AF1060" s="12"/>
      <c r="AG1060" s="12"/>
      <c r="AH1060" s="12"/>
      <c r="AI1060" s="12"/>
      <c r="AJ1060" s="12"/>
      <c r="AK1060" s="12"/>
      <c r="AL1060" s="12"/>
      <c r="AM1060" s="12"/>
      <c r="AN1060" s="12"/>
      <c r="AO1060" s="12"/>
      <c r="AP1060" s="12"/>
      <c r="AQ1060" s="12"/>
      <c r="AR1060" s="12"/>
      <c r="AS1060" s="12"/>
      <c r="AT1060" s="12"/>
    </row>
    <row r="1061" spans="1:46" x14ac:dyDescent="0.25">
      <c r="A1061" s="12"/>
      <c r="B1061" s="12"/>
      <c r="C1061" s="12"/>
      <c r="D1061" s="12"/>
      <c r="E1061" s="12"/>
      <c r="F1061" s="12"/>
      <c r="G1061" s="12"/>
      <c r="H1061" s="12"/>
      <c r="I1061" s="12"/>
      <c r="J1061" s="12"/>
      <c r="L1061" s="12"/>
      <c r="M1061" s="12"/>
      <c r="N1061" s="12"/>
      <c r="O1061" s="12"/>
      <c r="P1061" s="12"/>
      <c r="Q1061" s="12"/>
      <c r="R1061" s="12"/>
      <c r="S1061" s="12"/>
      <c r="T1061" s="12"/>
      <c r="U1061" s="12"/>
      <c r="V1061" s="12"/>
      <c r="W1061" s="12"/>
      <c r="X1061" s="12"/>
      <c r="Y1061" s="12"/>
      <c r="Z1061" s="12"/>
      <c r="AA1061" s="12"/>
      <c r="AB1061" s="12"/>
      <c r="AD1061" s="12"/>
      <c r="AE1061" s="12"/>
      <c r="AF1061" s="12"/>
      <c r="AG1061" s="12"/>
      <c r="AH1061" s="12"/>
      <c r="AI1061" s="12"/>
      <c r="AJ1061" s="12"/>
      <c r="AK1061" s="12"/>
      <c r="AL1061" s="12"/>
      <c r="AM1061" s="12"/>
      <c r="AN1061" s="12"/>
      <c r="AO1061" s="12"/>
      <c r="AP1061" s="12"/>
      <c r="AQ1061" s="12"/>
      <c r="AR1061" s="12"/>
      <c r="AS1061" s="12"/>
      <c r="AT1061" s="12"/>
    </row>
    <row r="1062" spans="1:46" x14ac:dyDescent="0.25">
      <c r="A1062" s="12"/>
      <c r="B1062" s="12"/>
      <c r="C1062" s="12"/>
      <c r="D1062" s="12"/>
      <c r="E1062" s="12"/>
      <c r="F1062" s="12"/>
      <c r="G1062" s="12"/>
      <c r="H1062" s="12"/>
      <c r="I1062" s="12"/>
      <c r="J1062" s="12"/>
      <c r="L1062" s="12"/>
      <c r="M1062" s="12"/>
      <c r="N1062" s="12"/>
      <c r="O1062" s="12"/>
      <c r="P1062" s="12"/>
      <c r="Q1062" s="12"/>
      <c r="R1062" s="12"/>
      <c r="S1062" s="12"/>
      <c r="T1062" s="12"/>
      <c r="U1062" s="12"/>
      <c r="V1062" s="12"/>
      <c r="W1062" s="12"/>
      <c r="X1062" s="12"/>
      <c r="Y1062" s="12"/>
      <c r="Z1062" s="12"/>
      <c r="AA1062" s="12"/>
      <c r="AB1062" s="12"/>
      <c r="AD1062" s="12"/>
      <c r="AE1062" s="12"/>
      <c r="AF1062" s="12"/>
      <c r="AG1062" s="12"/>
      <c r="AH1062" s="12"/>
      <c r="AI1062" s="12"/>
      <c r="AJ1062" s="12"/>
      <c r="AK1062" s="12"/>
      <c r="AL1062" s="12"/>
      <c r="AM1062" s="12"/>
      <c r="AN1062" s="12"/>
      <c r="AO1062" s="12"/>
      <c r="AP1062" s="12"/>
      <c r="AQ1062" s="12"/>
      <c r="AR1062" s="12"/>
      <c r="AS1062" s="12"/>
      <c r="AT1062" s="12"/>
    </row>
    <row r="1063" spans="1:46" x14ac:dyDescent="0.25">
      <c r="A1063" s="12"/>
      <c r="B1063" s="12"/>
      <c r="C1063" s="12"/>
      <c r="D1063" s="12"/>
      <c r="E1063" s="12"/>
      <c r="F1063" s="12"/>
      <c r="G1063" s="12"/>
      <c r="H1063" s="12"/>
      <c r="I1063" s="12"/>
      <c r="J1063" s="12"/>
      <c r="L1063" s="12"/>
      <c r="M1063" s="12"/>
      <c r="N1063" s="12"/>
      <c r="O1063" s="12"/>
      <c r="P1063" s="12"/>
      <c r="Q1063" s="12"/>
      <c r="R1063" s="12"/>
      <c r="S1063" s="12"/>
      <c r="T1063" s="12"/>
      <c r="U1063" s="12"/>
      <c r="V1063" s="12"/>
      <c r="W1063" s="12"/>
      <c r="X1063" s="12"/>
      <c r="Y1063" s="12"/>
      <c r="Z1063" s="12"/>
      <c r="AA1063" s="12"/>
      <c r="AB1063" s="12"/>
      <c r="AD1063" s="12"/>
      <c r="AE1063" s="12"/>
      <c r="AF1063" s="12"/>
      <c r="AG1063" s="12"/>
      <c r="AH1063" s="12"/>
      <c r="AI1063" s="12"/>
      <c r="AJ1063" s="12"/>
      <c r="AK1063" s="12"/>
      <c r="AL1063" s="12"/>
      <c r="AM1063" s="12"/>
      <c r="AN1063" s="12"/>
      <c r="AO1063" s="12"/>
      <c r="AP1063" s="12"/>
      <c r="AQ1063" s="12"/>
      <c r="AR1063" s="12"/>
      <c r="AS1063" s="12"/>
      <c r="AT1063" s="12"/>
    </row>
    <row r="1064" spans="1:46" x14ac:dyDescent="0.25">
      <c r="A1064" s="12"/>
      <c r="B1064" s="12"/>
      <c r="C1064" s="12"/>
      <c r="D1064" s="12"/>
      <c r="E1064" s="12"/>
      <c r="F1064" s="12"/>
      <c r="G1064" s="12"/>
      <c r="H1064" s="12"/>
      <c r="I1064" s="12"/>
      <c r="J1064" s="12"/>
      <c r="L1064" s="12"/>
      <c r="M1064" s="12"/>
      <c r="N1064" s="12"/>
      <c r="O1064" s="12"/>
      <c r="P1064" s="12"/>
      <c r="Q1064" s="12"/>
      <c r="R1064" s="12"/>
      <c r="S1064" s="12"/>
      <c r="T1064" s="12"/>
      <c r="U1064" s="12"/>
      <c r="V1064" s="12"/>
      <c r="W1064" s="12"/>
      <c r="X1064" s="12"/>
      <c r="Y1064" s="12"/>
      <c r="Z1064" s="12"/>
      <c r="AA1064" s="12"/>
      <c r="AB1064" s="12"/>
      <c r="AD1064" s="12"/>
      <c r="AE1064" s="12"/>
      <c r="AF1064" s="12"/>
      <c r="AG1064" s="12"/>
      <c r="AH1064" s="12"/>
      <c r="AI1064" s="12"/>
      <c r="AJ1064" s="12"/>
      <c r="AK1064" s="12"/>
      <c r="AL1064" s="12"/>
      <c r="AM1064" s="12"/>
      <c r="AN1064" s="12"/>
      <c r="AO1064" s="12"/>
      <c r="AP1064" s="12"/>
      <c r="AQ1064" s="12"/>
      <c r="AR1064" s="12"/>
      <c r="AS1064" s="12"/>
      <c r="AT1064" s="12"/>
    </row>
    <row r="1065" spans="1:46" x14ac:dyDescent="0.25">
      <c r="A1065" s="12"/>
      <c r="B1065" s="12"/>
      <c r="C1065" s="12"/>
      <c r="D1065" s="12"/>
      <c r="E1065" s="12"/>
      <c r="F1065" s="12"/>
      <c r="G1065" s="12"/>
      <c r="H1065" s="12"/>
      <c r="I1065" s="12"/>
      <c r="J1065" s="12"/>
      <c r="L1065" s="12"/>
      <c r="M1065" s="12"/>
      <c r="N1065" s="12"/>
      <c r="O1065" s="12"/>
      <c r="P1065" s="12"/>
      <c r="Q1065" s="12"/>
      <c r="R1065" s="12"/>
      <c r="S1065" s="12"/>
      <c r="T1065" s="12"/>
      <c r="U1065" s="12"/>
      <c r="V1065" s="12"/>
      <c r="W1065" s="12"/>
      <c r="X1065" s="12"/>
      <c r="Y1065" s="12"/>
      <c r="Z1065" s="12"/>
      <c r="AA1065" s="12"/>
      <c r="AB1065" s="12"/>
      <c r="AD1065" s="12"/>
      <c r="AE1065" s="12"/>
      <c r="AF1065" s="12"/>
      <c r="AG1065" s="12"/>
      <c r="AH1065" s="12"/>
      <c r="AI1065" s="12"/>
      <c r="AJ1065" s="12"/>
      <c r="AK1065" s="12"/>
      <c r="AL1065" s="12"/>
      <c r="AM1065" s="12"/>
      <c r="AN1065" s="12"/>
      <c r="AO1065" s="12"/>
      <c r="AP1065" s="12"/>
      <c r="AQ1065" s="12"/>
      <c r="AR1065" s="12"/>
      <c r="AS1065" s="12"/>
      <c r="AT1065" s="12"/>
    </row>
    <row r="1066" spans="1:46" x14ac:dyDescent="0.25">
      <c r="A1066" s="12"/>
      <c r="B1066" s="12"/>
      <c r="C1066" s="12"/>
      <c r="D1066" s="12"/>
      <c r="E1066" s="12"/>
      <c r="F1066" s="12"/>
      <c r="G1066" s="12"/>
      <c r="H1066" s="12"/>
      <c r="I1066" s="12"/>
      <c r="J1066" s="12"/>
      <c r="L1066" s="12"/>
      <c r="M1066" s="12"/>
      <c r="N1066" s="12"/>
      <c r="O1066" s="12"/>
      <c r="P1066" s="12"/>
      <c r="Q1066" s="12"/>
      <c r="R1066" s="12"/>
      <c r="S1066" s="12"/>
      <c r="T1066" s="12"/>
      <c r="U1066" s="12"/>
      <c r="V1066" s="12"/>
      <c r="W1066" s="12"/>
      <c r="X1066" s="12"/>
      <c r="Y1066" s="12"/>
      <c r="Z1066" s="12"/>
      <c r="AA1066" s="12"/>
      <c r="AB1066" s="12"/>
      <c r="AD1066" s="12"/>
      <c r="AE1066" s="12"/>
      <c r="AF1066" s="12"/>
      <c r="AG1066" s="12"/>
      <c r="AH1066" s="12"/>
      <c r="AI1066" s="12"/>
      <c r="AJ1066" s="12"/>
      <c r="AK1066" s="12"/>
      <c r="AL1066" s="12"/>
      <c r="AM1066" s="12"/>
      <c r="AN1066" s="12"/>
      <c r="AO1066" s="12"/>
      <c r="AP1066" s="12"/>
      <c r="AQ1066" s="12"/>
      <c r="AR1066" s="12"/>
      <c r="AS1066" s="12"/>
      <c r="AT1066" s="12"/>
    </row>
    <row r="1067" spans="1:46" x14ac:dyDescent="0.25">
      <c r="A1067" s="12"/>
      <c r="B1067" s="12"/>
      <c r="C1067" s="12"/>
      <c r="D1067" s="12"/>
      <c r="E1067" s="12"/>
      <c r="F1067" s="12"/>
      <c r="G1067" s="12"/>
      <c r="H1067" s="12"/>
      <c r="I1067" s="12"/>
      <c r="J1067" s="12"/>
      <c r="L1067" s="12"/>
      <c r="M1067" s="12"/>
      <c r="N1067" s="12"/>
      <c r="O1067" s="12"/>
      <c r="P1067" s="12"/>
      <c r="Q1067" s="12"/>
      <c r="R1067" s="12"/>
      <c r="S1067" s="12"/>
      <c r="T1067" s="12"/>
      <c r="U1067" s="12"/>
      <c r="V1067" s="12"/>
      <c r="W1067" s="12"/>
      <c r="X1067" s="12"/>
      <c r="Y1067" s="12"/>
      <c r="Z1067" s="12"/>
      <c r="AA1067" s="12"/>
      <c r="AB1067" s="12"/>
      <c r="AD1067" s="12"/>
      <c r="AE1067" s="12"/>
      <c r="AF1067" s="12"/>
      <c r="AG1067" s="12"/>
      <c r="AH1067" s="12"/>
      <c r="AI1067" s="12"/>
      <c r="AJ1067" s="12"/>
      <c r="AK1067" s="12"/>
      <c r="AL1067" s="12"/>
      <c r="AM1067" s="12"/>
      <c r="AN1067" s="12"/>
      <c r="AO1067" s="12"/>
      <c r="AP1067" s="12"/>
      <c r="AQ1067" s="12"/>
      <c r="AR1067" s="12"/>
      <c r="AS1067" s="12"/>
      <c r="AT1067" s="12"/>
    </row>
    <row r="1068" spans="1:46" x14ac:dyDescent="0.25">
      <c r="A1068" s="12"/>
      <c r="B1068" s="12"/>
      <c r="C1068" s="12"/>
      <c r="D1068" s="12"/>
      <c r="E1068" s="12"/>
      <c r="F1068" s="12"/>
      <c r="G1068" s="12"/>
      <c r="H1068" s="12"/>
      <c r="I1068" s="12"/>
      <c r="J1068" s="12"/>
      <c r="L1068" s="12"/>
      <c r="M1068" s="12"/>
      <c r="N1068" s="12"/>
      <c r="O1068" s="12"/>
      <c r="P1068" s="12"/>
      <c r="Q1068" s="12"/>
      <c r="R1068" s="12"/>
      <c r="S1068" s="12"/>
      <c r="T1068" s="12"/>
      <c r="U1068" s="12"/>
      <c r="V1068" s="12"/>
      <c r="W1068" s="12"/>
      <c r="X1068" s="12"/>
      <c r="Y1068" s="12"/>
      <c r="Z1068" s="12"/>
      <c r="AA1068" s="12"/>
      <c r="AB1068" s="12"/>
      <c r="AD1068" s="12"/>
      <c r="AE1068" s="12"/>
      <c r="AF1068" s="12"/>
      <c r="AG1068" s="12"/>
      <c r="AH1068" s="12"/>
      <c r="AI1068" s="12"/>
      <c r="AJ1068" s="12"/>
      <c r="AK1068" s="12"/>
      <c r="AL1068" s="12"/>
      <c r="AM1068" s="12"/>
      <c r="AN1068" s="12"/>
      <c r="AO1068" s="12"/>
      <c r="AP1068" s="12"/>
      <c r="AQ1068" s="12"/>
      <c r="AR1068" s="12"/>
      <c r="AS1068" s="12"/>
      <c r="AT1068" s="12"/>
    </row>
    <row r="1069" spans="1:46" x14ac:dyDescent="0.25">
      <c r="A1069" s="12"/>
      <c r="B1069" s="12"/>
      <c r="C1069" s="12"/>
      <c r="D1069" s="12"/>
      <c r="E1069" s="12"/>
      <c r="F1069" s="12"/>
      <c r="G1069" s="12"/>
      <c r="H1069" s="12"/>
      <c r="I1069" s="12"/>
      <c r="J1069" s="12"/>
      <c r="L1069" s="12"/>
      <c r="M1069" s="12"/>
      <c r="N1069" s="12"/>
      <c r="O1069" s="12"/>
      <c r="P1069" s="12"/>
      <c r="Q1069" s="12"/>
      <c r="R1069" s="12"/>
      <c r="S1069" s="12"/>
      <c r="T1069" s="12"/>
      <c r="U1069" s="12"/>
      <c r="V1069" s="12"/>
      <c r="W1069" s="12"/>
      <c r="X1069" s="12"/>
      <c r="Y1069" s="12"/>
      <c r="Z1069" s="12"/>
      <c r="AA1069" s="12"/>
      <c r="AB1069" s="12"/>
      <c r="AD1069" s="12"/>
      <c r="AE1069" s="12"/>
      <c r="AF1069" s="12"/>
      <c r="AG1069" s="12"/>
      <c r="AH1069" s="12"/>
      <c r="AI1069" s="12"/>
      <c r="AJ1069" s="12"/>
      <c r="AK1069" s="12"/>
      <c r="AL1069" s="12"/>
      <c r="AM1069" s="12"/>
      <c r="AN1069" s="12"/>
      <c r="AO1069" s="12"/>
      <c r="AP1069" s="12"/>
      <c r="AQ1069" s="12"/>
      <c r="AR1069" s="12"/>
      <c r="AS1069" s="12"/>
      <c r="AT1069" s="12"/>
    </row>
    <row r="1070" spans="1:46" x14ac:dyDescent="0.25">
      <c r="A1070" s="12"/>
      <c r="B1070" s="12"/>
      <c r="C1070" s="12"/>
      <c r="D1070" s="12"/>
      <c r="E1070" s="12"/>
      <c r="F1070" s="12"/>
      <c r="G1070" s="12"/>
      <c r="H1070" s="12"/>
      <c r="I1070" s="12"/>
      <c r="J1070" s="12"/>
      <c r="L1070" s="12"/>
      <c r="M1070" s="12"/>
      <c r="N1070" s="12"/>
      <c r="O1070" s="12"/>
      <c r="P1070" s="12"/>
      <c r="Q1070" s="12"/>
      <c r="R1070" s="12"/>
      <c r="S1070" s="12"/>
      <c r="T1070" s="12"/>
      <c r="U1070" s="12"/>
      <c r="V1070" s="12"/>
      <c r="W1070" s="12"/>
      <c r="X1070" s="12"/>
      <c r="Y1070" s="12"/>
      <c r="Z1070" s="12"/>
      <c r="AA1070" s="12"/>
      <c r="AB1070" s="12"/>
      <c r="AD1070" s="12"/>
      <c r="AE1070" s="12"/>
      <c r="AF1070" s="12"/>
      <c r="AG1070" s="12"/>
      <c r="AH1070" s="12"/>
      <c r="AI1070" s="12"/>
      <c r="AJ1070" s="12"/>
      <c r="AK1070" s="12"/>
      <c r="AL1070" s="12"/>
      <c r="AM1070" s="12"/>
      <c r="AN1070" s="12"/>
      <c r="AO1070" s="12"/>
      <c r="AP1070" s="12"/>
      <c r="AQ1070" s="12"/>
      <c r="AR1070" s="12"/>
      <c r="AS1070" s="12"/>
      <c r="AT1070" s="12"/>
    </row>
    <row r="1071" spans="1:46" x14ac:dyDescent="0.25">
      <c r="A1071" s="12"/>
      <c r="B1071" s="12"/>
      <c r="C1071" s="12"/>
      <c r="D1071" s="12"/>
      <c r="E1071" s="12"/>
      <c r="F1071" s="12"/>
      <c r="G1071" s="12"/>
      <c r="H1071" s="12"/>
      <c r="I1071" s="12"/>
      <c r="J1071" s="12"/>
      <c r="L1071" s="12"/>
      <c r="M1071" s="12"/>
      <c r="N1071" s="12"/>
      <c r="O1071" s="12"/>
      <c r="P1071" s="12"/>
      <c r="Q1071" s="12"/>
      <c r="R1071" s="12"/>
      <c r="S1071" s="12"/>
      <c r="T1071" s="12"/>
      <c r="U1071" s="12"/>
      <c r="V1071" s="12"/>
      <c r="W1071" s="12"/>
      <c r="X1071" s="12"/>
      <c r="Y1071" s="12"/>
      <c r="Z1071" s="12"/>
      <c r="AA1071" s="12"/>
      <c r="AB1071" s="12"/>
      <c r="AD1071" s="12"/>
      <c r="AE1071" s="12"/>
      <c r="AF1071" s="12"/>
      <c r="AG1071" s="12"/>
      <c r="AH1071" s="12"/>
      <c r="AI1071" s="12"/>
      <c r="AJ1071" s="12"/>
      <c r="AK1071" s="12"/>
      <c r="AL1071" s="12"/>
      <c r="AM1071" s="12"/>
      <c r="AN1071" s="12"/>
      <c r="AO1071" s="12"/>
      <c r="AP1071" s="12"/>
      <c r="AQ1071" s="12"/>
      <c r="AR1071" s="12"/>
      <c r="AS1071" s="12"/>
      <c r="AT1071" s="12"/>
    </row>
    <row r="1072" spans="1:46" x14ac:dyDescent="0.25">
      <c r="A1072" s="12"/>
      <c r="B1072" s="12"/>
      <c r="C1072" s="12"/>
      <c r="D1072" s="12"/>
      <c r="E1072" s="12"/>
      <c r="F1072" s="12"/>
      <c r="G1072" s="12"/>
      <c r="H1072" s="12"/>
      <c r="I1072" s="12"/>
      <c r="J1072" s="12"/>
      <c r="L1072" s="12"/>
      <c r="M1072" s="12"/>
      <c r="N1072" s="12"/>
      <c r="O1072" s="12"/>
      <c r="P1072" s="12"/>
      <c r="Q1072" s="12"/>
      <c r="R1072" s="12"/>
      <c r="S1072" s="12"/>
      <c r="T1072" s="12"/>
      <c r="U1072" s="12"/>
      <c r="V1072" s="12"/>
      <c r="W1072" s="12"/>
      <c r="X1072" s="12"/>
      <c r="Y1072" s="12"/>
      <c r="Z1072" s="12"/>
      <c r="AA1072" s="12"/>
      <c r="AB1072" s="12"/>
      <c r="AD1072" s="12"/>
      <c r="AE1072" s="12"/>
      <c r="AF1072" s="12"/>
      <c r="AG1072" s="12"/>
      <c r="AH1072" s="12"/>
      <c r="AI1072" s="12"/>
      <c r="AJ1072" s="12"/>
      <c r="AK1072" s="12"/>
      <c r="AL1072" s="12"/>
      <c r="AM1072" s="12"/>
      <c r="AN1072" s="12"/>
      <c r="AO1072" s="12"/>
      <c r="AP1072" s="12"/>
      <c r="AQ1072" s="12"/>
      <c r="AR1072" s="12"/>
      <c r="AS1072" s="12"/>
      <c r="AT1072" s="12"/>
    </row>
    <row r="1073" spans="1:46" x14ac:dyDescent="0.25">
      <c r="A1073" s="12"/>
      <c r="B1073" s="12"/>
      <c r="C1073" s="12"/>
      <c r="D1073" s="12"/>
      <c r="E1073" s="12"/>
      <c r="F1073" s="12"/>
      <c r="G1073" s="12"/>
      <c r="H1073" s="12"/>
      <c r="I1073" s="12"/>
      <c r="J1073" s="12"/>
      <c r="L1073" s="12"/>
      <c r="M1073" s="12"/>
      <c r="N1073" s="12"/>
      <c r="O1073" s="12"/>
      <c r="P1073" s="12"/>
      <c r="Q1073" s="12"/>
      <c r="R1073" s="12"/>
      <c r="S1073" s="12"/>
      <c r="T1073" s="12"/>
      <c r="U1073" s="12"/>
      <c r="V1073" s="12"/>
      <c r="W1073" s="12"/>
      <c r="X1073" s="12"/>
      <c r="Y1073" s="12"/>
      <c r="Z1073" s="12"/>
      <c r="AA1073" s="12"/>
      <c r="AB1073" s="12"/>
      <c r="AD1073" s="12"/>
      <c r="AE1073" s="12"/>
      <c r="AF1073" s="12"/>
      <c r="AG1073" s="12"/>
      <c r="AH1073" s="12"/>
      <c r="AI1073" s="12"/>
      <c r="AJ1073" s="12"/>
      <c r="AK1073" s="12"/>
      <c r="AL1073" s="12"/>
      <c r="AM1073" s="12"/>
      <c r="AN1073" s="12"/>
      <c r="AO1073" s="12"/>
      <c r="AP1073" s="12"/>
      <c r="AQ1073" s="12"/>
      <c r="AR1073" s="12"/>
      <c r="AS1073" s="12"/>
      <c r="AT1073" s="12"/>
    </row>
    <row r="1074" spans="1:46" x14ac:dyDescent="0.25">
      <c r="A1074" s="12"/>
      <c r="B1074" s="12"/>
      <c r="C1074" s="12"/>
      <c r="D1074" s="12"/>
      <c r="E1074" s="12"/>
      <c r="F1074" s="12"/>
      <c r="G1074" s="12"/>
      <c r="H1074" s="12"/>
      <c r="I1074" s="12"/>
      <c r="J1074" s="12"/>
      <c r="L1074" s="12"/>
      <c r="M1074" s="12"/>
      <c r="N1074" s="12"/>
      <c r="O1074" s="12"/>
      <c r="P1074" s="12"/>
      <c r="Q1074" s="12"/>
      <c r="R1074" s="12"/>
      <c r="S1074" s="12"/>
      <c r="T1074" s="12"/>
      <c r="U1074" s="12"/>
      <c r="V1074" s="12"/>
      <c r="W1074" s="12"/>
      <c r="X1074" s="12"/>
      <c r="Y1074" s="12"/>
      <c r="Z1074" s="12"/>
      <c r="AA1074" s="12"/>
      <c r="AB1074" s="12"/>
      <c r="AD1074" s="12"/>
      <c r="AE1074" s="12"/>
      <c r="AF1074" s="12"/>
      <c r="AG1074" s="12"/>
      <c r="AH1074" s="12"/>
      <c r="AI1074" s="12"/>
      <c r="AJ1074" s="12"/>
      <c r="AK1074" s="12"/>
      <c r="AL1074" s="12"/>
      <c r="AM1074" s="12"/>
      <c r="AN1074" s="12"/>
      <c r="AO1074" s="12"/>
      <c r="AP1074" s="12"/>
      <c r="AQ1074" s="12"/>
      <c r="AR1074" s="12"/>
      <c r="AS1074" s="12"/>
      <c r="AT1074" s="12"/>
    </row>
    <row r="1075" spans="1:46" x14ac:dyDescent="0.25">
      <c r="A1075" s="12"/>
      <c r="B1075" s="12"/>
      <c r="C1075" s="12"/>
      <c r="D1075" s="12"/>
      <c r="E1075" s="12"/>
      <c r="F1075" s="12"/>
      <c r="G1075" s="12"/>
      <c r="H1075" s="12"/>
      <c r="I1075" s="12"/>
      <c r="J1075" s="12"/>
      <c r="L1075" s="12"/>
      <c r="M1075" s="12"/>
      <c r="N1075" s="12"/>
      <c r="O1075" s="12"/>
      <c r="P1075" s="12"/>
      <c r="Q1075" s="12"/>
      <c r="R1075" s="12"/>
      <c r="S1075" s="12"/>
      <c r="T1075" s="12"/>
      <c r="U1075" s="12"/>
      <c r="V1075" s="12"/>
      <c r="W1075" s="12"/>
      <c r="X1075" s="12"/>
      <c r="Y1075" s="12"/>
      <c r="Z1075" s="12"/>
      <c r="AA1075" s="12"/>
      <c r="AB1075" s="12"/>
      <c r="AD1075" s="12"/>
      <c r="AE1075" s="12"/>
      <c r="AF1075" s="12"/>
      <c r="AG1075" s="12"/>
      <c r="AH1075" s="12"/>
      <c r="AI1075" s="12"/>
      <c r="AJ1075" s="12"/>
      <c r="AK1075" s="12"/>
      <c r="AL1075" s="12"/>
      <c r="AM1075" s="12"/>
      <c r="AN1075" s="12"/>
      <c r="AO1075" s="12"/>
      <c r="AP1075" s="12"/>
      <c r="AQ1075" s="12"/>
      <c r="AR1075" s="12"/>
      <c r="AS1075" s="12"/>
      <c r="AT1075" s="12"/>
    </row>
    <row r="1076" spans="1:46" x14ac:dyDescent="0.25">
      <c r="A1076" s="12"/>
      <c r="B1076" s="12"/>
      <c r="C1076" s="12"/>
      <c r="D1076" s="12"/>
      <c r="E1076" s="12"/>
      <c r="F1076" s="12"/>
      <c r="G1076" s="12"/>
      <c r="H1076" s="12"/>
      <c r="I1076" s="12"/>
      <c r="J1076" s="12"/>
      <c r="L1076" s="12"/>
      <c r="M1076" s="12"/>
      <c r="N1076" s="12"/>
      <c r="O1076" s="12"/>
      <c r="P1076" s="12"/>
      <c r="Q1076" s="12"/>
      <c r="R1076" s="12"/>
      <c r="S1076" s="12"/>
      <c r="T1076" s="12"/>
      <c r="U1076" s="12"/>
      <c r="V1076" s="12"/>
      <c r="W1076" s="12"/>
      <c r="X1076" s="12"/>
      <c r="Y1076" s="12"/>
      <c r="Z1076" s="12"/>
      <c r="AA1076" s="12"/>
      <c r="AB1076" s="12"/>
      <c r="AD1076" s="12"/>
      <c r="AE1076" s="12"/>
      <c r="AF1076" s="12"/>
      <c r="AG1076" s="12"/>
      <c r="AH1076" s="12"/>
      <c r="AI1076" s="12"/>
      <c r="AJ1076" s="12"/>
      <c r="AK1076" s="12"/>
      <c r="AL1076" s="12"/>
      <c r="AM1076" s="12"/>
      <c r="AN1076" s="12"/>
      <c r="AO1076" s="12"/>
      <c r="AP1076" s="12"/>
      <c r="AQ1076" s="12"/>
      <c r="AR1076" s="12"/>
      <c r="AS1076" s="12"/>
      <c r="AT1076" s="12"/>
    </row>
    <row r="1077" spans="1:46" x14ac:dyDescent="0.25">
      <c r="A1077" s="12"/>
      <c r="B1077" s="12"/>
      <c r="C1077" s="12"/>
      <c r="D1077" s="12"/>
      <c r="E1077" s="12"/>
      <c r="F1077" s="12"/>
      <c r="G1077" s="12"/>
      <c r="H1077" s="12"/>
      <c r="I1077" s="12"/>
      <c r="J1077" s="12"/>
      <c r="L1077" s="12"/>
      <c r="M1077" s="12"/>
      <c r="N1077" s="12"/>
      <c r="O1077" s="12"/>
      <c r="P1077" s="12"/>
      <c r="Q1077" s="12"/>
      <c r="R1077" s="12"/>
      <c r="S1077" s="12"/>
      <c r="T1077" s="12"/>
      <c r="U1077" s="12"/>
      <c r="V1077" s="12"/>
      <c r="W1077" s="12"/>
      <c r="X1077" s="12"/>
      <c r="Y1077" s="12"/>
      <c r="Z1077" s="12"/>
      <c r="AA1077" s="12"/>
      <c r="AB1077" s="12"/>
      <c r="AD1077" s="12"/>
      <c r="AE1077" s="12"/>
      <c r="AF1077" s="12"/>
      <c r="AG1077" s="12"/>
      <c r="AH1077" s="12"/>
      <c r="AI1077" s="12"/>
      <c r="AJ1077" s="12"/>
      <c r="AK1077" s="12"/>
      <c r="AL1077" s="12"/>
      <c r="AM1077" s="12"/>
      <c r="AN1077" s="12"/>
      <c r="AO1077" s="12"/>
      <c r="AP1077" s="12"/>
      <c r="AQ1077" s="12"/>
      <c r="AR1077" s="12"/>
      <c r="AS1077" s="12"/>
      <c r="AT1077" s="12"/>
    </row>
    <row r="1078" spans="1:46" x14ac:dyDescent="0.25">
      <c r="A1078" s="12"/>
      <c r="B1078" s="12"/>
      <c r="C1078" s="12"/>
      <c r="D1078" s="12"/>
      <c r="E1078" s="12"/>
      <c r="F1078" s="12"/>
      <c r="G1078" s="12"/>
      <c r="H1078" s="12"/>
      <c r="I1078" s="12"/>
      <c r="J1078" s="12"/>
      <c r="L1078" s="12"/>
      <c r="M1078" s="12"/>
      <c r="N1078" s="12"/>
      <c r="O1078" s="12"/>
      <c r="P1078" s="12"/>
      <c r="Q1078" s="12"/>
      <c r="R1078" s="12"/>
      <c r="S1078" s="12"/>
      <c r="T1078" s="12"/>
      <c r="U1078" s="12"/>
      <c r="V1078" s="12"/>
      <c r="W1078" s="12"/>
      <c r="X1078" s="12"/>
      <c r="Y1078" s="12"/>
      <c r="Z1078" s="12"/>
      <c r="AA1078" s="12"/>
      <c r="AB1078" s="12"/>
      <c r="AD1078" s="12"/>
      <c r="AE1078" s="12"/>
      <c r="AF1078" s="12"/>
      <c r="AG1078" s="12"/>
      <c r="AH1078" s="12"/>
      <c r="AI1078" s="12"/>
      <c r="AJ1078" s="12"/>
      <c r="AK1078" s="12"/>
      <c r="AL1078" s="12"/>
      <c r="AM1078" s="12"/>
      <c r="AN1078" s="12"/>
      <c r="AO1078" s="12"/>
      <c r="AP1078" s="12"/>
      <c r="AQ1078" s="12"/>
      <c r="AR1078" s="12"/>
      <c r="AS1078" s="12"/>
      <c r="AT1078" s="12"/>
    </row>
    <row r="1079" spans="1:46" x14ac:dyDescent="0.25">
      <c r="A1079" s="12"/>
      <c r="B1079" s="12"/>
      <c r="C1079" s="12"/>
      <c r="D1079" s="12"/>
      <c r="E1079" s="12"/>
      <c r="F1079" s="12"/>
      <c r="G1079" s="12"/>
      <c r="H1079" s="12"/>
      <c r="I1079" s="12"/>
      <c r="J1079" s="12"/>
      <c r="L1079" s="12"/>
      <c r="M1079" s="12"/>
      <c r="N1079" s="12"/>
      <c r="O1079" s="12"/>
      <c r="P1079" s="12"/>
      <c r="Q1079" s="12"/>
      <c r="R1079" s="12"/>
      <c r="S1079" s="12"/>
      <c r="T1079" s="12"/>
      <c r="U1079" s="12"/>
      <c r="V1079" s="12"/>
      <c r="W1079" s="12"/>
      <c r="X1079" s="12"/>
      <c r="Y1079" s="12"/>
      <c r="Z1079" s="12"/>
      <c r="AA1079" s="12"/>
      <c r="AB1079" s="12"/>
      <c r="AD1079" s="12"/>
      <c r="AE1079" s="12"/>
      <c r="AF1079" s="12"/>
      <c r="AG1079" s="12"/>
      <c r="AH1079" s="12"/>
      <c r="AI1079" s="12"/>
      <c r="AJ1079" s="12"/>
      <c r="AK1079" s="12"/>
      <c r="AL1079" s="12"/>
      <c r="AM1079" s="12"/>
      <c r="AN1079" s="12"/>
      <c r="AO1079" s="12"/>
      <c r="AP1079" s="12"/>
      <c r="AQ1079" s="12"/>
      <c r="AR1079" s="12"/>
      <c r="AS1079" s="12"/>
      <c r="AT1079" s="12"/>
    </row>
    <row r="1080" spans="1:46" x14ac:dyDescent="0.25">
      <c r="A1080" s="12"/>
      <c r="B1080" s="12"/>
      <c r="C1080" s="12"/>
      <c r="D1080" s="12"/>
      <c r="E1080" s="12"/>
      <c r="F1080" s="12"/>
      <c r="G1080" s="12"/>
      <c r="H1080" s="12"/>
      <c r="I1080" s="12"/>
      <c r="J1080" s="12"/>
      <c r="L1080" s="12"/>
      <c r="M1080" s="12"/>
      <c r="N1080" s="12"/>
      <c r="O1080" s="12"/>
      <c r="P1080" s="12"/>
      <c r="Q1080" s="12"/>
      <c r="R1080" s="12"/>
      <c r="S1080" s="12"/>
      <c r="T1080" s="12"/>
      <c r="U1080" s="12"/>
      <c r="V1080" s="12"/>
      <c r="W1080" s="12"/>
      <c r="X1080" s="12"/>
      <c r="Y1080" s="12"/>
      <c r="Z1080" s="12"/>
      <c r="AA1080" s="12"/>
      <c r="AB1080" s="12"/>
      <c r="AD1080" s="12"/>
      <c r="AE1080" s="12"/>
      <c r="AF1080" s="12"/>
      <c r="AG1080" s="12"/>
      <c r="AH1080" s="12"/>
      <c r="AI1080" s="12"/>
      <c r="AJ1080" s="12"/>
      <c r="AK1080" s="12"/>
      <c r="AL1080" s="12"/>
      <c r="AM1080" s="12"/>
      <c r="AN1080" s="12"/>
      <c r="AO1080" s="12"/>
      <c r="AP1080" s="12"/>
      <c r="AQ1080" s="12"/>
      <c r="AR1080" s="12"/>
      <c r="AS1080" s="12"/>
      <c r="AT1080" s="12"/>
    </row>
    <row r="1081" spans="1:46" x14ac:dyDescent="0.25">
      <c r="A1081" s="12"/>
      <c r="B1081" s="12"/>
      <c r="C1081" s="12"/>
      <c r="D1081" s="12"/>
      <c r="E1081" s="12"/>
      <c r="F1081" s="12"/>
      <c r="G1081" s="12"/>
      <c r="H1081" s="12"/>
      <c r="I1081" s="12"/>
      <c r="J1081" s="12"/>
      <c r="L1081" s="12"/>
      <c r="M1081" s="12"/>
      <c r="N1081" s="12"/>
      <c r="O1081" s="12"/>
      <c r="P1081" s="12"/>
      <c r="Q1081" s="12"/>
      <c r="R1081" s="12"/>
      <c r="S1081" s="12"/>
      <c r="T1081" s="12"/>
      <c r="U1081" s="12"/>
      <c r="V1081" s="12"/>
      <c r="W1081" s="12"/>
      <c r="X1081" s="12"/>
      <c r="Y1081" s="12"/>
      <c r="Z1081" s="12"/>
      <c r="AA1081" s="12"/>
      <c r="AB1081" s="12"/>
      <c r="AD1081" s="12"/>
      <c r="AE1081" s="12"/>
      <c r="AF1081" s="12"/>
      <c r="AG1081" s="12"/>
      <c r="AH1081" s="12"/>
      <c r="AI1081" s="12"/>
      <c r="AJ1081" s="12"/>
      <c r="AK1081" s="12"/>
      <c r="AL1081" s="12"/>
      <c r="AM1081" s="12"/>
      <c r="AN1081" s="12"/>
      <c r="AO1081" s="12"/>
      <c r="AP1081" s="12"/>
      <c r="AQ1081" s="12"/>
      <c r="AR1081" s="12"/>
      <c r="AS1081" s="12"/>
      <c r="AT1081" s="12"/>
    </row>
    <row r="1082" spans="1:46" x14ac:dyDescent="0.25">
      <c r="A1082" s="12"/>
      <c r="B1082" s="12"/>
      <c r="C1082" s="12"/>
      <c r="D1082" s="12"/>
      <c r="E1082" s="12"/>
      <c r="F1082" s="12"/>
      <c r="G1082" s="12"/>
      <c r="H1082" s="12"/>
      <c r="I1082" s="12"/>
      <c r="J1082" s="12"/>
      <c r="L1082" s="12"/>
      <c r="M1082" s="12"/>
      <c r="N1082" s="12"/>
      <c r="O1082" s="12"/>
      <c r="P1082" s="12"/>
      <c r="Q1082" s="12"/>
      <c r="R1082" s="12"/>
      <c r="S1082" s="12"/>
      <c r="T1082" s="12"/>
      <c r="U1082" s="12"/>
      <c r="V1082" s="12"/>
      <c r="W1082" s="12"/>
      <c r="X1082" s="12"/>
      <c r="Y1082" s="12"/>
      <c r="Z1082" s="12"/>
      <c r="AA1082" s="12"/>
      <c r="AB1082" s="12"/>
      <c r="AD1082" s="12"/>
      <c r="AE1082" s="12"/>
      <c r="AF1082" s="12"/>
      <c r="AG1082" s="12"/>
      <c r="AH1082" s="12"/>
      <c r="AI1082" s="12"/>
      <c r="AJ1082" s="12"/>
      <c r="AK1082" s="12"/>
      <c r="AL1082" s="12"/>
      <c r="AM1082" s="12"/>
      <c r="AN1082" s="12"/>
      <c r="AO1082" s="12"/>
      <c r="AP1082" s="12"/>
      <c r="AQ1082" s="12"/>
      <c r="AR1082" s="12"/>
      <c r="AS1082" s="12"/>
      <c r="AT1082" s="12"/>
    </row>
    <row r="1083" spans="1:46" x14ac:dyDescent="0.25">
      <c r="A1083" s="12"/>
      <c r="B1083" s="12"/>
      <c r="C1083" s="12"/>
      <c r="D1083" s="12"/>
      <c r="E1083" s="12"/>
      <c r="F1083" s="12"/>
      <c r="G1083" s="12"/>
      <c r="H1083" s="12"/>
      <c r="I1083" s="12"/>
      <c r="J1083" s="12"/>
      <c r="L1083" s="12"/>
      <c r="M1083" s="12"/>
      <c r="N1083" s="12"/>
      <c r="O1083" s="12"/>
      <c r="P1083" s="12"/>
      <c r="Q1083" s="12"/>
      <c r="R1083" s="12"/>
      <c r="S1083" s="12"/>
      <c r="T1083" s="12"/>
      <c r="U1083" s="12"/>
      <c r="V1083" s="12"/>
      <c r="W1083" s="12"/>
      <c r="X1083" s="12"/>
      <c r="Y1083" s="12"/>
      <c r="Z1083" s="12"/>
      <c r="AA1083" s="12"/>
      <c r="AB1083" s="12"/>
      <c r="AD1083" s="12"/>
      <c r="AE1083" s="12"/>
      <c r="AF1083" s="12"/>
      <c r="AG1083" s="12"/>
      <c r="AH1083" s="12"/>
      <c r="AI1083" s="12"/>
      <c r="AJ1083" s="12"/>
      <c r="AK1083" s="12"/>
      <c r="AL1083" s="12"/>
      <c r="AM1083" s="12"/>
      <c r="AN1083" s="12"/>
      <c r="AO1083" s="12"/>
      <c r="AP1083" s="12"/>
      <c r="AQ1083" s="12"/>
      <c r="AR1083" s="12"/>
      <c r="AS1083" s="12"/>
      <c r="AT1083" s="12"/>
    </row>
    <row r="1084" spans="1:46" x14ac:dyDescent="0.25">
      <c r="A1084" s="12"/>
      <c r="B1084" s="12"/>
      <c r="C1084" s="12"/>
      <c r="D1084" s="12"/>
      <c r="E1084" s="12"/>
      <c r="F1084" s="12"/>
      <c r="G1084" s="12"/>
      <c r="H1084" s="12"/>
      <c r="I1084" s="12"/>
      <c r="J1084" s="12"/>
      <c r="L1084" s="12"/>
      <c r="M1084" s="12"/>
      <c r="N1084" s="12"/>
      <c r="O1084" s="12"/>
      <c r="P1084" s="12"/>
      <c r="Q1084" s="12"/>
      <c r="R1084" s="12"/>
      <c r="S1084" s="12"/>
      <c r="T1084" s="12"/>
      <c r="U1084" s="12"/>
      <c r="V1084" s="12"/>
      <c r="W1084" s="12"/>
      <c r="X1084" s="12"/>
      <c r="Y1084" s="12"/>
      <c r="Z1084" s="12"/>
      <c r="AA1084" s="12"/>
      <c r="AB1084" s="12"/>
      <c r="AD1084" s="12"/>
      <c r="AE1084" s="12"/>
      <c r="AF1084" s="12"/>
      <c r="AG1084" s="12"/>
      <c r="AH1084" s="12"/>
      <c r="AI1084" s="12"/>
      <c r="AJ1084" s="12"/>
      <c r="AK1084" s="12"/>
      <c r="AL1084" s="12"/>
      <c r="AM1084" s="12"/>
      <c r="AN1084" s="12"/>
      <c r="AO1084" s="12"/>
      <c r="AP1084" s="12"/>
      <c r="AQ1084" s="12"/>
      <c r="AR1084" s="12"/>
      <c r="AS1084" s="12"/>
      <c r="AT1084" s="12"/>
    </row>
    <row r="1085" spans="1:46" x14ac:dyDescent="0.25">
      <c r="A1085" s="12"/>
      <c r="B1085" s="12"/>
      <c r="C1085" s="12"/>
      <c r="D1085" s="12"/>
      <c r="E1085" s="12"/>
      <c r="F1085" s="12"/>
      <c r="G1085" s="12"/>
      <c r="H1085" s="12"/>
      <c r="I1085" s="12"/>
      <c r="J1085" s="12"/>
      <c r="L1085" s="12"/>
      <c r="M1085" s="12"/>
      <c r="N1085" s="12"/>
      <c r="O1085" s="12"/>
      <c r="P1085" s="12"/>
      <c r="Q1085" s="12"/>
      <c r="R1085" s="12"/>
      <c r="S1085" s="12"/>
      <c r="T1085" s="12"/>
      <c r="U1085" s="12"/>
      <c r="V1085" s="12"/>
      <c r="W1085" s="12"/>
      <c r="X1085" s="12"/>
      <c r="Y1085" s="12"/>
      <c r="Z1085" s="12"/>
      <c r="AA1085" s="12"/>
      <c r="AB1085" s="12"/>
      <c r="AD1085" s="12"/>
      <c r="AE1085" s="12"/>
      <c r="AF1085" s="12"/>
      <c r="AG1085" s="12"/>
      <c r="AH1085" s="12"/>
      <c r="AI1085" s="12"/>
      <c r="AJ1085" s="12"/>
      <c r="AK1085" s="12"/>
      <c r="AL1085" s="12"/>
      <c r="AM1085" s="12"/>
      <c r="AN1085" s="12"/>
      <c r="AO1085" s="12"/>
      <c r="AP1085" s="12"/>
      <c r="AQ1085" s="12"/>
      <c r="AR1085" s="12"/>
      <c r="AS1085" s="12"/>
      <c r="AT1085" s="12"/>
    </row>
    <row r="1086" spans="1:46" x14ac:dyDescent="0.25">
      <c r="A1086" s="12"/>
      <c r="B1086" s="12"/>
      <c r="C1086" s="12"/>
      <c r="D1086" s="12"/>
      <c r="E1086" s="12"/>
      <c r="F1086" s="12"/>
      <c r="G1086" s="12"/>
      <c r="H1086" s="12"/>
      <c r="I1086" s="12"/>
      <c r="J1086" s="12"/>
      <c r="L1086" s="12"/>
      <c r="M1086" s="12"/>
      <c r="N1086" s="12"/>
      <c r="O1086" s="12"/>
      <c r="P1086" s="12"/>
      <c r="Q1086" s="12"/>
      <c r="R1086" s="12"/>
      <c r="S1086" s="12"/>
      <c r="T1086" s="12"/>
      <c r="U1086" s="12"/>
      <c r="V1086" s="12"/>
      <c r="W1086" s="12"/>
      <c r="X1086" s="12"/>
      <c r="Y1086" s="12"/>
      <c r="Z1086" s="12"/>
      <c r="AA1086" s="12"/>
      <c r="AB1086" s="12"/>
      <c r="AD1086" s="12"/>
      <c r="AE1086" s="12"/>
      <c r="AF1086" s="12"/>
      <c r="AG1086" s="12"/>
      <c r="AH1086" s="12"/>
      <c r="AI1086" s="12"/>
      <c r="AJ1086" s="12"/>
      <c r="AK1086" s="12"/>
      <c r="AL1086" s="12"/>
      <c r="AM1086" s="12"/>
      <c r="AN1086" s="12"/>
      <c r="AO1086" s="12"/>
      <c r="AP1086" s="12"/>
      <c r="AQ1086" s="12"/>
      <c r="AR1086" s="12"/>
      <c r="AS1086" s="12"/>
      <c r="AT1086" s="12"/>
    </row>
    <row r="1087" spans="1:46" x14ac:dyDescent="0.25">
      <c r="A1087" s="12"/>
      <c r="B1087" s="12"/>
      <c r="C1087" s="12"/>
      <c r="D1087" s="12"/>
      <c r="E1087" s="12"/>
      <c r="F1087" s="12"/>
      <c r="G1087" s="12"/>
      <c r="H1087" s="12"/>
      <c r="I1087" s="12"/>
      <c r="J1087" s="12"/>
      <c r="L1087" s="12"/>
      <c r="M1087" s="12"/>
      <c r="N1087" s="12"/>
      <c r="O1087" s="12"/>
      <c r="P1087" s="12"/>
      <c r="Q1087" s="12"/>
      <c r="R1087" s="12"/>
      <c r="S1087" s="12"/>
      <c r="T1087" s="12"/>
      <c r="U1087" s="12"/>
      <c r="V1087" s="12"/>
      <c r="W1087" s="12"/>
      <c r="X1087" s="12"/>
      <c r="Y1087" s="12"/>
      <c r="Z1087" s="12"/>
      <c r="AA1087" s="12"/>
      <c r="AB1087" s="12"/>
      <c r="AD1087" s="12"/>
      <c r="AE1087" s="12"/>
      <c r="AF1087" s="12"/>
      <c r="AG1087" s="12"/>
      <c r="AH1087" s="12"/>
      <c r="AI1087" s="12"/>
      <c r="AJ1087" s="12"/>
      <c r="AK1087" s="12"/>
      <c r="AL1087" s="12"/>
      <c r="AM1087" s="12"/>
      <c r="AN1087" s="12"/>
      <c r="AO1087" s="12"/>
      <c r="AP1087" s="12"/>
      <c r="AQ1087" s="12"/>
      <c r="AR1087" s="12"/>
      <c r="AS1087" s="12"/>
      <c r="AT1087" s="12"/>
    </row>
    <row r="1088" spans="1:46" x14ac:dyDescent="0.25">
      <c r="A1088" s="12"/>
      <c r="B1088" s="12"/>
      <c r="C1088" s="12"/>
      <c r="D1088" s="12"/>
      <c r="E1088" s="12"/>
      <c r="F1088" s="12"/>
      <c r="G1088" s="12"/>
      <c r="H1088" s="12"/>
      <c r="I1088" s="12"/>
      <c r="J1088" s="12"/>
      <c r="L1088" s="12"/>
      <c r="M1088" s="12"/>
      <c r="N1088" s="12"/>
      <c r="O1088" s="12"/>
      <c r="P1088" s="12"/>
      <c r="Q1088" s="12"/>
      <c r="R1088" s="12"/>
      <c r="S1088" s="12"/>
      <c r="T1088" s="12"/>
      <c r="U1088" s="12"/>
      <c r="V1088" s="12"/>
      <c r="W1088" s="12"/>
      <c r="X1088" s="12"/>
      <c r="Y1088" s="12"/>
      <c r="Z1088" s="12"/>
      <c r="AA1088" s="12"/>
      <c r="AB1088" s="12"/>
      <c r="AD1088" s="12"/>
      <c r="AE1088" s="12"/>
      <c r="AF1088" s="12"/>
      <c r="AG1088" s="12"/>
      <c r="AH1088" s="12"/>
      <c r="AI1088" s="12"/>
      <c r="AJ1088" s="12"/>
      <c r="AK1088" s="12"/>
      <c r="AL1088" s="12"/>
      <c r="AM1088" s="12"/>
      <c r="AN1088" s="12"/>
      <c r="AO1088" s="12"/>
      <c r="AP1088" s="12"/>
      <c r="AQ1088" s="12"/>
      <c r="AR1088" s="12"/>
      <c r="AS1088" s="12"/>
      <c r="AT1088" s="12"/>
    </row>
    <row r="1089" spans="1:46" x14ac:dyDescent="0.25">
      <c r="A1089" s="12"/>
      <c r="B1089" s="12"/>
      <c r="C1089" s="12"/>
      <c r="D1089" s="12"/>
      <c r="E1089" s="12"/>
      <c r="F1089" s="12"/>
      <c r="G1089" s="12"/>
      <c r="H1089" s="12"/>
      <c r="I1089" s="12"/>
      <c r="J1089" s="12"/>
      <c r="L1089" s="12"/>
      <c r="M1089" s="12"/>
      <c r="N1089" s="12"/>
      <c r="O1089" s="12"/>
      <c r="P1089" s="12"/>
      <c r="Q1089" s="12"/>
      <c r="R1089" s="12"/>
      <c r="S1089" s="12"/>
      <c r="T1089" s="12"/>
      <c r="U1089" s="12"/>
      <c r="V1089" s="12"/>
      <c r="W1089" s="12"/>
      <c r="X1089" s="12"/>
      <c r="Y1089" s="12"/>
      <c r="Z1089" s="12"/>
      <c r="AA1089" s="12"/>
      <c r="AB1089" s="12"/>
      <c r="AD1089" s="12"/>
      <c r="AE1089" s="12"/>
      <c r="AF1089" s="12"/>
      <c r="AG1089" s="12"/>
      <c r="AH1089" s="12"/>
      <c r="AI1089" s="12"/>
      <c r="AJ1089" s="12"/>
      <c r="AK1089" s="12"/>
      <c r="AL1089" s="12"/>
      <c r="AM1089" s="12"/>
      <c r="AN1089" s="12"/>
      <c r="AO1089" s="12"/>
      <c r="AP1089" s="12"/>
      <c r="AQ1089" s="12"/>
      <c r="AR1089" s="12"/>
      <c r="AS1089" s="12"/>
      <c r="AT1089" s="12"/>
    </row>
    <row r="1090" spans="1:46" x14ac:dyDescent="0.25">
      <c r="A1090" s="12"/>
      <c r="B1090" s="12"/>
      <c r="C1090" s="12"/>
      <c r="D1090" s="12"/>
      <c r="E1090" s="12"/>
      <c r="F1090" s="12"/>
      <c r="G1090" s="12"/>
      <c r="H1090" s="12"/>
      <c r="I1090" s="12"/>
      <c r="J1090" s="12"/>
      <c r="L1090" s="12"/>
      <c r="M1090" s="12"/>
      <c r="N1090" s="12"/>
      <c r="O1090" s="12"/>
      <c r="P1090" s="12"/>
      <c r="Q1090" s="12"/>
      <c r="R1090" s="12"/>
      <c r="S1090" s="12"/>
      <c r="T1090" s="12"/>
      <c r="U1090" s="12"/>
      <c r="V1090" s="12"/>
      <c r="W1090" s="12"/>
      <c r="X1090" s="12"/>
      <c r="Y1090" s="12"/>
      <c r="Z1090" s="12"/>
      <c r="AA1090" s="12"/>
      <c r="AB1090" s="12"/>
      <c r="AD1090" s="12"/>
      <c r="AE1090" s="12"/>
      <c r="AF1090" s="12"/>
      <c r="AG1090" s="12"/>
      <c r="AH1090" s="12"/>
      <c r="AI1090" s="12"/>
      <c r="AJ1090" s="12"/>
      <c r="AK1090" s="12"/>
      <c r="AL1090" s="12"/>
      <c r="AM1090" s="12"/>
      <c r="AN1090" s="12"/>
      <c r="AO1090" s="12"/>
      <c r="AP1090" s="12"/>
      <c r="AQ1090" s="12"/>
      <c r="AR1090" s="12"/>
      <c r="AS1090" s="12"/>
      <c r="AT1090" s="12"/>
    </row>
    <row r="1091" spans="1:46" x14ac:dyDescent="0.25">
      <c r="A1091" s="12"/>
      <c r="B1091" s="12"/>
      <c r="C1091" s="12"/>
      <c r="D1091" s="12"/>
      <c r="E1091" s="12"/>
      <c r="F1091" s="12"/>
      <c r="G1091" s="12"/>
      <c r="H1091" s="12"/>
      <c r="I1091" s="12"/>
      <c r="J1091" s="12"/>
      <c r="L1091" s="12"/>
      <c r="M1091" s="12"/>
      <c r="N1091" s="12"/>
      <c r="O1091" s="12"/>
      <c r="P1091" s="12"/>
      <c r="Q1091" s="12"/>
      <c r="R1091" s="12"/>
      <c r="S1091" s="12"/>
      <c r="T1091" s="12"/>
      <c r="U1091" s="12"/>
      <c r="V1091" s="12"/>
      <c r="W1091" s="12"/>
      <c r="X1091" s="12"/>
      <c r="Y1091" s="12"/>
      <c r="Z1091" s="12"/>
      <c r="AA1091" s="12"/>
      <c r="AB1091" s="12"/>
      <c r="AD1091" s="12"/>
      <c r="AE1091" s="12"/>
      <c r="AF1091" s="12"/>
      <c r="AG1091" s="12"/>
      <c r="AH1091" s="12"/>
      <c r="AI1091" s="12"/>
      <c r="AJ1091" s="12"/>
      <c r="AK1091" s="12"/>
      <c r="AL1091" s="12"/>
      <c r="AM1091" s="12"/>
      <c r="AN1091" s="12"/>
      <c r="AO1091" s="12"/>
      <c r="AP1091" s="12"/>
      <c r="AQ1091" s="12"/>
      <c r="AR1091" s="12"/>
      <c r="AS1091" s="12"/>
      <c r="AT1091" s="12"/>
    </row>
    <row r="1092" spans="1:46" x14ac:dyDescent="0.25">
      <c r="A1092" s="12"/>
      <c r="B1092" s="12"/>
      <c r="C1092" s="12"/>
      <c r="D1092" s="12"/>
      <c r="E1092" s="12"/>
      <c r="F1092" s="12"/>
      <c r="G1092" s="12"/>
      <c r="H1092" s="12"/>
      <c r="I1092" s="12"/>
      <c r="J1092" s="12"/>
      <c r="L1092" s="12"/>
      <c r="M1092" s="12"/>
      <c r="N1092" s="12"/>
      <c r="O1092" s="12"/>
      <c r="P1092" s="12"/>
      <c r="Q1092" s="12"/>
      <c r="R1092" s="12"/>
      <c r="S1092" s="12"/>
      <c r="T1092" s="12"/>
      <c r="U1092" s="12"/>
      <c r="V1092" s="12"/>
      <c r="W1092" s="12"/>
      <c r="X1092" s="12"/>
      <c r="Y1092" s="12"/>
      <c r="Z1092" s="12"/>
      <c r="AA1092" s="12"/>
      <c r="AB1092" s="12"/>
      <c r="AD1092" s="12"/>
      <c r="AE1092" s="12"/>
      <c r="AF1092" s="12"/>
      <c r="AG1092" s="12"/>
      <c r="AH1092" s="12"/>
      <c r="AI1092" s="12"/>
      <c r="AJ1092" s="12"/>
      <c r="AK1092" s="12"/>
      <c r="AL1092" s="12"/>
      <c r="AM1092" s="12"/>
      <c r="AN1092" s="12"/>
      <c r="AO1092" s="12"/>
      <c r="AP1092" s="12"/>
      <c r="AQ1092" s="12"/>
      <c r="AR1092" s="12"/>
      <c r="AS1092" s="12"/>
      <c r="AT1092" s="12"/>
    </row>
    <row r="1093" spans="1:46" x14ac:dyDescent="0.25">
      <c r="A1093" s="12"/>
      <c r="B1093" s="12"/>
      <c r="C1093" s="12"/>
      <c r="D1093" s="12"/>
      <c r="E1093" s="12"/>
      <c r="F1093" s="12"/>
      <c r="G1093" s="12"/>
      <c r="H1093" s="12"/>
      <c r="I1093" s="12"/>
      <c r="J1093" s="12"/>
      <c r="L1093" s="12"/>
      <c r="M1093" s="12"/>
      <c r="N1093" s="12"/>
      <c r="O1093" s="12"/>
      <c r="P1093" s="12"/>
      <c r="Q1093" s="12"/>
      <c r="R1093" s="12"/>
      <c r="S1093" s="12"/>
      <c r="T1093" s="12"/>
      <c r="U1093" s="12"/>
      <c r="V1093" s="12"/>
      <c r="W1093" s="12"/>
      <c r="X1093" s="12"/>
      <c r="Y1093" s="12"/>
      <c r="Z1093" s="12"/>
      <c r="AA1093" s="12"/>
      <c r="AB1093" s="12"/>
      <c r="AD1093" s="12"/>
      <c r="AE1093" s="12"/>
      <c r="AF1093" s="12"/>
      <c r="AG1093" s="12"/>
      <c r="AH1093" s="12"/>
      <c r="AI1093" s="12"/>
      <c r="AJ1093" s="12"/>
      <c r="AK1093" s="12"/>
      <c r="AL1093" s="12"/>
      <c r="AM1093" s="12"/>
      <c r="AN1093" s="12"/>
      <c r="AO1093" s="12"/>
      <c r="AP1093" s="12"/>
      <c r="AQ1093" s="12"/>
      <c r="AR1093" s="12"/>
      <c r="AS1093" s="12"/>
      <c r="AT1093" s="12"/>
    </row>
    <row r="1094" spans="1:46" x14ac:dyDescent="0.25">
      <c r="A1094" s="12"/>
      <c r="B1094" s="12"/>
      <c r="C1094" s="12"/>
      <c r="D1094" s="12"/>
      <c r="E1094" s="12"/>
      <c r="F1094" s="12"/>
      <c r="G1094" s="12"/>
      <c r="H1094" s="12"/>
      <c r="I1094" s="12"/>
      <c r="J1094" s="12"/>
      <c r="L1094" s="12"/>
      <c r="M1094" s="12"/>
      <c r="N1094" s="12"/>
      <c r="O1094" s="12"/>
      <c r="P1094" s="12"/>
      <c r="Q1094" s="12"/>
      <c r="R1094" s="12"/>
      <c r="S1094" s="12"/>
      <c r="T1094" s="12"/>
      <c r="U1094" s="12"/>
      <c r="V1094" s="12"/>
      <c r="W1094" s="12"/>
      <c r="X1094" s="12"/>
      <c r="Y1094" s="12"/>
      <c r="Z1094" s="12"/>
      <c r="AA1094" s="12"/>
      <c r="AB1094" s="12"/>
      <c r="AD1094" s="12"/>
      <c r="AE1094" s="12"/>
      <c r="AF1094" s="12"/>
      <c r="AG1094" s="12"/>
      <c r="AH1094" s="12"/>
      <c r="AI1094" s="12"/>
      <c r="AJ1094" s="12"/>
      <c r="AK1094" s="12"/>
      <c r="AL1094" s="12"/>
      <c r="AM1094" s="12"/>
      <c r="AN1094" s="12"/>
      <c r="AO1094" s="12"/>
      <c r="AP1094" s="12"/>
      <c r="AQ1094" s="12"/>
      <c r="AR1094" s="12"/>
      <c r="AS1094" s="12"/>
      <c r="AT1094" s="12"/>
    </row>
    <row r="1095" spans="1:46" x14ac:dyDescent="0.25">
      <c r="A1095" s="12"/>
      <c r="B1095" s="12"/>
      <c r="C1095" s="12"/>
      <c r="D1095" s="12"/>
      <c r="E1095" s="12"/>
      <c r="F1095" s="12"/>
      <c r="G1095" s="12"/>
      <c r="H1095" s="12"/>
      <c r="I1095" s="12"/>
      <c r="J1095" s="12"/>
      <c r="L1095" s="12"/>
      <c r="M1095" s="12"/>
      <c r="N1095" s="12"/>
      <c r="O1095" s="12"/>
      <c r="P1095" s="12"/>
      <c r="Q1095" s="12"/>
      <c r="R1095" s="12"/>
      <c r="S1095" s="12"/>
      <c r="T1095" s="12"/>
      <c r="U1095" s="12"/>
      <c r="V1095" s="12"/>
      <c r="W1095" s="12"/>
      <c r="X1095" s="12"/>
      <c r="Y1095" s="12"/>
      <c r="Z1095" s="12"/>
      <c r="AA1095" s="12"/>
      <c r="AB1095" s="12"/>
      <c r="AD1095" s="12"/>
      <c r="AE1095" s="12"/>
      <c r="AF1095" s="12"/>
      <c r="AG1095" s="12"/>
      <c r="AH1095" s="12"/>
      <c r="AI1095" s="12"/>
      <c r="AJ1095" s="12"/>
      <c r="AK1095" s="12"/>
      <c r="AL1095" s="12"/>
      <c r="AM1095" s="12"/>
      <c r="AN1095" s="12"/>
      <c r="AO1095" s="12"/>
      <c r="AP1095" s="12"/>
      <c r="AQ1095" s="12"/>
      <c r="AR1095" s="12"/>
      <c r="AS1095" s="12"/>
      <c r="AT1095" s="12"/>
    </row>
  </sheetData>
  <sheetProtection formatCells="0" formatColumns="0" formatRows="0" insertColumns="0" insertRows="0" insertHyperlinks="0" deleteColumns="0" deleteRows="0" sort="0" autoFilter="0" pivotTables="0"/>
  <protectedRanges>
    <protectedRange algorithmName="SHA-512" hashValue="h2yxqgoH0w2ATTFSDDmEhgJeglFqGZKli8yjOelZ7m6Ik4L+BOdDzbqpCSpeWOgVIY7Xh8C9++hn7m8G7w1cmw==" saltValue="/ZT3YSHc/Rj3bPVmzXN8Ug==" spinCount="100000" sqref="B3:B12 B20:B26 B14:B17" name="Tartomány1"/>
    <protectedRange sqref="G14:G18" name="Tartomány2"/>
    <protectedRange sqref="E33:E36" name="Tartomány3"/>
    <protectedRange sqref="B13" name="Tartomány1_1"/>
  </protectedRanges>
  <sortState xmlns:xlrd2="http://schemas.microsoft.com/office/spreadsheetml/2017/richdata2" ref="B3:C40">
    <sortCondition ref="B3:B40"/>
  </sortState>
  <mergeCells count="3">
    <mergeCell ref="A1:J1"/>
    <mergeCell ref="L1:AB1"/>
    <mergeCell ref="AD1:AT1"/>
  </mergeCells>
  <conditionalFormatting sqref="B13">
    <cfRule type="expression" dxfId="11" priority="1">
      <formula>$B13=$E$7</formula>
    </cfRule>
    <cfRule type="expression" dxfId="10" priority="2">
      <formula>$C13=$E$11</formula>
    </cfRule>
    <cfRule type="expression" dxfId="9" priority="3">
      <formula>$C13=$E$13</formula>
    </cfRule>
    <cfRule type="expression" dxfId="8" priority="4">
      <formula>$C13=$E$12</formula>
    </cfRule>
    <cfRule type="expression" dxfId="7" priority="5">
      <formula>$C13=$E$14</formula>
    </cfRule>
    <cfRule type="expression" dxfId="6" priority="6">
      <formula>$C13=$E$15</formula>
    </cfRule>
  </conditionalFormatting>
  <dataValidations count="1">
    <dataValidation type="list" allowBlank="1" showInputMessage="1" showErrorMessage="1" sqref="B13" xr:uid="{37616AB7-0E9C-4549-B6E5-60D5B3F61C1E}">
      <formula1>$B$3:$B$52</formula1>
    </dataValidation>
  </dataValidations>
  <pageMargins left="0.7" right="0.7" top="0.75" bottom="0.75" header="0.3" footer="0.3"/>
  <pageSetup paperSize="9" orientation="portrait" r:id="rId5"/>
  <drawing r:id="rId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pageSetUpPr fitToPage="1"/>
  </sheetPr>
  <dimension ref="A1:Y2963"/>
  <sheetViews>
    <sheetView zoomScale="85" zoomScaleNormal="85" workbookViewId="0">
      <pane ySplit="1" topLeftCell="A1408" activePane="bottomLeft" state="frozen"/>
      <selection activeCell="C1" sqref="C1"/>
      <selection pane="bottomLeft" activeCell="G2934" sqref="G2934"/>
    </sheetView>
  </sheetViews>
  <sheetFormatPr defaultColWidth="9.140625" defaultRowHeight="15" x14ac:dyDescent="0.25"/>
  <cols>
    <col min="1" max="1" width="14.5703125" style="34" customWidth="1"/>
    <col min="2" max="2" width="12.140625" style="37" customWidth="1"/>
    <col min="3" max="3" width="12.42578125" style="45" customWidth="1"/>
    <col min="4" max="4" width="10.28515625" style="37" customWidth="1"/>
    <col min="5" max="7" width="11.42578125" style="89" customWidth="1"/>
    <col min="8" max="9" width="12.5703125" style="34" customWidth="1"/>
    <col min="10" max="10" width="17" style="34" customWidth="1"/>
    <col min="11" max="13" width="10" style="36" customWidth="1"/>
    <col min="14" max="14" width="13.28515625" style="65" bestFit="1" customWidth="1"/>
    <col min="15" max="15" width="13.7109375" style="34" customWidth="1"/>
    <col min="16" max="16" width="13.7109375" style="68" customWidth="1"/>
    <col min="17" max="17" width="12.5703125" style="68" customWidth="1"/>
    <col min="18" max="18" width="16.140625" style="34" customWidth="1"/>
    <col min="19" max="19" width="14.42578125" style="34" customWidth="1"/>
    <col min="20" max="20" width="38.28515625" style="34" customWidth="1"/>
    <col min="21" max="23" width="34.7109375" style="34" customWidth="1"/>
    <col min="24" max="24" width="14.28515625" style="34" hidden="1" customWidth="1"/>
    <col min="25" max="25" width="15.7109375" customWidth="1"/>
  </cols>
  <sheetData>
    <row r="1" spans="1:25" ht="30" customHeight="1" x14ac:dyDescent="0.25">
      <c r="A1" s="146" t="s">
        <v>3180</v>
      </c>
      <c r="B1" s="35" t="s">
        <v>3181</v>
      </c>
      <c r="C1" s="38" t="s">
        <v>20</v>
      </c>
      <c r="D1" s="46" t="s">
        <v>11</v>
      </c>
      <c r="E1" s="47" t="s">
        <v>22</v>
      </c>
      <c r="F1" s="47" t="s">
        <v>32</v>
      </c>
      <c r="G1" s="47" t="s">
        <v>35</v>
      </c>
      <c r="H1" s="48" t="s">
        <v>23</v>
      </c>
      <c r="I1" s="48" t="s">
        <v>3182</v>
      </c>
      <c r="J1" s="53" t="s">
        <v>16</v>
      </c>
      <c r="K1" s="47" t="s">
        <v>24</v>
      </c>
      <c r="L1" s="47" t="s">
        <v>25</v>
      </c>
      <c r="M1" s="47" t="s">
        <v>26</v>
      </c>
      <c r="N1" s="53" t="s">
        <v>27</v>
      </c>
      <c r="O1" s="53" t="s">
        <v>28</v>
      </c>
      <c r="P1" s="66" t="s">
        <v>29</v>
      </c>
      <c r="Q1" s="69" t="s">
        <v>30</v>
      </c>
      <c r="R1" s="48" t="s">
        <v>31</v>
      </c>
      <c r="S1" s="48" t="s">
        <v>3183</v>
      </c>
      <c r="T1" s="48" t="s">
        <v>3184</v>
      </c>
      <c r="U1" s="76" t="s">
        <v>37</v>
      </c>
      <c r="V1" s="48" t="s">
        <v>38</v>
      </c>
      <c r="W1" s="48" t="s">
        <v>39</v>
      </c>
      <c r="X1" s="47" t="s">
        <v>71</v>
      </c>
      <c r="Y1" s="76" t="s">
        <v>14</v>
      </c>
    </row>
    <row r="2" spans="1:25" s="91" customFormat="1" hidden="1" x14ac:dyDescent="0.25">
      <c r="A2" s="32" t="s">
        <v>3185</v>
      </c>
      <c r="B2" s="315" t="str">
        <f>IF((COUNTBLANK(G2)=0),Stats!$E$7,IF((COUNTBLANK(E2)=0),IF((COUNTBLANK(F2)=0),IF((COUNTBLANK(U2)=0),Stats!$E$6,Stats!$E$5),Stats!$E$4),""))</f>
        <v>Death</v>
      </c>
      <c r="C2" s="39" t="s">
        <v>3115</v>
      </c>
      <c r="D2" s="315"/>
      <c r="E2" s="88">
        <v>43028</v>
      </c>
      <c r="F2" s="316">
        <v>36892</v>
      </c>
      <c r="G2" s="316">
        <v>36893</v>
      </c>
      <c r="H2" s="317" t="s">
        <v>3142</v>
      </c>
      <c r="I2" s="317"/>
      <c r="J2" s="317" t="s">
        <v>3186</v>
      </c>
      <c r="K2" s="315" t="s">
        <v>3187</v>
      </c>
      <c r="L2" s="315"/>
      <c r="M2" s="317"/>
      <c r="N2" s="315" t="s">
        <v>3188</v>
      </c>
      <c r="O2" s="317" t="s">
        <v>51</v>
      </c>
      <c r="P2" s="318" t="s">
        <v>3189</v>
      </c>
      <c r="Q2" s="318" t="s">
        <v>3190</v>
      </c>
      <c r="R2" s="317" t="s">
        <v>3191</v>
      </c>
      <c r="S2" s="317"/>
      <c r="T2" s="317"/>
      <c r="U2" s="317"/>
      <c r="V2" s="317"/>
      <c r="W2" s="317"/>
      <c r="X2" s="317" t="s">
        <v>3192</v>
      </c>
      <c r="Y2" s="319"/>
    </row>
    <row r="3" spans="1:25" s="91" customFormat="1" hidden="1" x14ac:dyDescent="0.25">
      <c r="A3" s="32" t="s">
        <v>3193</v>
      </c>
      <c r="B3" s="315" t="str">
        <f>IF((COUNTBLANK(G3)=0),Stats!$E$7,IF((COUNTBLANK(E3)=0),IF((COUNTBLANK(F3)=0),IF((COUNTBLANK(U3)=0),Stats!$E$6,Stats!$E$5),Stats!$E$4),""))</f>
        <v>Death</v>
      </c>
      <c r="C3" s="39" t="s">
        <v>3115</v>
      </c>
      <c r="D3" s="315"/>
      <c r="E3" s="88">
        <v>43028</v>
      </c>
      <c r="F3" s="88">
        <v>36892</v>
      </c>
      <c r="G3" s="316">
        <v>36893</v>
      </c>
      <c r="H3" s="317" t="s">
        <v>3142</v>
      </c>
      <c r="I3" s="317"/>
      <c r="J3" s="317" t="s">
        <v>3186</v>
      </c>
      <c r="K3" s="315" t="s">
        <v>3187</v>
      </c>
      <c r="L3" s="315"/>
      <c r="M3" s="317"/>
      <c r="N3" s="315" t="s">
        <v>3188</v>
      </c>
      <c r="O3" s="317" t="s">
        <v>51</v>
      </c>
      <c r="P3" s="318" t="s">
        <v>3189</v>
      </c>
      <c r="Q3" s="318" t="s">
        <v>3190</v>
      </c>
      <c r="R3" s="317" t="s">
        <v>3191</v>
      </c>
      <c r="S3" s="317"/>
      <c r="T3" s="317"/>
      <c r="U3" s="317"/>
      <c r="V3" s="317"/>
      <c r="W3" s="317"/>
      <c r="X3" s="317" t="s">
        <v>3192</v>
      </c>
      <c r="Y3" s="319"/>
    </row>
    <row r="4" spans="1:25" s="91" customFormat="1" hidden="1" x14ac:dyDescent="0.25">
      <c r="A4" s="32" t="s">
        <v>3194</v>
      </c>
      <c r="B4" s="315" t="str">
        <f>IF((COUNTBLANK(G4)=0),Stats!$E$7,IF((COUNTBLANK(E4)=0),IF((COUNTBLANK(F4)=0),IF((COUNTBLANK(U4)=0),Stats!$E$6,Stats!$E$5),Stats!$E$4),""))</f>
        <v>Death</v>
      </c>
      <c r="C4" s="39" t="s">
        <v>3115</v>
      </c>
      <c r="D4" s="315"/>
      <c r="E4" s="88">
        <v>43031</v>
      </c>
      <c r="F4" s="88">
        <v>36892</v>
      </c>
      <c r="G4" s="316">
        <v>36893</v>
      </c>
      <c r="H4" s="317" t="s">
        <v>3142</v>
      </c>
      <c r="I4" s="317"/>
      <c r="J4" s="317" t="s">
        <v>3186</v>
      </c>
      <c r="K4" s="315" t="s">
        <v>3187</v>
      </c>
      <c r="L4" s="315"/>
      <c r="M4" s="317"/>
      <c r="N4" s="315" t="s">
        <v>3188</v>
      </c>
      <c r="O4" s="317" t="s">
        <v>51</v>
      </c>
      <c r="P4" s="318" t="s">
        <v>3195</v>
      </c>
      <c r="Q4" s="318" t="s">
        <v>3196</v>
      </c>
      <c r="R4" s="317" t="s">
        <v>3197</v>
      </c>
      <c r="S4" s="317"/>
      <c r="T4" s="317"/>
      <c r="U4" s="317"/>
      <c r="V4" s="317"/>
      <c r="W4" s="317"/>
      <c r="X4" s="317" t="s">
        <v>3192</v>
      </c>
      <c r="Y4" s="319"/>
    </row>
    <row r="5" spans="1:25" s="91" customFormat="1" hidden="1" x14ac:dyDescent="0.25">
      <c r="A5" s="32" t="s">
        <v>3198</v>
      </c>
      <c r="B5" s="315" t="str">
        <f>IF((COUNTBLANK(G5)=0),Stats!$E$7,IF((COUNTBLANK(E5)=0),IF((COUNTBLANK(F5)=0),IF((COUNTBLANK(U5)=0),Stats!$E$6,Stats!$E$5),Stats!$E$4),""))</f>
        <v>Death</v>
      </c>
      <c r="C5" s="39" t="s">
        <v>3115</v>
      </c>
      <c r="D5" s="315"/>
      <c r="E5" s="88">
        <v>43035</v>
      </c>
      <c r="F5" s="88">
        <v>36892</v>
      </c>
      <c r="G5" s="316">
        <v>36893</v>
      </c>
      <c r="H5" s="317" t="s">
        <v>3128</v>
      </c>
      <c r="I5" s="317"/>
      <c r="J5" s="317" t="s">
        <v>3186</v>
      </c>
      <c r="K5" s="315" t="s">
        <v>3199</v>
      </c>
      <c r="L5" s="315"/>
      <c r="M5" s="317"/>
      <c r="N5" s="315"/>
      <c r="O5" s="317" t="s">
        <v>51</v>
      </c>
      <c r="P5" s="318" t="s">
        <v>3200</v>
      </c>
      <c r="Q5" s="318" t="s">
        <v>3201</v>
      </c>
      <c r="R5" s="317"/>
      <c r="S5" s="317"/>
      <c r="T5" s="317"/>
      <c r="U5" s="317"/>
      <c r="V5" s="317"/>
      <c r="W5" s="317"/>
      <c r="X5" s="317" t="s">
        <v>3192</v>
      </c>
      <c r="Y5" s="319"/>
    </row>
    <row r="6" spans="1:25" s="91" customFormat="1" hidden="1" x14ac:dyDescent="0.25">
      <c r="A6" s="32" t="s">
        <v>3202</v>
      </c>
      <c r="B6" s="315" t="str">
        <f>IF((COUNTBLANK(G6)=0),Stats!$E$7,IF((COUNTBLANK(E6)=0),IF((COUNTBLANK(F6)=0),IF((COUNTBLANK(U6)=0),Stats!$E$6,Stats!$E$5),Stats!$E$4),""))</f>
        <v>Death</v>
      </c>
      <c r="C6" s="39" t="s">
        <v>3115</v>
      </c>
      <c r="D6" s="315"/>
      <c r="E6" s="88">
        <v>43035</v>
      </c>
      <c r="F6" s="88">
        <v>36892</v>
      </c>
      <c r="G6" s="316">
        <v>36893</v>
      </c>
      <c r="H6" s="317" t="s">
        <v>3128</v>
      </c>
      <c r="I6" s="317"/>
      <c r="J6" s="317" t="s">
        <v>3186</v>
      </c>
      <c r="K6" s="315" t="s">
        <v>3199</v>
      </c>
      <c r="L6" s="315"/>
      <c r="M6" s="317"/>
      <c r="N6" s="315"/>
      <c r="O6" s="317" t="s">
        <v>51</v>
      </c>
      <c r="P6" s="318" t="s">
        <v>3200</v>
      </c>
      <c r="Q6" s="318" t="s">
        <v>3201</v>
      </c>
      <c r="R6" s="317"/>
      <c r="S6" s="317"/>
      <c r="T6" s="317"/>
      <c r="U6" s="317"/>
      <c r="V6" s="317"/>
      <c r="W6" s="317"/>
      <c r="X6" s="317" t="s">
        <v>3192</v>
      </c>
      <c r="Y6" s="319"/>
    </row>
    <row r="7" spans="1:25" s="91" customFormat="1" hidden="1" x14ac:dyDescent="0.25">
      <c r="A7" s="32" t="s">
        <v>3203</v>
      </c>
      <c r="B7" s="315" t="str">
        <f>IF((COUNTBLANK(G7)=0),Stats!$E$7,IF((COUNTBLANK(E7)=0),IF((COUNTBLANK(F7)=0),IF((COUNTBLANK(U7)=0),Stats!$E$6,Stats!$E$5),Stats!$E$4),""))</f>
        <v>Death</v>
      </c>
      <c r="C7" s="39" t="s">
        <v>3115</v>
      </c>
      <c r="D7" s="315"/>
      <c r="E7" s="88">
        <v>43039</v>
      </c>
      <c r="F7" s="88">
        <v>36892</v>
      </c>
      <c r="G7" s="316">
        <v>36893</v>
      </c>
      <c r="H7" s="317" t="s">
        <v>3148</v>
      </c>
      <c r="I7" s="317"/>
      <c r="J7" s="317" t="s">
        <v>3186</v>
      </c>
      <c r="K7" s="315" t="s">
        <v>3187</v>
      </c>
      <c r="L7" s="315"/>
      <c r="M7" s="317"/>
      <c r="N7" s="315"/>
      <c r="O7" s="317" t="s">
        <v>51</v>
      </c>
      <c r="P7" s="318">
        <v>450</v>
      </c>
      <c r="Q7" s="318" t="s">
        <v>3204</v>
      </c>
      <c r="R7" s="317" t="s">
        <v>3205</v>
      </c>
      <c r="S7" s="317"/>
      <c r="T7" s="317"/>
      <c r="U7" s="317"/>
      <c r="V7" s="317"/>
      <c r="W7" s="317"/>
      <c r="X7" s="317" t="s">
        <v>3206</v>
      </c>
      <c r="Y7" s="319"/>
    </row>
    <row r="8" spans="1:25" s="91" customFormat="1" hidden="1" x14ac:dyDescent="0.25">
      <c r="A8" s="32" t="s">
        <v>3207</v>
      </c>
      <c r="B8" s="315" t="str">
        <f>IF((COUNTBLANK(G8)=0),Stats!$E$7,IF((COUNTBLANK(E8)=0),IF((COUNTBLANK(F8)=0),IF((COUNTBLANK(U8)=0),Stats!$E$6,Stats!$E$5),Stats!$E$4),""))</f>
        <v>Death</v>
      </c>
      <c r="C8" s="39" t="s">
        <v>3115</v>
      </c>
      <c r="D8" s="315"/>
      <c r="E8" s="88">
        <v>43040</v>
      </c>
      <c r="F8" s="88">
        <v>36892</v>
      </c>
      <c r="G8" s="316">
        <v>36893</v>
      </c>
      <c r="H8" s="317" t="s">
        <v>3142</v>
      </c>
      <c r="I8" s="317"/>
      <c r="J8" s="317" t="s">
        <v>152</v>
      </c>
      <c r="K8" s="315" t="s">
        <v>3208</v>
      </c>
      <c r="L8" s="315"/>
      <c r="M8" s="317"/>
      <c r="N8" s="315"/>
      <c r="O8" s="317" t="s">
        <v>51</v>
      </c>
      <c r="P8" s="318">
        <v>450</v>
      </c>
      <c r="Q8" s="318">
        <v>400</v>
      </c>
      <c r="R8" s="317" t="s">
        <v>3209</v>
      </c>
      <c r="S8" s="317"/>
      <c r="T8" s="317"/>
      <c r="U8" s="317"/>
      <c r="V8" s="317"/>
      <c r="W8" s="317"/>
      <c r="X8" s="317" t="s">
        <v>3192</v>
      </c>
      <c r="Y8" s="319"/>
    </row>
    <row r="9" spans="1:25" s="91" customFormat="1" hidden="1" x14ac:dyDescent="0.25">
      <c r="A9" s="32" t="s">
        <v>3210</v>
      </c>
      <c r="B9" s="315" t="str">
        <f>IF((COUNTBLANK(G9)=0),Stats!$E$7,IF((COUNTBLANK(E9)=0),IF((COUNTBLANK(F9)=0),IF((COUNTBLANK(U9)=0),Stats!$E$6,Stats!$E$5),Stats!$E$4),""))</f>
        <v>Death</v>
      </c>
      <c r="C9" s="39" t="s">
        <v>3115</v>
      </c>
      <c r="D9" s="315"/>
      <c r="E9" s="88">
        <v>43040</v>
      </c>
      <c r="F9" s="88">
        <v>36892</v>
      </c>
      <c r="G9" s="316">
        <v>36893</v>
      </c>
      <c r="H9" s="317" t="s">
        <v>3142</v>
      </c>
      <c r="I9" s="317"/>
      <c r="J9" s="317" t="s">
        <v>152</v>
      </c>
      <c r="K9" s="315" t="s">
        <v>3208</v>
      </c>
      <c r="L9" s="315"/>
      <c r="M9" s="317"/>
      <c r="N9" s="315"/>
      <c r="O9" s="317" t="s">
        <v>51</v>
      </c>
      <c r="P9" s="318">
        <v>450</v>
      </c>
      <c r="Q9" s="318">
        <v>400</v>
      </c>
      <c r="R9" s="317" t="s">
        <v>71</v>
      </c>
      <c r="S9" s="317"/>
      <c r="T9" s="317"/>
      <c r="U9" s="317"/>
      <c r="V9" s="317"/>
      <c r="W9" s="317"/>
      <c r="X9" s="317" t="s">
        <v>3192</v>
      </c>
      <c r="Y9" s="319"/>
    </row>
    <row r="10" spans="1:25" s="91" customFormat="1" hidden="1" x14ac:dyDescent="0.25">
      <c r="A10" s="32" t="s">
        <v>3211</v>
      </c>
      <c r="B10" s="315" t="str">
        <f>IF((COUNTBLANK(G10)=0),Stats!$E$7,IF((COUNTBLANK(E10)=0),IF((COUNTBLANK(F10)=0),IF((COUNTBLANK(U10)=0),Stats!$E$6,Stats!$E$5),Stats!$E$4),""))</f>
        <v>Death</v>
      </c>
      <c r="C10" s="39" t="s">
        <v>3115</v>
      </c>
      <c r="D10" s="315"/>
      <c r="E10" s="88">
        <v>43041</v>
      </c>
      <c r="F10" s="88">
        <v>36892</v>
      </c>
      <c r="G10" s="316">
        <v>36893</v>
      </c>
      <c r="H10" s="317" t="s">
        <v>3142</v>
      </c>
      <c r="I10" s="317"/>
      <c r="J10" s="317" t="s">
        <v>152</v>
      </c>
      <c r="K10" s="315" t="s">
        <v>3164</v>
      </c>
      <c r="L10" s="315"/>
      <c r="M10" s="317"/>
      <c r="N10" s="320"/>
      <c r="O10" s="317" t="s">
        <v>51</v>
      </c>
      <c r="P10" s="318">
        <v>450</v>
      </c>
      <c r="Q10" s="318">
        <v>400</v>
      </c>
      <c r="R10" s="317" t="s">
        <v>3212</v>
      </c>
      <c r="S10" s="317"/>
      <c r="T10" s="317"/>
      <c r="U10" s="317"/>
      <c r="V10" s="317"/>
      <c r="W10" s="317"/>
      <c r="X10" s="317" t="s">
        <v>3192</v>
      </c>
      <c r="Y10" s="319"/>
    </row>
    <row r="11" spans="1:25" s="91" customFormat="1" hidden="1" x14ac:dyDescent="0.25">
      <c r="A11" s="32" t="s">
        <v>3213</v>
      </c>
      <c r="B11" s="315" t="str">
        <f>IF((COUNTBLANK(G11)=0),Stats!$E$7,IF((COUNTBLANK(E11)=0),IF((COUNTBLANK(F11)=0),IF((COUNTBLANK(U11)=0),Stats!$E$6,Stats!$E$5),Stats!$E$4),""))</f>
        <v>Death</v>
      </c>
      <c r="C11" s="39" t="s">
        <v>3115</v>
      </c>
      <c r="D11" s="315"/>
      <c r="E11" s="88">
        <v>43041</v>
      </c>
      <c r="F11" s="88">
        <v>36892</v>
      </c>
      <c r="G11" s="316">
        <v>36893</v>
      </c>
      <c r="H11" s="317" t="s">
        <v>3142</v>
      </c>
      <c r="I11" s="317"/>
      <c r="J11" s="317" t="s">
        <v>152</v>
      </c>
      <c r="K11" s="315" t="s">
        <v>3164</v>
      </c>
      <c r="L11" s="315"/>
      <c r="M11" s="317"/>
      <c r="N11" s="320"/>
      <c r="O11" s="317" t="s">
        <v>51</v>
      </c>
      <c r="P11" s="318">
        <v>450</v>
      </c>
      <c r="Q11" s="318">
        <v>400</v>
      </c>
      <c r="R11" s="317" t="s">
        <v>3214</v>
      </c>
      <c r="S11" s="317"/>
      <c r="T11" s="317"/>
      <c r="U11" s="317"/>
      <c r="V11" s="317"/>
      <c r="W11" s="317"/>
      <c r="X11" s="317" t="s">
        <v>3206</v>
      </c>
      <c r="Y11" s="319"/>
    </row>
    <row r="12" spans="1:25" s="91" customFormat="1" hidden="1" x14ac:dyDescent="0.25">
      <c r="A12" s="32" t="s">
        <v>3215</v>
      </c>
      <c r="B12" s="315" t="str">
        <f>IF((COUNTBLANK(G12)=0),Stats!$E$7,IF((COUNTBLANK(E12)=0),IF((COUNTBLANK(F12)=0),IF((COUNTBLANK(U12)=0),Stats!$E$6,Stats!$E$5),Stats!$E$4),""))</f>
        <v>Death</v>
      </c>
      <c r="C12" s="39" t="s">
        <v>3115</v>
      </c>
      <c r="D12" s="315"/>
      <c r="E12" s="88">
        <v>43047</v>
      </c>
      <c r="F12" s="88">
        <v>36892</v>
      </c>
      <c r="G12" s="316">
        <v>36893</v>
      </c>
      <c r="H12" s="317" t="s">
        <v>3128</v>
      </c>
      <c r="I12" s="317"/>
      <c r="J12" s="317" t="s">
        <v>3186</v>
      </c>
      <c r="K12" s="315" t="s">
        <v>3216</v>
      </c>
      <c r="L12" s="315"/>
      <c r="M12" s="317"/>
      <c r="N12" s="320" t="s">
        <v>196</v>
      </c>
      <c r="O12" s="317" t="s">
        <v>51</v>
      </c>
      <c r="P12" s="318">
        <v>450</v>
      </c>
      <c r="Q12" s="318">
        <v>400</v>
      </c>
      <c r="R12" s="317"/>
      <c r="S12" s="317"/>
      <c r="T12" s="317"/>
      <c r="U12" s="317"/>
      <c r="V12" s="317"/>
      <c r="W12" s="317"/>
      <c r="X12" s="317" t="s">
        <v>3192</v>
      </c>
      <c r="Y12" s="319"/>
    </row>
    <row r="13" spans="1:25" s="91" customFormat="1" hidden="1" x14ac:dyDescent="0.25">
      <c r="A13" s="32" t="s">
        <v>3217</v>
      </c>
      <c r="B13" s="315" t="str">
        <f>IF((COUNTBLANK(G13)=0),Stats!$E$7,IF((COUNTBLANK(E13)=0),IF((COUNTBLANK(F13)=0),IF((COUNTBLANK(U13)=0),Stats!$E$6,Stats!$E$5),Stats!$E$4),""))</f>
        <v>Death</v>
      </c>
      <c r="C13" s="39" t="s">
        <v>3115</v>
      </c>
      <c r="D13" s="315"/>
      <c r="E13" s="88">
        <v>43047</v>
      </c>
      <c r="F13" s="88">
        <v>36892</v>
      </c>
      <c r="G13" s="316">
        <v>36893</v>
      </c>
      <c r="H13" s="317" t="s">
        <v>3128</v>
      </c>
      <c r="I13" s="317"/>
      <c r="J13" s="317" t="s">
        <v>3186</v>
      </c>
      <c r="K13" s="315" t="s">
        <v>3216</v>
      </c>
      <c r="L13" s="315"/>
      <c r="M13" s="317"/>
      <c r="N13" s="320" t="s">
        <v>196</v>
      </c>
      <c r="O13" s="317" t="s">
        <v>51</v>
      </c>
      <c r="P13" s="318">
        <v>450</v>
      </c>
      <c r="Q13" s="318">
        <v>400</v>
      </c>
      <c r="R13" s="317"/>
      <c r="S13" s="317"/>
      <c r="T13" s="317"/>
      <c r="U13" s="317"/>
      <c r="V13" s="317"/>
      <c r="W13" s="317"/>
      <c r="X13" s="317" t="s">
        <v>3218</v>
      </c>
      <c r="Y13" s="319"/>
    </row>
    <row r="14" spans="1:25" s="91" customFormat="1" hidden="1" x14ac:dyDescent="0.25">
      <c r="A14" s="32" t="s">
        <v>3219</v>
      </c>
      <c r="B14" s="315" t="str">
        <f>IF((COUNTBLANK(G14)=0),Stats!$E$7,IF((COUNTBLANK(E14)=0),IF((COUNTBLANK(F14)=0),IF((COUNTBLANK(U14)=0),Stats!$E$6,Stats!$E$5),Stats!$E$4),""))</f>
        <v>Death</v>
      </c>
      <c r="C14" s="39" t="s">
        <v>3115</v>
      </c>
      <c r="D14" s="315"/>
      <c r="E14" s="88">
        <v>43047</v>
      </c>
      <c r="F14" s="88">
        <v>36892</v>
      </c>
      <c r="G14" s="316">
        <v>36893</v>
      </c>
      <c r="H14" s="317" t="s">
        <v>3128</v>
      </c>
      <c r="I14" s="317"/>
      <c r="J14" s="317" t="s">
        <v>3186</v>
      </c>
      <c r="K14" s="315" t="s">
        <v>3216</v>
      </c>
      <c r="L14" s="315"/>
      <c r="M14" s="317"/>
      <c r="N14" s="320" t="s">
        <v>196</v>
      </c>
      <c r="O14" s="317" t="s">
        <v>51</v>
      </c>
      <c r="P14" s="318">
        <v>450</v>
      </c>
      <c r="Q14" s="318">
        <v>400</v>
      </c>
      <c r="R14" s="317"/>
      <c r="S14" s="317"/>
      <c r="T14" s="317"/>
      <c r="U14" s="317"/>
      <c r="V14" s="317"/>
      <c r="W14" s="317"/>
      <c r="X14" s="317" t="s">
        <v>3218</v>
      </c>
      <c r="Y14" s="319"/>
    </row>
    <row r="15" spans="1:25" s="91" customFormat="1" hidden="1" x14ac:dyDescent="0.25">
      <c r="A15" s="32" t="s">
        <v>3220</v>
      </c>
      <c r="B15" s="315" t="str">
        <f>IF((COUNTBLANK(G15)=0),Stats!$E$7,IF((COUNTBLANK(E15)=0),IF((COUNTBLANK(F15)=0),IF((COUNTBLANK(U15)=0),Stats!$E$6,Stats!$E$5),Stats!$E$4),""))</f>
        <v>Death</v>
      </c>
      <c r="C15" s="39" t="s">
        <v>3115</v>
      </c>
      <c r="D15" s="315"/>
      <c r="E15" s="88">
        <v>43047</v>
      </c>
      <c r="F15" s="88">
        <v>36892</v>
      </c>
      <c r="G15" s="316">
        <v>36893</v>
      </c>
      <c r="H15" s="317" t="s">
        <v>3128</v>
      </c>
      <c r="I15" s="317"/>
      <c r="J15" s="317" t="s">
        <v>3186</v>
      </c>
      <c r="K15" s="315" t="s">
        <v>3216</v>
      </c>
      <c r="L15" s="315"/>
      <c r="M15" s="317"/>
      <c r="N15" s="320" t="s">
        <v>196</v>
      </c>
      <c r="O15" s="317" t="s">
        <v>51</v>
      </c>
      <c r="P15" s="318">
        <v>450</v>
      </c>
      <c r="Q15" s="318">
        <v>400</v>
      </c>
      <c r="R15" s="317"/>
      <c r="S15" s="317"/>
      <c r="T15" s="317"/>
      <c r="U15" s="317"/>
      <c r="V15" s="317"/>
      <c r="W15" s="317"/>
      <c r="X15" s="317" t="s">
        <v>3192</v>
      </c>
      <c r="Y15" s="319"/>
    </row>
    <row r="16" spans="1:25" s="91" customFormat="1" hidden="1" x14ac:dyDescent="0.25">
      <c r="A16" s="32" t="s">
        <v>3221</v>
      </c>
      <c r="B16" s="315" t="str">
        <f>IF((COUNTBLANK(G16)=0),Stats!$E$7,IF((COUNTBLANK(E16)=0),IF((COUNTBLANK(F16)=0),IF((COUNTBLANK(U16)=0),Stats!$E$6,Stats!$E$5),Stats!$E$4),""))</f>
        <v>Death</v>
      </c>
      <c r="C16" s="39" t="s">
        <v>3115</v>
      </c>
      <c r="D16" s="315"/>
      <c r="E16" s="88">
        <v>43047</v>
      </c>
      <c r="F16" s="88">
        <v>36892</v>
      </c>
      <c r="G16" s="316">
        <v>36893</v>
      </c>
      <c r="H16" s="317" t="s">
        <v>3128</v>
      </c>
      <c r="I16" s="317"/>
      <c r="J16" s="317" t="s">
        <v>3186</v>
      </c>
      <c r="K16" s="315" t="s">
        <v>3222</v>
      </c>
      <c r="L16" s="315" t="s">
        <v>3223</v>
      </c>
      <c r="M16" s="317"/>
      <c r="N16" s="320" t="s">
        <v>3224</v>
      </c>
      <c r="O16" s="317" t="s">
        <v>51</v>
      </c>
      <c r="P16" s="318">
        <v>450</v>
      </c>
      <c r="Q16" s="318">
        <v>400</v>
      </c>
      <c r="R16" s="317"/>
      <c r="S16" s="317"/>
      <c r="T16" s="317"/>
      <c r="U16" s="317"/>
      <c r="V16" s="317"/>
      <c r="W16" s="317"/>
      <c r="X16" s="317" t="s">
        <v>3192</v>
      </c>
      <c r="Y16" s="319"/>
    </row>
    <row r="17" spans="1:25" s="91" customFormat="1" hidden="1" x14ac:dyDescent="0.25">
      <c r="A17" s="32" t="s">
        <v>3225</v>
      </c>
      <c r="B17" s="315" t="str">
        <f>IF((COUNTBLANK(G17)=0),Stats!$E$7,IF((COUNTBLANK(E17)=0),IF((COUNTBLANK(F17)=0),IF((COUNTBLANK(U17)=0),Stats!$E$6,Stats!$E$5),Stats!$E$4),""))</f>
        <v>Death</v>
      </c>
      <c r="C17" s="39" t="s">
        <v>3115</v>
      </c>
      <c r="D17" s="315"/>
      <c r="E17" s="88">
        <v>43047</v>
      </c>
      <c r="F17" s="88">
        <v>36892</v>
      </c>
      <c r="G17" s="316">
        <v>36893</v>
      </c>
      <c r="H17" s="317" t="s">
        <v>3128</v>
      </c>
      <c r="I17" s="317"/>
      <c r="J17" s="317" t="s">
        <v>3186</v>
      </c>
      <c r="K17" s="315" t="s">
        <v>3222</v>
      </c>
      <c r="L17" s="315" t="s">
        <v>3223</v>
      </c>
      <c r="M17" s="317"/>
      <c r="N17" s="320" t="s">
        <v>3224</v>
      </c>
      <c r="O17" s="317" t="s">
        <v>51</v>
      </c>
      <c r="P17" s="318">
        <v>450</v>
      </c>
      <c r="Q17" s="318">
        <v>400</v>
      </c>
      <c r="R17" s="317"/>
      <c r="S17" s="317"/>
      <c r="T17" s="317"/>
      <c r="U17" s="317"/>
      <c r="V17" s="317"/>
      <c r="W17" s="317"/>
      <c r="X17" s="317" t="s">
        <v>3192</v>
      </c>
      <c r="Y17" s="319"/>
    </row>
    <row r="18" spans="1:25" s="91" customFormat="1" hidden="1" x14ac:dyDescent="0.25">
      <c r="A18" s="32" t="s">
        <v>3226</v>
      </c>
      <c r="B18" s="315" t="str">
        <f>IF((COUNTBLANK(G18)=0),Stats!$E$7,IF((COUNTBLANK(E18)=0),IF((COUNTBLANK(F18)=0),IF((COUNTBLANK(U18)=0),Stats!$E$6,Stats!$E$5),Stats!$E$4),""))</f>
        <v>Death</v>
      </c>
      <c r="C18" s="39" t="s">
        <v>3115</v>
      </c>
      <c r="D18" s="315"/>
      <c r="E18" s="88">
        <v>43047</v>
      </c>
      <c r="F18" s="88">
        <v>36892</v>
      </c>
      <c r="G18" s="316">
        <v>36893</v>
      </c>
      <c r="H18" s="317" t="s">
        <v>3128</v>
      </c>
      <c r="I18" s="317"/>
      <c r="J18" s="317" t="s">
        <v>3186</v>
      </c>
      <c r="K18" s="315" t="s">
        <v>3222</v>
      </c>
      <c r="L18" s="315" t="s">
        <v>3223</v>
      </c>
      <c r="M18" s="317"/>
      <c r="N18" s="320" t="s">
        <v>3224</v>
      </c>
      <c r="O18" s="317" t="s">
        <v>51</v>
      </c>
      <c r="P18" s="318">
        <v>450</v>
      </c>
      <c r="Q18" s="318">
        <v>400</v>
      </c>
      <c r="R18" s="317"/>
      <c r="S18" s="317"/>
      <c r="T18" s="317"/>
      <c r="U18" s="317"/>
      <c r="V18" s="317"/>
      <c r="W18" s="317"/>
      <c r="X18" s="317" t="s">
        <v>3192</v>
      </c>
      <c r="Y18" s="319"/>
    </row>
    <row r="19" spans="1:25" s="91" customFormat="1" hidden="1" x14ac:dyDescent="0.25">
      <c r="A19" s="32" t="s">
        <v>3227</v>
      </c>
      <c r="B19" s="315" t="str">
        <f>IF((COUNTBLANK(G19)=0),Stats!$E$7,IF((COUNTBLANK(E19)=0),IF((COUNTBLANK(F19)=0),IF((COUNTBLANK(U19)=0),Stats!$E$6,Stats!$E$5),Stats!$E$4),""))</f>
        <v>Death</v>
      </c>
      <c r="C19" s="39" t="s">
        <v>3115</v>
      </c>
      <c r="D19" s="315"/>
      <c r="E19" s="88">
        <v>43047</v>
      </c>
      <c r="F19" s="88">
        <v>36892</v>
      </c>
      <c r="G19" s="316">
        <v>36893</v>
      </c>
      <c r="H19" s="317" t="s">
        <v>3128</v>
      </c>
      <c r="I19" s="317"/>
      <c r="J19" s="317" t="s">
        <v>152</v>
      </c>
      <c r="K19" s="315" t="s">
        <v>3222</v>
      </c>
      <c r="L19" s="315"/>
      <c r="M19" s="317"/>
      <c r="N19" s="320" t="s">
        <v>331</v>
      </c>
      <c r="O19" s="317" t="s">
        <v>51</v>
      </c>
      <c r="P19" s="318">
        <v>450</v>
      </c>
      <c r="Q19" s="318">
        <v>400</v>
      </c>
      <c r="R19" s="317"/>
      <c r="S19" s="317"/>
      <c r="T19" s="317"/>
      <c r="U19" s="317"/>
      <c r="V19" s="317"/>
      <c r="W19" s="317"/>
      <c r="X19" s="317" t="s">
        <v>3218</v>
      </c>
      <c r="Y19" s="319"/>
    </row>
    <row r="20" spans="1:25" s="91" customFormat="1" hidden="1" x14ac:dyDescent="0.25">
      <c r="A20" s="32" t="s">
        <v>3228</v>
      </c>
      <c r="B20" s="315" t="str">
        <f>IF((COUNTBLANK(G20)=0),Stats!$E$7,IF((COUNTBLANK(E20)=0),IF((COUNTBLANK(F20)=0),IF((COUNTBLANK(U20)=0),Stats!$E$6,Stats!$E$5),Stats!$E$4),""))</f>
        <v>Death</v>
      </c>
      <c r="C20" s="39" t="s">
        <v>3115</v>
      </c>
      <c r="D20" s="315"/>
      <c r="E20" s="88">
        <v>43047</v>
      </c>
      <c r="F20" s="88">
        <v>36892</v>
      </c>
      <c r="G20" s="316">
        <v>36893</v>
      </c>
      <c r="H20" s="317" t="s">
        <v>3128</v>
      </c>
      <c r="I20" s="317"/>
      <c r="J20" s="317" t="s">
        <v>152</v>
      </c>
      <c r="K20" s="315" t="s">
        <v>3222</v>
      </c>
      <c r="L20" s="315"/>
      <c r="M20" s="317"/>
      <c r="N20" s="320" t="s">
        <v>331</v>
      </c>
      <c r="O20" s="317" t="s">
        <v>51</v>
      </c>
      <c r="P20" s="318">
        <v>450</v>
      </c>
      <c r="Q20" s="318">
        <v>400</v>
      </c>
      <c r="R20" s="317"/>
      <c r="S20" s="317"/>
      <c r="T20" s="317"/>
      <c r="U20" s="317"/>
      <c r="V20" s="317"/>
      <c r="W20" s="317"/>
      <c r="X20" s="317" t="s">
        <v>3192</v>
      </c>
      <c r="Y20" s="319"/>
    </row>
    <row r="21" spans="1:25" s="91" customFormat="1" hidden="1" x14ac:dyDescent="0.25">
      <c r="A21" s="32" t="s">
        <v>3229</v>
      </c>
      <c r="B21" s="315" t="str">
        <f>IF((COUNTBLANK(G21)=0),Stats!$E$7,IF((COUNTBLANK(E21)=0),IF((COUNTBLANK(F21)=0),IF((COUNTBLANK(U21)=0),Stats!$E$6,Stats!$E$5),Stats!$E$4),""))</f>
        <v>Death</v>
      </c>
      <c r="C21" s="39" t="s">
        <v>3115</v>
      </c>
      <c r="D21" s="315"/>
      <c r="E21" s="88">
        <v>43047</v>
      </c>
      <c r="F21" s="88">
        <v>36892</v>
      </c>
      <c r="G21" s="316">
        <v>36893</v>
      </c>
      <c r="H21" s="317" t="s">
        <v>3128</v>
      </c>
      <c r="I21" s="317"/>
      <c r="J21" s="317" t="s">
        <v>3186</v>
      </c>
      <c r="K21" s="315" t="s">
        <v>3222</v>
      </c>
      <c r="L21" s="315" t="s">
        <v>3223</v>
      </c>
      <c r="M21" s="317"/>
      <c r="N21" s="320" t="s">
        <v>3224</v>
      </c>
      <c r="O21" s="317" t="s">
        <v>51</v>
      </c>
      <c r="P21" s="318">
        <v>450</v>
      </c>
      <c r="Q21" s="318">
        <v>400</v>
      </c>
      <c r="R21" s="317"/>
      <c r="S21" s="317"/>
      <c r="T21" s="317"/>
      <c r="U21" s="317"/>
      <c r="V21" s="317"/>
      <c r="W21" s="317"/>
      <c r="X21" s="317" t="s">
        <v>3192</v>
      </c>
      <c r="Y21" s="319"/>
    </row>
    <row r="22" spans="1:25" s="91" customFormat="1" hidden="1" x14ac:dyDescent="0.25">
      <c r="A22" s="32" t="s">
        <v>3230</v>
      </c>
      <c r="B22" s="315" t="str">
        <f>IF((COUNTBLANK(G22)=0),Stats!$E$7,IF((COUNTBLANK(E22)=0),IF((COUNTBLANK(F22)=0),IF((COUNTBLANK(U22)=0),Stats!$E$6,Stats!$E$5),Stats!$E$4),""))</f>
        <v>Death</v>
      </c>
      <c r="C22" s="39" t="s">
        <v>3115</v>
      </c>
      <c r="D22" s="315"/>
      <c r="E22" s="88">
        <v>43048</v>
      </c>
      <c r="F22" s="88">
        <v>36892</v>
      </c>
      <c r="G22" s="316">
        <v>36893</v>
      </c>
      <c r="H22" s="317" t="s">
        <v>3140</v>
      </c>
      <c r="I22" s="317"/>
      <c r="J22" s="317" t="s">
        <v>3186</v>
      </c>
      <c r="K22" s="315" t="s">
        <v>3187</v>
      </c>
      <c r="L22" s="315" t="s">
        <v>3231</v>
      </c>
      <c r="M22" s="317"/>
      <c r="N22" s="320"/>
      <c r="O22" s="317" t="s">
        <v>51</v>
      </c>
      <c r="P22" s="318" t="s">
        <v>3232</v>
      </c>
      <c r="Q22" s="318">
        <v>250</v>
      </c>
      <c r="R22" s="317"/>
      <c r="S22" s="317"/>
      <c r="T22" s="317"/>
      <c r="U22" s="317"/>
      <c r="V22" s="317"/>
      <c r="W22" s="317"/>
      <c r="X22" s="317" t="s">
        <v>3206</v>
      </c>
      <c r="Y22" s="319"/>
    </row>
    <row r="23" spans="1:25" s="91" customFormat="1" hidden="1" x14ac:dyDescent="0.25">
      <c r="A23" s="32" t="s">
        <v>3233</v>
      </c>
      <c r="B23" s="315" t="str">
        <f>IF((COUNTBLANK(G23)=0),Stats!$E$7,IF((COUNTBLANK(E23)=0),IF((COUNTBLANK(F23)=0),IF((COUNTBLANK(U23)=0),Stats!$E$6,Stats!$E$5),Stats!$E$4),""))</f>
        <v>Death</v>
      </c>
      <c r="C23" s="39" t="s">
        <v>3115</v>
      </c>
      <c r="D23" s="315"/>
      <c r="E23" s="88">
        <v>43048</v>
      </c>
      <c r="F23" s="88">
        <v>36892</v>
      </c>
      <c r="G23" s="316">
        <v>36893</v>
      </c>
      <c r="H23" s="317" t="s">
        <v>3140</v>
      </c>
      <c r="I23" s="317"/>
      <c r="J23" s="317" t="s">
        <v>3186</v>
      </c>
      <c r="K23" s="315" t="s">
        <v>3187</v>
      </c>
      <c r="L23" s="315" t="s">
        <v>3231</v>
      </c>
      <c r="M23" s="317"/>
      <c r="N23" s="320"/>
      <c r="O23" s="317" t="s">
        <v>51</v>
      </c>
      <c r="P23" s="318" t="s">
        <v>3232</v>
      </c>
      <c r="Q23" s="318">
        <v>250</v>
      </c>
      <c r="R23" s="317"/>
      <c r="S23" s="317"/>
      <c r="T23" s="317"/>
      <c r="U23" s="317"/>
      <c r="V23" s="317"/>
      <c r="W23" s="317"/>
      <c r="X23" s="317" t="s">
        <v>3192</v>
      </c>
      <c r="Y23" s="319"/>
    </row>
    <row r="24" spans="1:25" s="91" customFormat="1" hidden="1" x14ac:dyDescent="0.25">
      <c r="A24" s="32" t="s">
        <v>3234</v>
      </c>
      <c r="B24" s="315" t="str">
        <f>IF((COUNTBLANK(G24)=0),Stats!$E$7,IF((COUNTBLANK(E24)=0),IF((COUNTBLANK(F24)=0),IF((COUNTBLANK(U24)=0),Stats!$E$6,Stats!$E$5),Stats!$E$4),""))</f>
        <v>Death</v>
      </c>
      <c r="C24" s="39" t="s">
        <v>3115</v>
      </c>
      <c r="D24" s="315"/>
      <c r="E24" s="88">
        <v>43048</v>
      </c>
      <c r="F24" s="88">
        <v>36892</v>
      </c>
      <c r="G24" s="316">
        <v>36893</v>
      </c>
      <c r="H24" s="317" t="s">
        <v>3140</v>
      </c>
      <c r="I24" s="317"/>
      <c r="J24" s="317" t="s">
        <v>3186</v>
      </c>
      <c r="K24" s="315" t="s">
        <v>3187</v>
      </c>
      <c r="L24" s="315" t="s">
        <v>3231</v>
      </c>
      <c r="M24" s="317"/>
      <c r="N24" s="320"/>
      <c r="O24" s="317" t="s">
        <v>51</v>
      </c>
      <c r="P24" s="318" t="s">
        <v>3232</v>
      </c>
      <c r="Q24" s="318">
        <v>250</v>
      </c>
      <c r="R24" s="317"/>
      <c r="S24" s="317"/>
      <c r="T24" s="317"/>
      <c r="U24" s="317"/>
      <c r="V24" s="317"/>
      <c r="W24" s="317"/>
      <c r="X24" s="317" t="s">
        <v>3192</v>
      </c>
      <c r="Y24" s="319"/>
    </row>
    <row r="25" spans="1:25" s="91" customFormat="1" hidden="1" x14ac:dyDescent="0.25">
      <c r="A25" s="32" t="s">
        <v>3235</v>
      </c>
      <c r="B25" s="315" t="str">
        <f>IF((COUNTBLANK(G25)=0),Stats!$E$7,IF((COUNTBLANK(E25)=0),IF((COUNTBLANK(F25)=0),IF((COUNTBLANK(U25)=0),Stats!$E$6,Stats!$E$5),Stats!$E$4),""))</f>
        <v>Death</v>
      </c>
      <c r="C25" s="39" t="s">
        <v>3115</v>
      </c>
      <c r="D25" s="315"/>
      <c r="E25" s="88">
        <v>43048</v>
      </c>
      <c r="F25" s="88">
        <v>36892</v>
      </c>
      <c r="G25" s="316">
        <v>36893</v>
      </c>
      <c r="H25" s="317" t="s">
        <v>3140</v>
      </c>
      <c r="I25" s="317"/>
      <c r="J25" s="317" t="s">
        <v>152</v>
      </c>
      <c r="K25" s="315" t="s">
        <v>3187</v>
      </c>
      <c r="L25" s="315" t="s">
        <v>3231</v>
      </c>
      <c r="M25" s="317"/>
      <c r="N25" s="320"/>
      <c r="O25" s="317" t="s">
        <v>51</v>
      </c>
      <c r="P25" s="318" t="s">
        <v>3236</v>
      </c>
      <c r="Q25" s="318">
        <v>250</v>
      </c>
      <c r="R25" s="317" t="s">
        <v>3237</v>
      </c>
      <c r="S25" s="317"/>
      <c r="T25" s="317"/>
      <c r="U25" s="317"/>
      <c r="V25" s="317"/>
      <c r="W25" s="317"/>
      <c r="X25" s="317" t="s">
        <v>3192</v>
      </c>
      <c r="Y25" s="319"/>
    </row>
    <row r="26" spans="1:25" s="91" customFormat="1" hidden="1" x14ac:dyDescent="0.25">
      <c r="A26" s="32" t="s">
        <v>3238</v>
      </c>
      <c r="B26" s="315" t="str">
        <f>IF((COUNTBLANK(G26)=0),Stats!$E$7,IF((COUNTBLANK(E26)=0),IF((COUNTBLANK(F26)=0),IF((COUNTBLANK(U26)=0),Stats!$E$6,Stats!$E$5),Stats!$E$4),""))</f>
        <v>Death</v>
      </c>
      <c r="C26" s="39" t="s">
        <v>3115</v>
      </c>
      <c r="D26" s="315"/>
      <c r="E26" s="88">
        <v>43048</v>
      </c>
      <c r="F26" s="88">
        <v>36892</v>
      </c>
      <c r="G26" s="316">
        <v>36893</v>
      </c>
      <c r="H26" s="317" t="s">
        <v>3140</v>
      </c>
      <c r="I26" s="317"/>
      <c r="J26" s="317" t="s">
        <v>152</v>
      </c>
      <c r="K26" s="315" t="s">
        <v>3187</v>
      </c>
      <c r="L26" s="315" t="s">
        <v>3231</v>
      </c>
      <c r="M26" s="317"/>
      <c r="N26" s="320"/>
      <c r="O26" s="317" t="s">
        <v>51</v>
      </c>
      <c r="P26" s="318" t="s">
        <v>3236</v>
      </c>
      <c r="Q26" s="318">
        <v>250</v>
      </c>
      <c r="R26" s="317"/>
      <c r="S26" s="317"/>
      <c r="T26" s="317"/>
      <c r="U26" s="317"/>
      <c r="V26" s="317"/>
      <c r="W26" s="317"/>
      <c r="X26" s="317" t="s">
        <v>3206</v>
      </c>
      <c r="Y26" s="319"/>
    </row>
    <row r="27" spans="1:25" s="91" customFormat="1" hidden="1" x14ac:dyDescent="0.25">
      <c r="A27" s="32" t="s">
        <v>3239</v>
      </c>
      <c r="B27" s="315" t="str">
        <f>IF((COUNTBLANK(G27)=0),Stats!$E$7,IF((COUNTBLANK(E27)=0),IF((COUNTBLANK(F27)=0),IF((COUNTBLANK(U27)=0),Stats!$E$6,Stats!$E$5),Stats!$E$4),""))</f>
        <v>Death</v>
      </c>
      <c r="C27" s="39" t="s">
        <v>3115</v>
      </c>
      <c r="D27" s="315"/>
      <c r="E27" s="88">
        <v>43048</v>
      </c>
      <c r="F27" s="88">
        <v>36892</v>
      </c>
      <c r="G27" s="316">
        <v>36893</v>
      </c>
      <c r="H27" s="317" t="s">
        <v>3140</v>
      </c>
      <c r="I27" s="317"/>
      <c r="J27" s="317" t="s">
        <v>152</v>
      </c>
      <c r="K27" s="315" t="s">
        <v>3187</v>
      </c>
      <c r="L27" s="315" t="s">
        <v>3231</v>
      </c>
      <c r="M27" s="317"/>
      <c r="N27" s="320"/>
      <c r="O27" s="317" t="s">
        <v>51</v>
      </c>
      <c r="P27" s="318" t="s">
        <v>3236</v>
      </c>
      <c r="Q27" s="318">
        <v>250</v>
      </c>
      <c r="R27" s="317"/>
      <c r="S27" s="317"/>
      <c r="T27" s="317"/>
      <c r="U27" s="317"/>
      <c r="V27" s="317"/>
      <c r="W27" s="317"/>
      <c r="X27" s="317" t="s">
        <v>3206</v>
      </c>
      <c r="Y27" s="319"/>
    </row>
    <row r="28" spans="1:25" s="91" customFormat="1" hidden="1" x14ac:dyDescent="0.25">
      <c r="A28" s="32" t="s">
        <v>3240</v>
      </c>
      <c r="B28" s="315" t="str">
        <f>IF((COUNTBLANK(G28)=0),Stats!$E$7,IF((COUNTBLANK(E28)=0),IF((COUNTBLANK(F28)=0),IF((COUNTBLANK(U28)=0),Stats!$E$6,Stats!$E$5),Stats!$E$4),""))</f>
        <v>Death</v>
      </c>
      <c r="C28" s="39" t="s">
        <v>3115</v>
      </c>
      <c r="D28" s="315"/>
      <c r="E28" s="88">
        <v>43052</v>
      </c>
      <c r="F28" s="88">
        <v>36892</v>
      </c>
      <c r="G28" s="316">
        <v>36893</v>
      </c>
      <c r="H28" s="317" t="s">
        <v>3142</v>
      </c>
      <c r="I28" s="317"/>
      <c r="J28" s="317" t="s">
        <v>3186</v>
      </c>
      <c r="K28" s="315" t="s">
        <v>3187</v>
      </c>
      <c r="L28" s="315"/>
      <c r="M28" s="317"/>
      <c r="N28" s="320" t="s">
        <v>196</v>
      </c>
      <c r="O28" s="317" t="s">
        <v>51</v>
      </c>
      <c r="P28" s="318" t="s">
        <v>3241</v>
      </c>
      <c r="Q28" s="318" t="s">
        <v>3190</v>
      </c>
      <c r="R28" s="317"/>
      <c r="S28" s="317"/>
      <c r="T28" s="317"/>
      <c r="U28" s="317"/>
      <c r="V28" s="317"/>
      <c r="W28" s="317"/>
      <c r="X28" s="317"/>
      <c r="Y28" s="319"/>
    </row>
    <row r="29" spans="1:25" s="91" customFormat="1" hidden="1" x14ac:dyDescent="0.25">
      <c r="A29" s="32" t="s">
        <v>3242</v>
      </c>
      <c r="B29" s="315" t="str">
        <f>IF((COUNTBLANK(G29)=0),Stats!$E$7,IF((COUNTBLANK(E29)=0),IF((COUNTBLANK(F29)=0),IF((COUNTBLANK(U29)=0),Stats!$E$6,Stats!$E$5),Stats!$E$4),""))</f>
        <v>Death</v>
      </c>
      <c r="C29" s="39" t="s">
        <v>3115</v>
      </c>
      <c r="D29" s="315"/>
      <c r="E29" s="88">
        <v>43052</v>
      </c>
      <c r="F29" s="88">
        <v>36892</v>
      </c>
      <c r="G29" s="316">
        <v>36893</v>
      </c>
      <c r="H29" s="317" t="s">
        <v>3142</v>
      </c>
      <c r="I29" s="317"/>
      <c r="J29" s="317" t="s">
        <v>152</v>
      </c>
      <c r="K29" s="315" t="s">
        <v>3187</v>
      </c>
      <c r="L29" s="315"/>
      <c r="M29" s="317"/>
      <c r="N29" s="320" t="s">
        <v>196</v>
      </c>
      <c r="O29" s="317" t="s">
        <v>51</v>
      </c>
      <c r="P29" s="318" t="s">
        <v>3243</v>
      </c>
      <c r="Q29" s="318" t="s">
        <v>3244</v>
      </c>
      <c r="R29" s="317" t="s">
        <v>3245</v>
      </c>
      <c r="S29" s="317"/>
      <c r="T29" s="317"/>
      <c r="U29" s="317"/>
      <c r="V29" s="317"/>
      <c r="W29" s="317"/>
      <c r="X29" s="317" t="s">
        <v>3206</v>
      </c>
      <c r="Y29" s="319"/>
    </row>
    <row r="30" spans="1:25" s="91" customFormat="1" hidden="1" x14ac:dyDescent="0.25">
      <c r="A30" s="32" t="s">
        <v>3246</v>
      </c>
      <c r="B30" s="315" t="str">
        <f>IF((COUNTBLANK(G30)=0),Stats!$E$7,IF((COUNTBLANK(E30)=0),IF((COUNTBLANK(F30)=0),IF((COUNTBLANK(U30)=0),Stats!$E$6,Stats!$E$5),Stats!$E$4),""))</f>
        <v>Death</v>
      </c>
      <c r="C30" s="39" t="s">
        <v>3115</v>
      </c>
      <c r="D30" s="315"/>
      <c r="E30" s="88">
        <v>43052</v>
      </c>
      <c r="F30" s="88">
        <v>36892</v>
      </c>
      <c r="G30" s="316">
        <v>36893</v>
      </c>
      <c r="H30" s="317" t="s">
        <v>3142</v>
      </c>
      <c r="I30" s="317"/>
      <c r="J30" s="317" t="s">
        <v>152</v>
      </c>
      <c r="K30" s="315" t="s">
        <v>3187</v>
      </c>
      <c r="L30" s="315"/>
      <c r="M30" s="317"/>
      <c r="N30" s="320" t="s">
        <v>196</v>
      </c>
      <c r="O30" s="317" t="s">
        <v>51</v>
      </c>
      <c r="P30" s="318">
        <v>500</v>
      </c>
      <c r="Q30" s="318">
        <v>400</v>
      </c>
      <c r="R30" s="317" t="s">
        <v>3247</v>
      </c>
      <c r="S30" s="317"/>
      <c r="T30" s="317"/>
      <c r="U30" s="317"/>
      <c r="V30" s="317"/>
      <c r="W30" s="317"/>
      <c r="X30" s="317"/>
      <c r="Y30" s="319"/>
    </row>
    <row r="31" spans="1:25" s="91" customFormat="1" hidden="1" x14ac:dyDescent="0.25">
      <c r="A31" s="32" t="s">
        <v>3248</v>
      </c>
      <c r="B31" s="315" t="str">
        <f>IF((COUNTBLANK(G31)=0),Stats!$E$7,IF((COUNTBLANK(E31)=0),IF((COUNTBLANK(F31)=0),IF((COUNTBLANK(U31)=0),Stats!$E$6,Stats!$E$5),Stats!$E$4),""))</f>
        <v>Death</v>
      </c>
      <c r="C31" s="39" t="s">
        <v>3115</v>
      </c>
      <c r="D31" s="315"/>
      <c r="E31" s="88">
        <v>43049</v>
      </c>
      <c r="F31" s="88">
        <v>36892</v>
      </c>
      <c r="G31" s="316">
        <v>36893</v>
      </c>
      <c r="H31" s="317" t="s">
        <v>3128</v>
      </c>
      <c r="I31" s="317"/>
      <c r="J31" s="317" t="s">
        <v>152</v>
      </c>
      <c r="K31" s="315" t="s">
        <v>3222</v>
      </c>
      <c r="L31" s="315"/>
      <c r="M31" s="317"/>
      <c r="N31" s="320" t="s">
        <v>331</v>
      </c>
      <c r="O31" s="317" t="s">
        <v>51</v>
      </c>
      <c r="P31" s="318">
        <v>450</v>
      </c>
      <c r="Q31" s="318">
        <v>400</v>
      </c>
      <c r="R31" s="317"/>
      <c r="S31" s="317"/>
      <c r="T31" s="317"/>
      <c r="U31" s="317"/>
      <c r="V31" s="317"/>
      <c r="W31" s="317"/>
      <c r="X31" s="317" t="s">
        <v>3206</v>
      </c>
      <c r="Y31" s="319"/>
    </row>
    <row r="32" spans="1:25" s="91" customFormat="1" hidden="1" x14ac:dyDescent="0.25">
      <c r="A32" s="32" t="s">
        <v>3249</v>
      </c>
      <c r="B32" s="315" t="str">
        <f>IF((COUNTBLANK(G32)=0),Stats!$E$7,IF((COUNTBLANK(E32)=0),IF((COUNTBLANK(F32)=0),IF((COUNTBLANK(U32)=0),Stats!$E$6,Stats!$E$5),Stats!$E$4),""))</f>
        <v>Death</v>
      </c>
      <c r="C32" s="39" t="s">
        <v>3115</v>
      </c>
      <c r="D32" s="315"/>
      <c r="E32" s="88">
        <v>43049</v>
      </c>
      <c r="F32" s="88">
        <v>36892</v>
      </c>
      <c r="G32" s="316">
        <v>36893</v>
      </c>
      <c r="H32" s="317" t="s">
        <v>3128</v>
      </c>
      <c r="I32" s="317"/>
      <c r="J32" s="317" t="s">
        <v>3186</v>
      </c>
      <c r="K32" s="315" t="s">
        <v>3222</v>
      </c>
      <c r="L32" s="315" t="s">
        <v>3223</v>
      </c>
      <c r="M32" s="317"/>
      <c r="N32" s="320" t="s">
        <v>3224</v>
      </c>
      <c r="O32" s="317" t="s">
        <v>51</v>
      </c>
      <c r="P32" s="318">
        <v>450</v>
      </c>
      <c r="Q32" s="318">
        <v>400</v>
      </c>
      <c r="R32" s="317"/>
      <c r="S32" s="317"/>
      <c r="T32" s="317"/>
      <c r="U32" s="317"/>
      <c r="V32" s="317"/>
      <c r="W32" s="317"/>
      <c r="X32" s="317" t="s">
        <v>3206</v>
      </c>
      <c r="Y32" s="319"/>
    </row>
    <row r="33" spans="1:25" s="91" customFormat="1" hidden="1" x14ac:dyDescent="0.25">
      <c r="A33" s="32" t="s">
        <v>3250</v>
      </c>
      <c r="B33" s="315" t="str">
        <f>IF((COUNTBLANK(G33)=0),Stats!$E$7,IF((COUNTBLANK(E33)=0),IF((COUNTBLANK(F33)=0),IF((COUNTBLANK(U33)=0),Stats!$E$6,Stats!$E$5),Stats!$E$4),""))</f>
        <v>Death</v>
      </c>
      <c r="C33" s="39" t="s">
        <v>3115</v>
      </c>
      <c r="D33" s="315"/>
      <c r="E33" s="88">
        <v>43049</v>
      </c>
      <c r="F33" s="88">
        <v>36892</v>
      </c>
      <c r="G33" s="316">
        <v>36893</v>
      </c>
      <c r="H33" s="317" t="s">
        <v>3128</v>
      </c>
      <c r="I33" s="317"/>
      <c r="J33" s="317" t="s">
        <v>3186</v>
      </c>
      <c r="K33" s="315" t="s">
        <v>3222</v>
      </c>
      <c r="L33" s="315" t="s">
        <v>3223</v>
      </c>
      <c r="M33" s="317"/>
      <c r="N33" s="320" t="s">
        <v>3224</v>
      </c>
      <c r="O33" s="317" t="s">
        <v>51</v>
      </c>
      <c r="P33" s="318">
        <v>450</v>
      </c>
      <c r="Q33" s="318">
        <v>400</v>
      </c>
      <c r="R33" s="317"/>
      <c r="S33" s="317"/>
      <c r="T33" s="317"/>
      <c r="U33" s="317"/>
      <c r="V33" s="317"/>
      <c r="W33" s="317"/>
      <c r="X33" s="317" t="s">
        <v>3192</v>
      </c>
      <c r="Y33" s="319"/>
    </row>
    <row r="34" spans="1:25" s="91" customFormat="1" hidden="1" x14ac:dyDescent="0.25">
      <c r="A34" s="32" t="s">
        <v>3251</v>
      </c>
      <c r="B34" s="315" t="str">
        <f>IF((COUNTBLANK(G34)=0),Stats!$E$7,IF((COUNTBLANK(E34)=0),IF((COUNTBLANK(F34)=0),IF((COUNTBLANK(U34)=0),Stats!$E$6,Stats!$E$5),Stats!$E$4),""))</f>
        <v>Death</v>
      </c>
      <c r="C34" s="39" t="s">
        <v>3115</v>
      </c>
      <c r="D34" s="315"/>
      <c r="E34" s="88">
        <v>43049</v>
      </c>
      <c r="F34" s="88">
        <v>36892</v>
      </c>
      <c r="G34" s="316">
        <v>36893</v>
      </c>
      <c r="H34" s="317" t="s">
        <v>3128</v>
      </c>
      <c r="I34" s="317"/>
      <c r="J34" s="317" t="s">
        <v>3186</v>
      </c>
      <c r="K34" s="315" t="s">
        <v>3222</v>
      </c>
      <c r="L34" s="315" t="s">
        <v>3223</v>
      </c>
      <c r="M34" s="317"/>
      <c r="N34" s="320" t="s">
        <v>3224</v>
      </c>
      <c r="O34" s="317" t="s">
        <v>51</v>
      </c>
      <c r="P34" s="318">
        <v>450</v>
      </c>
      <c r="Q34" s="318">
        <v>400</v>
      </c>
      <c r="R34" s="39"/>
      <c r="S34" s="39"/>
      <c r="T34" s="39"/>
      <c r="U34" s="317"/>
      <c r="V34" s="317"/>
      <c r="W34" s="317"/>
      <c r="X34" s="317" t="s">
        <v>3192</v>
      </c>
      <c r="Y34" s="319"/>
    </row>
    <row r="35" spans="1:25" s="91" customFormat="1" hidden="1" x14ac:dyDescent="0.25">
      <c r="A35" s="32" t="s">
        <v>3252</v>
      </c>
      <c r="B35" s="315" t="str">
        <f>IF((COUNTBLANK(G35)=0),Stats!$E$7,IF((COUNTBLANK(E35)=0),IF((COUNTBLANK(F35)=0),IF((COUNTBLANK(U35)=0),Stats!$E$6,Stats!$E$5),Stats!$E$4),""))</f>
        <v>Death</v>
      </c>
      <c r="C35" s="39" t="s">
        <v>3115</v>
      </c>
      <c r="D35" s="315"/>
      <c r="E35" s="88">
        <v>43063</v>
      </c>
      <c r="F35" s="88">
        <v>36892</v>
      </c>
      <c r="G35" s="316">
        <v>36893</v>
      </c>
      <c r="H35" s="317" t="s">
        <v>3140</v>
      </c>
      <c r="I35" s="317"/>
      <c r="J35" s="317" t="s">
        <v>152</v>
      </c>
      <c r="K35" s="315" t="s">
        <v>3187</v>
      </c>
      <c r="L35" s="315"/>
      <c r="M35" s="317"/>
      <c r="N35" s="320"/>
      <c r="O35" s="317" t="s">
        <v>51</v>
      </c>
      <c r="P35" s="318" t="s">
        <v>3253</v>
      </c>
      <c r="Q35" s="318" t="s">
        <v>3254</v>
      </c>
      <c r="R35" s="317"/>
      <c r="S35" s="317"/>
      <c r="T35" s="317"/>
      <c r="U35" s="317"/>
      <c r="V35" s="317"/>
      <c r="W35" s="317"/>
      <c r="X35" s="317" t="s">
        <v>3218</v>
      </c>
      <c r="Y35" s="319"/>
    </row>
    <row r="36" spans="1:25" s="91" customFormat="1" hidden="1" x14ac:dyDescent="0.25">
      <c r="A36" s="32" t="s">
        <v>3255</v>
      </c>
      <c r="B36" s="315" t="str">
        <f>IF((COUNTBLANK(G36)=0),Stats!$E$7,IF((COUNTBLANK(E36)=0),IF((COUNTBLANK(F36)=0),IF((COUNTBLANK(U36)=0),Stats!$E$6,Stats!$E$5),Stats!$E$4),""))</f>
        <v>Death</v>
      </c>
      <c r="C36" s="39" t="s">
        <v>3115</v>
      </c>
      <c r="D36" s="315"/>
      <c r="E36" s="88">
        <v>43063</v>
      </c>
      <c r="F36" s="88">
        <v>36892</v>
      </c>
      <c r="G36" s="316">
        <v>36893</v>
      </c>
      <c r="H36" s="317" t="s">
        <v>3140</v>
      </c>
      <c r="I36" s="317"/>
      <c r="J36" s="317" t="s">
        <v>152</v>
      </c>
      <c r="K36" s="315" t="s">
        <v>3187</v>
      </c>
      <c r="L36" s="315"/>
      <c r="M36" s="317"/>
      <c r="N36" s="320"/>
      <c r="O36" s="317" t="s">
        <v>51</v>
      </c>
      <c r="P36" s="318" t="s">
        <v>3253</v>
      </c>
      <c r="Q36" s="318" t="s">
        <v>3254</v>
      </c>
      <c r="R36" s="317"/>
      <c r="S36" s="317"/>
      <c r="T36" s="317"/>
      <c r="U36" s="317"/>
      <c r="V36" s="317"/>
      <c r="W36" s="317"/>
      <c r="X36" s="317" t="s">
        <v>3218</v>
      </c>
      <c r="Y36" s="319"/>
    </row>
    <row r="37" spans="1:25" s="91" customFormat="1" hidden="1" x14ac:dyDescent="0.25">
      <c r="A37" s="32" t="s">
        <v>3256</v>
      </c>
      <c r="B37" s="315" t="str">
        <f>IF((COUNTBLANK(G37)=0),Stats!$E$7,IF((COUNTBLANK(E37)=0),IF((COUNTBLANK(F37)=0),IF((COUNTBLANK(U37)=0),Stats!$E$6,Stats!$E$5),Stats!$E$4),""))</f>
        <v>Death</v>
      </c>
      <c r="C37" s="39" t="s">
        <v>3115</v>
      </c>
      <c r="D37" s="315"/>
      <c r="E37" s="88">
        <v>43063</v>
      </c>
      <c r="F37" s="88">
        <v>36892</v>
      </c>
      <c r="G37" s="316">
        <v>36893</v>
      </c>
      <c r="H37" s="317" t="s">
        <v>3140</v>
      </c>
      <c r="I37" s="317"/>
      <c r="J37" s="317" t="s">
        <v>152</v>
      </c>
      <c r="K37" s="315" t="s">
        <v>3187</v>
      </c>
      <c r="L37" s="315"/>
      <c r="M37" s="317"/>
      <c r="N37" s="320"/>
      <c r="O37" s="317" t="s">
        <v>51</v>
      </c>
      <c r="P37" s="318" t="s">
        <v>3253</v>
      </c>
      <c r="Q37" s="318" t="s">
        <v>3254</v>
      </c>
      <c r="R37" s="317"/>
      <c r="S37" s="317"/>
      <c r="T37" s="317"/>
      <c r="U37" s="317"/>
      <c r="V37" s="317"/>
      <c r="W37" s="317"/>
      <c r="X37" s="317" t="s">
        <v>3218</v>
      </c>
      <c r="Y37" s="319"/>
    </row>
    <row r="38" spans="1:25" s="91" customFormat="1" hidden="1" x14ac:dyDescent="0.25">
      <c r="A38" s="32" t="s">
        <v>3257</v>
      </c>
      <c r="B38" s="315" t="str">
        <f>IF((COUNTBLANK(G38)=0),Stats!$E$7,IF((COUNTBLANK(E38)=0),IF((COUNTBLANK(F38)=0),IF((COUNTBLANK(U38)=0),Stats!$E$6,Stats!$E$5),Stats!$E$4),""))</f>
        <v>Death</v>
      </c>
      <c r="C38" s="39" t="s">
        <v>3115</v>
      </c>
      <c r="D38" s="315"/>
      <c r="E38" s="88">
        <v>43063</v>
      </c>
      <c r="F38" s="88">
        <v>36892</v>
      </c>
      <c r="G38" s="316">
        <v>36893</v>
      </c>
      <c r="H38" s="317" t="s">
        <v>3140</v>
      </c>
      <c r="I38" s="317"/>
      <c r="J38" s="317" t="s">
        <v>152</v>
      </c>
      <c r="K38" s="315" t="s">
        <v>3187</v>
      </c>
      <c r="L38" s="315"/>
      <c r="M38" s="317"/>
      <c r="N38" s="320"/>
      <c r="O38" s="317" t="s">
        <v>51</v>
      </c>
      <c r="P38" s="318" t="s">
        <v>3253</v>
      </c>
      <c r="Q38" s="318" t="s">
        <v>3254</v>
      </c>
      <c r="R38" s="317"/>
      <c r="S38" s="317"/>
      <c r="T38" s="317"/>
      <c r="U38" s="317"/>
      <c r="V38" s="317"/>
      <c r="W38" s="317"/>
      <c r="X38" s="317" t="s">
        <v>3192</v>
      </c>
      <c r="Y38" s="319"/>
    </row>
    <row r="39" spans="1:25" s="91" customFormat="1" hidden="1" x14ac:dyDescent="0.25">
      <c r="A39" s="32" t="s">
        <v>3258</v>
      </c>
      <c r="B39" s="315" t="str">
        <f>IF((COUNTBLANK(G39)=0),Stats!$E$7,IF((COUNTBLANK(E39)=0),IF((COUNTBLANK(F39)=0),IF((COUNTBLANK(U39)=0),Stats!$E$6,Stats!$E$5),Stats!$E$4),""))</f>
        <v>Death</v>
      </c>
      <c r="C39" s="39" t="s">
        <v>3115</v>
      </c>
      <c r="D39" s="315"/>
      <c r="E39" s="88">
        <v>43063</v>
      </c>
      <c r="F39" s="88">
        <v>36892</v>
      </c>
      <c r="G39" s="316">
        <v>36893</v>
      </c>
      <c r="H39" s="317" t="s">
        <v>3140</v>
      </c>
      <c r="I39" s="317"/>
      <c r="J39" s="317" t="s">
        <v>152</v>
      </c>
      <c r="K39" s="315" t="s">
        <v>3187</v>
      </c>
      <c r="L39" s="315"/>
      <c r="M39" s="317"/>
      <c r="N39" s="320"/>
      <c r="O39" s="317" t="s">
        <v>51</v>
      </c>
      <c r="P39" s="318" t="s">
        <v>3253</v>
      </c>
      <c r="Q39" s="318" t="s">
        <v>3254</v>
      </c>
      <c r="R39" s="317"/>
      <c r="S39" s="317"/>
      <c r="T39" s="317"/>
      <c r="U39" s="317"/>
      <c r="V39" s="317"/>
      <c r="W39" s="317"/>
      <c r="X39" s="317" t="s">
        <v>3192</v>
      </c>
      <c r="Y39" s="319"/>
    </row>
    <row r="40" spans="1:25" s="91" customFormat="1" hidden="1" x14ac:dyDescent="0.25">
      <c r="A40" s="32" t="s">
        <v>3259</v>
      </c>
      <c r="B40" s="315" t="str">
        <f>IF((COUNTBLANK(G40)=0),Stats!$E$7,IF((COUNTBLANK(E40)=0),IF((COUNTBLANK(F40)=0),IF((COUNTBLANK(U40)=0),Stats!$E$6,Stats!$E$5),Stats!$E$4),""))</f>
        <v>Death</v>
      </c>
      <c r="C40" s="39" t="s">
        <v>3115</v>
      </c>
      <c r="D40" s="315"/>
      <c r="E40" s="88">
        <v>43074</v>
      </c>
      <c r="F40" s="316">
        <v>43081</v>
      </c>
      <c r="G40" s="316">
        <v>36893</v>
      </c>
      <c r="H40" s="317" t="s">
        <v>3128</v>
      </c>
      <c r="I40" s="317"/>
      <c r="J40" s="317" t="s">
        <v>152</v>
      </c>
      <c r="K40" s="315" t="s">
        <v>3231</v>
      </c>
      <c r="L40" s="315"/>
      <c r="M40" s="317"/>
      <c r="N40" s="320"/>
      <c r="O40" s="317" t="s">
        <v>51</v>
      </c>
      <c r="P40" s="318">
        <v>450</v>
      </c>
      <c r="Q40" s="318">
        <v>300</v>
      </c>
      <c r="R40" s="317"/>
      <c r="S40" s="317"/>
      <c r="T40" s="317"/>
      <c r="U40" s="317"/>
      <c r="V40" s="317"/>
      <c r="W40" s="317"/>
      <c r="X40" s="317" t="s">
        <v>3192</v>
      </c>
      <c r="Y40" s="319"/>
    </row>
    <row r="41" spans="1:25" s="91" customFormat="1" hidden="1" x14ac:dyDescent="0.25">
      <c r="A41" s="32" t="s">
        <v>3260</v>
      </c>
      <c r="B41" s="315" t="str">
        <f>IF((COUNTBLANK(G41)=0),Stats!$E$7,IF((COUNTBLANK(E41)=0),IF((COUNTBLANK(F41)=0),IF((COUNTBLANK(U41)=0),Stats!$E$6,Stats!$E$5),Stats!$E$4),""))</f>
        <v>Death</v>
      </c>
      <c r="C41" s="39" t="s">
        <v>3115</v>
      </c>
      <c r="D41" s="315"/>
      <c r="E41" s="88">
        <v>43074</v>
      </c>
      <c r="F41" s="316">
        <v>43081</v>
      </c>
      <c r="G41" s="316">
        <v>36893</v>
      </c>
      <c r="H41" s="317" t="s">
        <v>3128</v>
      </c>
      <c r="I41" s="317"/>
      <c r="J41" s="317" t="s">
        <v>152</v>
      </c>
      <c r="K41" s="315" t="s">
        <v>3231</v>
      </c>
      <c r="L41" s="315"/>
      <c r="M41" s="317"/>
      <c r="N41" s="320"/>
      <c r="O41" s="317" t="s">
        <v>51</v>
      </c>
      <c r="P41" s="318">
        <v>450</v>
      </c>
      <c r="Q41" s="318">
        <v>300</v>
      </c>
      <c r="R41" s="317" t="s">
        <v>3261</v>
      </c>
      <c r="S41" s="317"/>
      <c r="T41" s="317"/>
      <c r="U41" s="317"/>
      <c r="V41" s="317"/>
      <c r="W41" s="317"/>
      <c r="X41" s="317" t="s">
        <v>3192</v>
      </c>
      <c r="Y41" s="319"/>
    </row>
    <row r="42" spans="1:25" s="91" customFormat="1" hidden="1" x14ac:dyDescent="0.25">
      <c r="A42" s="32" t="s">
        <v>3262</v>
      </c>
      <c r="B42" s="315" t="str">
        <f>IF((COUNTBLANK(G42)=0),Stats!$E$7,IF((COUNTBLANK(E42)=0),IF((COUNTBLANK(F42)=0),IF((COUNTBLANK(U42)=0),Stats!$E$6,Stats!$E$5),Stats!$E$4),""))</f>
        <v>Death</v>
      </c>
      <c r="C42" s="39" t="s">
        <v>3115</v>
      </c>
      <c r="D42" s="315"/>
      <c r="E42" s="88">
        <v>43074</v>
      </c>
      <c r="F42" s="316">
        <v>43081</v>
      </c>
      <c r="G42" s="316">
        <v>36893</v>
      </c>
      <c r="H42" s="317" t="s">
        <v>3128</v>
      </c>
      <c r="I42" s="317"/>
      <c r="J42" s="317" t="s">
        <v>3186</v>
      </c>
      <c r="K42" s="315" t="s">
        <v>3231</v>
      </c>
      <c r="L42" s="315"/>
      <c r="M42" s="317"/>
      <c r="N42" s="320"/>
      <c r="O42" s="317" t="s">
        <v>51</v>
      </c>
      <c r="P42" s="318">
        <v>450</v>
      </c>
      <c r="Q42" s="318">
        <v>300</v>
      </c>
      <c r="R42" s="317"/>
      <c r="S42" s="317"/>
      <c r="T42" s="317"/>
      <c r="U42" s="317"/>
      <c r="V42" s="317"/>
      <c r="W42" s="317"/>
      <c r="X42" s="317" t="s">
        <v>3192</v>
      </c>
      <c r="Y42" s="319"/>
    </row>
    <row r="43" spans="1:25" s="91" customFormat="1" hidden="1" x14ac:dyDescent="0.25">
      <c r="A43" s="32" t="s">
        <v>3263</v>
      </c>
      <c r="B43" s="315" t="str">
        <f>IF((COUNTBLANK(G43)=0),Stats!$E$7,IF((COUNTBLANK(E43)=0),IF((COUNTBLANK(F43)=0),IF((COUNTBLANK(U43)=0),Stats!$E$6,Stats!$E$5),Stats!$E$4),""))</f>
        <v>Death</v>
      </c>
      <c r="C43" s="39" t="s">
        <v>3115</v>
      </c>
      <c r="D43" s="315"/>
      <c r="E43" s="88">
        <v>43074</v>
      </c>
      <c r="F43" s="316">
        <v>36892</v>
      </c>
      <c r="G43" s="316">
        <v>36893</v>
      </c>
      <c r="H43" s="317" t="s">
        <v>3128</v>
      </c>
      <c r="I43" s="317"/>
      <c r="J43" s="317" t="s">
        <v>3186</v>
      </c>
      <c r="K43" s="315" t="s">
        <v>3231</v>
      </c>
      <c r="L43" s="315"/>
      <c r="M43" s="317"/>
      <c r="N43" s="320"/>
      <c r="O43" s="317" t="s">
        <v>51</v>
      </c>
      <c r="P43" s="318">
        <v>450</v>
      </c>
      <c r="Q43" s="318">
        <v>300</v>
      </c>
      <c r="R43" s="317" t="s">
        <v>3264</v>
      </c>
      <c r="S43" s="317"/>
      <c r="T43" s="317"/>
      <c r="U43" s="317"/>
      <c r="V43" s="317"/>
      <c r="W43" s="317"/>
      <c r="X43" s="317" t="s">
        <v>3192</v>
      </c>
      <c r="Y43" s="319"/>
    </row>
    <row r="44" spans="1:25" s="91" customFormat="1" hidden="1" x14ac:dyDescent="0.25">
      <c r="A44" s="32" t="s">
        <v>3265</v>
      </c>
      <c r="B44" s="315" t="str">
        <f>IF((COUNTBLANK(G44)=0),Stats!$E$7,IF((COUNTBLANK(E44)=0),IF((COUNTBLANK(F44)=0),IF((COUNTBLANK(U44)=0),Stats!$E$6,Stats!$E$5),Stats!$E$4),""))</f>
        <v>Death</v>
      </c>
      <c r="C44" s="39" t="s">
        <v>3115</v>
      </c>
      <c r="D44" s="315"/>
      <c r="E44" s="88">
        <v>43074</v>
      </c>
      <c r="F44" s="316">
        <v>36892</v>
      </c>
      <c r="G44" s="316">
        <v>36893</v>
      </c>
      <c r="H44" s="317" t="s">
        <v>3128</v>
      </c>
      <c r="I44" s="317"/>
      <c r="J44" s="317" t="s">
        <v>3186</v>
      </c>
      <c r="K44" s="315"/>
      <c r="L44" s="315"/>
      <c r="M44" s="317"/>
      <c r="N44" s="320"/>
      <c r="O44" s="317"/>
      <c r="P44" s="318"/>
      <c r="Q44" s="318"/>
      <c r="R44" s="317"/>
      <c r="S44" s="317"/>
      <c r="T44" s="317"/>
      <c r="U44" s="317"/>
      <c r="V44" s="317"/>
      <c r="W44" s="317"/>
      <c r="X44" s="317" t="s">
        <v>3192</v>
      </c>
      <c r="Y44" s="319"/>
    </row>
    <row r="45" spans="1:25" s="91" customFormat="1" hidden="1" x14ac:dyDescent="0.25">
      <c r="A45" s="32" t="s">
        <v>3266</v>
      </c>
      <c r="B45" s="315" t="str">
        <f>IF((COUNTBLANK(G45)=0),Stats!$E$7,IF((COUNTBLANK(E45)=0),IF((COUNTBLANK(F45)=0),IF((COUNTBLANK(U45)=0),Stats!$E$6,Stats!$E$5),Stats!$E$4),""))</f>
        <v>Death</v>
      </c>
      <c r="C45" s="39" t="s">
        <v>3115</v>
      </c>
      <c r="D45" s="315"/>
      <c r="E45" s="88">
        <v>43077</v>
      </c>
      <c r="F45" s="316">
        <v>43087</v>
      </c>
      <c r="G45" s="316">
        <v>36893</v>
      </c>
      <c r="H45" s="317" t="s">
        <v>3128</v>
      </c>
      <c r="I45" s="317"/>
      <c r="J45" s="317" t="s">
        <v>3186</v>
      </c>
      <c r="K45" s="315" t="s">
        <v>3199</v>
      </c>
      <c r="L45" s="315"/>
      <c r="M45" s="317"/>
      <c r="N45" s="320"/>
      <c r="O45" s="317" t="s">
        <v>51</v>
      </c>
      <c r="P45" s="318" t="s">
        <v>3267</v>
      </c>
      <c r="Q45" s="318" t="s">
        <v>3268</v>
      </c>
      <c r="R45" s="317" t="s">
        <v>3269</v>
      </c>
      <c r="S45" s="317"/>
      <c r="T45" s="317"/>
      <c r="U45" s="317"/>
      <c r="V45" s="317"/>
      <c r="W45" s="317"/>
      <c r="X45" s="317" t="s">
        <v>3192</v>
      </c>
      <c r="Y45" s="319"/>
    </row>
    <row r="46" spans="1:25" s="91" customFormat="1" hidden="1" x14ac:dyDescent="0.25">
      <c r="A46" s="32" t="s">
        <v>3270</v>
      </c>
      <c r="B46" s="315" t="str">
        <f>IF((COUNTBLANK(G46)=0),Stats!$E$7,IF((COUNTBLANK(E46)=0),IF((COUNTBLANK(F46)=0),IF((COUNTBLANK(U46)=0),Stats!$E$6,Stats!$E$5),Stats!$E$4),""))</f>
        <v>Death</v>
      </c>
      <c r="C46" s="39" t="s">
        <v>3115</v>
      </c>
      <c r="D46" s="315"/>
      <c r="E46" s="88">
        <v>43077</v>
      </c>
      <c r="F46" s="316">
        <v>43087</v>
      </c>
      <c r="G46" s="316">
        <v>36893</v>
      </c>
      <c r="H46" s="317" t="s">
        <v>3128</v>
      </c>
      <c r="I46" s="317"/>
      <c r="J46" s="317" t="s">
        <v>3186</v>
      </c>
      <c r="K46" s="315" t="s">
        <v>3199</v>
      </c>
      <c r="L46" s="315"/>
      <c r="M46" s="317"/>
      <c r="N46" s="320"/>
      <c r="O46" s="317" t="s">
        <v>51</v>
      </c>
      <c r="P46" s="318" t="s">
        <v>3267</v>
      </c>
      <c r="Q46" s="318" t="s">
        <v>3268</v>
      </c>
      <c r="R46" s="317" t="s">
        <v>3269</v>
      </c>
      <c r="S46" s="317"/>
      <c r="T46" s="317"/>
      <c r="U46" s="317"/>
      <c r="V46" s="317"/>
      <c r="W46" s="317"/>
      <c r="X46" s="317" t="s">
        <v>3206</v>
      </c>
      <c r="Y46" s="319"/>
    </row>
    <row r="47" spans="1:25" s="91" customFormat="1" hidden="1" x14ac:dyDescent="0.25">
      <c r="A47" s="32" t="s">
        <v>3271</v>
      </c>
      <c r="B47" s="315" t="str">
        <f>IF((COUNTBLANK(G47)=0),Stats!$E$7,IF((COUNTBLANK(E47)=0),IF((COUNTBLANK(F47)=0),IF((COUNTBLANK(U47)=0),Stats!$E$6,Stats!$E$5),Stats!$E$4),""))</f>
        <v>Death</v>
      </c>
      <c r="C47" s="39" t="s">
        <v>3115</v>
      </c>
      <c r="D47" s="315"/>
      <c r="E47" s="88">
        <v>43077</v>
      </c>
      <c r="F47" s="316">
        <v>36892</v>
      </c>
      <c r="G47" s="316">
        <v>36893</v>
      </c>
      <c r="H47" s="317" t="s">
        <v>3128</v>
      </c>
      <c r="I47" s="317"/>
      <c r="J47" s="317" t="s">
        <v>3186</v>
      </c>
      <c r="K47" s="315" t="s">
        <v>3216</v>
      </c>
      <c r="L47" s="315" t="s">
        <v>3272</v>
      </c>
      <c r="M47" s="317"/>
      <c r="N47" s="320" t="s">
        <v>3273</v>
      </c>
      <c r="O47" s="317" t="s">
        <v>51</v>
      </c>
      <c r="P47" s="318" t="s">
        <v>3274</v>
      </c>
      <c r="Q47" s="318" t="s">
        <v>3275</v>
      </c>
      <c r="R47" s="317"/>
      <c r="S47" s="317"/>
      <c r="T47" s="317"/>
      <c r="U47" s="317"/>
      <c r="V47" s="317"/>
      <c r="W47" s="317"/>
      <c r="X47" s="317"/>
      <c r="Y47" s="319"/>
    </row>
    <row r="48" spans="1:25" s="91" customFormat="1" hidden="1" x14ac:dyDescent="0.25">
      <c r="A48" s="32" t="s">
        <v>3271</v>
      </c>
      <c r="B48" s="315" t="str">
        <f>IF((COUNTBLANK(G48)=0),Stats!$E$7,IF((COUNTBLANK(E48)=0),IF((COUNTBLANK(F48)=0),IF((COUNTBLANK(U48)=0),Stats!$E$6,Stats!$E$5),Stats!$E$4),""))</f>
        <v>Death</v>
      </c>
      <c r="C48" s="39" t="s">
        <v>3115</v>
      </c>
      <c r="D48" s="315"/>
      <c r="E48" s="88">
        <v>43077</v>
      </c>
      <c r="F48" s="316">
        <v>43087</v>
      </c>
      <c r="G48" s="316">
        <v>36893</v>
      </c>
      <c r="H48" s="317" t="s">
        <v>3128</v>
      </c>
      <c r="I48" s="317"/>
      <c r="J48" s="317" t="s">
        <v>3186</v>
      </c>
      <c r="K48" s="315" t="s">
        <v>3216</v>
      </c>
      <c r="L48" s="315" t="s">
        <v>3272</v>
      </c>
      <c r="M48" s="317"/>
      <c r="N48" s="320" t="s">
        <v>3273</v>
      </c>
      <c r="O48" s="317" t="s">
        <v>51</v>
      </c>
      <c r="P48" s="318" t="s">
        <v>3274</v>
      </c>
      <c r="Q48" s="318" t="s">
        <v>3275</v>
      </c>
      <c r="R48" s="317"/>
      <c r="S48" s="317"/>
      <c r="T48" s="317"/>
      <c r="U48" s="317"/>
      <c r="V48" s="317"/>
      <c r="W48" s="317"/>
      <c r="X48" s="317"/>
      <c r="Y48" s="319"/>
    </row>
    <row r="49" spans="1:25" s="91" customFormat="1" hidden="1" x14ac:dyDescent="0.25">
      <c r="A49" s="32" t="s">
        <v>3276</v>
      </c>
      <c r="B49" s="315" t="str">
        <f>IF((COUNTBLANK(G49)=0),Stats!$E$7,IF((COUNTBLANK(E49)=0),IF((COUNTBLANK(F49)=0),IF((COUNTBLANK(U49)=0),Stats!$E$6,Stats!$E$5),Stats!$E$4),""))</f>
        <v>Death</v>
      </c>
      <c r="C49" s="39" t="s">
        <v>3115</v>
      </c>
      <c r="D49" s="315"/>
      <c r="E49" s="88">
        <v>43077</v>
      </c>
      <c r="F49" s="316">
        <v>43088</v>
      </c>
      <c r="G49" s="316">
        <v>36893</v>
      </c>
      <c r="H49" s="317" t="s">
        <v>3140</v>
      </c>
      <c r="I49" s="317"/>
      <c r="J49" s="317" t="s">
        <v>3186</v>
      </c>
      <c r="K49" s="315" t="s">
        <v>3231</v>
      </c>
      <c r="L49" s="315"/>
      <c r="M49" s="317"/>
      <c r="N49" s="320"/>
      <c r="O49" s="317" t="s">
        <v>51</v>
      </c>
      <c r="P49" s="318" t="s">
        <v>3277</v>
      </c>
      <c r="Q49" s="318">
        <v>250</v>
      </c>
      <c r="R49" s="317" t="s">
        <v>3278</v>
      </c>
      <c r="S49" s="317"/>
      <c r="T49" s="317"/>
      <c r="U49" s="317"/>
      <c r="V49" s="317"/>
      <c r="W49" s="317"/>
      <c r="X49" s="317" t="s">
        <v>3206</v>
      </c>
      <c r="Y49" s="319"/>
    </row>
    <row r="50" spans="1:25" s="91" customFormat="1" hidden="1" x14ac:dyDescent="0.25">
      <c r="A50" s="32" t="s">
        <v>3279</v>
      </c>
      <c r="B50" s="315" t="str">
        <f>IF((COUNTBLANK(G50)=0),Stats!$E$7,IF((COUNTBLANK(E50)=0),IF((COUNTBLANK(F50)=0),IF((COUNTBLANK(U50)=0),Stats!$E$6,Stats!$E$5),Stats!$E$4),""))</f>
        <v>Death</v>
      </c>
      <c r="C50" s="39" t="s">
        <v>3115</v>
      </c>
      <c r="D50" s="315"/>
      <c r="E50" s="88">
        <v>43077</v>
      </c>
      <c r="F50" s="316">
        <v>43088</v>
      </c>
      <c r="G50" s="316">
        <v>36893</v>
      </c>
      <c r="H50" s="317" t="s">
        <v>3140</v>
      </c>
      <c r="I50" s="317"/>
      <c r="J50" s="317" t="s">
        <v>3186</v>
      </c>
      <c r="K50" s="315" t="s">
        <v>3231</v>
      </c>
      <c r="L50" s="315"/>
      <c r="M50" s="317"/>
      <c r="N50" s="320"/>
      <c r="O50" s="317" t="s">
        <v>51</v>
      </c>
      <c r="P50" s="318" t="s">
        <v>3277</v>
      </c>
      <c r="Q50" s="318">
        <v>250</v>
      </c>
      <c r="R50" s="317" t="s">
        <v>3278</v>
      </c>
      <c r="S50" s="317"/>
      <c r="T50" s="317"/>
      <c r="U50" s="317"/>
      <c r="V50" s="317"/>
      <c r="W50" s="317"/>
      <c r="X50" s="317" t="s">
        <v>3206</v>
      </c>
      <c r="Y50" s="319"/>
    </row>
    <row r="51" spans="1:25" s="91" customFormat="1" hidden="1" x14ac:dyDescent="0.25">
      <c r="A51" s="32" t="s">
        <v>3280</v>
      </c>
      <c r="B51" s="315" t="str">
        <f>IF((COUNTBLANK(G51)=0),Stats!$E$7,IF((COUNTBLANK(E51)=0),IF((COUNTBLANK(F51)=0),IF((COUNTBLANK(U51)=0),Stats!$E$6,Stats!$E$5),Stats!$E$4),""))</f>
        <v>Death</v>
      </c>
      <c r="C51" s="39" t="s">
        <v>3115</v>
      </c>
      <c r="D51" s="315"/>
      <c r="E51" s="88">
        <v>43077</v>
      </c>
      <c r="F51" s="316">
        <v>43088</v>
      </c>
      <c r="G51" s="316">
        <v>36893</v>
      </c>
      <c r="H51" s="317" t="s">
        <v>3140</v>
      </c>
      <c r="I51" s="317"/>
      <c r="J51" s="317" t="s">
        <v>3186</v>
      </c>
      <c r="K51" s="315" t="s">
        <v>3231</v>
      </c>
      <c r="L51" s="315"/>
      <c r="M51" s="317"/>
      <c r="N51" s="320"/>
      <c r="O51" s="317" t="s">
        <v>51</v>
      </c>
      <c r="P51" s="318" t="s">
        <v>3277</v>
      </c>
      <c r="Q51" s="318">
        <v>250</v>
      </c>
      <c r="R51" s="317" t="s">
        <v>3278</v>
      </c>
      <c r="S51" s="317"/>
      <c r="T51" s="317"/>
      <c r="U51" s="317"/>
      <c r="V51" s="317"/>
      <c r="W51" s="317"/>
      <c r="X51" s="317" t="s">
        <v>3206</v>
      </c>
      <c r="Y51" s="319"/>
    </row>
    <row r="52" spans="1:25" s="91" customFormat="1" hidden="1" x14ac:dyDescent="0.25">
      <c r="A52" s="32" t="s">
        <v>3281</v>
      </c>
      <c r="B52" s="315" t="str">
        <f>IF((COUNTBLANK(G52)=0),Stats!$E$7,IF((COUNTBLANK(E52)=0),IF((COUNTBLANK(F52)=0),IF((COUNTBLANK(U52)=0),Stats!$E$6,Stats!$E$5),Stats!$E$4),""))</f>
        <v>Death</v>
      </c>
      <c r="C52" s="39" t="s">
        <v>3115</v>
      </c>
      <c r="D52" s="315"/>
      <c r="E52" s="88">
        <v>43078</v>
      </c>
      <c r="F52" s="316">
        <v>43097</v>
      </c>
      <c r="G52" s="316">
        <v>36893</v>
      </c>
      <c r="H52" s="317" t="s">
        <v>3140</v>
      </c>
      <c r="I52" s="317"/>
      <c r="J52" s="317" t="s">
        <v>152</v>
      </c>
      <c r="K52" s="315" t="s">
        <v>3231</v>
      </c>
      <c r="L52" s="315"/>
      <c r="M52" s="317"/>
      <c r="N52" s="320"/>
      <c r="O52" s="317" t="s">
        <v>51</v>
      </c>
      <c r="P52" s="318" t="s">
        <v>3277</v>
      </c>
      <c r="Q52" s="318">
        <v>250</v>
      </c>
      <c r="R52" s="317" t="s">
        <v>3278</v>
      </c>
      <c r="S52" s="317"/>
      <c r="T52" s="317"/>
      <c r="U52" s="317"/>
      <c r="V52" s="317"/>
      <c r="W52" s="317"/>
      <c r="X52" s="317" t="s">
        <v>3206</v>
      </c>
      <c r="Y52" s="319"/>
    </row>
    <row r="53" spans="1:25" s="91" customFormat="1" hidden="1" x14ac:dyDescent="0.25">
      <c r="A53" s="32" t="s">
        <v>3282</v>
      </c>
      <c r="B53" s="315" t="str">
        <f>IF((COUNTBLANK(G53)=0),Stats!$E$7,IF((COUNTBLANK(E53)=0),IF((COUNTBLANK(F53)=0),IF((COUNTBLANK(U53)=0),Stats!$E$6,Stats!$E$5),Stats!$E$4),""))</f>
        <v>Death</v>
      </c>
      <c r="C53" s="39" t="s">
        <v>3115</v>
      </c>
      <c r="D53" s="315"/>
      <c r="E53" s="88">
        <v>43078</v>
      </c>
      <c r="F53" s="316">
        <v>43097</v>
      </c>
      <c r="G53" s="316">
        <v>36893</v>
      </c>
      <c r="H53" s="317" t="s">
        <v>3140</v>
      </c>
      <c r="I53" s="317"/>
      <c r="J53" s="317" t="s">
        <v>152</v>
      </c>
      <c r="K53" s="315" t="s">
        <v>3231</v>
      </c>
      <c r="L53" s="315"/>
      <c r="M53" s="317"/>
      <c r="N53" s="320"/>
      <c r="O53" s="317" t="s">
        <v>51</v>
      </c>
      <c r="P53" s="318" t="s">
        <v>3277</v>
      </c>
      <c r="Q53" s="318">
        <v>250</v>
      </c>
      <c r="R53" s="317" t="s">
        <v>3278</v>
      </c>
      <c r="S53" s="317"/>
      <c r="T53" s="317"/>
      <c r="U53" s="317"/>
      <c r="V53" s="317"/>
      <c r="W53" s="317"/>
      <c r="X53" s="317" t="s">
        <v>3206</v>
      </c>
      <c r="Y53" s="319"/>
    </row>
    <row r="54" spans="1:25" s="91" customFormat="1" hidden="1" x14ac:dyDescent="0.25">
      <c r="A54" s="32" t="s">
        <v>3283</v>
      </c>
      <c r="B54" s="315" t="str">
        <f>IF((COUNTBLANK(G54)=0),Stats!$E$7,IF((COUNTBLANK(E54)=0),IF((COUNTBLANK(F54)=0),IF((COUNTBLANK(U54)=0),Stats!$E$6,Stats!$E$5),Stats!$E$4),""))</f>
        <v>Death</v>
      </c>
      <c r="C54" s="39" t="s">
        <v>3115</v>
      </c>
      <c r="D54" s="315"/>
      <c r="E54" s="88">
        <v>43091</v>
      </c>
      <c r="F54" s="316">
        <v>43103</v>
      </c>
      <c r="G54" s="316">
        <v>36893</v>
      </c>
      <c r="H54" s="317" t="s">
        <v>3128</v>
      </c>
      <c r="I54" s="317"/>
      <c r="J54" s="317" t="s">
        <v>3186</v>
      </c>
      <c r="K54" s="315" t="s">
        <v>3199</v>
      </c>
      <c r="L54" s="315"/>
      <c r="M54" s="317"/>
      <c r="N54" s="320"/>
      <c r="O54" s="317" t="s">
        <v>51</v>
      </c>
      <c r="P54" s="318" t="s">
        <v>3284</v>
      </c>
      <c r="Q54" s="318" t="s">
        <v>3285</v>
      </c>
      <c r="R54" s="317" t="s">
        <v>3286</v>
      </c>
      <c r="S54" s="317"/>
      <c r="T54" s="317" t="s">
        <v>3287</v>
      </c>
      <c r="U54" s="317"/>
      <c r="V54" s="317"/>
      <c r="W54" s="317"/>
      <c r="X54" s="317" t="s">
        <v>3288</v>
      </c>
      <c r="Y54" s="319"/>
    </row>
    <row r="55" spans="1:25" s="91" customFormat="1" hidden="1" x14ac:dyDescent="0.25">
      <c r="A55" s="32" t="s">
        <v>3289</v>
      </c>
      <c r="B55" s="315" t="str">
        <f>IF((COUNTBLANK(G55)=0),Stats!$E$7,IF((COUNTBLANK(E55)=0),IF((COUNTBLANK(F55)=0),IF((COUNTBLANK(U55)=0),Stats!$E$6,Stats!$E$5),Stats!$E$4),""))</f>
        <v>Death</v>
      </c>
      <c r="C55" s="39" t="s">
        <v>3115</v>
      </c>
      <c r="D55" s="315"/>
      <c r="E55" s="88">
        <v>43091</v>
      </c>
      <c r="F55" s="316">
        <v>43103</v>
      </c>
      <c r="G55" s="316">
        <v>36893</v>
      </c>
      <c r="H55" s="317" t="s">
        <v>3128</v>
      </c>
      <c r="I55" s="317"/>
      <c r="J55" s="317" t="s">
        <v>3186</v>
      </c>
      <c r="K55" s="315" t="s">
        <v>3199</v>
      </c>
      <c r="L55" s="315"/>
      <c r="M55" s="317"/>
      <c r="N55" s="320"/>
      <c r="O55" s="317" t="s">
        <v>51</v>
      </c>
      <c r="P55" s="318" t="s">
        <v>3284</v>
      </c>
      <c r="Q55" s="318" t="s">
        <v>3285</v>
      </c>
      <c r="R55" s="317" t="s">
        <v>3286</v>
      </c>
      <c r="S55" s="317"/>
      <c r="T55" s="317" t="s">
        <v>3290</v>
      </c>
      <c r="U55" s="317"/>
      <c r="V55" s="317"/>
      <c r="W55" s="317"/>
      <c r="X55" s="317"/>
      <c r="Y55" s="319"/>
    </row>
    <row r="56" spans="1:25" s="91" customFormat="1" hidden="1" x14ac:dyDescent="0.25">
      <c r="A56" s="32" t="s">
        <v>3291</v>
      </c>
      <c r="B56" s="315" t="str">
        <f>IF((COUNTBLANK(G56)=0),Stats!$E$7,IF((COUNTBLANK(E56)=0),IF((COUNTBLANK(F56)=0),IF((COUNTBLANK(U56)=0),Stats!$E$6,Stats!$E$5),Stats!$E$4),""))</f>
        <v>Death</v>
      </c>
      <c r="C56" s="39" t="s">
        <v>3115</v>
      </c>
      <c r="D56" s="315"/>
      <c r="E56" s="88">
        <v>43091</v>
      </c>
      <c r="F56" s="316">
        <v>43103</v>
      </c>
      <c r="G56" s="316">
        <v>36893</v>
      </c>
      <c r="H56" s="317" t="s">
        <v>3128</v>
      </c>
      <c r="I56" s="317"/>
      <c r="J56" s="317" t="s">
        <v>3186</v>
      </c>
      <c r="K56" s="315" t="s">
        <v>3199</v>
      </c>
      <c r="L56" s="315"/>
      <c r="M56" s="317"/>
      <c r="N56" s="320"/>
      <c r="O56" s="317" t="s">
        <v>51</v>
      </c>
      <c r="P56" s="321">
        <v>1000900800700600</v>
      </c>
      <c r="Q56" s="318" t="s">
        <v>3292</v>
      </c>
      <c r="R56" s="317"/>
      <c r="S56" s="317"/>
      <c r="T56" s="317"/>
      <c r="U56" s="317"/>
      <c r="V56" s="317"/>
      <c r="W56" s="317"/>
      <c r="X56" s="317"/>
      <c r="Y56" s="319"/>
    </row>
    <row r="57" spans="1:25" s="91" customFormat="1" hidden="1" x14ac:dyDescent="0.25">
      <c r="A57" s="32" t="s">
        <v>3293</v>
      </c>
      <c r="B57" s="315" t="str">
        <f>IF((COUNTBLANK(G57)=0),Stats!$E$7,IF((COUNTBLANK(E57)=0),IF((COUNTBLANK(F57)=0),IF((COUNTBLANK(U57)=0),Stats!$E$6,Stats!$E$5),Stats!$E$4),""))</f>
        <v>Death</v>
      </c>
      <c r="C57" s="39" t="s">
        <v>3115</v>
      </c>
      <c r="D57" s="315"/>
      <c r="E57" s="88">
        <v>43094</v>
      </c>
      <c r="F57" s="316">
        <v>43116</v>
      </c>
      <c r="G57" s="316">
        <v>36893</v>
      </c>
      <c r="H57" s="317" t="s">
        <v>3140</v>
      </c>
      <c r="I57" s="317"/>
      <c r="J57" s="317" t="s">
        <v>3186</v>
      </c>
      <c r="K57" s="315" t="s">
        <v>3187</v>
      </c>
      <c r="L57" s="315"/>
      <c r="M57" s="317"/>
      <c r="N57" s="320"/>
      <c r="O57" s="317" t="s">
        <v>51</v>
      </c>
      <c r="P57" s="318" t="s">
        <v>3277</v>
      </c>
      <c r="Q57" s="318" t="s">
        <v>3294</v>
      </c>
      <c r="R57" s="317" t="s">
        <v>3295</v>
      </c>
      <c r="S57" s="317"/>
      <c r="T57" s="317"/>
      <c r="U57" s="317"/>
      <c r="V57" s="317"/>
      <c r="W57" s="317"/>
      <c r="X57" s="317" t="s">
        <v>3206</v>
      </c>
      <c r="Y57" s="319"/>
    </row>
    <row r="58" spans="1:25" s="91" customFormat="1" hidden="1" x14ac:dyDescent="0.25">
      <c r="A58" s="32" t="s">
        <v>3296</v>
      </c>
      <c r="B58" s="315" t="str">
        <f>IF((COUNTBLANK(G58)=0),Stats!$E$7,IF((COUNTBLANK(E58)=0),IF((COUNTBLANK(F58)=0),IF((COUNTBLANK(U58)=0),Stats!$E$6,Stats!$E$5),Stats!$E$4),""))</f>
        <v>Death</v>
      </c>
      <c r="C58" s="39" t="s">
        <v>3115</v>
      </c>
      <c r="D58" s="315"/>
      <c r="E58" s="88">
        <v>43094</v>
      </c>
      <c r="F58" s="316">
        <v>36892</v>
      </c>
      <c r="G58" s="316">
        <v>36893</v>
      </c>
      <c r="H58" s="317" t="s">
        <v>3140</v>
      </c>
      <c r="I58" s="317"/>
      <c r="J58" s="317" t="s">
        <v>3186</v>
      </c>
      <c r="K58" s="315" t="s">
        <v>3187</v>
      </c>
      <c r="L58" s="315"/>
      <c r="M58" s="317"/>
      <c r="N58" s="320"/>
      <c r="O58" s="317" t="s">
        <v>51</v>
      </c>
      <c r="P58" s="318" t="s">
        <v>3277</v>
      </c>
      <c r="Q58" s="318" t="s">
        <v>3294</v>
      </c>
      <c r="R58" s="317"/>
      <c r="S58" s="317"/>
      <c r="T58" s="317"/>
      <c r="U58" s="317"/>
      <c r="V58" s="317"/>
      <c r="W58" s="317"/>
      <c r="X58" s="317" t="s">
        <v>3192</v>
      </c>
      <c r="Y58" s="319"/>
    </row>
    <row r="59" spans="1:25" s="91" customFormat="1" hidden="1" x14ac:dyDescent="0.25">
      <c r="A59" s="32" t="s">
        <v>3297</v>
      </c>
      <c r="B59" s="315" t="str">
        <f>IF((COUNTBLANK(G59)=0),Stats!$E$7,IF((COUNTBLANK(E59)=0),IF((COUNTBLANK(F59)=0),IF((COUNTBLANK(U59)=0),Stats!$E$6,Stats!$E$5),Stats!$E$4),""))</f>
        <v>Death</v>
      </c>
      <c r="C59" s="39" t="s">
        <v>3115</v>
      </c>
      <c r="D59" s="315"/>
      <c r="E59" s="88">
        <v>43094</v>
      </c>
      <c r="F59" s="316">
        <v>43116</v>
      </c>
      <c r="G59" s="316">
        <v>36893</v>
      </c>
      <c r="H59" s="317" t="s">
        <v>3140</v>
      </c>
      <c r="I59" s="317"/>
      <c r="J59" s="317" t="s">
        <v>152</v>
      </c>
      <c r="K59" s="315" t="s">
        <v>3187</v>
      </c>
      <c r="L59" s="315"/>
      <c r="M59" s="317"/>
      <c r="N59" s="320"/>
      <c r="O59" s="317" t="s">
        <v>51</v>
      </c>
      <c r="P59" s="318" t="s">
        <v>3277</v>
      </c>
      <c r="Q59" s="318" t="s">
        <v>3298</v>
      </c>
      <c r="R59" s="317"/>
      <c r="S59" s="317"/>
      <c r="T59" s="317"/>
      <c r="U59" s="317"/>
      <c r="V59" s="317"/>
      <c r="W59" s="317"/>
      <c r="X59" s="317" t="s">
        <v>3206</v>
      </c>
      <c r="Y59" s="319"/>
    </row>
    <row r="60" spans="1:25" s="91" customFormat="1" hidden="1" x14ac:dyDescent="0.25">
      <c r="A60" s="32" t="s">
        <v>3299</v>
      </c>
      <c r="B60" s="315" t="str">
        <f>IF((COUNTBLANK(G60)=0),Stats!$E$7,IF((COUNTBLANK(E60)=0),IF((COUNTBLANK(F60)=0),IF((COUNTBLANK(U60)=0),Stats!$E$6,Stats!$E$5),Stats!$E$4),""))</f>
        <v>Death</v>
      </c>
      <c r="C60" s="39" t="s">
        <v>3115</v>
      </c>
      <c r="D60" s="315"/>
      <c r="E60" s="88">
        <v>43094</v>
      </c>
      <c r="F60" s="316">
        <v>43116</v>
      </c>
      <c r="G60" s="316">
        <v>36893</v>
      </c>
      <c r="H60" s="317" t="s">
        <v>3140</v>
      </c>
      <c r="I60" s="317"/>
      <c r="J60" s="317" t="s">
        <v>152</v>
      </c>
      <c r="K60" s="315" t="s">
        <v>3187</v>
      </c>
      <c r="L60" s="315"/>
      <c r="M60" s="317"/>
      <c r="N60" s="320"/>
      <c r="O60" s="317" t="s">
        <v>51</v>
      </c>
      <c r="P60" s="318" t="s">
        <v>3277</v>
      </c>
      <c r="Q60" s="318" t="s">
        <v>3298</v>
      </c>
      <c r="R60" s="317"/>
      <c r="S60" s="317"/>
      <c r="T60" s="317"/>
      <c r="U60" s="317"/>
      <c r="V60" s="317"/>
      <c r="W60" s="317"/>
      <c r="X60" s="317"/>
      <c r="Y60" s="319"/>
    </row>
    <row r="61" spans="1:25" s="91" customFormat="1" hidden="1" x14ac:dyDescent="0.25">
      <c r="A61" s="32" t="s">
        <v>3300</v>
      </c>
      <c r="B61" s="315" t="str">
        <f>IF((COUNTBLANK(G61)=0),Stats!$E$7,IF((COUNTBLANK(E61)=0),IF((COUNTBLANK(F61)=0),IF((COUNTBLANK(U61)=0),Stats!$E$6,Stats!$E$5),Stats!$E$4),""))</f>
        <v>Death</v>
      </c>
      <c r="C61" s="39" t="s">
        <v>3115</v>
      </c>
      <c r="D61" s="315"/>
      <c r="E61" s="88">
        <v>43094</v>
      </c>
      <c r="F61" s="316">
        <v>43116</v>
      </c>
      <c r="G61" s="316">
        <v>36893</v>
      </c>
      <c r="H61" s="317" t="s">
        <v>3140</v>
      </c>
      <c r="I61" s="317"/>
      <c r="J61" s="317" t="s">
        <v>152</v>
      </c>
      <c r="K61" s="315" t="s">
        <v>3187</v>
      </c>
      <c r="L61" s="315"/>
      <c r="M61" s="317"/>
      <c r="N61" s="320"/>
      <c r="O61" s="317" t="s">
        <v>51</v>
      </c>
      <c r="P61" s="318" t="s">
        <v>3277</v>
      </c>
      <c r="Q61" s="318" t="s">
        <v>3298</v>
      </c>
      <c r="R61" s="317" t="s">
        <v>3301</v>
      </c>
      <c r="S61" s="317"/>
      <c r="T61" s="317"/>
      <c r="U61" s="317"/>
      <c r="V61" s="317"/>
      <c r="W61" s="317"/>
      <c r="X61" s="317" t="s">
        <v>3206</v>
      </c>
      <c r="Y61" s="319"/>
    </row>
    <row r="62" spans="1:25" s="91" customFormat="1" hidden="1" x14ac:dyDescent="0.25">
      <c r="A62" s="32" t="s">
        <v>3302</v>
      </c>
      <c r="B62" s="315" t="str">
        <f>IF((COUNTBLANK(G62)=0),Stats!$E$7,IF((COUNTBLANK(E62)=0),IF((COUNTBLANK(F62)=0),IF((COUNTBLANK(U62)=0),Stats!$E$6,Stats!$E$5),Stats!$E$4),""))</f>
        <v>Death</v>
      </c>
      <c r="C62" s="39" t="s">
        <v>3115</v>
      </c>
      <c r="D62" s="315"/>
      <c r="E62" s="88">
        <v>43094</v>
      </c>
      <c r="F62" s="316">
        <v>43116</v>
      </c>
      <c r="G62" s="316">
        <v>36893</v>
      </c>
      <c r="H62" s="317" t="s">
        <v>3140</v>
      </c>
      <c r="I62" s="317"/>
      <c r="J62" s="317" t="s">
        <v>152</v>
      </c>
      <c r="K62" s="315" t="s">
        <v>3187</v>
      </c>
      <c r="L62" s="315"/>
      <c r="M62" s="317"/>
      <c r="N62" s="320"/>
      <c r="O62" s="317" t="s">
        <v>51</v>
      </c>
      <c r="P62" s="318" t="s">
        <v>3277</v>
      </c>
      <c r="Q62" s="318" t="s">
        <v>3298</v>
      </c>
      <c r="R62" s="317"/>
      <c r="S62" s="317"/>
      <c r="T62" s="317"/>
      <c r="U62" s="317"/>
      <c r="V62" s="317"/>
      <c r="W62" s="317"/>
      <c r="X62" s="317" t="s">
        <v>3206</v>
      </c>
      <c r="Y62" s="319"/>
    </row>
    <row r="63" spans="1:25" s="91" customFormat="1" hidden="1" x14ac:dyDescent="0.25">
      <c r="A63" s="32" t="s">
        <v>3303</v>
      </c>
      <c r="B63" s="315" t="str">
        <f>IF((COUNTBLANK(G63)=0),Stats!$E$7,IF((COUNTBLANK(E63)=0),IF((COUNTBLANK(F63)=0),IF((COUNTBLANK(U63)=0),Stats!$E$6,Stats!$E$5),Stats!$E$4),""))</f>
        <v>Death</v>
      </c>
      <c r="C63" s="39" t="s">
        <v>3115</v>
      </c>
      <c r="D63" s="315"/>
      <c r="E63" s="88">
        <v>43098</v>
      </c>
      <c r="F63" s="316">
        <v>43108</v>
      </c>
      <c r="G63" s="316">
        <v>36893</v>
      </c>
      <c r="H63" s="317" t="s">
        <v>3128</v>
      </c>
      <c r="I63" s="317"/>
      <c r="J63" s="317" t="s">
        <v>152</v>
      </c>
      <c r="K63" s="315" t="s">
        <v>3187</v>
      </c>
      <c r="L63" s="315" t="s">
        <v>3208</v>
      </c>
      <c r="M63" s="317"/>
      <c r="N63" s="320" t="s">
        <v>3273</v>
      </c>
      <c r="O63" s="317" t="s">
        <v>51</v>
      </c>
      <c r="P63" s="317" t="s">
        <v>3304</v>
      </c>
      <c r="Q63" s="318" t="s">
        <v>3305</v>
      </c>
      <c r="R63" s="317" t="s">
        <v>3306</v>
      </c>
      <c r="S63" s="317"/>
      <c r="T63" s="317"/>
      <c r="U63" s="317"/>
      <c r="V63" s="317"/>
      <c r="W63" s="317"/>
      <c r="X63" s="317" t="s">
        <v>3206</v>
      </c>
      <c r="Y63" s="319"/>
    </row>
    <row r="64" spans="1:25" s="91" customFormat="1" hidden="1" x14ac:dyDescent="0.25">
      <c r="A64" s="32" t="s">
        <v>3307</v>
      </c>
      <c r="B64" s="315" t="str">
        <f>IF((COUNTBLANK(G64)=0),Stats!$E$7,IF((COUNTBLANK(E64)=0),IF((COUNTBLANK(F64)=0),IF((COUNTBLANK(U64)=0),Stats!$E$6,Stats!$E$5),Stats!$E$4),""))</f>
        <v>Death</v>
      </c>
      <c r="C64" s="39" t="s">
        <v>3115</v>
      </c>
      <c r="D64" s="315"/>
      <c r="E64" s="88">
        <v>43098</v>
      </c>
      <c r="F64" s="316">
        <v>43108</v>
      </c>
      <c r="G64" s="316">
        <v>36893</v>
      </c>
      <c r="H64" s="317" t="s">
        <v>3128</v>
      </c>
      <c r="I64" s="317"/>
      <c r="J64" s="317" t="s">
        <v>152</v>
      </c>
      <c r="K64" s="315" t="s">
        <v>3187</v>
      </c>
      <c r="L64" s="315" t="s">
        <v>3208</v>
      </c>
      <c r="M64" s="317"/>
      <c r="N64" s="320" t="s">
        <v>3273</v>
      </c>
      <c r="O64" s="317" t="s">
        <v>51</v>
      </c>
      <c r="P64" s="317" t="s">
        <v>3304</v>
      </c>
      <c r="Q64" s="318" t="s">
        <v>3305</v>
      </c>
      <c r="R64" s="317" t="s">
        <v>3306</v>
      </c>
      <c r="S64" s="317"/>
      <c r="T64" s="317"/>
      <c r="U64" s="317"/>
      <c r="V64" s="317"/>
      <c r="W64" s="317"/>
      <c r="X64" s="317" t="s">
        <v>3206</v>
      </c>
      <c r="Y64" s="319"/>
    </row>
    <row r="65" spans="1:25" s="91" customFormat="1" hidden="1" x14ac:dyDescent="0.25">
      <c r="A65" s="32" t="s">
        <v>3308</v>
      </c>
      <c r="B65" s="315" t="str">
        <f>IF((COUNTBLANK(G65)=0),Stats!$E$7,IF((COUNTBLANK(E65)=0),IF((COUNTBLANK(F65)=0),IF((COUNTBLANK(U65)=0),Stats!$E$6,Stats!$E$5),Stats!$E$4),""))</f>
        <v>Death</v>
      </c>
      <c r="C65" s="39" t="s">
        <v>3115</v>
      </c>
      <c r="D65" s="315"/>
      <c r="E65" s="88">
        <v>43098</v>
      </c>
      <c r="F65" s="316">
        <v>43108</v>
      </c>
      <c r="G65" s="316">
        <v>36893</v>
      </c>
      <c r="H65" s="317" t="s">
        <v>3128</v>
      </c>
      <c r="I65" s="317"/>
      <c r="J65" s="317" t="s">
        <v>152</v>
      </c>
      <c r="K65" s="315" t="s">
        <v>3199</v>
      </c>
      <c r="L65" s="315" t="s">
        <v>3272</v>
      </c>
      <c r="M65" s="317"/>
      <c r="N65" s="320"/>
      <c r="O65" s="317" t="s">
        <v>51</v>
      </c>
      <c r="P65" s="317" t="s">
        <v>3304</v>
      </c>
      <c r="Q65" s="318" t="s">
        <v>3309</v>
      </c>
      <c r="R65" s="317" t="s">
        <v>3306</v>
      </c>
      <c r="S65" s="317"/>
      <c r="T65" s="317"/>
      <c r="U65" s="317"/>
      <c r="V65" s="317"/>
      <c r="W65" s="317"/>
      <c r="X65" s="317" t="s">
        <v>3206</v>
      </c>
      <c r="Y65" s="319"/>
    </row>
    <row r="66" spans="1:25" s="91" customFormat="1" hidden="1" x14ac:dyDescent="0.25">
      <c r="A66" s="32" t="s">
        <v>3310</v>
      </c>
      <c r="B66" s="315" t="str">
        <f>IF((COUNTBLANK(G66)=0),Stats!$E$7,IF((COUNTBLANK(E66)=0),IF((COUNTBLANK(F66)=0),IF((COUNTBLANK(U66)=0),Stats!$E$6,Stats!$E$5),Stats!$E$4),""))</f>
        <v>Death</v>
      </c>
      <c r="C66" s="39" t="s">
        <v>3115</v>
      </c>
      <c r="D66" s="315"/>
      <c r="E66" s="88">
        <v>43098</v>
      </c>
      <c r="F66" s="316">
        <v>43108</v>
      </c>
      <c r="G66" s="316">
        <v>36893</v>
      </c>
      <c r="H66" s="317" t="s">
        <v>3128</v>
      </c>
      <c r="I66" s="317"/>
      <c r="J66" s="317" t="s">
        <v>152</v>
      </c>
      <c r="K66" s="315" t="s">
        <v>3199</v>
      </c>
      <c r="L66" s="315" t="s">
        <v>3272</v>
      </c>
      <c r="M66" s="317"/>
      <c r="N66" s="320"/>
      <c r="O66" s="317" t="s">
        <v>51</v>
      </c>
      <c r="P66" s="317" t="s">
        <v>3304</v>
      </c>
      <c r="Q66" s="318" t="s">
        <v>3309</v>
      </c>
      <c r="R66" s="317" t="s">
        <v>3306</v>
      </c>
      <c r="S66" s="317"/>
      <c r="T66" s="317"/>
      <c r="U66" s="317"/>
      <c r="V66" s="317"/>
      <c r="W66" s="317"/>
      <c r="X66" s="317" t="s">
        <v>3206</v>
      </c>
      <c r="Y66" s="319"/>
    </row>
    <row r="67" spans="1:25" s="91" customFormat="1" hidden="1" x14ac:dyDescent="0.25">
      <c r="A67" s="32" t="s">
        <v>3311</v>
      </c>
      <c r="B67" s="315" t="str">
        <f>IF((COUNTBLANK(G67)=0),Stats!$E$7,IF((COUNTBLANK(E67)=0),IF((COUNTBLANK(F67)=0),IF((COUNTBLANK(U67)=0),Stats!$E$6,Stats!$E$5),Stats!$E$4),""))</f>
        <v>Death</v>
      </c>
      <c r="C67" s="39" t="s">
        <v>3115</v>
      </c>
      <c r="D67" s="315"/>
      <c r="E67" s="88">
        <v>43098</v>
      </c>
      <c r="F67" s="316">
        <v>43109</v>
      </c>
      <c r="G67" s="316">
        <v>36893</v>
      </c>
      <c r="H67" s="317" t="s">
        <v>3128</v>
      </c>
      <c r="I67" s="317"/>
      <c r="J67" s="317" t="s">
        <v>152</v>
      </c>
      <c r="K67" s="315" t="s">
        <v>3187</v>
      </c>
      <c r="L67" s="315"/>
      <c r="M67" s="317"/>
      <c r="N67" s="320"/>
      <c r="O67" s="317" t="s">
        <v>51</v>
      </c>
      <c r="P67" s="318" t="s">
        <v>3312</v>
      </c>
      <c r="Q67" s="318" t="s">
        <v>3313</v>
      </c>
      <c r="R67" s="317" t="s">
        <v>3306</v>
      </c>
      <c r="S67" s="317"/>
      <c r="T67" s="317"/>
      <c r="U67" s="317"/>
      <c r="V67" s="317"/>
      <c r="W67" s="317"/>
      <c r="X67" s="317" t="s">
        <v>3206</v>
      </c>
      <c r="Y67" s="319"/>
    </row>
    <row r="68" spans="1:25" s="91" customFormat="1" hidden="1" x14ac:dyDescent="0.25">
      <c r="A68" s="32" t="s">
        <v>3314</v>
      </c>
      <c r="B68" s="315" t="str">
        <f>IF((COUNTBLANK(G68)=0),Stats!$E$7,IF((COUNTBLANK(E68)=0),IF((COUNTBLANK(F68)=0),IF((COUNTBLANK(U68)=0),Stats!$E$6,Stats!$E$5),Stats!$E$4),""))</f>
        <v>Death</v>
      </c>
      <c r="C68" s="39" t="s">
        <v>3115</v>
      </c>
      <c r="D68" s="315"/>
      <c r="E68" s="88">
        <v>43098</v>
      </c>
      <c r="F68" s="316">
        <v>43109</v>
      </c>
      <c r="G68" s="316">
        <v>36893</v>
      </c>
      <c r="H68" s="317" t="s">
        <v>3128</v>
      </c>
      <c r="I68" s="317"/>
      <c r="J68" s="317" t="s">
        <v>152</v>
      </c>
      <c r="K68" s="315" t="s">
        <v>3187</v>
      </c>
      <c r="L68" s="315"/>
      <c r="M68" s="317"/>
      <c r="N68" s="320"/>
      <c r="O68" s="317" t="s">
        <v>51</v>
      </c>
      <c r="P68" s="318" t="s">
        <v>3312</v>
      </c>
      <c r="Q68" s="318" t="s">
        <v>3313</v>
      </c>
      <c r="R68" s="317" t="s">
        <v>3306</v>
      </c>
      <c r="S68" s="317"/>
      <c r="T68" s="317"/>
      <c r="U68" s="317"/>
      <c r="V68" s="317"/>
      <c r="W68" s="317"/>
      <c r="X68" s="317" t="s">
        <v>3206</v>
      </c>
      <c r="Y68" s="319"/>
    </row>
    <row r="69" spans="1:25" s="91" customFormat="1" hidden="1" x14ac:dyDescent="0.25">
      <c r="A69" s="32" t="s">
        <v>3315</v>
      </c>
      <c r="B69" s="315" t="str">
        <f>IF((COUNTBLANK(G69)=0),Stats!$E$7,IF((COUNTBLANK(E69)=0),IF((COUNTBLANK(F69)=0),IF((COUNTBLANK(U69)=0),Stats!$E$6,Stats!$E$5),Stats!$E$4),""))</f>
        <v>Death</v>
      </c>
      <c r="C69" s="39" t="s">
        <v>3115</v>
      </c>
      <c r="D69" s="315"/>
      <c r="E69" s="88">
        <v>43098</v>
      </c>
      <c r="F69" s="88">
        <v>43110</v>
      </c>
      <c r="G69" s="316">
        <v>36893</v>
      </c>
      <c r="H69" s="317" t="s">
        <v>3128</v>
      </c>
      <c r="I69" s="317"/>
      <c r="J69" s="317" t="s">
        <v>152</v>
      </c>
      <c r="K69" s="315" t="s">
        <v>3187</v>
      </c>
      <c r="L69" s="315"/>
      <c r="M69" s="317"/>
      <c r="N69" s="320"/>
      <c r="O69" s="317" t="s">
        <v>51</v>
      </c>
      <c r="P69" s="318" t="s">
        <v>3312</v>
      </c>
      <c r="Q69" s="318" t="s">
        <v>3313</v>
      </c>
      <c r="R69" s="317" t="s">
        <v>3306</v>
      </c>
      <c r="S69" s="317"/>
      <c r="T69" s="317"/>
      <c r="U69" s="317"/>
      <c r="V69" s="317"/>
      <c r="W69" s="317"/>
      <c r="X69" s="317"/>
      <c r="Y69" s="319"/>
    </row>
    <row r="70" spans="1:25" s="91" customFormat="1" hidden="1" x14ac:dyDescent="0.25">
      <c r="A70" s="32" t="s">
        <v>3316</v>
      </c>
      <c r="B70" s="315" t="str">
        <f>IF((COUNTBLANK(G70)=0),Stats!$E$7,IF((COUNTBLANK(E70)=0),IF((COUNTBLANK(F70)=0),IF((COUNTBLANK(U70)=0),Stats!$E$6,Stats!$E$5),Stats!$E$4),""))</f>
        <v>Death</v>
      </c>
      <c r="C70" s="39" t="s">
        <v>3115</v>
      </c>
      <c r="D70" s="315"/>
      <c r="E70" s="88">
        <v>43111</v>
      </c>
      <c r="F70" s="316">
        <v>43131</v>
      </c>
      <c r="G70" s="316">
        <v>36893</v>
      </c>
      <c r="H70" s="317" t="s">
        <v>3142</v>
      </c>
      <c r="I70" s="317"/>
      <c r="J70" s="317" t="s">
        <v>3186</v>
      </c>
      <c r="K70" s="315" t="s">
        <v>3231</v>
      </c>
      <c r="L70" s="315"/>
      <c r="M70" s="317"/>
      <c r="N70" s="320"/>
      <c r="O70" s="317" t="s">
        <v>51</v>
      </c>
      <c r="P70" s="318"/>
      <c r="Q70" s="318"/>
      <c r="R70" s="317"/>
      <c r="S70" s="317"/>
      <c r="T70" s="317"/>
      <c r="U70" s="317" t="s">
        <v>3317</v>
      </c>
      <c r="V70" s="317"/>
      <c r="W70" s="317"/>
      <c r="X70" s="317" t="s">
        <v>3318</v>
      </c>
      <c r="Y70" s="319"/>
    </row>
    <row r="71" spans="1:25" s="91" customFormat="1" hidden="1" x14ac:dyDescent="0.25">
      <c r="A71" s="32" t="s">
        <v>3319</v>
      </c>
      <c r="B71" s="315" t="str">
        <f>IF((COUNTBLANK(G71)=0),Stats!$E$7,IF((COUNTBLANK(E71)=0),IF((COUNTBLANK(F71)=0),IF((COUNTBLANK(U71)=0),Stats!$E$6,Stats!$E$5),Stats!$E$4),""))</f>
        <v>Death</v>
      </c>
      <c r="C71" s="39" t="s">
        <v>3115</v>
      </c>
      <c r="D71" s="315"/>
      <c r="E71" s="88">
        <v>43111</v>
      </c>
      <c r="F71" s="316">
        <v>43131</v>
      </c>
      <c r="G71" s="316">
        <v>36893</v>
      </c>
      <c r="H71" s="317" t="s">
        <v>3142</v>
      </c>
      <c r="I71" s="317"/>
      <c r="J71" s="317" t="s">
        <v>3186</v>
      </c>
      <c r="K71" s="315" t="s">
        <v>3231</v>
      </c>
      <c r="L71" s="315"/>
      <c r="M71" s="317"/>
      <c r="N71" s="320"/>
      <c r="O71" s="317" t="s">
        <v>51</v>
      </c>
      <c r="P71" s="318"/>
      <c r="Q71" s="318"/>
      <c r="R71" s="317" t="s">
        <v>3320</v>
      </c>
      <c r="S71" s="317"/>
      <c r="T71" s="317"/>
      <c r="U71" s="317" t="s">
        <v>3321</v>
      </c>
      <c r="V71" s="317" t="s">
        <v>3322</v>
      </c>
      <c r="W71" s="317"/>
      <c r="X71" s="317" t="s">
        <v>3323</v>
      </c>
      <c r="Y71" s="319"/>
    </row>
    <row r="72" spans="1:25" s="91" customFormat="1" hidden="1" x14ac:dyDescent="0.25">
      <c r="A72" s="32" t="s">
        <v>3324</v>
      </c>
      <c r="B72" s="315" t="str">
        <f>IF((COUNTBLANK(G72)=0),Stats!$E$7,IF((COUNTBLANK(E72)=0),IF((COUNTBLANK(F72)=0),IF((COUNTBLANK(U72)=0),Stats!$E$6,Stats!$E$5),Stats!$E$4),""))</f>
        <v>Death</v>
      </c>
      <c r="C72" s="39" t="s">
        <v>3115</v>
      </c>
      <c r="D72" s="315"/>
      <c r="E72" s="88">
        <v>43111</v>
      </c>
      <c r="F72" s="316">
        <v>43132</v>
      </c>
      <c r="G72" s="316">
        <v>36893</v>
      </c>
      <c r="H72" s="317" t="s">
        <v>3142</v>
      </c>
      <c r="I72" s="317"/>
      <c r="J72" s="317" t="s">
        <v>3186</v>
      </c>
      <c r="K72" s="315" t="s">
        <v>3231</v>
      </c>
      <c r="L72" s="315"/>
      <c r="M72" s="317"/>
      <c r="N72" s="320"/>
      <c r="O72" s="317" t="s">
        <v>51</v>
      </c>
      <c r="P72" s="318"/>
      <c r="Q72" s="318"/>
      <c r="R72" s="317" t="s">
        <v>3320</v>
      </c>
      <c r="S72" s="317"/>
      <c r="T72" s="317"/>
      <c r="U72" s="317" t="s">
        <v>3325</v>
      </c>
      <c r="V72" s="317"/>
      <c r="W72" s="317"/>
      <c r="X72" s="49" t="s">
        <v>3192</v>
      </c>
      <c r="Y72" s="319"/>
    </row>
    <row r="73" spans="1:25" s="91" customFormat="1" hidden="1" x14ac:dyDescent="0.25">
      <c r="A73" s="32" t="s">
        <v>3326</v>
      </c>
      <c r="B73" s="315" t="str">
        <f>IF((COUNTBLANK(G73)=0),Stats!$E$7,IF((COUNTBLANK(E73)=0),IF((COUNTBLANK(F73)=0),IF((COUNTBLANK(U73)=0),Stats!$E$6,Stats!$E$5),Stats!$E$4),""))</f>
        <v>Death</v>
      </c>
      <c r="C73" s="39" t="s">
        <v>3115</v>
      </c>
      <c r="D73" s="315"/>
      <c r="E73" s="88">
        <v>43111</v>
      </c>
      <c r="F73" s="316">
        <v>43132</v>
      </c>
      <c r="G73" s="316">
        <v>36893</v>
      </c>
      <c r="H73" s="317" t="s">
        <v>3142</v>
      </c>
      <c r="I73" s="317"/>
      <c r="J73" s="317" t="s">
        <v>3186</v>
      </c>
      <c r="K73" s="315" t="s">
        <v>3231</v>
      </c>
      <c r="L73" s="315"/>
      <c r="M73" s="317"/>
      <c r="N73" s="320"/>
      <c r="O73" s="317" t="s">
        <v>51</v>
      </c>
      <c r="P73" s="318"/>
      <c r="Q73" s="318"/>
      <c r="R73" s="317" t="s">
        <v>3320</v>
      </c>
      <c r="S73" s="317"/>
      <c r="T73" s="317"/>
      <c r="U73" s="317" t="s">
        <v>3327</v>
      </c>
      <c r="V73" s="317"/>
      <c r="W73" s="317"/>
      <c r="X73" s="317" t="s">
        <v>3328</v>
      </c>
      <c r="Y73" s="319"/>
    </row>
    <row r="74" spans="1:25" s="91" customFormat="1" hidden="1" x14ac:dyDescent="0.25">
      <c r="A74" s="32" t="s">
        <v>3329</v>
      </c>
      <c r="B74" s="315" t="str">
        <f>IF((COUNTBLANK(G74)=0),Stats!$E$7,IF((COUNTBLANK(E74)=0),IF((COUNTBLANK(F74)=0),IF((COUNTBLANK(U74)=0),Stats!$E$6,Stats!$E$5),Stats!$E$4),""))</f>
        <v>Death</v>
      </c>
      <c r="C74" s="39" t="s">
        <v>3115</v>
      </c>
      <c r="D74" s="315"/>
      <c r="E74" s="88">
        <v>43122</v>
      </c>
      <c r="F74" s="316">
        <v>43136</v>
      </c>
      <c r="G74" s="316">
        <v>36893</v>
      </c>
      <c r="H74" s="317" t="s">
        <v>3128</v>
      </c>
      <c r="I74" s="317"/>
      <c r="J74" s="317" t="s">
        <v>152</v>
      </c>
      <c r="K74" s="315" t="s">
        <v>3199</v>
      </c>
      <c r="L74" s="315"/>
      <c r="M74" s="317"/>
      <c r="N74" s="320"/>
      <c r="O74" s="317" t="s">
        <v>51</v>
      </c>
      <c r="P74" s="322" t="s">
        <v>3330</v>
      </c>
      <c r="Q74" s="318" t="s">
        <v>3331</v>
      </c>
      <c r="R74" s="317"/>
      <c r="S74" s="317"/>
      <c r="T74" s="317"/>
      <c r="U74" s="317" t="s">
        <v>3332</v>
      </c>
      <c r="V74" s="317"/>
      <c r="W74" s="317"/>
      <c r="X74" s="317" t="s">
        <v>3206</v>
      </c>
      <c r="Y74" s="319"/>
    </row>
    <row r="75" spans="1:25" s="91" customFormat="1" hidden="1" x14ac:dyDescent="0.25">
      <c r="A75" s="32" t="s">
        <v>3333</v>
      </c>
      <c r="B75" s="315" t="str">
        <f>IF((COUNTBLANK(G75)=0),Stats!$E$7,IF((COUNTBLANK(E75)=0),IF((COUNTBLANK(F75)=0),IF((COUNTBLANK(U75)=0),Stats!$E$6,Stats!$E$5),Stats!$E$4),""))</f>
        <v>Death</v>
      </c>
      <c r="C75" s="39" t="s">
        <v>3115</v>
      </c>
      <c r="D75" s="315"/>
      <c r="E75" s="88">
        <v>43122</v>
      </c>
      <c r="F75" s="316">
        <v>43136</v>
      </c>
      <c r="G75" s="316">
        <v>36893</v>
      </c>
      <c r="H75" s="317" t="s">
        <v>3128</v>
      </c>
      <c r="I75" s="317"/>
      <c r="J75" s="317" t="s">
        <v>152</v>
      </c>
      <c r="K75" s="315" t="s">
        <v>3199</v>
      </c>
      <c r="L75" s="315"/>
      <c r="M75" s="317"/>
      <c r="N75" s="320"/>
      <c r="O75" s="317" t="s">
        <v>51</v>
      </c>
      <c r="P75" s="322" t="s">
        <v>3330</v>
      </c>
      <c r="Q75" s="318" t="s">
        <v>3331</v>
      </c>
      <c r="R75" s="317"/>
      <c r="S75" s="317"/>
      <c r="T75" s="317"/>
      <c r="U75" s="317" t="s">
        <v>3334</v>
      </c>
      <c r="V75" s="317"/>
      <c r="W75" s="317"/>
      <c r="X75" s="317" t="s">
        <v>3206</v>
      </c>
      <c r="Y75" s="319"/>
    </row>
    <row r="76" spans="1:25" s="91" customFormat="1" hidden="1" x14ac:dyDescent="0.25">
      <c r="A76" s="32" t="s">
        <v>3335</v>
      </c>
      <c r="B76" s="315" t="str">
        <f>IF((COUNTBLANK(G76)=0),Stats!$E$7,IF((COUNTBLANK(E76)=0),IF((COUNTBLANK(F76)=0),IF((COUNTBLANK(U76)=0),Stats!$E$6,Stats!$E$5),Stats!$E$4),""))</f>
        <v>Death</v>
      </c>
      <c r="C76" s="39" t="s">
        <v>3115</v>
      </c>
      <c r="D76" s="315"/>
      <c r="E76" s="88">
        <v>43122</v>
      </c>
      <c r="F76" s="316">
        <v>43137</v>
      </c>
      <c r="G76" s="316">
        <v>36893</v>
      </c>
      <c r="H76" s="317" t="s">
        <v>3128</v>
      </c>
      <c r="I76" s="317"/>
      <c r="J76" s="317" t="s">
        <v>152</v>
      </c>
      <c r="K76" s="315" t="s">
        <v>3199</v>
      </c>
      <c r="L76" s="315"/>
      <c r="M76" s="317"/>
      <c r="N76" s="320"/>
      <c r="O76" s="317" t="s">
        <v>51</v>
      </c>
      <c r="P76" s="322" t="s">
        <v>3330</v>
      </c>
      <c r="Q76" s="318" t="s">
        <v>3331</v>
      </c>
      <c r="R76" s="317"/>
      <c r="S76" s="317"/>
      <c r="T76" s="317"/>
      <c r="U76" s="317"/>
      <c r="V76" s="317"/>
      <c r="W76" s="317"/>
      <c r="X76" s="317" t="s">
        <v>3192</v>
      </c>
      <c r="Y76" s="319"/>
    </row>
    <row r="77" spans="1:25" s="91" customFormat="1" hidden="1" x14ac:dyDescent="0.25">
      <c r="A77" s="32" t="s">
        <v>3336</v>
      </c>
      <c r="B77" s="315" t="str">
        <f>IF((COUNTBLANK(G77)=0),Stats!$E$7,IF((COUNTBLANK(E77)=0),IF((COUNTBLANK(F77)=0),IF((COUNTBLANK(U77)=0),Stats!$E$6,Stats!$E$5),Stats!$E$4),""))</f>
        <v>Death</v>
      </c>
      <c r="C77" s="39" t="s">
        <v>3115</v>
      </c>
      <c r="D77" s="315"/>
      <c r="E77" s="88">
        <v>43122</v>
      </c>
      <c r="F77" s="316">
        <v>43137</v>
      </c>
      <c r="G77" s="316">
        <v>36893</v>
      </c>
      <c r="H77" s="317" t="s">
        <v>3128</v>
      </c>
      <c r="I77" s="317"/>
      <c r="J77" s="317" t="s">
        <v>152</v>
      </c>
      <c r="K77" s="315" t="s">
        <v>3199</v>
      </c>
      <c r="L77" s="315"/>
      <c r="M77" s="317"/>
      <c r="N77" s="320"/>
      <c r="O77" s="317" t="s">
        <v>51</v>
      </c>
      <c r="P77" s="322" t="s">
        <v>3330</v>
      </c>
      <c r="Q77" s="318" t="s">
        <v>3331</v>
      </c>
      <c r="R77" s="317"/>
      <c r="S77" s="317"/>
      <c r="T77" s="317"/>
      <c r="U77" s="317"/>
      <c r="V77" s="317"/>
      <c r="W77" s="317"/>
      <c r="X77" s="317" t="s">
        <v>3318</v>
      </c>
      <c r="Y77" s="319"/>
    </row>
    <row r="78" spans="1:25" s="91" customFormat="1" hidden="1" x14ac:dyDescent="0.25">
      <c r="A78" s="32" t="s">
        <v>3337</v>
      </c>
      <c r="B78" s="315" t="str">
        <f>IF((COUNTBLANK(G78)=0),Stats!$E$7,IF((COUNTBLANK(E78)=0),IF((COUNTBLANK(F78)=0),IF((COUNTBLANK(U78)=0),Stats!$E$6,Stats!$E$5),Stats!$E$4),""))</f>
        <v>Death</v>
      </c>
      <c r="C78" s="39" t="s">
        <v>3115</v>
      </c>
      <c r="D78" s="315"/>
      <c r="E78" s="88">
        <v>43122</v>
      </c>
      <c r="F78" s="316">
        <v>43137</v>
      </c>
      <c r="G78" s="316">
        <v>36893</v>
      </c>
      <c r="H78" s="317" t="s">
        <v>3128</v>
      </c>
      <c r="I78" s="317"/>
      <c r="J78" s="317" t="s">
        <v>152</v>
      </c>
      <c r="K78" s="315" t="s">
        <v>3199</v>
      </c>
      <c r="L78" s="315"/>
      <c r="M78" s="317"/>
      <c r="N78" s="320"/>
      <c r="O78" s="317" t="s">
        <v>51</v>
      </c>
      <c r="P78" s="322" t="s">
        <v>3330</v>
      </c>
      <c r="Q78" s="318" t="s">
        <v>3331</v>
      </c>
      <c r="R78" s="317"/>
      <c r="S78" s="317"/>
      <c r="T78" s="317"/>
      <c r="U78" s="317"/>
      <c r="V78" s="317"/>
      <c r="W78" s="317"/>
      <c r="X78" s="317" t="s">
        <v>3338</v>
      </c>
      <c r="Y78" s="319"/>
    </row>
    <row r="79" spans="1:25" s="91" customFormat="1" hidden="1" x14ac:dyDescent="0.25">
      <c r="A79" s="32" t="s">
        <v>3339</v>
      </c>
      <c r="B79" s="315" t="str">
        <f>IF((COUNTBLANK(G79)=0),Stats!$E$7,IF((COUNTBLANK(E79)=0),IF((COUNTBLANK(F79)=0),IF((COUNTBLANK(U79)=0),Stats!$E$6,Stats!$E$5),Stats!$E$4),""))</f>
        <v>Death</v>
      </c>
      <c r="C79" s="39" t="s">
        <v>3115</v>
      </c>
      <c r="D79" s="315"/>
      <c r="E79" s="88">
        <v>43122</v>
      </c>
      <c r="F79" s="316">
        <v>43137</v>
      </c>
      <c r="G79" s="316">
        <v>36893</v>
      </c>
      <c r="H79" s="317" t="s">
        <v>3128</v>
      </c>
      <c r="I79" s="317"/>
      <c r="J79" s="317" t="s">
        <v>152</v>
      </c>
      <c r="K79" s="315" t="s">
        <v>3199</v>
      </c>
      <c r="L79" s="315"/>
      <c r="M79" s="317"/>
      <c r="N79" s="320"/>
      <c r="O79" s="317" t="s">
        <v>51</v>
      </c>
      <c r="P79" s="322" t="s">
        <v>3330</v>
      </c>
      <c r="Q79" s="318" t="s">
        <v>3331</v>
      </c>
      <c r="R79" s="317"/>
      <c r="S79" s="317"/>
      <c r="T79" s="317"/>
      <c r="U79" s="317"/>
      <c r="V79" s="317"/>
      <c r="W79" s="317"/>
      <c r="X79" s="317" t="s">
        <v>3206</v>
      </c>
      <c r="Y79" s="319"/>
    </row>
    <row r="80" spans="1:25" s="91" customFormat="1" hidden="1" x14ac:dyDescent="0.25">
      <c r="A80" s="32" t="s">
        <v>3340</v>
      </c>
      <c r="B80" s="315" t="str">
        <f>IF((COUNTBLANK(G80)=0),Stats!$E$7,IF((COUNTBLANK(E80)=0),IF((COUNTBLANK(F80)=0),IF((COUNTBLANK(U80)=0),Stats!$E$6,Stats!$E$5),Stats!$E$4),""))</f>
        <v>Death</v>
      </c>
      <c r="C80" s="39" t="s">
        <v>3115</v>
      </c>
      <c r="D80" s="315"/>
      <c r="E80" s="88">
        <v>43123</v>
      </c>
      <c r="F80" s="316">
        <v>43123</v>
      </c>
      <c r="G80" s="316">
        <v>36893</v>
      </c>
      <c r="H80" s="317" t="s">
        <v>3148</v>
      </c>
      <c r="I80" s="317"/>
      <c r="J80" s="317" t="s">
        <v>152</v>
      </c>
      <c r="K80" s="315" t="s">
        <v>3216</v>
      </c>
      <c r="L80" s="315"/>
      <c r="M80" s="317"/>
      <c r="N80" s="320"/>
      <c r="O80" s="317" t="s">
        <v>51</v>
      </c>
      <c r="P80" s="318" t="s">
        <v>3341</v>
      </c>
      <c r="Q80" s="318" t="s">
        <v>3342</v>
      </c>
      <c r="R80" s="317" t="s">
        <v>3343</v>
      </c>
      <c r="S80" s="317"/>
      <c r="T80" s="317"/>
      <c r="U80" s="317" t="s">
        <v>3344</v>
      </c>
      <c r="V80" s="317"/>
      <c r="W80" s="317"/>
      <c r="X80" s="317" t="s">
        <v>3345</v>
      </c>
      <c r="Y80" s="319"/>
    </row>
    <row r="81" spans="1:25" s="91" customFormat="1" hidden="1" x14ac:dyDescent="0.25">
      <c r="A81" s="32" t="s">
        <v>3346</v>
      </c>
      <c r="B81" s="315" t="str">
        <f>IF((COUNTBLANK(G81)=0),Stats!$E$7,IF((COUNTBLANK(E81)=0),IF((COUNTBLANK(F81)=0),IF((COUNTBLANK(U81)=0),Stats!$E$6,Stats!$E$5),Stats!$E$4),""))</f>
        <v>Death</v>
      </c>
      <c r="C81" s="39" t="s">
        <v>3115</v>
      </c>
      <c r="D81" s="315"/>
      <c r="E81" s="88">
        <v>43123</v>
      </c>
      <c r="F81" s="316">
        <v>43123</v>
      </c>
      <c r="G81" s="316">
        <v>36893</v>
      </c>
      <c r="H81" s="317" t="s">
        <v>3148</v>
      </c>
      <c r="I81" s="317"/>
      <c r="J81" s="317" t="s">
        <v>152</v>
      </c>
      <c r="K81" s="315" t="s">
        <v>3216</v>
      </c>
      <c r="L81" s="315"/>
      <c r="M81" s="317"/>
      <c r="N81" s="320"/>
      <c r="O81" s="317" t="s">
        <v>51</v>
      </c>
      <c r="P81" s="318" t="s">
        <v>3341</v>
      </c>
      <c r="Q81" s="318" t="s">
        <v>3347</v>
      </c>
      <c r="R81" s="317" t="s">
        <v>3348</v>
      </c>
      <c r="S81" s="317"/>
      <c r="T81" s="317"/>
      <c r="U81" s="317" t="s">
        <v>3349</v>
      </c>
      <c r="V81" s="317"/>
      <c r="W81" s="317"/>
      <c r="X81" s="317" t="s">
        <v>3192</v>
      </c>
      <c r="Y81" s="319"/>
    </row>
    <row r="82" spans="1:25" s="91" customFormat="1" hidden="1" x14ac:dyDescent="0.25">
      <c r="A82" s="32" t="s">
        <v>3350</v>
      </c>
      <c r="B82" s="315" t="str">
        <f>IF((COUNTBLANK(G82)=0),Stats!$E$7,IF((COUNTBLANK(E82)=0),IF((COUNTBLANK(F82)=0),IF((COUNTBLANK(U82)=0),Stats!$E$6,Stats!$E$5),Stats!$E$4),""))</f>
        <v>Death</v>
      </c>
      <c r="C82" s="39" t="s">
        <v>3115</v>
      </c>
      <c r="D82" s="315"/>
      <c r="E82" s="88">
        <v>43123</v>
      </c>
      <c r="F82" s="316">
        <v>43123</v>
      </c>
      <c r="G82" s="316">
        <v>36893</v>
      </c>
      <c r="H82" s="317" t="s">
        <v>3148</v>
      </c>
      <c r="I82" s="317"/>
      <c r="J82" s="317" t="s">
        <v>152</v>
      </c>
      <c r="K82" s="315" t="s">
        <v>3216</v>
      </c>
      <c r="L82" s="315"/>
      <c r="M82" s="317"/>
      <c r="N82" s="320"/>
      <c r="O82" s="317" t="s">
        <v>51</v>
      </c>
      <c r="P82" s="318" t="s">
        <v>3341</v>
      </c>
      <c r="Q82" s="318" t="s">
        <v>3351</v>
      </c>
      <c r="R82" s="317" t="s">
        <v>3348</v>
      </c>
      <c r="S82" s="317"/>
      <c r="T82" s="317"/>
      <c r="U82" s="317" t="s">
        <v>3349</v>
      </c>
      <c r="V82" s="317"/>
      <c r="W82" s="317"/>
      <c r="X82" s="317" t="s">
        <v>3192</v>
      </c>
      <c r="Y82" s="319"/>
    </row>
    <row r="83" spans="1:25" s="91" customFormat="1" hidden="1" x14ac:dyDescent="0.25">
      <c r="A83" s="32" t="s">
        <v>3352</v>
      </c>
      <c r="B83" s="315" t="str">
        <f>IF((COUNTBLANK(G83)=0),Stats!$E$7,IF((COUNTBLANK(E83)=0),IF((COUNTBLANK(F83)=0),IF((COUNTBLANK(U83)=0),Stats!$E$6,Stats!$E$5),Stats!$E$4),""))</f>
        <v>Death</v>
      </c>
      <c r="C83" s="39" t="s">
        <v>3115</v>
      </c>
      <c r="D83" s="315"/>
      <c r="E83" s="88">
        <v>43124</v>
      </c>
      <c r="F83" s="316">
        <v>36892</v>
      </c>
      <c r="G83" s="316">
        <v>36893</v>
      </c>
      <c r="H83" s="317" t="s">
        <v>3142</v>
      </c>
      <c r="I83" s="317"/>
      <c r="J83" s="317" t="s">
        <v>152</v>
      </c>
      <c r="K83" s="315" t="s">
        <v>3187</v>
      </c>
      <c r="L83" s="315"/>
      <c r="M83" s="317"/>
      <c r="N83" s="320"/>
      <c r="O83" s="317" t="s">
        <v>51</v>
      </c>
      <c r="P83" s="318">
        <v>400</v>
      </c>
      <c r="Q83" s="318">
        <v>400</v>
      </c>
      <c r="R83" s="317" t="s">
        <v>3353</v>
      </c>
      <c r="S83" s="317"/>
      <c r="T83" s="317"/>
      <c r="U83" s="317"/>
      <c r="V83" s="317"/>
      <c r="W83" s="317"/>
      <c r="X83" s="317" t="s">
        <v>3192</v>
      </c>
      <c r="Y83" s="319"/>
    </row>
    <row r="84" spans="1:25" s="91" customFormat="1" hidden="1" x14ac:dyDescent="0.25">
      <c r="A84" s="32" t="s">
        <v>3354</v>
      </c>
      <c r="B84" s="315" t="str">
        <f>IF((COUNTBLANK(G84)=0),Stats!$E$7,IF((COUNTBLANK(E84)=0),IF((COUNTBLANK(F84)=0),IF((COUNTBLANK(U84)=0),Stats!$E$6,Stats!$E$5),Stats!$E$4),""))</f>
        <v>Death</v>
      </c>
      <c r="C84" s="39" t="s">
        <v>3115</v>
      </c>
      <c r="D84" s="315"/>
      <c r="E84" s="88">
        <v>43124</v>
      </c>
      <c r="F84" s="316">
        <v>43131</v>
      </c>
      <c r="G84" s="316">
        <v>36893</v>
      </c>
      <c r="H84" s="317" t="s">
        <v>3142</v>
      </c>
      <c r="I84" s="317"/>
      <c r="J84" s="317" t="s">
        <v>152</v>
      </c>
      <c r="K84" s="315" t="s">
        <v>3187</v>
      </c>
      <c r="L84" s="315"/>
      <c r="M84" s="317"/>
      <c r="N84" s="320"/>
      <c r="O84" s="317" t="s">
        <v>51</v>
      </c>
      <c r="P84" s="318">
        <v>400</v>
      </c>
      <c r="Q84" s="318">
        <v>400</v>
      </c>
      <c r="R84" s="317"/>
      <c r="S84" s="317"/>
      <c r="T84" s="317"/>
      <c r="U84" s="317" t="s">
        <v>3355</v>
      </c>
      <c r="V84" s="317"/>
      <c r="W84" s="317"/>
      <c r="X84" s="317" t="s">
        <v>3206</v>
      </c>
      <c r="Y84" s="319"/>
    </row>
    <row r="85" spans="1:25" s="91" customFormat="1" hidden="1" x14ac:dyDescent="0.25">
      <c r="A85" s="32" t="s">
        <v>3356</v>
      </c>
      <c r="B85" s="315" t="str">
        <f>IF((COUNTBLANK(G85)=0),Stats!$E$7,IF((COUNTBLANK(E85)=0),IF((COUNTBLANK(F85)=0),IF((COUNTBLANK(U85)=0),Stats!$E$6,Stats!$E$5),Stats!$E$4),""))</f>
        <v>Death</v>
      </c>
      <c r="C85" s="39" t="s">
        <v>3115</v>
      </c>
      <c r="D85" s="315"/>
      <c r="E85" s="88">
        <v>43124</v>
      </c>
      <c r="F85" s="316">
        <v>43139</v>
      </c>
      <c r="G85" s="316">
        <v>36893</v>
      </c>
      <c r="H85" s="317" t="s">
        <v>3142</v>
      </c>
      <c r="I85" s="317"/>
      <c r="J85" s="317" t="s">
        <v>152</v>
      </c>
      <c r="K85" s="315" t="s">
        <v>3187</v>
      </c>
      <c r="L85" s="315"/>
      <c r="M85" s="317"/>
      <c r="N85" s="320"/>
      <c r="O85" s="317" t="s">
        <v>51</v>
      </c>
      <c r="P85" s="318">
        <v>400</v>
      </c>
      <c r="Q85" s="318">
        <v>400</v>
      </c>
      <c r="R85" s="317"/>
      <c r="S85" s="317"/>
      <c r="T85" s="317"/>
      <c r="U85" s="317" t="s">
        <v>3357</v>
      </c>
      <c r="V85" s="317"/>
      <c r="W85" s="317"/>
      <c r="X85" s="317" t="s">
        <v>3358</v>
      </c>
      <c r="Y85" s="319"/>
    </row>
    <row r="86" spans="1:25" s="91" customFormat="1" hidden="1" x14ac:dyDescent="0.25">
      <c r="A86" s="32" t="s">
        <v>3359</v>
      </c>
      <c r="B86" s="315" t="str">
        <f>IF((COUNTBLANK(G86)=0),Stats!$E$7,IF((COUNTBLANK(E86)=0),IF((COUNTBLANK(F86)=0),IF((COUNTBLANK(U86)=0),Stats!$E$6,Stats!$E$5),Stats!$E$4),""))</f>
        <v>Death</v>
      </c>
      <c r="C86" s="39" t="s">
        <v>3115</v>
      </c>
      <c r="D86" s="315"/>
      <c r="E86" s="88">
        <v>43124</v>
      </c>
      <c r="F86" s="316">
        <v>36892</v>
      </c>
      <c r="G86" s="316">
        <v>36893</v>
      </c>
      <c r="H86" s="317" t="s">
        <v>3140</v>
      </c>
      <c r="I86" s="317"/>
      <c r="J86" s="317" t="s">
        <v>152</v>
      </c>
      <c r="K86" s="315" t="s">
        <v>3208</v>
      </c>
      <c r="L86" s="315" t="s">
        <v>623</v>
      </c>
      <c r="M86" s="317"/>
      <c r="N86" s="320" t="s">
        <v>3273</v>
      </c>
      <c r="O86" s="317" t="s">
        <v>51</v>
      </c>
      <c r="P86" s="318" t="s">
        <v>3360</v>
      </c>
      <c r="Q86" s="318">
        <v>250</v>
      </c>
      <c r="R86" s="317"/>
      <c r="S86" s="317"/>
      <c r="T86" s="317"/>
      <c r="U86" s="317"/>
      <c r="V86" s="317"/>
      <c r="W86" s="317"/>
      <c r="X86" s="317" t="s">
        <v>3192</v>
      </c>
      <c r="Y86" s="319"/>
    </row>
    <row r="87" spans="1:25" s="91" customFormat="1" hidden="1" x14ac:dyDescent="0.25">
      <c r="A87" s="32" t="s">
        <v>3361</v>
      </c>
      <c r="B87" s="315" t="str">
        <f>IF((COUNTBLANK(G87)=0),Stats!$E$7,IF((COUNTBLANK(E87)=0),IF((COUNTBLANK(F87)=0),IF((COUNTBLANK(U87)=0),Stats!$E$6,Stats!$E$5),Stats!$E$4),""))</f>
        <v>Death</v>
      </c>
      <c r="C87" s="39" t="s">
        <v>3115</v>
      </c>
      <c r="D87" s="315"/>
      <c r="E87" s="88">
        <v>43124</v>
      </c>
      <c r="F87" s="316">
        <v>43138</v>
      </c>
      <c r="G87" s="316">
        <v>36893</v>
      </c>
      <c r="H87" s="317" t="s">
        <v>3140</v>
      </c>
      <c r="I87" s="317"/>
      <c r="J87" s="317" t="s">
        <v>152</v>
      </c>
      <c r="K87" s="315" t="s">
        <v>3208</v>
      </c>
      <c r="L87" s="315" t="s">
        <v>623</v>
      </c>
      <c r="M87" s="317"/>
      <c r="N87" s="320" t="s">
        <v>3273</v>
      </c>
      <c r="O87" s="317" t="s">
        <v>51</v>
      </c>
      <c r="P87" s="318" t="s">
        <v>3360</v>
      </c>
      <c r="Q87" s="318">
        <v>250</v>
      </c>
      <c r="R87" s="317"/>
      <c r="S87" s="317"/>
      <c r="T87" s="317"/>
      <c r="U87" s="317"/>
      <c r="V87" s="317"/>
      <c r="W87" s="317"/>
      <c r="X87" s="317" t="s">
        <v>3362</v>
      </c>
      <c r="Y87" s="319"/>
    </row>
    <row r="88" spans="1:25" s="91" customFormat="1" hidden="1" x14ac:dyDescent="0.25">
      <c r="A88" s="32" t="s">
        <v>3363</v>
      </c>
      <c r="B88" s="315" t="str">
        <f>IF((COUNTBLANK(G88)=0),Stats!$E$7,IF((COUNTBLANK(E88)=0),IF((COUNTBLANK(F88)=0),IF((COUNTBLANK(U88)=0),Stats!$E$6,Stats!$E$5),Stats!$E$4),""))</f>
        <v>Death</v>
      </c>
      <c r="C88" s="39" t="s">
        <v>3115</v>
      </c>
      <c r="D88" s="315"/>
      <c r="E88" s="88">
        <v>43124</v>
      </c>
      <c r="F88" s="316">
        <v>43138</v>
      </c>
      <c r="G88" s="316">
        <v>36893</v>
      </c>
      <c r="H88" s="317" t="s">
        <v>3140</v>
      </c>
      <c r="I88" s="317"/>
      <c r="J88" s="317" t="s">
        <v>152</v>
      </c>
      <c r="K88" s="315" t="s">
        <v>3208</v>
      </c>
      <c r="L88" s="315" t="s">
        <v>623</v>
      </c>
      <c r="M88" s="317"/>
      <c r="N88" s="320" t="s">
        <v>3273</v>
      </c>
      <c r="O88" s="317" t="s">
        <v>51</v>
      </c>
      <c r="P88" s="318" t="s">
        <v>3360</v>
      </c>
      <c r="Q88" s="318">
        <v>250</v>
      </c>
      <c r="R88" s="317"/>
      <c r="S88" s="317"/>
      <c r="T88" s="317"/>
      <c r="U88" s="317"/>
      <c r="V88" s="317"/>
      <c r="W88" s="317"/>
      <c r="X88" s="317" t="s">
        <v>3362</v>
      </c>
      <c r="Y88" s="319"/>
    </row>
    <row r="89" spans="1:25" s="91" customFormat="1" hidden="1" x14ac:dyDescent="0.25">
      <c r="A89" s="32" t="s">
        <v>3364</v>
      </c>
      <c r="B89" s="315" t="str">
        <f>IF((COUNTBLANK(G89)=0),Stats!$E$7,IF((COUNTBLANK(E89)=0),IF((COUNTBLANK(F89)=0),IF((COUNTBLANK(U89)=0),Stats!$E$6,Stats!$E$5),Stats!$E$4),""))</f>
        <v>Death</v>
      </c>
      <c r="C89" s="39" t="s">
        <v>3115</v>
      </c>
      <c r="D89" s="315"/>
      <c r="E89" s="88">
        <v>43126</v>
      </c>
      <c r="F89" s="316">
        <v>43139</v>
      </c>
      <c r="G89" s="316">
        <v>36893</v>
      </c>
      <c r="H89" s="317" t="s">
        <v>3142</v>
      </c>
      <c r="I89" s="317"/>
      <c r="J89" s="317" t="s">
        <v>152</v>
      </c>
      <c r="K89" s="315" t="s">
        <v>3187</v>
      </c>
      <c r="L89" s="315"/>
      <c r="M89" s="317"/>
      <c r="N89" s="320" t="s">
        <v>3365</v>
      </c>
      <c r="O89" s="317" t="s">
        <v>51</v>
      </c>
      <c r="P89" s="318">
        <v>800</v>
      </c>
      <c r="Q89" s="318">
        <v>400</v>
      </c>
      <c r="R89" s="317" t="s">
        <v>3366</v>
      </c>
      <c r="S89" s="317"/>
      <c r="T89" s="317"/>
      <c r="U89" s="317" t="s">
        <v>3367</v>
      </c>
      <c r="V89" s="317"/>
      <c r="W89" s="317"/>
      <c r="X89" s="317" t="s">
        <v>3206</v>
      </c>
      <c r="Y89" s="319"/>
    </row>
    <row r="90" spans="1:25" s="91" customFormat="1" hidden="1" x14ac:dyDescent="0.25">
      <c r="A90" s="32" t="s">
        <v>3368</v>
      </c>
      <c r="B90" s="315" t="str">
        <f>IF((COUNTBLANK(G90)=0),Stats!$E$7,IF((COUNTBLANK(E90)=0),IF((COUNTBLANK(F90)=0),IF((COUNTBLANK(U90)=0),Stats!$E$6,Stats!$E$5),Stats!$E$4),""))</f>
        <v>Death</v>
      </c>
      <c r="C90" s="39" t="s">
        <v>3115</v>
      </c>
      <c r="D90" s="315"/>
      <c r="E90" s="88">
        <v>43126</v>
      </c>
      <c r="F90" s="316">
        <v>43150</v>
      </c>
      <c r="G90" s="316">
        <v>36893</v>
      </c>
      <c r="H90" s="317" t="s">
        <v>3128</v>
      </c>
      <c r="I90" s="317"/>
      <c r="J90" s="317" t="s">
        <v>152</v>
      </c>
      <c r="K90" s="315" t="s">
        <v>3199</v>
      </c>
      <c r="L90" s="315"/>
      <c r="M90" s="317"/>
      <c r="N90" s="320"/>
      <c r="O90" s="317" t="s">
        <v>51</v>
      </c>
      <c r="P90" s="322" t="s">
        <v>3369</v>
      </c>
      <c r="Q90" s="318" t="s">
        <v>3370</v>
      </c>
      <c r="R90" s="317"/>
      <c r="S90" s="317"/>
      <c r="T90" s="317"/>
      <c r="U90" s="317"/>
      <c r="V90" s="317"/>
      <c r="W90" s="317"/>
      <c r="X90" s="317" t="s">
        <v>3206</v>
      </c>
      <c r="Y90" s="319"/>
    </row>
    <row r="91" spans="1:25" s="91" customFormat="1" hidden="1" x14ac:dyDescent="0.25">
      <c r="A91" s="32" t="s">
        <v>3371</v>
      </c>
      <c r="B91" s="315" t="str">
        <f>IF((COUNTBLANK(G91)=0),Stats!$E$7,IF((COUNTBLANK(E91)=0),IF((COUNTBLANK(F91)=0),IF((COUNTBLANK(U91)=0),Stats!$E$6,Stats!$E$5),Stats!$E$4),""))</f>
        <v>Death</v>
      </c>
      <c r="C91" s="39" t="s">
        <v>3115</v>
      </c>
      <c r="D91" s="315"/>
      <c r="E91" s="88">
        <v>43126</v>
      </c>
      <c r="F91" s="316">
        <v>43138</v>
      </c>
      <c r="G91" s="316">
        <v>36893</v>
      </c>
      <c r="H91" s="317" t="s">
        <v>3142</v>
      </c>
      <c r="I91" s="317"/>
      <c r="J91" s="317" t="s">
        <v>152</v>
      </c>
      <c r="K91" s="315" t="s">
        <v>3187</v>
      </c>
      <c r="L91" s="315"/>
      <c r="M91" s="317"/>
      <c r="N91" s="320" t="s">
        <v>3365</v>
      </c>
      <c r="O91" s="317" t="s">
        <v>51</v>
      </c>
      <c r="P91" s="318">
        <v>800</v>
      </c>
      <c r="Q91" s="318">
        <v>400</v>
      </c>
      <c r="R91" s="317" t="s">
        <v>3372</v>
      </c>
      <c r="S91" s="317"/>
      <c r="T91" s="317"/>
      <c r="U91" s="317" t="s">
        <v>3373</v>
      </c>
      <c r="V91" s="317"/>
      <c r="W91" s="317"/>
      <c r="X91" s="317" t="s">
        <v>3206</v>
      </c>
      <c r="Y91" s="319"/>
    </row>
    <row r="92" spans="1:25" s="91" customFormat="1" hidden="1" x14ac:dyDescent="0.25">
      <c r="A92" s="32" t="s">
        <v>3374</v>
      </c>
      <c r="B92" s="315" t="str">
        <f>IF((COUNTBLANK(G92)=0),Stats!$E$7,IF((COUNTBLANK(E92)=0),IF((COUNTBLANK(F92)=0),IF((COUNTBLANK(U92)=0),Stats!$E$6,Stats!$E$5),Stats!$E$4),""))</f>
        <v>Death</v>
      </c>
      <c r="C92" s="39" t="s">
        <v>3115</v>
      </c>
      <c r="D92" s="315"/>
      <c r="E92" s="88">
        <v>43126</v>
      </c>
      <c r="F92" s="316">
        <v>43151</v>
      </c>
      <c r="G92" s="316">
        <v>36893</v>
      </c>
      <c r="H92" s="317" t="s">
        <v>3128</v>
      </c>
      <c r="I92" s="317"/>
      <c r="J92" s="317" t="s">
        <v>152</v>
      </c>
      <c r="K92" s="315" t="s">
        <v>3199</v>
      </c>
      <c r="L92" s="315"/>
      <c r="M92" s="317"/>
      <c r="N92" s="320"/>
      <c r="O92" s="317" t="s">
        <v>51</v>
      </c>
      <c r="P92" s="322" t="s">
        <v>3369</v>
      </c>
      <c r="Q92" s="318" t="s">
        <v>3370</v>
      </c>
      <c r="R92" s="317"/>
      <c r="S92" s="317"/>
      <c r="T92" s="317"/>
      <c r="U92" s="317"/>
      <c r="V92" s="317"/>
      <c r="W92" s="317"/>
      <c r="X92" s="317"/>
      <c r="Y92" s="319"/>
    </row>
    <row r="93" spans="1:25" s="91" customFormat="1" hidden="1" x14ac:dyDescent="0.25">
      <c r="A93" s="32" t="s">
        <v>3375</v>
      </c>
      <c r="B93" s="315" t="str">
        <f>IF((COUNTBLANK(G93)=0),Stats!$E$7,IF((COUNTBLANK(E93)=0),IF((COUNTBLANK(F93)=0),IF((COUNTBLANK(U93)=0),Stats!$E$6,Stats!$E$5),Stats!$E$4),""))</f>
        <v>Death</v>
      </c>
      <c r="C93" s="39" t="s">
        <v>3115</v>
      </c>
      <c r="D93" s="315"/>
      <c r="E93" s="88">
        <v>43126</v>
      </c>
      <c r="F93" s="316">
        <v>43151</v>
      </c>
      <c r="G93" s="316">
        <v>36893</v>
      </c>
      <c r="H93" s="317" t="s">
        <v>3128</v>
      </c>
      <c r="I93" s="317"/>
      <c r="J93" s="317" t="s">
        <v>152</v>
      </c>
      <c r="K93" s="315" t="s">
        <v>3166</v>
      </c>
      <c r="L93" s="315" t="s">
        <v>3171</v>
      </c>
      <c r="M93" s="317"/>
      <c r="N93" s="320"/>
      <c r="O93" s="317" t="s">
        <v>51</v>
      </c>
      <c r="P93" s="318">
        <v>500</v>
      </c>
      <c r="Q93" s="318">
        <v>500</v>
      </c>
      <c r="R93" s="317" t="s">
        <v>3376</v>
      </c>
      <c r="S93" s="317"/>
      <c r="T93" s="317" t="s">
        <v>3377</v>
      </c>
      <c r="U93" s="317"/>
      <c r="V93" s="317"/>
      <c r="W93" s="317"/>
      <c r="X93" s="317" t="s">
        <v>3362</v>
      </c>
      <c r="Y93" s="319"/>
    </row>
    <row r="94" spans="1:25" s="91" customFormat="1" hidden="1" x14ac:dyDescent="0.25">
      <c r="A94" s="32" t="s">
        <v>3378</v>
      </c>
      <c r="B94" s="315" t="str">
        <f>IF((COUNTBLANK(G94)=0),Stats!$E$7,IF((COUNTBLANK(E94)=0),IF((COUNTBLANK(F94)=0),IF((COUNTBLANK(U94)=0),Stats!$E$6,Stats!$E$5),Stats!$E$4),""))</f>
        <v>Death</v>
      </c>
      <c r="C94" s="39" t="s">
        <v>3115</v>
      </c>
      <c r="D94" s="315"/>
      <c r="E94" s="88">
        <v>43126</v>
      </c>
      <c r="F94" s="88">
        <v>43140</v>
      </c>
      <c r="G94" s="316">
        <v>36893</v>
      </c>
      <c r="H94" s="317" t="s">
        <v>3128</v>
      </c>
      <c r="I94" s="49"/>
      <c r="J94" s="317" t="s">
        <v>152</v>
      </c>
      <c r="K94" s="315" t="s">
        <v>3166</v>
      </c>
      <c r="L94" s="315" t="s">
        <v>3171</v>
      </c>
      <c r="M94" s="49"/>
      <c r="N94" s="62"/>
      <c r="O94" s="49" t="s">
        <v>51</v>
      </c>
      <c r="P94" s="67">
        <v>500</v>
      </c>
      <c r="Q94" s="67">
        <v>500</v>
      </c>
      <c r="R94" s="49" t="s">
        <v>3379</v>
      </c>
      <c r="S94" s="49"/>
      <c r="T94" s="49" t="s">
        <v>3380</v>
      </c>
      <c r="U94" s="49"/>
      <c r="V94" s="49"/>
      <c r="W94" s="49"/>
      <c r="X94" s="49" t="s">
        <v>3381</v>
      </c>
      <c r="Y94" s="95"/>
    </row>
    <row r="95" spans="1:25" s="92" customFormat="1" hidden="1" x14ac:dyDescent="0.25">
      <c r="A95" s="32" t="s">
        <v>3382</v>
      </c>
      <c r="B95" s="315" t="str">
        <f>IF((COUNTBLANK(G95)=0),Stats!$E$7,IF((COUNTBLANK(E95)=0),IF((COUNTBLANK(F95)=0),IF((COUNTBLANK(U95)=0),Stats!$E$6,Stats!$E$5),Stats!$E$4),""))</f>
        <v>Death</v>
      </c>
      <c r="C95" s="39" t="s">
        <v>3115</v>
      </c>
      <c r="D95" s="315"/>
      <c r="E95" s="88">
        <v>43126</v>
      </c>
      <c r="F95" s="316">
        <v>43140</v>
      </c>
      <c r="G95" s="316">
        <v>36893</v>
      </c>
      <c r="H95" s="317" t="s">
        <v>3128</v>
      </c>
      <c r="I95" s="317"/>
      <c r="J95" s="317" t="s">
        <v>152</v>
      </c>
      <c r="K95" s="315" t="s">
        <v>3166</v>
      </c>
      <c r="L95" s="315" t="s">
        <v>3171</v>
      </c>
      <c r="M95" s="317"/>
      <c r="N95" s="320"/>
      <c r="O95" s="317" t="s">
        <v>51</v>
      </c>
      <c r="P95" s="318">
        <v>1000</v>
      </c>
      <c r="Q95" s="318">
        <v>500</v>
      </c>
      <c r="R95" s="317" t="s">
        <v>3383</v>
      </c>
      <c r="S95" s="317"/>
      <c r="T95" s="317"/>
      <c r="U95" s="317"/>
      <c r="V95" s="317"/>
      <c r="W95" s="317"/>
      <c r="X95" s="317" t="s">
        <v>3206</v>
      </c>
      <c r="Y95" s="319"/>
    </row>
    <row r="96" spans="1:25" s="91" customFormat="1" hidden="1" x14ac:dyDescent="0.25">
      <c r="A96" s="32" t="s">
        <v>3384</v>
      </c>
      <c r="B96" s="315" t="str">
        <f>IF((COUNTBLANK(G96)=0),Stats!$E$7,IF((COUNTBLANK(E96)=0),IF((COUNTBLANK(F96)=0),IF((COUNTBLANK(U96)=0),Stats!$E$6,Stats!$E$5),Stats!$E$4),""))</f>
        <v>Death</v>
      </c>
      <c r="C96" s="39" t="s">
        <v>3115</v>
      </c>
      <c r="D96" s="315"/>
      <c r="E96" s="88">
        <v>43131</v>
      </c>
      <c r="F96" s="316">
        <v>43152</v>
      </c>
      <c r="G96" s="316">
        <v>36893</v>
      </c>
      <c r="H96" s="317" t="s">
        <v>3128</v>
      </c>
      <c r="I96" s="317"/>
      <c r="J96" s="317" t="s">
        <v>152</v>
      </c>
      <c r="K96" s="315" t="s">
        <v>3216</v>
      </c>
      <c r="L96" s="315"/>
      <c r="M96" s="317"/>
      <c r="N96" s="320" t="s">
        <v>331</v>
      </c>
      <c r="O96" s="317" t="s">
        <v>51</v>
      </c>
      <c r="P96" s="318">
        <v>450</v>
      </c>
      <c r="Q96" s="318">
        <v>370</v>
      </c>
      <c r="R96" s="317"/>
      <c r="S96" s="317"/>
      <c r="T96" s="317"/>
      <c r="U96" s="317" t="s">
        <v>3385</v>
      </c>
      <c r="V96" s="317"/>
      <c r="W96" s="317"/>
      <c r="X96" s="317" t="s">
        <v>3318</v>
      </c>
      <c r="Y96" s="319"/>
    </row>
    <row r="97" spans="1:25" s="91" customFormat="1" hidden="1" x14ac:dyDescent="0.25">
      <c r="A97" s="32" t="s">
        <v>3386</v>
      </c>
      <c r="B97" s="315" t="str">
        <f>IF((COUNTBLANK(G97)=0),Stats!$E$7,IF((COUNTBLANK(E97)=0),IF((COUNTBLANK(F97)=0),IF((COUNTBLANK(U97)=0),Stats!$E$6,Stats!$E$5),Stats!$E$4),""))</f>
        <v>Death</v>
      </c>
      <c r="C97" s="39" t="s">
        <v>3115</v>
      </c>
      <c r="D97" s="315"/>
      <c r="E97" s="88">
        <v>43131</v>
      </c>
      <c r="F97" s="316">
        <v>43152</v>
      </c>
      <c r="G97" s="316">
        <v>36893</v>
      </c>
      <c r="H97" s="317" t="s">
        <v>3128</v>
      </c>
      <c r="I97" s="317"/>
      <c r="J97" s="317" t="s">
        <v>152</v>
      </c>
      <c r="K97" s="315" t="s">
        <v>3216</v>
      </c>
      <c r="L97" s="315"/>
      <c r="M97" s="317"/>
      <c r="N97" s="320" t="s">
        <v>331</v>
      </c>
      <c r="O97" s="317" t="s">
        <v>51</v>
      </c>
      <c r="P97" s="318">
        <v>450</v>
      </c>
      <c r="Q97" s="318">
        <v>370</v>
      </c>
      <c r="R97" s="317"/>
      <c r="S97" s="317"/>
      <c r="T97" s="317"/>
      <c r="U97" s="317" t="s">
        <v>3385</v>
      </c>
      <c r="V97" s="317"/>
      <c r="W97" s="317"/>
      <c r="X97" s="317" t="s">
        <v>3318</v>
      </c>
      <c r="Y97" s="319"/>
    </row>
    <row r="98" spans="1:25" s="91" customFormat="1" hidden="1" x14ac:dyDescent="0.25">
      <c r="A98" s="32" t="s">
        <v>3387</v>
      </c>
      <c r="B98" s="315" t="str">
        <f>IF((COUNTBLANK(G98)=0),Stats!$E$7,IF((COUNTBLANK(E98)=0),IF((COUNTBLANK(F98)=0),IF((COUNTBLANK(U98)=0),Stats!$E$6,Stats!$E$5),Stats!$E$4),""))</f>
        <v>Death</v>
      </c>
      <c r="C98" s="39" t="s">
        <v>3115</v>
      </c>
      <c r="D98" s="315"/>
      <c r="E98" s="88">
        <v>43131</v>
      </c>
      <c r="F98" s="316">
        <v>43152</v>
      </c>
      <c r="G98" s="316">
        <v>36893</v>
      </c>
      <c r="H98" s="317" t="s">
        <v>3128</v>
      </c>
      <c r="I98" s="317"/>
      <c r="J98" s="317" t="s">
        <v>152</v>
      </c>
      <c r="K98" s="315" t="s">
        <v>3216</v>
      </c>
      <c r="L98" s="315"/>
      <c r="M98" s="317"/>
      <c r="N98" s="320" t="s">
        <v>331</v>
      </c>
      <c r="O98" s="317" t="s">
        <v>51</v>
      </c>
      <c r="P98" s="318">
        <v>450</v>
      </c>
      <c r="Q98" s="318">
        <v>370</v>
      </c>
      <c r="R98" s="317"/>
      <c r="S98" s="317"/>
      <c r="T98" s="317"/>
      <c r="U98" s="317" t="s">
        <v>3385</v>
      </c>
      <c r="V98" s="317"/>
      <c r="W98" s="317"/>
      <c r="X98" s="317" t="s">
        <v>3318</v>
      </c>
      <c r="Y98" s="319"/>
    </row>
    <row r="99" spans="1:25" s="91" customFormat="1" hidden="1" x14ac:dyDescent="0.25">
      <c r="A99" s="32" t="s">
        <v>3388</v>
      </c>
      <c r="B99" s="315" t="str">
        <f>IF((COUNTBLANK(G99)=0),Stats!$E$7,IF((COUNTBLANK(E99)=0),IF((COUNTBLANK(F99)=0),IF((COUNTBLANK(U99)=0),Stats!$E$6,Stats!$E$5),Stats!$E$4),""))</f>
        <v>Death</v>
      </c>
      <c r="C99" s="39" t="s">
        <v>3115</v>
      </c>
      <c r="D99" s="315"/>
      <c r="E99" s="88">
        <v>43131</v>
      </c>
      <c r="F99" s="316">
        <v>43152</v>
      </c>
      <c r="G99" s="316">
        <v>36893</v>
      </c>
      <c r="H99" s="317" t="s">
        <v>3128</v>
      </c>
      <c r="I99" s="317"/>
      <c r="J99" s="317" t="s">
        <v>152</v>
      </c>
      <c r="K99" s="315" t="s">
        <v>3216</v>
      </c>
      <c r="L99" s="315"/>
      <c r="M99" s="317"/>
      <c r="N99" s="320" t="s">
        <v>331</v>
      </c>
      <c r="O99" s="317" t="s">
        <v>51</v>
      </c>
      <c r="P99" s="318">
        <v>450</v>
      </c>
      <c r="Q99" s="318">
        <v>370</v>
      </c>
      <c r="R99" s="317"/>
      <c r="S99" s="317"/>
      <c r="T99" s="317"/>
      <c r="U99" s="317"/>
      <c r="V99" s="317"/>
      <c r="W99" s="317"/>
      <c r="X99" s="317" t="s">
        <v>3389</v>
      </c>
      <c r="Y99" s="319"/>
    </row>
    <row r="100" spans="1:25" s="91" customFormat="1" hidden="1" x14ac:dyDescent="0.25">
      <c r="A100" s="32" t="s">
        <v>3390</v>
      </c>
      <c r="B100" s="315" t="str">
        <f>IF((COUNTBLANK(G100)=0),Stats!$E$7,IF((COUNTBLANK(E100)=0),IF((COUNTBLANK(F100)=0),IF((COUNTBLANK(U100)=0),Stats!$E$6,Stats!$E$5),Stats!$E$4),""))</f>
        <v>Death</v>
      </c>
      <c r="C100" s="39" t="s">
        <v>3115</v>
      </c>
      <c r="D100" s="315"/>
      <c r="E100" s="88">
        <v>43131</v>
      </c>
      <c r="F100" s="316">
        <v>43153</v>
      </c>
      <c r="G100" s="316">
        <v>36893</v>
      </c>
      <c r="H100" s="317" t="s">
        <v>3128</v>
      </c>
      <c r="I100" s="317"/>
      <c r="J100" s="317" t="s">
        <v>3186</v>
      </c>
      <c r="K100" s="315" t="s">
        <v>3216</v>
      </c>
      <c r="L100" s="315" t="s">
        <v>3199</v>
      </c>
      <c r="M100" s="317"/>
      <c r="N100" s="320" t="s">
        <v>3273</v>
      </c>
      <c r="O100" s="317" t="s">
        <v>51</v>
      </c>
      <c r="P100" s="322" t="s">
        <v>3391</v>
      </c>
      <c r="Q100" s="318" t="s">
        <v>3392</v>
      </c>
      <c r="R100" s="317"/>
      <c r="S100" s="317"/>
      <c r="T100" s="317"/>
      <c r="U100" s="317" t="s">
        <v>3393</v>
      </c>
      <c r="V100" s="317"/>
      <c r="W100" s="317"/>
      <c r="X100" s="317" t="s">
        <v>3206</v>
      </c>
      <c r="Y100" s="319"/>
    </row>
    <row r="101" spans="1:25" s="91" customFormat="1" hidden="1" x14ac:dyDescent="0.25">
      <c r="A101" s="32" t="s">
        <v>3394</v>
      </c>
      <c r="B101" s="315" t="str">
        <f>IF((COUNTBLANK(G101)=0),Stats!$E$7,IF((COUNTBLANK(E101)=0),IF((COUNTBLANK(F101)=0),IF((COUNTBLANK(U101)=0),Stats!$E$6,Stats!$E$5),Stats!$E$4),""))</f>
        <v>Death</v>
      </c>
      <c r="C101" s="39" t="s">
        <v>3115</v>
      </c>
      <c r="D101" s="315"/>
      <c r="E101" s="88">
        <v>43131</v>
      </c>
      <c r="F101" s="316">
        <v>43153</v>
      </c>
      <c r="G101" s="316">
        <v>36893</v>
      </c>
      <c r="H101" s="317" t="s">
        <v>3128</v>
      </c>
      <c r="I101" s="317"/>
      <c r="J101" s="317" t="s">
        <v>3186</v>
      </c>
      <c r="K101" s="315" t="s">
        <v>3216</v>
      </c>
      <c r="L101" s="315" t="s">
        <v>3199</v>
      </c>
      <c r="M101" s="317"/>
      <c r="N101" s="320" t="s">
        <v>3273</v>
      </c>
      <c r="O101" s="317" t="s">
        <v>51</v>
      </c>
      <c r="P101" s="322" t="s">
        <v>3391</v>
      </c>
      <c r="Q101" s="318" t="s">
        <v>3392</v>
      </c>
      <c r="R101" s="317"/>
      <c r="S101" s="317"/>
      <c r="T101" s="317"/>
      <c r="U101" s="317" t="s">
        <v>3393</v>
      </c>
      <c r="V101" s="317"/>
      <c r="W101" s="317"/>
      <c r="X101" s="317" t="s">
        <v>3206</v>
      </c>
      <c r="Y101" s="319"/>
    </row>
    <row r="102" spans="1:25" s="91" customFormat="1" hidden="1" x14ac:dyDescent="0.25">
      <c r="A102" s="32" t="s">
        <v>3395</v>
      </c>
      <c r="B102" s="315" t="str">
        <f>IF((COUNTBLANK(G102)=0),Stats!$E$7,IF((COUNTBLANK(E102)=0),IF((COUNTBLANK(F102)=0),IF((COUNTBLANK(U102)=0),Stats!$E$6,Stats!$E$5),Stats!$E$4),""))</f>
        <v>Death</v>
      </c>
      <c r="C102" s="39" t="s">
        <v>3115</v>
      </c>
      <c r="D102" s="315"/>
      <c r="E102" s="88">
        <v>43131</v>
      </c>
      <c r="F102" s="316">
        <v>43153</v>
      </c>
      <c r="G102" s="316">
        <v>36893</v>
      </c>
      <c r="H102" s="317" t="s">
        <v>3128</v>
      </c>
      <c r="I102" s="317"/>
      <c r="J102" s="317" t="s">
        <v>3186</v>
      </c>
      <c r="K102" s="315" t="s">
        <v>3216</v>
      </c>
      <c r="L102" s="315" t="s">
        <v>3199</v>
      </c>
      <c r="M102" s="317"/>
      <c r="N102" s="320" t="s">
        <v>3273</v>
      </c>
      <c r="O102" s="317" t="s">
        <v>51</v>
      </c>
      <c r="P102" s="322" t="s">
        <v>3391</v>
      </c>
      <c r="Q102" s="318" t="s">
        <v>3392</v>
      </c>
      <c r="R102" s="317"/>
      <c r="S102" s="317"/>
      <c r="T102" s="317"/>
      <c r="U102" s="317"/>
      <c r="V102" s="317"/>
      <c r="W102" s="317"/>
      <c r="X102" s="317"/>
      <c r="Y102" s="319"/>
    </row>
    <row r="103" spans="1:25" s="91" customFormat="1" hidden="1" x14ac:dyDescent="0.25">
      <c r="A103" s="32" t="s">
        <v>3396</v>
      </c>
      <c r="B103" s="315" t="str">
        <f>IF((COUNTBLANK(G103)=0),Stats!$E$7,IF((COUNTBLANK(E103)=0),IF((COUNTBLANK(F103)=0),IF((COUNTBLANK(U103)=0),Stats!$E$6,Stats!$E$5),Stats!$E$4),""))</f>
        <v>Death</v>
      </c>
      <c r="C103" s="39" t="s">
        <v>3115</v>
      </c>
      <c r="D103" s="315"/>
      <c r="E103" s="88">
        <v>43133</v>
      </c>
      <c r="F103" s="316">
        <v>36892</v>
      </c>
      <c r="G103" s="316">
        <v>36893</v>
      </c>
      <c r="H103" s="317" t="s">
        <v>3140</v>
      </c>
      <c r="I103" s="317"/>
      <c r="J103" s="317" t="s">
        <v>152</v>
      </c>
      <c r="K103" s="315" t="s">
        <v>3187</v>
      </c>
      <c r="L103" s="315"/>
      <c r="M103" s="317"/>
      <c r="N103" s="320"/>
      <c r="O103" s="317" t="s">
        <v>51</v>
      </c>
      <c r="P103" s="318" t="s">
        <v>3397</v>
      </c>
      <c r="Q103" s="318" t="s">
        <v>3398</v>
      </c>
      <c r="R103" s="317" t="s">
        <v>3399</v>
      </c>
      <c r="S103" s="317"/>
      <c r="T103" s="317"/>
      <c r="U103" s="317"/>
      <c r="V103" s="317"/>
      <c r="W103" s="317"/>
      <c r="X103" s="317" t="s">
        <v>3400</v>
      </c>
      <c r="Y103" s="319"/>
    </row>
    <row r="104" spans="1:25" s="91" customFormat="1" hidden="1" x14ac:dyDescent="0.25">
      <c r="A104" s="32" t="s">
        <v>426</v>
      </c>
      <c r="B104" s="315" t="str">
        <f>IF((COUNTBLANK(G104)=0),Stats!$E$7,IF((COUNTBLANK(E104)=0),IF((COUNTBLANK(F104)=0),IF((COUNTBLANK(U104)=0),Stats!$E$6,Stats!$E$5),Stats!$E$4),""))</f>
        <v>Death</v>
      </c>
      <c r="C104" s="39" t="s">
        <v>3115</v>
      </c>
      <c r="D104" s="315"/>
      <c r="E104" s="88">
        <v>43133</v>
      </c>
      <c r="F104" s="316">
        <v>36892</v>
      </c>
      <c r="G104" s="316">
        <v>36893</v>
      </c>
      <c r="H104" s="317" t="s">
        <v>3140</v>
      </c>
      <c r="I104" s="317"/>
      <c r="J104" s="317" t="s">
        <v>152</v>
      </c>
      <c r="K104" s="315" t="s">
        <v>3187</v>
      </c>
      <c r="L104" s="315"/>
      <c r="M104" s="317"/>
      <c r="N104" s="320"/>
      <c r="O104" s="317" t="s">
        <v>51</v>
      </c>
      <c r="P104" s="318" t="s">
        <v>3397</v>
      </c>
      <c r="Q104" s="318" t="s">
        <v>3398</v>
      </c>
      <c r="R104" s="317" t="s">
        <v>3401</v>
      </c>
      <c r="S104" s="317"/>
      <c r="T104" s="317"/>
      <c r="U104" s="317"/>
      <c r="V104" s="317"/>
      <c r="W104" s="317"/>
      <c r="X104" s="317" t="s">
        <v>3402</v>
      </c>
      <c r="Y104" s="319"/>
    </row>
    <row r="105" spans="1:25" s="91" customFormat="1" hidden="1" x14ac:dyDescent="0.25">
      <c r="A105" s="32" t="s">
        <v>428</v>
      </c>
      <c r="B105" s="315" t="str">
        <f>IF((COUNTBLANK(G105)=0),Stats!$E$7,IF((COUNTBLANK(E105)=0),IF((COUNTBLANK(F105)=0),IF((COUNTBLANK(U105)=0),Stats!$E$6,Stats!$E$5),Stats!$E$4),""))</f>
        <v>Death</v>
      </c>
      <c r="C105" s="39" t="s">
        <v>3115</v>
      </c>
      <c r="D105" s="315"/>
      <c r="E105" s="88">
        <v>43133</v>
      </c>
      <c r="F105" s="316">
        <v>43153</v>
      </c>
      <c r="G105" s="316">
        <v>36893</v>
      </c>
      <c r="H105" s="317" t="s">
        <v>3140</v>
      </c>
      <c r="I105" s="317"/>
      <c r="J105" s="317" t="s">
        <v>152</v>
      </c>
      <c r="K105" s="315" t="s">
        <v>3187</v>
      </c>
      <c r="L105" s="315"/>
      <c r="M105" s="317"/>
      <c r="N105" s="320"/>
      <c r="O105" s="317" t="s">
        <v>51</v>
      </c>
      <c r="P105" s="318" t="s">
        <v>3397</v>
      </c>
      <c r="Q105" s="318" t="s">
        <v>3398</v>
      </c>
      <c r="R105" s="317" t="s">
        <v>3399</v>
      </c>
      <c r="S105" s="317"/>
      <c r="T105" s="317"/>
      <c r="U105" s="317" t="s">
        <v>3393</v>
      </c>
      <c r="V105" s="317"/>
      <c r="W105" s="317"/>
      <c r="X105" s="317"/>
      <c r="Y105" s="319"/>
    </row>
    <row r="106" spans="1:25" s="91" customFormat="1" hidden="1" x14ac:dyDescent="0.25">
      <c r="A106" s="32" t="s">
        <v>430</v>
      </c>
      <c r="B106" s="315" t="str">
        <f>IF((COUNTBLANK(G106)=0),Stats!$E$7,IF((COUNTBLANK(E106)=0),IF((COUNTBLANK(F106)=0),IF((COUNTBLANK(U106)=0),Stats!$E$6,Stats!$E$5),Stats!$E$4),""))</f>
        <v>Death</v>
      </c>
      <c r="C106" s="39" t="s">
        <v>3115</v>
      </c>
      <c r="D106" s="315"/>
      <c r="E106" s="88">
        <v>43139</v>
      </c>
      <c r="F106" s="316">
        <v>43139</v>
      </c>
      <c r="G106" s="316">
        <v>36893</v>
      </c>
      <c r="H106" s="317" t="s">
        <v>3148</v>
      </c>
      <c r="I106" s="317"/>
      <c r="J106" s="317" t="s">
        <v>152</v>
      </c>
      <c r="K106" s="315" t="s">
        <v>3216</v>
      </c>
      <c r="L106" s="315"/>
      <c r="M106" s="317"/>
      <c r="N106" s="320"/>
      <c r="O106" s="317" t="s">
        <v>51</v>
      </c>
      <c r="P106" s="318">
        <v>350</v>
      </c>
      <c r="Q106" s="318">
        <v>350</v>
      </c>
      <c r="R106" s="317" t="s">
        <v>3403</v>
      </c>
      <c r="S106" s="317"/>
      <c r="T106" s="317"/>
      <c r="U106" s="317" t="s">
        <v>3404</v>
      </c>
      <c r="V106" s="317"/>
      <c r="W106" s="317"/>
      <c r="X106" s="317" t="s">
        <v>3318</v>
      </c>
      <c r="Y106" s="319"/>
    </row>
    <row r="107" spans="1:25" s="91" customFormat="1" hidden="1" x14ac:dyDescent="0.25">
      <c r="A107" s="32" t="s">
        <v>433</v>
      </c>
      <c r="B107" s="315" t="str">
        <f>IF((COUNTBLANK(G107)=0),Stats!$E$7,IF((COUNTBLANK(E107)=0),IF((COUNTBLANK(F107)=0),IF((COUNTBLANK(U107)=0),Stats!$E$6,Stats!$E$5),Stats!$E$4),""))</f>
        <v>Death</v>
      </c>
      <c r="C107" s="39" t="s">
        <v>3115</v>
      </c>
      <c r="D107" s="315"/>
      <c r="E107" s="88">
        <v>43139</v>
      </c>
      <c r="F107" s="316">
        <v>43139</v>
      </c>
      <c r="G107" s="316">
        <v>36893</v>
      </c>
      <c r="H107" s="317" t="s">
        <v>3148</v>
      </c>
      <c r="I107" s="317"/>
      <c r="J107" s="317" t="s">
        <v>3186</v>
      </c>
      <c r="K107" s="315" t="s">
        <v>3216</v>
      </c>
      <c r="L107" s="315"/>
      <c r="M107" s="317"/>
      <c r="N107" s="320"/>
      <c r="O107" s="317" t="s">
        <v>51</v>
      </c>
      <c r="P107" s="318">
        <v>350</v>
      </c>
      <c r="Q107" s="318">
        <v>300</v>
      </c>
      <c r="R107" s="317" t="s">
        <v>3405</v>
      </c>
      <c r="S107" s="317"/>
      <c r="T107" s="317"/>
      <c r="U107" s="317" t="s">
        <v>3406</v>
      </c>
      <c r="V107" s="317"/>
      <c r="W107" s="317"/>
      <c r="X107" s="317" t="s">
        <v>3407</v>
      </c>
      <c r="Y107" s="319"/>
    </row>
    <row r="108" spans="1:25" s="91" customFormat="1" hidden="1" x14ac:dyDescent="0.25">
      <c r="A108" s="32" t="s">
        <v>435</v>
      </c>
      <c r="B108" s="315" t="str">
        <f>IF((COUNTBLANK(G108)=0),Stats!$E$7,IF((COUNTBLANK(E108)=0),IF((COUNTBLANK(F108)=0),IF((COUNTBLANK(U108)=0),Stats!$E$6,Stats!$E$5),Stats!$E$4),""))</f>
        <v>Death</v>
      </c>
      <c r="C108" s="39" t="s">
        <v>3115</v>
      </c>
      <c r="D108" s="315"/>
      <c r="E108" s="88">
        <v>43139</v>
      </c>
      <c r="F108" s="316">
        <v>43139</v>
      </c>
      <c r="G108" s="316">
        <v>36893</v>
      </c>
      <c r="H108" s="317" t="s">
        <v>3148</v>
      </c>
      <c r="I108" s="317"/>
      <c r="J108" s="317" t="s">
        <v>3186</v>
      </c>
      <c r="K108" s="315" t="s">
        <v>3216</v>
      </c>
      <c r="L108" s="315"/>
      <c r="M108" s="317"/>
      <c r="N108" s="320"/>
      <c r="O108" s="317" t="s">
        <v>51</v>
      </c>
      <c r="P108" s="318" t="s">
        <v>3408</v>
      </c>
      <c r="Q108" s="318" t="s">
        <v>3409</v>
      </c>
      <c r="R108" s="317" t="s">
        <v>3410</v>
      </c>
      <c r="S108" s="317"/>
      <c r="T108" s="317"/>
      <c r="U108" s="317"/>
      <c r="V108" s="317"/>
      <c r="W108" s="317"/>
      <c r="X108" s="317">
        <v>3</v>
      </c>
      <c r="Y108" s="319"/>
    </row>
    <row r="109" spans="1:25" s="91" customFormat="1" hidden="1" x14ac:dyDescent="0.25">
      <c r="A109" s="32" t="s">
        <v>438</v>
      </c>
      <c r="B109" s="315" t="str">
        <f>IF((COUNTBLANK(G109)=0),Stats!$E$7,IF((COUNTBLANK(E109)=0),IF((COUNTBLANK(F109)=0),IF((COUNTBLANK(U109)=0),Stats!$E$6,Stats!$E$5),Stats!$E$4),""))</f>
        <v>Death</v>
      </c>
      <c r="C109" s="39" t="s">
        <v>3115</v>
      </c>
      <c r="D109" s="315"/>
      <c r="E109" s="88">
        <v>43140</v>
      </c>
      <c r="F109" s="316">
        <v>43157</v>
      </c>
      <c r="G109" s="316">
        <v>36893</v>
      </c>
      <c r="H109" s="317" t="s">
        <v>3140</v>
      </c>
      <c r="I109" s="317"/>
      <c r="J109" s="317" t="s">
        <v>3186</v>
      </c>
      <c r="K109" s="315" t="s">
        <v>3187</v>
      </c>
      <c r="L109" s="315"/>
      <c r="M109" s="317"/>
      <c r="N109" s="320"/>
      <c r="O109" s="317"/>
      <c r="P109" s="318" t="s">
        <v>3411</v>
      </c>
      <c r="Q109" s="318" t="s">
        <v>3412</v>
      </c>
      <c r="R109" s="317"/>
      <c r="S109" s="317"/>
      <c r="T109" s="317" t="s">
        <v>3413</v>
      </c>
      <c r="U109" s="317" t="s">
        <v>3414</v>
      </c>
      <c r="V109" s="317"/>
      <c r="W109" s="317"/>
      <c r="X109" s="317"/>
      <c r="Y109" s="319"/>
    </row>
    <row r="110" spans="1:25" s="91" customFormat="1" hidden="1" x14ac:dyDescent="0.25">
      <c r="A110" s="32" t="s">
        <v>440</v>
      </c>
      <c r="B110" s="315" t="str">
        <f>IF((COUNTBLANK(G110)=0),Stats!$E$7,IF((COUNTBLANK(E110)=0),IF((COUNTBLANK(F110)=0),IF((COUNTBLANK(U110)=0),Stats!$E$6,Stats!$E$5),Stats!$E$4),""))</f>
        <v>Death</v>
      </c>
      <c r="C110" s="39" t="s">
        <v>3115</v>
      </c>
      <c r="D110" s="315"/>
      <c r="E110" s="88">
        <v>43140</v>
      </c>
      <c r="F110" s="316">
        <v>43157</v>
      </c>
      <c r="G110" s="316">
        <v>36893</v>
      </c>
      <c r="H110" s="317" t="s">
        <v>3140</v>
      </c>
      <c r="I110" s="317"/>
      <c r="J110" s="317" t="s">
        <v>3186</v>
      </c>
      <c r="K110" s="315" t="s">
        <v>3187</v>
      </c>
      <c r="L110" s="315"/>
      <c r="M110" s="317"/>
      <c r="N110" s="320"/>
      <c r="O110" s="317"/>
      <c r="P110" s="318" t="s">
        <v>3411</v>
      </c>
      <c r="Q110" s="318" t="s">
        <v>3412</v>
      </c>
      <c r="R110" s="317"/>
      <c r="S110" s="317"/>
      <c r="T110" s="317" t="s">
        <v>3413</v>
      </c>
      <c r="U110" s="317" t="s">
        <v>3415</v>
      </c>
      <c r="V110" s="317"/>
      <c r="W110" s="317"/>
      <c r="X110" s="317"/>
      <c r="Y110" s="319"/>
    </row>
    <row r="111" spans="1:25" s="91" customFormat="1" hidden="1" x14ac:dyDescent="0.25">
      <c r="A111" s="32" t="s">
        <v>442</v>
      </c>
      <c r="B111" s="315" t="str">
        <f>IF((COUNTBLANK(G111)=0),Stats!$E$7,IF((COUNTBLANK(E111)=0),IF((COUNTBLANK(F111)=0),IF((COUNTBLANK(U111)=0),Stats!$E$6,Stats!$E$5),Stats!$E$4),""))</f>
        <v>Death</v>
      </c>
      <c r="C111" s="39" t="s">
        <v>3115</v>
      </c>
      <c r="D111" s="315"/>
      <c r="E111" s="88">
        <v>43140</v>
      </c>
      <c r="F111" s="316">
        <v>36892</v>
      </c>
      <c r="G111" s="316">
        <v>36893</v>
      </c>
      <c r="H111" s="317" t="s">
        <v>3140</v>
      </c>
      <c r="I111" s="317"/>
      <c r="J111" s="317" t="s">
        <v>3186</v>
      </c>
      <c r="K111" s="315" t="s">
        <v>3187</v>
      </c>
      <c r="L111" s="315"/>
      <c r="M111" s="317"/>
      <c r="N111" s="320"/>
      <c r="O111" s="317"/>
      <c r="P111" s="318" t="s">
        <v>3411</v>
      </c>
      <c r="Q111" s="318" t="s">
        <v>3412</v>
      </c>
      <c r="R111" s="317"/>
      <c r="S111" s="317"/>
      <c r="T111" s="317"/>
      <c r="U111" s="317"/>
      <c r="V111" s="317"/>
      <c r="W111" s="317"/>
      <c r="X111" s="317" t="s">
        <v>3192</v>
      </c>
      <c r="Y111" s="319"/>
    </row>
    <row r="112" spans="1:25" s="91" customFormat="1" hidden="1" x14ac:dyDescent="0.25">
      <c r="A112" s="32" t="s">
        <v>444</v>
      </c>
      <c r="B112" s="315" t="str">
        <f>IF((COUNTBLANK(G112)=0),Stats!$E$7,IF((COUNTBLANK(E112)=0),IF((COUNTBLANK(F112)=0),IF((COUNTBLANK(U112)=0),Stats!$E$6,Stats!$E$5),Stats!$E$4),""))</f>
        <v>Death</v>
      </c>
      <c r="C112" s="39" t="s">
        <v>3115</v>
      </c>
      <c r="D112" s="315"/>
      <c r="E112" s="88">
        <v>43144</v>
      </c>
      <c r="F112" s="316">
        <v>43160</v>
      </c>
      <c r="G112" s="316">
        <v>36893</v>
      </c>
      <c r="H112" s="317" t="s">
        <v>3148</v>
      </c>
      <c r="I112" s="317"/>
      <c r="J112" s="317" t="s">
        <v>152</v>
      </c>
      <c r="K112" s="315" t="s">
        <v>3416</v>
      </c>
      <c r="L112" s="315"/>
      <c r="M112" s="317"/>
      <c r="N112" s="320"/>
      <c r="O112" s="317" t="s">
        <v>3417</v>
      </c>
      <c r="P112" s="318" t="s">
        <v>3418</v>
      </c>
      <c r="Q112" s="318"/>
      <c r="R112" s="317" t="s">
        <v>3419</v>
      </c>
      <c r="S112" s="317"/>
      <c r="T112" s="317" t="s">
        <v>3420</v>
      </c>
      <c r="U112" s="317"/>
      <c r="V112" s="317"/>
      <c r="W112" s="317"/>
      <c r="X112" s="317" t="s">
        <v>3318</v>
      </c>
      <c r="Y112" s="319"/>
    </row>
    <row r="113" spans="1:25" s="91" customFormat="1" hidden="1" x14ac:dyDescent="0.25">
      <c r="A113" s="32" t="s">
        <v>446</v>
      </c>
      <c r="B113" s="315" t="str">
        <f>IF((COUNTBLANK(G113)=0),Stats!$E$7,IF((COUNTBLANK(E113)=0),IF((COUNTBLANK(F113)=0),IF((COUNTBLANK(U113)=0),Stats!$E$6,Stats!$E$5),Stats!$E$4),""))</f>
        <v>Death</v>
      </c>
      <c r="C113" s="39" t="s">
        <v>3115</v>
      </c>
      <c r="D113" s="315"/>
      <c r="E113" s="88">
        <v>43144</v>
      </c>
      <c r="F113" s="316">
        <v>43159</v>
      </c>
      <c r="G113" s="316">
        <v>36893</v>
      </c>
      <c r="H113" s="317" t="s">
        <v>3148</v>
      </c>
      <c r="I113" s="317"/>
      <c r="J113" s="317" t="s">
        <v>152</v>
      </c>
      <c r="K113" s="315" t="s">
        <v>3416</v>
      </c>
      <c r="L113" s="315"/>
      <c r="M113" s="317"/>
      <c r="N113" s="320"/>
      <c r="O113" s="317" t="s">
        <v>3417</v>
      </c>
      <c r="P113" s="318" t="s">
        <v>3421</v>
      </c>
      <c r="Q113" s="318"/>
      <c r="R113" s="317" t="s">
        <v>3422</v>
      </c>
      <c r="S113" s="317"/>
      <c r="T113" s="317"/>
      <c r="U113" s="317"/>
      <c r="V113" s="317"/>
      <c r="W113" s="317"/>
      <c r="X113" s="317" t="s">
        <v>3318</v>
      </c>
      <c r="Y113" s="319"/>
    </row>
    <row r="114" spans="1:25" s="91" customFormat="1" hidden="1" x14ac:dyDescent="0.25">
      <c r="A114" s="32" t="s">
        <v>450</v>
      </c>
      <c r="B114" s="315" t="str">
        <f>IF((COUNTBLANK(G114)=0),Stats!$E$7,IF((COUNTBLANK(E114)=0),IF((COUNTBLANK(F114)=0),IF((COUNTBLANK(U114)=0),Stats!$E$6,Stats!$E$5),Stats!$E$4),""))</f>
        <v>Death</v>
      </c>
      <c r="C114" s="39" t="s">
        <v>3115</v>
      </c>
      <c r="D114" s="315"/>
      <c r="E114" s="88">
        <v>43144</v>
      </c>
      <c r="F114" s="316">
        <v>43159</v>
      </c>
      <c r="G114" s="316">
        <v>36893</v>
      </c>
      <c r="H114" s="317" t="s">
        <v>3148</v>
      </c>
      <c r="I114" s="317"/>
      <c r="J114" s="317" t="s">
        <v>152</v>
      </c>
      <c r="K114" s="315" t="s">
        <v>3416</v>
      </c>
      <c r="L114" s="315"/>
      <c r="M114" s="317"/>
      <c r="N114" s="320"/>
      <c r="O114" s="317" t="s">
        <v>3417</v>
      </c>
      <c r="P114" s="318" t="s">
        <v>3423</v>
      </c>
      <c r="Q114" s="318"/>
      <c r="R114" s="317" t="s">
        <v>3424</v>
      </c>
      <c r="S114" s="317"/>
      <c r="T114" s="317"/>
      <c r="U114" s="317"/>
      <c r="V114" s="317"/>
      <c r="W114" s="317"/>
      <c r="X114" s="317" t="s">
        <v>3318</v>
      </c>
      <c r="Y114" s="319"/>
    </row>
    <row r="115" spans="1:25" s="91" customFormat="1" hidden="1" x14ac:dyDescent="0.25">
      <c r="A115" s="32" t="s">
        <v>452</v>
      </c>
      <c r="B115" s="315" t="str">
        <f>IF((COUNTBLANK(G115)=0),Stats!$E$7,IF((COUNTBLANK(E115)=0),IF((COUNTBLANK(F115)=0),IF((COUNTBLANK(U115)=0),Stats!$E$6,Stats!$E$5),Stats!$E$4),""))</f>
        <v>Death</v>
      </c>
      <c r="C115" s="39" t="s">
        <v>3115</v>
      </c>
      <c r="D115" s="315"/>
      <c r="E115" s="88">
        <v>43144</v>
      </c>
      <c r="F115" s="316">
        <v>43160</v>
      </c>
      <c r="G115" s="316">
        <v>36893</v>
      </c>
      <c r="H115" s="317" t="s">
        <v>3148</v>
      </c>
      <c r="I115" s="317"/>
      <c r="J115" s="317" t="s">
        <v>152</v>
      </c>
      <c r="K115" s="315" t="s">
        <v>3416</v>
      </c>
      <c r="L115" s="315"/>
      <c r="M115" s="317"/>
      <c r="N115" s="320"/>
      <c r="O115" s="317" t="s">
        <v>3417</v>
      </c>
      <c r="P115" s="318" t="s">
        <v>3425</v>
      </c>
      <c r="Q115" s="318"/>
      <c r="R115" s="317" t="s">
        <v>3426</v>
      </c>
      <c r="S115" s="317"/>
      <c r="T115" s="317" t="s">
        <v>3427</v>
      </c>
      <c r="U115" s="317"/>
      <c r="V115" s="317"/>
      <c r="W115" s="317"/>
      <c r="X115" s="317" t="s">
        <v>3318</v>
      </c>
      <c r="Y115" s="319"/>
    </row>
    <row r="116" spans="1:25" s="91" customFormat="1" hidden="1" x14ac:dyDescent="0.25">
      <c r="A116" s="32" t="s">
        <v>454</v>
      </c>
      <c r="B116" s="315" t="str">
        <f>IF((COUNTBLANK(G116)=0),Stats!$E$7,IF((COUNTBLANK(E116)=0),IF((COUNTBLANK(F116)=0),IF((COUNTBLANK(U116)=0),Stats!$E$6,Stats!$E$5),Stats!$E$4),""))</f>
        <v>Death</v>
      </c>
      <c r="C116" s="39" t="s">
        <v>3115</v>
      </c>
      <c r="D116" s="315"/>
      <c r="E116" s="88">
        <v>43144</v>
      </c>
      <c r="F116" s="316">
        <v>43164</v>
      </c>
      <c r="G116" s="316">
        <v>36893</v>
      </c>
      <c r="H116" s="317" t="s">
        <v>3142</v>
      </c>
      <c r="I116" s="317"/>
      <c r="J116" s="317" t="s">
        <v>152</v>
      </c>
      <c r="K116" s="315" t="s">
        <v>3428</v>
      </c>
      <c r="L116" s="315"/>
      <c r="M116" s="317"/>
      <c r="N116" s="320"/>
      <c r="O116" s="317" t="s">
        <v>51</v>
      </c>
      <c r="P116" s="318"/>
      <c r="Q116" s="318"/>
      <c r="R116" s="317" t="s">
        <v>3429</v>
      </c>
      <c r="S116" s="317"/>
      <c r="T116" s="317" t="s">
        <v>3345</v>
      </c>
      <c r="U116" s="317"/>
      <c r="V116" s="317"/>
      <c r="W116" s="317"/>
      <c r="X116" s="317" t="s">
        <v>3318</v>
      </c>
      <c r="Y116" s="319"/>
    </row>
    <row r="117" spans="1:25" s="91" customFormat="1" hidden="1" x14ac:dyDescent="0.25">
      <c r="A117" s="32" t="s">
        <v>460</v>
      </c>
      <c r="B117" s="315" t="str">
        <f>IF((COUNTBLANK(G117)=0),Stats!$E$7,IF((COUNTBLANK(E117)=0),IF((COUNTBLANK(F117)=0),IF((COUNTBLANK(U117)=0),Stats!$E$6,Stats!$E$5),Stats!$E$4),""))</f>
        <v>Death</v>
      </c>
      <c r="C117" s="39" t="s">
        <v>3115</v>
      </c>
      <c r="D117" s="315"/>
      <c r="E117" s="88">
        <v>43144</v>
      </c>
      <c r="F117" s="316">
        <v>36892</v>
      </c>
      <c r="G117" s="316">
        <v>36893</v>
      </c>
      <c r="H117" s="317" t="s">
        <v>3142</v>
      </c>
      <c r="I117" s="317"/>
      <c r="J117" s="317" t="s">
        <v>152</v>
      </c>
      <c r="K117" s="315" t="s">
        <v>3430</v>
      </c>
      <c r="L117" s="315"/>
      <c r="M117" s="317"/>
      <c r="N117" s="320"/>
      <c r="O117" s="317" t="s">
        <v>51</v>
      </c>
      <c r="P117" s="318"/>
      <c r="Q117" s="318"/>
      <c r="R117" s="317" t="s">
        <v>3429</v>
      </c>
      <c r="S117" s="317"/>
      <c r="T117" s="317" t="s">
        <v>3345</v>
      </c>
      <c r="U117" s="317"/>
      <c r="V117" s="317"/>
      <c r="W117" s="317"/>
      <c r="X117" s="317" t="s">
        <v>3318</v>
      </c>
      <c r="Y117" s="319"/>
    </row>
    <row r="118" spans="1:25" s="91" customFormat="1" hidden="1" x14ac:dyDescent="0.25">
      <c r="A118" s="32" t="s">
        <v>462</v>
      </c>
      <c r="B118" s="315" t="str">
        <f>IF((COUNTBLANK(G118)=0),Stats!$E$7,IF((COUNTBLANK(E118)=0),IF((COUNTBLANK(F118)=0),IF((COUNTBLANK(U118)=0),Stats!$E$6,Stats!$E$5),Stats!$E$4),""))</f>
        <v>Death</v>
      </c>
      <c r="C118" s="39" t="s">
        <v>3115</v>
      </c>
      <c r="D118" s="315"/>
      <c r="E118" s="88">
        <v>43144</v>
      </c>
      <c r="F118" s="316">
        <v>43173</v>
      </c>
      <c r="G118" s="316">
        <v>36893</v>
      </c>
      <c r="H118" s="317" t="s">
        <v>3142</v>
      </c>
      <c r="I118" s="317"/>
      <c r="J118" s="317" t="s">
        <v>152</v>
      </c>
      <c r="K118" s="315" t="s">
        <v>3431</v>
      </c>
      <c r="L118" s="315"/>
      <c r="M118" s="317"/>
      <c r="N118" s="320"/>
      <c r="O118" s="317" t="s">
        <v>51</v>
      </c>
      <c r="P118" s="318"/>
      <c r="Q118" s="318"/>
      <c r="R118" s="317" t="s">
        <v>3432</v>
      </c>
      <c r="S118" s="317"/>
      <c r="T118" s="317" t="s">
        <v>3433</v>
      </c>
      <c r="U118" s="317"/>
      <c r="V118" s="317"/>
      <c r="W118" s="317"/>
      <c r="X118" s="317" t="s">
        <v>3318</v>
      </c>
      <c r="Y118" s="319"/>
    </row>
    <row r="119" spans="1:25" s="91" customFormat="1" hidden="1" x14ac:dyDescent="0.25">
      <c r="A119" s="32" t="s">
        <v>465</v>
      </c>
      <c r="B119" s="315" t="str">
        <f>IF((COUNTBLANK(G119)=0),Stats!$E$7,IF((COUNTBLANK(E119)=0),IF((COUNTBLANK(F119)=0),IF((COUNTBLANK(U119)=0),Stats!$E$6,Stats!$E$5),Stats!$E$4),""))</f>
        <v>Death</v>
      </c>
      <c r="C119" s="39" t="s">
        <v>3115</v>
      </c>
      <c r="D119" s="315"/>
      <c r="E119" s="88">
        <v>43144</v>
      </c>
      <c r="F119" s="316">
        <v>36892</v>
      </c>
      <c r="G119" s="316">
        <v>36893</v>
      </c>
      <c r="H119" s="317" t="s">
        <v>3142</v>
      </c>
      <c r="I119" s="317"/>
      <c r="J119" s="317" t="s">
        <v>152</v>
      </c>
      <c r="K119" s="315" t="s">
        <v>3434</v>
      </c>
      <c r="L119" s="315"/>
      <c r="M119" s="317"/>
      <c r="N119" s="320"/>
      <c r="O119" s="317" t="s">
        <v>51</v>
      </c>
      <c r="P119" s="318"/>
      <c r="Q119" s="318"/>
      <c r="R119" s="317" t="s">
        <v>3429</v>
      </c>
      <c r="S119" s="317"/>
      <c r="T119" s="317" t="s">
        <v>3345</v>
      </c>
      <c r="U119" s="317"/>
      <c r="V119" s="317"/>
      <c r="W119" s="317"/>
      <c r="X119" s="317" t="s">
        <v>3318</v>
      </c>
      <c r="Y119" s="319"/>
    </row>
    <row r="120" spans="1:25" s="91" customFormat="1" hidden="1" x14ac:dyDescent="0.25">
      <c r="A120" s="32" t="s">
        <v>467</v>
      </c>
      <c r="B120" s="315" t="str">
        <f>IF((COUNTBLANK(G120)=0),Stats!$E$7,IF((COUNTBLANK(E120)=0),IF((COUNTBLANK(F120)=0),IF((COUNTBLANK(U120)=0),Stats!$E$6,Stats!$E$5),Stats!$E$4),""))</f>
        <v>Death</v>
      </c>
      <c r="C120" s="39" t="s">
        <v>3115</v>
      </c>
      <c r="D120" s="315"/>
      <c r="E120" s="88">
        <v>43147</v>
      </c>
      <c r="F120" s="316">
        <v>43172</v>
      </c>
      <c r="G120" s="316">
        <v>36893</v>
      </c>
      <c r="H120" s="317" t="s">
        <v>3128</v>
      </c>
      <c r="I120" s="317"/>
      <c r="J120" s="317" t="s">
        <v>3097</v>
      </c>
      <c r="K120" s="315" t="s">
        <v>3086</v>
      </c>
      <c r="L120" s="315"/>
      <c r="M120" s="317"/>
      <c r="N120" s="320"/>
      <c r="O120" s="317" t="s">
        <v>51</v>
      </c>
      <c r="P120" s="318">
        <v>450</v>
      </c>
      <c r="Q120" s="318">
        <v>400</v>
      </c>
      <c r="R120" s="317"/>
      <c r="S120" s="317"/>
      <c r="T120" s="317"/>
      <c r="U120" s="317"/>
      <c r="V120" s="317"/>
      <c r="W120" s="317"/>
      <c r="X120" s="317" t="s">
        <v>3435</v>
      </c>
      <c r="Y120" s="319"/>
    </row>
    <row r="121" spans="1:25" s="91" customFormat="1" hidden="1" x14ac:dyDescent="0.25">
      <c r="A121" s="32" t="s">
        <v>472</v>
      </c>
      <c r="B121" s="315" t="str">
        <f>IF((COUNTBLANK(G121)=0),Stats!$E$7,IF((COUNTBLANK(E121)=0),IF((COUNTBLANK(F121)=0),IF((COUNTBLANK(U121)=0),Stats!$E$6,Stats!$E$5),Stats!$E$4),""))</f>
        <v>Death</v>
      </c>
      <c r="C121" s="39" t="s">
        <v>3115</v>
      </c>
      <c r="D121" s="315"/>
      <c r="E121" s="88">
        <v>43147</v>
      </c>
      <c r="F121" s="316">
        <v>43178</v>
      </c>
      <c r="G121" s="316">
        <v>36893</v>
      </c>
      <c r="H121" s="317" t="s">
        <v>3128</v>
      </c>
      <c r="I121" s="317"/>
      <c r="J121" s="317" t="s">
        <v>3097</v>
      </c>
      <c r="K121" s="315" t="s">
        <v>3086</v>
      </c>
      <c r="L121" s="315"/>
      <c r="M121" s="317"/>
      <c r="N121" s="320"/>
      <c r="O121" s="317" t="s">
        <v>51</v>
      </c>
      <c r="P121" s="318">
        <v>450</v>
      </c>
      <c r="Q121" s="318">
        <v>400</v>
      </c>
      <c r="R121" s="317"/>
      <c r="S121" s="317"/>
      <c r="T121" s="317" t="s">
        <v>3436</v>
      </c>
      <c r="U121" s="317"/>
      <c r="V121" s="317"/>
      <c r="W121" s="317"/>
      <c r="X121" s="317"/>
      <c r="Y121" s="319"/>
    </row>
    <row r="122" spans="1:25" s="91" customFormat="1" hidden="1" x14ac:dyDescent="0.25">
      <c r="A122" s="32" t="s">
        <v>474</v>
      </c>
      <c r="B122" s="315" t="str">
        <f>IF((COUNTBLANK(G122)=0),Stats!$E$7,IF((COUNTBLANK(E122)=0),IF((COUNTBLANK(F122)=0),IF((COUNTBLANK(U122)=0),Stats!$E$6,Stats!$E$5),Stats!$E$4),""))</f>
        <v>Death</v>
      </c>
      <c r="C122" s="39" t="s">
        <v>3115</v>
      </c>
      <c r="D122" s="315"/>
      <c r="E122" s="88">
        <v>43147</v>
      </c>
      <c r="F122" s="316">
        <v>43173</v>
      </c>
      <c r="G122" s="316">
        <v>36893</v>
      </c>
      <c r="H122" s="317" t="s">
        <v>3128</v>
      </c>
      <c r="I122" s="317"/>
      <c r="J122" s="317" t="s">
        <v>3097</v>
      </c>
      <c r="K122" s="315" t="s">
        <v>3086</v>
      </c>
      <c r="L122" s="315"/>
      <c r="M122" s="317"/>
      <c r="N122" s="320"/>
      <c r="O122" s="317" t="s">
        <v>51</v>
      </c>
      <c r="P122" s="318">
        <v>450</v>
      </c>
      <c r="Q122" s="318">
        <v>400</v>
      </c>
      <c r="R122" s="317"/>
      <c r="S122" s="317"/>
      <c r="T122" s="317" t="s">
        <v>3437</v>
      </c>
      <c r="U122" s="317"/>
      <c r="V122" s="317"/>
      <c r="W122" s="317"/>
      <c r="X122" s="317"/>
      <c r="Y122" s="319"/>
    </row>
    <row r="123" spans="1:25" s="91" customFormat="1" hidden="1" x14ac:dyDescent="0.25">
      <c r="A123" s="32" t="s">
        <v>476</v>
      </c>
      <c r="B123" s="315" t="str">
        <f>IF((COUNTBLANK(G123)=0),Stats!$E$7,IF((COUNTBLANK(E123)=0),IF((COUNTBLANK(F123)=0),IF((COUNTBLANK(U123)=0),Stats!$E$6,Stats!$E$5),Stats!$E$4),""))</f>
        <v>Death</v>
      </c>
      <c r="C123" s="39" t="s">
        <v>3115</v>
      </c>
      <c r="D123" s="315"/>
      <c r="E123" s="88">
        <v>43147</v>
      </c>
      <c r="F123" s="316">
        <v>36892</v>
      </c>
      <c r="G123" s="316">
        <v>36893</v>
      </c>
      <c r="H123" s="317" t="s">
        <v>3128</v>
      </c>
      <c r="I123" s="317"/>
      <c r="J123" s="317" t="s">
        <v>152</v>
      </c>
      <c r="K123" s="315" t="s">
        <v>3199</v>
      </c>
      <c r="L123" s="315"/>
      <c r="M123" s="317"/>
      <c r="N123" s="320"/>
      <c r="O123" s="317" t="s">
        <v>51</v>
      </c>
      <c r="P123" s="322" t="s">
        <v>3330</v>
      </c>
      <c r="Q123" s="318" t="s">
        <v>3438</v>
      </c>
      <c r="R123" s="317"/>
      <c r="S123" s="317"/>
      <c r="T123" s="317" t="s">
        <v>3439</v>
      </c>
      <c r="U123" s="317" t="s">
        <v>3440</v>
      </c>
      <c r="V123" s="317"/>
      <c r="W123" s="317"/>
      <c r="X123" s="317" t="s">
        <v>3318</v>
      </c>
      <c r="Y123" s="319"/>
    </row>
    <row r="124" spans="1:25" s="91" customFormat="1" hidden="1" x14ac:dyDescent="0.25">
      <c r="A124" s="32" t="s">
        <v>479</v>
      </c>
      <c r="B124" s="315" t="str">
        <f>IF((COUNTBLANK(G124)=0),Stats!$E$7,IF((COUNTBLANK(E124)=0),IF((COUNTBLANK(F124)=0),IF((COUNTBLANK(U124)=0),Stats!$E$6,Stats!$E$5),Stats!$E$4),""))</f>
        <v>Death</v>
      </c>
      <c r="C124" s="39" t="s">
        <v>3115</v>
      </c>
      <c r="D124" s="315"/>
      <c r="E124" s="88">
        <v>43147</v>
      </c>
      <c r="F124" s="316">
        <v>43165</v>
      </c>
      <c r="G124" s="316">
        <v>36893</v>
      </c>
      <c r="H124" s="317" t="s">
        <v>3128</v>
      </c>
      <c r="I124" s="317"/>
      <c r="J124" s="317" t="s">
        <v>152</v>
      </c>
      <c r="K124" s="315" t="s">
        <v>3199</v>
      </c>
      <c r="L124" s="315"/>
      <c r="M124" s="317"/>
      <c r="N124" s="320"/>
      <c r="O124" s="317" t="s">
        <v>51</v>
      </c>
      <c r="P124" s="322" t="s">
        <v>3441</v>
      </c>
      <c r="Q124" s="318">
        <v>600</v>
      </c>
      <c r="R124" s="317" t="s">
        <v>3442</v>
      </c>
      <c r="S124" s="317"/>
      <c r="T124" s="317" t="s">
        <v>3443</v>
      </c>
      <c r="U124" s="317" t="s">
        <v>3444</v>
      </c>
      <c r="V124" s="317"/>
      <c r="W124" s="317"/>
      <c r="X124" s="317" t="s">
        <v>3318</v>
      </c>
      <c r="Y124" s="319"/>
    </row>
    <row r="125" spans="1:25" s="91" customFormat="1" hidden="1" x14ac:dyDescent="0.25">
      <c r="A125" s="32" t="s">
        <v>484</v>
      </c>
      <c r="B125" s="315" t="str">
        <f>IF((COUNTBLANK(G125)=0),Stats!$E$7,IF((COUNTBLANK(E125)=0),IF((COUNTBLANK(F125)=0),IF((COUNTBLANK(U125)=0),Stats!$E$6,Stats!$E$5),Stats!$E$4),""))</f>
        <v>Death</v>
      </c>
      <c r="C125" s="39" t="s">
        <v>3115</v>
      </c>
      <c r="D125" s="315"/>
      <c r="E125" s="88">
        <v>43147</v>
      </c>
      <c r="F125" s="316">
        <v>43165</v>
      </c>
      <c r="G125" s="316">
        <v>36893</v>
      </c>
      <c r="H125" s="317" t="s">
        <v>3128</v>
      </c>
      <c r="I125" s="317"/>
      <c r="J125" s="317" t="s">
        <v>152</v>
      </c>
      <c r="K125" s="315" t="s">
        <v>3199</v>
      </c>
      <c r="L125" s="315"/>
      <c r="M125" s="317"/>
      <c r="N125" s="320"/>
      <c r="O125" s="317" t="s">
        <v>51</v>
      </c>
      <c r="P125" s="322" t="s">
        <v>3330</v>
      </c>
      <c r="Q125" s="318" t="s">
        <v>3438</v>
      </c>
      <c r="R125" s="317"/>
      <c r="S125" s="317"/>
      <c r="T125" s="317" t="s">
        <v>3445</v>
      </c>
      <c r="U125" s="317" t="s">
        <v>3440</v>
      </c>
      <c r="V125" s="317"/>
      <c r="W125" s="317"/>
      <c r="X125" s="317" t="s">
        <v>3318</v>
      </c>
      <c r="Y125" s="319"/>
    </row>
    <row r="126" spans="1:25" s="91" customFormat="1" hidden="1" x14ac:dyDescent="0.25">
      <c r="A126" s="32" t="s">
        <v>486</v>
      </c>
      <c r="B126" s="315" t="str">
        <f>IF((COUNTBLANK(G126)=0),Stats!$E$7,IF((COUNTBLANK(E126)=0),IF((COUNTBLANK(F126)=0),IF((COUNTBLANK(U126)=0),Stats!$E$6,Stats!$E$5),Stats!$E$4),""))</f>
        <v>Death</v>
      </c>
      <c r="C126" s="39" t="s">
        <v>3115</v>
      </c>
      <c r="D126" s="315"/>
      <c r="E126" s="88">
        <v>43147</v>
      </c>
      <c r="F126" s="316">
        <v>43165</v>
      </c>
      <c r="G126" s="316">
        <v>36893</v>
      </c>
      <c r="H126" s="317" t="s">
        <v>3128</v>
      </c>
      <c r="I126" s="317"/>
      <c r="J126" s="317" t="s">
        <v>152</v>
      </c>
      <c r="K126" s="315" t="s">
        <v>3199</v>
      </c>
      <c r="L126" s="315"/>
      <c r="M126" s="317"/>
      <c r="N126" s="320"/>
      <c r="O126" s="317" t="s">
        <v>51</v>
      </c>
      <c r="P126" s="322" t="s">
        <v>3330</v>
      </c>
      <c r="Q126" s="318" t="s">
        <v>3438</v>
      </c>
      <c r="R126" s="317"/>
      <c r="S126" s="317"/>
      <c r="T126" s="317" t="s">
        <v>3446</v>
      </c>
      <c r="U126" s="317" t="s">
        <v>3440</v>
      </c>
      <c r="V126" s="317"/>
      <c r="W126" s="317"/>
      <c r="X126" s="317" t="s">
        <v>3318</v>
      </c>
      <c r="Y126" s="319"/>
    </row>
    <row r="127" spans="1:25" s="91" customFormat="1" hidden="1" x14ac:dyDescent="0.25">
      <c r="A127" s="32" t="s">
        <v>489</v>
      </c>
      <c r="B127" s="315" t="str">
        <f>IF((COUNTBLANK(G127)=0),Stats!$E$7,IF((COUNTBLANK(E127)=0),IF((COUNTBLANK(F127)=0),IF((COUNTBLANK(U127)=0),Stats!$E$6,Stats!$E$5),Stats!$E$4),""))</f>
        <v>Death</v>
      </c>
      <c r="C127" s="39" t="s">
        <v>3115</v>
      </c>
      <c r="D127" s="315"/>
      <c r="E127" s="88">
        <v>43157</v>
      </c>
      <c r="F127" s="316">
        <v>36892</v>
      </c>
      <c r="G127" s="316">
        <v>36893</v>
      </c>
      <c r="H127" s="317" t="s">
        <v>3142</v>
      </c>
      <c r="I127" s="317"/>
      <c r="J127" s="317" t="s">
        <v>152</v>
      </c>
      <c r="K127" s="315" t="s">
        <v>3208</v>
      </c>
      <c r="L127" s="315" t="s">
        <v>3447</v>
      </c>
      <c r="M127" s="317"/>
      <c r="N127" s="320" t="s">
        <v>3273</v>
      </c>
      <c r="O127" s="317" t="s">
        <v>51</v>
      </c>
      <c r="P127" s="318">
        <v>450</v>
      </c>
      <c r="Q127" s="318">
        <v>400</v>
      </c>
      <c r="R127" s="317" t="s">
        <v>3448</v>
      </c>
      <c r="S127" s="317"/>
      <c r="T127" s="317"/>
      <c r="U127" s="317"/>
      <c r="V127" s="317"/>
      <c r="W127" s="317"/>
      <c r="X127" s="317" t="s">
        <v>3449</v>
      </c>
      <c r="Y127" s="319"/>
    </row>
    <row r="128" spans="1:25" s="91" customFormat="1" hidden="1" x14ac:dyDescent="0.25">
      <c r="A128" s="32" t="s">
        <v>491</v>
      </c>
      <c r="B128" s="315" t="str">
        <f>IF((COUNTBLANK(G128)=0),Stats!$E$7,IF((COUNTBLANK(E128)=0),IF((COUNTBLANK(F128)=0),IF((COUNTBLANK(U128)=0),Stats!$E$6,Stats!$E$5),Stats!$E$4),""))</f>
        <v>Death</v>
      </c>
      <c r="C128" s="39" t="s">
        <v>3115</v>
      </c>
      <c r="D128" s="315"/>
      <c r="E128" s="88">
        <v>43157</v>
      </c>
      <c r="F128" s="316">
        <v>43180</v>
      </c>
      <c r="G128" s="316">
        <v>36893</v>
      </c>
      <c r="H128" s="317" t="s">
        <v>3142</v>
      </c>
      <c r="I128" s="317"/>
      <c r="J128" s="317" t="s">
        <v>152</v>
      </c>
      <c r="K128" s="315" t="s">
        <v>3208</v>
      </c>
      <c r="L128" s="315" t="s">
        <v>3447</v>
      </c>
      <c r="M128" s="317"/>
      <c r="N128" s="320" t="s">
        <v>3273</v>
      </c>
      <c r="O128" s="317" t="s">
        <v>51</v>
      </c>
      <c r="P128" s="318">
        <v>450</v>
      </c>
      <c r="Q128" s="318">
        <v>400</v>
      </c>
      <c r="R128" s="317" t="s">
        <v>3448</v>
      </c>
      <c r="S128" s="317"/>
      <c r="T128" s="317"/>
      <c r="U128" s="317" t="s">
        <v>3450</v>
      </c>
      <c r="V128" s="317"/>
      <c r="W128" s="317"/>
      <c r="X128" s="317" t="s">
        <v>3318</v>
      </c>
      <c r="Y128" s="319"/>
    </row>
    <row r="129" spans="1:25" s="91" customFormat="1" hidden="1" x14ac:dyDescent="0.25">
      <c r="A129" s="32" t="s">
        <v>495</v>
      </c>
      <c r="B129" s="315" t="str">
        <f>IF((COUNTBLANK(G129)=0),Stats!$E$7,IF((COUNTBLANK(E129)=0),IF((COUNTBLANK(F129)=0),IF((COUNTBLANK(U129)=0),Stats!$E$6,Stats!$E$5),Stats!$E$4),""))</f>
        <v>Death</v>
      </c>
      <c r="C129" s="39" t="s">
        <v>3115</v>
      </c>
      <c r="D129" s="315"/>
      <c r="E129" s="88">
        <v>43157</v>
      </c>
      <c r="F129" s="316">
        <v>43180</v>
      </c>
      <c r="G129" s="316">
        <v>36893</v>
      </c>
      <c r="H129" s="317" t="s">
        <v>3142</v>
      </c>
      <c r="I129" s="317"/>
      <c r="J129" s="317" t="s">
        <v>152</v>
      </c>
      <c r="K129" s="315" t="s">
        <v>3208</v>
      </c>
      <c r="L129" s="315" t="s">
        <v>3447</v>
      </c>
      <c r="M129" s="317"/>
      <c r="N129" s="320" t="s">
        <v>3273</v>
      </c>
      <c r="O129" s="317" t="s">
        <v>51</v>
      </c>
      <c r="P129" s="318">
        <v>450</v>
      </c>
      <c r="Q129" s="318">
        <v>400</v>
      </c>
      <c r="R129" s="317" t="s">
        <v>3451</v>
      </c>
      <c r="S129" s="317"/>
      <c r="T129" s="317"/>
      <c r="U129" s="317" t="s">
        <v>3452</v>
      </c>
      <c r="V129" s="317"/>
      <c r="W129" s="317"/>
      <c r="X129" s="317"/>
      <c r="Y129" s="319"/>
    </row>
    <row r="130" spans="1:25" s="91" customFormat="1" hidden="1" x14ac:dyDescent="0.25">
      <c r="A130" s="32" t="s">
        <v>498</v>
      </c>
      <c r="B130" s="315" t="str">
        <f>IF((COUNTBLANK(G130)=0),Stats!$E$7,IF((COUNTBLANK(E130)=0),IF((COUNTBLANK(F130)=0),IF((COUNTBLANK(U130)=0),Stats!$E$6,Stats!$E$5),Stats!$E$4),""))</f>
        <v>Death</v>
      </c>
      <c r="C130" s="39" t="s">
        <v>3115</v>
      </c>
      <c r="D130" s="315"/>
      <c r="E130" s="88">
        <v>43158</v>
      </c>
      <c r="F130" s="316">
        <v>36892</v>
      </c>
      <c r="G130" s="316">
        <v>36893</v>
      </c>
      <c r="H130" s="317" t="s">
        <v>3140</v>
      </c>
      <c r="I130" s="317"/>
      <c r="J130" s="317" t="s">
        <v>152</v>
      </c>
      <c r="K130" s="315" t="s">
        <v>3453</v>
      </c>
      <c r="L130" s="315"/>
      <c r="M130" s="317"/>
      <c r="N130" s="320"/>
      <c r="O130" s="317" t="s">
        <v>478</v>
      </c>
      <c r="P130" s="318">
        <v>400</v>
      </c>
      <c r="Q130" s="318">
        <v>200</v>
      </c>
      <c r="R130" s="317"/>
      <c r="S130" s="317"/>
      <c r="T130" s="317"/>
      <c r="U130" s="317"/>
      <c r="V130" s="317"/>
      <c r="W130" s="317"/>
      <c r="X130" s="317" t="s">
        <v>3218</v>
      </c>
      <c r="Y130" s="319"/>
    </row>
    <row r="131" spans="1:25" s="91" customFormat="1" hidden="1" x14ac:dyDescent="0.25">
      <c r="A131" s="32" t="s">
        <v>504</v>
      </c>
      <c r="B131" s="315" t="str">
        <f>IF((COUNTBLANK(G131)=0),Stats!$E$7,IF((COUNTBLANK(E131)=0),IF((COUNTBLANK(F131)=0),IF((COUNTBLANK(U131)=0),Stats!$E$6,Stats!$E$5),Stats!$E$4),""))</f>
        <v>Death</v>
      </c>
      <c r="C131" s="39" t="s">
        <v>3115</v>
      </c>
      <c r="D131" s="315"/>
      <c r="E131" s="88">
        <v>43158</v>
      </c>
      <c r="F131" s="316">
        <v>43180</v>
      </c>
      <c r="G131" s="316">
        <v>36893</v>
      </c>
      <c r="H131" s="317" t="s">
        <v>3140</v>
      </c>
      <c r="I131" s="317"/>
      <c r="J131" s="317" t="s">
        <v>152</v>
      </c>
      <c r="K131" s="315" t="s">
        <v>3453</v>
      </c>
      <c r="L131" s="315"/>
      <c r="M131" s="317"/>
      <c r="N131" s="320"/>
      <c r="O131" s="317" t="s">
        <v>51</v>
      </c>
      <c r="P131" s="318">
        <v>400</v>
      </c>
      <c r="Q131" s="318">
        <v>200</v>
      </c>
      <c r="R131" s="317"/>
      <c r="S131" s="317"/>
      <c r="T131" s="317" t="s">
        <v>3454</v>
      </c>
      <c r="U131" s="317"/>
      <c r="V131" s="317"/>
      <c r="W131" s="317"/>
      <c r="X131" s="317"/>
      <c r="Y131" s="319"/>
    </row>
    <row r="132" spans="1:25" s="91" customFormat="1" hidden="1" x14ac:dyDescent="0.25">
      <c r="A132" s="32" t="s">
        <v>506</v>
      </c>
      <c r="B132" s="315" t="str">
        <f>IF((COUNTBLANK(G132)=0),Stats!$E$7,IF((COUNTBLANK(E132)=0),IF((COUNTBLANK(F132)=0),IF((COUNTBLANK(U132)=0),Stats!$E$6,Stats!$E$5),Stats!$E$4),""))</f>
        <v>Death</v>
      </c>
      <c r="C132" s="39" t="s">
        <v>3115</v>
      </c>
      <c r="D132" s="315"/>
      <c r="E132" s="88">
        <v>43158</v>
      </c>
      <c r="F132" s="316">
        <v>43185</v>
      </c>
      <c r="G132" s="316">
        <v>36893</v>
      </c>
      <c r="H132" s="317" t="s">
        <v>3140</v>
      </c>
      <c r="I132" s="317"/>
      <c r="J132" s="317" t="s">
        <v>152</v>
      </c>
      <c r="K132" s="315" t="s">
        <v>3455</v>
      </c>
      <c r="L132" s="315"/>
      <c r="M132" s="317"/>
      <c r="N132" s="320"/>
      <c r="O132" s="317" t="s">
        <v>51</v>
      </c>
      <c r="P132" s="318">
        <v>400</v>
      </c>
      <c r="Q132" s="318">
        <v>200</v>
      </c>
      <c r="R132" s="317"/>
      <c r="S132" s="317"/>
      <c r="T132" s="317" t="s">
        <v>3454</v>
      </c>
      <c r="U132" s="317"/>
      <c r="V132" s="317"/>
      <c r="W132" s="317"/>
      <c r="X132" s="317"/>
      <c r="Y132" s="319"/>
    </row>
    <row r="133" spans="1:25" s="91" customFormat="1" hidden="1" x14ac:dyDescent="0.25">
      <c r="A133" s="32" t="s">
        <v>508</v>
      </c>
      <c r="B133" s="315" t="str">
        <f>IF((COUNTBLANK(G133)=0),Stats!$E$7,IF((COUNTBLANK(E133)=0),IF((COUNTBLANK(F133)=0),IF((COUNTBLANK(U133)=0),Stats!$E$6,Stats!$E$5),Stats!$E$4),""))</f>
        <v>Death</v>
      </c>
      <c r="C133" s="39" t="s">
        <v>3115</v>
      </c>
      <c r="D133" s="315"/>
      <c r="E133" s="88">
        <v>43158</v>
      </c>
      <c r="F133" s="316">
        <v>43185</v>
      </c>
      <c r="G133" s="316">
        <v>36893</v>
      </c>
      <c r="H133" s="317" t="s">
        <v>3140</v>
      </c>
      <c r="I133" s="317"/>
      <c r="J133" s="317" t="s">
        <v>152</v>
      </c>
      <c r="K133" s="315" t="s">
        <v>3456</v>
      </c>
      <c r="L133" s="315"/>
      <c r="M133" s="317"/>
      <c r="N133" s="320"/>
      <c r="O133" s="317" t="s">
        <v>51</v>
      </c>
      <c r="P133" s="318">
        <v>400</v>
      </c>
      <c r="Q133" s="318">
        <v>200</v>
      </c>
      <c r="R133" s="317"/>
      <c r="S133" s="317"/>
      <c r="T133" s="317" t="s">
        <v>3454</v>
      </c>
      <c r="U133" s="317"/>
      <c r="V133" s="317"/>
      <c r="W133" s="317"/>
      <c r="X133" s="317" t="s">
        <v>3206</v>
      </c>
      <c r="Y133" s="319"/>
    </row>
    <row r="134" spans="1:25" s="91" customFormat="1" hidden="1" x14ac:dyDescent="0.25">
      <c r="A134" s="32" t="s">
        <v>512</v>
      </c>
      <c r="B134" s="315" t="str">
        <f>IF((COUNTBLANK(G134)=0),Stats!$E$7,IF((COUNTBLANK(E134)=0),IF((COUNTBLANK(F134)=0),IF((COUNTBLANK(U134)=0),Stats!$E$6,Stats!$E$5),Stats!$E$4),""))</f>
        <v>Death</v>
      </c>
      <c r="C134" s="39" t="s">
        <v>3115</v>
      </c>
      <c r="D134" s="315"/>
      <c r="E134" s="88">
        <v>43158</v>
      </c>
      <c r="F134" s="316">
        <v>43185</v>
      </c>
      <c r="G134" s="316">
        <v>36893</v>
      </c>
      <c r="H134" s="317" t="s">
        <v>3140</v>
      </c>
      <c r="I134" s="317"/>
      <c r="J134" s="317" t="s">
        <v>152</v>
      </c>
      <c r="K134" s="315" t="s">
        <v>3457</v>
      </c>
      <c r="L134" s="315"/>
      <c r="M134" s="317"/>
      <c r="N134" s="320"/>
      <c r="O134" s="317" t="s">
        <v>51</v>
      </c>
      <c r="P134" s="318">
        <v>400</v>
      </c>
      <c r="Q134" s="318">
        <v>200</v>
      </c>
      <c r="R134" s="317"/>
      <c r="S134" s="317"/>
      <c r="T134" s="317" t="s">
        <v>3454</v>
      </c>
      <c r="U134" s="317"/>
      <c r="V134" s="317"/>
      <c r="W134" s="317"/>
      <c r="X134" s="317"/>
      <c r="Y134" s="319"/>
    </row>
    <row r="135" spans="1:25" s="91" customFormat="1" hidden="1" x14ac:dyDescent="0.25">
      <c r="A135" s="32" t="s">
        <v>515</v>
      </c>
      <c r="B135" s="315" t="str">
        <f>IF((COUNTBLANK(G135)=0),Stats!$E$7,IF((COUNTBLANK(E135)=0),IF((COUNTBLANK(F135)=0),IF((COUNTBLANK(U135)=0),Stats!$E$6,Stats!$E$5),Stats!$E$4),""))</f>
        <v>Death</v>
      </c>
      <c r="C135" s="39" t="s">
        <v>3115</v>
      </c>
      <c r="D135" s="315"/>
      <c r="E135" s="88">
        <v>43160</v>
      </c>
      <c r="F135" s="316">
        <v>43160</v>
      </c>
      <c r="G135" s="316">
        <v>36893</v>
      </c>
      <c r="H135" s="317" t="s">
        <v>3148</v>
      </c>
      <c r="I135" s="317"/>
      <c r="J135" s="317" t="s">
        <v>152</v>
      </c>
      <c r="K135" s="315" t="s">
        <v>3216</v>
      </c>
      <c r="L135" s="315"/>
      <c r="M135" s="317"/>
      <c r="N135" s="320"/>
      <c r="O135" s="317" t="s">
        <v>51</v>
      </c>
      <c r="P135" s="318" t="s">
        <v>3341</v>
      </c>
      <c r="Q135" s="318">
        <v>350</v>
      </c>
      <c r="R135" s="317"/>
      <c r="S135" s="317"/>
      <c r="T135" s="317"/>
      <c r="U135" s="317"/>
      <c r="V135" s="317"/>
      <c r="W135" s="317"/>
      <c r="X135" s="317" t="s">
        <v>3458</v>
      </c>
      <c r="Y135" s="319"/>
    </row>
    <row r="136" spans="1:25" s="91" customFormat="1" hidden="1" x14ac:dyDescent="0.25">
      <c r="A136" s="32" t="s">
        <v>520</v>
      </c>
      <c r="B136" s="315" t="str">
        <f>IF((COUNTBLANK(G136)=0),Stats!$E$7,IF((COUNTBLANK(E136)=0),IF((COUNTBLANK(F136)=0),IF((COUNTBLANK(U136)=0),Stats!$E$6,Stats!$E$5),Stats!$E$4),""))</f>
        <v>Death</v>
      </c>
      <c r="C136" s="39" t="s">
        <v>3115</v>
      </c>
      <c r="D136" s="315"/>
      <c r="E136" s="88">
        <v>43160</v>
      </c>
      <c r="F136" s="316">
        <v>43160</v>
      </c>
      <c r="G136" s="316">
        <v>36893</v>
      </c>
      <c r="H136" s="317" t="s">
        <v>3148</v>
      </c>
      <c r="I136" s="317"/>
      <c r="J136" s="317" t="s">
        <v>152</v>
      </c>
      <c r="K136" s="315" t="s">
        <v>3216</v>
      </c>
      <c r="L136" s="315"/>
      <c r="M136" s="317"/>
      <c r="N136" s="320"/>
      <c r="O136" s="317" t="s">
        <v>51</v>
      </c>
      <c r="P136" s="318" t="s">
        <v>3341</v>
      </c>
      <c r="Q136" s="318">
        <v>350</v>
      </c>
      <c r="R136" s="317" t="s">
        <v>3443</v>
      </c>
      <c r="S136" s="317"/>
      <c r="T136" s="317"/>
      <c r="U136" s="317" t="s">
        <v>3459</v>
      </c>
      <c r="V136" s="317" t="s">
        <v>3460</v>
      </c>
      <c r="W136" s="317"/>
      <c r="X136" s="317" t="s">
        <v>3461</v>
      </c>
      <c r="Y136" s="319"/>
    </row>
    <row r="137" spans="1:25" s="91" customFormat="1" hidden="1" x14ac:dyDescent="0.25">
      <c r="A137" s="32" t="s">
        <v>522</v>
      </c>
      <c r="B137" s="315" t="str">
        <f>IF((COUNTBLANK(G137)=0),Stats!$E$7,IF((COUNTBLANK(E137)=0),IF((COUNTBLANK(F137)=0),IF((COUNTBLANK(U137)=0),Stats!$E$6,Stats!$E$5),Stats!$E$4),""))</f>
        <v>Death</v>
      </c>
      <c r="C137" s="39" t="s">
        <v>3115</v>
      </c>
      <c r="D137" s="315"/>
      <c r="E137" s="88">
        <v>43160</v>
      </c>
      <c r="F137" s="316">
        <v>43160</v>
      </c>
      <c r="G137" s="316">
        <v>36893</v>
      </c>
      <c r="H137" s="317" t="s">
        <v>3148</v>
      </c>
      <c r="I137" s="317"/>
      <c r="J137" s="317" t="s">
        <v>152</v>
      </c>
      <c r="K137" s="315" t="s">
        <v>3216</v>
      </c>
      <c r="L137" s="315"/>
      <c r="M137" s="317"/>
      <c r="N137" s="320"/>
      <c r="O137" s="317" t="s">
        <v>51</v>
      </c>
      <c r="P137" s="318" t="s">
        <v>3341</v>
      </c>
      <c r="Q137" s="318">
        <v>350</v>
      </c>
      <c r="R137" s="317" t="s">
        <v>3445</v>
      </c>
      <c r="S137" s="317"/>
      <c r="T137" s="317"/>
      <c r="U137" s="317" t="s">
        <v>3462</v>
      </c>
      <c r="V137" s="317"/>
      <c r="W137" s="317"/>
      <c r="X137" s="317" t="s">
        <v>3461</v>
      </c>
      <c r="Y137" s="319"/>
    </row>
    <row r="138" spans="1:25" s="91" customFormat="1" hidden="1" x14ac:dyDescent="0.25">
      <c r="A138" s="32" t="s">
        <v>524</v>
      </c>
      <c r="B138" s="315" t="str">
        <f>IF((COUNTBLANK(G138)=0),Stats!$E$7,IF((COUNTBLANK(E138)=0),IF((COUNTBLANK(F138)=0),IF((COUNTBLANK(U138)=0),Stats!$E$6,Stats!$E$5),Stats!$E$4),""))</f>
        <v>Death</v>
      </c>
      <c r="C138" s="39" t="s">
        <v>3115</v>
      </c>
      <c r="D138" s="315"/>
      <c r="E138" s="88">
        <v>43175</v>
      </c>
      <c r="F138" s="316">
        <v>43186</v>
      </c>
      <c r="G138" s="316">
        <v>36893</v>
      </c>
      <c r="H138" s="317" t="s">
        <v>3128</v>
      </c>
      <c r="I138" s="317"/>
      <c r="J138" s="317" t="s">
        <v>3186</v>
      </c>
      <c r="K138" s="315" t="s">
        <v>3199</v>
      </c>
      <c r="L138" s="315"/>
      <c r="M138" s="317"/>
      <c r="N138" s="320"/>
      <c r="O138" s="317" t="s">
        <v>51</v>
      </c>
      <c r="P138" s="322" t="s">
        <v>3463</v>
      </c>
      <c r="Q138" s="318" t="s">
        <v>3464</v>
      </c>
      <c r="R138" s="317"/>
      <c r="S138" s="317"/>
      <c r="T138" s="317"/>
      <c r="U138" s="317" t="s">
        <v>3465</v>
      </c>
      <c r="V138" s="317"/>
      <c r="W138" s="317"/>
      <c r="X138" s="317"/>
      <c r="Y138" s="319"/>
    </row>
    <row r="139" spans="1:25" s="91" customFormat="1" hidden="1" x14ac:dyDescent="0.25">
      <c r="A139" s="32" t="s">
        <v>530</v>
      </c>
      <c r="B139" s="315" t="str">
        <f>IF((COUNTBLANK(G139)=0),Stats!$E$7,IF((COUNTBLANK(E139)=0),IF((COUNTBLANK(F139)=0),IF((COUNTBLANK(U139)=0),Stats!$E$6,Stats!$E$5),Stats!$E$4),""))</f>
        <v>Death</v>
      </c>
      <c r="C139" s="39" t="s">
        <v>3115</v>
      </c>
      <c r="D139" s="315"/>
      <c r="E139" s="88">
        <v>43175</v>
      </c>
      <c r="F139" s="316">
        <v>43186</v>
      </c>
      <c r="G139" s="316">
        <v>36893</v>
      </c>
      <c r="H139" s="317" t="s">
        <v>3128</v>
      </c>
      <c r="I139" s="317"/>
      <c r="J139" s="317" t="s">
        <v>152</v>
      </c>
      <c r="K139" s="315" t="s">
        <v>3199</v>
      </c>
      <c r="L139" s="315"/>
      <c r="M139" s="317"/>
      <c r="N139" s="320"/>
      <c r="O139" s="317" t="s">
        <v>51</v>
      </c>
      <c r="P139" s="322" t="s">
        <v>3463</v>
      </c>
      <c r="Q139" s="318" t="s">
        <v>3464</v>
      </c>
      <c r="R139" s="317" t="s">
        <v>3466</v>
      </c>
      <c r="S139" s="317"/>
      <c r="T139" s="317" t="s">
        <v>3467</v>
      </c>
      <c r="U139" s="317" t="s">
        <v>3468</v>
      </c>
      <c r="V139" s="317"/>
      <c r="W139" s="317"/>
      <c r="X139" s="317" t="s">
        <v>3318</v>
      </c>
      <c r="Y139" s="319"/>
    </row>
    <row r="140" spans="1:25" s="91" customFormat="1" hidden="1" x14ac:dyDescent="0.25">
      <c r="A140" s="32" t="s">
        <v>535</v>
      </c>
      <c r="B140" s="315" t="str">
        <f>IF((COUNTBLANK(G140)=0),Stats!$E$7,IF((COUNTBLANK(E140)=0),IF((COUNTBLANK(F140)=0),IF((COUNTBLANK(U140)=0),Stats!$E$6,Stats!$E$5),Stats!$E$4),""))</f>
        <v>Death</v>
      </c>
      <c r="C140" s="39" t="s">
        <v>3115</v>
      </c>
      <c r="D140" s="315"/>
      <c r="E140" s="88">
        <v>43175</v>
      </c>
      <c r="F140" s="316">
        <v>43186</v>
      </c>
      <c r="G140" s="316">
        <v>36893</v>
      </c>
      <c r="H140" s="317" t="s">
        <v>3128</v>
      </c>
      <c r="I140" s="317"/>
      <c r="J140" s="317" t="s">
        <v>152</v>
      </c>
      <c r="K140" s="315" t="s">
        <v>3199</v>
      </c>
      <c r="L140" s="315"/>
      <c r="M140" s="317"/>
      <c r="N140" s="320"/>
      <c r="O140" s="317" t="s">
        <v>51</v>
      </c>
      <c r="P140" s="322" t="s">
        <v>3463</v>
      </c>
      <c r="Q140" s="318" t="s">
        <v>3464</v>
      </c>
      <c r="R140" s="317" t="s">
        <v>3466</v>
      </c>
      <c r="S140" s="317"/>
      <c r="T140" s="317" t="s">
        <v>3467</v>
      </c>
      <c r="U140" s="317" t="s">
        <v>3469</v>
      </c>
      <c r="V140" s="317"/>
      <c r="W140" s="317"/>
      <c r="X140" s="317" t="s">
        <v>3318</v>
      </c>
      <c r="Y140" s="319"/>
    </row>
    <row r="141" spans="1:25" s="91" customFormat="1" hidden="1" x14ac:dyDescent="0.25">
      <c r="A141" s="32" t="s">
        <v>537</v>
      </c>
      <c r="B141" s="315" t="str">
        <f>IF((COUNTBLANK(G141)=0),Stats!$E$7,IF((COUNTBLANK(E141)=0),IF((COUNTBLANK(F141)=0),IF((COUNTBLANK(U141)=0),Stats!$E$6,Stats!$E$5),Stats!$E$4),""))</f>
        <v>Death</v>
      </c>
      <c r="C141" s="39" t="s">
        <v>3115</v>
      </c>
      <c r="D141" s="315"/>
      <c r="E141" s="88">
        <v>43178</v>
      </c>
      <c r="F141" s="316">
        <v>43187</v>
      </c>
      <c r="G141" s="316">
        <v>36893</v>
      </c>
      <c r="H141" s="317" t="s">
        <v>3140</v>
      </c>
      <c r="I141" s="317"/>
      <c r="J141" s="317" t="s">
        <v>152</v>
      </c>
      <c r="K141" s="315" t="s">
        <v>3199</v>
      </c>
      <c r="L141" s="315"/>
      <c r="M141" s="317"/>
      <c r="N141" s="320"/>
      <c r="O141" s="317" t="s">
        <v>51</v>
      </c>
      <c r="P141" s="321" t="s">
        <v>3470</v>
      </c>
      <c r="Q141" s="318" t="s">
        <v>3471</v>
      </c>
      <c r="R141" s="317" t="s">
        <v>3472</v>
      </c>
      <c r="S141" s="317"/>
      <c r="T141" s="317" t="s">
        <v>3467</v>
      </c>
      <c r="U141" s="317" t="s">
        <v>3469</v>
      </c>
      <c r="V141" s="317"/>
      <c r="W141" s="317"/>
      <c r="X141" s="317"/>
      <c r="Y141" s="319"/>
    </row>
    <row r="142" spans="1:25" s="91" customFormat="1" hidden="1" x14ac:dyDescent="0.25">
      <c r="A142" s="32" t="s">
        <v>539</v>
      </c>
      <c r="B142" s="315" t="str">
        <f>IF((COUNTBLANK(G142)=0),Stats!$E$7,IF((COUNTBLANK(E142)=0),IF((COUNTBLANK(F142)=0),IF((COUNTBLANK(U142)=0),Stats!$E$6,Stats!$E$5),Stats!$E$4),""))</f>
        <v>Death</v>
      </c>
      <c r="C142" s="39" t="s">
        <v>3115</v>
      </c>
      <c r="D142" s="315"/>
      <c r="E142" s="88">
        <v>43178</v>
      </c>
      <c r="F142" s="316">
        <v>43187</v>
      </c>
      <c r="G142" s="316">
        <v>36893</v>
      </c>
      <c r="H142" s="317" t="s">
        <v>3140</v>
      </c>
      <c r="I142" s="317"/>
      <c r="J142" s="317" t="s">
        <v>152</v>
      </c>
      <c r="K142" s="315" t="s">
        <v>3199</v>
      </c>
      <c r="L142" s="315"/>
      <c r="M142" s="317"/>
      <c r="N142" s="320"/>
      <c r="O142" s="317" t="s">
        <v>51</v>
      </c>
      <c r="P142" s="321" t="s">
        <v>3470</v>
      </c>
      <c r="Q142" s="318" t="s">
        <v>3471</v>
      </c>
      <c r="R142" s="317" t="s">
        <v>3472</v>
      </c>
      <c r="S142" s="317"/>
      <c r="T142" s="317" t="s">
        <v>3467</v>
      </c>
      <c r="U142" s="317" t="s">
        <v>3469</v>
      </c>
      <c r="V142" s="317"/>
      <c r="W142" s="317"/>
      <c r="X142" s="317" t="s">
        <v>3473</v>
      </c>
      <c r="Y142" s="319"/>
    </row>
    <row r="143" spans="1:25" s="91" customFormat="1" hidden="1" x14ac:dyDescent="0.25">
      <c r="A143" s="32" t="s">
        <v>541</v>
      </c>
      <c r="B143" s="315" t="str">
        <f>IF((COUNTBLANK(G143)=0),Stats!$E$7,IF((COUNTBLANK(E143)=0),IF((COUNTBLANK(F143)=0),IF((COUNTBLANK(U143)=0),Stats!$E$6,Stats!$E$5),Stats!$E$4),""))</f>
        <v>Death</v>
      </c>
      <c r="C143" s="39" t="s">
        <v>3115</v>
      </c>
      <c r="D143" s="315"/>
      <c r="E143" s="88">
        <v>43178</v>
      </c>
      <c r="F143" s="316">
        <v>43187</v>
      </c>
      <c r="G143" s="316">
        <v>36893</v>
      </c>
      <c r="H143" s="317" t="s">
        <v>3140</v>
      </c>
      <c r="I143" s="317"/>
      <c r="J143" s="317" t="s">
        <v>152</v>
      </c>
      <c r="K143" s="315" t="s">
        <v>3199</v>
      </c>
      <c r="L143" s="315"/>
      <c r="M143" s="317"/>
      <c r="N143" s="320"/>
      <c r="O143" s="317" t="s">
        <v>51</v>
      </c>
      <c r="P143" s="321" t="s">
        <v>3470</v>
      </c>
      <c r="Q143" s="318" t="s">
        <v>3471</v>
      </c>
      <c r="R143" s="317" t="s">
        <v>3472</v>
      </c>
      <c r="S143" s="317"/>
      <c r="T143" s="317" t="s">
        <v>3467</v>
      </c>
      <c r="U143" s="317" t="s">
        <v>3469</v>
      </c>
      <c r="V143" s="317"/>
      <c r="W143" s="317"/>
      <c r="X143" s="317" t="s">
        <v>3318</v>
      </c>
      <c r="Y143" s="319"/>
    </row>
    <row r="144" spans="1:25" s="91" customFormat="1" hidden="1" x14ac:dyDescent="0.25">
      <c r="A144" s="32" t="s">
        <v>544</v>
      </c>
      <c r="B144" s="315" t="str">
        <f>IF((COUNTBLANK(G144)=0),Stats!$E$7,IF((COUNTBLANK(E144)=0),IF((COUNTBLANK(F144)=0),IF((COUNTBLANK(U144)=0),Stats!$E$6,Stats!$E$5),Stats!$E$4),""))</f>
        <v>Death</v>
      </c>
      <c r="C144" s="39" t="s">
        <v>3115</v>
      </c>
      <c r="D144" s="315"/>
      <c r="E144" s="88">
        <v>43178</v>
      </c>
      <c r="F144" s="316">
        <v>43187</v>
      </c>
      <c r="G144" s="316">
        <v>36893</v>
      </c>
      <c r="H144" s="317" t="s">
        <v>3140</v>
      </c>
      <c r="I144" s="317"/>
      <c r="J144" s="317" t="s">
        <v>152</v>
      </c>
      <c r="K144" s="315" t="s">
        <v>3199</v>
      </c>
      <c r="L144" s="315"/>
      <c r="M144" s="317"/>
      <c r="N144" s="320"/>
      <c r="O144" s="317" t="s">
        <v>51</v>
      </c>
      <c r="P144" s="321" t="s">
        <v>3470</v>
      </c>
      <c r="Q144" s="318" t="s">
        <v>3471</v>
      </c>
      <c r="R144" s="317" t="s">
        <v>3472</v>
      </c>
      <c r="S144" s="317"/>
      <c r="T144" s="317" t="s">
        <v>3467</v>
      </c>
      <c r="U144" s="317" t="s">
        <v>3469</v>
      </c>
      <c r="V144" s="317"/>
      <c r="W144" s="317"/>
      <c r="X144" s="317" t="s">
        <v>3318</v>
      </c>
      <c r="Y144" s="319"/>
    </row>
    <row r="145" spans="1:25" s="91" customFormat="1" hidden="1" x14ac:dyDescent="0.25">
      <c r="A145" s="32" t="s">
        <v>547</v>
      </c>
      <c r="B145" s="315" t="str">
        <f>IF((COUNTBLANK(G145)=0),Stats!$E$7,IF((COUNTBLANK(E145)=0),IF((COUNTBLANK(F145)=0),IF((COUNTBLANK(U145)=0),Stats!$E$6,Stats!$E$5),Stats!$E$4),""))</f>
        <v>Death</v>
      </c>
      <c r="C145" s="39" t="s">
        <v>3115</v>
      </c>
      <c r="D145" s="315"/>
      <c r="E145" s="88">
        <v>43200</v>
      </c>
      <c r="F145" s="88">
        <v>36892</v>
      </c>
      <c r="G145" s="316">
        <v>36893</v>
      </c>
      <c r="H145" s="317" t="s">
        <v>3142</v>
      </c>
      <c r="I145" s="49"/>
      <c r="J145" s="49" t="s">
        <v>152</v>
      </c>
      <c r="K145" s="315" t="s">
        <v>3199</v>
      </c>
      <c r="L145" s="58"/>
      <c r="M145" s="49"/>
      <c r="N145" s="62"/>
      <c r="O145" s="49" t="s">
        <v>51</v>
      </c>
      <c r="P145" s="67" t="s">
        <v>3474</v>
      </c>
      <c r="Q145" s="67" t="s">
        <v>3438</v>
      </c>
      <c r="R145" s="49" t="s">
        <v>3475</v>
      </c>
      <c r="S145" s="49"/>
      <c r="T145" s="49"/>
      <c r="U145" s="317"/>
      <c r="V145" s="317"/>
      <c r="W145" s="317"/>
      <c r="X145" s="49" t="s">
        <v>3476</v>
      </c>
      <c r="Y145" s="319"/>
    </row>
    <row r="146" spans="1:25" s="91" customFormat="1" hidden="1" x14ac:dyDescent="0.25">
      <c r="A146" s="32" t="s">
        <v>550</v>
      </c>
      <c r="B146" s="315" t="str">
        <f>IF((COUNTBLANK(G146)=0),Stats!$E$7,IF((COUNTBLANK(E146)=0),IF((COUNTBLANK(F146)=0),IF((COUNTBLANK(U146)=0),Stats!$E$6,Stats!$E$5),Stats!$E$4),""))</f>
        <v>Death</v>
      </c>
      <c r="C146" s="39" t="s">
        <v>3115</v>
      </c>
      <c r="D146" s="315"/>
      <c r="E146" s="88">
        <v>43200</v>
      </c>
      <c r="F146" s="316">
        <v>36892</v>
      </c>
      <c r="G146" s="316">
        <v>36893</v>
      </c>
      <c r="H146" s="317" t="s">
        <v>3142</v>
      </c>
      <c r="I146" s="317"/>
      <c r="J146" s="317" t="s">
        <v>152</v>
      </c>
      <c r="K146" s="315" t="s">
        <v>3199</v>
      </c>
      <c r="L146" s="315"/>
      <c r="M146" s="317"/>
      <c r="N146" s="320"/>
      <c r="O146" s="317" t="s">
        <v>51</v>
      </c>
      <c r="P146" s="318" t="s">
        <v>3474</v>
      </c>
      <c r="Q146" s="318" t="s">
        <v>3438</v>
      </c>
      <c r="R146" s="317" t="s">
        <v>3477</v>
      </c>
      <c r="S146" s="317"/>
      <c r="T146" s="317"/>
      <c r="U146" s="317"/>
      <c r="V146" s="317"/>
      <c r="W146" s="317"/>
      <c r="X146" s="317" t="s">
        <v>3478</v>
      </c>
      <c r="Y146" s="319"/>
    </row>
    <row r="147" spans="1:25" s="91" customFormat="1" hidden="1" x14ac:dyDescent="0.25">
      <c r="A147" s="32" t="s">
        <v>553</v>
      </c>
      <c r="B147" s="315" t="str">
        <f>IF((COUNTBLANK(G147)=0),Stats!$E$7,IF((COUNTBLANK(E147)=0),IF((COUNTBLANK(F147)=0),IF((COUNTBLANK(U147)=0),Stats!$E$6,Stats!$E$5),Stats!$E$4),""))</f>
        <v>Death</v>
      </c>
      <c r="C147" s="39" t="s">
        <v>3115</v>
      </c>
      <c r="D147" s="315"/>
      <c r="E147" s="88">
        <v>43200</v>
      </c>
      <c r="F147" s="316">
        <v>43207</v>
      </c>
      <c r="G147" s="316">
        <v>36893</v>
      </c>
      <c r="H147" s="317" t="s">
        <v>3142</v>
      </c>
      <c r="I147" s="317"/>
      <c r="J147" s="317" t="s">
        <v>152</v>
      </c>
      <c r="K147" s="315" t="s">
        <v>3199</v>
      </c>
      <c r="L147" s="315"/>
      <c r="M147" s="317"/>
      <c r="N147" s="320"/>
      <c r="O147" s="317" t="s">
        <v>51</v>
      </c>
      <c r="P147" s="318" t="s">
        <v>3479</v>
      </c>
      <c r="Q147" s="318" t="s">
        <v>3438</v>
      </c>
      <c r="R147" s="317" t="s">
        <v>3480</v>
      </c>
      <c r="S147" s="317"/>
      <c r="T147" s="317" t="s">
        <v>3481</v>
      </c>
      <c r="U147" s="317" t="s">
        <v>3482</v>
      </c>
      <c r="V147" s="317"/>
      <c r="W147" s="317"/>
      <c r="X147" s="317" t="s">
        <v>3318</v>
      </c>
      <c r="Y147" s="319"/>
    </row>
    <row r="148" spans="1:25" s="91" customFormat="1" hidden="1" x14ac:dyDescent="0.25">
      <c r="A148" s="32" t="s">
        <v>557</v>
      </c>
      <c r="B148" s="315" t="str">
        <f>IF((COUNTBLANK(G148)=0),Stats!$E$7,IF((COUNTBLANK(E148)=0),IF((COUNTBLANK(F148)=0),IF((COUNTBLANK(U148)=0),Stats!$E$6,Stats!$E$5),Stats!$E$4),""))</f>
        <v>Death</v>
      </c>
      <c r="C148" s="39" t="s">
        <v>3115</v>
      </c>
      <c r="D148" s="315"/>
      <c r="E148" s="88">
        <v>43200</v>
      </c>
      <c r="F148" s="316">
        <v>43207</v>
      </c>
      <c r="G148" s="316">
        <v>36893</v>
      </c>
      <c r="H148" s="317" t="s">
        <v>3142</v>
      </c>
      <c r="I148" s="317"/>
      <c r="J148" s="317" t="s">
        <v>152</v>
      </c>
      <c r="K148" s="315" t="s">
        <v>3199</v>
      </c>
      <c r="L148" s="315"/>
      <c r="M148" s="317"/>
      <c r="N148" s="320"/>
      <c r="O148" s="317" t="s">
        <v>51</v>
      </c>
      <c r="P148" s="318" t="s">
        <v>3479</v>
      </c>
      <c r="Q148" s="318" t="s">
        <v>3438</v>
      </c>
      <c r="R148" s="317" t="s">
        <v>3483</v>
      </c>
      <c r="S148" s="317"/>
      <c r="T148" s="317" t="s">
        <v>3484</v>
      </c>
      <c r="U148" s="317" t="s">
        <v>3485</v>
      </c>
      <c r="V148" s="317"/>
      <c r="W148" s="317"/>
      <c r="X148" s="317" t="s">
        <v>3318</v>
      </c>
      <c r="Y148" s="319"/>
    </row>
    <row r="149" spans="1:25" s="91" customFormat="1" hidden="1" x14ac:dyDescent="0.25">
      <c r="A149" s="32" t="s">
        <v>559</v>
      </c>
      <c r="B149" s="315" t="str">
        <f>IF((COUNTBLANK(G149)=0),Stats!$E$7,IF((COUNTBLANK(E149)=0),IF((COUNTBLANK(F149)=0),IF((COUNTBLANK(U149)=0),Stats!$E$6,Stats!$E$5),Stats!$E$4),""))</f>
        <v>Death</v>
      </c>
      <c r="C149" s="39" t="s">
        <v>3115</v>
      </c>
      <c r="D149" s="315"/>
      <c r="E149" s="88">
        <v>43202</v>
      </c>
      <c r="F149" s="316">
        <v>43213</v>
      </c>
      <c r="G149" s="316">
        <v>36893</v>
      </c>
      <c r="H149" s="317" t="s">
        <v>3140</v>
      </c>
      <c r="I149" s="317"/>
      <c r="J149" s="317" t="s">
        <v>152</v>
      </c>
      <c r="K149" s="315" t="s">
        <v>623</v>
      </c>
      <c r="L149" s="315"/>
      <c r="M149" s="317"/>
      <c r="N149" s="320"/>
      <c r="O149" s="317" t="s">
        <v>51</v>
      </c>
      <c r="P149" s="318" t="s">
        <v>3486</v>
      </c>
      <c r="Q149" s="318" t="s">
        <v>3487</v>
      </c>
      <c r="R149" s="317" t="s">
        <v>3446</v>
      </c>
      <c r="S149" s="317"/>
      <c r="T149" s="317" t="s">
        <v>3488</v>
      </c>
      <c r="U149" s="317" t="s">
        <v>3489</v>
      </c>
      <c r="V149" s="317" t="s">
        <v>3490</v>
      </c>
      <c r="W149" s="317"/>
      <c r="X149" s="317" t="s">
        <v>3318</v>
      </c>
      <c r="Y149" s="319"/>
    </row>
    <row r="150" spans="1:25" s="91" customFormat="1" hidden="1" x14ac:dyDescent="0.25">
      <c r="A150" s="32" t="s">
        <v>562</v>
      </c>
      <c r="B150" s="315" t="str">
        <f>IF((COUNTBLANK(G150)=0),Stats!$E$7,IF((COUNTBLANK(E150)=0),IF((COUNTBLANK(F150)=0),IF((COUNTBLANK(U150)=0),Stats!$E$6,Stats!$E$5),Stats!$E$4),""))</f>
        <v>Death</v>
      </c>
      <c r="C150" s="39" t="s">
        <v>3115</v>
      </c>
      <c r="D150" s="315"/>
      <c r="E150" s="88">
        <v>43202</v>
      </c>
      <c r="F150" s="316">
        <v>43214</v>
      </c>
      <c r="G150" s="316">
        <v>36893</v>
      </c>
      <c r="H150" s="317" t="s">
        <v>3140</v>
      </c>
      <c r="I150" s="317"/>
      <c r="J150" s="317" t="s">
        <v>152</v>
      </c>
      <c r="K150" s="315" t="s">
        <v>623</v>
      </c>
      <c r="L150" s="315"/>
      <c r="M150" s="317"/>
      <c r="N150" s="320"/>
      <c r="O150" s="317" t="s">
        <v>51</v>
      </c>
      <c r="P150" s="318" t="s">
        <v>3486</v>
      </c>
      <c r="Q150" s="318" t="s">
        <v>3487</v>
      </c>
      <c r="R150" s="317" t="s">
        <v>3443</v>
      </c>
      <c r="S150" s="317"/>
      <c r="T150" s="317" t="s">
        <v>3491</v>
      </c>
      <c r="U150" s="317" t="s">
        <v>3489</v>
      </c>
      <c r="V150" s="317" t="s">
        <v>3492</v>
      </c>
      <c r="W150" s="317"/>
      <c r="X150" s="317" t="s">
        <v>3318</v>
      </c>
      <c r="Y150" s="319"/>
    </row>
    <row r="151" spans="1:25" s="91" customFormat="1" hidden="1" x14ac:dyDescent="0.25">
      <c r="A151" s="32" t="s">
        <v>566</v>
      </c>
      <c r="B151" s="315" t="str">
        <f>IF((COUNTBLANK(G151)=0),Stats!$E$7,IF((COUNTBLANK(E151)=0),IF((COUNTBLANK(F151)=0),IF((COUNTBLANK(U151)=0),Stats!$E$6,Stats!$E$5),Stats!$E$4),""))</f>
        <v>Death</v>
      </c>
      <c r="C151" s="39" t="s">
        <v>3115</v>
      </c>
      <c r="D151" s="315"/>
      <c r="E151" s="88">
        <v>43202</v>
      </c>
      <c r="F151" s="316">
        <v>43215</v>
      </c>
      <c r="G151" s="316">
        <v>36893</v>
      </c>
      <c r="H151" s="317" t="s">
        <v>3140</v>
      </c>
      <c r="I151" s="317"/>
      <c r="J151" s="317" t="s">
        <v>152</v>
      </c>
      <c r="K151" s="315" t="s">
        <v>623</v>
      </c>
      <c r="L151" s="315"/>
      <c r="M151" s="317"/>
      <c r="N151" s="320"/>
      <c r="O151" s="317" t="s">
        <v>51</v>
      </c>
      <c r="P151" s="318" t="s">
        <v>3486</v>
      </c>
      <c r="Q151" s="318" t="s">
        <v>3487</v>
      </c>
      <c r="R151" s="317" t="s">
        <v>3445</v>
      </c>
      <c r="S151" s="317"/>
      <c r="T151" s="317" t="s">
        <v>3493</v>
      </c>
      <c r="U151" s="317" t="s">
        <v>3489</v>
      </c>
      <c r="V151" s="317" t="s">
        <v>3492</v>
      </c>
      <c r="W151" s="317"/>
      <c r="X151" s="317" t="s">
        <v>3318</v>
      </c>
      <c r="Y151" s="319"/>
    </row>
    <row r="152" spans="1:25" s="91" customFormat="1" hidden="1" x14ac:dyDescent="0.25">
      <c r="A152" s="32" t="s">
        <v>568</v>
      </c>
      <c r="B152" s="315" t="str">
        <f>IF((COUNTBLANK(G152)=0),Stats!$E$7,IF((COUNTBLANK(E152)=0),IF((COUNTBLANK(F152)=0),IF((COUNTBLANK(U152)=0),Stats!$E$6,Stats!$E$5),Stats!$E$4),""))</f>
        <v>Death</v>
      </c>
      <c r="C152" s="39" t="s">
        <v>3115</v>
      </c>
      <c r="D152" s="315"/>
      <c r="E152" s="88">
        <v>43202</v>
      </c>
      <c r="F152" s="316">
        <v>43215</v>
      </c>
      <c r="G152" s="316">
        <v>36893</v>
      </c>
      <c r="H152" s="317" t="s">
        <v>3140</v>
      </c>
      <c r="I152" s="317"/>
      <c r="J152" s="317" t="s">
        <v>152</v>
      </c>
      <c r="K152" s="315" t="s">
        <v>623</v>
      </c>
      <c r="L152" s="315"/>
      <c r="M152" s="317"/>
      <c r="N152" s="320"/>
      <c r="O152" s="317" t="s">
        <v>51</v>
      </c>
      <c r="P152" s="318" t="s">
        <v>3486</v>
      </c>
      <c r="Q152" s="318" t="s">
        <v>3487</v>
      </c>
      <c r="R152" s="317"/>
      <c r="S152" s="317"/>
      <c r="T152" s="317" t="s">
        <v>3494</v>
      </c>
      <c r="U152" s="317" t="s">
        <v>3489</v>
      </c>
      <c r="V152" s="317" t="s">
        <v>3492</v>
      </c>
      <c r="W152" s="317"/>
      <c r="X152" s="317"/>
      <c r="Y152" s="319"/>
    </row>
    <row r="153" spans="1:25" s="91" customFormat="1" hidden="1" x14ac:dyDescent="0.25">
      <c r="A153" s="32" t="s">
        <v>570</v>
      </c>
      <c r="B153" s="315" t="str">
        <f>IF((COUNTBLANK(G153)=0),Stats!$E$7,IF((COUNTBLANK(E153)=0),IF((COUNTBLANK(F153)=0),IF((COUNTBLANK(U153)=0),Stats!$E$6,Stats!$E$5),Stats!$E$4),""))</f>
        <v>Death</v>
      </c>
      <c r="C153" s="39" t="s">
        <v>3115</v>
      </c>
      <c r="D153" s="315"/>
      <c r="E153" s="88">
        <v>43202</v>
      </c>
      <c r="F153" s="316">
        <v>43213</v>
      </c>
      <c r="G153" s="316">
        <v>36893</v>
      </c>
      <c r="H153" s="317" t="s">
        <v>3128</v>
      </c>
      <c r="I153" s="317"/>
      <c r="J153" s="317" t="s">
        <v>152</v>
      </c>
      <c r="K153" s="315" t="s">
        <v>3199</v>
      </c>
      <c r="L153" s="315"/>
      <c r="M153" s="317"/>
      <c r="N153" s="320"/>
      <c r="O153" s="317" t="s">
        <v>51</v>
      </c>
      <c r="P153" s="318" t="s">
        <v>3474</v>
      </c>
      <c r="Q153" s="318" t="s">
        <v>3438</v>
      </c>
      <c r="R153" s="317"/>
      <c r="S153" s="317"/>
      <c r="T153" s="317" t="s">
        <v>3494</v>
      </c>
      <c r="U153" s="317" t="s">
        <v>3495</v>
      </c>
      <c r="V153" s="317" t="s">
        <v>3496</v>
      </c>
      <c r="W153" s="317"/>
      <c r="X153" s="317" t="s">
        <v>3318</v>
      </c>
      <c r="Y153" s="319"/>
    </row>
    <row r="154" spans="1:25" s="91" customFormat="1" hidden="1" x14ac:dyDescent="0.25">
      <c r="A154" s="32" t="s">
        <v>572</v>
      </c>
      <c r="B154" s="315" t="str">
        <f>IF((COUNTBLANK(G154)=0),Stats!$E$7,IF((COUNTBLANK(E154)=0),IF((COUNTBLANK(F154)=0),IF((COUNTBLANK(U154)=0),Stats!$E$6,Stats!$E$5),Stats!$E$4),""))</f>
        <v>Death</v>
      </c>
      <c r="C154" s="39" t="s">
        <v>3115</v>
      </c>
      <c r="D154" s="315"/>
      <c r="E154" s="88">
        <v>43202</v>
      </c>
      <c r="F154" s="316">
        <v>43215</v>
      </c>
      <c r="G154" s="316">
        <v>36893</v>
      </c>
      <c r="H154" s="317" t="s">
        <v>3128</v>
      </c>
      <c r="I154" s="317"/>
      <c r="J154" s="317" t="s">
        <v>152</v>
      </c>
      <c r="K154" s="315" t="s">
        <v>3199</v>
      </c>
      <c r="L154" s="315"/>
      <c r="M154" s="317"/>
      <c r="N154" s="320"/>
      <c r="O154" s="317" t="s">
        <v>51</v>
      </c>
      <c r="P154" s="318" t="s">
        <v>3474</v>
      </c>
      <c r="Q154" s="318" t="s">
        <v>3438</v>
      </c>
      <c r="R154" s="317"/>
      <c r="S154" s="317"/>
      <c r="T154" s="317" t="s">
        <v>3494</v>
      </c>
      <c r="U154" s="317" t="s">
        <v>3495</v>
      </c>
      <c r="V154" s="317" t="s">
        <v>3496</v>
      </c>
      <c r="W154" s="317"/>
      <c r="X154" s="317" t="s">
        <v>3318</v>
      </c>
      <c r="Y154" s="319"/>
    </row>
    <row r="155" spans="1:25" s="91" customFormat="1" hidden="1" x14ac:dyDescent="0.25">
      <c r="A155" s="32" t="s">
        <v>575</v>
      </c>
      <c r="B155" s="315" t="str">
        <f>IF((COUNTBLANK(G155)=0),Stats!$E$7,IF((COUNTBLANK(E155)=0),IF((COUNTBLANK(F155)=0),IF((COUNTBLANK(U155)=0),Stats!$E$6,Stats!$E$5),Stats!$E$4),""))</f>
        <v>Death</v>
      </c>
      <c r="C155" s="39" t="s">
        <v>3115</v>
      </c>
      <c r="D155" s="315"/>
      <c r="E155" s="88">
        <v>43202</v>
      </c>
      <c r="F155" s="316">
        <v>43216</v>
      </c>
      <c r="G155" s="316">
        <v>36893</v>
      </c>
      <c r="H155" s="317" t="s">
        <v>3128</v>
      </c>
      <c r="I155" s="317"/>
      <c r="J155" s="317" t="s">
        <v>152</v>
      </c>
      <c r="K155" s="315" t="s">
        <v>3199</v>
      </c>
      <c r="L155" s="315"/>
      <c r="M155" s="317"/>
      <c r="N155" s="320"/>
      <c r="O155" s="317" t="s">
        <v>51</v>
      </c>
      <c r="P155" s="318" t="s">
        <v>3474</v>
      </c>
      <c r="Q155" s="318" t="s">
        <v>3438</v>
      </c>
      <c r="R155" s="317"/>
      <c r="S155" s="317"/>
      <c r="T155" s="317" t="s">
        <v>3306</v>
      </c>
      <c r="U155" s="317" t="s">
        <v>3495</v>
      </c>
      <c r="V155" s="317" t="s">
        <v>3496</v>
      </c>
      <c r="W155" s="317"/>
      <c r="X155" s="317" t="s">
        <v>3318</v>
      </c>
      <c r="Y155" s="319"/>
    </row>
    <row r="156" spans="1:25" s="91" customFormat="1" hidden="1" x14ac:dyDescent="0.25">
      <c r="A156" s="32" t="s">
        <v>578</v>
      </c>
      <c r="B156" s="315" t="str">
        <f>IF((COUNTBLANK(G156)=0),Stats!$E$7,IF((COUNTBLANK(E156)=0),IF((COUNTBLANK(F156)=0),IF((COUNTBLANK(U156)=0),Stats!$E$6,Stats!$E$5),Stats!$E$4),""))</f>
        <v>Death</v>
      </c>
      <c r="C156" s="39" t="s">
        <v>3115</v>
      </c>
      <c r="D156" s="315"/>
      <c r="E156" s="88">
        <v>43202</v>
      </c>
      <c r="F156" s="316">
        <v>43216</v>
      </c>
      <c r="G156" s="316">
        <v>36893</v>
      </c>
      <c r="H156" s="317" t="s">
        <v>3128</v>
      </c>
      <c r="I156" s="317"/>
      <c r="J156" s="317" t="s">
        <v>152</v>
      </c>
      <c r="K156" s="315" t="s">
        <v>3199</v>
      </c>
      <c r="L156" s="315"/>
      <c r="M156" s="317"/>
      <c r="N156" s="320"/>
      <c r="O156" s="317" t="s">
        <v>51</v>
      </c>
      <c r="P156" s="318" t="s">
        <v>3474</v>
      </c>
      <c r="Q156" s="318" t="s">
        <v>3438</v>
      </c>
      <c r="R156" s="317"/>
      <c r="S156" s="317"/>
      <c r="T156" s="317" t="s">
        <v>3494</v>
      </c>
      <c r="U156" s="317" t="s">
        <v>3495</v>
      </c>
      <c r="V156" s="317" t="s">
        <v>3496</v>
      </c>
      <c r="W156" s="317"/>
      <c r="X156" s="317" t="s">
        <v>3318</v>
      </c>
      <c r="Y156" s="319"/>
    </row>
    <row r="157" spans="1:25" s="91" customFormat="1" hidden="1" x14ac:dyDescent="0.25">
      <c r="A157" s="32" t="s">
        <v>584</v>
      </c>
      <c r="B157" s="315" t="str">
        <f>IF((COUNTBLANK(G157)=0),Stats!$E$7,IF((COUNTBLANK(E157)=0),IF((COUNTBLANK(F157)=0),IF((COUNTBLANK(U157)=0),Stats!$E$6,Stats!$E$5),Stats!$E$4),""))</f>
        <v>Death</v>
      </c>
      <c r="C157" s="39" t="s">
        <v>3115</v>
      </c>
      <c r="D157" s="315"/>
      <c r="E157" s="88">
        <v>43203</v>
      </c>
      <c r="F157" s="316">
        <v>43222</v>
      </c>
      <c r="G157" s="316">
        <v>36893</v>
      </c>
      <c r="H157" s="317" t="s">
        <v>3128</v>
      </c>
      <c r="I157" s="317"/>
      <c r="J157" s="317" t="s">
        <v>152</v>
      </c>
      <c r="K157" s="315" t="s">
        <v>3497</v>
      </c>
      <c r="L157" s="315"/>
      <c r="M157" s="317"/>
      <c r="N157" s="320"/>
      <c r="O157" s="317" t="s">
        <v>51</v>
      </c>
      <c r="P157" s="318" t="s">
        <v>3474</v>
      </c>
      <c r="Q157" s="318" t="s">
        <v>3438</v>
      </c>
      <c r="R157" s="317" t="s">
        <v>3318</v>
      </c>
      <c r="S157" s="317"/>
      <c r="T157" s="317" t="s">
        <v>3498</v>
      </c>
      <c r="U157" s="317" t="s">
        <v>233</v>
      </c>
      <c r="V157" s="317"/>
      <c r="W157" s="317"/>
      <c r="X157" s="317"/>
      <c r="Y157" s="319"/>
    </row>
    <row r="158" spans="1:25" s="91" customFormat="1" hidden="1" x14ac:dyDescent="0.25">
      <c r="A158" s="32" t="s">
        <v>586</v>
      </c>
      <c r="B158" s="315" t="str">
        <f>IF((COUNTBLANK(G158)=0),Stats!$E$7,IF((COUNTBLANK(E158)=0),IF((COUNTBLANK(F158)=0),IF((COUNTBLANK(U158)=0),Stats!$E$6,Stats!$E$5),Stats!$E$4),""))</f>
        <v>Death</v>
      </c>
      <c r="C158" s="39" t="s">
        <v>3115</v>
      </c>
      <c r="D158" s="315"/>
      <c r="E158" s="88">
        <v>43203</v>
      </c>
      <c r="F158" s="316">
        <v>43249</v>
      </c>
      <c r="G158" s="316">
        <v>36893</v>
      </c>
      <c r="H158" s="317" t="s">
        <v>3128</v>
      </c>
      <c r="I158" s="317"/>
      <c r="J158" s="317" t="s">
        <v>152</v>
      </c>
      <c r="K158" s="315" t="s">
        <v>3497</v>
      </c>
      <c r="L158" s="315"/>
      <c r="M158" s="317"/>
      <c r="N158" s="320"/>
      <c r="O158" s="317" t="s">
        <v>51</v>
      </c>
      <c r="P158" s="318" t="s">
        <v>3474</v>
      </c>
      <c r="Q158" s="318" t="s">
        <v>3438</v>
      </c>
      <c r="R158" s="317"/>
      <c r="S158" s="317"/>
      <c r="T158" s="317"/>
      <c r="U158" s="317" t="s">
        <v>233</v>
      </c>
      <c r="V158" s="317"/>
      <c r="W158" s="317"/>
      <c r="X158" s="317" t="s">
        <v>3499</v>
      </c>
      <c r="Y158" s="319"/>
    </row>
    <row r="159" spans="1:25" s="91" customFormat="1" hidden="1" x14ac:dyDescent="0.25">
      <c r="A159" s="32" t="s">
        <v>588</v>
      </c>
      <c r="B159" s="315" t="str">
        <f>IF((COUNTBLANK(G159)=0),Stats!$E$7,IF((COUNTBLANK(E159)=0),IF((COUNTBLANK(F159)=0),IF((COUNTBLANK(U159)=0),Stats!$E$6,Stats!$E$5),Stats!$E$4),""))</f>
        <v>Death</v>
      </c>
      <c r="C159" s="39" t="s">
        <v>3115</v>
      </c>
      <c r="D159" s="315"/>
      <c r="E159" s="88">
        <v>43206</v>
      </c>
      <c r="F159" s="316">
        <v>43224</v>
      </c>
      <c r="G159" s="316">
        <v>36893</v>
      </c>
      <c r="H159" s="317" t="s">
        <v>3142</v>
      </c>
      <c r="I159" s="317"/>
      <c r="J159" s="317" t="s">
        <v>152</v>
      </c>
      <c r="K159" s="315" t="s">
        <v>3199</v>
      </c>
      <c r="L159" s="315" t="s">
        <v>3171</v>
      </c>
      <c r="M159" s="317"/>
      <c r="N159" s="320"/>
      <c r="O159" s="317" t="s">
        <v>51</v>
      </c>
      <c r="P159" s="318" t="s">
        <v>3474</v>
      </c>
      <c r="Q159" s="318" t="s">
        <v>3438</v>
      </c>
      <c r="R159" s="317" t="s">
        <v>3500</v>
      </c>
      <c r="S159" s="317"/>
      <c r="T159" s="317" t="s">
        <v>3501</v>
      </c>
      <c r="U159" s="317" t="s">
        <v>3502</v>
      </c>
      <c r="V159" s="317"/>
      <c r="W159" s="317"/>
      <c r="X159" s="317"/>
      <c r="Y159" s="319"/>
    </row>
    <row r="160" spans="1:25" s="91" customFormat="1" hidden="1" x14ac:dyDescent="0.25">
      <c r="A160" s="32" t="s">
        <v>590</v>
      </c>
      <c r="B160" s="315" t="str">
        <f>IF((COUNTBLANK(G160)=0),Stats!$E$7,IF((COUNTBLANK(E160)=0),IF((COUNTBLANK(F160)=0),IF((COUNTBLANK(U160)=0),Stats!$E$6,Stats!$E$5),Stats!$E$4),""))</f>
        <v>Death</v>
      </c>
      <c r="C160" s="39" t="s">
        <v>3115</v>
      </c>
      <c r="D160" s="315"/>
      <c r="E160" s="88">
        <v>43206</v>
      </c>
      <c r="F160" s="316">
        <v>43227</v>
      </c>
      <c r="G160" s="316">
        <v>36893</v>
      </c>
      <c r="H160" s="317" t="s">
        <v>3142</v>
      </c>
      <c r="I160" s="317"/>
      <c r="J160" s="317" t="s">
        <v>152</v>
      </c>
      <c r="K160" s="315" t="s">
        <v>3199</v>
      </c>
      <c r="L160" s="315" t="s">
        <v>3171</v>
      </c>
      <c r="M160" s="317"/>
      <c r="N160" s="320"/>
      <c r="O160" s="317" t="s">
        <v>51</v>
      </c>
      <c r="P160" s="318" t="s">
        <v>3474</v>
      </c>
      <c r="Q160" s="318" t="s">
        <v>3438</v>
      </c>
      <c r="R160" s="317" t="s">
        <v>3503</v>
      </c>
      <c r="S160" s="317"/>
      <c r="T160" s="317" t="s">
        <v>3501</v>
      </c>
      <c r="U160" s="317"/>
      <c r="V160" s="317"/>
      <c r="W160" s="317"/>
      <c r="X160" s="317" t="s">
        <v>3504</v>
      </c>
      <c r="Y160" s="319"/>
    </row>
    <row r="161" spans="1:25" s="91" customFormat="1" hidden="1" x14ac:dyDescent="0.25">
      <c r="A161" s="32" t="s">
        <v>595</v>
      </c>
      <c r="B161" s="315" t="str">
        <f>IF((COUNTBLANK(G161)=0),Stats!$E$7,IF((COUNTBLANK(E161)=0),IF((COUNTBLANK(F161)=0),IF((COUNTBLANK(U161)=0),Stats!$E$6,Stats!$E$5),Stats!$E$4),""))</f>
        <v>Death</v>
      </c>
      <c r="C161" s="39" t="s">
        <v>3115</v>
      </c>
      <c r="D161" s="315"/>
      <c r="E161" s="88">
        <v>43206</v>
      </c>
      <c r="F161" s="316">
        <v>36892</v>
      </c>
      <c r="G161" s="316">
        <v>36893</v>
      </c>
      <c r="H161" s="317" t="s">
        <v>3142</v>
      </c>
      <c r="I161" s="317"/>
      <c r="J161" s="317" t="s">
        <v>152</v>
      </c>
      <c r="K161" s="315" t="s">
        <v>3199</v>
      </c>
      <c r="L161" s="315" t="s">
        <v>3171</v>
      </c>
      <c r="M161" s="317"/>
      <c r="N161" s="320"/>
      <c r="O161" s="317" t="s">
        <v>51</v>
      </c>
      <c r="P161" s="318" t="s">
        <v>3474</v>
      </c>
      <c r="Q161" s="318" t="s">
        <v>3438</v>
      </c>
      <c r="R161" s="317" t="s">
        <v>3505</v>
      </c>
      <c r="S161" s="317"/>
      <c r="T161" s="317" t="s">
        <v>3501</v>
      </c>
      <c r="U161" s="317"/>
      <c r="V161" s="317"/>
      <c r="W161" s="317"/>
      <c r="X161" s="317"/>
      <c r="Y161" s="319"/>
    </row>
    <row r="162" spans="1:25" s="91" customFormat="1" hidden="1" x14ac:dyDescent="0.25">
      <c r="A162" s="32" t="s">
        <v>597</v>
      </c>
      <c r="B162" s="315" t="str">
        <f>IF((COUNTBLANK(G162)=0),Stats!$E$7,IF((COUNTBLANK(E162)=0),IF((COUNTBLANK(F162)=0),IF((COUNTBLANK(U162)=0),Stats!$E$6,Stats!$E$5),Stats!$E$4),""))</f>
        <v>Death</v>
      </c>
      <c r="C162" s="39" t="s">
        <v>3115</v>
      </c>
      <c r="D162" s="315"/>
      <c r="E162" s="88">
        <v>43206</v>
      </c>
      <c r="F162" s="316">
        <v>43224</v>
      </c>
      <c r="G162" s="316">
        <v>36893</v>
      </c>
      <c r="H162" s="317" t="s">
        <v>3142</v>
      </c>
      <c r="I162" s="317"/>
      <c r="J162" s="317" t="s">
        <v>152</v>
      </c>
      <c r="K162" s="315" t="s">
        <v>3199</v>
      </c>
      <c r="L162" s="315" t="s">
        <v>3171</v>
      </c>
      <c r="M162" s="317"/>
      <c r="N162" s="320"/>
      <c r="O162" s="317" t="s">
        <v>51</v>
      </c>
      <c r="P162" s="318" t="s">
        <v>3474</v>
      </c>
      <c r="Q162" s="318" t="s">
        <v>3438</v>
      </c>
      <c r="R162" s="317" t="s">
        <v>3506</v>
      </c>
      <c r="S162" s="317"/>
      <c r="T162" s="317" t="s">
        <v>3501</v>
      </c>
      <c r="U162" s="317"/>
      <c r="V162" s="317"/>
      <c r="W162" s="317"/>
      <c r="X162" s="317" t="s">
        <v>3504</v>
      </c>
      <c r="Y162" s="319"/>
    </row>
    <row r="163" spans="1:25" s="91" customFormat="1" hidden="1" x14ac:dyDescent="0.25">
      <c r="A163" s="32" t="s">
        <v>599</v>
      </c>
      <c r="B163" s="315" t="str">
        <f>IF((COUNTBLANK(G163)=0),Stats!$E$7,IF((COUNTBLANK(E163)=0),IF((COUNTBLANK(F163)=0),IF((COUNTBLANK(U163)=0),Stats!$E$6,Stats!$E$5),Stats!$E$4),""))</f>
        <v>Death</v>
      </c>
      <c r="C163" s="39" t="s">
        <v>3115</v>
      </c>
      <c r="D163" s="315"/>
      <c r="E163" s="88">
        <v>43208</v>
      </c>
      <c r="F163" s="316">
        <v>43222</v>
      </c>
      <c r="G163" s="316">
        <v>36893</v>
      </c>
      <c r="H163" s="317" t="s">
        <v>3148</v>
      </c>
      <c r="I163" s="317"/>
      <c r="J163" s="317" t="s">
        <v>152</v>
      </c>
      <c r="K163" s="315" t="s">
        <v>3164</v>
      </c>
      <c r="L163" s="315" t="s">
        <v>3173</v>
      </c>
      <c r="M163" s="317"/>
      <c r="N163" s="320"/>
      <c r="O163" s="317" t="s">
        <v>3507</v>
      </c>
      <c r="P163" s="318" t="s">
        <v>3508</v>
      </c>
      <c r="Q163" s="318" t="s">
        <v>3509</v>
      </c>
      <c r="R163" s="317" t="s">
        <v>3510</v>
      </c>
      <c r="S163" s="317"/>
      <c r="T163" s="317" t="s">
        <v>3511</v>
      </c>
      <c r="U163" s="317"/>
      <c r="V163" s="317"/>
      <c r="W163" s="317"/>
      <c r="X163" s="317"/>
      <c r="Y163" s="319"/>
    </row>
    <row r="164" spans="1:25" s="91" customFormat="1" hidden="1" x14ac:dyDescent="0.25">
      <c r="A164" s="32" t="s">
        <v>601</v>
      </c>
      <c r="B164" s="315" t="str">
        <f>IF((COUNTBLANK(G164)=0),Stats!$E$7,IF((COUNTBLANK(E164)=0),IF((COUNTBLANK(F164)=0),IF((COUNTBLANK(U164)=0),Stats!$E$6,Stats!$E$5),Stats!$E$4),""))</f>
        <v>Death</v>
      </c>
      <c r="C164" s="39" t="s">
        <v>3115</v>
      </c>
      <c r="D164" s="315"/>
      <c r="E164" s="88">
        <v>43208</v>
      </c>
      <c r="F164" s="88">
        <v>36892</v>
      </c>
      <c r="G164" s="316">
        <v>36893</v>
      </c>
      <c r="H164" s="317" t="s">
        <v>3148</v>
      </c>
      <c r="I164" s="49"/>
      <c r="J164" s="49" t="s">
        <v>152</v>
      </c>
      <c r="K164" s="315" t="s">
        <v>3164</v>
      </c>
      <c r="L164" s="315" t="s">
        <v>3173</v>
      </c>
      <c r="M164" s="317"/>
      <c r="N164" s="320"/>
      <c r="O164" s="49" t="s">
        <v>3507</v>
      </c>
      <c r="P164" s="318" t="s">
        <v>3508</v>
      </c>
      <c r="Q164" s="67" t="s">
        <v>3509</v>
      </c>
      <c r="R164" s="49" t="s">
        <v>3512</v>
      </c>
      <c r="S164" s="49"/>
      <c r="T164" s="49"/>
      <c r="U164" s="49"/>
      <c r="V164" s="49"/>
      <c r="W164" s="49"/>
      <c r="X164" s="317"/>
      <c r="Y164" s="95"/>
    </row>
    <row r="165" spans="1:25" s="92" customFormat="1" hidden="1" x14ac:dyDescent="0.25">
      <c r="A165" s="32" t="s">
        <v>604</v>
      </c>
      <c r="B165" s="315" t="str">
        <f>IF((COUNTBLANK(G165)=0),Stats!$E$7,IF((COUNTBLANK(E165)=0),IF((COUNTBLANK(F165)=0),IF((COUNTBLANK(U165)=0),Stats!$E$6,Stats!$E$5),Stats!$E$4),""))</f>
        <v>Death</v>
      </c>
      <c r="C165" s="39" t="s">
        <v>3115</v>
      </c>
      <c r="D165" s="315"/>
      <c r="E165" s="88">
        <v>43208</v>
      </c>
      <c r="F165" s="316">
        <v>43222</v>
      </c>
      <c r="G165" s="316">
        <v>36893</v>
      </c>
      <c r="H165" s="317" t="s">
        <v>3148</v>
      </c>
      <c r="I165" s="317"/>
      <c r="J165" s="317" t="s">
        <v>152</v>
      </c>
      <c r="K165" s="315" t="s">
        <v>3164</v>
      </c>
      <c r="L165" s="315" t="s">
        <v>3173</v>
      </c>
      <c r="M165" s="317"/>
      <c r="N165" s="320"/>
      <c r="O165" s="317" t="s">
        <v>3507</v>
      </c>
      <c r="P165" s="318" t="s">
        <v>3508</v>
      </c>
      <c r="Q165" s="318" t="s">
        <v>3509</v>
      </c>
      <c r="R165" s="317" t="s">
        <v>3513</v>
      </c>
      <c r="S165" s="317"/>
      <c r="T165" s="317" t="s">
        <v>3514</v>
      </c>
      <c r="U165" s="317" t="s">
        <v>3515</v>
      </c>
      <c r="V165" s="317"/>
      <c r="W165" s="317"/>
      <c r="X165" s="317" t="s">
        <v>3514</v>
      </c>
      <c r="Y165" s="319"/>
    </row>
    <row r="166" spans="1:25" s="91" customFormat="1" hidden="1" x14ac:dyDescent="0.25">
      <c r="A166" s="32" t="s">
        <v>606</v>
      </c>
      <c r="B166" s="315" t="str">
        <f>IF((COUNTBLANK(G166)=0),Stats!$E$7,IF((COUNTBLANK(E166)=0),IF((COUNTBLANK(F166)=0),IF((COUNTBLANK(U166)=0),Stats!$E$6,Stats!$E$5),Stats!$E$4),""))</f>
        <v>Death</v>
      </c>
      <c r="C166" s="39" t="s">
        <v>3115</v>
      </c>
      <c r="D166" s="315"/>
      <c r="E166" s="88">
        <v>43210</v>
      </c>
      <c r="F166" s="316">
        <v>43251</v>
      </c>
      <c r="G166" s="316">
        <v>36893</v>
      </c>
      <c r="H166" s="317" t="s">
        <v>3128</v>
      </c>
      <c r="I166" s="317"/>
      <c r="J166" s="317" t="s">
        <v>152</v>
      </c>
      <c r="K166" s="315" t="s">
        <v>3164</v>
      </c>
      <c r="L166" s="315" t="s">
        <v>3199</v>
      </c>
      <c r="M166" s="317"/>
      <c r="N166" s="320"/>
      <c r="O166" s="317" t="s">
        <v>51</v>
      </c>
      <c r="P166" s="318" t="s">
        <v>3516</v>
      </c>
      <c r="Q166" s="318" t="s">
        <v>3517</v>
      </c>
      <c r="R166" s="317"/>
      <c r="S166" s="317"/>
      <c r="T166" s="317"/>
      <c r="U166" s="317" t="s">
        <v>3518</v>
      </c>
      <c r="V166" s="317"/>
      <c r="W166" s="317"/>
      <c r="X166" s="317"/>
      <c r="Y166" s="319"/>
    </row>
    <row r="167" spans="1:25" s="91" customFormat="1" hidden="1" x14ac:dyDescent="0.25">
      <c r="A167" s="32" t="s">
        <v>608</v>
      </c>
      <c r="B167" s="315" t="str">
        <f>IF((COUNTBLANK(G167)=0),Stats!$E$7,IF((COUNTBLANK(E167)=0),IF((COUNTBLANK(F167)=0),IF((COUNTBLANK(U167)=0),Stats!$E$6,Stats!$E$5),Stats!$E$4),""))</f>
        <v>Death</v>
      </c>
      <c r="C167" s="39" t="s">
        <v>3115</v>
      </c>
      <c r="D167" s="315"/>
      <c r="E167" s="88">
        <v>43210</v>
      </c>
      <c r="F167" s="88">
        <v>43251</v>
      </c>
      <c r="G167" s="316">
        <v>36893</v>
      </c>
      <c r="H167" s="317" t="s">
        <v>3128</v>
      </c>
      <c r="I167" s="49"/>
      <c r="J167" s="49" t="s">
        <v>152</v>
      </c>
      <c r="K167" s="315" t="s">
        <v>3164</v>
      </c>
      <c r="L167" s="315" t="s">
        <v>3199</v>
      </c>
      <c r="M167" s="49"/>
      <c r="N167" s="62"/>
      <c r="O167" s="49" t="s">
        <v>51</v>
      </c>
      <c r="P167" s="67" t="s">
        <v>3516</v>
      </c>
      <c r="Q167" s="67" t="s">
        <v>3517</v>
      </c>
      <c r="R167" s="49"/>
      <c r="S167" s="49"/>
      <c r="T167" s="49"/>
      <c r="U167" s="77"/>
      <c r="V167" s="49"/>
      <c r="W167" s="49"/>
      <c r="X167" s="49" t="s">
        <v>3461</v>
      </c>
      <c r="Y167" s="95"/>
    </row>
    <row r="168" spans="1:25" s="92" customFormat="1" hidden="1" x14ac:dyDescent="0.25">
      <c r="A168" s="32" t="s">
        <v>610</v>
      </c>
      <c r="B168" s="315" t="str">
        <f>IF((COUNTBLANK(G168)=0),Stats!$E$7,IF((COUNTBLANK(E168)=0),IF((COUNTBLANK(F168)=0),IF((COUNTBLANK(U168)=0),Stats!$E$6,Stats!$E$5),Stats!$E$4),""))</f>
        <v>Death</v>
      </c>
      <c r="C168" s="39" t="s">
        <v>3115</v>
      </c>
      <c r="D168" s="315"/>
      <c r="E168" s="88">
        <v>43210</v>
      </c>
      <c r="F168" s="316">
        <v>36892</v>
      </c>
      <c r="G168" s="316">
        <v>36893</v>
      </c>
      <c r="H168" s="317" t="s">
        <v>3128</v>
      </c>
      <c r="I168" s="317"/>
      <c r="J168" s="317" t="s">
        <v>152</v>
      </c>
      <c r="K168" s="315" t="s">
        <v>3164</v>
      </c>
      <c r="L168" s="315" t="s">
        <v>3199</v>
      </c>
      <c r="M168" s="317"/>
      <c r="N168" s="320"/>
      <c r="O168" s="317" t="s">
        <v>51</v>
      </c>
      <c r="P168" s="318" t="s">
        <v>3516</v>
      </c>
      <c r="Q168" s="318" t="s">
        <v>3517</v>
      </c>
      <c r="R168" s="317"/>
      <c r="S168" s="317"/>
      <c r="T168" s="317"/>
      <c r="U168" s="317"/>
      <c r="V168" s="317"/>
      <c r="W168" s="317"/>
      <c r="X168" s="317"/>
      <c r="Y168" s="319"/>
    </row>
    <row r="169" spans="1:25" s="91" customFormat="1" hidden="1" x14ac:dyDescent="0.25">
      <c r="A169" s="32" t="s">
        <v>613</v>
      </c>
      <c r="B169" s="315" t="str">
        <f>IF((COUNTBLANK(G169)=0),Stats!$E$7,IF((COUNTBLANK(E169)=0),IF((COUNTBLANK(F169)=0),IF((COUNTBLANK(U169)=0),Stats!$E$6,Stats!$E$5),Stats!$E$4),""))</f>
        <v>Death</v>
      </c>
      <c r="C169" s="39" t="s">
        <v>3115</v>
      </c>
      <c r="D169" s="315"/>
      <c r="E169" s="88">
        <v>43235</v>
      </c>
      <c r="F169" s="316">
        <v>43235</v>
      </c>
      <c r="G169" s="316">
        <v>36893</v>
      </c>
      <c r="H169" s="317" t="s">
        <v>3148</v>
      </c>
      <c r="I169" s="317"/>
      <c r="J169" s="317" t="s">
        <v>152</v>
      </c>
      <c r="K169" s="315" t="s">
        <v>3216</v>
      </c>
      <c r="L169" s="315"/>
      <c r="M169" s="317"/>
      <c r="N169" s="320"/>
      <c r="O169" s="317" t="s">
        <v>51</v>
      </c>
      <c r="P169" s="318">
        <v>350</v>
      </c>
      <c r="Q169" s="318">
        <v>400</v>
      </c>
      <c r="R169" s="317"/>
      <c r="S169" s="317"/>
      <c r="T169" s="317" t="s">
        <v>3519</v>
      </c>
      <c r="U169" s="317"/>
      <c r="V169" s="317"/>
      <c r="W169" s="317"/>
      <c r="X169" s="317" t="s">
        <v>3519</v>
      </c>
      <c r="Y169" s="319"/>
    </row>
    <row r="170" spans="1:25" s="91" customFormat="1" hidden="1" x14ac:dyDescent="0.25">
      <c r="A170" s="32" t="s">
        <v>615</v>
      </c>
      <c r="B170" s="315" t="str">
        <f>IF((COUNTBLANK(G170)=0),Stats!$E$7,IF((COUNTBLANK(E170)=0),IF((COUNTBLANK(F170)=0),IF((COUNTBLANK(U170)=0),Stats!$E$6,Stats!$E$5),Stats!$E$4),""))</f>
        <v>Death</v>
      </c>
      <c r="C170" s="39" t="s">
        <v>3115</v>
      </c>
      <c r="D170" s="315"/>
      <c r="E170" s="88">
        <v>43235</v>
      </c>
      <c r="F170" s="316">
        <v>43235</v>
      </c>
      <c r="G170" s="316">
        <v>36893</v>
      </c>
      <c r="H170" s="317" t="s">
        <v>3148</v>
      </c>
      <c r="I170" s="317"/>
      <c r="J170" s="317" t="s">
        <v>152</v>
      </c>
      <c r="K170" s="315" t="s">
        <v>3216</v>
      </c>
      <c r="L170" s="315"/>
      <c r="M170" s="317"/>
      <c r="N170" s="320"/>
      <c r="O170" s="317" t="s">
        <v>51</v>
      </c>
      <c r="P170" s="318">
        <v>350</v>
      </c>
      <c r="Q170" s="318">
        <v>400</v>
      </c>
      <c r="R170" s="317"/>
      <c r="S170" s="317"/>
      <c r="T170" s="317" t="s">
        <v>3519</v>
      </c>
      <c r="U170" s="317"/>
      <c r="V170" s="317"/>
      <c r="W170" s="317"/>
      <c r="X170" s="317" t="s">
        <v>3519</v>
      </c>
      <c r="Y170" s="319"/>
    </row>
    <row r="171" spans="1:25" s="91" customFormat="1" hidden="1" x14ac:dyDescent="0.25">
      <c r="A171" s="32" t="s">
        <v>617</v>
      </c>
      <c r="B171" s="315" t="str">
        <f>IF((COUNTBLANK(G171)=0),Stats!$E$7,IF((COUNTBLANK(E171)=0),IF((COUNTBLANK(F171)=0),IF((COUNTBLANK(U171)=0),Stats!$E$6,Stats!$E$5),Stats!$E$4),""))</f>
        <v>Death</v>
      </c>
      <c r="C171" s="39" t="s">
        <v>3115</v>
      </c>
      <c r="D171" s="315"/>
      <c r="E171" s="88">
        <v>43235</v>
      </c>
      <c r="F171" s="316">
        <v>43235</v>
      </c>
      <c r="G171" s="316">
        <v>36893</v>
      </c>
      <c r="H171" s="317" t="s">
        <v>3148</v>
      </c>
      <c r="I171" s="317"/>
      <c r="J171" s="317" t="s">
        <v>152</v>
      </c>
      <c r="K171" s="315" t="s">
        <v>3216</v>
      </c>
      <c r="L171" s="315"/>
      <c r="M171" s="317"/>
      <c r="N171" s="320"/>
      <c r="O171" s="317" t="s">
        <v>51</v>
      </c>
      <c r="P171" s="318">
        <v>350</v>
      </c>
      <c r="Q171" s="318">
        <v>400</v>
      </c>
      <c r="R171" s="317"/>
      <c r="S171" s="317"/>
      <c r="T171" s="317" t="s">
        <v>3519</v>
      </c>
      <c r="U171" s="317"/>
      <c r="V171" s="317"/>
      <c r="W171" s="317"/>
      <c r="X171" s="317" t="s">
        <v>3519</v>
      </c>
      <c r="Y171" s="319"/>
    </row>
    <row r="172" spans="1:25" s="91" customFormat="1" hidden="1" x14ac:dyDescent="0.25">
      <c r="A172" s="32" t="s">
        <v>619</v>
      </c>
      <c r="B172" s="315" t="str">
        <f>IF((COUNTBLANK(G172)=0),Stats!$E$7,IF((COUNTBLANK(E172)=0),IF((COUNTBLANK(F172)=0),IF((COUNTBLANK(U172)=0),Stats!$E$6,Stats!$E$5),Stats!$E$4),""))</f>
        <v>Death</v>
      </c>
      <c r="C172" s="39" t="s">
        <v>3115</v>
      </c>
      <c r="D172" s="315"/>
      <c r="E172" s="88">
        <v>43236</v>
      </c>
      <c r="F172" s="316">
        <v>43251</v>
      </c>
      <c r="G172" s="316">
        <v>36893</v>
      </c>
      <c r="H172" s="317" t="s">
        <v>3142</v>
      </c>
      <c r="I172" s="317"/>
      <c r="J172" s="317" t="s">
        <v>152</v>
      </c>
      <c r="K172" s="315" t="s">
        <v>3199</v>
      </c>
      <c r="L172" s="315"/>
      <c r="M172" s="317"/>
      <c r="N172" s="320"/>
      <c r="O172" s="317" t="s">
        <v>51</v>
      </c>
      <c r="P172" s="318" t="s">
        <v>3474</v>
      </c>
      <c r="Q172" s="318" t="s">
        <v>3438</v>
      </c>
      <c r="R172" s="317"/>
      <c r="S172" s="317"/>
      <c r="T172" s="317"/>
      <c r="U172" s="317" t="s">
        <v>3520</v>
      </c>
      <c r="V172" s="317"/>
      <c r="W172" s="317"/>
      <c r="X172" s="317" t="s">
        <v>3521</v>
      </c>
      <c r="Y172" s="319"/>
    </row>
    <row r="173" spans="1:25" s="91" customFormat="1" hidden="1" x14ac:dyDescent="0.25">
      <c r="A173" s="32" t="s">
        <v>629</v>
      </c>
      <c r="B173" s="315" t="str">
        <f>IF((COUNTBLANK(G173)=0),Stats!$E$7,IF((COUNTBLANK(E173)=0),IF((COUNTBLANK(F173)=0),IF((COUNTBLANK(U173)=0),Stats!$E$6,Stats!$E$5),Stats!$E$4),""))</f>
        <v>Death</v>
      </c>
      <c r="C173" s="39" t="s">
        <v>3115</v>
      </c>
      <c r="D173" s="315"/>
      <c r="E173" s="88">
        <v>43236</v>
      </c>
      <c r="F173" s="316">
        <v>43262</v>
      </c>
      <c r="G173" s="316">
        <v>36893</v>
      </c>
      <c r="H173" s="317" t="s">
        <v>3142</v>
      </c>
      <c r="I173" s="317"/>
      <c r="J173" s="317" t="s">
        <v>152</v>
      </c>
      <c r="K173" s="315" t="s">
        <v>3199</v>
      </c>
      <c r="L173" s="315"/>
      <c r="M173" s="317"/>
      <c r="N173" s="320"/>
      <c r="O173" s="317" t="s">
        <v>51</v>
      </c>
      <c r="P173" s="318" t="s">
        <v>3474</v>
      </c>
      <c r="Q173" s="318" t="s">
        <v>3438</v>
      </c>
      <c r="R173" s="317"/>
      <c r="S173" s="317"/>
      <c r="T173" s="317"/>
      <c r="U173" s="317" t="s">
        <v>3520</v>
      </c>
      <c r="V173" s="317"/>
      <c r="W173" s="317"/>
      <c r="X173" s="317" t="s">
        <v>3521</v>
      </c>
      <c r="Y173" s="319"/>
    </row>
    <row r="174" spans="1:25" s="91" customFormat="1" hidden="1" x14ac:dyDescent="0.25">
      <c r="A174" s="32" t="s">
        <v>631</v>
      </c>
      <c r="B174" s="315" t="str">
        <f>IF((COUNTBLANK(G174)=0),Stats!$E$7,IF((COUNTBLANK(E174)=0),IF((COUNTBLANK(F174)=0),IF((COUNTBLANK(U174)=0),Stats!$E$6,Stats!$E$5),Stats!$E$4),""))</f>
        <v>Death</v>
      </c>
      <c r="C174" s="39" t="s">
        <v>3115</v>
      </c>
      <c r="D174" s="315"/>
      <c r="E174" s="88">
        <v>43236</v>
      </c>
      <c r="F174" s="316">
        <v>43262</v>
      </c>
      <c r="G174" s="316">
        <v>36893</v>
      </c>
      <c r="H174" s="317" t="s">
        <v>3142</v>
      </c>
      <c r="I174" s="317"/>
      <c r="J174" s="317" t="s">
        <v>152</v>
      </c>
      <c r="K174" s="315" t="s">
        <v>3199</v>
      </c>
      <c r="L174" s="315"/>
      <c r="M174" s="317"/>
      <c r="N174" s="320"/>
      <c r="O174" s="317" t="s">
        <v>51</v>
      </c>
      <c r="P174" s="318" t="s">
        <v>3474</v>
      </c>
      <c r="Q174" s="318" t="s">
        <v>3438</v>
      </c>
      <c r="R174" s="317"/>
      <c r="S174" s="317"/>
      <c r="T174" s="317"/>
      <c r="U174" s="317" t="s">
        <v>3520</v>
      </c>
      <c r="V174" s="317"/>
      <c r="W174" s="317"/>
      <c r="X174" s="317" t="s">
        <v>3521</v>
      </c>
      <c r="Y174" s="319"/>
    </row>
    <row r="175" spans="1:25" s="91" customFormat="1" hidden="1" x14ac:dyDescent="0.25">
      <c r="A175" s="32" t="s">
        <v>635</v>
      </c>
      <c r="B175" s="315" t="str">
        <f>IF((COUNTBLANK(G175)=0),Stats!$E$7,IF((COUNTBLANK(E175)=0),IF((COUNTBLANK(F175)=0),IF((COUNTBLANK(U175)=0),Stats!$E$6,Stats!$E$5),Stats!$E$4),""))</f>
        <v>Death</v>
      </c>
      <c r="C175" s="39" t="s">
        <v>3115</v>
      </c>
      <c r="D175" s="315"/>
      <c r="E175" s="88">
        <v>43236</v>
      </c>
      <c r="F175" s="316">
        <v>43251</v>
      </c>
      <c r="G175" s="316">
        <v>36893</v>
      </c>
      <c r="H175" s="317" t="s">
        <v>3142</v>
      </c>
      <c r="I175" s="317"/>
      <c r="J175" s="317" t="s">
        <v>152</v>
      </c>
      <c r="K175" s="315" t="s">
        <v>3199</v>
      </c>
      <c r="L175" s="315"/>
      <c r="M175" s="317"/>
      <c r="N175" s="320"/>
      <c r="O175" s="317" t="s">
        <v>51</v>
      </c>
      <c r="P175" s="318" t="s">
        <v>3474</v>
      </c>
      <c r="Q175" s="318" t="s">
        <v>3438</v>
      </c>
      <c r="R175" s="317"/>
      <c r="S175" s="317"/>
      <c r="T175" s="317"/>
      <c r="U175" s="317" t="s">
        <v>3520</v>
      </c>
      <c r="V175" s="317"/>
      <c r="W175" s="317"/>
      <c r="X175" s="317" t="s">
        <v>3461</v>
      </c>
      <c r="Y175" s="319"/>
    </row>
    <row r="176" spans="1:25" s="91" customFormat="1" hidden="1" x14ac:dyDescent="0.25">
      <c r="A176" s="32" t="s">
        <v>637</v>
      </c>
      <c r="B176" s="315" t="str">
        <f>IF((COUNTBLANK(G176)=0),Stats!$E$7,IF((COUNTBLANK(E176)=0),IF((COUNTBLANK(F176)=0),IF((COUNTBLANK(U176)=0),Stats!$E$6,Stats!$E$5),Stats!$E$4),""))</f>
        <v>Death</v>
      </c>
      <c r="C176" s="39" t="s">
        <v>3115</v>
      </c>
      <c r="D176" s="315"/>
      <c r="E176" s="88">
        <v>43238</v>
      </c>
      <c r="F176" s="316">
        <v>43248</v>
      </c>
      <c r="G176" s="316">
        <v>36893</v>
      </c>
      <c r="H176" s="317" t="s">
        <v>3140</v>
      </c>
      <c r="I176" s="317"/>
      <c r="J176" s="317" t="s">
        <v>152</v>
      </c>
      <c r="K176" s="315" t="s">
        <v>3171</v>
      </c>
      <c r="L176" s="315" t="s">
        <v>3199</v>
      </c>
      <c r="M176" s="317"/>
      <c r="N176" s="320"/>
      <c r="O176" s="317" t="s">
        <v>478</v>
      </c>
      <c r="P176" s="321">
        <v>1000750500250</v>
      </c>
      <c r="Q176" s="318" t="s">
        <v>3331</v>
      </c>
      <c r="R176" s="317" t="s">
        <v>3522</v>
      </c>
      <c r="S176" s="317"/>
      <c r="T176" s="317"/>
      <c r="U176" s="78" t="s">
        <v>3523</v>
      </c>
      <c r="V176" s="317"/>
      <c r="W176" s="317"/>
      <c r="X176" s="317" t="s">
        <v>3206</v>
      </c>
      <c r="Y176" s="319"/>
    </row>
    <row r="177" spans="1:25" s="91" customFormat="1" hidden="1" x14ac:dyDescent="0.25">
      <c r="A177" s="32" t="s">
        <v>639</v>
      </c>
      <c r="B177" s="315" t="str">
        <f>IF((COUNTBLANK(G177)=0),Stats!$E$7,IF((COUNTBLANK(E177)=0),IF((COUNTBLANK(F177)=0),IF((COUNTBLANK(U177)=0),Stats!$E$6,Stats!$E$5),Stats!$E$4),""))</f>
        <v>Death</v>
      </c>
      <c r="C177" s="39" t="s">
        <v>3115</v>
      </c>
      <c r="D177" s="315"/>
      <c r="E177" s="88">
        <v>43238</v>
      </c>
      <c r="F177" s="316">
        <v>43248</v>
      </c>
      <c r="G177" s="316">
        <v>36893</v>
      </c>
      <c r="H177" s="317" t="s">
        <v>3140</v>
      </c>
      <c r="I177" s="317"/>
      <c r="J177" s="317" t="s">
        <v>152</v>
      </c>
      <c r="K177" s="315" t="s">
        <v>3171</v>
      </c>
      <c r="L177" s="315" t="s">
        <v>3199</v>
      </c>
      <c r="M177" s="317"/>
      <c r="N177" s="320"/>
      <c r="O177" s="317" t="s">
        <v>478</v>
      </c>
      <c r="P177" s="321">
        <v>1000750500250</v>
      </c>
      <c r="Q177" s="318" t="s">
        <v>3331</v>
      </c>
      <c r="R177" s="317" t="s">
        <v>3522</v>
      </c>
      <c r="S177" s="317"/>
      <c r="T177" s="317" t="s">
        <v>3501</v>
      </c>
      <c r="U177" s="78" t="s">
        <v>3523</v>
      </c>
      <c r="V177" s="317"/>
      <c r="W177" s="317"/>
      <c r="X177" s="317" t="s">
        <v>3504</v>
      </c>
      <c r="Y177" s="319"/>
    </row>
    <row r="178" spans="1:25" s="91" customFormat="1" hidden="1" x14ac:dyDescent="0.25">
      <c r="A178" s="32" t="s">
        <v>641</v>
      </c>
      <c r="B178" s="315" t="str">
        <f>IF((COUNTBLANK(G178)=0),Stats!$E$7,IF((COUNTBLANK(E178)=0),IF((COUNTBLANK(F178)=0),IF((COUNTBLANK(U178)=0),Stats!$E$6,Stats!$E$5),Stats!$E$4),""))</f>
        <v>Death</v>
      </c>
      <c r="C178" s="39" t="s">
        <v>3115</v>
      </c>
      <c r="D178" s="315"/>
      <c r="E178" s="88">
        <v>43242</v>
      </c>
      <c r="F178" s="316">
        <v>43249</v>
      </c>
      <c r="G178" s="316">
        <v>36893</v>
      </c>
      <c r="H178" s="317" t="s">
        <v>3140</v>
      </c>
      <c r="I178" s="317"/>
      <c r="J178" s="317" t="s">
        <v>152</v>
      </c>
      <c r="K178" s="315" t="s">
        <v>3171</v>
      </c>
      <c r="L178" s="315" t="s">
        <v>3199</v>
      </c>
      <c r="M178" s="317"/>
      <c r="N178" s="320"/>
      <c r="O178" s="317" t="s">
        <v>51</v>
      </c>
      <c r="P178" s="321">
        <v>1000750500250</v>
      </c>
      <c r="Q178" s="318" t="s">
        <v>3331</v>
      </c>
      <c r="R178" s="317" t="s">
        <v>3522</v>
      </c>
      <c r="S178" s="317"/>
      <c r="T178" s="317" t="s">
        <v>3501</v>
      </c>
      <c r="U178" s="78" t="s">
        <v>3523</v>
      </c>
      <c r="V178" s="317"/>
      <c r="W178" s="317"/>
      <c r="X178" s="317" t="s">
        <v>3504</v>
      </c>
      <c r="Y178" s="319"/>
    </row>
    <row r="179" spans="1:25" s="91" customFormat="1" hidden="1" x14ac:dyDescent="0.25">
      <c r="A179" s="32" t="s">
        <v>643</v>
      </c>
      <c r="B179" s="315" t="str">
        <f>IF((COUNTBLANK(G179)=0),Stats!$E$7,IF((COUNTBLANK(E179)=0),IF((COUNTBLANK(F179)=0),IF((COUNTBLANK(U179)=0),Stats!$E$6,Stats!$E$5),Stats!$E$4),""))</f>
        <v>Death</v>
      </c>
      <c r="C179" s="39" t="s">
        <v>3115</v>
      </c>
      <c r="D179" s="315"/>
      <c r="E179" s="88">
        <v>43242</v>
      </c>
      <c r="F179" s="316">
        <v>43250</v>
      </c>
      <c r="G179" s="316">
        <v>36893</v>
      </c>
      <c r="H179" s="317" t="s">
        <v>3140</v>
      </c>
      <c r="I179" s="317"/>
      <c r="J179" s="317" t="s">
        <v>152</v>
      </c>
      <c r="K179" s="315" t="s">
        <v>3171</v>
      </c>
      <c r="L179" s="315" t="s">
        <v>3199</v>
      </c>
      <c r="M179" s="317"/>
      <c r="N179" s="320"/>
      <c r="O179" s="317" t="s">
        <v>478</v>
      </c>
      <c r="P179" s="321">
        <v>1000750500250</v>
      </c>
      <c r="Q179" s="318" t="s">
        <v>3331</v>
      </c>
      <c r="R179" s="317" t="s">
        <v>3522</v>
      </c>
      <c r="S179" s="317"/>
      <c r="T179" s="317" t="s">
        <v>3501</v>
      </c>
      <c r="U179" s="78" t="s">
        <v>3523</v>
      </c>
      <c r="V179" s="317"/>
      <c r="W179" s="317"/>
      <c r="X179" s="317" t="s">
        <v>3504</v>
      </c>
      <c r="Y179" s="319"/>
    </row>
    <row r="180" spans="1:25" s="91" customFormat="1" hidden="1" x14ac:dyDescent="0.25">
      <c r="A180" s="32" t="s">
        <v>652</v>
      </c>
      <c r="B180" s="315" t="str">
        <f>IF((COUNTBLANK(G180)=0),Stats!$E$7,IF((COUNTBLANK(E180)=0),IF((COUNTBLANK(F180)=0),IF((COUNTBLANK(U180)=0),Stats!$E$6,Stats!$E$5),Stats!$E$4),""))</f>
        <v>Death</v>
      </c>
      <c r="C180" s="39" t="s">
        <v>3115</v>
      </c>
      <c r="D180" s="315"/>
      <c r="E180" s="88">
        <v>43242</v>
      </c>
      <c r="F180" s="316">
        <v>36892</v>
      </c>
      <c r="G180" s="316">
        <v>36893</v>
      </c>
      <c r="H180" s="317" t="s">
        <v>3140</v>
      </c>
      <c r="I180" s="317"/>
      <c r="J180" s="317" t="s">
        <v>152</v>
      </c>
      <c r="K180" s="315" t="s">
        <v>3171</v>
      </c>
      <c r="L180" s="315" t="s">
        <v>3199</v>
      </c>
      <c r="M180" s="317"/>
      <c r="N180" s="320"/>
      <c r="O180" s="317" t="s">
        <v>478</v>
      </c>
      <c r="P180" s="321">
        <v>1000750500250</v>
      </c>
      <c r="Q180" s="318" t="s">
        <v>3331</v>
      </c>
      <c r="R180" s="317" t="s">
        <v>3522</v>
      </c>
      <c r="S180" s="317"/>
      <c r="T180" s="317"/>
      <c r="U180" s="317"/>
      <c r="V180" s="317"/>
      <c r="W180" s="317"/>
      <c r="X180" s="317"/>
      <c r="Y180" s="319"/>
    </row>
    <row r="181" spans="1:25" s="91" customFormat="1" hidden="1" x14ac:dyDescent="0.25">
      <c r="A181" s="32" t="s">
        <v>655</v>
      </c>
      <c r="B181" s="315" t="str">
        <f>IF((COUNTBLANK(G181)=0),Stats!$E$7,IF((COUNTBLANK(E181)=0),IF((COUNTBLANK(F181)=0),IF((COUNTBLANK(U181)=0),Stats!$E$6,Stats!$E$5),Stats!$E$4),""))</f>
        <v>Death</v>
      </c>
      <c r="C181" s="39" t="s">
        <v>3115</v>
      </c>
      <c r="D181" s="315"/>
      <c r="E181" s="88">
        <v>43251</v>
      </c>
      <c r="F181" s="316">
        <v>36892</v>
      </c>
      <c r="G181" s="316">
        <v>36893</v>
      </c>
      <c r="H181" s="317" t="s">
        <v>3140</v>
      </c>
      <c r="I181" s="49"/>
      <c r="J181" s="317" t="s">
        <v>152</v>
      </c>
      <c r="K181" s="315" t="s">
        <v>3199</v>
      </c>
      <c r="L181" s="315"/>
      <c r="M181" s="317"/>
      <c r="N181" s="320"/>
      <c r="O181" s="317" t="s">
        <v>51</v>
      </c>
      <c r="P181" s="321" t="s">
        <v>3524</v>
      </c>
      <c r="Q181" s="318" t="s">
        <v>3525</v>
      </c>
      <c r="R181" s="317"/>
      <c r="S181" s="317"/>
      <c r="T181" s="317"/>
      <c r="U181" s="317"/>
      <c r="V181" s="317"/>
      <c r="W181" s="317"/>
      <c r="X181" s="317" t="s">
        <v>3318</v>
      </c>
      <c r="Y181" s="319"/>
    </row>
    <row r="182" spans="1:25" s="91" customFormat="1" hidden="1" x14ac:dyDescent="0.25">
      <c r="A182" s="32" t="s">
        <v>661</v>
      </c>
      <c r="B182" s="315" t="str">
        <f>IF((COUNTBLANK(G182)=0),Stats!$E$7,IF((COUNTBLANK(E182)=0),IF((COUNTBLANK(F182)=0),IF((COUNTBLANK(U182)=0),Stats!$E$6,Stats!$E$5),Stats!$E$4),""))</f>
        <v>Death</v>
      </c>
      <c r="C182" s="39" t="s">
        <v>3115</v>
      </c>
      <c r="D182" s="315"/>
      <c r="E182" s="88">
        <v>43251</v>
      </c>
      <c r="F182" s="316">
        <v>43263</v>
      </c>
      <c r="G182" s="316">
        <v>36893</v>
      </c>
      <c r="H182" s="317" t="s">
        <v>3140</v>
      </c>
      <c r="I182" s="49"/>
      <c r="J182" s="317" t="s">
        <v>152</v>
      </c>
      <c r="K182" s="315" t="s">
        <v>3199</v>
      </c>
      <c r="L182" s="315"/>
      <c r="M182" s="317"/>
      <c r="N182" s="320"/>
      <c r="O182" s="317" t="s">
        <v>51</v>
      </c>
      <c r="P182" s="321" t="s">
        <v>3524</v>
      </c>
      <c r="Q182" s="318" t="s">
        <v>3525</v>
      </c>
      <c r="R182" s="317"/>
      <c r="S182" s="317"/>
      <c r="T182" s="317"/>
      <c r="U182" s="317" t="s">
        <v>3520</v>
      </c>
      <c r="V182" s="317"/>
      <c r="W182" s="317"/>
      <c r="X182" s="317"/>
      <c r="Y182" s="319"/>
    </row>
    <row r="183" spans="1:25" s="91" customFormat="1" hidden="1" x14ac:dyDescent="0.25">
      <c r="A183" s="32" t="s">
        <v>664</v>
      </c>
      <c r="B183" s="315" t="str">
        <f>IF((COUNTBLANK(G183)=0),Stats!$E$7,IF((COUNTBLANK(E183)=0),IF((COUNTBLANK(F183)=0),IF((COUNTBLANK(U183)=0),Stats!$E$6,Stats!$E$5),Stats!$E$4),""))</f>
        <v>Death</v>
      </c>
      <c r="C183" s="39" t="s">
        <v>3115</v>
      </c>
      <c r="D183" s="315"/>
      <c r="E183" s="88">
        <v>43251</v>
      </c>
      <c r="F183" s="316">
        <v>43263</v>
      </c>
      <c r="G183" s="316">
        <v>36893</v>
      </c>
      <c r="H183" s="317" t="s">
        <v>3140</v>
      </c>
      <c r="I183" s="49"/>
      <c r="J183" s="317" t="s">
        <v>152</v>
      </c>
      <c r="K183" s="315" t="s">
        <v>3199</v>
      </c>
      <c r="L183" s="315"/>
      <c r="M183" s="317"/>
      <c r="N183" s="320"/>
      <c r="O183" s="317" t="s">
        <v>51</v>
      </c>
      <c r="P183" s="321" t="s">
        <v>3524</v>
      </c>
      <c r="Q183" s="318" t="s">
        <v>3525</v>
      </c>
      <c r="R183" s="317"/>
      <c r="S183" s="317"/>
      <c r="T183" s="317"/>
      <c r="U183" s="317" t="s">
        <v>3520</v>
      </c>
      <c r="V183" s="317"/>
      <c r="W183" s="317"/>
      <c r="X183" s="317" t="s">
        <v>3318</v>
      </c>
      <c r="Y183" s="319"/>
    </row>
    <row r="184" spans="1:25" s="91" customFormat="1" hidden="1" x14ac:dyDescent="0.25">
      <c r="A184" s="32" t="s">
        <v>667</v>
      </c>
      <c r="B184" s="315" t="str">
        <f>IF((COUNTBLANK(G184)=0),Stats!$E$7,IF((COUNTBLANK(E184)=0),IF((COUNTBLANK(F184)=0),IF((COUNTBLANK(U184)=0),Stats!$E$6,Stats!$E$5),Stats!$E$4),""))</f>
        <v>Death</v>
      </c>
      <c r="C184" s="39" t="s">
        <v>3115</v>
      </c>
      <c r="D184" s="315"/>
      <c r="E184" s="88">
        <v>43264</v>
      </c>
      <c r="F184" s="316">
        <v>43277</v>
      </c>
      <c r="G184" s="316">
        <v>36893</v>
      </c>
      <c r="H184" s="317" t="s">
        <v>3142</v>
      </c>
      <c r="I184" s="317"/>
      <c r="J184" s="317" t="s">
        <v>152</v>
      </c>
      <c r="K184" s="315" t="s">
        <v>3199</v>
      </c>
      <c r="L184" s="315"/>
      <c r="M184" s="317"/>
      <c r="N184" s="320"/>
      <c r="O184" s="317" t="s">
        <v>51</v>
      </c>
      <c r="P184" s="318" t="s">
        <v>3474</v>
      </c>
      <c r="Q184" s="318" t="s">
        <v>3438</v>
      </c>
      <c r="R184" s="317" t="s">
        <v>3526</v>
      </c>
      <c r="S184" s="317"/>
      <c r="T184" s="317"/>
      <c r="U184" s="317" t="s">
        <v>3520</v>
      </c>
      <c r="V184" s="317"/>
      <c r="W184" s="317"/>
      <c r="X184" s="317"/>
      <c r="Y184" s="319"/>
    </row>
    <row r="185" spans="1:25" s="91" customFormat="1" hidden="1" x14ac:dyDescent="0.25">
      <c r="A185" s="32" t="s">
        <v>669</v>
      </c>
      <c r="B185" s="315" t="str">
        <f>IF((COUNTBLANK(G185)=0),Stats!$E$7,IF((COUNTBLANK(E185)=0),IF((COUNTBLANK(F185)=0),IF((COUNTBLANK(U185)=0),Stats!$E$6,Stats!$E$5),Stats!$E$4),""))</f>
        <v>Death</v>
      </c>
      <c r="C185" s="39" t="s">
        <v>3115</v>
      </c>
      <c r="D185" s="315"/>
      <c r="E185" s="88">
        <v>43264</v>
      </c>
      <c r="F185" s="316">
        <v>43277</v>
      </c>
      <c r="G185" s="316">
        <v>36893</v>
      </c>
      <c r="H185" s="317" t="s">
        <v>3142</v>
      </c>
      <c r="I185" s="317"/>
      <c r="J185" s="317" t="s">
        <v>152</v>
      </c>
      <c r="K185" s="315" t="s">
        <v>3199</v>
      </c>
      <c r="L185" s="315"/>
      <c r="M185" s="317"/>
      <c r="N185" s="320"/>
      <c r="O185" s="317" t="s">
        <v>51</v>
      </c>
      <c r="P185" s="318" t="s">
        <v>3474</v>
      </c>
      <c r="Q185" s="318" t="s">
        <v>3438</v>
      </c>
      <c r="R185" s="317" t="s">
        <v>3527</v>
      </c>
      <c r="S185" s="317"/>
      <c r="T185" s="317"/>
      <c r="U185" s="317" t="s">
        <v>3520</v>
      </c>
      <c r="V185" s="317"/>
      <c r="W185" s="317"/>
      <c r="X185" s="317"/>
      <c r="Y185" s="319"/>
    </row>
    <row r="186" spans="1:25" s="91" customFormat="1" hidden="1" x14ac:dyDescent="0.25">
      <c r="A186" s="32" t="s">
        <v>673</v>
      </c>
      <c r="B186" s="315" t="str">
        <f>IF((COUNTBLANK(G186)=0),Stats!$E$7,IF((COUNTBLANK(E186)=0),IF((COUNTBLANK(F186)=0),IF((COUNTBLANK(U186)=0),Stats!$E$6,Stats!$E$5),Stats!$E$4),""))</f>
        <v>Death</v>
      </c>
      <c r="C186" s="39" t="s">
        <v>3115</v>
      </c>
      <c r="D186" s="315"/>
      <c r="E186" s="88">
        <v>43264</v>
      </c>
      <c r="F186" s="316">
        <v>43278</v>
      </c>
      <c r="G186" s="316">
        <v>36893</v>
      </c>
      <c r="H186" s="317" t="s">
        <v>3142</v>
      </c>
      <c r="I186" s="317"/>
      <c r="J186" s="317" t="s">
        <v>152</v>
      </c>
      <c r="K186" s="315" t="s">
        <v>3199</v>
      </c>
      <c r="L186" s="315"/>
      <c r="M186" s="317"/>
      <c r="N186" s="320"/>
      <c r="O186" s="317" t="s">
        <v>51</v>
      </c>
      <c r="P186" s="318" t="s">
        <v>3474</v>
      </c>
      <c r="Q186" s="318" t="s">
        <v>3438</v>
      </c>
      <c r="R186" s="317" t="s">
        <v>3528</v>
      </c>
      <c r="S186" s="317"/>
      <c r="T186" s="317"/>
      <c r="U186" s="317" t="s">
        <v>3520</v>
      </c>
      <c r="V186" s="317"/>
      <c r="W186" s="317"/>
      <c r="X186" s="317"/>
      <c r="Y186" s="319"/>
    </row>
    <row r="187" spans="1:25" s="91" customFormat="1" hidden="1" x14ac:dyDescent="0.25">
      <c r="A187" s="32" t="s">
        <v>676</v>
      </c>
      <c r="B187" s="315" t="str">
        <f>IF((COUNTBLANK(G187)=0),Stats!$E$7,IF((COUNTBLANK(E187)=0),IF((COUNTBLANK(F187)=0),IF((COUNTBLANK(U187)=0),Stats!$E$6,Stats!$E$5),Stats!$E$4),""))</f>
        <v>Death</v>
      </c>
      <c r="C187" s="39" t="s">
        <v>3115</v>
      </c>
      <c r="D187" s="315"/>
      <c r="E187" s="88">
        <v>43264</v>
      </c>
      <c r="F187" s="316">
        <v>43278</v>
      </c>
      <c r="G187" s="316">
        <v>36893</v>
      </c>
      <c r="H187" s="317" t="s">
        <v>3142</v>
      </c>
      <c r="I187" s="317"/>
      <c r="J187" s="317" t="s">
        <v>152</v>
      </c>
      <c r="K187" s="315" t="s">
        <v>3199</v>
      </c>
      <c r="L187" s="315"/>
      <c r="M187" s="317"/>
      <c r="N187" s="320"/>
      <c r="O187" s="317" t="s">
        <v>51</v>
      </c>
      <c r="P187" s="318" t="s">
        <v>3474</v>
      </c>
      <c r="Q187" s="318" t="s">
        <v>3438</v>
      </c>
      <c r="R187" s="317" t="s">
        <v>3529</v>
      </c>
      <c r="S187" s="317"/>
      <c r="T187" s="317"/>
      <c r="U187" s="317" t="s">
        <v>3520</v>
      </c>
      <c r="V187" s="317"/>
      <c r="W187" s="317"/>
      <c r="X187" s="317" t="s">
        <v>3318</v>
      </c>
      <c r="Y187" s="319"/>
    </row>
    <row r="188" spans="1:25" s="91" customFormat="1" hidden="1" x14ac:dyDescent="0.25">
      <c r="A188" s="32" t="s">
        <v>679</v>
      </c>
      <c r="B188" s="315" t="str">
        <f>IF((COUNTBLANK(G188)=0),Stats!$E$7,IF((COUNTBLANK(E188)=0),IF((COUNTBLANK(F188)=0),IF((COUNTBLANK(U188)=0),Stats!$E$6,Stats!$E$5),Stats!$E$4),""))</f>
        <v>Death</v>
      </c>
      <c r="C188" s="39" t="s">
        <v>3115</v>
      </c>
      <c r="D188" s="315"/>
      <c r="E188" s="88">
        <v>43264</v>
      </c>
      <c r="F188" s="316">
        <v>43284</v>
      </c>
      <c r="G188" s="316">
        <v>36893</v>
      </c>
      <c r="H188" s="317" t="s">
        <v>3128</v>
      </c>
      <c r="I188" s="317"/>
      <c r="J188" s="317" t="s">
        <v>152</v>
      </c>
      <c r="K188" s="315" t="s">
        <v>3199</v>
      </c>
      <c r="L188" s="315"/>
      <c r="M188" s="317"/>
      <c r="N188" s="320"/>
      <c r="O188" s="317" t="s">
        <v>51</v>
      </c>
      <c r="P188" s="318" t="s">
        <v>3530</v>
      </c>
      <c r="Q188" s="318" t="s">
        <v>3438</v>
      </c>
      <c r="R188" s="317"/>
      <c r="S188" s="317"/>
      <c r="T188" s="317" t="s">
        <v>3531</v>
      </c>
      <c r="U188" s="317" t="s">
        <v>3532</v>
      </c>
      <c r="V188" s="317"/>
      <c r="W188" s="317"/>
      <c r="X188" s="317" t="s">
        <v>3318</v>
      </c>
      <c r="Y188" s="319"/>
    </row>
    <row r="189" spans="1:25" s="91" customFormat="1" hidden="1" x14ac:dyDescent="0.25">
      <c r="A189" s="32" t="s">
        <v>681</v>
      </c>
      <c r="B189" s="315" t="str">
        <f>IF((COUNTBLANK(G189)=0),Stats!$E$7,IF((COUNTBLANK(E189)=0),IF((COUNTBLANK(F189)=0),IF((COUNTBLANK(U189)=0),Stats!$E$6,Stats!$E$5),Stats!$E$4),""))</f>
        <v>Death</v>
      </c>
      <c r="C189" s="39" t="s">
        <v>3115</v>
      </c>
      <c r="D189" s="315"/>
      <c r="E189" s="88">
        <v>43264</v>
      </c>
      <c r="F189" s="316">
        <v>43284</v>
      </c>
      <c r="G189" s="316">
        <v>36893</v>
      </c>
      <c r="H189" s="317" t="s">
        <v>3128</v>
      </c>
      <c r="I189" s="317"/>
      <c r="J189" s="317" t="s">
        <v>152</v>
      </c>
      <c r="K189" s="315" t="s">
        <v>3199</v>
      </c>
      <c r="L189" s="315"/>
      <c r="M189" s="317"/>
      <c r="N189" s="320"/>
      <c r="O189" s="317" t="s">
        <v>51</v>
      </c>
      <c r="P189" s="318" t="s">
        <v>3530</v>
      </c>
      <c r="Q189" s="318" t="s">
        <v>3438</v>
      </c>
      <c r="R189" s="317"/>
      <c r="S189" s="317"/>
      <c r="T189" s="317" t="s">
        <v>3531</v>
      </c>
      <c r="U189" s="317" t="s">
        <v>3532</v>
      </c>
      <c r="V189" s="317"/>
      <c r="W189" s="317"/>
      <c r="X189" s="317" t="s">
        <v>3318</v>
      </c>
      <c r="Y189" s="319"/>
    </row>
    <row r="190" spans="1:25" s="91" customFormat="1" hidden="1" x14ac:dyDescent="0.25">
      <c r="A190" s="32" t="s">
        <v>683</v>
      </c>
      <c r="B190" s="315" t="str">
        <f>IF((COUNTBLANK(G190)=0),Stats!$E$7,IF((COUNTBLANK(E190)=0),IF((COUNTBLANK(F190)=0),IF((COUNTBLANK(U190)=0),Stats!$E$6,Stats!$E$5),Stats!$E$4),""))</f>
        <v>Death</v>
      </c>
      <c r="C190" s="39" t="s">
        <v>3115</v>
      </c>
      <c r="D190" s="315"/>
      <c r="E190" s="88">
        <v>43264</v>
      </c>
      <c r="F190" s="316">
        <v>43284</v>
      </c>
      <c r="G190" s="316">
        <v>36893</v>
      </c>
      <c r="H190" s="317" t="s">
        <v>3128</v>
      </c>
      <c r="I190" s="317"/>
      <c r="J190" s="317" t="s">
        <v>152</v>
      </c>
      <c r="K190" s="315" t="s">
        <v>3199</v>
      </c>
      <c r="L190" s="315"/>
      <c r="M190" s="317"/>
      <c r="N190" s="320"/>
      <c r="O190" s="317" t="s">
        <v>51</v>
      </c>
      <c r="P190" s="318" t="s">
        <v>3530</v>
      </c>
      <c r="Q190" s="318" t="s">
        <v>3438</v>
      </c>
      <c r="R190" s="317"/>
      <c r="S190" s="317"/>
      <c r="T190" s="317"/>
      <c r="U190" s="317" t="s">
        <v>3532</v>
      </c>
      <c r="V190" s="317"/>
      <c r="W190" s="317"/>
      <c r="X190" s="317" t="s">
        <v>3318</v>
      </c>
      <c r="Y190" s="319"/>
    </row>
    <row r="191" spans="1:25" s="91" customFormat="1" hidden="1" x14ac:dyDescent="0.25">
      <c r="A191" s="32" t="s">
        <v>687</v>
      </c>
      <c r="B191" s="315" t="str">
        <f>IF((COUNTBLANK(G191)=0),Stats!$E$7,IF((COUNTBLANK(E191)=0),IF((COUNTBLANK(F191)=0),IF((COUNTBLANK(U191)=0),Stats!$E$6,Stats!$E$5),Stats!$E$4),""))</f>
        <v>Death</v>
      </c>
      <c r="C191" s="39" t="s">
        <v>3115</v>
      </c>
      <c r="D191" s="315"/>
      <c r="E191" s="88">
        <v>43264</v>
      </c>
      <c r="F191" s="316">
        <v>36892</v>
      </c>
      <c r="G191" s="316">
        <v>36893</v>
      </c>
      <c r="H191" s="317" t="s">
        <v>3128</v>
      </c>
      <c r="I191" s="317"/>
      <c r="J191" s="317" t="s">
        <v>152</v>
      </c>
      <c r="K191" s="315" t="s">
        <v>3199</v>
      </c>
      <c r="L191" s="315"/>
      <c r="M191" s="317"/>
      <c r="N191" s="320"/>
      <c r="O191" s="317" t="s">
        <v>51</v>
      </c>
      <c r="P191" s="318" t="s">
        <v>3530</v>
      </c>
      <c r="Q191" s="318" t="s">
        <v>3438</v>
      </c>
      <c r="R191" s="317"/>
      <c r="S191" s="317"/>
      <c r="T191" s="317"/>
      <c r="U191" s="317"/>
      <c r="V191" s="317"/>
      <c r="W191" s="317"/>
      <c r="X191" s="317"/>
      <c r="Y191" s="319"/>
    </row>
    <row r="192" spans="1:25" s="91" customFormat="1" hidden="1" x14ac:dyDescent="0.25">
      <c r="A192" s="32" t="s">
        <v>689</v>
      </c>
      <c r="B192" s="315" t="str">
        <f>IF((COUNTBLANK(G192)=0),Stats!$E$7,IF((COUNTBLANK(E192)=0),IF((COUNTBLANK(F192)=0),IF((COUNTBLANK(U192)=0),Stats!$E$6,Stats!$E$5),Stats!$E$4),""))</f>
        <v>Death</v>
      </c>
      <c r="C192" s="39" t="s">
        <v>3115</v>
      </c>
      <c r="D192" s="315"/>
      <c r="E192" s="88">
        <v>43264</v>
      </c>
      <c r="F192" s="316">
        <v>36892</v>
      </c>
      <c r="G192" s="316">
        <v>36893</v>
      </c>
      <c r="H192" s="317" t="s">
        <v>3128</v>
      </c>
      <c r="I192" s="317"/>
      <c r="J192" s="317" t="s">
        <v>152</v>
      </c>
      <c r="K192" s="315" t="s">
        <v>3199</v>
      </c>
      <c r="L192" s="315"/>
      <c r="M192" s="317"/>
      <c r="N192" s="320"/>
      <c r="O192" s="317" t="s">
        <v>51</v>
      </c>
      <c r="P192" s="318" t="s">
        <v>3530</v>
      </c>
      <c r="Q192" s="318" t="s">
        <v>3438</v>
      </c>
      <c r="R192" s="317"/>
      <c r="S192" s="317"/>
      <c r="T192" s="317"/>
      <c r="U192" s="317"/>
      <c r="V192" s="317"/>
      <c r="W192" s="317"/>
      <c r="X192" s="317" t="s">
        <v>3533</v>
      </c>
      <c r="Y192" s="319"/>
    </row>
    <row r="193" spans="1:25" s="91" customFormat="1" hidden="1" x14ac:dyDescent="0.25">
      <c r="A193" s="32" t="s">
        <v>692</v>
      </c>
      <c r="B193" s="315" t="str">
        <f>IF((COUNTBLANK(G193)=0),Stats!$E$7,IF((COUNTBLANK(E193)=0),IF((COUNTBLANK(F193)=0),IF((COUNTBLANK(U193)=0),Stats!$E$6,Stats!$E$5),Stats!$E$4),""))</f>
        <v>Death</v>
      </c>
      <c r="C193" s="39" t="s">
        <v>3115</v>
      </c>
      <c r="D193" s="315"/>
      <c r="E193" s="88">
        <v>43267</v>
      </c>
      <c r="F193" s="316">
        <v>43285</v>
      </c>
      <c r="G193" s="316">
        <v>36893</v>
      </c>
      <c r="H193" s="317" t="s">
        <v>3140</v>
      </c>
      <c r="I193" s="317"/>
      <c r="J193" s="317" t="s">
        <v>152</v>
      </c>
      <c r="K193" s="315" t="s">
        <v>3199</v>
      </c>
      <c r="L193" s="315"/>
      <c r="M193" s="317"/>
      <c r="N193" s="320"/>
      <c r="O193" s="317" t="s">
        <v>51</v>
      </c>
      <c r="P193" s="318" t="s">
        <v>3534</v>
      </c>
      <c r="Q193" s="318" t="s">
        <v>3535</v>
      </c>
      <c r="R193" s="317"/>
      <c r="S193" s="317"/>
      <c r="T193" s="317" t="s">
        <v>3531</v>
      </c>
      <c r="U193" s="317" t="s">
        <v>3532</v>
      </c>
      <c r="V193" s="317"/>
      <c r="W193" s="317"/>
      <c r="X193" s="317" t="s">
        <v>3536</v>
      </c>
      <c r="Y193" s="319"/>
    </row>
    <row r="194" spans="1:25" s="91" customFormat="1" hidden="1" x14ac:dyDescent="0.25">
      <c r="A194" s="32" t="s">
        <v>694</v>
      </c>
      <c r="B194" s="315" t="str">
        <f>IF((COUNTBLANK(G194)=0),Stats!$E$7,IF((COUNTBLANK(E194)=0),IF((COUNTBLANK(F194)=0),IF((COUNTBLANK(U194)=0),Stats!$E$6,Stats!$E$5),Stats!$E$4),""))</f>
        <v>Death</v>
      </c>
      <c r="C194" s="39" t="s">
        <v>3115</v>
      </c>
      <c r="D194" s="315"/>
      <c r="E194" s="88">
        <v>43267</v>
      </c>
      <c r="F194" s="316">
        <v>43285</v>
      </c>
      <c r="G194" s="316">
        <v>36893</v>
      </c>
      <c r="H194" s="317" t="s">
        <v>3140</v>
      </c>
      <c r="I194" s="317"/>
      <c r="J194" s="317" t="s">
        <v>152</v>
      </c>
      <c r="K194" s="315" t="s">
        <v>3199</v>
      </c>
      <c r="L194" s="315"/>
      <c r="M194" s="317"/>
      <c r="N194" s="320"/>
      <c r="O194" s="317" t="s">
        <v>51</v>
      </c>
      <c r="P194" s="318" t="s">
        <v>3534</v>
      </c>
      <c r="Q194" s="318" t="s">
        <v>3535</v>
      </c>
      <c r="R194" s="317"/>
      <c r="S194" s="317"/>
      <c r="T194" s="317"/>
      <c r="U194" s="317" t="s">
        <v>3532</v>
      </c>
      <c r="V194" s="317"/>
      <c r="W194" s="317"/>
      <c r="X194" s="317" t="s">
        <v>3536</v>
      </c>
      <c r="Y194" s="319"/>
    </row>
    <row r="195" spans="1:25" s="91" customFormat="1" hidden="1" x14ac:dyDescent="0.25">
      <c r="A195" s="32" t="s">
        <v>696</v>
      </c>
      <c r="B195" s="315" t="str">
        <f>IF((COUNTBLANK(G195)=0),Stats!$E$7,IF((COUNTBLANK(E195)=0),IF((COUNTBLANK(F195)=0),IF((COUNTBLANK(U195)=0),Stats!$E$6,Stats!$E$5),Stats!$E$4),""))</f>
        <v>Death</v>
      </c>
      <c r="C195" s="39" t="s">
        <v>3115</v>
      </c>
      <c r="D195" s="315"/>
      <c r="E195" s="88">
        <v>43267</v>
      </c>
      <c r="F195" s="316">
        <v>43285</v>
      </c>
      <c r="G195" s="316">
        <v>36893</v>
      </c>
      <c r="H195" s="317" t="s">
        <v>3140</v>
      </c>
      <c r="I195" s="317"/>
      <c r="J195" s="317" t="s">
        <v>152</v>
      </c>
      <c r="K195" s="315" t="s">
        <v>3199</v>
      </c>
      <c r="L195" s="315"/>
      <c r="M195" s="317"/>
      <c r="N195" s="320"/>
      <c r="O195" s="317" t="s">
        <v>51</v>
      </c>
      <c r="P195" s="318" t="s">
        <v>3534</v>
      </c>
      <c r="Q195" s="318" t="s">
        <v>3535</v>
      </c>
      <c r="R195" s="317"/>
      <c r="S195" s="317"/>
      <c r="T195" s="317" t="s">
        <v>3537</v>
      </c>
      <c r="U195" s="317" t="s">
        <v>3532</v>
      </c>
      <c r="V195" s="317"/>
      <c r="W195" s="317"/>
      <c r="X195" s="317" t="s">
        <v>3318</v>
      </c>
      <c r="Y195" s="319"/>
    </row>
    <row r="196" spans="1:25" s="91" customFormat="1" hidden="1" x14ac:dyDescent="0.25">
      <c r="A196" s="32" t="s">
        <v>698</v>
      </c>
      <c r="B196" s="315" t="str">
        <f>IF((COUNTBLANK(G196)=0),Stats!$E$7,IF((COUNTBLANK(E196)=0),IF((COUNTBLANK(F196)=0),IF((COUNTBLANK(U196)=0),Stats!$E$6,Stats!$E$5),Stats!$E$4),""))</f>
        <v>Death</v>
      </c>
      <c r="C196" s="39" t="s">
        <v>3115</v>
      </c>
      <c r="D196" s="315"/>
      <c r="E196" s="88">
        <v>43267</v>
      </c>
      <c r="F196" s="316">
        <v>43285</v>
      </c>
      <c r="G196" s="316">
        <v>36893</v>
      </c>
      <c r="H196" s="317" t="s">
        <v>3140</v>
      </c>
      <c r="I196" s="317"/>
      <c r="J196" s="317" t="s">
        <v>152</v>
      </c>
      <c r="K196" s="315" t="s">
        <v>3199</v>
      </c>
      <c r="L196" s="315"/>
      <c r="M196" s="317"/>
      <c r="N196" s="320"/>
      <c r="O196" s="317" t="s">
        <v>51</v>
      </c>
      <c r="P196" s="318" t="s">
        <v>3534</v>
      </c>
      <c r="Q196" s="318" t="s">
        <v>3535</v>
      </c>
      <c r="R196" s="317"/>
      <c r="S196" s="317"/>
      <c r="T196" s="317"/>
      <c r="U196" s="317" t="s">
        <v>3532</v>
      </c>
      <c r="V196" s="317"/>
      <c r="W196" s="317"/>
      <c r="X196" s="317" t="s">
        <v>3318</v>
      </c>
      <c r="Y196" s="319"/>
    </row>
    <row r="197" spans="1:25" s="91" customFormat="1" hidden="1" x14ac:dyDescent="0.25">
      <c r="A197" s="32" t="s">
        <v>701</v>
      </c>
      <c r="B197" s="315" t="str">
        <f>IF((COUNTBLANK(G197)=0),Stats!$E$7,IF((COUNTBLANK(E197)=0),IF((COUNTBLANK(F197)=0),IF((COUNTBLANK(U197)=0),Stats!$E$6,Stats!$E$5),Stats!$E$4),""))</f>
        <v>Death</v>
      </c>
      <c r="C197" s="39" t="s">
        <v>3115</v>
      </c>
      <c r="D197" s="315"/>
      <c r="E197" s="88">
        <v>43278</v>
      </c>
      <c r="F197" s="316">
        <v>43290</v>
      </c>
      <c r="G197" s="316">
        <v>36893</v>
      </c>
      <c r="H197" s="317" t="s">
        <v>3142</v>
      </c>
      <c r="I197" s="317"/>
      <c r="J197" s="317" t="s">
        <v>152</v>
      </c>
      <c r="K197" s="315" t="s">
        <v>3166</v>
      </c>
      <c r="L197" s="315"/>
      <c r="M197" s="317"/>
      <c r="N197" s="320"/>
      <c r="O197" s="317" t="s">
        <v>51</v>
      </c>
      <c r="P197" s="318" t="s">
        <v>3474</v>
      </c>
      <c r="Q197" s="318" t="s">
        <v>3438</v>
      </c>
      <c r="R197" s="317" t="s">
        <v>3529</v>
      </c>
      <c r="S197" s="317"/>
      <c r="T197" s="317"/>
      <c r="U197" s="317" t="s">
        <v>3532</v>
      </c>
      <c r="V197" s="317"/>
      <c r="W197" s="317"/>
      <c r="X197" s="317" t="s">
        <v>3499</v>
      </c>
      <c r="Y197" s="319"/>
    </row>
    <row r="198" spans="1:25" s="91" customFormat="1" hidden="1" x14ac:dyDescent="0.25">
      <c r="A198" s="32" t="s">
        <v>703</v>
      </c>
      <c r="B198" s="315" t="str">
        <f>IF((COUNTBLANK(G198)=0),Stats!$E$7,IF((COUNTBLANK(E198)=0),IF((COUNTBLANK(F198)=0),IF((COUNTBLANK(U198)=0),Stats!$E$6,Stats!$E$5),Stats!$E$4),""))</f>
        <v>Death</v>
      </c>
      <c r="C198" s="39" t="s">
        <v>3115</v>
      </c>
      <c r="D198" s="315"/>
      <c r="E198" s="88">
        <v>43278</v>
      </c>
      <c r="F198" s="316">
        <v>43290</v>
      </c>
      <c r="G198" s="316">
        <v>36893</v>
      </c>
      <c r="H198" s="317" t="s">
        <v>3142</v>
      </c>
      <c r="I198" s="317"/>
      <c r="J198" s="317" t="s">
        <v>152</v>
      </c>
      <c r="K198" s="315" t="s">
        <v>3166</v>
      </c>
      <c r="L198" s="315"/>
      <c r="M198" s="317"/>
      <c r="N198" s="320"/>
      <c r="O198" s="317" t="s">
        <v>51</v>
      </c>
      <c r="P198" s="318" t="s">
        <v>3474</v>
      </c>
      <c r="Q198" s="318" t="s">
        <v>3438</v>
      </c>
      <c r="R198" s="317" t="s">
        <v>3527</v>
      </c>
      <c r="S198" s="317"/>
      <c r="T198" s="317"/>
      <c r="U198" s="317" t="s">
        <v>3532</v>
      </c>
      <c r="V198" s="317"/>
      <c r="W198" s="317"/>
      <c r="X198" s="317" t="s">
        <v>3499</v>
      </c>
      <c r="Y198" s="319"/>
    </row>
    <row r="199" spans="1:25" s="91" customFormat="1" hidden="1" x14ac:dyDescent="0.25">
      <c r="A199" s="32" t="s">
        <v>705</v>
      </c>
      <c r="B199" s="315" t="str">
        <f>IF((COUNTBLANK(G199)=0),Stats!$E$7,IF((COUNTBLANK(E199)=0),IF((COUNTBLANK(F199)=0),IF((COUNTBLANK(U199)=0),Stats!$E$6,Stats!$E$5),Stats!$E$4),""))</f>
        <v>Death</v>
      </c>
      <c r="C199" s="39" t="s">
        <v>3115</v>
      </c>
      <c r="D199" s="315"/>
      <c r="E199" s="88">
        <v>43278</v>
      </c>
      <c r="F199" s="316">
        <v>43291</v>
      </c>
      <c r="G199" s="316">
        <v>36893</v>
      </c>
      <c r="H199" s="317" t="s">
        <v>3142</v>
      </c>
      <c r="I199" s="317"/>
      <c r="J199" s="317" t="s">
        <v>152</v>
      </c>
      <c r="K199" s="315" t="s">
        <v>3166</v>
      </c>
      <c r="L199" s="315"/>
      <c r="M199" s="317"/>
      <c r="N199" s="320"/>
      <c r="O199" s="317" t="s">
        <v>51</v>
      </c>
      <c r="P199" s="318" t="s">
        <v>3474</v>
      </c>
      <c r="Q199" s="318" t="s">
        <v>3438</v>
      </c>
      <c r="R199" s="317" t="s">
        <v>3528</v>
      </c>
      <c r="S199" s="317"/>
      <c r="T199" s="317" t="s">
        <v>3538</v>
      </c>
      <c r="U199" s="317" t="s">
        <v>3532</v>
      </c>
      <c r="V199" s="317"/>
      <c r="W199" s="317"/>
      <c r="X199" s="317" t="s">
        <v>3499</v>
      </c>
      <c r="Y199" s="319"/>
    </row>
    <row r="200" spans="1:25" s="91" customFormat="1" hidden="1" x14ac:dyDescent="0.25">
      <c r="A200" s="32" t="s">
        <v>707</v>
      </c>
      <c r="B200" s="315" t="str">
        <f>IF((COUNTBLANK(G200)=0),Stats!$E$7,IF((COUNTBLANK(E200)=0),IF((COUNTBLANK(F200)=0),IF((COUNTBLANK(U200)=0),Stats!$E$6,Stats!$E$5),Stats!$E$4),""))</f>
        <v>Death</v>
      </c>
      <c r="C200" s="39" t="s">
        <v>3115</v>
      </c>
      <c r="D200" s="315"/>
      <c r="E200" s="88">
        <v>43278</v>
      </c>
      <c r="F200" s="316">
        <v>43292</v>
      </c>
      <c r="G200" s="316">
        <v>36893</v>
      </c>
      <c r="H200" s="317" t="s">
        <v>3142</v>
      </c>
      <c r="I200" s="317"/>
      <c r="J200" s="317" t="s">
        <v>152</v>
      </c>
      <c r="K200" s="315" t="s">
        <v>3166</v>
      </c>
      <c r="L200" s="315"/>
      <c r="M200" s="317"/>
      <c r="N200" s="320"/>
      <c r="O200" s="317" t="s">
        <v>51</v>
      </c>
      <c r="P200" s="318" t="s">
        <v>3474</v>
      </c>
      <c r="Q200" s="318" t="s">
        <v>3438</v>
      </c>
      <c r="R200" s="317" t="s">
        <v>3539</v>
      </c>
      <c r="S200" s="317"/>
      <c r="T200" s="317"/>
      <c r="U200" s="317" t="s">
        <v>3540</v>
      </c>
      <c r="V200" s="317"/>
      <c r="W200" s="317"/>
      <c r="X200" s="317" t="s">
        <v>3541</v>
      </c>
      <c r="Y200" s="319"/>
    </row>
    <row r="201" spans="1:25" s="91" customFormat="1" hidden="1" x14ac:dyDescent="0.25">
      <c r="A201" s="32" t="s">
        <v>710</v>
      </c>
      <c r="B201" s="315" t="str">
        <f>IF((COUNTBLANK(G201)=0),Stats!$E$7,IF((COUNTBLANK(E201)=0),IF((COUNTBLANK(F201)=0),IF((COUNTBLANK(U201)=0),Stats!$E$6,Stats!$E$5),Stats!$E$4),""))</f>
        <v>Death</v>
      </c>
      <c r="C201" s="39" t="s">
        <v>3115</v>
      </c>
      <c r="D201" s="315"/>
      <c r="E201" s="88">
        <v>43286</v>
      </c>
      <c r="F201" s="316">
        <v>36892</v>
      </c>
      <c r="G201" s="316">
        <v>36893</v>
      </c>
      <c r="H201" s="317" t="s">
        <v>3140</v>
      </c>
      <c r="I201" s="317"/>
      <c r="J201" s="317" t="s">
        <v>152</v>
      </c>
      <c r="K201" s="315" t="s">
        <v>3497</v>
      </c>
      <c r="L201" s="315"/>
      <c r="M201" s="317"/>
      <c r="N201" s="320"/>
      <c r="O201" s="317" t="s">
        <v>51</v>
      </c>
      <c r="P201" s="321" t="s">
        <v>3530</v>
      </c>
      <c r="Q201" s="318" t="s">
        <v>3542</v>
      </c>
      <c r="R201" s="317"/>
      <c r="S201" s="317"/>
      <c r="T201" s="317"/>
      <c r="U201" s="317"/>
      <c r="V201" s="317"/>
      <c r="W201" s="317"/>
      <c r="X201" s="317" t="s">
        <v>3543</v>
      </c>
      <c r="Y201" s="319"/>
    </row>
    <row r="202" spans="1:25" s="91" customFormat="1" hidden="1" x14ac:dyDescent="0.25">
      <c r="A202" s="32" t="s">
        <v>714</v>
      </c>
      <c r="B202" s="315" t="str">
        <f>IF((COUNTBLANK(G202)=0),Stats!$E$7,IF((COUNTBLANK(E202)=0),IF((COUNTBLANK(F202)=0),IF((COUNTBLANK(U202)=0),Stats!$E$6,Stats!$E$5),Stats!$E$4),""))</f>
        <v>Death</v>
      </c>
      <c r="C202" s="39" t="s">
        <v>3115</v>
      </c>
      <c r="D202" s="315"/>
      <c r="E202" s="88">
        <v>43286</v>
      </c>
      <c r="F202" s="316">
        <v>36892</v>
      </c>
      <c r="G202" s="316">
        <v>36893</v>
      </c>
      <c r="H202" s="317" t="s">
        <v>3140</v>
      </c>
      <c r="I202" s="317"/>
      <c r="J202" s="317" t="s">
        <v>152</v>
      </c>
      <c r="K202" s="315" t="s">
        <v>3497</v>
      </c>
      <c r="L202" s="315"/>
      <c r="M202" s="317"/>
      <c r="N202" s="320"/>
      <c r="O202" s="317" t="s">
        <v>51</v>
      </c>
      <c r="P202" s="321" t="s">
        <v>3530</v>
      </c>
      <c r="Q202" s="318" t="s">
        <v>3542</v>
      </c>
      <c r="R202" s="317"/>
      <c r="S202" s="317"/>
      <c r="T202" s="317"/>
      <c r="U202" s="317"/>
      <c r="V202" s="317"/>
      <c r="W202" s="317"/>
      <c r="X202" s="317" t="s">
        <v>3543</v>
      </c>
      <c r="Y202" s="319"/>
    </row>
    <row r="203" spans="1:25" s="91" customFormat="1" hidden="1" x14ac:dyDescent="0.25">
      <c r="A203" s="32" t="s">
        <v>716</v>
      </c>
      <c r="B203" s="315" t="str">
        <f>IF((COUNTBLANK(G203)=0),Stats!$E$7,IF((COUNTBLANK(E203)=0),IF((COUNTBLANK(F203)=0),IF((COUNTBLANK(U203)=0),Stats!$E$6,Stats!$E$5),Stats!$E$4),""))</f>
        <v>Death</v>
      </c>
      <c r="C203" s="39" t="s">
        <v>3115</v>
      </c>
      <c r="D203" s="315"/>
      <c r="E203" s="88">
        <v>43286</v>
      </c>
      <c r="F203" s="316">
        <v>43313</v>
      </c>
      <c r="G203" s="316">
        <v>36893</v>
      </c>
      <c r="H203" s="317" t="s">
        <v>3140</v>
      </c>
      <c r="I203" s="317"/>
      <c r="J203" s="317" t="s">
        <v>152</v>
      </c>
      <c r="K203" s="315" t="s">
        <v>3497</v>
      </c>
      <c r="L203" s="315"/>
      <c r="M203" s="317"/>
      <c r="N203" s="320"/>
      <c r="O203" s="317" t="s">
        <v>51</v>
      </c>
      <c r="P203" s="321" t="s">
        <v>3530</v>
      </c>
      <c r="Q203" s="318" t="s">
        <v>3542</v>
      </c>
      <c r="R203" s="317"/>
      <c r="S203" s="317"/>
      <c r="T203" s="317"/>
      <c r="U203" s="317" t="s">
        <v>3544</v>
      </c>
      <c r="V203" s="317" t="s">
        <v>3545</v>
      </c>
      <c r="W203" s="317"/>
      <c r="X203" s="317"/>
      <c r="Y203" s="319"/>
    </row>
    <row r="204" spans="1:25" s="91" customFormat="1" hidden="1" x14ac:dyDescent="0.25">
      <c r="A204" s="32" t="s">
        <v>719</v>
      </c>
      <c r="B204" s="315" t="str">
        <f>IF((COUNTBLANK(G204)=0),Stats!$E$7,IF((COUNTBLANK(E204)=0),IF((COUNTBLANK(F204)=0),IF((COUNTBLANK(U204)=0),Stats!$E$6,Stats!$E$5),Stats!$E$4),""))</f>
        <v>Death</v>
      </c>
      <c r="C204" s="39" t="s">
        <v>3115</v>
      </c>
      <c r="D204" s="315"/>
      <c r="E204" s="88">
        <v>43286</v>
      </c>
      <c r="F204" s="316">
        <v>43313</v>
      </c>
      <c r="G204" s="316">
        <v>36893</v>
      </c>
      <c r="H204" s="317" t="s">
        <v>3140</v>
      </c>
      <c r="I204" s="317"/>
      <c r="J204" s="317" t="s">
        <v>152</v>
      </c>
      <c r="K204" s="315" t="s">
        <v>3497</v>
      </c>
      <c r="L204" s="315"/>
      <c r="M204" s="317"/>
      <c r="N204" s="320"/>
      <c r="O204" s="317" t="s">
        <v>51</v>
      </c>
      <c r="P204" s="321" t="s">
        <v>3530</v>
      </c>
      <c r="Q204" s="318" t="s">
        <v>3542</v>
      </c>
      <c r="R204" s="317"/>
      <c r="S204" s="317"/>
      <c r="T204" s="317"/>
      <c r="U204" s="317" t="s">
        <v>3544</v>
      </c>
      <c r="V204" s="317" t="s">
        <v>3546</v>
      </c>
      <c r="W204" s="317"/>
      <c r="X204" s="317" t="s">
        <v>3499</v>
      </c>
      <c r="Y204" s="319"/>
    </row>
    <row r="205" spans="1:25" s="91" customFormat="1" hidden="1" x14ac:dyDescent="0.25">
      <c r="A205" s="32" t="s">
        <v>721</v>
      </c>
      <c r="B205" s="315" t="str">
        <f>IF((COUNTBLANK(G205)=0),Stats!$E$7,IF((COUNTBLANK(E205)=0),IF((COUNTBLANK(F205)=0),IF((COUNTBLANK(U205)=0),Stats!$E$6,Stats!$E$5),Stats!$E$4),""))</f>
        <v>Death</v>
      </c>
      <c r="C205" s="39" t="s">
        <v>3115</v>
      </c>
      <c r="D205" s="315"/>
      <c r="E205" s="88">
        <v>43299</v>
      </c>
      <c r="F205" s="316">
        <v>43304</v>
      </c>
      <c r="G205" s="316">
        <v>36893</v>
      </c>
      <c r="H205" s="317" t="s">
        <v>3148</v>
      </c>
      <c r="I205" s="317"/>
      <c r="J205" s="317" t="s">
        <v>152</v>
      </c>
      <c r="K205" s="315" t="s">
        <v>3174</v>
      </c>
      <c r="L205" s="315"/>
      <c r="M205" s="317"/>
      <c r="N205" s="320"/>
      <c r="O205" s="317" t="s">
        <v>3547</v>
      </c>
      <c r="P205" s="318"/>
      <c r="Q205" s="318" t="s">
        <v>3548</v>
      </c>
      <c r="R205" s="317"/>
      <c r="S205" s="317"/>
      <c r="T205" s="317"/>
      <c r="U205" s="317" t="s">
        <v>3549</v>
      </c>
      <c r="V205" s="317" t="s">
        <v>3393</v>
      </c>
      <c r="W205" s="317"/>
      <c r="X205" s="317" t="s">
        <v>3499</v>
      </c>
      <c r="Y205" s="319"/>
    </row>
    <row r="206" spans="1:25" s="91" customFormat="1" hidden="1" x14ac:dyDescent="0.25">
      <c r="A206" s="32" t="s">
        <v>723</v>
      </c>
      <c r="B206" s="315" t="str">
        <f>IF((COUNTBLANK(G206)=0),Stats!$E$7,IF((COUNTBLANK(E206)=0),IF((COUNTBLANK(F206)=0),IF((COUNTBLANK(U206)=0),Stats!$E$6,Stats!$E$5),Stats!$E$4),""))</f>
        <v>Death</v>
      </c>
      <c r="C206" s="39" t="s">
        <v>3115</v>
      </c>
      <c r="D206" s="315"/>
      <c r="E206" s="88">
        <v>43299</v>
      </c>
      <c r="F206" s="316">
        <v>43305</v>
      </c>
      <c r="G206" s="316">
        <v>36893</v>
      </c>
      <c r="H206" s="317" t="s">
        <v>3148</v>
      </c>
      <c r="I206" s="317"/>
      <c r="J206" s="317" t="s">
        <v>152</v>
      </c>
      <c r="K206" s="315" t="s">
        <v>3174</v>
      </c>
      <c r="L206" s="315"/>
      <c r="M206" s="317"/>
      <c r="N206" s="320"/>
      <c r="O206" s="317" t="s">
        <v>3547</v>
      </c>
      <c r="P206" s="318"/>
      <c r="Q206" s="318" t="s">
        <v>3548</v>
      </c>
      <c r="R206" s="317"/>
      <c r="S206" s="317"/>
      <c r="T206" s="317"/>
      <c r="U206" s="317" t="s">
        <v>3549</v>
      </c>
      <c r="V206" s="317" t="s">
        <v>3393</v>
      </c>
      <c r="W206" s="317"/>
      <c r="X206" s="317" t="s">
        <v>3499</v>
      </c>
      <c r="Y206" s="319"/>
    </row>
    <row r="207" spans="1:25" s="91" customFormat="1" hidden="1" x14ac:dyDescent="0.25">
      <c r="A207" s="32" t="s">
        <v>726</v>
      </c>
      <c r="B207" s="315" t="str">
        <f>IF((COUNTBLANK(G207)=0),Stats!$E$7,IF((COUNTBLANK(E207)=0),IF((COUNTBLANK(F207)=0),IF((COUNTBLANK(U207)=0),Stats!$E$6,Stats!$E$5),Stats!$E$4),""))</f>
        <v>Death</v>
      </c>
      <c r="C207" s="39" t="s">
        <v>3115</v>
      </c>
      <c r="D207" s="315"/>
      <c r="E207" s="88">
        <v>43299</v>
      </c>
      <c r="F207" s="316">
        <v>43312</v>
      </c>
      <c r="G207" s="316">
        <v>36893</v>
      </c>
      <c r="H207" s="317" t="s">
        <v>3148</v>
      </c>
      <c r="I207" s="317"/>
      <c r="J207" s="317" t="s">
        <v>152</v>
      </c>
      <c r="K207" s="315" t="s">
        <v>3174</v>
      </c>
      <c r="L207" s="315"/>
      <c r="M207" s="317"/>
      <c r="N207" s="320"/>
      <c r="O207" s="317" t="s">
        <v>3547</v>
      </c>
      <c r="P207" s="318"/>
      <c r="Q207" s="318" t="s">
        <v>3548</v>
      </c>
      <c r="R207" s="317"/>
      <c r="S207" s="317"/>
      <c r="T207" s="317"/>
      <c r="U207" s="317" t="s">
        <v>3549</v>
      </c>
      <c r="V207" s="317" t="s">
        <v>3393</v>
      </c>
      <c r="W207" s="317"/>
      <c r="X207" s="317"/>
      <c r="Y207" s="319"/>
    </row>
    <row r="208" spans="1:25" s="91" customFormat="1" hidden="1" x14ac:dyDescent="0.25">
      <c r="A208" s="32" t="s">
        <v>730</v>
      </c>
      <c r="B208" s="315" t="str">
        <f>IF((COUNTBLANK(G208)=0),Stats!$E$7,IF((COUNTBLANK(E208)=0),IF((COUNTBLANK(F208)=0),IF((COUNTBLANK(U208)=0),Stats!$E$6,Stats!$E$5),Stats!$E$4),""))</f>
        <v>Death</v>
      </c>
      <c r="C208" s="39" t="s">
        <v>3115</v>
      </c>
      <c r="D208" s="315"/>
      <c r="E208" s="88">
        <v>43301</v>
      </c>
      <c r="F208" s="316">
        <v>43301</v>
      </c>
      <c r="G208" s="316">
        <v>36893</v>
      </c>
      <c r="H208" s="317" t="s">
        <v>3148</v>
      </c>
      <c r="I208" s="317"/>
      <c r="J208" s="317" t="s">
        <v>152</v>
      </c>
      <c r="K208" s="315" t="s">
        <v>3216</v>
      </c>
      <c r="L208" s="315"/>
      <c r="M208" s="317"/>
      <c r="N208" s="320"/>
      <c r="O208" s="317" t="s">
        <v>51</v>
      </c>
      <c r="P208" s="318" t="s">
        <v>3550</v>
      </c>
      <c r="Q208" s="318">
        <v>200</v>
      </c>
      <c r="R208" s="317"/>
      <c r="S208" s="317"/>
      <c r="T208" s="317" t="s">
        <v>3519</v>
      </c>
      <c r="U208" s="317" t="s">
        <v>3551</v>
      </c>
      <c r="V208" s="317"/>
      <c r="W208" s="317"/>
      <c r="X208" s="317"/>
      <c r="Y208" s="319"/>
    </row>
    <row r="209" spans="1:25" s="91" customFormat="1" hidden="1" x14ac:dyDescent="0.25">
      <c r="A209" s="32" t="s">
        <v>733</v>
      </c>
      <c r="B209" s="315" t="str">
        <f>IF((COUNTBLANK(G209)=0),Stats!$E$7,IF((COUNTBLANK(E209)=0),IF((COUNTBLANK(F209)=0),IF((COUNTBLANK(U209)=0),Stats!$E$6,Stats!$E$5),Stats!$E$4),""))</f>
        <v>Death</v>
      </c>
      <c r="C209" s="39" t="s">
        <v>3115</v>
      </c>
      <c r="D209" s="315"/>
      <c r="E209" s="88">
        <v>43301</v>
      </c>
      <c r="F209" s="316">
        <v>43301</v>
      </c>
      <c r="G209" s="316">
        <v>36893</v>
      </c>
      <c r="H209" s="317" t="s">
        <v>3148</v>
      </c>
      <c r="I209" s="317"/>
      <c r="J209" s="317" t="s">
        <v>152</v>
      </c>
      <c r="K209" s="315" t="s">
        <v>3216</v>
      </c>
      <c r="L209" s="315"/>
      <c r="M209" s="317"/>
      <c r="N209" s="320"/>
      <c r="O209" s="317" t="s">
        <v>51</v>
      </c>
      <c r="P209" s="318">
        <v>350</v>
      </c>
      <c r="Q209" s="318">
        <v>200</v>
      </c>
      <c r="R209" s="317"/>
      <c r="S209" s="317"/>
      <c r="T209" s="317" t="s">
        <v>3519</v>
      </c>
      <c r="U209" s="317"/>
      <c r="V209" s="317"/>
      <c r="W209" s="317"/>
      <c r="X209" s="317" t="s">
        <v>3552</v>
      </c>
      <c r="Y209" s="319"/>
    </row>
    <row r="210" spans="1:25" s="91" customFormat="1" hidden="1" x14ac:dyDescent="0.25">
      <c r="A210" s="32" t="s">
        <v>737</v>
      </c>
      <c r="B210" s="315" t="str">
        <f>IF((COUNTBLANK(G210)=0),Stats!$E$7,IF((COUNTBLANK(E210)=0),IF((COUNTBLANK(F210)=0),IF((COUNTBLANK(U210)=0),Stats!$E$6,Stats!$E$5),Stats!$E$4),""))</f>
        <v>Death</v>
      </c>
      <c r="C210" s="39" t="s">
        <v>3115</v>
      </c>
      <c r="D210" s="315"/>
      <c r="E210" s="88">
        <v>43302</v>
      </c>
      <c r="F210" s="316">
        <v>36892</v>
      </c>
      <c r="G210" s="316">
        <v>36893</v>
      </c>
      <c r="H210" s="317" t="s">
        <v>3148</v>
      </c>
      <c r="I210" s="317"/>
      <c r="J210" s="317" t="s">
        <v>152</v>
      </c>
      <c r="K210" s="315" t="s">
        <v>3216</v>
      </c>
      <c r="L210" s="315"/>
      <c r="M210" s="317"/>
      <c r="N210" s="320"/>
      <c r="O210" s="317" t="s">
        <v>51</v>
      </c>
      <c r="P210" s="318">
        <v>350</v>
      </c>
      <c r="Q210" s="318">
        <v>200</v>
      </c>
      <c r="R210" s="317"/>
      <c r="S210" s="317"/>
      <c r="T210" s="317" t="s">
        <v>3553</v>
      </c>
      <c r="U210" s="317"/>
      <c r="V210" s="317"/>
      <c r="W210" s="317"/>
      <c r="X210" s="317"/>
      <c r="Y210" s="319"/>
    </row>
    <row r="211" spans="1:25" s="91" customFormat="1" hidden="1" x14ac:dyDescent="0.25">
      <c r="A211" s="32" t="s">
        <v>740</v>
      </c>
      <c r="B211" s="315" t="str">
        <f>IF((COUNTBLANK(G211)=0),Stats!$E$7,IF((COUNTBLANK(E211)=0),IF((COUNTBLANK(F211)=0),IF((COUNTBLANK(U211)=0),Stats!$E$6,Stats!$E$5),Stats!$E$4),""))</f>
        <v>Death</v>
      </c>
      <c r="C211" s="39" t="s">
        <v>284</v>
      </c>
      <c r="D211" s="315"/>
      <c r="E211" s="88">
        <v>43301</v>
      </c>
      <c r="F211" s="316">
        <v>43313</v>
      </c>
      <c r="G211" s="316">
        <v>36893</v>
      </c>
      <c r="H211" s="317" t="s">
        <v>3128</v>
      </c>
      <c r="I211" s="317"/>
      <c r="J211" s="317" t="s">
        <v>152</v>
      </c>
      <c r="K211" s="315" t="s">
        <v>3272</v>
      </c>
      <c r="L211" s="315" t="s">
        <v>3554</v>
      </c>
      <c r="M211" s="317" t="s">
        <v>3093</v>
      </c>
      <c r="N211" s="320" t="s">
        <v>3555</v>
      </c>
      <c r="O211" s="317" t="s">
        <v>51</v>
      </c>
      <c r="P211" s="318">
        <v>450</v>
      </c>
      <c r="Q211" s="318">
        <v>400</v>
      </c>
      <c r="R211" s="317"/>
      <c r="S211" s="317"/>
      <c r="T211" s="317"/>
      <c r="U211" s="317" t="s">
        <v>3556</v>
      </c>
      <c r="V211" s="317"/>
      <c r="W211" s="317"/>
      <c r="X211" s="317" t="s">
        <v>3557</v>
      </c>
      <c r="Y211" s="319"/>
    </row>
    <row r="212" spans="1:25" s="91" customFormat="1" hidden="1" x14ac:dyDescent="0.25">
      <c r="A212" s="32" t="s">
        <v>742</v>
      </c>
      <c r="B212" s="315" t="str">
        <f>IF((COUNTBLANK(G212)=0),Stats!$E$7,IF((COUNTBLANK(E212)=0),IF((COUNTBLANK(F212)=0),IF((COUNTBLANK(U212)=0),Stats!$E$6,Stats!$E$5),Stats!$E$4),""))</f>
        <v>Death</v>
      </c>
      <c r="C212" s="39" t="s">
        <v>284</v>
      </c>
      <c r="D212" s="315"/>
      <c r="E212" s="88">
        <v>43301</v>
      </c>
      <c r="F212" s="316">
        <v>43318</v>
      </c>
      <c r="G212" s="316">
        <v>36893</v>
      </c>
      <c r="H212" s="317" t="s">
        <v>3128</v>
      </c>
      <c r="I212" s="317"/>
      <c r="J212" s="317" t="s">
        <v>3186</v>
      </c>
      <c r="K212" s="315" t="s">
        <v>3272</v>
      </c>
      <c r="L212" s="315" t="s">
        <v>3554</v>
      </c>
      <c r="M212" s="317" t="s">
        <v>3093</v>
      </c>
      <c r="N212" s="320" t="s">
        <v>3555</v>
      </c>
      <c r="O212" s="317" t="s">
        <v>51</v>
      </c>
      <c r="P212" s="318">
        <v>450</v>
      </c>
      <c r="Q212" s="318">
        <v>400</v>
      </c>
      <c r="R212" s="317"/>
      <c r="S212" s="317"/>
      <c r="T212" s="317"/>
      <c r="U212" s="317" t="s">
        <v>3558</v>
      </c>
      <c r="V212" s="317"/>
      <c r="W212" s="317"/>
      <c r="X212" s="317" t="s">
        <v>3559</v>
      </c>
      <c r="Y212" s="319"/>
    </row>
    <row r="213" spans="1:25" s="91" customFormat="1" hidden="1" x14ac:dyDescent="0.25">
      <c r="A213" s="32" t="s">
        <v>747</v>
      </c>
      <c r="B213" s="315" t="str">
        <f>IF((COUNTBLANK(G213)=0),Stats!$E$7,IF((COUNTBLANK(E213)=0),IF((COUNTBLANK(F213)=0),IF((COUNTBLANK(U213)=0),Stats!$E$6,Stats!$E$5),Stats!$E$4),""))</f>
        <v>Death</v>
      </c>
      <c r="C213" s="39" t="s">
        <v>284</v>
      </c>
      <c r="D213" s="315"/>
      <c r="E213" s="88">
        <v>43301</v>
      </c>
      <c r="F213" s="316">
        <v>43319</v>
      </c>
      <c r="G213" s="316">
        <v>36893</v>
      </c>
      <c r="H213" s="317" t="s">
        <v>3128</v>
      </c>
      <c r="I213" s="317"/>
      <c r="J213" s="317" t="s">
        <v>152</v>
      </c>
      <c r="K213" s="315" t="s">
        <v>3272</v>
      </c>
      <c r="L213" s="315" t="s">
        <v>3554</v>
      </c>
      <c r="M213" s="317" t="s">
        <v>3093</v>
      </c>
      <c r="N213" s="320" t="s">
        <v>3555</v>
      </c>
      <c r="O213" s="317" t="s">
        <v>51</v>
      </c>
      <c r="P213" s="318">
        <v>450</v>
      </c>
      <c r="Q213" s="318">
        <v>400</v>
      </c>
      <c r="R213" s="317"/>
      <c r="S213" s="317"/>
      <c r="T213" s="317"/>
      <c r="U213" s="317"/>
      <c r="V213" s="317"/>
      <c r="W213" s="317"/>
      <c r="X213" s="317"/>
      <c r="Y213" s="319"/>
    </row>
    <row r="214" spans="1:25" s="91" customFormat="1" hidden="1" x14ac:dyDescent="0.25">
      <c r="A214" s="32" t="s">
        <v>749</v>
      </c>
      <c r="B214" s="315" t="str">
        <f>IF((COUNTBLANK(G214)=0),Stats!$E$7,IF((COUNTBLANK(E214)=0),IF((COUNTBLANK(F214)=0),IF((COUNTBLANK(U214)=0),Stats!$E$6,Stats!$E$5),Stats!$E$4),""))</f>
        <v>Death</v>
      </c>
      <c r="C214" s="39" t="s">
        <v>284</v>
      </c>
      <c r="D214" s="315"/>
      <c r="E214" s="88">
        <v>43304</v>
      </c>
      <c r="F214" s="316">
        <v>43319</v>
      </c>
      <c r="G214" s="316">
        <v>36893</v>
      </c>
      <c r="H214" s="317" t="s">
        <v>3142</v>
      </c>
      <c r="I214" s="317"/>
      <c r="J214" s="317" t="s">
        <v>152</v>
      </c>
      <c r="K214" s="315" t="s">
        <v>3187</v>
      </c>
      <c r="L214" s="315"/>
      <c r="M214" s="317"/>
      <c r="N214" s="320"/>
      <c r="O214" s="317" t="s">
        <v>51</v>
      </c>
      <c r="P214" s="318">
        <v>600</v>
      </c>
      <c r="Q214" s="318">
        <v>400</v>
      </c>
      <c r="R214" s="317" t="s">
        <v>3529</v>
      </c>
      <c r="S214" s="317"/>
      <c r="T214" s="317"/>
      <c r="U214" s="317" t="s">
        <v>3560</v>
      </c>
      <c r="V214" s="317"/>
      <c r="W214" s="317"/>
      <c r="X214" s="317"/>
      <c r="Y214" s="319"/>
    </row>
    <row r="215" spans="1:25" s="91" customFormat="1" hidden="1" x14ac:dyDescent="0.25">
      <c r="A215" s="32" t="s">
        <v>751</v>
      </c>
      <c r="B215" s="315" t="str">
        <f>IF((COUNTBLANK(G215)=0),Stats!$E$7,IF((COUNTBLANK(E215)=0),IF((COUNTBLANK(F215)=0),IF((COUNTBLANK(U215)=0),Stats!$E$6,Stats!$E$5),Stats!$E$4),""))</f>
        <v>Death</v>
      </c>
      <c r="C215" s="39" t="s">
        <v>284</v>
      </c>
      <c r="D215" s="315"/>
      <c r="E215" s="88">
        <v>43304</v>
      </c>
      <c r="F215" s="316">
        <v>36892</v>
      </c>
      <c r="G215" s="316">
        <v>36893</v>
      </c>
      <c r="H215" s="317" t="s">
        <v>3142</v>
      </c>
      <c r="I215" s="317"/>
      <c r="J215" s="317" t="s">
        <v>152</v>
      </c>
      <c r="K215" s="315" t="s">
        <v>3187</v>
      </c>
      <c r="L215" s="315" t="s">
        <v>3554</v>
      </c>
      <c r="M215" s="317" t="s">
        <v>3093</v>
      </c>
      <c r="N215" s="320" t="s">
        <v>3555</v>
      </c>
      <c r="O215" s="317" t="s">
        <v>51</v>
      </c>
      <c r="P215" s="318">
        <v>600</v>
      </c>
      <c r="Q215" s="318">
        <v>400</v>
      </c>
      <c r="R215" s="317" t="s">
        <v>3527</v>
      </c>
      <c r="S215" s="317"/>
      <c r="T215" s="317"/>
      <c r="U215" s="317"/>
      <c r="V215" s="317"/>
      <c r="W215" s="317"/>
      <c r="X215" s="317" t="s">
        <v>3561</v>
      </c>
      <c r="Y215" s="319"/>
    </row>
    <row r="216" spans="1:25" s="91" customFormat="1" hidden="1" x14ac:dyDescent="0.25">
      <c r="A216" s="32" t="s">
        <v>754</v>
      </c>
      <c r="B216" s="315" t="str">
        <f>IF((COUNTBLANK(G216)=0),Stats!$E$7,IF((COUNTBLANK(E216)=0),IF((COUNTBLANK(F216)=0),IF((COUNTBLANK(U216)=0),Stats!$E$6,Stats!$E$5),Stats!$E$4),""))</f>
        <v>Death</v>
      </c>
      <c r="C216" s="39" t="s">
        <v>284</v>
      </c>
      <c r="D216" s="315"/>
      <c r="E216" s="88">
        <v>43304</v>
      </c>
      <c r="F216" s="316">
        <v>43320</v>
      </c>
      <c r="G216" s="316">
        <v>36893</v>
      </c>
      <c r="H216" s="317" t="s">
        <v>3142</v>
      </c>
      <c r="I216" s="317"/>
      <c r="J216" s="317" t="s">
        <v>152</v>
      </c>
      <c r="K216" s="315" t="s">
        <v>3187</v>
      </c>
      <c r="L216" s="315"/>
      <c r="M216" s="317"/>
      <c r="N216" s="320"/>
      <c r="O216" s="317" t="s">
        <v>51</v>
      </c>
      <c r="P216" s="318">
        <v>600</v>
      </c>
      <c r="Q216" s="318">
        <v>400</v>
      </c>
      <c r="R216" s="317" t="s">
        <v>3529</v>
      </c>
      <c r="S216" s="317"/>
      <c r="T216" s="317"/>
      <c r="U216" s="317" t="s">
        <v>3562</v>
      </c>
      <c r="V216" s="317" t="s">
        <v>3563</v>
      </c>
      <c r="W216" s="317"/>
      <c r="X216" s="317"/>
      <c r="Y216" s="319"/>
    </row>
    <row r="217" spans="1:25" s="91" customFormat="1" hidden="1" x14ac:dyDescent="0.25">
      <c r="A217" s="32" t="s">
        <v>757</v>
      </c>
      <c r="B217" s="315" t="str">
        <f>IF((COUNTBLANK(G217)=0),Stats!$E$7,IF((COUNTBLANK(E217)=0),IF((COUNTBLANK(F217)=0),IF((COUNTBLANK(U217)=0),Stats!$E$6,Stats!$E$5),Stats!$E$4),""))</f>
        <v>Death</v>
      </c>
      <c r="C217" s="39" t="s">
        <v>284</v>
      </c>
      <c r="D217" s="315"/>
      <c r="E217" s="88">
        <v>43304</v>
      </c>
      <c r="F217" s="316">
        <v>43320</v>
      </c>
      <c r="G217" s="316">
        <v>36893</v>
      </c>
      <c r="H217" s="317" t="s">
        <v>3142</v>
      </c>
      <c r="I217" s="317"/>
      <c r="J217" s="317" t="s">
        <v>152</v>
      </c>
      <c r="K217" s="315" t="s">
        <v>3187</v>
      </c>
      <c r="L217" s="315"/>
      <c r="M217" s="317"/>
      <c r="N217" s="320"/>
      <c r="O217" s="317" t="s">
        <v>51</v>
      </c>
      <c r="P217" s="318">
        <v>600</v>
      </c>
      <c r="Q217" s="318">
        <v>400</v>
      </c>
      <c r="R217" s="317" t="s">
        <v>3527</v>
      </c>
      <c r="S217" s="317"/>
      <c r="T217" s="317"/>
      <c r="U217" s="317" t="s">
        <v>3564</v>
      </c>
      <c r="V217" s="317"/>
      <c r="W217" s="317"/>
      <c r="X217" s="317"/>
      <c r="Y217" s="319"/>
    </row>
    <row r="218" spans="1:25" s="91" customFormat="1" hidden="1" x14ac:dyDescent="0.25">
      <c r="A218" s="32" t="s">
        <v>760</v>
      </c>
      <c r="B218" s="315" t="str">
        <f>IF((COUNTBLANK(G218)=0),Stats!$E$7,IF((COUNTBLANK(E218)=0),IF((COUNTBLANK(F218)=0),IF((COUNTBLANK(U218)=0),Stats!$E$6,Stats!$E$5),Stats!$E$4),""))</f>
        <v>Death</v>
      </c>
      <c r="C218" s="39" t="s">
        <v>284</v>
      </c>
      <c r="D218" s="315"/>
      <c r="E218" s="88">
        <v>43318</v>
      </c>
      <c r="F218" s="316">
        <v>43327</v>
      </c>
      <c r="G218" s="316">
        <v>36893</v>
      </c>
      <c r="H218" s="317" t="s">
        <v>3140</v>
      </c>
      <c r="I218" s="317"/>
      <c r="J218" s="317" t="s">
        <v>152</v>
      </c>
      <c r="K218" s="315" t="s">
        <v>3187</v>
      </c>
      <c r="L218" s="315" t="s">
        <v>3554</v>
      </c>
      <c r="M218" s="317" t="s">
        <v>3093</v>
      </c>
      <c r="N218" s="320" t="s">
        <v>3555</v>
      </c>
      <c r="O218" s="317" t="s">
        <v>51</v>
      </c>
      <c r="P218" s="321">
        <v>700500300</v>
      </c>
      <c r="Q218" s="318" t="s">
        <v>3565</v>
      </c>
      <c r="R218" s="317"/>
      <c r="S218" s="317"/>
      <c r="T218" s="317" t="s">
        <v>3566</v>
      </c>
      <c r="U218" s="317" t="s">
        <v>3567</v>
      </c>
      <c r="V218" s="317"/>
      <c r="W218" s="317"/>
      <c r="X218" s="317" t="s">
        <v>3536</v>
      </c>
      <c r="Y218" s="319"/>
    </row>
    <row r="219" spans="1:25" s="91" customFormat="1" hidden="1" x14ac:dyDescent="0.25">
      <c r="A219" s="32" t="s">
        <v>764</v>
      </c>
      <c r="B219" s="315" t="str">
        <f>IF((COUNTBLANK(G219)=0),Stats!$E$7,IF((COUNTBLANK(E219)=0),IF((COUNTBLANK(F219)=0),IF((COUNTBLANK(U219)=0),Stats!$E$6,Stats!$E$5),Stats!$E$4),""))</f>
        <v>Death</v>
      </c>
      <c r="C219" s="39" t="s">
        <v>284</v>
      </c>
      <c r="D219" s="315"/>
      <c r="E219" s="88">
        <v>43318</v>
      </c>
      <c r="F219" s="316">
        <v>43333</v>
      </c>
      <c r="G219" s="316">
        <v>36893</v>
      </c>
      <c r="H219" s="317" t="s">
        <v>3140</v>
      </c>
      <c r="I219" s="317"/>
      <c r="J219" s="317" t="s">
        <v>152</v>
      </c>
      <c r="K219" s="315" t="s">
        <v>3187</v>
      </c>
      <c r="L219" s="315" t="s">
        <v>3554</v>
      </c>
      <c r="M219" s="317" t="s">
        <v>3093</v>
      </c>
      <c r="N219" s="320" t="s">
        <v>3555</v>
      </c>
      <c r="O219" s="317" t="s">
        <v>51</v>
      </c>
      <c r="P219" s="321">
        <v>700500300</v>
      </c>
      <c r="Q219" s="318" t="s">
        <v>3565</v>
      </c>
      <c r="R219" s="317"/>
      <c r="S219" s="317"/>
      <c r="T219" s="317" t="s">
        <v>3531</v>
      </c>
      <c r="U219" s="317" t="s">
        <v>3567</v>
      </c>
      <c r="V219" s="317"/>
      <c r="W219" s="317"/>
      <c r="X219" s="317" t="s">
        <v>3318</v>
      </c>
      <c r="Y219" s="319"/>
    </row>
    <row r="220" spans="1:25" s="91" customFormat="1" hidden="1" x14ac:dyDescent="0.25">
      <c r="A220" s="32" t="s">
        <v>766</v>
      </c>
      <c r="B220" s="315" t="str">
        <f>IF((COUNTBLANK(G220)=0),Stats!$E$7,IF((COUNTBLANK(E220)=0),IF((COUNTBLANK(F220)=0),IF((COUNTBLANK(U220)=0),Stats!$E$6,Stats!$E$5),Stats!$E$4),""))</f>
        <v>Death</v>
      </c>
      <c r="C220" s="39" t="s">
        <v>284</v>
      </c>
      <c r="D220" s="315"/>
      <c r="E220" s="88">
        <v>43318</v>
      </c>
      <c r="F220" s="316">
        <v>43333</v>
      </c>
      <c r="G220" s="316">
        <v>36893</v>
      </c>
      <c r="H220" s="317" t="s">
        <v>3140</v>
      </c>
      <c r="I220" s="317"/>
      <c r="J220" s="317" t="s">
        <v>152</v>
      </c>
      <c r="K220" s="315" t="s">
        <v>3187</v>
      </c>
      <c r="L220" s="315" t="s">
        <v>3554</v>
      </c>
      <c r="M220" s="317" t="s">
        <v>3093</v>
      </c>
      <c r="N220" s="320" t="s">
        <v>3555</v>
      </c>
      <c r="O220" s="317" t="s">
        <v>51</v>
      </c>
      <c r="P220" s="321">
        <v>700500300</v>
      </c>
      <c r="Q220" s="318" t="s">
        <v>3565</v>
      </c>
      <c r="R220" s="317"/>
      <c r="S220" s="317"/>
      <c r="T220" s="317"/>
      <c r="U220" s="317" t="s">
        <v>3567</v>
      </c>
      <c r="V220" s="317" t="s">
        <v>3568</v>
      </c>
      <c r="W220" s="317"/>
      <c r="X220" s="317" t="s">
        <v>3318</v>
      </c>
      <c r="Y220" s="319"/>
    </row>
    <row r="221" spans="1:25" s="91" customFormat="1" hidden="1" x14ac:dyDescent="0.25">
      <c r="A221" s="32" t="s">
        <v>768</v>
      </c>
      <c r="B221" s="315" t="str">
        <f>IF((COUNTBLANK(G221)=0),Stats!$E$7,IF((COUNTBLANK(E221)=0),IF((COUNTBLANK(F221)=0),IF((COUNTBLANK(U221)=0),Stats!$E$6,Stats!$E$5),Stats!$E$4),""))</f>
        <v>Death</v>
      </c>
      <c r="C221" s="39" t="s">
        <v>284</v>
      </c>
      <c r="D221" s="315"/>
      <c r="E221" s="88">
        <v>43318</v>
      </c>
      <c r="F221" s="316">
        <v>43334</v>
      </c>
      <c r="G221" s="316">
        <v>36893</v>
      </c>
      <c r="H221" s="317" t="s">
        <v>3140</v>
      </c>
      <c r="I221" s="317"/>
      <c r="J221" s="317" t="s">
        <v>152</v>
      </c>
      <c r="K221" s="315" t="s">
        <v>3187</v>
      </c>
      <c r="L221" s="315" t="s">
        <v>3554</v>
      </c>
      <c r="M221" s="317" t="s">
        <v>3093</v>
      </c>
      <c r="N221" s="320" t="s">
        <v>3555</v>
      </c>
      <c r="O221" s="317" t="s">
        <v>51</v>
      </c>
      <c r="P221" s="321">
        <v>700500300</v>
      </c>
      <c r="Q221" s="318" t="s">
        <v>3565</v>
      </c>
      <c r="R221" s="317"/>
      <c r="S221" s="317"/>
      <c r="T221" s="317"/>
      <c r="U221" s="317" t="s">
        <v>3569</v>
      </c>
      <c r="V221" s="317"/>
      <c r="W221" s="317"/>
      <c r="X221" s="317" t="s">
        <v>3318</v>
      </c>
      <c r="Y221" s="319"/>
    </row>
    <row r="222" spans="1:25" s="91" customFormat="1" hidden="1" x14ac:dyDescent="0.25">
      <c r="A222" s="32" t="s">
        <v>771</v>
      </c>
      <c r="B222" s="315" t="str">
        <f>IF((COUNTBLANK(G222)=0),Stats!$E$7,IF((COUNTBLANK(E222)=0),IF((COUNTBLANK(F222)=0),IF((COUNTBLANK(U222)=0),Stats!$E$6,Stats!$E$5),Stats!$E$4),""))</f>
        <v>Death</v>
      </c>
      <c r="C222" s="39" t="s">
        <v>284</v>
      </c>
      <c r="D222" s="315"/>
      <c r="E222" s="88">
        <v>43205</v>
      </c>
      <c r="F222" s="316">
        <v>36892</v>
      </c>
      <c r="G222" s="316">
        <v>36893</v>
      </c>
      <c r="H222" s="317" t="s">
        <v>3104</v>
      </c>
      <c r="I222" s="317"/>
      <c r="J222" s="317" t="s">
        <v>152</v>
      </c>
      <c r="K222" s="315" t="s">
        <v>3160</v>
      </c>
      <c r="L222" s="315"/>
      <c r="M222" s="317"/>
      <c r="N222" s="320"/>
      <c r="O222" s="317" t="s">
        <v>51</v>
      </c>
      <c r="P222" s="318" t="s">
        <v>3570</v>
      </c>
      <c r="Q222" s="318" t="s">
        <v>3571</v>
      </c>
      <c r="R222" s="317"/>
      <c r="S222" s="317"/>
      <c r="T222" s="317"/>
      <c r="U222" s="317"/>
      <c r="V222" s="317"/>
      <c r="W222" s="317"/>
      <c r="X222" s="317"/>
      <c r="Y222" s="319"/>
    </row>
    <row r="223" spans="1:25" s="91" customFormat="1" hidden="1" x14ac:dyDescent="0.25">
      <c r="A223" s="32" t="s">
        <v>773</v>
      </c>
      <c r="B223" s="315" t="str">
        <f>IF((COUNTBLANK(G223)=0),Stats!$E$7,IF((COUNTBLANK(E223)=0),IF((COUNTBLANK(F223)=0),IF((COUNTBLANK(U223)=0),Stats!$E$6,Stats!$E$5),Stats!$E$4),""))</f>
        <v>Death</v>
      </c>
      <c r="C223" s="39" t="s">
        <v>284</v>
      </c>
      <c r="D223" s="315"/>
      <c r="E223" s="88">
        <v>43205</v>
      </c>
      <c r="F223" s="316">
        <v>36892</v>
      </c>
      <c r="G223" s="316">
        <v>36893</v>
      </c>
      <c r="H223" s="317" t="s">
        <v>3104</v>
      </c>
      <c r="I223" s="317"/>
      <c r="J223" s="317" t="s">
        <v>152</v>
      </c>
      <c r="K223" s="315" t="s">
        <v>3160</v>
      </c>
      <c r="L223" s="315"/>
      <c r="M223" s="317"/>
      <c r="N223" s="320"/>
      <c r="O223" s="317" t="s">
        <v>51</v>
      </c>
      <c r="P223" s="318" t="s">
        <v>3570</v>
      </c>
      <c r="Q223" s="318" t="s">
        <v>3571</v>
      </c>
      <c r="R223" s="317"/>
      <c r="S223" s="317"/>
      <c r="T223" s="317"/>
      <c r="U223" s="317"/>
      <c r="V223" s="317"/>
      <c r="W223" s="317"/>
      <c r="X223" s="317"/>
      <c r="Y223" s="319"/>
    </row>
    <row r="224" spans="1:25" s="91" customFormat="1" hidden="1" x14ac:dyDescent="0.25">
      <c r="A224" s="32" t="s">
        <v>775</v>
      </c>
      <c r="B224" s="315" t="str">
        <f>IF((COUNTBLANK(G224)=0),Stats!$E$7,IF((COUNTBLANK(E224)=0),IF((COUNTBLANK(F224)=0),IF((COUNTBLANK(U224)=0),Stats!$E$6,Stats!$E$5),Stats!$E$4),""))</f>
        <v>Death</v>
      </c>
      <c r="C224" s="39" t="s">
        <v>284</v>
      </c>
      <c r="D224" s="315"/>
      <c r="E224" s="88">
        <v>43205</v>
      </c>
      <c r="F224" s="316">
        <v>36892</v>
      </c>
      <c r="G224" s="316">
        <v>36893</v>
      </c>
      <c r="H224" s="317" t="s">
        <v>3104</v>
      </c>
      <c r="I224" s="317"/>
      <c r="J224" s="317" t="s">
        <v>152</v>
      </c>
      <c r="K224" s="315" t="s">
        <v>3160</v>
      </c>
      <c r="L224" s="315"/>
      <c r="M224" s="317"/>
      <c r="N224" s="320"/>
      <c r="O224" s="317" t="s">
        <v>51</v>
      </c>
      <c r="P224" s="318" t="s">
        <v>3570</v>
      </c>
      <c r="Q224" s="318" t="s">
        <v>3571</v>
      </c>
      <c r="R224" s="317"/>
      <c r="S224" s="317"/>
      <c r="T224" s="317"/>
      <c r="U224" s="317"/>
      <c r="V224" s="317"/>
      <c r="W224" s="317"/>
      <c r="X224" s="317"/>
      <c r="Y224" s="319"/>
    </row>
    <row r="225" spans="1:25" s="91" customFormat="1" hidden="1" x14ac:dyDescent="0.25">
      <c r="A225" s="32" t="s">
        <v>778</v>
      </c>
      <c r="B225" s="315" t="str">
        <f>IF((COUNTBLANK(G225)=0),Stats!$E$7,IF((COUNTBLANK(E225)=0),IF((COUNTBLANK(F225)=0),IF((COUNTBLANK(U225)=0),Stats!$E$6,Stats!$E$5),Stats!$E$4),""))</f>
        <v>Death</v>
      </c>
      <c r="C225" s="39" t="s">
        <v>284</v>
      </c>
      <c r="D225" s="315"/>
      <c r="E225" s="88">
        <v>43321</v>
      </c>
      <c r="F225" s="316">
        <v>43321</v>
      </c>
      <c r="G225" s="316">
        <v>36893</v>
      </c>
      <c r="H225" s="317" t="s">
        <v>3148</v>
      </c>
      <c r="I225" s="317"/>
      <c r="J225" s="317" t="s">
        <v>152</v>
      </c>
      <c r="K225" s="315" t="s">
        <v>3216</v>
      </c>
      <c r="L225" s="315"/>
      <c r="M225" s="317"/>
      <c r="N225" s="320"/>
      <c r="O225" s="317" t="s">
        <v>51</v>
      </c>
      <c r="P225" s="318" t="s">
        <v>3550</v>
      </c>
      <c r="Q225" s="318">
        <v>200</v>
      </c>
      <c r="R225" s="317"/>
      <c r="S225" s="317"/>
      <c r="T225" s="317" t="s">
        <v>3519</v>
      </c>
      <c r="U225" s="317" t="s">
        <v>3572</v>
      </c>
      <c r="V225" s="317"/>
      <c r="W225" s="317"/>
      <c r="X225" s="317"/>
      <c r="Y225" s="319"/>
    </row>
    <row r="226" spans="1:25" s="91" customFormat="1" hidden="1" x14ac:dyDescent="0.25">
      <c r="A226" s="32" t="s">
        <v>780</v>
      </c>
      <c r="B226" s="315" t="str">
        <f>IF((COUNTBLANK(G226)=0),Stats!$E$7,IF((COUNTBLANK(E226)=0),IF((COUNTBLANK(F226)=0),IF((COUNTBLANK(U226)=0),Stats!$E$6,Stats!$E$5),Stats!$E$4),""))</f>
        <v>Death</v>
      </c>
      <c r="C226" s="39" t="s">
        <v>284</v>
      </c>
      <c r="D226" s="315"/>
      <c r="E226" s="88">
        <v>43321</v>
      </c>
      <c r="F226" s="88">
        <v>43321</v>
      </c>
      <c r="G226" s="316">
        <v>36893</v>
      </c>
      <c r="H226" s="317" t="s">
        <v>3148</v>
      </c>
      <c r="I226" s="49"/>
      <c r="J226" s="317" t="s">
        <v>152</v>
      </c>
      <c r="K226" s="315" t="s">
        <v>3216</v>
      </c>
      <c r="L226" s="58"/>
      <c r="M226" s="49"/>
      <c r="N226" s="62"/>
      <c r="O226" s="49" t="s">
        <v>51</v>
      </c>
      <c r="P226" s="67" t="s">
        <v>3550</v>
      </c>
      <c r="Q226" s="67" t="s">
        <v>3409</v>
      </c>
      <c r="R226" s="49"/>
      <c r="S226" s="49"/>
      <c r="T226" s="49" t="s">
        <v>3519</v>
      </c>
      <c r="U226" s="49" t="s">
        <v>3573</v>
      </c>
      <c r="V226" s="49" t="s">
        <v>3574</v>
      </c>
      <c r="W226" s="49"/>
      <c r="X226" s="49"/>
      <c r="Y226" s="95"/>
    </row>
    <row r="227" spans="1:25" s="92" customFormat="1" hidden="1" x14ac:dyDescent="0.25">
      <c r="A227" s="32" t="s">
        <v>783</v>
      </c>
      <c r="B227" s="315" t="str">
        <f>IF((COUNTBLANK(G227)=0),Stats!$E$7,IF((COUNTBLANK(E227)=0),IF((COUNTBLANK(F227)=0),IF((COUNTBLANK(U227)=0),Stats!$E$6,Stats!$E$5),Stats!$E$4),""))</f>
        <v>Death</v>
      </c>
      <c r="C227" s="39" t="s">
        <v>284</v>
      </c>
      <c r="D227" s="315"/>
      <c r="E227" s="88">
        <v>43322</v>
      </c>
      <c r="F227" s="316">
        <v>43322</v>
      </c>
      <c r="G227" s="316">
        <v>36893</v>
      </c>
      <c r="H227" s="317" t="s">
        <v>3148</v>
      </c>
      <c r="I227" s="317"/>
      <c r="J227" s="317" t="s">
        <v>152</v>
      </c>
      <c r="K227" s="315" t="s">
        <v>3575</v>
      </c>
      <c r="L227" s="315"/>
      <c r="M227" s="317"/>
      <c r="N227" s="320"/>
      <c r="O227" s="317" t="s">
        <v>51</v>
      </c>
      <c r="P227" s="318" t="s">
        <v>3576</v>
      </c>
      <c r="Q227" s="318" t="s">
        <v>3577</v>
      </c>
      <c r="R227" s="317" t="s">
        <v>3578</v>
      </c>
      <c r="S227" s="317"/>
      <c r="T227" s="317"/>
      <c r="U227" s="317"/>
      <c r="V227" s="317"/>
      <c r="W227" s="317"/>
      <c r="X227" s="317" t="s">
        <v>3499</v>
      </c>
      <c r="Y227" s="319"/>
    </row>
    <row r="228" spans="1:25" s="91" customFormat="1" hidden="1" x14ac:dyDescent="0.25">
      <c r="A228" s="32" t="s">
        <v>785</v>
      </c>
      <c r="B228" s="315" t="str">
        <f>IF((COUNTBLANK(G228)=0),Stats!$E$7,IF((COUNTBLANK(E228)=0),IF((COUNTBLANK(F228)=0),IF((COUNTBLANK(U228)=0),Stats!$E$6,Stats!$E$5),Stats!$E$4),""))</f>
        <v>Death</v>
      </c>
      <c r="C228" s="39" t="s">
        <v>284</v>
      </c>
      <c r="D228" s="315"/>
      <c r="E228" s="88">
        <v>43322</v>
      </c>
      <c r="F228" s="316">
        <v>43322</v>
      </c>
      <c r="G228" s="316">
        <v>36893</v>
      </c>
      <c r="H228" s="317" t="s">
        <v>3148</v>
      </c>
      <c r="I228" s="317"/>
      <c r="J228" s="317" t="s">
        <v>152</v>
      </c>
      <c r="K228" s="315" t="s">
        <v>3575</v>
      </c>
      <c r="L228" s="315"/>
      <c r="M228" s="317"/>
      <c r="N228" s="320"/>
      <c r="O228" s="317" t="s">
        <v>51</v>
      </c>
      <c r="P228" s="318" t="s">
        <v>3576</v>
      </c>
      <c r="Q228" s="318" t="s">
        <v>3577</v>
      </c>
      <c r="R228" s="317"/>
      <c r="S228" s="317"/>
      <c r="T228" s="317"/>
      <c r="U228" s="317"/>
      <c r="V228" s="317"/>
      <c r="W228" s="317"/>
      <c r="X228" s="317" t="s">
        <v>3499</v>
      </c>
      <c r="Y228" s="319"/>
    </row>
    <row r="229" spans="1:25" s="91" customFormat="1" hidden="1" x14ac:dyDescent="0.25">
      <c r="A229" s="32" t="s">
        <v>788</v>
      </c>
      <c r="B229" s="315" t="str">
        <f>IF((COUNTBLANK(G229)=0),Stats!$E$7,IF((COUNTBLANK(E229)=0),IF((COUNTBLANK(F229)=0),IF((COUNTBLANK(U229)=0),Stats!$E$6,Stats!$E$5),Stats!$E$4),""))</f>
        <v>Death</v>
      </c>
      <c r="C229" s="39" t="s">
        <v>62</v>
      </c>
      <c r="D229" s="315"/>
      <c r="E229" s="88">
        <v>43326</v>
      </c>
      <c r="F229" s="316">
        <v>43339</v>
      </c>
      <c r="G229" s="316">
        <v>36893</v>
      </c>
      <c r="H229" s="317" t="s">
        <v>3128</v>
      </c>
      <c r="I229" s="317"/>
      <c r="J229" s="317" t="s">
        <v>152</v>
      </c>
      <c r="K229" s="315" t="s">
        <v>3497</v>
      </c>
      <c r="L229" s="315" t="s">
        <v>3199</v>
      </c>
      <c r="M229" s="317"/>
      <c r="N229" s="320"/>
      <c r="O229" s="317" t="s">
        <v>51</v>
      </c>
      <c r="P229" s="318" t="s">
        <v>3579</v>
      </c>
      <c r="Q229" s="318" t="s">
        <v>3580</v>
      </c>
      <c r="R229" s="317" t="s">
        <v>3581</v>
      </c>
      <c r="S229" s="317"/>
      <c r="T229" s="317"/>
      <c r="U229" s="317"/>
      <c r="V229" s="317"/>
      <c r="W229" s="317"/>
      <c r="X229" s="317"/>
      <c r="Y229" s="319"/>
    </row>
    <row r="230" spans="1:25" s="91" customFormat="1" hidden="1" x14ac:dyDescent="0.25">
      <c r="A230" s="32" t="s">
        <v>790</v>
      </c>
      <c r="B230" s="315" t="str">
        <f>IF((COUNTBLANK(G230)=0),Stats!$E$7,IF((COUNTBLANK(E230)=0),IF((COUNTBLANK(F230)=0),IF((COUNTBLANK(U230)=0),Stats!$E$6,Stats!$E$5),Stats!$E$4),""))</f>
        <v>Death</v>
      </c>
      <c r="C230" s="39" t="s">
        <v>62</v>
      </c>
      <c r="D230" s="315"/>
      <c r="E230" s="88">
        <v>43326</v>
      </c>
      <c r="F230" s="316">
        <v>43340</v>
      </c>
      <c r="G230" s="316">
        <v>36893</v>
      </c>
      <c r="H230" s="317" t="s">
        <v>3128</v>
      </c>
      <c r="I230" s="317"/>
      <c r="J230" s="317" t="s">
        <v>152</v>
      </c>
      <c r="K230" s="315" t="s">
        <v>3497</v>
      </c>
      <c r="L230" s="315" t="s">
        <v>3199</v>
      </c>
      <c r="M230" s="317"/>
      <c r="N230" s="320"/>
      <c r="O230" s="317" t="s">
        <v>51</v>
      </c>
      <c r="P230" s="318" t="s">
        <v>3579</v>
      </c>
      <c r="Q230" s="318" t="s">
        <v>3580</v>
      </c>
      <c r="R230" s="317"/>
      <c r="S230" s="317"/>
      <c r="T230" s="317"/>
      <c r="U230" s="317"/>
      <c r="V230" s="317"/>
      <c r="W230" s="317"/>
      <c r="X230" s="317"/>
      <c r="Y230" s="319"/>
    </row>
    <row r="231" spans="1:25" s="91" customFormat="1" hidden="1" x14ac:dyDescent="0.25">
      <c r="A231" s="32" t="s">
        <v>792</v>
      </c>
      <c r="B231" s="315" t="str">
        <f>IF((COUNTBLANK(G231)=0),Stats!$E$7,IF((COUNTBLANK(E231)=0),IF((COUNTBLANK(F231)=0),IF((COUNTBLANK(U231)=0),Stats!$E$6,Stats!$E$5),Stats!$E$4),""))</f>
        <v>Death</v>
      </c>
      <c r="C231" s="39" t="s">
        <v>62</v>
      </c>
      <c r="D231" s="315"/>
      <c r="E231" s="88">
        <v>43326</v>
      </c>
      <c r="F231" s="316">
        <v>43341</v>
      </c>
      <c r="G231" s="316">
        <v>36893</v>
      </c>
      <c r="H231" s="317" t="s">
        <v>3128</v>
      </c>
      <c r="I231" s="317"/>
      <c r="J231" s="317" t="s">
        <v>152</v>
      </c>
      <c r="K231" s="315" t="s">
        <v>3497</v>
      </c>
      <c r="L231" s="315" t="s">
        <v>3199</v>
      </c>
      <c r="M231" s="317"/>
      <c r="N231" s="320"/>
      <c r="O231" s="317" t="s">
        <v>51</v>
      </c>
      <c r="P231" s="318" t="s">
        <v>3579</v>
      </c>
      <c r="Q231" s="318" t="s">
        <v>3580</v>
      </c>
      <c r="R231" s="317"/>
      <c r="S231" s="317"/>
      <c r="T231" s="317"/>
      <c r="U231" s="317"/>
      <c r="V231" s="317"/>
      <c r="W231" s="317"/>
      <c r="X231" s="317"/>
      <c r="Y231" s="319"/>
    </row>
    <row r="232" spans="1:25" s="91" customFormat="1" hidden="1" x14ac:dyDescent="0.25">
      <c r="A232" s="32" t="s">
        <v>795</v>
      </c>
      <c r="B232" s="315" t="str">
        <f>IF((COUNTBLANK(G232)=0),Stats!$E$7,IF((COUNTBLANK(E232)=0),IF((COUNTBLANK(F232)=0),IF((COUNTBLANK(U232)=0),Stats!$E$6,Stats!$E$5),Stats!$E$4),""))</f>
        <v>Death</v>
      </c>
      <c r="C232" s="39" t="s">
        <v>62</v>
      </c>
      <c r="D232" s="315"/>
      <c r="E232" s="88">
        <v>43328</v>
      </c>
      <c r="F232" s="316">
        <v>43341</v>
      </c>
      <c r="G232" s="316">
        <v>36893</v>
      </c>
      <c r="H232" s="317" t="s">
        <v>3128</v>
      </c>
      <c r="I232" s="317"/>
      <c r="J232" s="317" t="s">
        <v>152</v>
      </c>
      <c r="K232" s="315" t="s">
        <v>3497</v>
      </c>
      <c r="L232" s="315" t="s">
        <v>3199</v>
      </c>
      <c r="M232" s="317"/>
      <c r="N232" s="320"/>
      <c r="O232" s="317" t="s">
        <v>51</v>
      </c>
      <c r="P232" s="318" t="s">
        <v>3579</v>
      </c>
      <c r="Q232" s="318" t="s">
        <v>3580</v>
      </c>
      <c r="R232" s="317"/>
      <c r="S232" s="317"/>
      <c r="T232" s="317"/>
      <c r="U232" s="317"/>
      <c r="V232" s="317"/>
      <c r="W232" s="317"/>
      <c r="X232" s="317" t="s">
        <v>3582</v>
      </c>
      <c r="Y232" s="319"/>
    </row>
    <row r="233" spans="1:25" s="91" customFormat="1" hidden="1" x14ac:dyDescent="0.25">
      <c r="A233" s="32" t="s">
        <v>797</v>
      </c>
      <c r="B233" s="315" t="str">
        <f>IF((COUNTBLANK(G233)=0),Stats!$E$7,IF((COUNTBLANK(E233)=0),IF((COUNTBLANK(F233)=0),IF((COUNTBLANK(U233)=0),Stats!$E$6,Stats!$E$5),Stats!$E$4),""))</f>
        <v>Death</v>
      </c>
      <c r="C233" s="39" t="s">
        <v>62</v>
      </c>
      <c r="D233" s="315"/>
      <c r="E233" s="88">
        <v>43328</v>
      </c>
      <c r="F233" s="316">
        <v>43342</v>
      </c>
      <c r="G233" s="316">
        <v>36893</v>
      </c>
      <c r="H233" s="317" t="s">
        <v>3128</v>
      </c>
      <c r="I233" s="317"/>
      <c r="J233" s="317" t="s">
        <v>152</v>
      </c>
      <c r="K233" s="315" t="s">
        <v>3497</v>
      </c>
      <c r="L233" s="315" t="s">
        <v>3199</v>
      </c>
      <c r="M233" s="317"/>
      <c r="N233" s="320"/>
      <c r="O233" s="317" t="s">
        <v>51</v>
      </c>
      <c r="P233" s="318" t="s">
        <v>3579</v>
      </c>
      <c r="Q233" s="318" t="s">
        <v>3580</v>
      </c>
      <c r="R233" s="317"/>
      <c r="S233" s="317"/>
      <c r="T233" s="317"/>
      <c r="U233" s="317"/>
      <c r="V233" s="317"/>
      <c r="W233" s="317"/>
      <c r="X233" s="317" t="s">
        <v>3582</v>
      </c>
      <c r="Y233" s="319"/>
    </row>
    <row r="234" spans="1:25" s="91" customFormat="1" hidden="1" x14ac:dyDescent="0.25">
      <c r="A234" s="32" t="s">
        <v>799</v>
      </c>
      <c r="B234" s="315" t="str">
        <f>IF((COUNTBLANK(G234)=0),Stats!$E$7,IF((COUNTBLANK(E234)=0),IF((COUNTBLANK(F234)=0),IF((COUNTBLANK(U234)=0),Stats!$E$6,Stats!$E$5),Stats!$E$4),""))</f>
        <v>Death</v>
      </c>
      <c r="C234" s="39" t="s">
        <v>62</v>
      </c>
      <c r="D234" s="315"/>
      <c r="E234" s="88">
        <v>43339</v>
      </c>
      <c r="F234" s="316">
        <v>36892</v>
      </c>
      <c r="G234" s="316">
        <v>36893</v>
      </c>
      <c r="H234" s="317" t="s">
        <v>3148</v>
      </c>
      <c r="I234" s="317"/>
      <c r="J234" s="317" t="s">
        <v>152</v>
      </c>
      <c r="K234" s="315" t="s">
        <v>3583</v>
      </c>
      <c r="L234" s="315"/>
      <c r="M234" s="317"/>
      <c r="N234" s="320"/>
      <c r="O234" s="317" t="s">
        <v>3584</v>
      </c>
      <c r="P234" s="318"/>
      <c r="Q234" s="318" t="s">
        <v>3585</v>
      </c>
      <c r="R234" s="317"/>
      <c r="S234" s="317"/>
      <c r="T234" s="317"/>
      <c r="U234" s="317"/>
      <c r="V234" s="317"/>
      <c r="W234" s="317"/>
      <c r="X234" s="317"/>
      <c r="Y234" s="319"/>
    </row>
    <row r="235" spans="1:25" s="91" customFormat="1" hidden="1" x14ac:dyDescent="0.25">
      <c r="A235" s="32" t="s">
        <v>805</v>
      </c>
      <c r="B235" s="315" t="str">
        <f>IF((COUNTBLANK(G235)=0),Stats!$E$7,IF((COUNTBLANK(E235)=0),IF((COUNTBLANK(F235)=0),IF((COUNTBLANK(U235)=0),Stats!$E$6,Stats!$E$5),Stats!$E$4),""))</f>
        <v>Death</v>
      </c>
      <c r="C235" s="39" t="s">
        <v>62</v>
      </c>
      <c r="D235" s="315"/>
      <c r="E235" s="88">
        <v>43339</v>
      </c>
      <c r="F235" s="316">
        <v>43348</v>
      </c>
      <c r="G235" s="316">
        <v>36893</v>
      </c>
      <c r="H235" s="317" t="s">
        <v>3148</v>
      </c>
      <c r="I235" s="317"/>
      <c r="J235" s="317" t="s">
        <v>152</v>
      </c>
      <c r="K235" s="315" t="s">
        <v>3583</v>
      </c>
      <c r="L235" s="315"/>
      <c r="M235" s="317"/>
      <c r="N235" s="320"/>
      <c r="O235" s="317" t="s">
        <v>3584</v>
      </c>
      <c r="P235" s="318"/>
      <c r="Q235" s="318" t="s">
        <v>3586</v>
      </c>
      <c r="R235" s="317"/>
      <c r="S235" s="317"/>
      <c r="T235" s="317"/>
      <c r="U235" s="317"/>
      <c r="V235" s="317"/>
      <c r="W235" s="317"/>
      <c r="X235" s="317"/>
      <c r="Y235" s="319"/>
    </row>
    <row r="236" spans="1:25" s="91" customFormat="1" hidden="1" x14ac:dyDescent="0.25">
      <c r="A236" s="32" t="s">
        <v>807</v>
      </c>
      <c r="B236" s="315" t="str">
        <f>IF((COUNTBLANK(G236)=0),Stats!$E$7,IF((COUNTBLANK(E236)=0),IF((COUNTBLANK(F236)=0),IF((COUNTBLANK(U236)=0),Stats!$E$6,Stats!$E$5),Stats!$E$4),""))</f>
        <v>Death</v>
      </c>
      <c r="C236" s="39" t="s">
        <v>62</v>
      </c>
      <c r="D236" s="315"/>
      <c r="E236" s="88">
        <v>43339</v>
      </c>
      <c r="F236" s="316">
        <v>43348</v>
      </c>
      <c r="G236" s="316">
        <v>36893</v>
      </c>
      <c r="H236" s="317" t="s">
        <v>3148</v>
      </c>
      <c r="I236" s="317"/>
      <c r="J236" s="317" t="s">
        <v>152</v>
      </c>
      <c r="K236" s="315" t="s">
        <v>3583</v>
      </c>
      <c r="L236" s="315"/>
      <c r="M236" s="317"/>
      <c r="N236" s="320"/>
      <c r="O236" s="317" t="s">
        <v>3584</v>
      </c>
      <c r="P236" s="318"/>
      <c r="Q236" s="318" t="s">
        <v>3587</v>
      </c>
      <c r="R236" s="317"/>
      <c r="S236" s="317"/>
      <c r="T236" s="317"/>
      <c r="U236" s="317"/>
      <c r="V236" s="317"/>
      <c r="W236" s="317"/>
      <c r="X236" s="317"/>
      <c r="Y236" s="319"/>
    </row>
    <row r="237" spans="1:25" s="91" customFormat="1" hidden="1" x14ac:dyDescent="0.25">
      <c r="A237" s="32" t="s">
        <v>809</v>
      </c>
      <c r="B237" s="315" t="str">
        <f>IF((COUNTBLANK(G237)=0),Stats!$E$7,IF((COUNTBLANK(E237)=0),IF((COUNTBLANK(F237)=0),IF((COUNTBLANK(U237)=0),Stats!$E$6,Stats!$E$5),Stats!$E$4),""))</f>
        <v>Death</v>
      </c>
      <c r="C237" s="39" t="s">
        <v>3129</v>
      </c>
      <c r="D237" s="315"/>
      <c r="E237" s="88">
        <v>43343</v>
      </c>
      <c r="F237" s="316">
        <v>43343</v>
      </c>
      <c r="G237" s="316">
        <v>36893</v>
      </c>
      <c r="H237" s="317" t="s">
        <v>3148</v>
      </c>
      <c r="I237" s="317"/>
      <c r="J237" s="317" t="s">
        <v>152</v>
      </c>
      <c r="K237" s="315" t="s">
        <v>3588</v>
      </c>
      <c r="L237" s="315"/>
      <c r="M237" s="317"/>
      <c r="N237" s="320"/>
      <c r="O237" s="317" t="s">
        <v>51</v>
      </c>
      <c r="P237" s="318">
        <v>-400</v>
      </c>
      <c r="Q237" s="318">
        <v>300</v>
      </c>
      <c r="R237" s="317"/>
      <c r="S237" s="317"/>
      <c r="T237" s="317"/>
      <c r="U237" s="317" t="s">
        <v>3589</v>
      </c>
      <c r="V237" s="317"/>
      <c r="W237" s="317"/>
      <c r="X237" s="317" t="s">
        <v>3582</v>
      </c>
      <c r="Y237" s="319"/>
    </row>
    <row r="238" spans="1:25" s="91" customFormat="1" hidden="1" x14ac:dyDescent="0.25">
      <c r="A238" s="32" t="s">
        <v>811</v>
      </c>
      <c r="B238" s="315" t="str">
        <f>IF((COUNTBLANK(G238)=0),Stats!$E$7,IF((COUNTBLANK(E238)=0),IF((COUNTBLANK(F238)=0),IF((COUNTBLANK(U238)=0),Stats!$E$6,Stats!$E$5),Stats!$E$4),""))</f>
        <v>Death</v>
      </c>
      <c r="C238" s="39" t="s">
        <v>3129</v>
      </c>
      <c r="D238" s="315"/>
      <c r="E238" s="88">
        <v>43343</v>
      </c>
      <c r="F238" s="316">
        <v>43343</v>
      </c>
      <c r="G238" s="316">
        <v>36893</v>
      </c>
      <c r="H238" s="317" t="s">
        <v>3148</v>
      </c>
      <c r="I238" s="317"/>
      <c r="J238" s="317" t="s">
        <v>152</v>
      </c>
      <c r="K238" s="315" t="s">
        <v>3588</v>
      </c>
      <c r="L238" s="315"/>
      <c r="M238" s="317"/>
      <c r="N238" s="320"/>
      <c r="O238" s="317" t="s">
        <v>51</v>
      </c>
      <c r="P238" s="318">
        <v>-400</v>
      </c>
      <c r="Q238" s="318">
        <v>350</v>
      </c>
      <c r="R238" s="317"/>
      <c r="S238" s="317"/>
      <c r="T238" s="317"/>
      <c r="U238" s="317" t="s">
        <v>3590</v>
      </c>
      <c r="V238" s="317"/>
      <c r="W238" s="317"/>
      <c r="X238" s="317"/>
      <c r="Y238" s="319"/>
    </row>
    <row r="239" spans="1:25" s="91" customFormat="1" hidden="1" x14ac:dyDescent="0.25">
      <c r="A239" s="32" t="s">
        <v>815</v>
      </c>
      <c r="B239" s="315" t="str">
        <f>IF((COUNTBLANK(G239)=0),Stats!$E$7,IF((COUNTBLANK(E239)=0),IF((COUNTBLANK(F239)=0),IF((COUNTBLANK(U239)=0),Stats!$E$6,Stats!$E$5),Stats!$E$4),""))</f>
        <v>Death</v>
      </c>
      <c r="C239" s="39" t="s">
        <v>284</v>
      </c>
      <c r="D239" s="315"/>
      <c r="E239" s="88">
        <v>43353</v>
      </c>
      <c r="F239" s="316">
        <v>43361</v>
      </c>
      <c r="G239" s="316">
        <v>36893</v>
      </c>
      <c r="H239" s="317" t="s">
        <v>3140</v>
      </c>
      <c r="I239" s="317"/>
      <c r="J239" s="317" t="s">
        <v>152</v>
      </c>
      <c r="K239" s="315" t="s">
        <v>3187</v>
      </c>
      <c r="L239" s="315" t="s">
        <v>3554</v>
      </c>
      <c r="M239" s="317" t="s">
        <v>3093</v>
      </c>
      <c r="N239" s="320" t="s">
        <v>3555</v>
      </c>
      <c r="O239" s="317" t="s">
        <v>51</v>
      </c>
      <c r="P239" s="318">
        <v>-400</v>
      </c>
      <c r="Q239" s="318" t="s">
        <v>3591</v>
      </c>
      <c r="R239" s="317"/>
      <c r="S239" s="317"/>
      <c r="T239" s="317"/>
      <c r="U239" s="317" t="s">
        <v>3592</v>
      </c>
      <c r="V239" s="317" t="s">
        <v>3593</v>
      </c>
      <c r="W239" s="317"/>
      <c r="X239" s="317"/>
      <c r="Y239" s="319"/>
    </row>
    <row r="240" spans="1:25" s="91" customFormat="1" hidden="1" x14ac:dyDescent="0.25">
      <c r="A240" s="32" t="s">
        <v>818</v>
      </c>
      <c r="B240" s="315" t="str">
        <f>IF((COUNTBLANK(G240)=0),Stats!$E$7,IF((COUNTBLANK(E240)=0),IF((COUNTBLANK(F240)=0),IF((COUNTBLANK(U240)=0),Stats!$E$6,Stats!$E$5),Stats!$E$4),""))</f>
        <v>Death</v>
      </c>
      <c r="C240" s="39" t="s">
        <v>284</v>
      </c>
      <c r="D240" s="315"/>
      <c r="E240" s="88">
        <v>43353</v>
      </c>
      <c r="F240" s="316">
        <v>43361</v>
      </c>
      <c r="G240" s="316">
        <v>36893</v>
      </c>
      <c r="H240" s="317" t="s">
        <v>3140</v>
      </c>
      <c r="I240" s="317"/>
      <c r="J240" s="317" t="s">
        <v>152</v>
      </c>
      <c r="K240" s="315" t="s">
        <v>3187</v>
      </c>
      <c r="L240" s="315" t="s">
        <v>3554</v>
      </c>
      <c r="M240" s="317" t="s">
        <v>3093</v>
      </c>
      <c r="N240" s="320" t="s">
        <v>3555</v>
      </c>
      <c r="O240" s="317" t="s">
        <v>51</v>
      </c>
      <c r="P240" s="318">
        <v>-400</v>
      </c>
      <c r="Q240" s="318" t="s">
        <v>3591</v>
      </c>
      <c r="R240" s="317"/>
      <c r="S240" s="317"/>
      <c r="T240" s="317"/>
      <c r="U240" s="317" t="s">
        <v>3592</v>
      </c>
      <c r="V240" s="317"/>
      <c r="W240" s="317"/>
      <c r="X240" s="317" t="s">
        <v>3594</v>
      </c>
      <c r="Y240" s="319"/>
    </row>
    <row r="241" spans="1:25" s="91" customFormat="1" hidden="1" x14ac:dyDescent="0.25">
      <c r="A241" s="32" t="s">
        <v>821</v>
      </c>
      <c r="B241" s="315" t="str">
        <f>IF((COUNTBLANK(G241)=0),Stats!$E$7,IF((COUNTBLANK(E241)=0),IF((COUNTBLANK(F241)=0),IF((COUNTBLANK(U241)=0),Stats!$E$6,Stats!$E$5),Stats!$E$4),""))</f>
        <v>Death</v>
      </c>
      <c r="C241" s="39" t="s">
        <v>284</v>
      </c>
      <c r="D241" s="315"/>
      <c r="E241" s="88">
        <v>43353</v>
      </c>
      <c r="F241" s="316">
        <v>43362</v>
      </c>
      <c r="G241" s="316">
        <v>36893</v>
      </c>
      <c r="H241" s="317" t="s">
        <v>3140</v>
      </c>
      <c r="I241" s="317"/>
      <c r="J241" s="317" t="s">
        <v>152</v>
      </c>
      <c r="K241" s="315" t="s">
        <v>3187</v>
      </c>
      <c r="L241" s="315" t="s">
        <v>3554</v>
      </c>
      <c r="M241" s="317" t="s">
        <v>3093</v>
      </c>
      <c r="N241" s="320" t="s">
        <v>3555</v>
      </c>
      <c r="O241" s="317" t="s">
        <v>51</v>
      </c>
      <c r="P241" s="318">
        <v>-400</v>
      </c>
      <c r="Q241" s="318" t="s">
        <v>3591</v>
      </c>
      <c r="R241" s="317"/>
      <c r="S241" s="317"/>
      <c r="T241" s="317"/>
      <c r="U241" s="317" t="s">
        <v>3592</v>
      </c>
      <c r="V241" s="317"/>
      <c r="W241" s="317"/>
      <c r="X241" s="317" t="s">
        <v>3582</v>
      </c>
      <c r="Y241" s="319"/>
    </row>
    <row r="242" spans="1:25" s="91" customFormat="1" hidden="1" x14ac:dyDescent="0.25">
      <c r="A242" s="32" t="s">
        <v>823</v>
      </c>
      <c r="B242" s="315" t="str">
        <f>IF((COUNTBLANK(G242)=0),Stats!$E$7,IF((COUNTBLANK(E242)=0),IF((COUNTBLANK(F242)=0),IF((COUNTBLANK(U242)=0),Stats!$E$6,Stats!$E$5),Stats!$E$4),""))</f>
        <v>Death</v>
      </c>
      <c r="C242" s="39" t="s">
        <v>284</v>
      </c>
      <c r="D242" s="315"/>
      <c r="E242" s="88">
        <v>43353</v>
      </c>
      <c r="F242" s="316">
        <v>43362</v>
      </c>
      <c r="G242" s="316">
        <v>36893</v>
      </c>
      <c r="H242" s="317" t="s">
        <v>3140</v>
      </c>
      <c r="I242" s="317"/>
      <c r="J242" s="317" t="s">
        <v>152</v>
      </c>
      <c r="K242" s="315" t="s">
        <v>3187</v>
      </c>
      <c r="L242" s="315" t="s">
        <v>3554</v>
      </c>
      <c r="M242" s="317" t="s">
        <v>3093</v>
      </c>
      <c r="N242" s="320" t="s">
        <v>3555</v>
      </c>
      <c r="O242" s="317" t="s">
        <v>51</v>
      </c>
      <c r="P242" s="318">
        <v>-400</v>
      </c>
      <c r="Q242" s="318" t="s">
        <v>3591</v>
      </c>
      <c r="R242" s="317"/>
      <c r="S242" s="317"/>
      <c r="T242" s="317"/>
      <c r="U242" s="317" t="s">
        <v>3595</v>
      </c>
      <c r="V242" s="317" t="s">
        <v>3345</v>
      </c>
      <c r="W242" s="317"/>
      <c r="X242" s="317" t="s">
        <v>3594</v>
      </c>
      <c r="Y242" s="319"/>
    </row>
    <row r="243" spans="1:25" s="91" customFormat="1" hidden="1" x14ac:dyDescent="0.25">
      <c r="A243" s="32" t="s">
        <v>826</v>
      </c>
      <c r="B243" s="315" t="str">
        <f>IF((COUNTBLANK(G243)=0),Stats!$E$7,IF((COUNTBLANK(E243)=0),IF((COUNTBLANK(F243)=0),IF((COUNTBLANK(U243)=0),Stats!$E$6,Stats!$E$5),Stats!$E$4),""))</f>
        <v>Death</v>
      </c>
      <c r="C243" s="39" t="s">
        <v>3115</v>
      </c>
      <c r="D243" s="315"/>
      <c r="E243" s="88">
        <v>43354</v>
      </c>
      <c r="F243" s="316">
        <v>43362</v>
      </c>
      <c r="G243" s="316">
        <v>36893</v>
      </c>
      <c r="H243" s="317" t="s">
        <v>3128</v>
      </c>
      <c r="I243" s="317"/>
      <c r="J243" s="317" t="s">
        <v>152</v>
      </c>
      <c r="K243" s="315" t="s">
        <v>3497</v>
      </c>
      <c r="L243" s="315" t="s">
        <v>3199</v>
      </c>
      <c r="M243" s="317"/>
      <c r="N243" s="320"/>
      <c r="O243" s="317" t="s">
        <v>51</v>
      </c>
      <c r="P243" s="318" t="s">
        <v>3579</v>
      </c>
      <c r="Q243" s="318" t="s">
        <v>3596</v>
      </c>
      <c r="R243" s="317"/>
      <c r="S243" s="317"/>
      <c r="T243" s="317"/>
      <c r="U243" s="317" t="s">
        <v>3597</v>
      </c>
      <c r="V243" s="317"/>
      <c r="W243" s="317"/>
      <c r="X243" s="317" t="s">
        <v>3598</v>
      </c>
      <c r="Y243" s="319"/>
    </row>
    <row r="244" spans="1:25" s="91" customFormat="1" hidden="1" x14ac:dyDescent="0.25">
      <c r="A244" s="32" t="s">
        <v>829</v>
      </c>
      <c r="B244" s="315" t="str">
        <f>IF((COUNTBLANK(G244)=0),Stats!$E$7,IF((COUNTBLANK(E244)=0),IF((COUNTBLANK(F244)=0),IF((COUNTBLANK(U244)=0),Stats!$E$6,Stats!$E$5),Stats!$E$4),""))</f>
        <v>Death</v>
      </c>
      <c r="C244" s="39" t="s">
        <v>3115</v>
      </c>
      <c r="D244" s="315"/>
      <c r="E244" s="88">
        <v>43354</v>
      </c>
      <c r="F244" s="316">
        <v>43363</v>
      </c>
      <c r="G244" s="316">
        <v>36893</v>
      </c>
      <c r="H244" s="317" t="s">
        <v>3128</v>
      </c>
      <c r="I244" s="317"/>
      <c r="J244" s="317" t="s">
        <v>152</v>
      </c>
      <c r="K244" s="315" t="s">
        <v>3497</v>
      </c>
      <c r="L244" s="315" t="s">
        <v>3199</v>
      </c>
      <c r="M244" s="317"/>
      <c r="N244" s="320"/>
      <c r="O244" s="317" t="s">
        <v>51</v>
      </c>
      <c r="P244" s="318" t="s">
        <v>3579</v>
      </c>
      <c r="Q244" s="318" t="s">
        <v>3596</v>
      </c>
      <c r="R244" s="317"/>
      <c r="S244" s="317"/>
      <c r="T244" s="317"/>
      <c r="U244" s="317" t="s">
        <v>3597</v>
      </c>
      <c r="V244" s="317" t="s">
        <v>3345</v>
      </c>
      <c r="W244" s="317"/>
      <c r="X244" s="317"/>
      <c r="Y244" s="319"/>
    </row>
    <row r="245" spans="1:25" s="91" customFormat="1" hidden="1" x14ac:dyDescent="0.25">
      <c r="A245" s="32" t="s">
        <v>833</v>
      </c>
      <c r="B245" s="315" t="str">
        <f>IF((COUNTBLANK(G245)=0),Stats!$E$7,IF((COUNTBLANK(E245)=0),IF((COUNTBLANK(F245)=0),IF((COUNTBLANK(U245)=0),Stats!$E$6,Stats!$E$5),Stats!$E$4),""))</f>
        <v>Death</v>
      </c>
      <c r="C245" s="39" t="s">
        <v>3115</v>
      </c>
      <c r="D245" s="315"/>
      <c r="E245" s="88">
        <v>43354</v>
      </c>
      <c r="F245" s="316">
        <v>43363</v>
      </c>
      <c r="G245" s="316">
        <v>36893</v>
      </c>
      <c r="H245" s="317" t="s">
        <v>3128</v>
      </c>
      <c r="I245" s="317"/>
      <c r="J245" s="317" t="s">
        <v>152</v>
      </c>
      <c r="K245" s="315" t="s">
        <v>3497</v>
      </c>
      <c r="L245" s="315" t="s">
        <v>3199</v>
      </c>
      <c r="M245" s="317"/>
      <c r="N245" s="320"/>
      <c r="O245" s="317" t="s">
        <v>51</v>
      </c>
      <c r="P245" s="318" t="s">
        <v>3579</v>
      </c>
      <c r="Q245" s="318" t="s">
        <v>3596</v>
      </c>
      <c r="R245" s="317"/>
      <c r="S245" s="317"/>
      <c r="T245" s="317"/>
      <c r="U245" s="317" t="s">
        <v>3599</v>
      </c>
      <c r="V245" s="317"/>
      <c r="W245" s="317"/>
      <c r="X245" s="317"/>
      <c r="Y245" s="319"/>
    </row>
    <row r="246" spans="1:25" s="91" customFormat="1" hidden="1" x14ac:dyDescent="0.25">
      <c r="A246" s="32" t="s">
        <v>835</v>
      </c>
      <c r="B246" s="315" t="str">
        <f>IF((COUNTBLANK(G246)=0),Stats!$E$7,IF((COUNTBLANK(E246)=0),IF((COUNTBLANK(F246)=0),IF((COUNTBLANK(U246)=0),Stats!$E$6,Stats!$E$5),Stats!$E$4),""))</f>
        <v>Death</v>
      </c>
      <c r="C246" s="39" t="s">
        <v>3115</v>
      </c>
      <c r="D246" s="315"/>
      <c r="E246" s="88">
        <v>43354</v>
      </c>
      <c r="F246" s="316">
        <v>43363</v>
      </c>
      <c r="G246" s="316">
        <v>36893</v>
      </c>
      <c r="H246" s="317" t="s">
        <v>3128</v>
      </c>
      <c r="I246" s="317"/>
      <c r="J246" s="317" t="s">
        <v>152</v>
      </c>
      <c r="K246" s="315" t="s">
        <v>3497</v>
      </c>
      <c r="L246" s="315" t="s">
        <v>3199</v>
      </c>
      <c r="M246" s="317"/>
      <c r="N246" s="320"/>
      <c r="O246" s="317" t="s">
        <v>51</v>
      </c>
      <c r="P246" s="318" t="s">
        <v>3579</v>
      </c>
      <c r="Q246" s="318" t="s">
        <v>3596</v>
      </c>
      <c r="R246" s="317"/>
      <c r="S246" s="317"/>
      <c r="T246" s="317"/>
      <c r="U246" s="317"/>
      <c r="V246" s="317"/>
      <c r="W246" s="317"/>
      <c r="X246" s="317"/>
      <c r="Y246" s="319"/>
    </row>
    <row r="247" spans="1:25" s="91" customFormat="1" hidden="1" x14ac:dyDescent="0.25">
      <c r="A247" s="32" t="s">
        <v>838</v>
      </c>
      <c r="B247" s="315" t="str">
        <f>IF((COUNTBLANK(G247)=0),Stats!$E$7,IF((COUNTBLANK(E247)=0),IF((COUNTBLANK(F247)=0),IF((COUNTBLANK(U247)=0),Stats!$E$6,Stats!$E$5),Stats!$E$4),""))</f>
        <v>Death</v>
      </c>
      <c r="C247" s="39" t="s">
        <v>3115</v>
      </c>
      <c r="D247" s="315"/>
      <c r="E247" s="88">
        <v>43354</v>
      </c>
      <c r="F247" s="316">
        <v>43363</v>
      </c>
      <c r="G247" s="316">
        <v>36893</v>
      </c>
      <c r="H247" s="317" t="s">
        <v>3128</v>
      </c>
      <c r="I247" s="317"/>
      <c r="J247" s="317" t="s">
        <v>152</v>
      </c>
      <c r="K247" s="315" t="s">
        <v>3497</v>
      </c>
      <c r="L247" s="315" t="s">
        <v>3199</v>
      </c>
      <c r="M247" s="317"/>
      <c r="N247" s="320"/>
      <c r="O247" s="317" t="s">
        <v>51</v>
      </c>
      <c r="P247" s="318" t="s">
        <v>3579</v>
      </c>
      <c r="Q247" s="318" t="s">
        <v>3596</v>
      </c>
      <c r="R247" s="317"/>
      <c r="S247" s="317"/>
      <c r="T247" s="317"/>
      <c r="U247" s="317" t="s">
        <v>3600</v>
      </c>
      <c r="V247" s="317"/>
      <c r="W247" s="317"/>
      <c r="X247" s="317" t="s">
        <v>3582</v>
      </c>
      <c r="Y247" s="319"/>
    </row>
    <row r="248" spans="1:25" s="91" customFormat="1" hidden="1" x14ac:dyDescent="0.25">
      <c r="A248" s="32" t="s">
        <v>841</v>
      </c>
      <c r="B248" s="315" t="str">
        <f>IF((COUNTBLANK(G248)=0),Stats!$E$7,IF((COUNTBLANK(E248)=0),IF((COUNTBLANK(F248)=0),IF((COUNTBLANK(U248)=0),Stats!$E$6,Stats!$E$5),Stats!$E$4),""))</f>
        <v>Death</v>
      </c>
      <c r="C248" s="39" t="s">
        <v>3115</v>
      </c>
      <c r="D248" s="315"/>
      <c r="E248" s="88">
        <v>43355</v>
      </c>
      <c r="F248" s="316">
        <v>43367</v>
      </c>
      <c r="G248" s="316">
        <v>36893</v>
      </c>
      <c r="H248" s="317" t="s">
        <v>3148</v>
      </c>
      <c r="I248" s="317"/>
      <c r="J248" s="317" t="s">
        <v>152</v>
      </c>
      <c r="K248" s="315" t="s">
        <v>3497</v>
      </c>
      <c r="L248" s="315" t="s">
        <v>3199</v>
      </c>
      <c r="M248" s="317"/>
      <c r="N248" s="320"/>
      <c r="O248" s="317" t="s">
        <v>51</v>
      </c>
      <c r="P248" s="318" t="s">
        <v>3601</v>
      </c>
      <c r="Q248" s="318" t="s">
        <v>3602</v>
      </c>
      <c r="R248" s="317"/>
      <c r="S248" s="317"/>
      <c r="T248" s="317"/>
      <c r="U248" s="317" t="s">
        <v>3597</v>
      </c>
      <c r="V248" s="317" t="s">
        <v>3603</v>
      </c>
      <c r="W248" s="317"/>
      <c r="X248" s="317"/>
      <c r="Y248" s="319"/>
    </row>
    <row r="249" spans="1:25" s="91" customFormat="1" hidden="1" x14ac:dyDescent="0.25">
      <c r="A249" s="32" t="s">
        <v>844</v>
      </c>
      <c r="B249" s="315" t="str">
        <f>IF((COUNTBLANK(G249)=0),Stats!$E$7,IF((COUNTBLANK(E249)=0),IF((COUNTBLANK(F249)=0),IF((COUNTBLANK(U249)=0),Stats!$E$6,Stats!$E$5),Stats!$E$4),""))</f>
        <v>Death</v>
      </c>
      <c r="C249" s="39" t="s">
        <v>3115</v>
      </c>
      <c r="D249" s="315"/>
      <c r="E249" s="88">
        <v>43355</v>
      </c>
      <c r="F249" s="316">
        <v>43367</v>
      </c>
      <c r="G249" s="316">
        <v>36893</v>
      </c>
      <c r="H249" s="317" t="s">
        <v>3148</v>
      </c>
      <c r="I249" s="317"/>
      <c r="J249" s="317" t="s">
        <v>152</v>
      </c>
      <c r="K249" s="315" t="s">
        <v>3497</v>
      </c>
      <c r="L249" s="315" t="s">
        <v>3199</v>
      </c>
      <c r="M249" s="317"/>
      <c r="N249" s="320"/>
      <c r="O249" s="317" t="s">
        <v>51</v>
      </c>
      <c r="P249" s="318" t="s">
        <v>3601</v>
      </c>
      <c r="Q249" s="318" t="s">
        <v>3602</v>
      </c>
      <c r="R249" s="317"/>
      <c r="S249" s="317"/>
      <c r="T249" s="317"/>
      <c r="U249" s="317" t="s">
        <v>3604</v>
      </c>
      <c r="V249" s="317" t="s">
        <v>3603</v>
      </c>
      <c r="W249" s="317"/>
      <c r="X249" s="317"/>
      <c r="Y249" s="319"/>
    </row>
    <row r="250" spans="1:25" s="91" customFormat="1" hidden="1" x14ac:dyDescent="0.25">
      <c r="A250" s="32" t="s">
        <v>846</v>
      </c>
      <c r="B250" s="315" t="str">
        <f>IF((COUNTBLANK(G250)=0),Stats!$E$7,IF((COUNTBLANK(E250)=0),IF((COUNTBLANK(F250)=0),IF((COUNTBLANK(U250)=0),Stats!$E$6,Stats!$E$5),Stats!$E$4),""))</f>
        <v>Death</v>
      </c>
      <c r="C250" s="39" t="s">
        <v>3115</v>
      </c>
      <c r="D250" s="315"/>
      <c r="E250" s="88">
        <v>43355</v>
      </c>
      <c r="F250" s="316">
        <v>43369</v>
      </c>
      <c r="G250" s="316">
        <v>36893</v>
      </c>
      <c r="H250" s="317" t="s">
        <v>3148</v>
      </c>
      <c r="I250" s="317"/>
      <c r="J250" s="317" t="s">
        <v>152</v>
      </c>
      <c r="K250" s="315" t="s">
        <v>3497</v>
      </c>
      <c r="L250" s="315" t="s">
        <v>3199</v>
      </c>
      <c r="M250" s="317"/>
      <c r="N250" s="320"/>
      <c r="O250" s="317" t="s">
        <v>51</v>
      </c>
      <c r="P250" s="318" t="s">
        <v>3601</v>
      </c>
      <c r="Q250" s="318" t="s">
        <v>3602</v>
      </c>
      <c r="R250" s="317"/>
      <c r="S250" s="317"/>
      <c r="T250" s="317"/>
      <c r="U250" s="317" t="s">
        <v>3604</v>
      </c>
      <c r="V250" s="317" t="s">
        <v>3603</v>
      </c>
      <c r="W250" s="317"/>
      <c r="X250" s="317"/>
      <c r="Y250" s="319"/>
    </row>
    <row r="251" spans="1:25" s="91" customFormat="1" hidden="1" x14ac:dyDescent="0.25">
      <c r="A251" s="32" t="s">
        <v>848</v>
      </c>
      <c r="B251" s="315" t="str">
        <f>IF((COUNTBLANK(G251)=0),Stats!$E$7,IF((COUNTBLANK(E251)=0),IF((COUNTBLANK(F251)=0),IF((COUNTBLANK(U251)=0),Stats!$E$6,Stats!$E$5),Stats!$E$4),""))</f>
        <v>Death</v>
      </c>
      <c r="C251" s="39" t="s">
        <v>3115</v>
      </c>
      <c r="D251" s="315"/>
      <c r="E251" s="88">
        <v>43355</v>
      </c>
      <c r="F251" s="316">
        <v>43369</v>
      </c>
      <c r="G251" s="316">
        <v>36893</v>
      </c>
      <c r="H251" s="317" t="s">
        <v>3148</v>
      </c>
      <c r="I251" s="317"/>
      <c r="J251" s="317" t="s">
        <v>152</v>
      </c>
      <c r="K251" s="315" t="s">
        <v>3497</v>
      </c>
      <c r="L251" s="315" t="s">
        <v>3199</v>
      </c>
      <c r="M251" s="317"/>
      <c r="N251" s="320"/>
      <c r="O251" s="317" t="s">
        <v>51</v>
      </c>
      <c r="P251" s="318" t="s">
        <v>3601</v>
      </c>
      <c r="Q251" s="318" t="s">
        <v>3602</v>
      </c>
      <c r="R251" s="317"/>
      <c r="S251" s="317"/>
      <c r="T251" s="317"/>
      <c r="U251" s="317" t="s">
        <v>3604</v>
      </c>
      <c r="V251" s="317" t="s">
        <v>3605</v>
      </c>
      <c r="W251" s="317"/>
      <c r="X251" s="317"/>
      <c r="Y251" s="319"/>
    </row>
    <row r="252" spans="1:25" s="91" customFormat="1" hidden="1" x14ac:dyDescent="0.25">
      <c r="A252" s="32" t="s">
        <v>852</v>
      </c>
      <c r="B252" s="315" t="str">
        <f>IF((COUNTBLANK(G252)=0),Stats!$E$7,IF((COUNTBLANK(E252)=0),IF((COUNTBLANK(F252)=0),IF((COUNTBLANK(U252)=0),Stats!$E$6,Stats!$E$5),Stats!$E$4),""))</f>
        <v>Death</v>
      </c>
      <c r="C252" s="39" t="s">
        <v>284</v>
      </c>
      <c r="D252" s="315"/>
      <c r="E252" s="88">
        <v>43360</v>
      </c>
      <c r="F252" s="316">
        <v>43374</v>
      </c>
      <c r="G252" s="316">
        <v>36893</v>
      </c>
      <c r="H252" s="317" t="s">
        <v>3142</v>
      </c>
      <c r="I252" s="317"/>
      <c r="J252" s="317" t="s">
        <v>152</v>
      </c>
      <c r="K252" s="315" t="s">
        <v>3606</v>
      </c>
      <c r="L252" s="315" t="s">
        <v>3575</v>
      </c>
      <c r="M252" s="317" t="s">
        <v>3093</v>
      </c>
      <c r="N252" s="320" t="s">
        <v>3555</v>
      </c>
      <c r="O252" s="317" t="s">
        <v>51</v>
      </c>
      <c r="P252" s="318" t="s">
        <v>3474</v>
      </c>
      <c r="Q252" s="318" t="s">
        <v>3607</v>
      </c>
      <c r="R252" s="317"/>
      <c r="S252" s="317"/>
      <c r="T252" s="317" t="s">
        <v>3306</v>
      </c>
      <c r="U252" s="317" t="s">
        <v>3608</v>
      </c>
      <c r="V252" s="317"/>
      <c r="W252" s="317" t="s">
        <v>3345</v>
      </c>
      <c r="X252" s="317"/>
      <c r="Y252" s="319"/>
    </row>
    <row r="253" spans="1:25" s="91" customFormat="1" hidden="1" x14ac:dyDescent="0.25">
      <c r="A253" s="32" t="s">
        <v>855</v>
      </c>
      <c r="B253" s="315" t="str">
        <f>IF((COUNTBLANK(G253)=0),Stats!$E$7,IF((COUNTBLANK(E253)=0),IF((COUNTBLANK(F253)=0),IF((COUNTBLANK(U253)=0),Stats!$E$6,Stats!$E$5),Stats!$E$4),""))</f>
        <v>Death</v>
      </c>
      <c r="C253" s="39" t="s">
        <v>284</v>
      </c>
      <c r="D253" s="315"/>
      <c r="E253" s="88">
        <v>43360</v>
      </c>
      <c r="F253" s="316">
        <v>43374</v>
      </c>
      <c r="G253" s="316">
        <v>36893</v>
      </c>
      <c r="H253" s="317" t="s">
        <v>3142</v>
      </c>
      <c r="I253" s="317"/>
      <c r="J253" s="317" t="s">
        <v>152</v>
      </c>
      <c r="K253" s="315" t="s">
        <v>3606</v>
      </c>
      <c r="L253" s="315" t="s">
        <v>3575</v>
      </c>
      <c r="M253" s="317" t="s">
        <v>3093</v>
      </c>
      <c r="N253" s="320" t="s">
        <v>3555</v>
      </c>
      <c r="O253" s="317" t="s">
        <v>51</v>
      </c>
      <c r="P253" s="318" t="s">
        <v>3474</v>
      </c>
      <c r="Q253" s="318" t="s">
        <v>3607</v>
      </c>
      <c r="R253" s="317" t="s">
        <v>3609</v>
      </c>
      <c r="S253" s="317"/>
      <c r="T253" s="317" t="s">
        <v>3610</v>
      </c>
      <c r="U253" s="317"/>
      <c r="V253" s="317"/>
      <c r="W253" s="317"/>
      <c r="X253" s="317"/>
      <c r="Y253" s="319"/>
    </row>
    <row r="254" spans="1:25" s="91" customFormat="1" hidden="1" x14ac:dyDescent="0.25">
      <c r="A254" s="32" t="s">
        <v>857</v>
      </c>
      <c r="B254" s="315" t="str">
        <f>IF((COUNTBLANK(G254)=0),Stats!$E$7,IF((COUNTBLANK(E254)=0),IF((COUNTBLANK(F254)=0),IF((COUNTBLANK(U254)=0),Stats!$E$6,Stats!$E$5),Stats!$E$4),""))</f>
        <v>Death</v>
      </c>
      <c r="C254" s="39" t="s">
        <v>284</v>
      </c>
      <c r="D254" s="315"/>
      <c r="E254" s="88">
        <v>43360</v>
      </c>
      <c r="F254" s="316">
        <v>43374</v>
      </c>
      <c r="G254" s="316">
        <v>36893</v>
      </c>
      <c r="H254" s="317" t="s">
        <v>3142</v>
      </c>
      <c r="I254" s="317"/>
      <c r="J254" s="317" t="s">
        <v>152</v>
      </c>
      <c r="K254" s="315" t="s">
        <v>3606</v>
      </c>
      <c r="L254" s="315" t="s">
        <v>3575</v>
      </c>
      <c r="M254" s="317" t="s">
        <v>3093</v>
      </c>
      <c r="N254" s="320" t="s">
        <v>3555</v>
      </c>
      <c r="O254" s="317" t="s">
        <v>51</v>
      </c>
      <c r="P254" s="318" t="s">
        <v>3474</v>
      </c>
      <c r="Q254" s="318" t="s">
        <v>3607</v>
      </c>
      <c r="R254" s="317"/>
      <c r="S254" s="317"/>
      <c r="T254" s="317" t="s">
        <v>3531</v>
      </c>
      <c r="U254" s="317" t="s">
        <v>3611</v>
      </c>
      <c r="V254" s="317"/>
      <c r="W254" s="317"/>
      <c r="X254" s="317"/>
      <c r="Y254" s="319"/>
    </row>
    <row r="255" spans="1:25" s="91" customFormat="1" hidden="1" x14ac:dyDescent="0.25">
      <c r="A255" s="32" t="s">
        <v>860</v>
      </c>
      <c r="B255" s="315" t="str">
        <f>IF((COUNTBLANK(G255)=0),Stats!$E$7,IF((COUNTBLANK(E255)=0),IF((COUNTBLANK(F255)=0),IF((COUNTBLANK(U255)=0),Stats!$E$6,Stats!$E$5),Stats!$E$4),""))</f>
        <v>Death</v>
      </c>
      <c r="C255" s="39" t="s">
        <v>284</v>
      </c>
      <c r="D255" s="315"/>
      <c r="E255" s="88">
        <v>43360</v>
      </c>
      <c r="F255" s="316">
        <v>43376</v>
      </c>
      <c r="G255" s="316">
        <v>36893</v>
      </c>
      <c r="H255" s="317" t="s">
        <v>3142</v>
      </c>
      <c r="I255" s="317"/>
      <c r="J255" s="317" t="s">
        <v>152</v>
      </c>
      <c r="K255" s="315" t="s">
        <v>3606</v>
      </c>
      <c r="L255" s="315" t="s">
        <v>3575</v>
      </c>
      <c r="M255" s="317" t="s">
        <v>3093</v>
      </c>
      <c r="N255" s="320" t="s">
        <v>3555</v>
      </c>
      <c r="O255" s="317" t="s">
        <v>51</v>
      </c>
      <c r="P255" s="318" t="s">
        <v>3474</v>
      </c>
      <c r="Q255" s="318" t="s">
        <v>3607</v>
      </c>
      <c r="R255" s="317" t="s">
        <v>3612</v>
      </c>
      <c r="S255" s="317"/>
      <c r="T255" s="317" t="s">
        <v>3531</v>
      </c>
      <c r="U255" s="317" t="s">
        <v>3608</v>
      </c>
      <c r="V255" s="317"/>
      <c r="W255" s="317"/>
      <c r="X255" s="317"/>
      <c r="Y255" s="319"/>
    </row>
    <row r="256" spans="1:25" s="91" customFormat="1" hidden="1" x14ac:dyDescent="0.25">
      <c r="A256" s="32" t="s">
        <v>862</v>
      </c>
      <c r="B256" s="315" t="str">
        <f>IF((COUNTBLANK(G256)=0),Stats!$E$7,IF((COUNTBLANK(E256)=0),IF((COUNTBLANK(F256)=0),IF((COUNTBLANK(U256)=0),Stats!$E$6,Stats!$E$5),Stats!$E$4),""))</f>
        <v>Death</v>
      </c>
      <c r="C256" s="39" t="s">
        <v>3117</v>
      </c>
      <c r="D256" s="315"/>
      <c r="E256" s="88">
        <v>43370</v>
      </c>
      <c r="F256" s="316">
        <v>43370</v>
      </c>
      <c r="G256" s="316">
        <v>36893</v>
      </c>
      <c r="H256" s="317" t="s">
        <v>3148</v>
      </c>
      <c r="I256" s="317"/>
      <c r="J256" s="317" t="s">
        <v>152</v>
      </c>
      <c r="K256" s="315" t="s">
        <v>3216</v>
      </c>
      <c r="L256" s="315"/>
      <c r="M256" s="317"/>
      <c r="N256" s="320"/>
      <c r="O256" s="317" t="s">
        <v>51</v>
      </c>
      <c r="P256" s="318">
        <v>550</v>
      </c>
      <c r="Q256" s="318">
        <v>250</v>
      </c>
      <c r="R256" s="317"/>
      <c r="S256" s="317"/>
      <c r="T256" s="317" t="s">
        <v>3519</v>
      </c>
      <c r="U256" s="317" t="s">
        <v>3613</v>
      </c>
      <c r="V256" s="317" t="s">
        <v>3614</v>
      </c>
      <c r="W256" s="317"/>
      <c r="X256" s="317"/>
      <c r="Y256" s="319"/>
    </row>
    <row r="257" spans="1:25" s="91" customFormat="1" hidden="1" x14ac:dyDescent="0.25">
      <c r="A257" s="32" t="s">
        <v>864</v>
      </c>
      <c r="B257" s="315" t="str">
        <f>IF((COUNTBLANK(G257)=0),Stats!$E$7,IF((COUNTBLANK(E257)=0),IF((COUNTBLANK(F257)=0),IF((COUNTBLANK(U257)=0),Stats!$E$6,Stats!$E$5),Stats!$E$4),""))</f>
        <v>Death</v>
      </c>
      <c r="C257" s="39" t="s">
        <v>3117</v>
      </c>
      <c r="D257" s="315"/>
      <c r="E257" s="88">
        <v>43370</v>
      </c>
      <c r="F257" s="316">
        <v>43370</v>
      </c>
      <c r="G257" s="316">
        <v>36893</v>
      </c>
      <c r="H257" s="317" t="s">
        <v>3148</v>
      </c>
      <c r="I257" s="317"/>
      <c r="J257" s="317" t="s">
        <v>152</v>
      </c>
      <c r="K257" s="315" t="s">
        <v>3216</v>
      </c>
      <c r="L257" s="315"/>
      <c r="M257" s="317"/>
      <c r="N257" s="320"/>
      <c r="O257" s="317" t="s">
        <v>51</v>
      </c>
      <c r="P257" s="318">
        <v>550</v>
      </c>
      <c r="Q257" s="318">
        <v>250</v>
      </c>
      <c r="R257" s="317"/>
      <c r="S257" s="317"/>
      <c r="T257" s="317" t="s">
        <v>3519</v>
      </c>
      <c r="U257" s="317" t="s">
        <v>3613</v>
      </c>
      <c r="V257" s="317"/>
      <c r="W257" s="317"/>
      <c r="X257" s="317"/>
      <c r="Y257" s="319"/>
    </row>
    <row r="258" spans="1:25" s="91" customFormat="1" hidden="1" x14ac:dyDescent="0.25">
      <c r="A258" s="32" t="s">
        <v>866</v>
      </c>
      <c r="B258" s="315" t="str">
        <f>IF((COUNTBLANK(G258)=0),Stats!$E$7,IF((COUNTBLANK(E258)=0),IF((COUNTBLANK(F258)=0),IF((COUNTBLANK(U258)=0),Stats!$E$6,Stats!$E$5),Stats!$E$4),""))</f>
        <v>Death</v>
      </c>
      <c r="C258" s="39" t="s">
        <v>3117</v>
      </c>
      <c r="D258" s="315"/>
      <c r="E258" s="88">
        <v>43370</v>
      </c>
      <c r="F258" s="316">
        <v>43370</v>
      </c>
      <c r="G258" s="316">
        <v>36893</v>
      </c>
      <c r="H258" s="317" t="s">
        <v>3148</v>
      </c>
      <c r="I258" s="317"/>
      <c r="J258" s="317" t="s">
        <v>152</v>
      </c>
      <c r="K258" s="315" t="s">
        <v>3216</v>
      </c>
      <c r="L258" s="315"/>
      <c r="M258" s="317"/>
      <c r="N258" s="320"/>
      <c r="O258" s="317" t="s">
        <v>51</v>
      </c>
      <c r="P258" s="318" t="s">
        <v>3615</v>
      </c>
      <c r="Q258" s="318">
        <v>250</v>
      </c>
      <c r="R258" s="317" t="s">
        <v>3616</v>
      </c>
      <c r="S258" s="317"/>
      <c r="T258" s="317" t="s">
        <v>3519</v>
      </c>
      <c r="U258" s="317" t="s">
        <v>3613</v>
      </c>
      <c r="V258" s="317" t="s">
        <v>3617</v>
      </c>
      <c r="W258" s="317"/>
      <c r="X258" s="317"/>
      <c r="Y258" s="319"/>
    </row>
    <row r="259" spans="1:25" s="91" customFormat="1" hidden="1" x14ac:dyDescent="0.25">
      <c r="A259" s="32" t="s">
        <v>869</v>
      </c>
      <c r="B259" s="315" t="str">
        <f>IF((COUNTBLANK(G259)=0),Stats!$E$7,IF((COUNTBLANK(E259)=0),IF((COUNTBLANK(F259)=0),IF((COUNTBLANK(U259)=0),Stats!$E$6,Stats!$E$5),Stats!$E$4),""))</f>
        <v>Death</v>
      </c>
      <c r="C259" s="39" t="s">
        <v>284</v>
      </c>
      <c r="D259" s="315"/>
      <c r="E259" s="88">
        <v>43383</v>
      </c>
      <c r="F259" s="88">
        <v>43390</v>
      </c>
      <c r="G259" s="316">
        <v>36893</v>
      </c>
      <c r="H259" s="317" t="s">
        <v>3148</v>
      </c>
      <c r="I259" s="49"/>
      <c r="J259" s="49" t="s">
        <v>152</v>
      </c>
      <c r="K259" s="58" t="s">
        <v>3222</v>
      </c>
      <c r="L259" s="58" t="s">
        <v>3554</v>
      </c>
      <c r="M259" s="49"/>
      <c r="N259" s="62" t="s">
        <v>3273</v>
      </c>
      <c r="O259" s="49" t="s">
        <v>51</v>
      </c>
      <c r="P259" s="67">
        <v>450</v>
      </c>
      <c r="Q259" s="67">
        <v>350</v>
      </c>
      <c r="R259" s="49"/>
      <c r="S259" s="49"/>
      <c r="T259" s="49" t="s">
        <v>3618</v>
      </c>
      <c r="U259" s="49" t="s">
        <v>3619</v>
      </c>
      <c r="V259" s="49"/>
      <c r="W259" s="49"/>
      <c r="X259" s="49"/>
      <c r="Y259" s="95"/>
    </row>
    <row r="260" spans="1:25" s="92" customFormat="1" hidden="1" x14ac:dyDescent="0.25">
      <c r="A260" s="32" t="s">
        <v>871</v>
      </c>
      <c r="B260" s="315" t="str">
        <f>IF((COUNTBLANK(G260)=0),Stats!$E$7,IF((COUNTBLANK(E260)=0),IF((COUNTBLANK(F260)=0),IF((COUNTBLANK(U260)=0),Stats!$E$6,Stats!$E$5),Stats!$E$4),""))</f>
        <v>Death</v>
      </c>
      <c r="C260" s="39" t="s">
        <v>284</v>
      </c>
      <c r="D260" s="315"/>
      <c r="E260" s="88">
        <v>43383</v>
      </c>
      <c r="F260" s="316">
        <v>43390</v>
      </c>
      <c r="G260" s="316">
        <v>36893</v>
      </c>
      <c r="H260" s="317" t="s">
        <v>3148</v>
      </c>
      <c r="I260" s="317"/>
      <c r="J260" s="317" t="s">
        <v>152</v>
      </c>
      <c r="K260" s="58" t="s">
        <v>3222</v>
      </c>
      <c r="L260" s="58" t="s">
        <v>3554</v>
      </c>
      <c r="M260" s="49"/>
      <c r="N260" s="62" t="s">
        <v>3273</v>
      </c>
      <c r="O260" s="317" t="s">
        <v>51</v>
      </c>
      <c r="P260" s="318">
        <v>450</v>
      </c>
      <c r="Q260" s="318">
        <v>350</v>
      </c>
      <c r="R260" s="317"/>
      <c r="S260" s="317"/>
      <c r="T260" s="317" t="s">
        <v>3618</v>
      </c>
      <c r="U260" s="79" t="s">
        <v>3620</v>
      </c>
      <c r="V260" s="317" t="s">
        <v>3621</v>
      </c>
      <c r="W260" s="317"/>
      <c r="X260" s="317" t="s">
        <v>3622</v>
      </c>
      <c r="Y260" s="319"/>
    </row>
    <row r="261" spans="1:25" s="91" customFormat="1" hidden="1" x14ac:dyDescent="0.25">
      <c r="A261" s="32" t="s">
        <v>873</v>
      </c>
      <c r="B261" s="315" t="str">
        <f>IF((COUNTBLANK(G261)=0),Stats!$E$7,IF((COUNTBLANK(E261)=0),IF((COUNTBLANK(F261)=0),IF((COUNTBLANK(U261)=0),Stats!$E$6,Stats!$E$5),Stats!$E$4),""))</f>
        <v>Death</v>
      </c>
      <c r="C261" s="39" t="s">
        <v>284</v>
      </c>
      <c r="D261" s="315"/>
      <c r="E261" s="88">
        <v>43383</v>
      </c>
      <c r="F261" s="316">
        <v>43390</v>
      </c>
      <c r="G261" s="316">
        <v>36893</v>
      </c>
      <c r="H261" s="317" t="s">
        <v>3148</v>
      </c>
      <c r="I261" s="317"/>
      <c r="J261" s="317" t="s">
        <v>152</v>
      </c>
      <c r="K261" s="58" t="s">
        <v>3222</v>
      </c>
      <c r="L261" s="58" t="s">
        <v>3554</v>
      </c>
      <c r="M261" s="49"/>
      <c r="N261" s="62" t="s">
        <v>3273</v>
      </c>
      <c r="O261" s="317" t="s">
        <v>51</v>
      </c>
      <c r="P261" s="318">
        <v>450</v>
      </c>
      <c r="Q261" s="318">
        <v>350</v>
      </c>
      <c r="R261" s="317"/>
      <c r="S261" s="317"/>
      <c r="T261" s="317" t="s">
        <v>3618</v>
      </c>
      <c r="U261" s="317" t="s">
        <v>3619</v>
      </c>
      <c r="V261" s="317" t="s">
        <v>3621</v>
      </c>
      <c r="W261" s="317" t="s">
        <v>3623</v>
      </c>
      <c r="X261" s="317" t="s">
        <v>3624</v>
      </c>
      <c r="Y261" s="319"/>
    </row>
    <row r="262" spans="1:25" s="91" customFormat="1" hidden="1" x14ac:dyDescent="0.25">
      <c r="A262" s="32" t="s">
        <v>877</v>
      </c>
      <c r="B262" s="315" t="str">
        <f>IF((COUNTBLANK(G262)=0),Stats!$E$7,IF((COUNTBLANK(E262)=0),IF((COUNTBLANK(F262)=0),IF((COUNTBLANK(U262)=0),Stats!$E$6,Stats!$E$5),Stats!$E$4),""))</f>
        <v>Death</v>
      </c>
      <c r="C262" s="39" t="s">
        <v>284</v>
      </c>
      <c r="D262" s="315"/>
      <c r="E262" s="88">
        <v>43388</v>
      </c>
      <c r="F262" s="316">
        <v>43397</v>
      </c>
      <c r="G262" s="316">
        <v>36893</v>
      </c>
      <c r="H262" s="317" t="s">
        <v>3128</v>
      </c>
      <c r="I262" s="317"/>
      <c r="J262" s="317" t="s">
        <v>152</v>
      </c>
      <c r="K262" s="58" t="s">
        <v>3222</v>
      </c>
      <c r="L262" s="58" t="s">
        <v>3554</v>
      </c>
      <c r="M262" s="49"/>
      <c r="N262" s="62" t="s">
        <v>3273</v>
      </c>
      <c r="O262" s="317" t="s">
        <v>51</v>
      </c>
      <c r="P262" s="318">
        <v>450</v>
      </c>
      <c r="Q262" s="318">
        <v>450</v>
      </c>
      <c r="R262" s="317"/>
      <c r="S262" s="317"/>
      <c r="T262" s="317" t="s">
        <v>3531</v>
      </c>
      <c r="U262" s="317" t="s">
        <v>3625</v>
      </c>
      <c r="V262" s="317" t="s">
        <v>3626</v>
      </c>
      <c r="W262" s="317"/>
      <c r="X262" s="317" t="s">
        <v>3627</v>
      </c>
      <c r="Y262" s="319"/>
    </row>
    <row r="263" spans="1:25" s="91" customFormat="1" hidden="1" x14ac:dyDescent="0.25">
      <c r="A263" s="32" t="s">
        <v>880</v>
      </c>
      <c r="B263" s="315" t="str">
        <f>IF((COUNTBLANK(G263)=0),Stats!$E$7,IF((COUNTBLANK(E263)=0),IF((COUNTBLANK(F263)=0),IF((COUNTBLANK(U263)=0),Stats!$E$6,Stats!$E$5),Stats!$E$4),""))</f>
        <v>Death</v>
      </c>
      <c r="C263" s="39" t="s">
        <v>284</v>
      </c>
      <c r="D263" s="315"/>
      <c r="E263" s="88">
        <v>43388</v>
      </c>
      <c r="F263" s="316">
        <v>43398</v>
      </c>
      <c r="G263" s="316">
        <v>36893</v>
      </c>
      <c r="H263" s="317" t="s">
        <v>3128</v>
      </c>
      <c r="I263" s="317"/>
      <c r="J263" s="317" t="s">
        <v>152</v>
      </c>
      <c r="K263" s="58" t="s">
        <v>3222</v>
      </c>
      <c r="L263" s="58" t="s">
        <v>3554</v>
      </c>
      <c r="M263" s="49"/>
      <c r="N263" s="62" t="s">
        <v>3273</v>
      </c>
      <c r="O263" s="317" t="s">
        <v>51</v>
      </c>
      <c r="P263" s="318">
        <v>450</v>
      </c>
      <c r="Q263" s="318">
        <v>450</v>
      </c>
      <c r="R263" s="71" t="s">
        <v>3628</v>
      </c>
      <c r="S263" s="71"/>
      <c r="T263" s="71" t="s">
        <v>3629</v>
      </c>
      <c r="U263" s="317" t="s">
        <v>3630</v>
      </c>
      <c r="V263" s="317"/>
      <c r="W263" s="317"/>
      <c r="X263" s="317"/>
      <c r="Y263" s="319"/>
    </row>
    <row r="264" spans="1:25" s="91" customFormat="1" hidden="1" x14ac:dyDescent="0.25">
      <c r="A264" s="32" t="s">
        <v>883</v>
      </c>
      <c r="B264" s="315" t="str">
        <f>IF((COUNTBLANK(G264)=0),Stats!$E$7,IF((COUNTBLANK(E264)=0),IF((COUNTBLANK(F264)=0),IF((COUNTBLANK(U264)=0),Stats!$E$6,Stats!$E$5),Stats!$E$4),""))</f>
        <v>Death</v>
      </c>
      <c r="C264" s="39" t="s">
        <v>284</v>
      </c>
      <c r="D264" s="315"/>
      <c r="E264" s="88">
        <v>43388</v>
      </c>
      <c r="F264" s="316">
        <v>43397</v>
      </c>
      <c r="G264" s="316">
        <v>36893</v>
      </c>
      <c r="H264" s="317" t="s">
        <v>3128</v>
      </c>
      <c r="I264" s="317"/>
      <c r="J264" s="317" t="s">
        <v>152</v>
      </c>
      <c r="K264" s="58" t="s">
        <v>3222</v>
      </c>
      <c r="L264" s="58" t="s">
        <v>3554</v>
      </c>
      <c r="M264" s="49"/>
      <c r="N264" s="62" t="s">
        <v>3273</v>
      </c>
      <c r="O264" s="317" t="s">
        <v>51</v>
      </c>
      <c r="P264" s="318">
        <v>450</v>
      </c>
      <c r="Q264" s="318">
        <v>450</v>
      </c>
      <c r="R264" s="72" t="s">
        <v>3631</v>
      </c>
      <c r="S264" s="72"/>
      <c r="T264" s="317" t="s">
        <v>3531</v>
      </c>
      <c r="U264" s="317" t="s">
        <v>3632</v>
      </c>
      <c r="V264" s="317"/>
      <c r="W264" s="317"/>
      <c r="X264" s="317" t="s">
        <v>3633</v>
      </c>
      <c r="Y264" s="319"/>
    </row>
    <row r="265" spans="1:25" s="91" customFormat="1" hidden="1" x14ac:dyDescent="0.25">
      <c r="A265" s="32" t="s">
        <v>886</v>
      </c>
      <c r="B265" s="315" t="str">
        <f>IF((COUNTBLANK(G265)=0),Stats!$E$7,IF((COUNTBLANK(E265)=0),IF((COUNTBLANK(F265)=0),IF((COUNTBLANK(U265)=0),Stats!$E$6,Stats!$E$5),Stats!$E$4),""))</f>
        <v>Death</v>
      </c>
      <c r="C265" s="39" t="s">
        <v>284</v>
      </c>
      <c r="D265" s="315"/>
      <c r="E265" s="88">
        <v>43389</v>
      </c>
      <c r="F265" s="316">
        <v>43399</v>
      </c>
      <c r="G265" s="316">
        <v>36893</v>
      </c>
      <c r="H265" s="317" t="s">
        <v>3142</v>
      </c>
      <c r="I265" s="317"/>
      <c r="J265" s="317" t="s">
        <v>152</v>
      </c>
      <c r="K265" s="315" t="s">
        <v>3606</v>
      </c>
      <c r="L265" s="315" t="s">
        <v>3575</v>
      </c>
      <c r="M265" s="317"/>
      <c r="N265" s="320" t="s">
        <v>3273</v>
      </c>
      <c r="O265" s="317" t="s">
        <v>51</v>
      </c>
      <c r="P265" s="318" t="s">
        <v>3634</v>
      </c>
      <c r="Q265" s="318" t="s">
        <v>3635</v>
      </c>
      <c r="R265" s="317" t="s">
        <v>3636</v>
      </c>
      <c r="S265" s="317"/>
      <c r="T265" s="317"/>
      <c r="U265" s="317" t="s">
        <v>3637</v>
      </c>
      <c r="V265" s="317"/>
      <c r="W265" s="317"/>
      <c r="X265" s="317"/>
      <c r="Y265" s="319"/>
    </row>
    <row r="266" spans="1:25" s="91" customFormat="1" hidden="1" x14ac:dyDescent="0.25">
      <c r="A266" s="32" t="s">
        <v>888</v>
      </c>
      <c r="B266" s="315" t="str">
        <f>IF((COUNTBLANK(G266)=0),Stats!$E$7,IF((COUNTBLANK(E266)=0),IF((COUNTBLANK(F266)=0),IF((COUNTBLANK(U266)=0),Stats!$E$6,Stats!$E$5),Stats!$E$4),""))</f>
        <v>Death</v>
      </c>
      <c r="C266" s="39" t="s">
        <v>284</v>
      </c>
      <c r="D266" s="315"/>
      <c r="E266" s="88">
        <v>43389</v>
      </c>
      <c r="F266" s="316">
        <v>43399</v>
      </c>
      <c r="G266" s="316">
        <v>36893</v>
      </c>
      <c r="H266" s="317" t="s">
        <v>3142</v>
      </c>
      <c r="I266" s="317"/>
      <c r="J266" s="317" t="s">
        <v>152</v>
      </c>
      <c r="K266" s="315" t="s">
        <v>3606</v>
      </c>
      <c r="L266" s="315" t="s">
        <v>3575</v>
      </c>
      <c r="M266" s="317"/>
      <c r="N266" s="320" t="s">
        <v>3273</v>
      </c>
      <c r="O266" s="317" t="s">
        <v>51</v>
      </c>
      <c r="P266" s="318" t="s">
        <v>3634</v>
      </c>
      <c r="Q266" s="318" t="s">
        <v>3635</v>
      </c>
      <c r="R266" s="317"/>
      <c r="S266" s="317"/>
      <c r="T266" s="317"/>
      <c r="U266" s="317" t="s">
        <v>3638</v>
      </c>
      <c r="V266" s="317"/>
      <c r="W266" s="317"/>
      <c r="X266" s="317"/>
      <c r="Y266" s="319"/>
    </row>
    <row r="267" spans="1:25" s="91" customFormat="1" hidden="1" x14ac:dyDescent="0.25">
      <c r="A267" s="32" t="s">
        <v>890</v>
      </c>
      <c r="B267" s="315" t="str">
        <f>IF((COUNTBLANK(G267)=0),Stats!$E$7,IF((COUNTBLANK(E267)=0),IF((COUNTBLANK(F267)=0),IF((COUNTBLANK(U267)=0),Stats!$E$6,Stats!$E$5),Stats!$E$4),""))</f>
        <v>Death</v>
      </c>
      <c r="C267" s="39" t="s">
        <v>284</v>
      </c>
      <c r="D267" s="315"/>
      <c r="E267" s="88">
        <v>43389</v>
      </c>
      <c r="F267" s="316">
        <v>43399</v>
      </c>
      <c r="G267" s="316">
        <v>36893</v>
      </c>
      <c r="H267" s="317" t="s">
        <v>3142</v>
      </c>
      <c r="I267" s="317"/>
      <c r="J267" s="317" t="s">
        <v>152</v>
      </c>
      <c r="K267" s="315" t="s">
        <v>3606</v>
      </c>
      <c r="L267" s="315" t="s">
        <v>3575</v>
      </c>
      <c r="M267" s="317"/>
      <c r="N267" s="320" t="s">
        <v>3273</v>
      </c>
      <c r="O267" s="317" t="s">
        <v>51</v>
      </c>
      <c r="P267" s="318" t="s">
        <v>3639</v>
      </c>
      <c r="Q267" s="318" t="s">
        <v>3640</v>
      </c>
      <c r="R267" s="317"/>
      <c r="S267" s="317"/>
      <c r="T267" s="71" t="s">
        <v>3641</v>
      </c>
      <c r="U267" s="317" t="s">
        <v>3642</v>
      </c>
      <c r="V267" s="317"/>
      <c r="W267" s="317"/>
      <c r="X267" s="317" t="s">
        <v>3643</v>
      </c>
      <c r="Y267" s="319"/>
    </row>
    <row r="268" spans="1:25" s="91" customFormat="1" hidden="1" x14ac:dyDescent="0.25">
      <c r="A268" s="32" t="s">
        <v>893</v>
      </c>
      <c r="B268" s="315" t="str">
        <f>IF((COUNTBLANK(G268)=0),Stats!$E$7,IF((COUNTBLANK(E268)=0),IF((COUNTBLANK(F268)=0),IF((COUNTBLANK(U268)=0),Stats!$E$6,Stats!$E$5),Stats!$E$4),""))</f>
        <v>Death</v>
      </c>
      <c r="C268" s="39" t="s">
        <v>3124</v>
      </c>
      <c r="D268" s="315"/>
      <c r="E268" s="88">
        <v>43389</v>
      </c>
      <c r="F268" s="316">
        <v>43399</v>
      </c>
      <c r="G268" s="316">
        <v>36893</v>
      </c>
      <c r="H268" s="317" t="s">
        <v>3142</v>
      </c>
      <c r="I268" s="317"/>
      <c r="J268" s="317" t="s">
        <v>3186</v>
      </c>
      <c r="K268" s="315" t="s">
        <v>414</v>
      </c>
      <c r="L268" s="315" t="s">
        <v>3222</v>
      </c>
      <c r="M268" s="317" t="s">
        <v>3223</v>
      </c>
      <c r="N268" s="320" t="s">
        <v>3644</v>
      </c>
      <c r="O268" s="317"/>
      <c r="P268" s="318"/>
      <c r="Q268" s="318"/>
      <c r="R268" s="317"/>
      <c r="S268" s="317"/>
      <c r="T268" s="317"/>
      <c r="U268" s="317" t="s">
        <v>3645</v>
      </c>
      <c r="V268" s="317"/>
      <c r="W268" s="317"/>
      <c r="X268" s="317"/>
      <c r="Y268" s="319"/>
    </row>
    <row r="269" spans="1:25" s="91" customFormat="1" hidden="1" x14ac:dyDescent="0.25">
      <c r="A269" s="32" t="s">
        <v>895</v>
      </c>
      <c r="B269" s="315" t="str">
        <f>IF((COUNTBLANK(G269)=0),Stats!$E$7,IF((COUNTBLANK(E269)=0),IF((COUNTBLANK(F269)=0),IF((COUNTBLANK(U269)=0),Stats!$E$6,Stats!$E$5),Stats!$E$4),""))</f>
        <v>Death</v>
      </c>
      <c r="C269" s="39" t="s">
        <v>3124</v>
      </c>
      <c r="D269" s="315"/>
      <c r="E269" s="88">
        <v>43389</v>
      </c>
      <c r="F269" s="316">
        <v>43399</v>
      </c>
      <c r="G269" s="316">
        <v>36893</v>
      </c>
      <c r="H269" s="317" t="s">
        <v>3142</v>
      </c>
      <c r="I269" s="317"/>
      <c r="J269" s="317" t="s">
        <v>3186</v>
      </c>
      <c r="K269" s="315" t="s">
        <v>414</v>
      </c>
      <c r="L269" s="315" t="s">
        <v>3222</v>
      </c>
      <c r="M269" s="317" t="s">
        <v>3223</v>
      </c>
      <c r="N269" s="320" t="s">
        <v>3644</v>
      </c>
      <c r="O269" s="317"/>
      <c r="P269" s="318"/>
      <c r="Q269" s="318"/>
      <c r="R269" s="317"/>
      <c r="S269" s="317"/>
      <c r="T269" s="317" t="s">
        <v>3306</v>
      </c>
      <c r="U269" s="317" t="s">
        <v>3645</v>
      </c>
      <c r="V269" s="317"/>
      <c r="W269" s="317"/>
      <c r="X269" s="317"/>
      <c r="Y269" s="319"/>
    </row>
    <row r="270" spans="1:25" s="91" customFormat="1" hidden="1" x14ac:dyDescent="0.25">
      <c r="A270" s="32" t="s">
        <v>897</v>
      </c>
      <c r="B270" s="315" t="str">
        <f>IF((COUNTBLANK(G270)=0),Stats!$E$7,IF((COUNTBLANK(E270)=0),IF((COUNTBLANK(F270)=0),IF((COUNTBLANK(U270)=0),Stats!$E$6,Stats!$E$5),Stats!$E$4),""))</f>
        <v>Death</v>
      </c>
      <c r="C270" s="39" t="s">
        <v>3124</v>
      </c>
      <c r="D270" s="315"/>
      <c r="E270" s="88">
        <v>43389</v>
      </c>
      <c r="F270" s="316">
        <v>43399</v>
      </c>
      <c r="G270" s="316">
        <v>36893</v>
      </c>
      <c r="H270" s="317" t="s">
        <v>3142</v>
      </c>
      <c r="I270" s="317"/>
      <c r="J270" s="317" t="s">
        <v>3186</v>
      </c>
      <c r="K270" s="315" t="s">
        <v>414</v>
      </c>
      <c r="L270" s="315" t="s">
        <v>3222</v>
      </c>
      <c r="M270" s="317" t="s">
        <v>3223</v>
      </c>
      <c r="N270" s="320" t="s">
        <v>3644</v>
      </c>
      <c r="O270" s="317"/>
      <c r="P270" s="318"/>
      <c r="Q270" s="318"/>
      <c r="R270" s="317"/>
      <c r="S270" s="317"/>
      <c r="T270" s="317"/>
      <c r="U270" s="317" t="s">
        <v>3645</v>
      </c>
      <c r="V270" s="317"/>
      <c r="W270" s="317"/>
      <c r="X270" s="317"/>
      <c r="Y270" s="319"/>
    </row>
    <row r="271" spans="1:25" s="91" customFormat="1" hidden="1" x14ac:dyDescent="0.25">
      <c r="A271" s="32" t="s">
        <v>901</v>
      </c>
      <c r="B271" s="315" t="str">
        <f>IF((COUNTBLANK(G271)=0),Stats!$E$7,IF((COUNTBLANK(E271)=0),IF((COUNTBLANK(F271)=0),IF((COUNTBLANK(U271)=0),Stats!$E$6,Stats!$E$5),Stats!$E$4),""))</f>
        <v>Death</v>
      </c>
      <c r="C271" s="39" t="s">
        <v>3129</v>
      </c>
      <c r="D271" s="315"/>
      <c r="E271" s="88">
        <v>43389</v>
      </c>
      <c r="F271" s="316">
        <v>43402</v>
      </c>
      <c r="G271" s="316">
        <v>36893</v>
      </c>
      <c r="H271" s="317" t="s">
        <v>3148</v>
      </c>
      <c r="I271" s="317"/>
      <c r="J271" s="317" t="s">
        <v>152</v>
      </c>
      <c r="K271" s="315" t="s">
        <v>3175</v>
      </c>
      <c r="L271" s="315"/>
      <c r="M271" s="317"/>
      <c r="N271" s="320"/>
      <c r="O271" s="317" t="s">
        <v>3646</v>
      </c>
      <c r="P271" s="318"/>
      <c r="Q271" s="318" t="s">
        <v>3647</v>
      </c>
      <c r="R271" s="317"/>
      <c r="S271" s="317"/>
      <c r="T271" s="317"/>
      <c r="U271" s="317" t="s">
        <v>3648</v>
      </c>
      <c r="V271" s="317"/>
      <c r="W271" s="317"/>
      <c r="X271" s="317" t="s">
        <v>3649</v>
      </c>
      <c r="Y271" s="319"/>
    </row>
    <row r="272" spans="1:25" s="91" customFormat="1" hidden="1" x14ac:dyDescent="0.25">
      <c r="A272" s="32" t="s">
        <v>903</v>
      </c>
      <c r="B272" s="315" t="str">
        <f>IF((COUNTBLANK(G272)=0),Stats!$E$7,IF((COUNTBLANK(E272)=0),IF((COUNTBLANK(F272)=0),IF((COUNTBLANK(U272)=0),Stats!$E$6,Stats!$E$5),Stats!$E$4),""))</f>
        <v>Death</v>
      </c>
      <c r="C272" s="39" t="s">
        <v>3129</v>
      </c>
      <c r="D272" s="315"/>
      <c r="E272" s="88">
        <v>43389</v>
      </c>
      <c r="F272" s="316">
        <v>43403</v>
      </c>
      <c r="G272" s="316">
        <v>36893</v>
      </c>
      <c r="H272" s="317" t="s">
        <v>3148</v>
      </c>
      <c r="I272" s="317"/>
      <c r="J272" s="317" t="s">
        <v>152</v>
      </c>
      <c r="K272" s="315" t="s">
        <v>3175</v>
      </c>
      <c r="L272" s="315"/>
      <c r="M272" s="317"/>
      <c r="N272" s="320"/>
      <c r="O272" s="317" t="s">
        <v>3646</v>
      </c>
      <c r="P272" s="318"/>
      <c r="Q272" s="318" t="s">
        <v>3647</v>
      </c>
      <c r="R272" s="317"/>
      <c r="S272" s="317"/>
      <c r="T272" s="317"/>
      <c r="U272" s="317" t="s">
        <v>3648</v>
      </c>
      <c r="V272" s="317"/>
      <c r="W272" s="317"/>
      <c r="X272" s="317"/>
      <c r="Y272" s="319"/>
    </row>
    <row r="273" spans="1:25" s="91" customFormat="1" hidden="1" x14ac:dyDescent="0.25">
      <c r="A273" s="32" t="s">
        <v>906</v>
      </c>
      <c r="B273" s="315" t="str">
        <f>IF((COUNTBLANK(G273)=0),Stats!$E$7,IF((COUNTBLANK(E273)=0),IF((COUNTBLANK(F273)=0),IF((COUNTBLANK(U273)=0),Stats!$E$6,Stats!$E$5),Stats!$E$4),""))</f>
        <v>Death</v>
      </c>
      <c r="C273" s="39" t="s">
        <v>3129</v>
      </c>
      <c r="D273" s="315"/>
      <c r="E273" s="88">
        <v>43389</v>
      </c>
      <c r="F273" s="316">
        <v>43403</v>
      </c>
      <c r="G273" s="316">
        <v>36893</v>
      </c>
      <c r="H273" s="317" t="s">
        <v>3148</v>
      </c>
      <c r="I273" s="317"/>
      <c r="J273" s="317" t="s">
        <v>152</v>
      </c>
      <c r="K273" s="315" t="s">
        <v>3176</v>
      </c>
      <c r="L273" s="315"/>
      <c r="M273" s="317"/>
      <c r="N273" s="320"/>
      <c r="O273" s="317" t="s">
        <v>3646</v>
      </c>
      <c r="P273" s="318"/>
      <c r="Q273" s="318" t="s">
        <v>3647</v>
      </c>
      <c r="R273" s="317"/>
      <c r="S273" s="317"/>
      <c r="T273" s="317"/>
      <c r="U273" s="317" t="s">
        <v>3648</v>
      </c>
      <c r="V273" s="317"/>
      <c r="W273" s="317"/>
      <c r="X273" s="317"/>
      <c r="Y273" s="319"/>
    </row>
    <row r="274" spans="1:25" s="91" customFormat="1" hidden="1" x14ac:dyDescent="0.25">
      <c r="A274" s="32" t="s">
        <v>908</v>
      </c>
      <c r="B274" s="315" t="str">
        <f>IF((COUNTBLANK(G274)=0),Stats!$E$7,IF((COUNTBLANK(E274)=0),IF((COUNTBLANK(F274)=0),IF((COUNTBLANK(U274)=0),Stats!$E$6,Stats!$E$5),Stats!$E$4),""))</f>
        <v>Death</v>
      </c>
      <c r="C274" s="39" t="s">
        <v>3129</v>
      </c>
      <c r="D274" s="315"/>
      <c r="E274" s="88">
        <v>43389</v>
      </c>
      <c r="F274" s="316">
        <v>43403</v>
      </c>
      <c r="G274" s="316">
        <v>36893</v>
      </c>
      <c r="H274" s="317" t="s">
        <v>3148</v>
      </c>
      <c r="I274" s="317"/>
      <c r="J274" s="317" t="s">
        <v>152</v>
      </c>
      <c r="K274" s="315" t="s">
        <v>3176</v>
      </c>
      <c r="L274" s="315"/>
      <c r="M274" s="317"/>
      <c r="N274" s="320"/>
      <c r="O274" s="317" t="s">
        <v>3646</v>
      </c>
      <c r="P274" s="318"/>
      <c r="Q274" s="318" t="s">
        <v>3647</v>
      </c>
      <c r="R274" s="317"/>
      <c r="S274" s="317"/>
      <c r="T274" s="317"/>
      <c r="U274" s="317" t="s">
        <v>3648</v>
      </c>
      <c r="V274" s="317"/>
      <c r="W274" s="317"/>
      <c r="X274" s="317"/>
      <c r="Y274" s="319"/>
    </row>
    <row r="275" spans="1:25" s="91" customFormat="1" hidden="1" x14ac:dyDescent="0.25">
      <c r="A275" s="32" t="s">
        <v>910</v>
      </c>
      <c r="B275" s="315" t="str">
        <f>IF((COUNTBLANK(G275)=0),Stats!$E$7,IF((COUNTBLANK(E275)=0),IF((COUNTBLANK(F275)=0),IF((COUNTBLANK(U275)=0),Stats!$E$6,Stats!$E$5),Stats!$E$4),""))</f>
        <v>Death</v>
      </c>
      <c r="C275" s="39" t="s">
        <v>284</v>
      </c>
      <c r="D275" s="315"/>
      <c r="E275" s="88">
        <v>43391</v>
      </c>
      <c r="F275" s="316">
        <v>43403</v>
      </c>
      <c r="G275" s="316">
        <v>36893</v>
      </c>
      <c r="H275" s="317" t="s">
        <v>3140</v>
      </c>
      <c r="I275" s="317"/>
      <c r="J275" s="317" t="s">
        <v>152</v>
      </c>
      <c r="K275" s="315" t="s">
        <v>3216</v>
      </c>
      <c r="L275" s="315" t="s">
        <v>3554</v>
      </c>
      <c r="M275" s="317"/>
      <c r="N275" s="320" t="s">
        <v>3273</v>
      </c>
      <c r="O275" s="317" t="s">
        <v>51</v>
      </c>
      <c r="P275" s="318">
        <v>450</v>
      </c>
      <c r="Q275" s="318">
        <v>250</v>
      </c>
      <c r="R275" s="317"/>
      <c r="S275" s="317"/>
      <c r="T275" s="317"/>
      <c r="U275" s="317" t="s">
        <v>3642</v>
      </c>
      <c r="V275" s="317"/>
      <c r="W275" s="317"/>
      <c r="X275" s="317"/>
      <c r="Y275" s="319"/>
    </row>
    <row r="276" spans="1:25" s="91" customFormat="1" hidden="1" x14ac:dyDescent="0.25">
      <c r="A276" s="32" t="s">
        <v>913</v>
      </c>
      <c r="B276" s="315" t="str">
        <f>IF((COUNTBLANK(G276)=0),Stats!$E$7,IF((COUNTBLANK(E276)=0),IF((COUNTBLANK(F276)=0),IF((COUNTBLANK(U276)=0),Stats!$E$6,Stats!$E$5),Stats!$E$4),""))</f>
        <v>Death</v>
      </c>
      <c r="C276" s="39" t="s">
        <v>284</v>
      </c>
      <c r="D276" s="315"/>
      <c r="E276" s="88">
        <v>43391</v>
      </c>
      <c r="F276" s="88">
        <v>43412</v>
      </c>
      <c r="G276" s="316">
        <v>36893</v>
      </c>
      <c r="H276" s="317" t="s">
        <v>3140</v>
      </c>
      <c r="I276" s="49"/>
      <c r="J276" s="49" t="s">
        <v>152</v>
      </c>
      <c r="K276" s="315" t="s">
        <v>3216</v>
      </c>
      <c r="L276" s="315" t="s">
        <v>3554</v>
      </c>
      <c r="M276" s="317"/>
      <c r="N276" s="320" t="s">
        <v>3273</v>
      </c>
      <c r="O276" s="49" t="s">
        <v>51</v>
      </c>
      <c r="P276" s="67">
        <v>450</v>
      </c>
      <c r="Q276" s="67">
        <v>250</v>
      </c>
      <c r="R276" s="49"/>
      <c r="S276" s="49"/>
      <c r="T276" s="49"/>
      <c r="U276" s="49" t="s">
        <v>3650</v>
      </c>
      <c r="V276" s="49"/>
      <c r="W276" s="49"/>
      <c r="X276" s="49"/>
      <c r="Y276" s="95"/>
    </row>
    <row r="277" spans="1:25" s="92" customFormat="1" hidden="1" x14ac:dyDescent="0.25">
      <c r="A277" s="32" t="s">
        <v>915</v>
      </c>
      <c r="B277" s="315" t="str">
        <f>IF((COUNTBLANK(G277)=0),Stats!$E$7,IF((COUNTBLANK(E277)=0),IF((COUNTBLANK(F277)=0),IF((COUNTBLANK(U277)=0),Stats!$E$6,Stats!$E$5),Stats!$E$4),""))</f>
        <v>Death</v>
      </c>
      <c r="C277" s="39" t="s">
        <v>284</v>
      </c>
      <c r="D277" s="315"/>
      <c r="E277" s="88">
        <v>43391</v>
      </c>
      <c r="F277" s="316">
        <v>36892</v>
      </c>
      <c r="G277" s="316">
        <v>36893</v>
      </c>
      <c r="H277" s="317" t="s">
        <v>3140</v>
      </c>
      <c r="I277" s="317"/>
      <c r="J277" s="317" t="s">
        <v>152</v>
      </c>
      <c r="K277" s="315" t="s">
        <v>3216</v>
      </c>
      <c r="L277" s="315" t="s">
        <v>3554</v>
      </c>
      <c r="M277" s="317"/>
      <c r="N277" s="320" t="s">
        <v>3273</v>
      </c>
      <c r="O277" s="317" t="s">
        <v>51</v>
      </c>
      <c r="P277" s="318">
        <v>450</v>
      </c>
      <c r="Q277" s="318">
        <v>250</v>
      </c>
      <c r="R277" s="317"/>
      <c r="S277" s="317"/>
      <c r="T277" s="317"/>
      <c r="U277" s="317"/>
      <c r="V277" s="317"/>
      <c r="W277" s="317"/>
      <c r="X277" s="317"/>
      <c r="Y277" s="319"/>
    </row>
    <row r="278" spans="1:25" s="91" customFormat="1" hidden="1" x14ac:dyDescent="0.25">
      <c r="A278" s="32" t="s">
        <v>919</v>
      </c>
      <c r="B278" s="315" t="str">
        <f>IF((COUNTBLANK(G278)=0),Stats!$E$7,IF((COUNTBLANK(E278)=0),IF((COUNTBLANK(F278)=0),IF((COUNTBLANK(U278)=0),Stats!$E$6,Stats!$E$5),Stats!$E$4),""))</f>
        <v>Death</v>
      </c>
      <c r="C278" s="39" t="s">
        <v>284</v>
      </c>
      <c r="D278" s="315"/>
      <c r="E278" s="88">
        <v>43392</v>
      </c>
      <c r="F278" s="316">
        <v>43412</v>
      </c>
      <c r="G278" s="316">
        <v>36893</v>
      </c>
      <c r="H278" s="317" t="s">
        <v>3128</v>
      </c>
      <c r="I278" s="317"/>
      <c r="J278" s="317" t="s">
        <v>152</v>
      </c>
      <c r="K278" s="315" t="s">
        <v>3216</v>
      </c>
      <c r="L278" s="315" t="s">
        <v>3554</v>
      </c>
      <c r="M278" s="317"/>
      <c r="N278" s="320" t="s">
        <v>3273</v>
      </c>
      <c r="O278" s="317" t="s">
        <v>51</v>
      </c>
      <c r="P278" s="318">
        <v>450</v>
      </c>
      <c r="Q278" s="318">
        <v>450</v>
      </c>
      <c r="R278" s="317"/>
      <c r="S278" s="317"/>
      <c r="T278" s="317"/>
      <c r="U278" s="317" t="s">
        <v>3651</v>
      </c>
      <c r="V278" s="317"/>
      <c r="W278" s="317"/>
      <c r="X278" s="317"/>
      <c r="Y278" s="319"/>
    </row>
    <row r="279" spans="1:25" s="91" customFormat="1" hidden="1" x14ac:dyDescent="0.25">
      <c r="A279" s="32" t="s">
        <v>923</v>
      </c>
      <c r="B279" s="315" t="str">
        <f>IF((COUNTBLANK(G279)=0),Stats!$E$7,IF((COUNTBLANK(E279)=0),IF((COUNTBLANK(F279)=0),IF((COUNTBLANK(U279)=0),Stats!$E$6,Stats!$E$5),Stats!$E$4),""))</f>
        <v>Death</v>
      </c>
      <c r="C279" s="39" t="s">
        <v>284</v>
      </c>
      <c r="D279" s="315"/>
      <c r="E279" s="88">
        <v>43392</v>
      </c>
      <c r="F279" s="316">
        <v>43419</v>
      </c>
      <c r="G279" s="316">
        <v>36893</v>
      </c>
      <c r="H279" s="317" t="s">
        <v>3128</v>
      </c>
      <c r="I279" s="317"/>
      <c r="J279" s="317" t="s">
        <v>152</v>
      </c>
      <c r="K279" s="315" t="s">
        <v>3216</v>
      </c>
      <c r="L279" s="315" t="s">
        <v>3554</v>
      </c>
      <c r="M279" s="317"/>
      <c r="N279" s="320" t="s">
        <v>3273</v>
      </c>
      <c r="O279" s="317" t="s">
        <v>51</v>
      </c>
      <c r="P279" s="318">
        <v>450</v>
      </c>
      <c r="Q279" s="318">
        <v>450</v>
      </c>
      <c r="R279" s="317"/>
      <c r="S279" s="317"/>
      <c r="T279" s="317"/>
      <c r="U279" s="317"/>
      <c r="V279" s="317"/>
      <c r="W279" s="317"/>
      <c r="X279" s="317" t="s">
        <v>3652</v>
      </c>
      <c r="Y279" s="319"/>
    </row>
    <row r="280" spans="1:25" s="91" customFormat="1" hidden="1" x14ac:dyDescent="0.25">
      <c r="A280" s="32" t="s">
        <v>925</v>
      </c>
      <c r="B280" s="315" t="str">
        <f>IF((COUNTBLANK(G280)=0),Stats!$E$7,IF((COUNTBLANK(E280)=0),IF((COUNTBLANK(F280)=0),IF((COUNTBLANK(U280)=0),Stats!$E$6,Stats!$E$5),Stats!$E$4),""))</f>
        <v>Death</v>
      </c>
      <c r="C280" s="39" t="s">
        <v>3117</v>
      </c>
      <c r="D280" s="315"/>
      <c r="E280" s="88">
        <v>43403</v>
      </c>
      <c r="F280" s="88">
        <v>43413</v>
      </c>
      <c r="G280" s="316">
        <v>36893</v>
      </c>
      <c r="H280" s="317" t="s">
        <v>3142</v>
      </c>
      <c r="I280" s="49"/>
      <c r="J280" s="49" t="s">
        <v>152</v>
      </c>
      <c r="K280" s="58" t="s">
        <v>3199</v>
      </c>
      <c r="L280" s="58"/>
      <c r="M280" s="49"/>
      <c r="N280" s="62"/>
      <c r="O280" s="49" t="s">
        <v>51</v>
      </c>
      <c r="P280" s="67" t="s">
        <v>3653</v>
      </c>
      <c r="Q280" s="67" t="s">
        <v>3654</v>
      </c>
      <c r="R280" s="49" t="s">
        <v>3655</v>
      </c>
      <c r="S280" s="49"/>
      <c r="T280" s="49"/>
      <c r="U280" s="49"/>
      <c r="V280" s="49"/>
      <c r="W280" s="49"/>
      <c r="X280" s="49"/>
      <c r="Y280" s="95"/>
    </row>
    <row r="281" spans="1:25" s="92" customFormat="1" hidden="1" x14ac:dyDescent="0.25">
      <c r="A281" s="32" t="s">
        <v>927</v>
      </c>
      <c r="B281" s="315" t="str">
        <f>IF((COUNTBLANK(G281)=0),Stats!$E$7,IF((COUNTBLANK(E281)=0),IF((COUNTBLANK(F281)=0),IF((COUNTBLANK(U281)=0),Stats!$E$6,Stats!$E$5),Stats!$E$4),""))</f>
        <v>Death</v>
      </c>
      <c r="C281" s="39" t="s">
        <v>3117</v>
      </c>
      <c r="D281" s="315"/>
      <c r="E281" s="88">
        <v>43403</v>
      </c>
      <c r="F281" s="316">
        <v>43419</v>
      </c>
      <c r="G281" s="316">
        <v>36893</v>
      </c>
      <c r="H281" s="317" t="s">
        <v>3142</v>
      </c>
      <c r="I281" s="317"/>
      <c r="J281" s="317" t="s">
        <v>152</v>
      </c>
      <c r="K281" s="58" t="s">
        <v>3199</v>
      </c>
      <c r="L281" s="315"/>
      <c r="M281" s="317"/>
      <c r="N281" s="320"/>
      <c r="O281" s="317" t="s">
        <v>51</v>
      </c>
      <c r="P281" s="318" t="s">
        <v>3653</v>
      </c>
      <c r="Q281" s="318" t="s">
        <v>3654</v>
      </c>
      <c r="R281" s="317" t="s">
        <v>3656</v>
      </c>
      <c r="S281" s="317"/>
      <c r="T281" s="317"/>
      <c r="U281" s="317" t="s">
        <v>3657</v>
      </c>
      <c r="V281" s="317"/>
      <c r="W281" s="317"/>
      <c r="X281" s="317" t="s">
        <v>3658</v>
      </c>
      <c r="Y281" s="319"/>
    </row>
    <row r="282" spans="1:25" s="91" customFormat="1" hidden="1" x14ac:dyDescent="0.25">
      <c r="A282" s="32" t="s">
        <v>929</v>
      </c>
      <c r="B282" s="315" t="str">
        <f>IF((COUNTBLANK(G282)=0),Stats!$E$7,IF((COUNTBLANK(E282)=0),IF((COUNTBLANK(F282)=0),IF((COUNTBLANK(U282)=0),Stats!$E$6,Stats!$E$5),Stats!$E$4),""))</f>
        <v>Death</v>
      </c>
      <c r="C282" s="39" t="s">
        <v>3117</v>
      </c>
      <c r="D282" s="315"/>
      <c r="E282" s="88">
        <v>43403</v>
      </c>
      <c r="F282" s="316">
        <v>43419</v>
      </c>
      <c r="G282" s="316">
        <v>36893</v>
      </c>
      <c r="H282" s="317" t="s">
        <v>3142</v>
      </c>
      <c r="I282" s="317"/>
      <c r="J282" s="317" t="s">
        <v>152</v>
      </c>
      <c r="K282" s="58" t="s">
        <v>3199</v>
      </c>
      <c r="L282" s="315"/>
      <c r="M282" s="317"/>
      <c r="N282" s="320"/>
      <c r="O282" s="317" t="s">
        <v>51</v>
      </c>
      <c r="P282" s="318" t="s">
        <v>3653</v>
      </c>
      <c r="Q282" s="318" t="s">
        <v>3654</v>
      </c>
      <c r="R282" s="317" t="s">
        <v>3659</v>
      </c>
      <c r="S282" s="317"/>
      <c r="T282" s="317"/>
      <c r="U282" s="317" t="s">
        <v>3660</v>
      </c>
      <c r="V282" s="317"/>
      <c r="W282" s="317"/>
      <c r="X282" s="317"/>
      <c r="Y282" s="319"/>
    </row>
    <row r="283" spans="1:25" s="91" customFormat="1" hidden="1" x14ac:dyDescent="0.25">
      <c r="A283" s="32" t="s">
        <v>932</v>
      </c>
      <c r="B283" s="315" t="str">
        <f>IF((COUNTBLANK(G283)=0),Stats!$E$7,IF((COUNTBLANK(E283)=0),IF((COUNTBLANK(F283)=0),IF((COUNTBLANK(U283)=0),Stats!$E$6,Stats!$E$5),Stats!$E$4),""))</f>
        <v>Death</v>
      </c>
      <c r="C283" s="39" t="s">
        <v>284</v>
      </c>
      <c r="D283" s="315"/>
      <c r="E283" s="88">
        <v>43409</v>
      </c>
      <c r="F283" s="316">
        <v>43423</v>
      </c>
      <c r="G283" s="316">
        <v>36893</v>
      </c>
      <c r="H283" s="317" t="s">
        <v>3128</v>
      </c>
      <c r="I283" s="317"/>
      <c r="J283" s="317" t="s">
        <v>152</v>
      </c>
      <c r="K283" s="315" t="s">
        <v>3199</v>
      </c>
      <c r="L283" s="315" t="s">
        <v>3661</v>
      </c>
      <c r="M283" s="317"/>
      <c r="N283" s="320" t="s">
        <v>3662</v>
      </c>
      <c r="O283" s="317" t="s">
        <v>51</v>
      </c>
      <c r="P283" s="318" t="s">
        <v>3663</v>
      </c>
      <c r="Q283" s="318" t="s">
        <v>3654</v>
      </c>
      <c r="R283" s="317"/>
      <c r="S283" s="317"/>
      <c r="T283" s="317"/>
      <c r="U283" s="317" t="s">
        <v>3664</v>
      </c>
      <c r="V283" s="317"/>
      <c r="W283" s="317"/>
      <c r="X283" s="317" t="s">
        <v>3582</v>
      </c>
      <c r="Y283" s="319"/>
    </row>
    <row r="284" spans="1:25" s="91" customFormat="1" hidden="1" x14ac:dyDescent="0.25">
      <c r="A284" s="32" t="s">
        <v>934</v>
      </c>
      <c r="B284" s="315" t="str">
        <f>IF((COUNTBLANK(G284)=0),Stats!$E$7,IF((COUNTBLANK(E284)=0),IF((COUNTBLANK(F284)=0),IF((COUNTBLANK(U284)=0),Stats!$E$6,Stats!$E$5),Stats!$E$4),""))</f>
        <v>Death</v>
      </c>
      <c r="C284" s="39" t="s">
        <v>284</v>
      </c>
      <c r="D284" s="315"/>
      <c r="E284" s="88">
        <v>43409</v>
      </c>
      <c r="F284" s="316">
        <v>43423</v>
      </c>
      <c r="G284" s="316">
        <v>36893</v>
      </c>
      <c r="H284" s="317" t="s">
        <v>3128</v>
      </c>
      <c r="I284" s="317"/>
      <c r="J284" s="317" t="s">
        <v>152</v>
      </c>
      <c r="K284" s="315" t="s">
        <v>3199</v>
      </c>
      <c r="L284" s="315" t="s">
        <v>3661</v>
      </c>
      <c r="M284" s="317"/>
      <c r="N284" s="320" t="s">
        <v>3662</v>
      </c>
      <c r="O284" s="317" t="s">
        <v>51</v>
      </c>
      <c r="P284" s="318" t="s">
        <v>3663</v>
      </c>
      <c r="Q284" s="318" t="s">
        <v>3654</v>
      </c>
      <c r="R284" s="317"/>
      <c r="S284" s="317"/>
      <c r="T284" s="317"/>
      <c r="U284" s="317" t="s">
        <v>3664</v>
      </c>
      <c r="V284" s="317"/>
      <c r="W284" s="317"/>
      <c r="X284" s="317" t="s">
        <v>3582</v>
      </c>
      <c r="Y284" s="319"/>
    </row>
    <row r="285" spans="1:25" s="91" customFormat="1" hidden="1" x14ac:dyDescent="0.25">
      <c r="A285" s="32" t="s">
        <v>938</v>
      </c>
      <c r="B285" s="315" t="str">
        <f>IF((COUNTBLANK(G285)=0),Stats!$E$7,IF((COUNTBLANK(E285)=0),IF((COUNTBLANK(F285)=0),IF((COUNTBLANK(U285)=0),Stats!$E$6,Stats!$E$5),Stats!$E$4),""))</f>
        <v>Death</v>
      </c>
      <c r="C285" s="39" t="s">
        <v>284</v>
      </c>
      <c r="D285" s="315"/>
      <c r="E285" s="88">
        <v>43409</v>
      </c>
      <c r="F285" s="88">
        <v>43419</v>
      </c>
      <c r="G285" s="316">
        <v>36893</v>
      </c>
      <c r="H285" s="317" t="s">
        <v>3128</v>
      </c>
      <c r="I285" s="49"/>
      <c r="J285" s="49" t="s">
        <v>152</v>
      </c>
      <c r="K285" s="315" t="s">
        <v>3199</v>
      </c>
      <c r="L285" s="315" t="s">
        <v>3661</v>
      </c>
      <c r="M285" s="317"/>
      <c r="N285" s="320" t="s">
        <v>3662</v>
      </c>
      <c r="O285" s="49" t="s">
        <v>51</v>
      </c>
      <c r="P285" s="67" t="s">
        <v>3663</v>
      </c>
      <c r="Q285" s="67" t="s">
        <v>3654</v>
      </c>
      <c r="R285" s="49"/>
      <c r="S285" s="49"/>
      <c r="T285" s="49"/>
      <c r="U285" s="317"/>
      <c r="V285" s="49"/>
      <c r="W285" s="49"/>
      <c r="X285" s="49" t="s">
        <v>3665</v>
      </c>
      <c r="Y285" s="95"/>
    </row>
    <row r="286" spans="1:25" s="92" customFormat="1" hidden="1" x14ac:dyDescent="0.25">
      <c r="A286" s="32" t="s">
        <v>940</v>
      </c>
      <c r="B286" s="315" t="str">
        <f>IF((COUNTBLANK(G286)=0),Stats!$E$7,IF((COUNTBLANK(E286)=0),IF((COUNTBLANK(F286)=0),IF((COUNTBLANK(U286)=0),Stats!$E$6,Stats!$E$5),Stats!$E$4),""))</f>
        <v>Death</v>
      </c>
      <c r="C286" s="39" t="s">
        <v>284</v>
      </c>
      <c r="D286" s="315"/>
      <c r="E286" s="88">
        <v>43409</v>
      </c>
      <c r="F286" s="316">
        <v>43419</v>
      </c>
      <c r="G286" s="316">
        <v>36893</v>
      </c>
      <c r="H286" s="317" t="s">
        <v>3128</v>
      </c>
      <c r="I286" s="317"/>
      <c r="J286" s="317" t="s">
        <v>152</v>
      </c>
      <c r="K286" s="315" t="s">
        <v>3199</v>
      </c>
      <c r="L286" s="315" t="s">
        <v>3661</v>
      </c>
      <c r="M286" s="317"/>
      <c r="N286" s="320" t="s">
        <v>3662</v>
      </c>
      <c r="O286" s="317" t="s">
        <v>51</v>
      </c>
      <c r="P286" s="318" t="s">
        <v>3663</v>
      </c>
      <c r="Q286" s="318" t="s">
        <v>3654</v>
      </c>
      <c r="R286" s="317"/>
      <c r="S286" s="317"/>
      <c r="T286" s="317"/>
      <c r="U286" s="317" t="s">
        <v>3666</v>
      </c>
      <c r="V286" s="317"/>
      <c r="W286" s="317"/>
      <c r="X286" s="317" t="s">
        <v>3667</v>
      </c>
      <c r="Y286" s="319"/>
    </row>
    <row r="287" spans="1:25" s="91" customFormat="1" hidden="1" x14ac:dyDescent="0.25">
      <c r="A287" s="32" t="s">
        <v>942</v>
      </c>
      <c r="B287" s="315" t="str">
        <f>IF((COUNTBLANK(G287)=0),Stats!$E$7,IF((COUNTBLANK(E287)=0),IF((COUNTBLANK(F287)=0),IF((COUNTBLANK(U287)=0),Stats!$E$6,Stats!$E$5),Stats!$E$4),""))</f>
        <v>Death</v>
      </c>
      <c r="C287" s="39" t="s">
        <v>284</v>
      </c>
      <c r="D287" s="315"/>
      <c r="E287" s="88">
        <v>43416</v>
      </c>
      <c r="F287" s="316">
        <v>43423</v>
      </c>
      <c r="G287" s="316">
        <v>36893</v>
      </c>
      <c r="H287" s="317" t="s">
        <v>3142</v>
      </c>
      <c r="I287" s="317"/>
      <c r="J287" s="317" t="s">
        <v>152</v>
      </c>
      <c r="K287" s="315" t="s">
        <v>3216</v>
      </c>
      <c r="L287" s="315" t="s">
        <v>3554</v>
      </c>
      <c r="M287" s="317"/>
      <c r="N287" s="320" t="s">
        <v>3668</v>
      </c>
      <c r="O287" s="317" t="s">
        <v>51</v>
      </c>
      <c r="P287" s="318">
        <v>450</v>
      </c>
      <c r="Q287" s="318">
        <v>400</v>
      </c>
      <c r="R287" s="317" t="s">
        <v>3669</v>
      </c>
      <c r="S287" s="317"/>
      <c r="T287" s="317"/>
      <c r="U287" s="317" t="s">
        <v>3670</v>
      </c>
      <c r="V287" s="317"/>
      <c r="W287" s="317"/>
      <c r="X287" s="317" t="s">
        <v>3671</v>
      </c>
      <c r="Y287" s="319"/>
    </row>
    <row r="288" spans="1:25" s="91" customFormat="1" hidden="1" x14ac:dyDescent="0.25">
      <c r="A288" s="32" t="s">
        <v>946</v>
      </c>
      <c r="B288" s="315" t="str">
        <f>IF((COUNTBLANK(G288)=0),Stats!$E$7,IF((COUNTBLANK(E288)=0),IF((COUNTBLANK(F288)=0),IF((COUNTBLANK(U288)=0),Stats!$E$6,Stats!$E$5),Stats!$E$4),""))</f>
        <v>Death</v>
      </c>
      <c r="C288" s="39" t="s">
        <v>284</v>
      </c>
      <c r="D288" s="315"/>
      <c r="E288" s="88">
        <v>43416</v>
      </c>
      <c r="F288" s="316">
        <v>36892</v>
      </c>
      <c r="G288" s="316">
        <v>36893</v>
      </c>
      <c r="H288" s="317" t="s">
        <v>3142</v>
      </c>
      <c r="I288" s="317"/>
      <c r="J288" s="317" t="s">
        <v>152</v>
      </c>
      <c r="K288" s="315" t="s">
        <v>3216</v>
      </c>
      <c r="L288" s="315" t="s">
        <v>3554</v>
      </c>
      <c r="M288" s="317"/>
      <c r="N288" s="320" t="s">
        <v>3668</v>
      </c>
      <c r="O288" s="317" t="s">
        <v>51</v>
      </c>
      <c r="P288" s="318">
        <v>450</v>
      </c>
      <c r="Q288" s="318">
        <v>400</v>
      </c>
      <c r="R288" s="317"/>
      <c r="S288" s="317"/>
      <c r="T288" s="317"/>
      <c r="U288" s="317"/>
      <c r="V288" s="317"/>
      <c r="W288" s="317"/>
      <c r="X288" s="317" t="s">
        <v>3672</v>
      </c>
      <c r="Y288" s="319"/>
    </row>
    <row r="289" spans="1:25" s="91" customFormat="1" hidden="1" x14ac:dyDescent="0.25">
      <c r="A289" s="32" t="s">
        <v>948</v>
      </c>
      <c r="B289" s="315" t="str">
        <f>IF((COUNTBLANK(G289)=0),Stats!$E$7,IF((COUNTBLANK(E289)=0),IF((COUNTBLANK(F289)=0),IF((COUNTBLANK(U289)=0),Stats!$E$6,Stats!$E$5),Stats!$E$4),""))</f>
        <v>Death</v>
      </c>
      <c r="C289" s="39" t="s">
        <v>284</v>
      </c>
      <c r="D289" s="315"/>
      <c r="E289" s="88">
        <v>43416</v>
      </c>
      <c r="F289" s="316">
        <v>43423</v>
      </c>
      <c r="G289" s="316">
        <v>36893</v>
      </c>
      <c r="H289" s="317" t="s">
        <v>3142</v>
      </c>
      <c r="I289" s="317"/>
      <c r="J289" s="317" t="s">
        <v>152</v>
      </c>
      <c r="K289" s="315" t="s">
        <v>3216</v>
      </c>
      <c r="L289" s="315" t="s">
        <v>3554</v>
      </c>
      <c r="M289" s="317"/>
      <c r="N289" s="320" t="s">
        <v>3668</v>
      </c>
      <c r="O289" s="317" t="s">
        <v>51</v>
      </c>
      <c r="P289" s="318">
        <v>450</v>
      </c>
      <c r="Q289" s="318">
        <v>400</v>
      </c>
      <c r="R289" s="317"/>
      <c r="S289" s="317"/>
      <c r="T289" s="317"/>
      <c r="U289" s="317" t="s">
        <v>3673</v>
      </c>
      <c r="V289" s="317" t="s">
        <v>3674</v>
      </c>
      <c r="W289" s="317"/>
      <c r="X289" s="317" t="s">
        <v>3675</v>
      </c>
      <c r="Y289" s="319"/>
    </row>
    <row r="290" spans="1:25" s="91" customFormat="1" hidden="1" x14ac:dyDescent="0.25">
      <c r="A290" s="32" t="s">
        <v>950</v>
      </c>
      <c r="B290" s="315" t="str">
        <f>IF((COUNTBLANK(G290)=0),Stats!$E$7,IF((COUNTBLANK(E290)=0),IF((COUNTBLANK(F290)=0),IF((COUNTBLANK(U290)=0),Stats!$E$6,Stats!$E$5),Stats!$E$4),""))</f>
        <v>Death</v>
      </c>
      <c r="C290" s="39" t="s">
        <v>284</v>
      </c>
      <c r="D290" s="315"/>
      <c r="E290" s="88">
        <v>43416</v>
      </c>
      <c r="F290" s="316">
        <v>43423</v>
      </c>
      <c r="G290" s="316">
        <v>36893</v>
      </c>
      <c r="H290" s="317" t="s">
        <v>3142</v>
      </c>
      <c r="I290" s="317"/>
      <c r="J290" s="317" t="s">
        <v>152</v>
      </c>
      <c r="K290" s="315" t="s">
        <v>3216</v>
      </c>
      <c r="L290" s="315" t="s">
        <v>3554</v>
      </c>
      <c r="M290" s="317"/>
      <c r="N290" s="320" t="s">
        <v>3668</v>
      </c>
      <c r="O290" s="317" t="s">
        <v>51</v>
      </c>
      <c r="P290" s="318">
        <v>450</v>
      </c>
      <c r="Q290" s="318">
        <v>400</v>
      </c>
      <c r="R290" s="317"/>
      <c r="S290" s="317"/>
      <c r="T290" s="317"/>
      <c r="U290" s="317" t="s">
        <v>3651</v>
      </c>
      <c r="V290" s="317" t="s">
        <v>3676</v>
      </c>
      <c r="W290" s="317"/>
      <c r="X290" s="317"/>
      <c r="Y290" s="319"/>
    </row>
    <row r="291" spans="1:25" s="91" customFormat="1" hidden="1" x14ac:dyDescent="0.25">
      <c r="A291" s="32" t="s">
        <v>952</v>
      </c>
      <c r="B291" s="315" t="str">
        <f>IF((COUNTBLANK(G291)=0),Stats!$E$7,IF((COUNTBLANK(E291)=0),IF((COUNTBLANK(F291)=0),IF((COUNTBLANK(U291)=0),Stats!$E$6,Stats!$E$5),Stats!$E$4),""))</f>
        <v>Death</v>
      </c>
      <c r="C291" s="39" t="s">
        <v>284</v>
      </c>
      <c r="D291" s="315"/>
      <c r="E291" s="88">
        <v>43423</v>
      </c>
      <c r="F291" s="316">
        <v>43432</v>
      </c>
      <c r="G291" s="316">
        <v>36893</v>
      </c>
      <c r="H291" s="317" t="s">
        <v>3128</v>
      </c>
      <c r="I291" s="317"/>
      <c r="J291" s="317" t="s">
        <v>152</v>
      </c>
      <c r="K291" s="315" t="s">
        <v>3199</v>
      </c>
      <c r="L291" s="315" t="s">
        <v>3661</v>
      </c>
      <c r="M291" s="317"/>
      <c r="N291" s="320" t="s">
        <v>3662</v>
      </c>
      <c r="O291" s="317" t="s">
        <v>51</v>
      </c>
      <c r="P291" s="318" t="s">
        <v>3663</v>
      </c>
      <c r="Q291" s="318" t="s">
        <v>3654</v>
      </c>
      <c r="R291" s="317" t="s">
        <v>3659</v>
      </c>
      <c r="S291" s="317"/>
      <c r="T291" s="317"/>
      <c r="U291" s="317" t="s">
        <v>3677</v>
      </c>
      <c r="V291" s="317"/>
      <c r="W291" s="317"/>
      <c r="X291" s="317"/>
      <c r="Y291" s="319"/>
    </row>
    <row r="292" spans="1:25" s="91" customFormat="1" hidden="1" x14ac:dyDescent="0.25">
      <c r="A292" s="32" t="s">
        <v>955</v>
      </c>
      <c r="B292" s="315" t="str">
        <f>IF((COUNTBLANK(G292)=0),Stats!$E$7,IF((COUNTBLANK(E292)=0),IF((COUNTBLANK(F292)=0),IF((COUNTBLANK(U292)=0),Stats!$E$6,Stats!$E$5),Stats!$E$4),""))</f>
        <v>Death</v>
      </c>
      <c r="C292" s="39" t="s">
        <v>284</v>
      </c>
      <c r="D292" s="315"/>
      <c r="E292" s="88">
        <v>43423</v>
      </c>
      <c r="F292" s="316">
        <v>43432</v>
      </c>
      <c r="G292" s="316">
        <v>36893</v>
      </c>
      <c r="H292" s="317" t="s">
        <v>3128</v>
      </c>
      <c r="I292" s="317"/>
      <c r="J292" s="317" t="s">
        <v>152</v>
      </c>
      <c r="K292" s="315" t="s">
        <v>3199</v>
      </c>
      <c r="L292" s="315" t="s">
        <v>3661</v>
      </c>
      <c r="M292" s="317"/>
      <c r="N292" s="320" t="s">
        <v>3662</v>
      </c>
      <c r="O292" s="317" t="s">
        <v>51</v>
      </c>
      <c r="P292" s="318" t="s">
        <v>3663</v>
      </c>
      <c r="Q292" s="318" t="s">
        <v>3654</v>
      </c>
      <c r="R292" s="317" t="s">
        <v>3678</v>
      </c>
      <c r="S292" s="317"/>
      <c r="T292" s="317" t="s">
        <v>3531</v>
      </c>
      <c r="U292" s="317"/>
      <c r="V292" s="317" t="s">
        <v>3679</v>
      </c>
      <c r="W292" s="317"/>
      <c r="X292" s="317"/>
      <c r="Y292" s="319"/>
    </row>
    <row r="293" spans="1:25" s="91" customFormat="1" hidden="1" x14ac:dyDescent="0.25">
      <c r="A293" s="32" t="s">
        <v>957</v>
      </c>
      <c r="B293" s="315" t="str">
        <f>IF((COUNTBLANK(G293)=0),Stats!$E$7,IF((COUNTBLANK(E293)=0),IF((COUNTBLANK(F293)=0),IF((COUNTBLANK(U293)=0),Stats!$E$6,Stats!$E$5),Stats!$E$4),""))</f>
        <v>Death</v>
      </c>
      <c r="C293" s="39" t="s">
        <v>284</v>
      </c>
      <c r="D293" s="315"/>
      <c r="E293" s="88">
        <v>43423</v>
      </c>
      <c r="F293" s="316">
        <v>43432</v>
      </c>
      <c r="G293" s="316">
        <v>36893</v>
      </c>
      <c r="H293" s="317" t="s">
        <v>3128</v>
      </c>
      <c r="I293" s="317"/>
      <c r="J293" s="317" t="s">
        <v>152</v>
      </c>
      <c r="K293" s="315" t="s">
        <v>3199</v>
      </c>
      <c r="L293" s="315" t="s">
        <v>3661</v>
      </c>
      <c r="M293" s="317"/>
      <c r="N293" s="320" t="s">
        <v>3662</v>
      </c>
      <c r="O293" s="317" t="s">
        <v>51</v>
      </c>
      <c r="P293" s="318" t="s">
        <v>3663</v>
      </c>
      <c r="Q293" s="318" t="s">
        <v>3654</v>
      </c>
      <c r="R293" s="317" t="s">
        <v>3656</v>
      </c>
      <c r="S293" s="317"/>
      <c r="T293" s="317"/>
      <c r="U293" s="317"/>
      <c r="V293" s="317" t="s">
        <v>3679</v>
      </c>
      <c r="W293" s="317"/>
      <c r="X293" s="317"/>
      <c r="Y293" s="319"/>
    </row>
    <row r="294" spans="1:25" s="91" customFormat="1" hidden="1" x14ac:dyDescent="0.25">
      <c r="A294" s="32" t="s">
        <v>959</v>
      </c>
      <c r="B294" s="315" t="str">
        <f>IF((COUNTBLANK(G294)=0),Stats!$E$7,IF((COUNTBLANK(E294)=0),IF((COUNTBLANK(F294)=0),IF((COUNTBLANK(U294)=0),Stats!$E$6,Stats!$E$5),Stats!$E$4),""))</f>
        <v>Death</v>
      </c>
      <c r="C294" s="39" t="s">
        <v>284</v>
      </c>
      <c r="D294" s="315"/>
      <c r="E294" s="88">
        <v>43423</v>
      </c>
      <c r="F294" s="316">
        <v>43433</v>
      </c>
      <c r="G294" s="316">
        <v>36893</v>
      </c>
      <c r="H294" s="317" t="s">
        <v>3128</v>
      </c>
      <c r="I294" s="317"/>
      <c r="J294" s="317" t="s">
        <v>152</v>
      </c>
      <c r="K294" s="315" t="s">
        <v>3199</v>
      </c>
      <c r="L294" s="315" t="s">
        <v>3661</v>
      </c>
      <c r="M294" s="317"/>
      <c r="N294" s="320" t="s">
        <v>3662</v>
      </c>
      <c r="O294" s="317" t="s">
        <v>51</v>
      </c>
      <c r="P294" s="318" t="s">
        <v>3663</v>
      </c>
      <c r="Q294" s="318" t="s">
        <v>3654</v>
      </c>
      <c r="R294" s="317" t="s">
        <v>3655</v>
      </c>
      <c r="S294" s="317"/>
      <c r="T294" s="317" t="s">
        <v>3531</v>
      </c>
      <c r="U294" s="317"/>
      <c r="V294" s="317" t="s">
        <v>3679</v>
      </c>
      <c r="W294" s="317"/>
      <c r="X294" s="317"/>
      <c r="Y294" s="319"/>
    </row>
    <row r="295" spans="1:25" s="91" customFormat="1" hidden="1" x14ac:dyDescent="0.25">
      <c r="A295" s="32" t="s">
        <v>961</v>
      </c>
      <c r="B295" s="315" t="str">
        <f>IF((COUNTBLANK(G295)=0),Stats!$E$7,IF((COUNTBLANK(E295)=0),IF((COUNTBLANK(F295)=0),IF((COUNTBLANK(U295)=0),Stats!$E$6,Stats!$E$5),Stats!$E$4),""))</f>
        <v>Death</v>
      </c>
      <c r="C295" s="39" t="s">
        <v>284</v>
      </c>
      <c r="D295" s="315"/>
      <c r="E295" s="88">
        <v>43429</v>
      </c>
      <c r="F295" s="316">
        <v>43437</v>
      </c>
      <c r="G295" s="316">
        <v>36893</v>
      </c>
      <c r="H295" s="317" t="s">
        <v>3140</v>
      </c>
      <c r="I295" s="317"/>
      <c r="J295" s="317" t="s">
        <v>152</v>
      </c>
      <c r="K295" s="315" t="s">
        <v>3199</v>
      </c>
      <c r="L295" s="315" t="s">
        <v>3680</v>
      </c>
      <c r="M295" s="317"/>
      <c r="N295" s="320" t="s">
        <v>3273</v>
      </c>
      <c r="O295" s="317" t="s">
        <v>51</v>
      </c>
      <c r="P295" s="318">
        <v>400</v>
      </c>
      <c r="Q295" s="318">
        <v>250</v>
      </c>
      <c r="R295" s="317" t="s">
        <v>3681</v>
      </c>
      <c r="S295" s="317"/>
      <c r="T295" s="317" t="s">
        <v>3531</v>
      </c>
      <c r="U295" s="317" t="s">
        <v>3682</v>
      </c>
      <c r="V295" s="317"/>
      <c r="W295" s="317"/>
      <c r="X295" s="317"/>
      <c r="Y295" s="319"/>
    </row>
    <row r="296" spans="1:25" s="91" customFormat="1" hidden="1" x14ac:dyDescent="0.25">
      <c r="A296" s="32" t="s">
        <v>964</v>
      </c>
      <c r="B296" s="315" t="str">
        <f>IF((COUNTBLANK(G296)=0),Stats!$E$7,IF((COUNTBLANK(E296)=0),IF((COUNTBLANK(F296)=0),IF((COUNTBLANK(U296)=0),Stats!$E$6,Stats!$E$5),Stats!$E$4),""))</f>
        <v>Death</v>
      </c>
      <c r="C296" s="39" t="s">
        <v>284</v>
      </c>
      <c r="D296" s="315"/>
      <c r="E296" s="88">
        <v>43429</v>
      </c>
      <c r="F296" s="316">
        <v>43438</v>
      </c>
      <c r="G296" s="316">
        <v>36893</v>
      </c>
      <c r="H296" s="317" t="s">
        <v>3140</v>
      </c>
      <c r="I296" s="317"/>
      <c r="J296" s="317" t="s">
        <v>152</v>
      </c>
      <c r="K296" s="315" t="s">
        <v>3199</v>
      </c>
      <c r="L296" s="315" t="s">
        <v>3680</v>
      </c>
      <c r="M296" s="317"/>
      <c r="N296" s="320" t="s">
        <v>3273</v>
      </c>
      <c r="O296" s="317" t="s">
        <v>51</v>
      </c>
      <c r="P296" s="318">
        <v>400</v>
      </c>
      <c r="Q296" s="318">
        <v>250</v>
      </c>
      <c r="R296" s="317"/>
      <c r="S296" s="317"/>
      <c r="T296" s="317"/>
      <c r="U296" s="317" t="s">
        <v>3683</v>
      </c>
      <c r="V296" s="317"/>
      <c r="W296" s="317"/>
      <c r="X296" s="317"/>
      <c r="Y296" s="319"/>
    </row>
    <row r="297" spans="1:25" s="91" customFormat="1" hidden="1" x14ac:dyDescent="0.25">
      <c r="A297" s="32" t="s">
        <v>966</v>
      </c>
      <c r="B297" s="315" t="str">
        <f>IF((COUNTBLANK(G297)=0),Stats!$E$7,IF((COUNTBLANK(E297)=0),IF((COUNTBLANK(F297)=0),IF((COUNTBLANK(U297)=0),Stats!$E$6,Stats!$E$5),Stats!$E$4),""))</f>
        <v>Death</v>
      </c>
      <c r="C297" s="39" t="s">
        <v>284</v>
      </c>
      <c r="D297" s="315"/>
      <c r="E297" s="88">
        <v>43429</v>
      </c>
      <c r="F297" s="316">
        <v>43438</v>
      </c>
      <c r="G297" s="316">
        <v>36893</v>
      </c>
      <c r="H297" s="317" t="s">
        <v>3140</v>
      </c>
      <c r="I297" s="317"/>
      <c r="J297" s="317" t="s">
        <v>152</v>
      </c>
      <c r="K297" s="315" t="s">
        <v>3199</v>
      </c>
      <c r="L297" s="315" t="s">
        <v>3680</v>
      </c>
      <c r="M297" s="317"/>
      <c r="N297" s="320" t="s">
        <v>3273</v>
      </c>
      <c r="O297" s="317" t="s">
        <v>51</v>
      </c>
      <c r="P297" s="318">
        <v>400</v>
      </c>
      <c r="Q297" s="318">
        <v>250</v>
      </c>
      <c r="R297" s="317" t="s">
        <v>3684</v>
      </c>
      <c r="S297" s="317"/>
      <c r="T297" s="317"/>
      <c r="U297" s="317" t="s">
        <v>3685</v>
      </c>
      <c r="V297" s="317"/>
      <c r="W297" s="317"/>
      <c r="X297" s="317"/>
      <c r="Y297" s="319"/>
    </row>
    <row r="298" spans="1:25" s="91" customFormat="1" hidden="1" x14ac:dyDescent="0.25">
      <c r="A298" s="32" t="s">
        <v>968</v>
      </c>
      <c r="B298" s="315" t="str">
        <f>IF((COUNTBLANK(G298)=0),Stats!$E$7,IF((COUNTBLANK(E298)=0),IF((COUNTBLANK(F298)=0),IF((COUNTBLANK(U298)=0),Stats!$E$6,Stats!$E$5),Stats!$E$4),""))</f>
        <v>Death</v>
      </c>
      <c r="C298" s="39" t="s">
        <v>284</v>
      </c>
      <c r="D298" s="315"/>
      <c r="E298" s="88">
        <v>43429</v>
      </c>
      <c r="F298" s="316">
        <v>43438</v>
      </c>
      <c r="G298" s="316">
        <v>36893</v>
      </c>
      <c r="H298" s="317" t="s">
        <v>3140</v>
      </c>
      <c r="I298" s="317"/>
      <c r="J298" s="317" t="s">
        <v>152</v>
      </c>
      <c r="K298" s="315" t="s">
        <v>3199</v>
      </c>
      <c r="L298" s="315" t="s">
        <v>3680</v>
      </c>
      <c r="M298" s="317"/>
      <c r="N298" s="320" t="s">
        <v>3273</v>
      </c>
      <c r="O298" s="317" t="s">
        <v>51</v>
      </c>
      <c r="P298" s="318">
        <v>400</v>
      </c>
      <c r="Q298" s="318">
        <v>250</v>
      </c>
      <c r="R298" s="317"/>
      <c r="S298" s="317"/>
      <c r="T298" s="317"/>
      <c r="U298" s="317" t="s">
        <v>3686</v>
      </c>
      <c r="V298" s="317"/>
      <c r="W298" s="317"/>
      <c r="X298" s="317"/>
      <c r="Y298" s="319"/>
    </row>
    <row r="299" spans="1:25" s="91" customFormat="1" hidden="1" x14ac:dyDescent="0.25">
      <c r="A299" s="32" t="s">
        <v>970</v>
      </c>
      <c r="B299" s="315" t="str">
        <f>IF((COUNTBLANK(G299)=0),Stats!$E$7,IF((COUNTBLANK(E299)=0),IF((COUNTBLANK(F299)=0),IF((COUNTBLANK(U299)=0),Stats!$E$6,Stats!$E$5),Stats!$E$4),""))</f>
        <v>Death</v>
      </c>
      <c r="C299" s="39" t="s">
        <v>284</v>
      </c>
      <c r="D299" s="315"/>
      <c r="E299" s="88">
        <v>43429</v>
      </c>
      <c r="F299" s="316">
        <v>43438</v>
      </c>
      <c r="G299" s="316">
        <v>36893</v>
      </c>
      <c r="H299" s="317" t="s">
        <v>3140</v>
      </c>
      <c r="I299" s="317"/>
      <c r="J299" s="317" t="s">
        <v>152</v>
      </c>
      <c r="K299" s="315" t="s">
        <v>3199</v>
      </c>
      <c r="L299" s="315" t="s">
        <v>3680</v>
      </c>
      <c r="M299" s="317"/>
      <c r="N299" s="320" t="s">
        <v>3273</v>
      </c>
      <c r="O299" s="317" t="s">
        <v>51</v>
      </c>
      <c r="P299" s="318">
        <v>400</v>
      </c>
      <c r="Q299" s="318">
        <v>250</v>
      </c>
      <c r="R299" s="317"/>
      <c r="S299" s="317"/>
      <c r="T299" s="317"/>
      <c r="U299" s="317" t="s">
        <v>3687</v>
      </c>
      <c r="V299" s="317"/>
      <c r="W299" s="317"/>
      <c r="X299" s="317"/>
      <c r="Y299" s="319"/>
    </row>
    <row r="300" spans="1:25" s="91" customFormat="1" hidden="1" x14ac:dyDescent="0.25">
      <c r="A300" s="32" t="s">
        <v>974</v>
      </c>
      <c r="B300" s="315" t="str">
        <f>IF((COUNTBLANK(G300)=0),Stats!$E$7,IF((COUNTBLANK(E300)=0),IF((COUNTBLANK(F300)=0),IF((COUNTBLANK(U300)=0),Stats!$E$6,Stats!$E$5),Stats!$E$4),""))</f>
        <v>Death</v>
      </c>
      <c r="C300" s="39" t="s">
        <v>3117</v>
      </c>
      <c r="D300" s="315"/>
      <c r="E300" s="88">
        <v>43431</v>
      </c>
      <c r="F300" s="316">
        <v>43439</v>
      </c>
      <c r="G300" s="316">
        <v>36893</v>
      </c>
      <c r="H300" s="317" t="s">
        <v>3148</v>
      </c>
      <c r="I300" s="317"/>
      <c r="J300" s="317" t="s">
        <v>152</v>
      </c>
      <c r="K300" s="315" t="s">
        <v>3199</v>
      </c>
      <c r="L300" s="315"/>
      <c r="M300" s="317"/>
      <c r="N300" s="320"/>
      <c r="O300" s="317" t="s">
        <v>51</v>
      </c>
      <c r="P300" s="318" t="s">
        <v>3688</v>
      </c>
      <c r="Q300" s="318" t="s">
        <v>3689</v>
      </c>
      <c r="R300" s="317"/>
      <c r="S300" s="317"/>
      <c r="T300" s="317"/>
      <c r="U300" s="317" t="s">
        <v>3690</v>
      </c>
      <c r="V300" s="317" t="s">
        <v>3691</v>
      </c>
      <c r="W300" s="317"/>
      <c r="X300" s="317"/>
      <c r="Y300" s="319"/>
    </row>
    <row r="301" spans="1:25" s="91" customFormat="1" hidden="1" x14ac:dyDescent="0.25">
      <c r="A301" s="32" t="s">
        <v>976</v>
      </c>
      <c r="B301" s="315" t="str">
        <f>IF((COUNTBLANK(G301)=0),Stats!$E$7,IF((COUNTBLANK(E301)=0),IF((COUNTBLANK(F301)=0),IF((COUNTBLANK(U301)=0),Stats!$E$6,Stats!$E$5),Stats!$E$4),""))</f>
        <v>Death</v>
      </c>
      <c r="C301" s="39" t="s">
        <v>3117</v>
      </c>
      <c r="D301" s="315"/>
      <c r="E301" s="88">
        <v>43431</v>
      </c>
      <c r="F301" s="316">
        <v>43439</v>
      </c>
      <c r="G301" s="316">
        <v>36893</v>
      </c>
      <c r="H301" s="317" t="s">
        <v>3148</v>
      </c>
      <c r="I301" s="317"/>
      <c r="J301" s="317" t="s">
        <v>152</v>
      </c>
      <c r="K301" s="315" t="s">
        <v>3199</v>
      </c>
      <c r="L301" s="315"/>
      <c r="M301" s="317"/>
      <c r="N301" s="320"/>
      <c r="O301" s="317" t="s">
        <v>51</v>
      </c>
      <c r="P301" s="318" t="s">
        <v>3688</v>
      </c>
      <c r="Q301" s="318" t="s">
        <v>3689</v>
      </c>
      <c r="R301" s="317" t="s">
        <v>3692</v>
      </c>
      <c r="S301" s="317"/>
      <c r="T301" s="317"/>
      <c r="U301" s="317" t="s">
        <v>3693</v>
      </c>
      <c r="V301" s="317" t="s">
        <v>3694</v>
      </c>
      <c r="W301" s="317"/>
      <c r="X301" s="317"/>
      <c r="Y301" s="319"/>
    </row>
    <row r="302" spans="1:25" s="91" customFormat="1" hidden="1" x14ac:dyDescent="0.25">
      <c r="A302" s="32" t="s">
        <v>978</v>
      </c>
      <c r="B302" s="315" t="str">
        <f>IF((COUNTBLANK(G302)=0),Stats!$E$7,IF((COUNTBLANK(E302)=0),IF((COUNTBLANK(F302)=0),IF((COUNTBLANK(U302)=0),Stats!$E$6,Stats!$E$5),Stats!$E$4),""))</f>
        <v>Death</v>
      </c>
      <c r="C302" s="39" t="s">
        <v>3117</v>
      </c>
      <c r="D302" s="315"/>
      <c r="E302" s="88">
        <v>43431</v>
      </c>
      <c r="F302" s="316">
        <v>43439</v>
      </c>
      <c r="G302" s="316">
        <v>36893</v>
      </c>
      <c r="H302" s="317" t="s">
        <v>3148</v>
      </c>
      <c r="I302" s="317"/>
      <c r="J302" s="317" t="s">
        <v>152</v>
      </c>
      <c r="K302" s="315" t="s">
        <v>3199</v>
      </c>
      <c r="L302" s="315"/>
      <c r="M302" s="317"/>
      <c r="N302" s="320"/>
      <c r="O302" s="317" t="s">
        <v>51</v>
      </c>
      <c r="P302" s="318" t="s">
        <v>3688</v>
      </c>
      <c r="Q302" s="318" t="s">
        <v>3689</v>
      </c>
      <c r="R302" s="317"/>
      <c r="S302" s="317"/>
      <c r="T302" s="317" t="s">
        <v>3695</v>
      </c>
      <c r="U302" s="317" t="s">
        <v>3696</v>
      </c>
      <c r="V302" s="317" t="s">
        <v>3697</v>
      </c>
      <c r="W302" s="317"/>
      <c r="X302" s="317"/>
      <c r="Y302" s="319"/>
    </row>
    <row r="303" spans="1:25" s="91" customFormat="1" hidden="1" x14ac:dyDescent="0.25">
      <c r="A303" s="32" t="s">
        <v>981</v>
      </c>
      <c r="B303" s="315" t="str">
        <f>IF((COUNTBLANK(G303)=0),Stats!$E$7,IF((COUNTBLANK(E303)=0),IF((COUNTBLANK(F303)=0),IF((COUNTBLANK(U303)=0),Stats!$E$6,Stats!$E$5),Stats!$E$4),""))</f>
        <v>Death</v>
      </c>
      <c r="C303" s="39" t="s">
        <v>62</v>
      </c>
      <c r="D303" s="315"/>
      <c r="E303" s="88">
        <v>43433</v>
      </c>
      <c r="F303" s="316">
        <v>43444</v>
      </c>
      <c r="G303" s="316">
        <v>36893</v>
      </c>
      <c r="H303" s="317" t="s">
        <v>3142</v>
      </c>
      <c r="I303" s="317"/>
      <c r="J303" s="317" t="s">
        <v>152</v>
      </c>
      <c r="K303" s="315" t="s">
        <v>3199</v>
      </c>
      <c r="L303" s="315" t="s">
        <v>3698</v>
      </c>
      <c r="M303" s="317"/>
      <c r="N303" s="320" t="s">
        <v>3662</v>
      </c>
      <c r="O303" s="317" t="s">
        <v>51</v>
      </c>
      <c r="P303" s="318">
        <v>-500</v>
      </c>
      <c r="Q303" s="318">
        <v>400</v>
      </c>
      <c r="R303" s="317" t="s">
        <v>3699</v>
      </c>
      <c r="S303" s="317"/>
      <c r="T303" s="317" t="s">
        <v>3531</v>
      </c>
      <c r="U303" s="317" t="s">
        <v>3700</v>
      </c>
      <c r="V303" s="317"/>
      <c r="W303" s="317"/>
      <c r="X303" s="317"/>
      <c r="Y303" s="319"/>
    </row>
    <row r="304" spans="1:25" s="91" customFormat="1" hidden="1" x14ac:dyDescent="0.25">
      <c r="A304" s="32" t="s">
        <v>983</v>
      </c>
      <c r="B304" s="315" t="str">
        <f>IF((COUNTBLANK(G304)=0),Stats!$E$7,IF((COUNTBLANK(E304)=0),IF((COUNTBLANK(F304)=0),IF((COUNTBLANK(U304)=0),Stats!$E$6,Stats!$E$5),Stats!$E$4),""))</f>
        <v>Death</v>
      </c>
      <c r="C304" s="39" t="s">
        <v>284</v>
      </c>
      <c r="D304" s="315"/>
      <c r="E304" s="88">
        <v>43433</v>
      </c>
      <c r="F304" s="316">
        <v>43444</v>
      </c>
      <c r="G304" s="316">
        <v>36893</v>
      </c>
      <c r="H304" s="317" t="s">
        <v>3142</v>
      </c>
      <c r="I304" s="317"/>
      <c r="J304" s="317" t="s">
        <v>152</v>
      </c>
      <c r="K304" s="315" t="s">
        <v>3199</v>
      </c>
      <c r="L304" s="315" t="s">
        <v>3698</v>
      </c>
      <c r="M304" s="317"/>
      <c r="N304" s="320" t="s">
        <v>3662</v>
      </c>
      <c r="O304" s="317" t="s">
        <v>51</v>
      </c>
      <c r="P304" s="318">
        <v>-500</v>
      </c>
      <c r="Q304" s="318">
        <v>300</v>
      </c>
      <c r="R304" s="317" t="s">
        <v>3699</v>
      </c>
      <c r="S304" s="317"/>
      <c r="T304" s="317" t="s">
        <v>3531</v>
      </c>
      <c r="U304" s="317" t="s">
        <v>3701</v>
      </c>
      <c r="V304" s="317"/>
      <c r="W304" s="317"/>
      <c r="X304" s="317"/>
      <c r="Y304" s="319"/>
    </row>
    <row r="305" spans="1:25" s="91" customFormat="1" hidden="1" x14ac:dyDescent="0.25">
      <c r="A305" s="32" t="s">
        <v>985</v>
      </c>
      <c r="B305" s="315" t="str">
        <f>IF((COUNTBLANK(G305)=0),Stats!$E$7,IF((COUNTBLANK(E305)=0),IF((COUNTBLANK(F305)=0),IF((COUNTBLANK(U305)=0),Stats!$E$6,Stats!$E$5),Stats!$E$4),""))</f>
        <v>Death</v>
      </c>
      <c r="C305" s="39" t="s">
        <v>284</v>
      </c>
      <c r="D305" s="315"/>
      <c r="E305" s="88">
        <v>43433</v>
      </c>
      <c r="F305" s="316">
        <v>43445</v>
      </c>
      <c r="G305" s="316">
        <v>36893</v>
      </c>
      <c r="H305" s="317" t="s">
        <v>3142</v>
      </c>
      <c r="I305" s="317"/>
      <c r="J305" s="317" t="s">
        <v>152</v>
      </c>
      <c r="K305" s="315" t="s">
        <v>3199</v>
      </c>
      <c r="L305" s="315" t="s">
        <v>3698</v>
      </c>
      <c r="M305" s="317"/>
      <c r="N305" s="320" t="s">
        <v>3662</v>
      </c>
      <c r="O305" s="317" t="s">
        <v>51</v>
      </c>
      <c r="P305" s="318">
        <v>-500</v>
      </c>
      <c r="Q305" s="318">
        <v>200</v>
      </c>
      <c r="R305" s="317"/>
      <c r="S305" s="317"/>
      <c r="T305" s="317"/>
      <c r="U305" s="317" t="s">
        <v>3494</v>
      </c>
      <c r="V305" s="317" t="s">
        <v>3702</v>
      </c>
      <c r="W305" s="317"/>
      <c r="X305" s="317"/>
      <c r="Y305" s="319"/>
    </row>
    <row r="306" spans="1:25" s="91" customFormat="1" hidden="1" x14ac:dyDescent="0.25">
      <c r="A306" s="32" t="s">
        <v>994</v>
      </c>
      <c r="B306" s="315" t="str">
        <f>IF((COUNTBLANK(G306)=0),Stats!$E$7,IF((COUNTBLANK(E306)=0),IF((COUNTBLANK(F306)=0),IF((COUNTBLANK(U306)=0),Stats!$E$6,Stats!$E$5),Stats!$E$4),""))</f>
        <v>Death</v>
      </c>
      <c r="C306" s="39" t="s">
        <v>3117</v>
      </c>
      <c r="D306" s="315"/>
      <c r="E306" s="88">
        <v>43446</v>
      </c>
      <c r="F306" s="88">
        <v>43452</v>
      </c>
      <c r="G306" s="316">
        <v>36893</v>
      </c>
      <c r="H306" s="317" t="s">
        <v>3128</v>
      </c>
      <c r="I306" s="49"/>
      <c r="J306" s="49" t="s">
        <v>152</v>
      </c>
      <c r="K306" s="58" t="s">
        <v>3216</v>
      </c>
      <c r="L306" s="58"/>
      <c r="M306" s="49"/>
      <c r="N306" s="62"/>
      <c r="O306" s="49" t="s">
        <v>51</v>
      </c>
      <c r="P306" s="67">
        <v>-500</v>
      </c>
      <c r="Q306" s="67">
        <v>400</v>
      </c>
      <c r="R306" s="49"/>
      <c r="S306" s="49"/>
      <c r="T306" s="49" t="s">
        <v>3703</v>
      </c>
      <c r="U306" s="49" t="s">
        <v>3704</v>
      </c>
      <c r="V306" s="49"/>
      <c r="W306" s="49"/>
      <c r="X306" s="49" t="s">
        <v>3594</v>
      </c>
      <c r="Y306" s="95"/>
    </row>
    <row r="307" spans="1:25" s="92" customFormat="1" hidden="1" x14ac:dyDescent="0.25">
      <c r="A307" s="32" t="s">
        <v>996</v>
      </c>
      <c r="B307" s="315" t="str">
        <f>IF((COUNTBLANK(G307)=0),Stats!$E$7,IF((COUNTBLANK(E307)=0),IF((COUNTBLANK(F307)=0),IF((COUNTBLANK(U307)=0),Stats!$E$6,Stats!$E$5),Stats!$E$4),""))</f>
        <v>Death</v>
      </c>
      <c r="C307" s="39" t="s">
        <v>3117</v>
      </c>
      <c r="D307" s="315"/>
      <c r="E307" s="88">
        <v>43446</v>
      </c>
      <c r="F307" s="316">
        <v>43472</v>
      </c>
      <c r="G307" s="316">
        <v>36893</v>
      </c>
      <c r="H307" s="317" t="s">
        <v>3128</v>
      </c>
      <c r="I307" s="317"/>
      <c r="J307" s="317" t="s">
        <v>152</v>
      </c>
      <c r="K307" s="315" t="s">
        <v>3216</v>
      </c>
      <c r="L307" s="315"/>
      <c r="M307" s="317"/>
      <c r="N307" s="320"/>
      <c r="O307" s="317" t="s">
        <v>51</v>
      </c>
      <c r="P307" s="318">
        <v>-500</v>
      </c>
      <c r="Q307" s="318">
        <v>400</v>
      </c>
      <c r="R307" s="317"/>
      <c r="S307" s="317"/>
      <c r="T307" s="317"/>
      <c r="U307" s="317" t="s">
        <v>3705</v>
      </c>
      <c r="V307" s="317"/>
      <c r="W307" s="317"/>
      <c r="X307" s="317"/>
      <c r="Y307" s="319"/>
    </row>
    <row r="308" spans="1:25" s="91" customFormat="1" hidden="1" x14ac:dyDescent="0.25">
      <c r="A308" s="32" t="s">
        <v>999</v>
      </c>
      <c r="B308" s="315" t="str">
        <f>IF((COUNTBLANK(G308)=0),Stats!$E$7,IF((COUNTBLANK(E308)=0),IF((COUNTBLANK(F308)=0),IF((COUNTBLANK(U308)=0),Stats!$E$6,Stats!$E$5),Stats!$E$4),""))</f>
        <v>Death</v>
      </c>
      <c r="C308" s="39" t="s">
        <v>3117</v>
      </c>
      <c r="D308" s="315"/>
      <c r="E308" s="88">
        <v>43446</v>
      </c>
      <c r="F308" s="316">
        <v>43452</v>
      </c>
      <c r="G308" s="316">
        <v>36893</v>
      </c>
      <c r="H308" s="317" t="s">
        <v>3128</v>
      </c>
      <c r="I308" s="317"/>
      <c r="J308" s="317" t="s">
        <v>152</v>
      </c>
      <c r="K308" s="58" t="s">
        <v>3216</v>
      </c>
      <c r="L308" s="315"/>
      <c r="M308" s="317"/>
      <c r="N308" s="320"/>
      <c r="O308" s="317" t="s">
        <v>51</v>
      </c>
      <c r="P308" s="318">
        <v>-500</v>
      </c>
      <c r="Q308" s="318">
        <v>400</v>
      </c>
      <c r="R308" s="317"/>
      <c r="S308" s="317"/>
      <c r="T308" s="317"/>
      <c r="U308" s="317" t="s">
        <v>3706</v>
      </c>
      <c r="V308" s="317"/>
      <c r="W308" s="317"/>
      <c r="X308" s="317" t="s">
        <v>3707</v>
      </c>
      <c r="Y308" s="319"/>
    </row>
    <row r="309" spans="1:25" s="91" customFormat="1" hidden="1" x14ac:dyDescent="0.25">
      <c r="A309" s="32" t="s">
        <v>1001</v>
      </c>
      <c r="B309" s="315" t="str">
        <f>IF((COUNTBLANK(G309)=0),Stats!$E$7,IF((COUNTBLANK(E309)=0),IF((COUNTBLANK(F309)=0),IF((COUNTBLANK(U309)=0),Stats!$E$6,Stats!$E$5),Stats!$E$4),""))</f>
        <v>Death</v>
      </c>
      <c r="C309" s="39" t="s">
        <v>3117</v>
      </c>
      <c r="D309" s="315"/>
      <c r="E309" s="88">
        <v>43449</v>
      </c>
      <c r="F309" s="88">
        <v>36892</v>
      </c>
      <c r="G309" s="316">
        <v>36893</v>
      </c>
      <c r="H309" s="317" t="s">
        <v>3140</v>
      </c>
      <c r="I309" s="49"/>
      <c r="J309" s="49" t="s">
        <v>152</v>
      </c>
      <c r="K309" s="315" t="s">
        <v>3216</v>
      </c>
      <c r="L309" s="58"/>
      <c r="M309" s="49"/>
      <c r="N309" s="62"/>
      <c r="O309" s="49" t="s">
        <v>51</v>
      </c>
      <c r="P309" s="67" t="s">
        <v>3708</v>
      </c>
      <c r="Q309" s="67" t="s">
        <v>3709</v>
      </c>
      <c r="R309" s="49"/>
      <c r="S309" s="49"/>
      <c r="T309" s="49"/>
      <c r="U309" s="49"/>
      <c r="V309" s="49"/>
      <c r="W309" s="49"/>
      <c r="X309" s="49" t="s">
        <v>3710</v>
      </c>
      <c r="Y309" s="95"/>
    </row>
    <row r="310" spans="1:25" s="92" customFormat="1" hidden="1" x14ac:dyDescent="0.25">
      <c r="A310" s="32" t="s">
        <v>1004</v>
      </c>
      <c r="B310" s="315" t="str">
        <f>IF((COUNTBLANK(G310)=0),Stats!$E$7,IF((COUNTBLANK(E310)=0),IF((COUNTBLANK(F310)=0),IF((COUNTBLANK(U310)=0),Stats!$E$6,Stats!$E$5),Stats!$E$4),""))</f>
        <v>Death</v>
      </c>
      <c r="C310" s="39" t="s">
        <v>3117</v>
      </c>
      <c r="D310" s="315"/>
      <c r="E310" s="88">
        <v>43449</v>
      </c>
      <c r="F310" s="316">
        <v>43452</v>
      </c>
      <c r="G310" s="316">
        <v>36893</v>
      </c>
      <c r="H310" s="317" t="s">
        <v>3140</v>
      </c>
      <c r="I310" s="317"/>
      <c r="J310" s="317" t="s">
        <v>152</v>
      </c>
      <c r="K310" s="58" t="s">
        <v>3216</v>
      </c>
      <c r="L310" s="315"/>
      <c r="M310" s="317"/>
      <c r="N310" s="320"/>
      <c r="O310" s="317" t="s">
        <v>51</v>
      </c>
      <c r="P310" s="318" t="s">
        <v>3708</v>
      </c>
      <c r="Q310" s="318" t="s">
        <v>3709</v>
      </c>
      <c r="R310" s="317"/>
      <c r="S310" s="317"/>
      <c r="T310" s="317" t="s">
        <v>3531</v>
      </c>
      <c r="U310" s="317" t="s">
        <v>3711</v>
      </c>
      <c r="V310" s="317"/>
      <c r="W310" s="317"/>
      <c r="X310" s="317" t="s">
        <v>3712</v>
      </c>
      <c r="Y310" s="319"/>
    </row>
    <row r="311" spans="1:25" s="91" customFormat="1" hidden="1" x14ac:dyDescent="0.25">
      <c r="A311" s="32" t="s">
        <v>1006</v>
      </c>
      <c r="B311" s="315" t="str">
        <f>IF((COUNTBLANK(G311)=0),Stats!$E$7,IF((COUNTBLANK(E311)=0),IF((COUNTBLANK(F311)=0),IF((COUNTBLANK(U311)=0),Stats!$E$6,Stats!$E$5),Stats!$E$4),""))</f>
        <v>Death</v>
      </c>
      <c r="C311" s="39" t="s">
        <v>62</v>
      </c>
      <c r="D311" s="315"/>
      <c r="E311" s="88">
        <v>43449</v>
      </c>
      <c r="F311" s="316">
        <v>43453</v>
      </c>
      <c r="G311" s="316">
        <v>36893</v>
      </c>
      <c r="H311" s="317" t="s">
        <v>3140</v>
      </c>
      <c r="I311" s="317"/>
      <c r="J311" s="317" t="s">
        <v>152</v>
      </c>
      <c r="K311" s="315" t="s">
        <v>3216</v>
      </c>
      <c r="L311" s="315"/>
      <c r="M311" s="317"/>
      <c r="N311" s="320"/>
      <c r="O311" s="317" t="s">
        <v>51</v>
      </c>
      <c r="P311" s="318" t="s">
        <v>3708</v>
      </c>
      <c r="Q311" s="318" t="s">
        <v>3709</v>
      </c>
      <c r="R311" s="317" t="s">
        <v>3713</v>
      </c>
      <c r="S311" s="317"/>
      <c r="T311" s="317"/>
      <c r="U311" s="317" t="s">
        <v>3714</v>
      </c>
      <c r="V311" s="317"/>
      <c r="W311" s="317"/>
      <c r="X311" s="317" t="s">
        <v>3715</v>
      </c>
      <c r="Y311" s="319"/>
    </row>
    <row r="312" spans="1:25" s="91" customFormat="1" hidden="1" x14ac:dyDescent="0.25">
      <c r="A312" s="32" t="s">
        <v>1008</v>
      </c>
      <c r="B312" s="315" t="str">
        <f>IF((COUNTBLANK(G312)=0),Stats!$E$7,IF((COUNTBLANK(E312)=0),IF((COUNTBLANK(F312)=0),IF((COUNTBLANK(U312)=0),Stats!$E$6,Stats!$E$5),Stats!$E$4),""))</f>
        <v>Death</v>
      </c>
      <c r="C312" s="39" t="s">
        <v>3117</v>
      </c>
      <c r="D312" s="315"/>
      <c r="E312" s="88">
        <v>43449</v>
      </c>
      <c r="F312" s="316">
        <v>43453</v>
      </c>
      <c r="G312" s="316">
        <v>36893</v>
      </c>
      <c r="H312" s="317" t="s">
        <v>3140</v>
      </c>
      <c r="I312" s="317"/>
      <c r="J312" s="317" t="s">
        <v>152</v>
      </c>
      <c r="K312" s="58" t="s">
        <v>3216</v>
      </c>
      <c r="L312" s="315"/>
      <c r="M312" s="317"/>
      <c r="N312" s="320"/>
      <c r="O312" s="317" t="s">
        <v>51</v>
      </c>
      <c r="P312" s="318" t="s">
        <v>3708</v>
      </c>
      <c r="Q312" s="318" t="s">
        <v>3709</v>
      </c>
      <c r="R312" s="317"/>
      <c r="S312" s="317"/>
      <c r="T312" s="317"/>
      <c r="U312" s="317" t="s">
        <v>3705</v>
      </c>
      <c r="V312" s="317"/>
      <c r="W312" s="317"/>
      <c r="X312" s="317" t="s">
        <v>3624</v>
      </c>
      <c r="Y312" s="319"/>
    </row>
    <row r="313" spans="1:25" s="91" customFormat="1" hidden="1" x14ac:dyDescent="0.25">
      <c r="A313" s="32" t="s">
        <v>1010</v>
      </c>
      <c r="B313" s="315" t="str">
        <f>IF((COUNTBLANK(G313)=0),Stats!$E$7,IF((COUNTBLANK(E313)=0),IF((COUNTBLANK(F313)=0),IF((COUNTBLANK(U313)=0),Stats!$E$6,Stats!$E$5),Stats!$E$4),""))</f>
        <v>Death</v>
      </c>
      <c r="C313" s="39" t="s">
        <v>3117</v>
      </c>
      <c r="D313" s="315"/>
      <c r="E313" s="88">
        <v>43449</v>
      </c>
      <c r="F313" s="316">
        <v>43453</v>
      </c>
      <c r="G313" s="316">
        <v>36893</v>
      </c>
      <c r="H313" s="317" t="s">
        <v>3140</v>
      </c>
      <c r="I313" s="317"/>
      <c r="J313" s="317" t="s">
        <v>152</v>
      </c>
      <c r="K313" s="315" t="s">
        <v>3216</v>
      </c>
      <c r="L313" s="315"/>
      <c r="M313" s="317"/>
      <c r="N313" s="320"/>
      <c r="O313" s="317" t="s">
        <v>51</v>
      </c>
      <c r="P313" s="318" t="s">
        <v>3708</v>
      </c>
      <c r="Q313" s="318" t="s">
        <v>3709</v>
      </c>
      <c r="R313" s="317"/>
      <c r="S313" s="317"/>
      <c r="T313" s="317"/>
      <c r="U313" s="317" t="s">
        <v>3716</v>
      </c>
      <c r="V313" s="317"/>
      <c r="W313" s="317"/>
      <c r="X313" s="317" t="s">
        <v>3624</v>
      </c>
      <c r="Y313" s="319"/>
    </row>
    <row r="314" spans="1:25" s="91" customFormat="1" hidden="1" x14ac:dyDescent="0.25">
      <c r="A314" s="32" t="s">
        <v>1012</v>
      </c>
      <c r="B314" s="315" t="str">
        <f>IF((COUNTBLANK(G314)=0),Stats!$E$7,IF((COUNTBLANK(E314)=0),IF((COUNTBLANK(F314)=0),IF((COUNTBLANK(U314)=0),Stats!$E$6,Stats!$E$5),Stats!$E$4),""))</f>
        <v>Death</v>
      </c>
      <c r="C314" s="39" t="s">
        <v>3117</v>
      </c>
      <c r="D314" s="315"/>
      <c r="E314" s="88">
        <v>43452</v>
      </c>
      <c r="F314" s="316">
        <v>43472</v>
      </c>
      <c r="G314" s="316">
        <v>36893</v>
      </c>
      <c r="H314" s="317" t="s">
        <v>3148</v>
      </c>
      <c r="I314" s="317"/>
      <c r="J314" s="317" t="s">
        <v>152</v>
      </c>
      <c r="K314" s="315" t="s">
        <v>3199</v>
      </c>
      <c r="L314" s="315"/>
      <c r="M314" s="317"/>
      <c r="N314" s="320"/>
      <c r="O314" s="317" t="s">
        <v>51</v>
      </c>
      <c r="P314" s="318" t="s">
        <v>3717</v>
      </c>
      <c r="Q314" s="318" t="s">
        <v>3718</v>
      </c>
      <c r="R314" s="317"/>
      <c r="S314" s="317"/>
      <c r="T314" s="317" t="s">
        <v>3719</v>
      </c>
      <c r="U314" s="317" t="s">
        <v>3720</v>
      </c>
      <c r="V314" s="317" t="s">
        <v>3721</v>
      </c>
      <c r="W314" s="317"/>
      <c r="X314" s="317"/>
      <c r="Y314" s="319"/>
    </row>
    <row r="315" spans="1:25" s="91" customFormat="1" hidden="1" x14ac:dyDescent="0.25">
      <c r="A315" s="32" t="s">
        <v>1015</v>
      </c>
      <c r="B315" s="315" t="str">
        <f>IF((COUNTBLANK(G315)=0),Stats!$E$7,IF((COUNTBLANK(E315)=0),IF((COUNTBLANK(F315)=0),IF((COUNTBLANK(U315)=0),Stats!$E$6,Stats!$E$5),Stats!$E$4),""))</f>
        <v>Death</v>
      </c>
      <c r="C315" s="39" t="s">
        <v>3117</v>
      </c>
      <c r="D315" s="315"/>
      <c r="E315" s="88">
        <v>43452</v>
      </c>
      <c r="F315" s="316">
        <v>43472</v>
      </c>
      <c r="G315" s="316">
        <v>36893</v>
      </c>
      <c r="H315" s="317" t="s">
        <v>3148</v>
      </c>
      <c r="I315" s="317"/>
      <c r="J315" s="317" t="s">
        <v>152</v>
      </c>
      <c r="K315" s="315" t="s">
        <v>3199</v>
      </c>
      <c r="L315" s="315"/>
      <c r="M315" s="317"/>
      <c r="N315" s="320"/>
      <c r="O315" s="317" t="s">
        <v>51</v>
      </c>
      <c r="P315" s="318" t="s">
        <v>3717</v>
      </c>
      <c r="Q315" s="318" t="s">
        <v>3718</v>
      </c>
      <c r="R315" s="317"/>
      <c r="S315" s="317"/>
      <c r="T315" s="317"/>
      <c r="U315" s="317" t="s">
        <v>3722</v>
      </c>
      <c r="V315" s="317"/>
      <c r="W315" s="317"/>
      <c r="X315" s="317" t="s">
        <v>3723</v>
      </c>
      <c r="Y315" s="319"/>
    </row>
    <row r="316" spans="1:25" s="91" customFormat="1" hidden="1" x14ac:dyDescent="0.25">
      <c r="A316" s="32" t="s">
        <v>1017</v>
      </c>
      <c r="B316" s="315" t="str">
        <f>IF((COUNTBLANK(G316)=0),Stats!$E$7,IF((COUNTBLANK(E316)=0),IF((COUNTBLANK(F316)=0),IF((COUNTBLANK(U316)=0),Stats!$E$6,Stats!$E$5),Stats!$E$4),""))</f>
        <v>Death</v>
      </c>
      <c r="C316" s="39" t="s">
        <v>3117</v>
      </c>
      <c r="D316" s="315"/>
      <c r="E316" s="88">
        <v>43453</v>
      </c>
      <c r="F316" s="316">
        <v>43473</v>
      </c>
      <c r="G316" s="316">
        <v>36893</v>
      </c>
      <c r="H316" s="317" t="s">
        <v>3128</v>
      </c>
      <c r="I316" s="317"/>
      <c r="J316" s="317" t="s">
        <v>152</v>
      </c>
      <c r="K316" s="315" t="s">
        <v>3199</v>
      </c>
      <c r="L316" s="315"/>
      <c r="M316" s="317"/>
      <c r="N316" s="320"/>
      <c r="O316" s="317" t="s">
        <v>51</v>
      </c>
      <c r="P316" s="318" t="s">
        <v>3663</v>
      </c>
      <c r="Q316" s="318" t="s">
        <v>3654</v>
      </c>
      <c r="R316" s="317"/>
      <c r="S316" s="317"/>
      <c r="T316" s="317" t="s">
        <v>3531</v>
      </c>
      <c r="U316" s="317" t="s">
        <v>3724</v>
      </c>
      <c r="V316" s="317"/>
      <c r="W316" s="317"/>
      <c r="X316" s="317" t="s">
        <v>3725</v>
      </c>
      <c r="Y316" s="319"/>
    </row>
    <row r="317" spans="1:25" s="91" customFormat="1" hidden="1" x14ac:dyDescent="0.25">
      <c r="A317" s="32" t="s">
        <v>1019</v>
      </c>
      <c r="B317" s="315" t="str">
        <f>IF((COUNTBLANK(G317)=0),Stats!$E$7,IF((COUNTBLANK(E317)=0),IF((COUNTBLANK(F317)=0),IF((COUNTBLANK(U317)=0),Stats!$E$6,Stats!$E$5),Stats!$E$4),""))</f>
        <v>Death</v>
      </c>
      <c r="C317" s="39" t="s">
        <v>3117</v>
      </c>
      <c r="D317" s="315"/>
      <c r="E317" s="88">
        <v>43453</v>
      </c>
      <c r="F317" s="316">
        <v>43473</v>
      </c>
      <c r="G317" s="316">
        <v>36893</v>
      </c>
      <c r="H317" s="317" t="s">
        <v>3128</v>
      </c>
      <c r="I317" s="317"/>
      <c r="J317" s="317" t="s">
        <v>152</v>
      </c>
      <c r="K317" s="315" t="s">
        <v>3199</v>
      </c>
      <c r="L317" s="315"/>
      <c r="M317" s="317"/>
      <c r="N317" s="320"/>
      <c r="O317" s="317" t="s">
        <v>51</v>
      </c>
      <c r="P317" s="318" t="s">
        <v>3663</v>
      </c>
      <c r="Q317" s="318" t="s">
        <v>3654</v>
      </c>
      <c r="R317" s="317"/>
      <c r="S317" s="317"/>
      <c r="T317" s="317" t="s">
        <v>3531</v>
      </c>
      <c r="U317" s="317" t="s">
        <v>3724</v>
      </c>
      <c r="V317" s="317"/>
      <c r="W317" s="317"/>
      <c r="X317" s="317"/>
      <c r="Y317" s="319"/>
    </row>
    <row r="318" spans="1:25" s="91" customFormat="1" hidden="1" x14ac:dyDescent="0.25">
      <c r="A318" s="32" t="s">
        <v>1021</v>
      </c>
      <c r="B318" s="315" t="str">
        <f>IF((COUNTBLANK(G318)=0),Stats!$E$7,IF((COUNTBLANK(E318)=0),IF((COUNTBLANK(F318)=0),IF((COUNTBLANK(U318)=0),Stats!$E$6,Stats!$E$5),Stats!$E$4),""))</f>
        <v>Death</v>
      </c>
      <c r="C318" s="39" t="s">
        <v>62</v>
      </c>
      <c r="D318" s="315"/>
      <c r="E318" s="88">
        <v>43453</v>
      </c>
      <c r="F318" s="316">
        <v>43473</v>
      </c>
      <c r="G318" s="316">
        <v>36893</v>
      </c>
      <c r="H318" s="317" t="s">
        <v>3128</v>
      </c>
      <c r="I318" s="317"/>
      <c r="J318" s="317" t="s">
        <v>152</v>
      </c>
      <c r="K318" s="315" t="s">
        <v>3199</v>
      </c>
      <c r="L318" s="315"/>
      <c r="M318" s="317"/>
      <c r="N318" s="320"/>
      <c r="O318" s="317" t="s">
        <v>51</v>
      </c>
      <c r="P318" s="318" t="s">
        <v>3663</v>
      </c>
      <c r="Q318" s="318" t="s">
        <v>3654</v>
      </c>
      <c r="R318" s="317"/>
      <c r="S318" s="317"/>
      <c r="T318" s="317"/>
      <c r="U318" s="317" t="s">
        <v>3724</v>
      </c>
      <c r="V318" s="317"/>
      <c r="W318" s="317"/>
      <c r="X318" s="317" t="s">
        <v>3726</v>
      </c>
      <c r="Y318" s="319"/>
    </row>
    <row r="319" spans="1:25" s="91" customFormat="1" hidden="1" x14ac:dyDescent="0.25">
      <c r="A319" s="32" t="s">
        <v>1024</v>
      </c>
      <c r="B319" s="315" t="str">
        <f>IF((COUNTBLANK(G319)=0),Stats!$E$7,IF((COUNTBLANK(E319)=0),IF((COUNTBLANK(F319)=0),IF((COUNTBLANK(U319)=0),Stats!$E$6,Stats!$E$5),Stats!$E$4),""))</f>
        <v>Death</v>
      </c>
      <c r="C319" s="39" t="s">
        <v>284</v>
      </c>
      <c r="D319" s="315"/>
      <c r="E319" s="88">
        <v>43454</v>
      </c>
      <c r="F319" s="316">
        <v>43474</v>
      </c>
      <c r="G319" s="316">
        <v>36893</v>
      </c>
      <c r="H319" s="317" t="s">
        <v>3142</v>
      </c>
      <c r="I319" s="317"/>
      <c r="J319" s="317" t="s">
        <v>152</v>
      </c>
      <c r="K319" s="315" t="s">
        <v>3199</v>
      </c>
      <c r="L319" s="315" t="s">
        <v>3698</v>
      </c>
      <c r="M319" s="317" t="s">
        <v>3093</v>
      </c>
      <c r="N319" s="320" t="s">
        <v>3727</v>
      </c>
      <c r="O319" s="317" t="s">
        <v>51</v>
      </c>
      <c r="P319" s="318" t="s">
        <v>3728</v>
      </c>
      <c r="Q319" s="318">
        <v>400</v>
      </c>
      <c r="R319" s="317" t="s">
        <v>3729</v>
      </c>
      <c r="S319" s="317"/>
      <c r="T319" s="317" t="s">
        <v>3730</v>
      </c>
      <c r="U319" s="317" t="s">
        <v>3731</v>
      </c>
      <c r="V319" s="317" t="s">
        <v>3732</v>
      </c>
      <c r="W319" s="317"/>
      <c r="X319" s="317" t="s">
        <v>3733</v>
      </c>
      <c r="Y319" s="319"/>
    </row>
    <row r="320" spans="1:25" s="91" customFormat="1" hidden="1" x14ac:dyDescent="0.25">
      <c r="A320" s="32" t="s">
        <v>1026</v>
      </c>
      <c r="B320" s="315" t="str">
        <f>IF((COUNTBLANK(G320)=0),Stats!$E$7,IF((COUNTBLANK(E320)=0),IF((COUNTBLANK(F320)=0),IF((COUNTBLANK(U320)=0),Stats!$E$6,Stats!$E$5),Stats!$E$4),""))</f>
        <v>Death</v>
      </c>
      <c r="C320" s="39" t="s">
        <v>284</v>
      </c>
      <c r="D320" s="315"/>
      <c r="E320" s="88">
        <v>43454</v>
      </c>
      <c r="F320" s="316">
        <v>43474</v>
      </c>
      <c r="G320" s="316">
        <v>36893</v>
      </c>
      <c r="H320" s="317" t="s">
        <v>3142</v>
      </c>
      <c r="I320" s="317"/>
      <c r="J320" s="317" t="s">
        <v>152</v>
      </c>
      <c r="K320" s="315" t="s">
        <v>3199</v>
      </c>
      <c r="L320" s="315" t="s">
        <v>3698</v>
      </c>
      <c r="M320" s="317" t="s">
        <v>3093</v>
      </c>
      <c r="N320" s="320" t="s">
        <v>3727</v>
      </c>
      <c r="O320" s="317" t="s">
        <v>51</v>
      </c>
      <c r="P320" s="318" t="s">
        <v>3728</v>
      </c>
      <c r="Q320" s="318">
        <v>240</v>
      </c>
      <c r="R320" s="317"/>
      <c r="S320" s="317"/>
      <c r="T320" s="317"/>
      <c r="U320" s="317" t="s">
        <v>3731</v>
      </c>
      <c r="V320" s="317" t="s">
        <v>3732</v>
      </c>
      <c r="W320" s="317"/>
      <c r="X320" s="317"/>
      <c r="Y320" s="319"/>
    </row>
    <row r="321" spans="1:25" s="91" customFormat="1" hidden="1" x14ac:dyDescent="0.25">
      <c r="A321" s="32" t="s">
        <v>1028</v>
      </c>
      <c r="B321" s="315" t="str">
        <f>IF((COUNTBLANK(G321)=0),Stats!$E$7,IF((COUNTBLANK(E321)=0),IF((COUNTBLANK(F321)=0),IF((COUNTBLANK(U321)=0),Stats!$E$6,Stats!$E$5),Stats!$E$4),""))</f>
        <v>Death</v>
      </c>
      <c r="C321" s="39" t="s">
        <v>62</v>
      </c>
      <c r="D321" s="315"/>
      <c r="E321" s="88">
        <v>43473</v>
      </c>
      <c r="F321" s="316">
        <v>43486</v>
      </c>
      <c r="G321" s="316">
        <v>36893</v>
      </c>
      <c r="H321" s="317" t="s">
        <v>3128</v>
      </c>
      <c r="I321" s="317"/>
      <c r="J321" s="317" t="s">
        <v>152</v>
      </c>
      <c r="K321" s="315" t="s">
        <v>3216</v>
      </c>
      <c r="L321" s="315" t="s">
        <v>3554</v>
      </c>
      <c r="M321" s="317"/>
      <c r="N321" s="320" t="s">
        <v>3273</v>
      </c>
      <c r="O321" s="317" t="s">
        <v>51</v>
      </c>
      <c r="P321" s="318" t="s">
        <v>3708</v>
      </c>
      <c r="Q321" s="318" t="s">
        <v>3734</v>
      </c>
      <c r="R321" s="317"/>
      <c r="S321" s="317"/>
      <c r="T321" s="317" t="s">
        <v>3636</v>
      </c>
      <c r="U321" s="317" t="s">
        <v>3731</v>
      </c>
      <c r="V321" s="317"/>
      <c r="W321" s="317"/>
      <c r="X321" s="317" t="s">
        <v>3735</v>
      </c>
      <c r="Y321" s="319"/>
    </row>
    <row r="322" spans="1:25" s="91" customFormat="1" hidden="1" x14ac:dyDescent="0.25">
      <c r="A322" s="32" t="s">
        <v>1030</v>
      </c>
      <c r="B322" s="315" t="str">
        <f>IF((COUNTBLANK(G322)=0),Stats!$E$7,IF((COUNTBLANK(E322)=0),IF((COUNTBLANK(F322)=0),IF((COUNTBLANK(U322)=0),Stats!$E$6,Stats!$E$5),Stats!$E$4),""))</f>
        <v>Death</v>
      </c>
      <c r="C322" s="39" t="s">
        <v>284</v>
      </c>
      <c r="D322" s="315"/>
      <c r="E322" s="88">
        <v>43473</v>
      </c>
      <c r="F322" s="88">
        <v>36892</v>
      </c>
      <c r="G322" s="316">
        <v>36893</v>
      </c>
      <c r="H322" s="317" t="s">
        <v>3128</v>
      </c>
      <c r="I322" s="49"/>
      <c r="J322" s="49" t="s">
        <v>152</v>
      </c>
      <c r="K322" s="315" t="s">
        <v>3216</v>
      </c>
      <c r="L322" s="315" t="s">
        <v>3554</v>
      </c>
      <c r="M322" s="317"/>
      <c r="N322" s="320" t="s">
        <v>3273</v>
      </c>
      <c r="O322" s="49" t="s">
        <v>51</v>
      </c>
      <c r="P322" s="67" t="s">
        <v>3708</v>
      </c>
      <c r="Q322" s="67" t="s">
        <v>3734</v>
      </c>
      <c r="R322" s="49"/>
      <c r="S322" s="49"/>
      <c r="T322" s="49"/>
      <c r="U322" s="49"/>
      <c r="V322" s="49"/>
      <c r="W322" s="49"/>
      <c r="X322" s="49" t="s">
        <v>3736</v>
      </c>
      <c r="Y322" s="95"/>
    </row>
    <row r="323" spans="1:25" s="92" customFormat="1" hidden="1" x14ac:dyDescent="0.25">
      <c r="A323" s="32" t="s">
        <v>1033</v>
      </c>
      <c r="B323" s="315" t="str">
        <f>IF((COUNTBLANK(G323)=0),Stats!$E$7,IF((COUNTBLANK(E323)=0),IF((COUNTBLANK(F323)=0),IF((COUNTBLANK(U323)=0),Stats!$E$6,Stats!$E$5),Stats!$E$4),""))</f>
        <v>Death</v>
      </c>
      <c r="C323" s="39" t="s">
        <v>284</v>
      </c>
      <c r="D323" s="315"/>
      <c r="E323" s="88">
        <v>43479</v>
      </c>
      <c r="F323" s="316">
        <v>43486</v>
      </c>
      <c r="G323" s="316">
        <v>36893</v>
      </c>
      <c r="H323" s="317" t="s">
        <v>3128</v>
      </c>
      <c r="I323" s="317"/>
      <c r="J323" s="317" t="s">
        <v>152</v>
      </c>
      <c r="K323" s="315" t="s">
        <v>3216</v>
      </c>
      <c r="L323" s="315" t="s">
        <v>3554</v>
      </c>
      <c r="M323" s="317"/>
      <c r="N323" s="320" t="s">
        <v>3273</v>
      </c>
      <c r="O323" s="317" t="s">
        <v>51</v>
      </c>
      <c r="P323" s="318">
        <v>-500</v>
      </c>
      <c r="Q323" s="318">
        <v>400</v>
      </c>
      <c r="R323" s="317"/>
      <c r="S323" s="317"/>
      <c r="T323" s="317"/>
      <c r="U323" s="317"/>
      <c r="V323" s="317"/>
      <c r="W323" s="317"/>
      <c r="X323" s="317"/>
      <c r="Y323" s="319"/>
    </row>
    <row r="324" spans="1:25" s="91" customFormat="1" hidden="1" x14ac:dyDescent="0.25">
      <c r="A324" s="32" t="s">
        <v>1037</v>
      </c>
      <c r="B324" s="315" t="str">
        <f>IF((COUNTBLANK(G324)=0),Stats!$E$7,IF((COUNTBLANK(E324)=0),IF((COUNTBLANK(F324)=0),IF((COUNTBLANK(U324)=0),Stats!$E$6,Stats!$E$5),Stats!$E$4),""))</f>
        <v>Death</v>
      </c>
      <c r="C324" s="39" t="s">
        <v>284</v>
      </c>
      <c r="D324" s="315"/>
      <c r="E324" s="88">
        <v>43479</v>
      </c>
      <c r="F324" s="316">
        <v>43486</v>
      </c>
      <c r="G324" s="316">
        <v>36893</v>
      </c>
      <c r="H324" s="317" t="s">
        <v>3128</v>
      </c>
      <c r="I324" s="317"/>
      <c r="J324" s="317" t="s">
        <v>152</v>
      </c>
      <c r="K324" s="315" t="s">
        <v>3216</v>
      </c>
      <c r="L324" s="315" t="s">
        <v>3554</v>
      </c>
      <c r="M324" s="317"/>
      <c r="N324" s="320" t="s">
        <v>3273</v>
      </c>
      <c r="O324" s="317" t="s">
        <v>51</v>
      </c>
      <c r="P324" s="318">
        <v>-500</v>
      </c>
      <c r="Q324" s="318">
        <v>400</v>
      </c>
      <c r="R324" s="317"/>
      <c r="S324" s="317"/>
      <c r="T324" s="317"/>
      <c r="U324" s="317" t="s">
        <v>3737</v>
      </c>
      <c r="V324" s="317" t="s">
        <v>3738</v>
      </c>
      <c r="W324" s="317"/>
      <c r="X324" s="317" t="s">
        <v>3594</v>
      </c>
      <c r="Y324" s="319"/>
    </row>
    <row r="325" spans="1:25" s="91" customFormat="1" hidden="1" x14ac:dyDescent="0.25">
      <c r="A325" s="32" t="s">
        <v>1039</v>
      </c>
      <c r="B325" s="315" t="str">
        <f>IF((COUNTBLANK(G325)=0),Stats!$E$7,IF((COUNTBLANK(E325)=0),IF((COUNTBLANK(F325)=0),IF((COUNTBLANK(U325)=0),Stats!$E$6,Stats!$E$5),Stats!$E$4),""))</f>
        <v>Death</v>
      </c>
      <c r="C325" s="39" t="s">
        <v>284</v>
      </c>
      <c r="D325" s="315"/>
      <c r="E325" s="88">
        <v>43486</v>
      </c>
      <c r="F325" s="316">
        <v>43493</v>
      </c>
      <c r="G325" s="316">
        <v>36893</v>
      </c>
      <c r="H325" s="317" t="s">
        <v>3148</v>
      </c>
      <c r="I325" s="317"/>
      <c r="J325" s="317" t="s">
        <v>152</v>
      </c>
      <c r="K325" s="315" t="s">
        <v>3216</v>
      </c>
      <c r="L325" s="315" t="s">
        <v>3554</v>
      </c>
      <c r="M325" s="317"/>
      <c r="N325" s="320" t="s">
        <v>3273</v>
      </c>
      <c r="O325" s="317" t="s">
        <v>51</v>
      </c>
      <c r="P325" s="318">
        <v>-350</v>
      </c>
      <c r="Q325" s="318">
        <v>250</v>
      </c>
      <c r="R325" s="317"/>
      <c r="S325" s="317"/>
      <c r="T325" s="317" t="s">
        <v>3739</v>
      </c>
      <c r="U325" s="317" t="s">
        <v>3740</v>
      </c>
      <c r="V325" s="317"/>
      <c r="W325" s="317"/>
      <c r="X325" s="317"/>
      <c r="Y325" s="319"/>
    </row>
    <row r="326" spans="1:25" s="91" customFormat="1" hidden="1" x14ac:dyDescent="0.25">
      <c r="A326" s="32" t="s">
        <v>1041</v>
      </c>
      <c r="B326" s="315" t="str">
        <f>IF((COUNTBLANK(G326)=0),Stats!$E$7,IF((COUNTBLANK(E326)=0),IF((COUNTBLANK(F326)=0),IF((COUNTBLANK(U326)=0),Stats!$E$6,Stats!$E$5),Stats!$E$4),""))</f>
        <v>Death</v>
      </c>
      <c r="C326" s="39" t="s">
        <v>284</v>
      </c>
      <c r="D326" s="315"/>
      <c r="E326" s="88">
        <v>43486</v>
      </c>
      <c r="F326" s="316">
        <v>43493</v>
      </c>
      <c r="G326" s="316">
        <v>36893</v>
      </c>
      <c r="H326" s="317" t="s">
        <v>3148</v>
      </c>
      <c r="I326" s="317"/>
      <c r="J326" s="317" t="s">
        <v>152</v>
      </c>
      <c r="K326" s="315" t="s">
        <v>3216</v>
      </c>
      <c r="L326" s="315" t="s">
        <v>3554</v>
      </c>
      <c r="M326" s="317"/>
      <c r="N326" s="320" t="s">
        <v>3273</v>
      </c>
      <c r="O326" s="317" t="s">
        <v>51</v>
      </c>
      <c r="P326" s="318">
        <v>-350</v>
      </c>
      <c r="Q326" s="318">
        <v>250</v>
      </c>
      <c r="R326" s="317"/>
      <c r="S326" s="317"/>
      <c r="T326" s="317"/>
      <c r="U326" s="317" t="s">
        <v>3741</v>
      </c>
      <c r="V326" s="317" t="s">
        <v>3742</v>
      </c>
      <c r="W326" s="317"/>
      <c r="X326" s="317" t="s">
        <v>3407</v>
      </c>
      <c r="Y326" s="319"/>
    </row>
    <row r="327" spans="1:25" s="91" customFormat="1" hidden="1" x14ac:dyDescent="0.25">
      <c r="A327" s="32" t="s">
        <v>1044</v>
      </c>
      <c r="B327" s="315" t="str">
        <f>IF((COUNTBLANK(G327)=0),Stats!$E$7,IF((COUNTBLANK(E327)=0),IF((COUNTBLANK(F327)=0),IF((COUNTBLANK(U327)=0),Stats!$E$6,Stats!$E$5),Stats!$E$4),""))</f>
        <v>Death</v>
      </c>
      <c r="C327" s="39" t="s">
        <v>284</v>
      </c>
      <c r="D327" s="315"/>
      <c r="E327" s="88">
        <v>43486</v>
      </c>
      <c r="F327" s="316">
        <v>43493</v>
      </c>
      <c r="G327" s="316">
        <v>36893</v>
      </c>
      <c r="H327" s="317" t="s">
        <v>3148</v>
      </c>
      <c r="I327" s="317"/>
      <c r="J327" s="317" t="s">
        <v>152</v>
      </c>
      <c r="K327" s="315" t="s">
        <v>3216</v>
      </c>
      <c r="L327" s="315" t="s">
        <v>3554</v>
      </c>
      <c r="M327" s="317"/>
      <c r="N327" s="320" t="s">
        <v>3273</v>
      </c>
      <c r="O327" s="317" t="s">
        <v>51</v>
      </c>
      <c r="P327" s="318">
        <v>-350</v>
      </c>
      <c r="Q327" s="318">
        <v>250</v>
      </c>
      <c r="R327" s="317" t="s">
        <v>3743</v>
      </c>
      <c r="S327" s="317"/>
      <c r="T327" s="317"/>
      <c r="U327" s="317"/>
      <c r="V327" s="317"/>
      <c r="W327" s="317"/>
      <c r="X327" s="317" t="s">
        <v>3744</v>
      </c>
      <c r="Y327" s="319"/>
    </row>
    <row r="328" spans="1:25" s="91" customFormat="1" hidden="1" x14ac:dyDescent="0.25">
      <c r="A328" s="32" t="s">
        <v>1046</v>
      </c>
      <c r="B328" s="315" t="str">
        <f>IF((COUNTBLANK(G328)=0),Stats!$E$7,IF((COUNTBLANK(E328)=0),IF((COUNTBLANK(F328)=0),IF((COUNTBLANK(U328)=0),Stats!$E$6,Stats!$E$5),Stats!$E$4),""))</f>
        <v>Death</v>
      </c>
      <c r="C328" s="39" t="s">
        <v>284</v>
      </c>
      <c r="D328" s="315"/>
      <c r="E328" s="88">
        <v>43488</v>
      </c>
      <c r="F328" s="316">
        <v>43495</v>
      </c>
      <c r="G328" s="316">
        <v>36893</v>
      </c>
      <c r="H328" s="317" t="s">
        <v>3142</v>
      </c>
      <c r="I328" s="317"/>
      <c r="J328" s="317" t="s">
        <v>152</v>
      </c>
      <c r="K328" s="315" t="s">
        <v>3698</v>
      </c>
      <c r="L328" s="315"/>
      <c r="M328" s="317"/>
      <c r="N328" s="320"/>
      <c r="O328" s="317" t="s">
        <v>51</v>
      </c>
      <c r="P328" s="318" t="s">
        <v>3728</v>
      </c>
      <c r="Q328" s="318">
        <v>400</v>
      </c>
      <c r="R328" s="317"/>
      <c r="S328" s="317"/>
      <c r="T328" s="317" t="s">
        <v>3531</v>
      </c>
      <c r="U328" s="317" t="s">
        <v>3745</v>
      </c>
      <c r="V328" s="317"/>
      <c r="W328" s="317"/>
      <c r="X328" s="317"/>
      <c r="Y328" s="319"/>
    </row>
    <row r="329" spans="1:25" s="91" customFormat="1" hidden="1" x14ac:dyDescent="0.25">
      <c r="A329" s="32" t="s">
        <v>1048</v>
      </c>
      <c r="B329" s="315" t="str">
        <f>IF((COUNTBLANK(G329)=0),Stats!$E$7,IF((COUNTBLANK(E329)=0),IF((COUNTBLANK(F329)=0),IF((COUNTBLANK(U329)=0),Stats!$E$6,Stats!$E$5),Stats!$E$4),""))</f>
        <v>Death</v>
      </c>
      <c r="C329" s="39" t="s">
        <v>284</v>
      </c>
      <c r="D329" s="315"/>
      <c r="E329" s="88">
        <v>43488</v>
      </c>
      <c r="F329" s="316">
        <v>43495</v>
      </c>
      <c r="G329" s="316">
        <v>36893</v>
      </c>
      <c r="H329" s="317" t="s">
        <v>3142</v>
      </c>
      <c r="I329" s="317"/>
      <c r="J329" s="317" t="s">
        <v>152</v>
      </c>
      <c r="K329" s="315" t="s">
        <v>3698</v>
      </c>
      <c r="L329" s="315"/>
      <c r="M329" s="317"/>
      <c r="N329" s="320"/>
      <c r="O329" s="317" t="s">
        <v>51</v>
      </c>
      <c r="P329" s="318" t="s">
        <v>3728</v>
      </c>
      <c r="Q329" s="318">
        <v>400</v>
      </c>
      <c r="R329" s="317"/>
      <c r="S329" s="317"/>
      <c r="T329" s="317" t="s">
        <v>3531</v>
      </c>
      <c r="U329" s="317"/>
      <c r="V329" s="317"/>
      <c r="W329" s="317"/>
      <c r="X329" s="317"/>
      <c r="Y329" s="319"/>
    </row>
    <row r="330" spans="1:25" s="91" customFormat="1" hidden="1" x14ac:dyDescent="0.25">
      <c r="A330" s="32" t="s">
        <v>1050</v>
      </c>
      <c r="B330" s="315" t="str">
        <f>IF((COUNTBLANK(G330)=0),Stats!$E$7,IF((COUNTBLANK(E330)=0),IF((COUNTBLANK(F330)=0),IF((COUNTBLANK(U330)=0),Stats!$E$6,Stats!$E$5),Stats!$E$4),""))</f>
        <v>Death</v>
      </c>
      <c r="C330" s="39" t="s">
        <v>284</v>
      </c>
      <c r="D330" s="315"/>
      <c r="E330" s="88">
        <v>43488</v>
      </c>
      <c r="F330" s="316">
        <v>43500</v>
      </c>
      <c r="G330" s="316">
        <v>36893</v>
      </c>
      <c r="H330" s="317" t="s">
        <v>3142</v>
      </c>
      <c r="I330" s="317"/>
      <c r="J330" s="317" t="s">
        <v>152</v>
      </c>
      <c r="K330" s="315" t="s">
        <v>3698</v>
      </c>
      <c r="L330" s="315"/>
      <c r="M330" s="317"/>
      <c r="N330" s="320" t="s">
        <v>105</v>
      </c>
      <c r="O330" s="317" t="s">
        <v>51</v>
      </c>
      <c r="P330" s="318" t="s">
        <v>3728</v>
      </c>
      <c r="Q330" s="318">
        <v>400</v>
      </c>
      <c r="R330" s="317"/>
      <c r="S330" s="317"/>
      <c r="T330" s="317"/>
      <c r="U330" s="317"/>
      <c r="V330" s="317"/>
      <c r="W330" s="317"/>
      <c r="X330" s="317"/>
      <c r="Y330" s="319"/>
    </row>
    <row r="331" spans="1:25" s="91" customFormat="1" hidden="1" x14ac:dyDescent="0.25">
      <c r="A331" s="32" t="s">
        <v>1052</v>
      </c>
      <c r="B331" s="315" t="str">
        <f>IF((COUNTBLANK(G331)=0),Stats!$E$7,IF((COUNTBLANK(E331)=0),IF((COUNTBLANK(F331)=0),IF((COUNTBLANK(U331)=0),Stats!$E$6,Stats!$E$5),Stats!$E$4),""))</f>
        <v>Death</v>
      </c>
      <c r="C331" s="39" t="s">
        <v>284</v>
      </c>
      <c r="D331" s="315"/>
      <c r="E331" s="88">
        <v>43488</v>
      </c>
      <c r="F331" s="316">
        <v>43501</v>
      </c>
      <c r="G331" s="316">
        <v>36893</v>
      </c>
      <c r="H331" s="317" t="s">
        <v>3142</v>
      </c>
      <c r="I331" s="317"/>
      <c r="J331" s="317" t="s">
        <v>152</v>
      </c>
      <c r="K331" s="315" t="s">
        <v>3746</v>
      </c>
      <c r="L331" s="315"/>
      <c r="M331" s="317"/>
      <c r="N331" s="320" t="s">
        <v>105</v>
      </c>
      <c r="O331" s="317" t="s">
        <v>51</v>
      </c>
      <c r="P331" s="318" t="s">
        <v>3728</v>
      </c>
      <c r="Q331" s="318">
        <v>400</v>
      </c>
      <c r="R331" s="317"/>
      <c r="S331" s="317"/>
      <c r="T331" s="317"/>
      <c r="U331" s="317" t="s">
        <v>3747</v>
      </c>
      <c r="V331" s="317"/>
      <c r="W331" s="317"/>
      <c r="X331" s="317"/>
      <c r="Y331" s="319"/>
    </row>
    <row r="332" spans="1:25" s="91" customFormat="1" hidden="1" x14ac:dyDescent="0.25">
      <c r="A332" s="32" t="s">
        <v>1054</v>
      </c>
      <c r="B332" s="315" t="str">
        <f>IF((COUNTBLANK(G332)=0),Stats!$E$7,IF((COUNTBLANK(E332)=0),IF((COUNTBLANK(F332)=0),IF((COUNTBLANK(U332)=0),Stats!$E$6,Stats!$E$5),Stats!$E$4),""))</f>
        <v>Death</v>
      </c>
      <c r="C332" s="39" t="s">
        <v>284</v>
      </c>
      <c r="D332" s="315"/>
      <c r="E332" s="88">
        <v>43488</v>
      </c>
      <c r="F332" s="316">
        <v>43494</v>
      </c>
      <c r="G332" s="316">
        <v>36893</v>
      </c>
      <c r="H332" s="317" t="s">
        <v>3142</v>
      </c>
      <c r="I332" s="317"/>
      <c r="J332" s="317" t="s">
        <v>152</v>
      </c>
      <c r="K332" s="315" t="s">
        <v>3748</v>
      </c>
      <c r="L332" s="315"/>
      <c r="M332" s="317"/>
      <c r="N332" s="320" t="s">
        <v>3749</v>
      </c>
      <c r="O332" s="317" t="s">
        <v>51</v>
      </c>
      <c r="P332" s="318" t="s">
        <v>3728</v>
      </c>
      <c r="Q332" s="318">
        <v>400</v>
      </c>
      <c r="R332" s="317"/>
      <c r="S332" s="317"/>
      <c r="T332" s="317" t="s">
        <v>3531</v>
      </c>
      <c r="U332" s="317" t="s">
        <v>3750</v>
      </c>
      <c r="V332" s="317"/>
      <c r="W332" s="317"/>
      <c r="X332" s="317" t="s">
        <v>3751</v>
      </c>
      <c r="Y332" s="319"/>
    </row>
    <row r="333" spans="1:25" s="91" customFormat="1" hidden="1" x14ac:dyDescent="0.25">
      <c r="A333" s="32" t="s">
        <v>1056</v>
      </c>
      <c r="B333" s="315" t="str">
        <f>IF((COUNTBLANK(G333)=0),Stats!$E$7,IF((COUNTBLANK(E333)=0),IF((COUNTBLANK(F333)=0),IF((COUNTBLANK(U333)=0),Stats!$E$6,Stats!$E$5),Stats!$E$4),""))</f>
        <v>Death</v>
      </c>
      <c r="C333" s="39" t="s">
        <v>284</v>
      </c>
      <c r="D333" s="315"/>
      <c r="E333" s="88">
        <v>43488</v>
      </c>
      <c r="F333" s="316">
        <v>43494</v>
      </c>
      <c r="G333" s="316">
        <v>36893</v>
      </c>
      <c r="H333" s="317" t="s">
        <v>3142</v>
      </c>
      <c r="I333" s="317"/>
      <c r="J333" s="317" t="s">
        <v>152</v>
      </c>
      <c r="K333" s="315" t="s">
        <v>3752</v>
      </c>
      <c r="L333" s="315"/>
      <c r="M333" s="317"/>
      <c r="N333" s="320" t="s">
        <v>3749</v>
      </c>
      <c r="O333" s="317" t="s">
        <v>51</v>
      </c>
      <c r="P333" s="318" t="s">
        <v>3728</v>
      </c>
      <c r="Q333" s="318">
        <v>400</v>
      </c>
      <c r="R333" s="317"/>
      <c r="S333" s="317"/>
      <c r="T333" s="317"/>
      <c r="U333" s="317"/>
      <c r="V333" s="317"/>
      <c r="W333" s="317"/>
      <c r="X333" s="317"/>
      <c r="Y333" s="319"/>
    </row>
    <row r="334" spans="1:25" s="91" customFormat="1" hidden="1" x14ac:dyDescent="0.25">
      <c r="A334" s="32" t="s">
        <v>1059</v>
      </c>
      <c r="B334" s="315" t="str">
        <f>IF((COUNTBLANK(G334)=0),Stats!$E$7,IF((COUNTBLANK(E334)=0),IF((COUNTBLANK(F334)=0),IF((COUNTBLANK(U334)=0),Stats!$E$6,Stats!$E$5),Stats!$E$4),""))</f>
        <v>Death</v>
      </c>
      <c r="C334" s="39" t="s">
        <v>284</v>
      </c>
      <c r="D334" s="315"/>
      <c r="E334" s="88">
        <v>43494</v>
      </c>
      <c r="F334" s="88">
        <v>43501</v>
      </c>
      <c r="G334" s="316">
        <v>36893</v>
      </c>
      <c r="H334" s="317" t="s">
        <v>3128</v>
      </c>
      <c r="I334" s="49"/>
      <c r="J334" s="49" t="s">
        <v>152</v>
      </c>
      <c r="K334" s="58" t="s">
        <v>3222</v>
      </c>
      <c r="L334" s="58" t="s">
        <v>3698</v>
      </c>
      <c r="M334" s="49"/>
      <c r="N334" s="62" t="s">
        <v>3753</v>
      </c>
      <c r="O334" s="49" t="s">
        <v>51</v>
      </c>
      <c r="P334" s="67">
        <v>-500</v>
      </c>
      <c r="Q334" s="67">
        <v>400</v>
      </c>
      <c r="R334" s="49"/>
      <c r="S334" s="49"/>
      <c r="T334" s="49" t="s">
        <v>3754</v>
      </c>
      <c r="U334" s="49"/>
      <c r="V334" s="49"/>
      <c r="W334" s="49"/>
      <c r="X334" s="49"/>
      <c r="Y334" s="95"/>
    </row>
    <row r="335" spans="1:25" s="92" customFormat="1" hidden="1" x14ac:dyDescent="0.25">
      <c r="A335" s="32" t="s">
        <v>1061</v>
      </c>
      <c r="B335" s="315" t="str">
        <f>IF((COUNTBLANK(G335)=0),Stats!$E$7,IF((COUNTBLANK(E335)=0),IF((COUNTBLANK(F335)=0),IF((COUNTBLANK(U335)=0),Stats!$E$6,Stats!$E$5),Stats!$E$4),""))</f>
        <v>Death</v>
      </c>
      <c r="C335" s="39" t="s">
        <v>284</v>
      </c>
      <c r="D335" s="315"/>
      <c r="E335" s="88">
        <v>43494</v>
      </c>
      <c r="F335" s="316">
        <v>43502</v>
      </c>
      <c r="G335" s="316">
        <v>36893</v>
      </c>
      <c r="H335" s="317" t="s">
        <v>3128</v>
      </c>
      <c r="I335" s="317"/>
      <c r="J335" s="317" t="s">
        <v>152</v>
      </c>
      <c r="K335" s="58" t="s">
        <v>3222</v>
      </c>
      <c r="L335" s="58" t="s">
        <v>3698</v>
      </c>
      <c r="M335" s="49"/>
      <c r="N335" s="62" t="s">
        <v>3753</v>
      </c>
      <c r="O335" s="317" t="s">
        <v>51</v>
      </c>
      <c r="P335" s="318">
        <v>-500</v>
      </c>
      <c r="Q335" s="318">
        <v>400</v>
      </c>
      <c r="R335" s="317"/>
      <c r="S335" s="317"/>
      <c r="T335" s="317"/>
      <c r="U335" s="317" t="s">
        <v>3755</v>
      </c>
      <c r="V335" s="317"/>
      <c r="W335" s="317"/>
      <c r="X335" s="49" t="s">
        <v>3756</v>
      </c>
      <c r="Y335" s="319"/>
    </row>
    <row r="336" spans="1:25" s="91" customFormat="1" hidden="1" x14ac:dyDescent="0.25">
      <c r="A336" s="32" t="s">
        <v>1063</v>
      </c>
      <c r="B336" s="315" t="str">
        <f>IF((COUNTBLANK(G336)=0),Stats!$E$7,IF((COUNTBLANK(E336)=0),IF((COUNTBLANK(F336)=0),IF((COUNTBLANK(U336)=0),Stats!$E$6,Stats!$E$5),Stats!$E$4),""))</f>
        <v>Death</v>
      </c>
      <c r="C336" s="39" t="s">
        <v>284</v>
      </c>
      <c r="D336" s="315"/>
      <c r="E336" s="88">
        <v>43494</v>
      </c>
      <c r="F336" s="316">
        <v>43502</v>
      </c>
      <c r="G336" s="316">
        <v>36893</v>
      </c>
      <c r="H336" s="317" t="s">
        <v>3128</v>
      </c>
      <c r="I336" s="317"/>
      <c r="J336" s="317" t="s">
        <v>152</v>
      </c>
      <c r="K336" s="58" t="s">
        <v>3222</v>
      </c>
      <c r="L336" s="58" t="s">
        <v>3698</v>
      </c>
      <c r="M336" s="49"/>
      <c r="N336" s="62" t="s">
        <v>3753</v>
      </c>
      <c r="O336" s="317" t="s">
        <v>51</v>
      </c>
      <c r="P336" s="318">
        <v>-500</v>
      </c>
      <c r="Q336" s="318">
        <v>400</v>
      </c>
      <c r="R336" s="317"/>
      <c r="S336" s="317"/>
      <c r="T336" s="317"/>
      <c r="U336" s="317" t="s">
        <v>3757</v>
      </c>
      <c r="V336" s="317"/>
      <c r="W336" s="317"/>
      <c r="X336" s="317" t="s">
        <v>3758</v>
      </c>
      <c r="Y336" s="319"/>
    </row>
    <row r="337" spans="1:25" s="91" customFormat="1" hidden="1" x14ac:dyDescent="0.25">
      <c r="A337" s="32" t="s">
        <v>1065</v>
      </c>
      <c r="B337" s="315" t="str">
        <f>IF((COUNTBLANK(G337)=0),Stats!$E$7,IF((COUNTBLANK(E337)=0),IF((COUNTBLANK(F337)=0),IF((COUNTBLANK(U337)=0),Stats!$E$6,Stats!$E$5),Stats!$E$4),""))</f>
        <v>Death</v>
      </c>
      <c r="C337" s="39" t="s">
        <v>284</v>
      </c>
      <c r="D337" s="315"/>
      <c r="E337" s="88">
        <v>43494</v>
      </c>
      <c r="F337" s="316">
        <v>43501</v>
      </c>
      <c r="G337" s="316">
        <v>36893</v>
      </c>
      <c r="H337" s="317" t="s">
        <v>3143</v>
      </c>
      <c r="I337" s="317"/>
      <c r="J337" s="317" t="s">
        <v>152</v>
      </c>
      <c r="K337" s="58" t="s">
        <v>3222</v>
      </c>
      <c r="L337" s="58" t="s">
        <v>3698</v>
      </c>
      <c r="M337" s="49"/>
      <c r="N337" s="62" t="s">
        <v>3753</v>
      </c>
      <c r="O337" s="317" t="s">
        <v>51</v>
      </c>
      <c r="P337" s="318">
        <v>-500</v>
      </c>
      <c r="Q337" s="318">
        <v>400</v>
      </c>
      <c r="R337" s="317"/>
      <c r="S337" s="317"/>
      <c r="T337" s="317"/>
      <c r="U337" s="317" t="s">
        <v>3759</v>
      </c>
      <c r="V337" s="317"/>
      <c r="W337" s="317"/>
      <c r="X337" s="317" t="s">
        <v>3594</v>
      </c>
      <c r="Y337" s="319"/>
    </row>
    <row r="338" spans="1:25" s="91" customFormat="1" hidden="1" x14ac:dyDescent="0.25">
      <c r="A338" s="32" t="s">
        <v>1067</v>
      </c>
      <c r="B338" s="315" t="str">
        <f>IF((COUNTBLANK(G338)=0),Stats!$E$7,IF((COUNTBLANK(E338)=0),IF((COUNTBLANK(F338)=0),IF((COUNTBLANK(U338)=0),Stats!$E$6,Stats!$E$5),Stats!$E$4),""))</f>
        <v>Death</v>
      </c>
      <c r="C338" s="39" t="s">
        <v>3117</v>
      </c>
      <c r="D338" s="315"/>
      <c r="E338" s="88">
        <v>43494</v>
      </c>
      <c r="F338" s="316">
        <v>43502</v>
      </c>
      <c r="G338" s="316">
        <v>36893</v>
      </c>
      <c r="H338" s="317" t="s">
        <v>3148</v>
      </c>
      <c r="I338" s="317"/>
      <c r="J338" s="317" t="s">
        <v>152</v>
      </c>
      <c r="K338" s="315" t="s">
        <v>3760</v>
      </c>
      <c r="L338" s="315"/>
      <c r="M338" s="317"/>
      <c r="N338" s="320"/>
      <c r="O338" s="317" t="s">
        <v>3584</v>
      </c>
      <c r="P338" s="318" t="s">
        <v>71</v>
      </c>
      <c r="Q338" s="318" t="s">
        <v>3761</v>
      </c>
      <c r="R338" s="317"/>
      <c r="S338" s="317"/>
      <c r="T338" s="317"/>
      <c r="U338" s="317"/>
      <c r="V338" s="317"/>
      <c r="W338" s="317"/>
      <c r="X338" s="317" t="s">
        <v>3762</v>
      </c>
      <c r="Y338" s="319"/>
    </row>
    <row r="339" spans="1:25" s="91" customFormat="1" hidden="1" x14ac:dyDescent="0.25">
      <c r="A339" s="32" t="s">
        <v>1068</v>
      </c>
      <c r="B339" s="315" t="str">
        <f>IF((COUNTBLANK(G339)=0),Stats!$E$7,IF((COUNTBLANK(E339)=0),IF((COUNTBLANK(F339)=0),IF((COUNTBLANK(U339)=0),Stats!$E$6,Stats!$E$5),Stats!$E$4),""))</f>
        <v>Death</v>
      </c>
      <c r="C339" s="39" t="s">
        <v>3117</v>
      </c>
      <c r="D339" s="315"/>
      <c r="E339" s="88">
        <v>43494</v>
      </c>
      <c r="F339" s="316">
        <v>43502</v>
      </c>
      <c r="G339" s="316">
        <v>36893</v>
      </c>
      <c r="H339" s="317" t="s">
        <v>3148</v>
      </c>
      <c r="I339" s="317"/>
      <c r="J339" s="317" t="s">
        <v>152</v>
      </c>
      <c r="K339" s="315" t="s">
        <v>3763</v>
      </c>
      <c r="L339" s="315"/>
      <c r="M339" s="317"/>
      <c r="N339" s="320"/>
      <c r="O339" s="317" t="s">
        <v>3584</v>
      </c>
      <c r="P339" s="318" t="s">
        <v>71</v>
      </c>
      <c r="Q339" s="318" t="s">
        <v>3761</v>
      </c>
      <c r="R339" s="317"/>
      <c r="S339" s="317"/>
      <c r="T339" s="317"/>
      <c r="U339" s="317"/>
      <c r="V339" s="317"/>
      <c r="W339" s="317"/>
      <c r="X339" s="317" t="s">
        <v>3762</v>
      </c>
      <c r="Y339" s="319"/>
    </row>
    <row r="340" spans="1:25" s="91" customFormat="1" hidden="1" x14ac:dyDescent="0.25">
      <c r="A340" s="32" t="s">
        <v>1069</v>
      </c>
      <c r="B340" s="315" t="str">
        <f>IF((COUNTBLANK(G340)=0),Stats!$E$7,IF((COUNTBLANK(E340)=0),IF((COUNTBLANK(F340)=0),IF((COUNTBLANK(U340)=0),Stats!$E$6,Stats!$E$5),Stats!$E$4),""))</f>
        <v>Death</v>
      </c>
      <c r="C340" s="39" t="s">
        <v>3117</v>
      </c>
      <c r="D340" s="315"/>
      <c r="E340" s="88">
        <v>43494</v>
      </c>
      <c r="F340" s="316">
        <v>43507</v>
      </c>
      <c r="G340" s="316">
        <v>36893</v>
      </c>
      <c r="H340" s="317" t="s">
        <v>3148</v>
      </c>
      <c r="I340" s="317"/>
      <c r="J340" s="317" t="s">
        <v>152</v>
      </c>
      <c r="K340" s="315" t="s">
        <v>242</v>
      </c>
      <c r="L340" s="315"/>
      <c r="M340" s="317"/>
      <c r="N340" s="320"/>
      <c r="O340" s="317" t="s">
        <v>3584</v>
      </c>
      <c r="P340" s="318" t="s">
        <v>71</v>
      </c>
      <c r="Q340" s="318" t="s">
        <v>3761</v>
      </c>
      <c r="R340" s="317"/>
      <c r="S340" s="317"/>
      <c r="T340" s="317"/>
      <c r="U340" s="317"/>
      <c r="V340" s="317"/>
      <c r="W340" s="317"/>
      <c r="X340" s="317"/>
      <c r="Y340" s="319"/>
    </row>
    <row r="341" spans="1:25" s="91" customFormat="1" hidden="1" x14ac:dyDescent="0.25">
      <c r="A341" s="32" t="s">
        <v>1070</v>
      </c>
      <c r="B341" s="315" t="str">
        <f>IF((COUNTBLANK(G341)=0),Stats!$E$7,IF((COUNTBLANK(E341)=0),IF((COUNTBLANK(F341)=0),IF((COUNTBLANK(U341)=0),Stats!$E$6,Stats!$E$5),Stats!$E$4),""))</f>
        <v>Death</v>
      </c>
      <c r="C341" s="39" t="s">
        <v>3117</v>
      </c>
      <c r="D341" s="315"/>
      <c r="E341" s="88">
        <v>43497</v>
      </c>
      <c r="F341" s="316">
        <v>43508</v>
      </c>
      <c r="G341" s="316">
        <v>36893</v>
      </c>
      <c r="H341" s="317" t="s">
        <v>3128</v>
      </c>
      <c r="I341" s="317"/>
      <c r="J341" s="317" t="s">
        <v>152</v>
      </c>
      <c r="K341" s="315" t="s">
        <v>3764</v>
      </c>
      <c r="L341" s="315" t="s">
        <v>3765</v>
      </c>
      <c r="M341" s="317"/>
      <c r="N341" s="320" t="s">
        <v>3273</v>
      </c>
      <c r="O341" s="317" t="s">
        <v>51</v>
      </c>
      <c r="P341" s="318">
        <v>-500</v>
      </c>
      <c r="Q341" s="318">
        <v>400</v>
      </c>
      <c r="R341" s="317"/>
      <c r="S341" s="317"/>
      <c r="T341" s="317"/>
      <c r="U341" s="317" t="s">
        <v>3766</v>
      </c>
      <c r="V341" s="317"/>
      <c r="W341" s="317"/>
      <c r="X341" s="317"/>
      <c r="Y341" s="319"/>
    </row>
    <row r="342" spans="1:25" s="91" customFormat="1" hidden="1" x14ac:dyDescent="0.25">
      <c r="A342" s="32" t="s">
        <v>1071</v>
      </c>
      <c r="B342" s="315" t="str">
        <f>IF((COUNTBLANK(G342)=0),Stats!$E$7,IF((COUNTBLANK(E342)=0),IF((COUNTBLANK(F342)=0),IF((COUNTBLANK(U342)=0),Stats!$E$6,Stats!$E$5),Stats!$E$4),""))</f>
        <v>Death</v>
      </c>
      <c r="C342" s="39" t="s">
        <v>3117</v>
      </c>
      <c r="D342" s="315"/>
      <c r="E342" s="88">
        <v>43497</v>
      </c>
      <c r="F342" s="316">
        <v>43509</v>
      </c>
      <c r="G342" s="316">
        <v>36893</v>
      </c>
      <c r="H342" s="317" t="s">
        <v>3128</v>
      </c>
      <c r="I342" s="317"/>
      <c r="J342" s="317" t="s">
        <v>152</v>
      </c>
      <c r="K342" s="315" t="s">
        <v>3764</v>
      </c>
      <c r="L342" s="315" t="s">
        <v>3765</v>
      </c>
      <c r="M342" s="317"/>
      <c r="N342" s="320" t="s">
        <v>3273</v>
      </c>
      <c r="O342" s="317" t="s">
        <v>51</v>
      </c>
      <c r="P342" s="318">
        <v>-500</v>
      </c>
      <c r="Q342" s="318">
        <v>400</v>
      </c>
      <c r="R342" s="317"/>
      <c r="S342" s="317"/>
      <c r="T342" s="317"/>
      <c r="U342" s="317" t="s">
        <v>3766</v>
      </c>
      <c r="V342" s="317"/>
      <c r="W342" s="317"/>
      <c r="X342" s="317"/>
      <c r="Y342" s="319"/>
    </row>
    <row r="343" spans="1:25" s="91" customFormat="1" hidden="1" x14ac:dyDescent="0.25">
      <c r="A343" s="32" t="s">
        <v>1072</v>
      </c>
      <c r="B343" s="315" t="str">
        <f>IF((COUNTBLANK(G343)=0),Stats!$E$7,IF((COUNTBLANK(E343)=0),IF((COUNTBLANK(F343)=0),IF((COUNTBLANK(U343)=0),Stats!$E$6,Stats!$E$5),Stats!$E$4),""))</f>
        <v>Death</v>
      </c>
      <c r="C343" s="39" t="s">
        <v>3117</v>
      </c>
      <c r="D343" s="315"/>
      <c r="E343" s="88">
        <v>43497</v>
      </c>
      <c r="F343" s="316">
        <v>43509</v>
      </c>
      <c r="G343" s="316">
        <v>36893</v>
      </c>
      <c r="H343" s="317" t="s">
        <v>3143</v>
      </c>
      <c r="I343" s="317"/>
      <c r="J343" s="317" t="s">
        <v>152</v>
      </c>
      <c r="K343" s="315" t="s">
        <v>3764</v>
      </c>
      <c r="L343" s="315" t="s">
        <v>3765</v>
      </c>
      <c r="M343" s="317"/>
      <c r="N343" s="320" t="s">
        <v>3273</v>
      </c>
      <c r="O343" s="317" t="s">
        <v>51</v>
      </c>
      <c r="P343" s="318">
        <v>-500</v>
      </c>
      <c r="Q343" s="318">
        <v>400</v>
      </c>
      <c r="R343" s="317"/>
      <c r="S343" s="317"/>
      <c r="T343" s="317"/>
      <c r="U343" s="317" t="s">
        <v>3766</v>
      </c>
      <c r="V343" s="317"/>
      <c r="W343" s="317"/>
      <c r="X343" s="317"/>
      <c r="Y343" s="319"/>
    </row>
    <row r="344" spans="1:25" s="91" customFormat="1" hidden="1" x14ac:dyDescent="0.25">
      <c r="A344" s="32" t="s">
        <v>1073</v>
      </c>
      <c r="B344" s="315" t="str">
        <f>IF((COUNTBLANK(G344)=0),Stats!$E$7,IF((COUNTBLANK(E344)=0),IF((COUNTBLANK(F344)=0),IF((COUNTBLANK(U344)=0),Stats!$E$6,Stats!$E$5),Stats!$E$4),""))</f>
        <v>Death</v>
      </c>
      <c r="C344" s="39" t="s">
        <v>3117</v>
      </c>
      <c r="D344" s="315"/>
      <c r="E344" s="88">
        <v>43497</v>
      </c>
      <c r="F344" s="316">
        <v>43509</v>
      </c>
      <c r="G344" s="316">
        <v>36893</v>
      </c>
      <c r="H344" s="317" t="s">
        <v>3143</v>
      </c>
      <c r="I344" s="317"/>
      <c r="J344" s="317" t="s">
        <v>152</v>
      </c>
      <c r="K344" s="315" t="s">
        <v>3764</v>
      </c>
      <c r="L344" s="315" t="s">
        <v>3765</v>
      </c>
      <c r="M344" s="317"/>
      <c r="N344" s="320" t="s">
        <v>3273</v>
      </c>
      <c r="O344" s="317" t="s">
        <v>51</v>
      </c>
      <c r="P344" s="318">
        <v>-500</v>
      </c>
      <c r="Q344" s="318">
        <v>400</v>
      </c>
      <c r="R344" s="317"/>
      <c r="S344" s="317"/>
      <c r="T344" s="317"/>
      <c r="U344" s="317" t="s">
        <v>3766</v>
      </c>
      <c r="V344" s="317"/>
      <c r="W344" s="317"/>
      <c r="X344" s="317"/>
      <c r="Y344" s="319"/>
    </row>
    <row r="345" spans="1:25" s="91" customFormat="1" hidden="1" x14ac:dyDescent="0.25">
      <c r="A345" s="32" t="s">
        <v>1074</v>
      </c>
      <c r="B345" s="315" t="str">
        <f>IF((COUNTBLANK(G345)=0),Stats!$E$7,IF((COUNTBLANK(E345)=0),IF((COUNTBLANK(F345)=0),IF((COUNTBLANK(U345)=0),Stats!$E$6,Stats!$E$5),Stats!$E$4),""))</f>
        <v>Death</v>
      </c>
      <c r="C345" s="39" t="s">
        <v>284</v>
      </c>
      <c r="D345" s="315"/>
      <c r="E345" s="88">
        <v>43507</v>
      </c>
      <c r="F345" s="316">
        <v>43514</v>
      </c>
      <c r="G345" s="316">
        <v>36893</v>
      </c>
      <c r="H345" s="317" t="s">
        <v>3142</v>
      </c>
      <c r="I345" s="317"/>
      <c r="J345" s="317" t="s">
        <v>152</v>
      </c>
      <c r="K345" s="315" t="s">
        <v>3216</v>
      </c>
      <c r="L345" s="315" t="s">
        <v>3698</v>
      </c>
      <c r="M345" s="317"/>
      <c r="N345" s="320" t="s">
        <v>3273</v>
      </c>
      <c r="O345" s="317" t="s">
        <v>51</v>
      </c>
      <c r="P345" s="318" t="s">
        <v>3728</v>
      </c>
      <c r="Q345" s="318">
        <v>400</v>
      </c>
      <c r="R345" s="317"/>
      <c r="S345" s="317"/>
      <c r="T345" s="317" t="s">
        <v>3767</v>
      </c>
      <c r="U345" s="317" t="s">
        <v>3768</v>
      </c>
      <c r="V345" s="317" t="s">
        <v>3769</v>
      </c>
      <c r="W345" s="317"/>
      <c r="X345" s="317" t="s">
        <v>3770</v>
      </c>
      <c r="Y345" s="319"/>
    </row>
    <row r="346" spans="1:25" s="91" customFormat="1" hidden="1" x14ac:dyDescent="0.25">
      <c r="A346" s="32" t="s">
        <v>1075</v>
      </c>
      <c r="B346" s="315" t="str">
        <f>IF((COUNTBLANK(G346)=0),Stats!$E$7,IF((COUNTBLANK(E346)=0),IF((COUNTBLANK(F346)=0),IF((COUNTBLANK(U346)=0),Stats!$E$6,Stats!$E$5),Stats!$E$4),""))</f>
        <v>Death</v>
      </c>
      <c r="C346" s="39" t="s">
        <v>284</v>
      </c>
      <c r="D346" s="315"/>
      <c r="E346" s="88">
        <v>43507</v>
      </c>
      <c r="F346" s="316">
        <v>43515</v>
      </c>
      <c r="G346" s="316">
        <v>36893</v>
      </c>
      <c r="H346" s="317" t="s">
        <v>3142</v>
      </c>
      <c r="I346" s="317"/>
      <c r="J346" s="317" t="s">
        <v>152</v>
      </c>
      <c r="K346" s="315" t="s">
        <v>3216</v>
      </c>
      <c r="L346" s="315" t="s">
        <v>3698</v>
      </c>
      <c r="M346" s="317"/>
      <c r="N346" s="320" t="s">
        <v>3273</v>
      </c>
      <c r="O346" s="317" t="s">
        <v>51</v>
      </c>
      <c r="P346" s="318" t="s">
        <v>3728</v>
      </c>
      <c r="Q346" s="318">
        <v>400</v>
      </c>
      <c r="R346" s="317" t="s">
        <v>3771</v>
      </c>
      <c r="S346" s="317"/>
      <c r="T346" s="317" t="s">
        <v>3772</v>
      </c>
      <c r="U346" s="317" t="s">
        <v>3773</v>
      </c>
      <c r="V346" s="317" t="s">
        <v>3774</v>
      </c>
      <c r="W346" s="317"/>
      <c r="X346" s="317" t="s">
        <v>3770</v>
      </c>
      <c r="Y346" s="319"/>
    </row>
    <row r="347" spans="1:25" s="91" customFormat="1" hidden="1" x14ac:dyDescent="0.25">
      <c r="A347" s="32" t="s">
        <v>1076</v>
      </c>
      <c r="B347" s="315" t="str">
        <f>IF((COUNTBLANK(G347)=0),Stats!$E$7,IF((COUNTBLANK(E347)=0),IF((COUNTBLANK(F347)=0),IF((COUNTBLANK(U347)=0),Stats!$E$6,Stats!$E$5),Stats!$E$4),""))</f>
        <v>Death</v>
      </c>
      <c r="C347" s="39" t="s">
        <v>284</v>
      </c>
      <c r="D347" s="315"/>
      <c r="E347" s="88">
        <v>43507</v>
      </c>
      <c r="F347" s="316">
        <v>43514</v>
      </c>
      <c r="G347" s="316">
        <v>36893</v>
      </c>
      <c r="H347" s="317" t="s">
        <v>3142</v>
      </c>
      <c r="I347" s="317"/>
      <c r="J347" s="317" t="s">
        <v>152</v>
      </c>
      <c r="K347" s="315" t="s">
        <v>3216</v>
      </c>
      <c r="L347" s="315" t="s">
        <v>3698</v>
      </c>
      <c r="M347" s="317"/>
      <c r="N347" s="320" t="s">
        <v>3273</v>
      </c>
      <c r="O347" s="317" t="s">
        <v>51</v>
      </c>
      <c r="P347" s="318" t="s">
        <v>3728</v>
      </c>
      <c r="Q347" s="318">
        <v>400</v>
      </c>
      <c r="R347" s="317" t="s">
        <v>3775</v>
      </c>
      <c r="S347" s="317"/>
      <c r="T347" s="317" t="s">
        <v>3776</v>
      </c>
      <c r="U347" s="317" t="s">
        <v>3773</v>
      </c>
      <c r="V347" s="317" t="s">
        <v>3777</v>
      </c>
      <c r="W347" s="317"/>
      <c r="X347" s="317" t="s">
        <v>3770</v>
      </c>
      <c r="Y347" s="319"/>
    </row>
    <row r="348" spans="1:25" s="91" customFormat="1" hidden="1" x14ac:dyDescent="0.25">
      <c r="A348" s="32" t="s">
        <v>1077</v>
      </c>
      <c r="B348" s="315" t="str">
        <f>IF((COUNTBLANK(G348)=0),Stats!$E$7,IF((COUNTBLANK(E348)=0),IF((COUNTBLANK(F348)=0),IF((COUNTBLANK(U348)=0),Stats!$E$6,Stats!$E$5),Stats!$E$4),""))</f>
        <v>Death</v>
      </c>
      <c r="C348" s="39" t="s">
        <v>284</v>
      </c>
      <c r="D348" s="315"/>
      <c r="E348" s="88">
        <v>43507</v>
      </c>
      <c r="F348" s="316">
        <v>43515</v>
      </c>
      <c r="G348" s="316">
        <v>36893</v>
      </c>
      <c r="H348" s="317" t="s">
        <v>3142</v>
      </c>
      <c r="I348" s="317"/>
      <c r="J348" s="317" t="s">
        <v>152</v>
      </c>
      <c r="K348" s="315" t="s">
        <v>3216</v>
      </c>
      <c r="L348" s="315" t="s">
        <v>3698</v>
      </c>
      <c r="M348" s="317"/>
      <c r="N348" s="320" t="s">
        <v>3273</v>
      </c>
      <c r="O348" s="317" t="s">
        <v>51</v>
      </c>
      <c r="P348" s="318" t="s">
        <v>3728</v>
      </c>
      <c r="Q348" s="318">
        <v>400</v>
      </c>
      <c r="R348" s="317"/>
      <c r="S348" s="317"/>
      <c r="T348" s="317"/>
      <c r="U348" s="317" t="s">
        <v>3773</v>
      </c>
      <c r="V348" s="317" t="s">
        <v>3778</v>
      </c>
      <c r="W348" s="317"/>
      <c r="X348" s="317"/>
      <c r="Y348" s="319"/>
    </row>
    <row r="349" spans="1:25" s="91" customFormat="1" hidden="1" x14ac:dyDescent="0.25">
      <c r="A349" s="32" t="s">
        <v>1078</v>
      </c>
      <c r="B349" s="315" t="str">
        <f>IF((COUNTBLANK(G349)=0),Stats!$E$7,IF((COUNTBLANK(E349)=0),IF((COUNTBLANK(F349)=0),IF((COUNTBLANK(U349)=0),Stats!$E$6,Stats!$E$5),Stats!$E$4),""))</f>
        <v>Death</v>
      </c>
      <c r="C349" s="39" t="s">
        <v>284</v>
      </c>
      <c r="D349" s="315"/>
      <c r="E349" s="88">
        <v>43516</v>
      </c>
      <c r="F349" s="316"/>
      <c r="G349" s="316">
        <v>36893</v>
      </c>
      <c r="H349" s="317" t="s">
        <v>3142</v>
      </c>
      <c r="I349" s="317"/>
      <c r="J349" s="317" t="s">
        <v>152</v>
      </c>
      <c r="K349" s="315" t="s">
        <v>3698</v>
      </c>
      <c r="L349" s="315"/>
      <c r="M349" s="317"/>
      <c r="N349" s="320"/>
      <c r="O349" s="317" t="s">
        <v>51</v>
      </c>
      <c r="P349" s="318" t="s">
        <v>3779</v>
      </c>
      <c r="Q349" s="318">
        <v>500</v>
      </c>
      <c r="R349" s="317" t="s">
        <v>3780</v>
      </c>
      <c r="S349" s="317"/>
      <c r="T349" s="317"/>
      <c r="U349" s="317" t="s">
        <v>3781</v>
      </c>
      <c r="V349" s="317" t="s">
        <v>3782</v>
      </c>
      <c r="W349" s="317"/>
      <c r="X349" s="317" t="s">
        <v>3783</v>
      </c>
      <c r="Y349" s="319"/>
    </row>
    <row r="350" spans="1:25" s="91" customFormat="1" hidden="1" x14ac:dyDescent="0.25">
      <c r="A350" s="32" t="s">
        <v>1079</v>
      </c>
      <c r="B350" s="315" t="str">
        <f>IF((COUNTBLANK(G350)=0),Stats!$E$7,IF((COUNTBLANK(E350)=0),IF((COUNTBLANK(F350)=0),IF((COUNTBLANK(U350)=0),Stats!$E$6,Stats!$E$5),Stats!$E$4),""))</f>
        <v>Death</v>
      </c>
      <c r="C350" s="39" t="s">
        <v>284</v>
      </c>
      <c r="D350" s="315"/>
      <c r="E350" s="88">
        <v>43516</v>
      </c>
      <c r="F350" s="316"/>
      <c r="G350" s="316">
        <v>36893</v>
      </c>
      <c r="H350" s="317" t="s">
        <v>3142</v>
      </c>
      <c r="I350" s="317"/>
      <c r="J350" s="317" t="s">
        <v>152</v>
      </c>
      <c r="K350" s="315" t="s">
        <v>3698</v>
      </c>
      <c r="L350" s="315"/>
      <c r="M350" s="317"/>
      <c r="N350" s="320"/>
      <c r="O350" s="317" t="s">
        <v>51</v>
      </c>
      <c r="P350" s="318" t="s">
        <v>3779</v>
      </c>
      <c r="Q350" s="318">
        <v>500</v>
      </c>
      <c r="R350" s="317" t="s">
        <v>3784</v>
      </c>
      <c r="S350" s="317"/>
      <c r="T350" s="317"/>
      <c r="U350" s="317" t="s">
        <v>3785</v>
      </c>
      <c r="V350" s="317" t="s">
        <v>3786</v>
      </c>
      <c r="W350" s="317"/>
      <c r="X350" s="317" t="s">
        <v>3649</v>
      </c>
      <c r="Y350" s="319"/>
    </row>
    <row r="351" spans="1:25" s="91" customFormat="1" hidden="1" x14ac:dyDescent="0.25">
      <c r="A351" s="32" t="s">
        <v>1080</v>
      </c>
      <c r="B351" s="315" t="str">
        <f>IF((COUNTBLANK(G351)=0),Stats!$E$7,IF((COUNTBLANK(E351)=0),IF((COUNTBLANK(F351)=0),IF((COUNTBLANK(U351)=0),Stats!$E$6,Stats!$E$5),Stats!$E$4),""))</f>
        <v>Death</v>
      </c>
      <c r="C351" s="39" t="s">
        <v>284</v>
      </c>
      <c r="D351" s="315"/>
      <c r="E351" s="88">
        <v>43516</v>
      </c>
      <c r="F351" s="316"/>
      <c r="G351" s="316">
        <v>36893</v>
      </c>
      <c r="H351" s="317" t="s">
        <v>3142</v>
      </c>
      <c r="I351" s="317"/>
      <c r="J351" s="317" t="s">
        <v>152</v>
      </c>
      <c r="K351" s="315" t="s">
        <v>3698</v>
      </c>
      <c r="L351" s="315"/>
      <c r="M351" s="317"/>
      <c r="N351" s="320"/>
      <c r="O351" s="317" t="s">
        <v>51</v>
      </c>
      <c r="P351" s="318" t="s">
        <v>3779</v>
      </c>
      <c r="Q351" s="318">
        <v>500</v>
      </c>
      <c r="R351" s="317"/>
      <c r="S351" s="317"/>
      <c r="T351" s="317"/>
      <c r="U351" s="317" t="s">
        <v>3787</v>
      </c>
      <c r="V351" s="317"/>
      <c r="W351" s="317"/>
      <c r="X351" s="317" t="s">
        <v>3788</v>
      </c>
      <c r="Y351" s="319"/>
    </row>
    <row r="352" spans="1:25" s="91" customFormat="1" hidden="1" x14ac:dyDescent="0.25">
      <c r="A352" s="32" t="s">
        <v>1081</v>
      </c>
      <c r="B352" s="315" t="str">
        <f>IF((COUNTBLANK(G352)=0),Stats!$E$7,IF((COUNTBLANK(E352)=0),IF((COUNTBLANK(F352)=0),IF((COUNTBLANK(U352)=0),Stats!$E$6,Stats!$E$5),Stats!$E$4),""))</f>
        <v>Death</v>
      </c>
      <c r="C352" s="39" t="s">
        <v>3117</v>
      </c>
      <c r="D352" s="315"/>
      <c r="E352" s="88">
        <v>43516</v>
      </c>
      <c r="F352" s="316">
        <v>43523</v>
      </c>
      <c r="G352" s="316">
        <v>36893</v>
      </c>
      <c r="H352" s="317" t="s">
        <v>3143</v>
      </c>
      <c r="I352" s="317"/>
      <c r="J352" s="317" t="s">
        <v>152</v>
      </c>
      <c r="K352" s="315" t="s">
        <v>3216</v>
      </c>
      <c r="L352" s="315"/>
      <c r="M352" s="317"/>
      <c r="N352" s="320"/>
      <c r="O352" s="317" t="s">
        <v>51</v>
      </c>
      <c r="P352" s="318">
        <v>-500</v>
      </c>
      <c r="Q352" s="318" t="s">
        <v>3789</v>
      </c>
      <c r="R352" s="317"/>
      <c r="S352" s="317"/>
      <c r="T352" s="317"/>
      <c r="U352" s="317" t="s">
        <v>3790</v>
      </c>
      <c r="V352" s="317"/>
      <c r="W352" s="317"/>
      <c r="X352" s="317"/>
      <c r="Y352" s="319"/>
    </row>
    <row r="353" spans="1:25" s="91" customFormat="1" hidden="1" x14ac:dyDescent="0.25">
      <c r="A353" s="32" t="s">
        <v>1082</v>
      </c>
      <c r="B353" s="315" t="str">
        <f>IF((COUNTBLANK(G353)=0),Stats!$E$7,IF((COUNTBLANK(E353)=0),IF((COUNTBLANK(F353)=0),IF((COUNTBLANK(U353)=0),Stats!$E$6,Stats!$E$5),Stats!$E$4),""))</f>
        <v>Death</v>
      </c>
      <c r="C353" s="39" t="s">
        <v>3117</v>
      </c>
      <c r="D353" s="315"/>
      <c r="E353" s="88">
        <v>43516</v>
      </c>
      <c r="F353" s="316">
        <v>43523</v>
      </c>
      <c r="G353" s="316">
        <v>36893</v>
      </c>
      <c r="H353" s="317" t="s">
        <v>3143</v>
      </c>
      <c r="I353" s="317"/>
      <c r="J353" s="317" t="s">
        <v>152</v>
      </c>
      <c r="K353" s="315" t="s">
        <v>3216</v>
      </c>
      <c r="L353" s="315"/>
      <c r="M353" s="317"/>
      <c r="N353" s="320"/>
      <c r="O353" s="317" t="s">
        <v>51</v>
      </c>
      <c r="P353" s="318">
        <v>-500</v>
      </c>
      <c r="Q353" s="318" t="s">
        <v>3789</v>
      </c>
      <c r="R353" s="317"/>
      <c r="S353" s="317"/>
      <c r="T353" s="317"/>
      <c r="U353" s="317" t="s">
        <v>3791</v>
      </c>
      <c r="V353" s="317"/>
      <c r="W353" s="317"/>
      <c r="X353" s="317"/>
      <c r="Y353" s="319"/>
    </row>
    <row r="354" spans="1:25" s="91" customFormat="1" hidden="1" x14ac:dyDescent="0.25">
      <c r="A354" s="32" t="s">
        <v>1083</v>
      </c>
      <c r="B354" s="315" t="str">
        <f>IF((COUNTBLANK(G354)=0),Stats!$E$7,IF((COUNTBLANK(E354)=0),IF((COUNTBLANK(F354)=0),IF((COUNTBLANK(U354)=0),Stats!$E$6,Stats!$E$5),Stats!$E$4),""))</f>
        <v>Death</v>
      </c>
      <c r="C354" s="39" t="s">
        <v>3117</v>
      </c>
      <c r="D354" s="315"/>
      <c r="E354" s="88">
        <v>43516</v>
      </c>
      <c r="F354" s="316">
        <v>43523</v>
      </c>
      <c r="G354" s="316">
        <v>36893</v>
      </c>
      <c r="H354" s="317" t="s">
        <v>3150</v>
      </c>
      <c r="I354" s="317"/>
      <c r="J354" s="317" t="s">
        <v>152</v>
      </c>
      <c r="K354" s="315" t="s">
        <v>3216</v>
      </c>
      <c r="L354" s="315"/>
      <c r="M354" s="317"/>
      <c r="N354" s="320"/>
      <c r="O354" s="317" t="s">
        <v>51</v>
      </c>
      <c r="P354" s="318">
        <v>-500</v>
      </c>
      <c r="Q354" s="318" t="s">
        <v>3789</v>
      </c>
      <c r="R354" s="317"/>
      <c r="S354" s="317"/>
      <c r="T354" s="317" t="s">
        <v>3792</v>
      </c>
      <c r="U354" s="317" t="s">
        <v>3790</v>
      </c>
      <c r="V354" s="317"/>
      <c r="W354" s="317"/>
      <c r="X354" s="317"/>
      <c r="Y354" s="319"/>
    </row>
    <row r="355" spans="1:25" s="91" customFormat="1" hidden="1" x14ac:dyDescent="0.25">
      <c r="A355" s="32" t="s">
        <v>1084</v>
      </c>
      <c r="B355" s="315" t="str">
        <f>IF((COUNTBLANK(G355)=0),Stats!$E$7,IF((COUNTBLANK(E355)=0),IF((COUNTBLANK(F355)=0),IF((COUNTBLANK(U355)=0),Stats!$E$6,Stats!$E$5),Stats!$E$4),""))</f>
        <v>Death</v>
      </c>
      <c r="C355" s="39" t="s">
        <v>3117</v>
      </c>
      <c r="D355" s="315"/>
      <c r="E355" s="88">
        <v>43521</v>
      </c>
      <c r="F355" s="316">
        <v>43521</v>
      </c>
      <c r="G355" s="316">
        <v>36893</v>
      </c>
      <c r="H355" s="317" t="s">
        <v>3148</v>
      </c>
      <c r="I355" s="317"/>
      <c r="J355" s="317" t="s">
        <v>3186</v>
      </c>
      <c r="K355" s="315" t="s">
        <v>3222</v>
      </c>
      <c r="L355" s="315" t="s">
        <v>3223</v>
      </c>
      <c r="M355" s="317"/>
      <c r="N355" s="320" t="s">
        <v>3793</v>
      </c>
      <c r="O355" s="317" t="s">
        <v>51</v>
      </c>
      <c r="P355" s="318" t="s">
        <v>3794</v>
      </c>
      <c r="Q355" s="318" t="s">
        <v>3795</v>
      </c>
      <c r="R355" s="317" t="s">
        <v>3796</v>
      </c>
      <c r="S355" s="317"/>
      <c r="T355" s="317"/>
      <c r="U355" s="317"/>
      <c r="V355" s="317"/>
      <c r="W355" s="317"/>
      <c r="X355" s="317" t="s">
        <v>3797</v>
      </c>
      <c r="Y355" s="319"/>
    </row>
    <row r="356" spans="1:25" s="91" customFormat="1" hidden="1" x14ac:dyDescent="0.25">
      <c r="A356" s="32" t="s">
        <v>1085</v>
      </c>
      <c r="B356" s="315" t="str">
        <f>IF((COUNTBLANK(G356)=0),Stats!$E$7,IF((COUNTBLANK(E356)=0),IF((COUNTBLANK(F356)=0),IF((COUNTBLANK(U356)=0),Stats!$E$6,Stats!$E$5),Stats!$E$4),""))</f>
        <v>Death</v>
      </c>
      <c r="C356" s="39" t="s">
        <v>3117</v>
      </c>
      <c r="D356" s="315"/>
      <c r="E356" s="88">
        <v>43521</v>
      </c>
      <c r="F356" s="316">
        <v>43521</v>
      </c>
      <c r="G356" s="316">
        <v>36893</v>
      </c>
      <c r="H356" s="317" t="s">
        <v>3148</v>
      </c>
      <c r="I356" s="317"/>
      <c r="J356" s="317" t="s">
        <v>3186</v>
      </c>
      <c r="K356" s="315" t="s">
        <v>3222</v>
      </c>
      <c r="L356" s="315" t="s">
        <v>3223</v>
      </c>
      <c r="M356" s="317"/>
      <c r="N356" s="320" t="s">
        <v>3793</v>
      </c>
      <c r="O356" s="317" t="s">
        <v>51</v>
      </c>
      <c r="P356" s="318" t="s">
        <v>3794</v>
      </c>
      <c r="Q356" s="318" t="s">
        <v>3795</v>
      </c>
      <c r="R356" s="317" t="s">
        <v>3796</v>
      </c>
      <c r="S356" s="317"/>
      <c r="T356" s="317"/>
      <c r="U356" s="317"/>
      <c r="V356" s="317"/>
      <c r="W356" s="317"/>
      <c r="X356" s="317" t="s">
        <v>3797</v>
      </c>
      <c r="Y356" s="319"/>
    </row>
    <row r="357" spans="1:25" s="91" customFormat="1" hidden="1" x14ac:dyDescent="0.25">
      <c r="A357" s="32" t="s">
        <v>1086</v>
      </c>
      <c r="B357" s="315" t="str">
        <f>IF((COUNTBLANK(G357)=0),Stats!$E$7,IF((COUNTBLANK(E357)=0),IF((COUNTBLANK(F357)=0),IF((COUNTBLANK(U357)=0),Stats!$E$6,Stats!$E$5),Stats!$E$4),""))</f>
        <v>Death</v>
      </c>
      <c r="C357" s="39" t="s">
        <v>3117</v>
      </c>
      <c r="D357" s="315"/>
      <c r="E357" s="88">
        <v>43521</v>
      </c>
      <c r="F357" s="316">
        <v>43521</v>
      </c>
      <c r="G357" s="316">
        <v>36893</v>
      </c>
      <c r="H357" s="317" t="s">
        <v>3148</v>
      </c>
      <c r="I357" s="317"/>
      <c r="J357" s="317" t="s">
        <v>3186</v>
      </c>
      <c r="K357" s="315" t="s">
        <v>3222</v>
      </c>
      <c r="L357" s="315" t="s">
        <v>3223</v>
      </c>
      <c r="M357" s="317"/>
      <c r="N357" s="320" t="s">
        <v>3793</v>
      </c>
      <c r="O357" s="317" t="s">
        <v>51</v>
      </c>
      <c r="P357" s="318" t="s">
        <v>3794</v>
      </c>
      <c r="Q357" s="318" t="s">
        <v>3795</v>
      </c>
      <c r="R357" s="317" t="s">
        <v>3796</v>
      </c>
      <c r="S357" s="317"/>
      <c r="T357" s="317"/>
      <c r="U357" s="317"/>
      <c r="V357" s="317"/>
      <c r="W357" s="317"/>
      <c r="X357" s="317"/>
      <c r="Y357" s="319"/>
    </row>
    <row r="358" spans="1:25" s="91" customFormat="1" hidden="1" x14ac:dyDescent="0.25">
      <c r="A358" s="32" t="s">
        <v>1087</v>
      </c>
      <c r="B358" s="315" t="str">
        <f>IF((COUNTBLANK(G358)=0),Stats!$E$7,IF((COUNTBLANK(E358)=0),IF((COUNTBLANK(F358)=0),IF((COUNTBLANK(U358)=0),Stats!$E$6,Stats!$E$5),Stats!$E$4),""))</f>
        <v>Death</v>
      </c>
      <c r="C358" s="39" t="s">
        <v>3117</v>
      </c>
      <c r="D358" s="315"/>
      <c r="E358" s="88">
        <v>43521</v>
      </c>
      <c r="F358" s="316">
        <v>43521</v>
      </c>
      <c r="G358" s="316">
        <v>36893</v>
      </c>
      <c r="H358" s="317" t="s">
        <v>3148</v>
      </c>
      <c r="I358" s="317"/>
      <c r="J358" s="317" t="s">
        <v>3186</v>
      </c>
      <c r="K358" s="315" t="s">
        <v>3222</v>
      </c>
      <c r="L358" s="315" t="s">
        <v>3223</v>
      </c>
      <c r="M358" s="317"/>
      <c r="N358" s="320" t="s">
        <v>3793</v>
      </c>
      <c r="O358" s="317" t="s">
        <v>51</v>
      </c>
      <c r="P358" s="318" t="s">
        <v>3794</v>
      </c>
      <c r="Q358" s="318" t="s">
        <v>3795</v>
      </c>
      <c r="R358" s="317" t="s">
        <v>3796</v>
      </c>
      <c r="S358" s="317"/>
      <c r="T358" s="317"/>
      <c r="U358" s="317"/>
      <c r="V358" s="317"/>
      <c r="W358" s="317"/>
      <c r="X358" s="317"/>
      <c r="Y358" s="319"/>
    </row>
    <row r="359" spans="1:25" s="91" customFormat="1" hidden="1" x14ac:dyDescent="0.25">
      <c r="A359" s="32" t="s">
        <v>1088</v>
      </c>
      <c r="B359" s="315" t="str">
        <f>IF((COUNTBLANK(G359)=0),Stats!$E$7,IF((COUNTBLANK(E359)=0),IF((COUNTBLANK(F359)=0),IF((COUNTBLANK(U359)=0),Stats!$E$6,Stats!$E$5),Stats!$E$4),""))</f>
        <v>Death</v>
      </c>
      <c r="C359" s="39" t="s">
        <v>284</v>
      </c>
      <c r="D359" s="315"/>
      <c r="E359" s="88">
        <v>43528</v>
      </c>
      <c r="F359" s="88"/>
      <c r="G359" s="316">
        <v>36893</v>
      </c>
      <c r="H359" s="317" t="s">
        <v>3142</v>
      </c>
      <c r="I359" s="50"/>
      <c r="J359" s="49" t="s">
        <v>152</v>
      </c>
      <c r="K359" s="315" t="s">
        <v>3798</v>
      </c>
      <c r="L359" s="145"/>
      <c r="M359" s="50"/>
      <c r="N359" s="320"/>
      <c r="O359" s="49" t="s">
        <v>51</v>
      </c>
      <c r="P359" s="67">
        <v>-450</v>
      </c>
      <c r="Q359" s="67">
        <v>400</v>
      </c>
      <c r="R359" s="67" t="s">
        <v>3780</v>
      </c>
      <c r="S359" s="67"/>
      <c r="T359" s="50"/>
      <c r="U359" s="50"/>
      <c r="V359" s="50"/>
      <c r="W359" s="50"/>
      <c r="X359" s="50"/>
      <c r="Y359" s="96"/>
    </row>
    <row r="360" spans="1:25" s="93" customFormat="1" hidden="1" x14ac:dyDescent="0.25">
      <c r="A360" s="32" t="s">
        <v>1089</v>
      </c>
      <c r="B360" s="315" t="str">
        <f>IF((COUNTBLANK(G360)=0),Stats!$E$7,IF((COUNTBLANK(E360)=0),IF((COUNTBLANK(F360)=0),IF((COUNTBLANK(U360)=0),Stats!$E$6,Stats!$E$5),Stats!$E$4),""))</f>
        <v>Death</v>
      </c>
      <c r="C360" s="39" t="s">
        <v>284</v>
      </c>
      <c r="D360" s="315"/>
      <c r="E360" s="88">
        <v>43528</v>
      </c>
      <c r="F360" s="316"/>
      <c r="G360" s="316">
        <v>36893</v>
      </c>
      <c r="H360" s="317" t="s">
        <v>3142</v>
      </c>
      <c r="I360" s="317"/>
      <c r="J360" s="317" t="s">
        <v>152</v>
      </c>
      <c r="K360" s="315" t="s">
        <v>3798</v>
      </c>
      <c r="L360" s="315"/>
      <c r="M360" s="317"/>
      <c r="N360" s="320"/>
      <c r="O360" s="317" t="s">
        <v>51</v>
      </c>
      <c r="P360" s="67">
        <v>-450</v>
      </c>
      <c r="Q360" s="318">
        <v>400</v>
      </c>
      <c r="R360" s="317" t="s">
        <v>3780</v>
      </c>
      <c r="S360" s="317"/>
      <c r="T360" s="317"/>
      <c r="U360" s="317" t="s">
        <v>3799</v>
      </c>
      <c r="V360" s="317"/>
      <c r="W360" s="317"/>
      <c r="X360" s="317"/>
      <c r="Y360" s="319"/>
    </row>
    <row r="361" spans="1:25" s="91" customFormat="1" hidden="1" x14ac:dyDescent="0.25">
      <c r="A361" s="32" t="s">
        <v>1090</v>
      </c>
      <c r="B361" s="315" t="str">
        <f>IF((COUNTBLANK(G361)=0),Stats!$E$7,IF((COUNTBLANK(E361)=0),IF((COUNTBLANK(F361)=0),IF((COUNTBLANK(U361)=0),Stats!$E$6,Stats!$E$5),Stats!$E$4),""))</f>
        <v>Death</v>
      </c>
      <c r="C361" s="39" t="s">
        <v>284</v>
      </c>
      <c r="D361" s="315"/>
      <c r="E361" s="88">
        <v>43528</v>
      </c>
      <c r="F361" s="316"/>
      <c r="G361" s="316">
        <v>36893</v>
      </c>
      <c r="H361" s="317" t="s">
        <v>3142</v>
      </c>
      <c r="I361" s="317"/>
      <c r="J361" s="317" t="s">
        <v>152</v>
      </c>
      <c r="K361" s="315" t="s">
        <v>3798</v>
      </c>
      <c r="L361" s="315"/>
      <c r="M361" s="317"/>
      <c r="N361" s="320"/>
      <c r="O361" s="317" t="s">
        <v>51</v>
      </c>
      <c r="P361" s="67">
        <v>-450</v>
      </c>
      <c r="Q361" s="318">
        <v>50</v>
      </c>
      <c r="R361" s="317" t="s">
        <v>3780</v>
      </c>
      <c r="S361" s="317"/>
      <c r="T361" s="317"/>
      <c r="U361" s="317" t="s">
        <v>3800</v>
      </c>
      <c r="V361" s="317"/>
      <c r="W361" s="317"/>
      <c r="X361" s="317"/>
      <c r="Y361" s="319"/>
    </row>
    <row r="362" spans="1:25" s="91" customFormat="1" hidden="1" x14ac:dyDescent="0.25">
      <c r="A362" s="32" t="s">
        <v>1091</v>
      </c>
      <c r="B362" s="315" t="str">
        <f>IF((COUNTBLANK(G362)=0),Stats!$E$7,IF((COUNTBLANK(E362)=0),IF((COUNTBLANK(F362)=0),IF((COUNTBLANK(U362)=0),Stats!$E$6,Stats!$E$5),Stats!$E$4),""))</f>
        <v>Death</v>
      </c>
      <c r="C362" s="39" t="s">
        <v>284</v>
      </c>
      <c r="D362" s="315"/>
      <c r="E362" s="88">
        <v>43530</v>
      </c>
      <c r="F362" s="316">
        <v>43543</v>
      </c>
      <c r="G362" s="316">
        <v>36893</v>
      </c>
      <c r="H362" s="317" t="s">
        <v>3143</v>
      </c>
      <c r="I362" s="317"/>
      <c r="J362" s="49" t="s">
        <v>152</v>
      </c>
      <c r="K362" s="315" t="s">
        <v>3798</v>
      </c>
      <c r="L362" s="315"/>
      <c r="M362" s="317"/>
      <c r="N362" s="320"/>
      <c r="O362" s="317"/>
      <c r="P362" s="318"/>
      <c r="Q362" s="318"/>
      <c r="R362" s="317"/>
      <c r="S362" s="317"/>
      <c r="T362" s="317"/>
      <c r="U362" s="317"/>
      <c r="V362" s="317"/>
      <c r="W362" s="317"/>
      <c r="X362" s="317" t="s">
        <v>3624</v>
      </c>
      <c r="Y362" s="319"/>
    </row>
    <row r="363" spans="1:25" s="91" customFormat="1" hidden="1" x14ac:dyDescent="0.25">
      <c r="A363" s="32" t="s">
        <v>1092</v>
      </c>
      <c r="B363" s="315" t="str">
        <f>IF((COUNTBLANK(G363)=0),Stats!$E$7,IF((COUNTBLANK(E363)=0),IF((COUNTBLANK(F363)=0),IF((COUNTBLANK(U363)=0),Stats!$E$6,Stats!$E$5),Stats!$E$4),""))</f>
        <v>Death</v>
      </c>
      <c r="C363" s="39" t="s">
        <v>284</v>
      </c>
      <c r="D363" s="315"/>
      <c r="E363" s="88">
        <v>43530</v>
      </c>
      <c r="F363" s="316">
        <v>36892</v>
      </c>
      <c r="G363" s="316">
        <v>36893</v>
      </c>
      <c r="H363" s="317" t="s">
        <v>3143</v>
      </c>
      <c r="I363" s="317"/>
      <c r="J363" s="317" t="s">
        <v>152</v>
      </c>
      <c r="K363" s="315" t="s">
        <v>3798</v>
      </c>
      <c r="L363" s="315"/>
      <c r="M363" s="317"/>
      <c r="N363" s="320"/>
      <c r="O363" s="317"/>
      <c r="P363" s="318"/>
      <c r="Q363" s="318"/>
      <c r="R363" s="317"/>
      <c r="S363" s="317"/>
      <c r="T363" s="317"/>
      <c r="U363" s="317"/>
      <c r="V363" s="317"/>
      <c r="W363" s="317"/>
      <c r="X363" s="317"/>
      <c r="Y363" s="319"/>
    </row>
    <row r="364" spans="1:25" s="91" customFormat="1" hidden="1" x14ac:dyDescent="0.25">
      <c r="A364" s="32" t="s">
        <v>1093</v>
      </c>
      <c r="B364" s="315" t="str">
        <f>IF((COUNTBLANK(G364)=0),Stats!$E$7,IF((COUNTBLANK(E364)=0),IF((COUNTBLANK(F364)=0),IF((COUNTBLANK(U364)=0),Stats!$E$6,Stats!$E$5),Stats!$E$4),""))</f>
        <v>Death</v>
      </c>
      <c r="C364" s="39" t="s">
        <v>3117</v>
      </c>
      <c r="D364" s="315"/>
      <c r="E364" s="88">
        <v>43545</v>
      </c>
      <c r="F364" s="316">
        <v>43546</v>
      </c>
      <c r="G364" s="316">
        <v>36893</v>
      </c>
      <c r="H364" s="317" t="s">
        <v>3148</v>
      </c>
      <c r="I364" s="317"/>
      <c r="J364" s="317" t="s">
        <v>152</v>
      </c>
      <c r="K364" s="315" t="s">
        <v>3216</v>
      </c>
      <c r="L364" s="315"/>
      <c r="M364" s="317"/>
      <c r="N364" s="320"/>
      <c r="O364" s="317" t="s">
        <v>51</v>
      </c>
      <c r="P364" s="318">
        <v>-400</v>
      </c>
      <c r="Q364" s="318" t="s">
        <v>3801</v>
      </c>
      <c r="R364" s="317"/>
      <c r="S364" s="317"/>
      <c r="T364" s="317"/>
      <c r="U364" s="317"/>
      <c r="V364" s="317"/>
      <c r="W364" s="317"/>
      <c r="X364" s="317" t="s">
        <v>3770</v>
      </c>
      <c r="Y364" s="319"/>
    </row>
    <row r="365" spans="1:25" s="91" customFormat="1" hidden="1" x14ac:dyDescent="0.25">
      <c r="A365" s="32" t="s">
        <v>1094</v>
      </c>
      <c r="B365" s="315" t="str">
        <f>IF((COUNTBLANK(G365)=0),Stats!$E$7,IF((COUNTBLANK(E365)=0),IF((COUNTBLANK(F365)=0),IF((COUNTBLANK(U365)=0),Stats!$E$6,Stats!$E$5),Stats!$E$4),""))</f>
        <v>Death</v>
      </c>
      <c r="C365" s="39" t="s">
        <v>3117</v>
      </c>
      <c r="D365" s="315"/>
      <c r="E365" s="88">
        <v>43545</v>
      </c>
      <c r="F365" s="316">
        <v>43546</v>
      </c>
      <c r="G365" s="316">
        <v>36893</v>
      </c>
      <c r="H365" s="317" t="s">
        <v>3148</v>
      </c>
      <c r="I365" s="317"/>
      <c r="J365" s="49" t="s">
        <v>152</v>
      </c>
      <c r="K365" s="315" t="s">
        <v>3216</v>
      </c>
      <c r="L365" s="315"/>
      <c r="M365" s="317"/>
      <c r="N365" s="320"/>
      <c r="O365" s="317" t="s">
        <v>51</v>
      </c>
      <c r="P365" s="318">
        <v>-400</v>
      </c>
      <c r="Q365" s="318" t="s">
        <v>3801</v>
      </c>
      <c r="R365" s="317"/>
      <c r="S365" s="317"/>
      <c r="T365" s="317"/>
      <c r="U365" s="317"/>
      <c r="V365" s="317"/>
      <c r="W365" s="317"/>
      <c r="X365" s="317" t="s">
        <v>3770</v>
      </c>
      <c r="Y365" s="319"/>
    </row>
    <row r="366" spans="1:25" s="91" customFormat="1" hidden="1" x14ac:dyDescent="0.25">
      <c r="A366" s="32" t="s">
        <v>1095</v>
      </c>
      <c r="B366" s="315" t="str">
        <f>IF((COUNTBLANK(G366)=0),Stats!$E$7,IF((COUNTBLANK(E366)=0),IF((COUNTBLANK(F366)=0),IF((COUNTBLANK(U366)=0),Stats!$E$6,Stats!$E$5),Stats!$E$4),""))</f>
        <v>Death</v>
      </c>
      <c r="C366" s="39" t="s">
        <v>3117</v>
      </c>
      <c r="D366" s="315"/>
      <c r="E366" s="88">
        <v>43545</v>
      </c>
      <c r="F366" s="316">
        <v>43546</v>
      </c>
      <c r="G366" s="316">
        <v>36893</v>
      </c>
      <c r="H366" s="317" t="s">
        <v>3148</v>
      </c>
      <c r="I366" s="317"/>
      <c r="J366" s="317" t="s">
        <v>152</v>
      </c>
      <c r="K366" s="315" t="s">
        <v>3216</v>
      </c>
      <c r="L366" s="315"/>
      <c r="M366" s="317"/>
      <c r="N366" s="320"/>
      <c r="O366" s="317" t="s">
        <v>51</v>
      </c>
      <c r="P366" s="318">
        <v>-400</v>
      </c>
      <c r="Q366" s="318" t="s">
        <v>3801</v>
      </c>
      <c r="R366" s="317" t="s">
        <v>3802</v>
      </c>
      <c r="S366" s="317"/>
      <c r="T366" s="317"/>
      <c r="U366" s="317" t="s">
        <v>3803</v>
      </c>
      <c r="V366" s="317"/>
      <c r="W366" s="317"/>
      <c r="X366" s="317" t="s">
        <v>3770</v>
      </c>
      <c r="Y366" s="319"/>
    </row>
    <row r="367" spans="1:25" s="91" customFormat="1" hidden="1" x14ac:dyDescent="0.25">
      <c r="A367" s="32" t="s">
        <v>1096</v>
      </c>
      <c r="B367" s="315" t="str">
        <f>IF((COUNTBLANK(G367)=0),Stats!$E$7,IF((COUNTBLANK(E367)=0),IF((COUNTBLANK(F367)=0),IF((COUNTBLANK(U367)=0),Stats!$E$6,Stats!$E$5),Stats!$E$4),""))</f>
        <v>Death</v>
      </c>
      <c r="C367" s="39" t="s">
        <v>3117</v>
      </c>
      <c r="D367" s="315"/>
      <c r="E367" s="88">
        <v>43545</v>
      </c>
      <c r="F367" s="316">
        <v>43546</v>
      </c>
      <c r="G367" s="316">
        <v>36893</v>
      </c>
      <c r="H367" s="317" t="s">
        <v>3148</v>
      </c>
      <c r="I367" s="317"/>
      <c r="J367" s="317" t="s">
        <v>152</v>
      </c>
      <c r="K367" s="315" t="s">
        <v>3216</v>
      </c>
      <c r="L367" s="315"/>
      <c r="M367" s="317"/>
      <c r="N367" s="320"/>
      <c r="O367" s="317" t="s">
        <v>51</v>
      </c>
      <c r="P367" s="318">
        <v>-400</v>
      </c>
      <c r="Q367" s="318" t="s">
        <v>3801</v>
      </c>
      <c r="R367" s="317"/>
      <c r="S367" s="317"/>
      <c r="T367" s="317"/>
      <c r="U367" s="317" t="s">
        <v>3804</v>
      </c>
      <c r="V367" s="317"/>
      <c r="W367" s="317"/>
      <c r="X367" s="317"/>
      <c r="Y367" s="319"/>
    </row>
    <row r="368" spans="1:25" s="91" customFormat="1" hidden="1" x14ac:dyDescent="0.25">
      <c r="A368" s="32" t="s">
        <v>1097</v>
      </c>
      <c r="B368" s="315" t="str">
        <f>IF((COUNTBLANK(G368)=0),Stats!$E$7,IF((COUNTBLANK(E368)=0),IF((COUNTBLANK(F368)=0),IF((COUNTBLANK(U368)=0),Stats!$E$6,Stats!$E$5),Stats!$E$4),""))</f>
        <v>Death</v>
      </c>
      <c r="C368" s="39" t="s">
        <v>284</v>
      </c>
      <c r="D368" s="315"/>
      <c r="E368" s="88">
        <v>43544</v>
      </c>
      <c r="F368" s="316">
        <v>43544</v>
      </c>
      <c r="G368" s="316">
        <v>36893</v>
      </c>
      <c r="H368" s="317" t="s">
        <v>3142</v>
      </c>
      <c r="I368" s="317"/>
      <c r="J368" s="317" t="s">
        <v>152</v>
      </c>
      <c r="K368" s="315" t="s">
        <v>3698</v>
      </c>
      <c r="L368" s="315" t="s">
        <v>3177</v>
      </c>
      <c r="M368" s="317"/>
      <c r="N368" s="320"/>
      <c r="O368" s="317" t="s">
        <v>51</v>
      </c>
      <c r="P368" s="318">
        <v>-500</v>
      </c>
      <c r="Q368" s="318">
        <v>400</v>
      </c>
      <c r="R368" s="317" t="s">
        <v>3805</v>
      </c>
      <c r="S368" s="317"/>
      <c r="T368" s="317" t="s">
        <v>3806</v>
      </c>
      <c r="U368" s="317" t="s">
        <v>3807</v>
      </c>
      <c r="V368" s="317"/>
      <c r="W368" s="317"/>
      <c r="X368" s="317" t="s">
        <v>3808</v>
      </c>
      <c r="Y368" s="319"/>
    </row>
    <row r="369" spans="1:25" s="91" customFormat="1" hidden="1" x14ac:dyDescent="0.25">
      <c r="A369" s="32" t="s">
        <v>1098</v>
      </c>
      <c r="B369" s="315" t="str">
        <f>IF((COUNTBLANK(G369)=0),Stats!$E$7,IF((COUNTBLANK(E369)=0),IF((COUNTBLANK(F369)=0),IF((COUNTBLANK(U369)=0),Stats!$E$6,Stats!$E$5),Stats!$E$4),""))</f>
        <v>Death</v>
      </c>
      <c r="C369" s="39" t="s">
        <v>284</v>
      </c>
      <c r="D369" s="315"/>
      <c r="E369" s="88">
        <v>43552</v>
      </c>
      <c r="F369" s="316"/>
      <c r="G369" s="316">
        <v>36893</v>
      </c>
      <c r="H369" s="317" t="s">
        <v>3143</v>
      </c>
      <c r="I369" s="317"/>
      <c r="J369" s="317" t="s">
        <v>152</v>
      </c>
      <c r="K369" s="315" t="s">
        <v>3661</v>
      </c>
      <c r="L369" s="315" t="s">
        <v>3809</v>
      </c>
      <c r="M369" s="317"/>
      <c r="N369" s="320"/>
      <c r="O369" s="317" t="s">
        <v>51</v>
      </c>
      <c r="P369" s="318">
        <v>-500</v>
      </c>
      <c r="Q369" s="318">
        <v>400</v>
      </c>
      <c r="R369" s="317"/>
      <c r="S369" s="317"/>
      <c r="T369" s="317"/>
      <c r="U369" s="317" t="s">
        <v>3810</v>
      </c>
      <c r="V369" s="317" t="s">
        <v>3811</v>
      </c>
      <c r="W369" s="317"/>
      <c r="X369" s="317"/>
      <c r="Y369" s="319"/>
    </row>
    <row r="370" spans="1:25" s="91" customFormat="1" hidden="1" x14ac:dyDescent="0.25">
      <c r="A370" s="32" t="s">
        <v>1099</v>
      </c>
      <c r="B370" s="315" t="str">
        <f>IF((COUNTBLANK(G370)=0),Stats!$E$7,IF((COUNTBLANK(E370)=0),IF((COUNTBLANK(F370)=0),IF((COUNTBLANK(U370)=0),Stats!$E$6,Stats!$E$5),Stats!$E$4),""))</f>
        <v>Death</v>
      </c>
      <c r="C370" s="39" t="s">
        <v>284</v>
      </c>
      <c r="D370" s="315"/>
      <c r="E370" s="88">
        <v>43552</v>
      </c>
      <c r="F370" s="316">
        <v>43572</v>
      </c>
      <c r="G370" s="316">
        <v>36893</v>
      </c>
      <c r="H370" s="317" t="s">
        <v>3143</v>
      </c>
      <c r="I370" s="317"/>
      <c r="J370" s="317" t="s">
        <v>152</v>
      </c>
      <c r="K370" s="315" t="s">
        <v>3661</v>
      </c>
      <c r="L370" s="315" t="s">
        <v>3809</v>
      </c>
      <c r="M370" s="317"/>
      <c r="N370" s="320"/>
      <c r="O370" s="317" t="s">
        <v>51</v>
      </c>
      <c r="P370" s="318">
        <v>-500</v>
      </c>
      <c r="Q370" s="318">
        <v>400</v>
      </c>
      <c r="R370" s="317"/>
      <c r="S370" s="317"/>
      <c r="T370" s="317" t="s">
        <v>3812</v>
      </c>
      <c r="U370" s="317" t="s">
        <v>3813</v>
      </c>
      <c r="V370" s="317"/>
      <c r="W370" s="317"/>
      <c r="X370" s="317" t="s">
        <v>3814</v>
      </c>
      <c r="Y370" s="319"/>
    </row>
    <row r="371" spans="1:25" s="91" customFormat="1" hidden="1" x14ac:dyDescent="0.25">
      <c r="A371" s="32" t="s">
        <v>1100</v>
      </c>
      <c r="B371" s="315" t="str">
        <f>IF((COUNTBLANK(G371)=0),Stats!$E$7,IF((COUNTBLANK(E371)=0),IF((COUNTBLANK(F371)=0),IF((COUNTBLANK(U371)=0),Stats!$E$6,Stats!$E$5),Stats!$E$4),""))</f>
        <v>Death</v>
      </c>
      <c r="C371" s="39" t="s">
        <v>284</v>
      </c>
      <c r="D371" s="315"/>
      <c r="E371" s="88">
        <v>43553</v>
      </c>
      <c r="F371" s="316"/>
      <c r="G371" s="316">
        <v>36893</v>
      </c>
      <c r="H371" s="317" t="s">
        <v>3128</v>
      </c>
      <c r="I371" s="317"/>
      <c r="J371" s="317" t="s">
        <v>152</v>
      </c>
      <c r="K371" s="315" t="s">
        <v>3661</v>
      </c>
      <c r="L371" s="315" t="s">
        <v>3809</v>
      </c>
      <c r="M371" s="317"/>
      <c r="N371" s="320" t="s">
        <v>3815</v>
      </c>
      <c r="O371" s="317" t="s">
        <v>51</v>
      </c>
      <c r="P371" s="318">
        <v>-500</v>
      </c>
      <c r="Q371" s="318">
        <v>400</v>
      </c>
      <c r="R371" s="317"/>
      <c r="S371" s="317"/>
      <c r="T371" s="317"/>
      <c r="U371" s="317" t="s">
        <v>3816</v>
      </c>
      <c r="V371" s="317"/>
      <c r="W371" s="317"/>
      <c r="X371" s="317" t="s">
        <v>3814</v>
      </c>
      <c r="Y371" s="319"/>
    </row>
    <row r="372" spans="1:25" s="91" customFormat="1" hidden="1" x14ac:dyDescent="0.25">
      <c r="A372" s="32" t="s">
        <v>1101</v>
      </c>
      <c r="B372" s="315" t="str">
        <f>IF((COUNTBLANK(G372)=0),Stats!$E$7,IF((COUNTBLANK(E372)=0),IF((COUNTBLANK(F372)=0),IF((COUNTBLANK(U372)=0),Stats!$E$6,Stats!$E$5),Stats!$E$4),""))</f>
        <v>Death</v>
      </c>
      <c r="C372" s="39" t="s">
        <v>284</v>
      </c>
      <c r="D372" s="315"/>
      <c r="E372" s="88">
        <v>43553</v>
      </c>
      <c r="F372" s="316">
        <v>43572</v>
      </c>
      <c r="G372" s="316">
        <v>36893</v>
      </c>
      <c r="H372" s="317" t="s">
        <v>3128</v>
      </c>
      <c r="I372" s="317"/>
      <c r="J372" s="317" t="s">
        <v>152</v>
      </c>
      <c r="K372" s="315" t="s">
        <v>3661</v>
      </c>
      <c r="L372" s="315" t="s">
        <v>3809</v>
      </c>
      <c r="M372" s="317"/>
      <c r="N372" s="320" t="s">
        <v>3815</v>
      </c>
      <c r="O372" s="317" t="s">
        <v>51</v>
      </c>
      <c r="P372" s="318">
        <v>-500</v>
      </c>
      <c r="Q372" s="318">
        <v>400</v>
      </c>
      <c r="R372" s="317"/>
      <c r="S372" s="317"/>
      <c r="T372" s="317"/>
      <c r="U372" s="317" t="s">
        <v>3816</v>
      </c>
      <c r="V372" s="317"/>
      <c r="W372" s="317"/>
      <c r="X372" s="317" t="s">
        <v>3814</v>
      </c>
      <c r="Y372" s="319"/>
    </row>
    <row r="373" spans="1:25" s="91" customFormat="1" hidden="1" x14ac:dyDescent="0.25">
      <c r="A373" s="32" t="s">
        <v>1102</v>
      </c>
      <c r="B373" s="315" t="str">
        <f>IF((COUNTBLANK(G373)=0),Stats!$E$7,IF((COUNTBLANK(E373)=0),IF((COUNTBLANK(F373)=0),IF((COUNTBLANK(U373)=0),Stats!$E$6,Stats!$E$5),Stats!$E$4),""))</f>
        <v>Death</v>
      </c>
      <c r="C373" s="39" t="s">
        <v>284</v>
      </c>
      <c r="D373" s="315"/>
      <c r="E373" s="88">
        <v>43192</v>
      </c>
      <c r="F373" s="316">
        <v>36892</v>
      </c>
      <c r="G373" s="316">
        <v>36893</v>
      </c>
      <c r="H373" s="317" t="s">
        <v>3143</v>
      </c>
      <c r="I373" s="317"/>
      <c r="J373" s="317" t="s">
        <v>3095</v>
      </c>
      <c r="K373" s="315" t="s">
        <v>3817</v>
      </c>
      <c r="L373" s="315" t="s">
        <v>3177</v>
      </c>
      <c r="M373" s="317" t="s">
        <v>3223</v>
      </c>
      <c r="N373" s="320" t="s">
        <v>3818</v>
      </c>
      <c r="O373" s="317" t="s">
        <v>51</v>
      </c>
      <c r="P373" s="318">
        <v>-500</v>
      </c>
      <c r="Q373" s="318">
        <v>400</v>
      </c>
      <c r="R373" s="317" t="s">
        <v>3819</v>
      </c>
      <c r="S373" s="317"/>
      <c r="T373" s="317"/>
      <c r="U373" s="317"/>
      <c r="V373" s="317"/>
      <c r="W373" s="317"/>
      <c r="X373" s="317"/>
      <c r="Y373" s="319"/>
    </row>
    <row r="374" spans="1:25" s="91" customFormat="1" hidden="1" x14ac:dyDescent="0.25">
      <c r="A374" s="32" t="s">
        <v>1103</v>
      </c>
      <c r="B374" s="315" t="str">
        <f>IF((COUNTBLANK(G374)=0),Stats!$E$7,IF((COUNTBLANK(E374)=0),IF((COUNTBLANK(F374)=0),IF((COUNTBLANK(U374)=0),Stats!$E$6,Stats!$E$5),Stats!$E$4),""))</f>
        <v>Death</v>
      </c>
      <c r="C374" s="39" t="s">
        <v>284</v>
      </c>
      <c r="D374" s="315"/>
      <c r="E374" s="88">
        <v>43192</v>
      </c>
      <c r="F374" s="316">
        <v>43578</v>
      </c>
      <c r="G374" s="316">
        <v>36893</v>
      </c>
      <c r="H374" s="317" t="s">
        <v>3143</v>
      </c>
      <c r="I374" s="317"/>
      <c r="J374" s="317" t="s">
        <v>3095</v>
      </c>
      <c r="K374" s="315" t="s">
        <v>3817</v>
      </c>
      <c r="L374" s="315" t="s">
        <v>3177</v>
      </c>
      <c r="M374" s="317" t="s">
        <v>3223</v>
      </c>
      <c r="N374" s="320" t="s">
        <v>3818</v>
      </c>
      <c r="O374" s="317" t="s">
        <v>51</v>
      </c>
      <c r="P374" s="318">
        <v>-500</v>
      </c>
      <c r="Q374" s="318">
        <v>400</v>
      </c>
      <c r="R374" s="317" t="s">
        <v>3819</v>
      </c>
      <c r="S374" s="317"/>
      <c r="T374" s="317"/>
      <c r="U374" s="317" t="s">
        <v>3820</v>
      </c>
      <c r="V374" s="317" t="s">
        <v>3821</v>
      </c>
      <c r="W374" s="317"/>
      <c r="X374" s="317" t="s">
        <v>3770</v>
      </c>
      <c r="Y374" s="319"/>
    </row>
    <row r="375" spans="1:25" s="91" customFormat="1" hidden="1" x14ac:dyDescent="0.25">
      <c r="A375" s="32" t="s">
        <v>1104</v>
      </c>
      <c r="B375" s="315" t="str">
        <f>IF((COUNTBLANK(G375)=0),Stats!$E$7,IF((COUNTBLANK(E375)=0),IF((COUNTBLANK(F375)=0),IF((COUNTBLANK(U375)=0),Stats!$E$6,Stats!$E$5),Stats!$E$4),""))</f>
        <v>Death</v>
      </c>
      <c r="C375" s="39" t="s">
        <v>284</v>
      </c>
      <c r="D375" s="315"/>
      <c r="E375" s="88">
        <v>43194</v>
      </c>
      <c r="F375" s="316">
        <v>43578</v>
      </c>
      <c r="G375" s="316">
        <v>36893</v>
      </c>
      <c r="H375" s="317" t="s">
        <v>3143</v>
      </c>
      <c r="I375" s="317"/>
      <c r="J375" s="317" t="s">
        <v>3095</v>
      </c>
      <c r="K375" s="315" t="s">
        <v>3817</v>
      </c>
      <c r="L375" s="315" t="s">
        <v>3177</v>
      </c>
      <c r="M375" s="317" t="s">
        <v>3223</v>
      </c>
      <c r="N375" s="320" t="s">
        <v>3818</v>
      </c>
      <c r="O375" s="317" t="s">
        <v>51</v>
      </c>
      <c r="P375" s="318">
        <v>-500</v>
      </c>
      <c r="Q375" s="318">
        <v>400</v>
      </c>
      <c r="R375" s="317" t="s">
        <v>3819</v>
      </c>
      <c r="S375" s="317"/>
      <c r="T375" s="317" t="s">
        <v>3531</v>
      </c>
      <c r="U375" s="317" t="s">
        <v>3741</v>
      </c>
      <c r="V375" s="317" t="s">
        <v>3822</v>
      </c>
      <c r="W375" s="317"/>
      <c r="X375" s="317"/>
      <c r="Y375" s="319"/>
    </row>
    <row r="376" spans="1:25" s="91" customFormat="1" hidden="1" x14ac:dyDescent="0.25">
      <c r="A376" s="32" t="s">
        <v>1105</v>
      </c>
      <c r="B376" s="315" t="str">
        <f>IF((COUNTBLANK(G376)=0),Stats!$E$7,IF((COUNTBLANK(E376)=0),IF((COUNTBLANK(F376)=0),IF((COUNTBLANK(U376)=0),Stats!$E$6,Stats!$E$5),Stats!$E$4),""))</f>
        <v>Death</v>
      </c>
      <c r="C376" s="39" t="s">
        <v>284</v>
      </c>
      <c r="D376" s="315"/>
      <c r="E376" s="88">
        <v>43204</v>
      </c>
      <c r="F376" s="316">
        <v>43579</v>
      </c>
      <c r="G376" s="316">
        <v>36893</v>
      </c>
      <c r="H376" s="317" t="s">
        <v>3142</v>
      </c>
      <c r="I376" s="317"/>
      <c r="J376" s="317" t="s">
        <v>3186</v>
      </c>
      <c r="K376" s="315" t="s">
        <v>3823</v>
      </c>
      <c r="L376" s="315" t="s">
        <v>3177</v>
      </c>
      <c r="M376" s="317" t="s">
        <v>3223</v>
      </c>
      <c r="N376" s="320" t="s">
        <v>3818</v>
      </c>
      <c r="O376" s="317" t="s">
        <v>51</v>
      </c>
      <c r="P376" s="318" t="s">
        <v>3728</v>
      </c>
      <c r="Q376" s="318">
        <v>500</v>
      </c>
      <c r="R376" s="317"/>
      <c r="S376" s="317"/>
      <c r="T376" s="317"/>
      <c r="U376" s="317" t="s">
        <v>3824</v>
      </c>
      <c r="V376" s="317" t="s">
        <v>3345</v>
      </c>
      <c r="W376" s="317"/>
      <c r="X376" s="317"/>
      <c r="Y376" s="319"/>
    </row>
    <row r="377" spans="1:25" s="91" customFormat="1" hidden="1" x14ac:dyDescent="0.25">
      <c r="A377" s="32" t="s">
        <v>1106</v>
      </c>
      <c r="B377" s="315" t="str">
        <f>IF((COUNTBLANK(G377)=0),Stats!$E$7,IF((COUNTBLANK(E377)=0),IF((COUNTBLANK(F377)=0),IF((COUNTBLANK(U377)=0),Stats!$E$6,Stats!$E$5),Stats!$E$4),""))</f>
        <v>Death</v>
      </c>
      <c r="C377" s="39" t="s">
        <v>284</v>
      </c>
      <c r="D377" s="315"/>
      <c r="E377" s="88">
        <v>43204</v>
      </c>
      <c r="F377" s="316">
        <v>43579</v>
      </c>
      <c r="G377" s="316">
        <v>36893</v>
      </c>
      <c r="H377" s="317" t="s">
        <v>3142</v>
      </c>
      <c r="I377" s="317"/>
      <c r="J377" s="317" t="s">
        <v>3186</v>
      </c>
      <c r="K377" s="315" t="s">
        <v>3823</v>
      </c>
      <c r="L377" s="315" t="s">
        <v>3177</v>
      </c>
      <c r="M377" s="317" t="s">
        <v>3223</v>
      </c>
      <c r="N377" s="320" t="s">
        <v>3818</v>
      </c>
      <c r="O377" s="317" t="s">
        <v>51</v>
      </c>
      <c r="P377" s="318" t="s">
        <v>3728</v>
      </c>
      <c r="Q377" s="318">
        <v>500</v>
      </c>
      <c r="R377" s="317"/>
      <c r="S377" s="317"/>
      <c r="T377" s="317"/>
      <c r="U377" s="317" t="s">
        <v>3825</v>
      </c>
      <c r="V377" s="317" t="s">
        <v>3826</v>
      </c>
      <c r="W377" s="317" t="s">
        <v>3345</v>
      </c>
      <c r="X377" s="317"/>
      <c r="Y377" s="319"/>
    </row>
    <row r="378" spans="1:25" s="91" customFormat="1" hidden="1" x14ac:dyDescent="0.25">
      <c r="A378" s="32" t="s">
        <v>1107</v>
      </c>
      <c r="B378" s="315" t="str">
        <f>IF((COUNTBLANK(G378)=0),Stats!$E$7,IF((COUNTBLANK(E378)=0),IF((COUNTBLANK(F378)=0),IF((COUNTBLANK(U378)=0),Stats!$E$6,Stats!$E$5),Stats!$E$4),""))</f>
        <v>Death</v>
      </c>
      <c r="C378" s="39" t="s">
        <v>284</v>
      </c>
      <c r="D378" s="315"/>
      <c r="E378" s="88">
        <v>43204</v>
      </c>
      <c r="F378" s="316">
        <v>43584</v>
      </c>
      <c r="G378" s="316">
        <v>36893</v>
      </c>
      <c r="H378" s="317" t="s">
        <v>3142</v>
      </c>
      <c r="I378" s="317"/>
      <c r="J378" s="317" t="s">
        <v>3186</v>
      </c>
      <c r="K378" s="315" t="s">
        <v>3823</v>
      </c>
      <c r="L378" s="315" t="s">
        <v>3177</v>
      </c>
      <c r="M378" s="317" t="s">
        <v>3223</v>
      </c>
      <c r="N378" s="320" t="s">
        <v>3818</v>
      </c>
      <c r="O378" s="317" t="s">
        <v>51</v>
      </c>
      <c r="P378" s="318" t="s">
        <v>3728</v>
      </c>
      <c r="Q378" s="318">
        <v>500</v>
      </c>
      <c r="R378" s="317"/>
      <c r="S378" s="317"/>
      <c r="T378" s="317"/>
      <c r="U378" s="317" t="s">
        <v>3827</v>
      </c>
      <c r="V378" s="317" t="s">
        <v>3345</v>
      </c>
      <c r="W378" s="317"/>
      <c r="X378" s="317"/>
      <c r="Y378" s="319"/>
    </row>
    <row r="379" spans="1:25" s="91" customFormat="1" hidden="1" x14ac:dyDescent="0.25">
      <c r="A379" s="32" t="s">
        <v>1108</v>
      </c>
      <c r="B379" s="315" t="str">
        <f>IF((COUNTBLANK(G379)=0),Stats!$E$7,IF((COUNTBLANK(E379)=0),IF((COUNTBLANK(F379)=0),IF((COUNTBLANK(U379)=0),Stats!$E$6,Stats!$E$5),Stats!$E$4),""))</f>
        <v>Death</v>
      </c>
      <c r="C379" s="39" t="s">
        <v>284</v>
      </c>
      <c r="D379" s="315"/>
      <c r="E379" s="88">
        <v>43195</v>
      </c>
      <c r="F379" s="316">
        <v>43591</v>
      </c>
      <c r="G379" s="316">
        <v>36893</v>
      </c>
      <c r="H379" s="317" t="s">
        <v>3143</v>
      </c>
      <c r="I379" s="317"/>
      <c r="J379" s="317" t="s">
        <v>152</v>
      </c>
      <c r="K379" s="315" t="s">
        <v>3177</v>
      </c>
      <c r="L379" s="315" t="s">
        <v>3828</v>
      </c>
      <c r="M379" s="317"/>
      <c r="N379" s="320"/>
      <c r="O379" s="317" t="s">
        <v>51</v>
      </c>
      <c r="P379" s="318">
        <v>-500</v>
      </c>
      <c r="Q379" s="318">
        <v>400</v>
      </c>
      <c r="R379" s="317"/>
      <c r="S379" s="317"/>
      <c r="T379" s="317" t="s">
        <v>3531</v>
      </c>
      <c r="U379" s="317"/>
      <c r="V379" s="317"/>
      <c r="W379" s="317"/>
      <c r="X379" s="317" t="s">
        <v>3829</v>
      </c>
      <c r="Y379" s="319"/>
    </row>
    <row r="380" spans="1:25" s="91" customFormat="1" hidden="1" x14ac:dyDescent="0.25">
      <c r="A380" s="32" t="s">
        <v>1109</v>
      </c>
      <c r="B380" s="315" t="str">
        <f>IF((COUNTBLANK(G380)=0),Stats!$E$7,IF((COUNTBLANK(E380)=0),IF((COUNTBLANK(F380)=0),IF((COUNTBLANK(U380)=0),Stats!$E$6,Stats!$E$5),Stats!$E$4),""))</f>
        <v>Death</v>
      </c>
      <c r="C380" s="39" t="s">
        <v>284</v>
      </c>
      <c r="D380" s="315"/>
      <c r="E380" s="88">
        <v>43580</v>
      </c>
      <c r="F380" s="88">
        <v>43580</v>
      </c>
      <c r="G380" s="316">
        <v>36893</v>
      </c>
      <c r="H380" s="317" t="s">
        <v>3148</v>
      </c>
      <c r="I380" s="49"/>
      <c r="J380" s="49" t="s">
        <v>3102</v>
      </c>
      <c r="K380" s="315" t="s">
        <v>3828</v>
      </c>
      <c r="L380" s="58" t="s">
        <v>3223</v>
      </c>
      <c r="M380" s="49"/>
      <c r="N380" s="320"/>
      <c r="O380" s="49" t="s">
        <v>51</v>
      </c>
      <c r="P380" s="67">
        <v>-350</v>
      </c>
      <c r="Q380" s="67" t="s">
        <v>3830</v>
      </c>
      <c r="R380" s="49" t="s">
        <v>3831</v>
      </c>
      <c r="S380" s="49"/>
      <c r="T380" s="49"/>
      <c r="U380" s="49"/>
      <c r="V380" s="49"/>
      <c r="W380" s="49"/>
      <c r="X380" s="49"/>
      <c r="Y380" s="95"/>
    </row>
    <row r="381" spans="1:25" s="92" customFormat="1" hidden="1" x14ac:dyDescent="0.25">
      <c r="A381" s="32" t="s">
        <v>1110</v>
      </c>
      <c r="B381" s="315" t="str">
        <f>IF((COUNTBLANK(G381)=0),Stats!$E$7,IF((COUNTBLANK(E381)=0),IF((COUNTBLANK(F381)=0),IF((COUNTBLANK(U381)=0),Stats!$E$6,Stats!$E$5),Stats!$E$4),""))</f>
        <v>Death</v>
      </c>
      <c r="C381" s="39" t="s">
        <v>284</v>
      </c>
      <c r="D381" s="315"/>
      <c r="E381" s="88">
        <v>43580</v>
      </c>
      <c r="F381" s="316">
        <v>43580</v>
      </c>
      <c r="G381" s="316">
        <v>36893</v>
      </c>
      <c r="H381" s="317" t="s">
        <v>3148</v>
      </c>
      <c r="I381" s="317"/>
      <c r="J381" s="49" t="s">
        <v>3102</v>
      </c>
      <c r="K381" s="315" t="s">
        <v>3828</v>
      </c>
      <c r="L381" s="58" t="s">
        <v>3223</v>
      </c>
      <c r="M381" s="317"/>
      <c r="N381" s="320"/>
      <c r="O381" s="317" t="s">
        <v>51</v>
      </c>
      <c r="P381" s="318">
        <v>-350</v>
      </c>
      <c r="Q381" s="318" t="s">
        <v>3577</v>
      </c>
      <c r="R381" s="317" t="s">
        <v>3832</v>
      </c>
      <c r="S381" s="317"/>
      <c r="T381" s="317"/>
      <c r="U381" s="317" t="s">
        <v>3833</v>
      </c>
      <c r="V381" s="317" t="s">
        <v>3834</v>
      </c>
      <c r="W381" s="317"/>
      <c r="X381" s="317" t="s">
        <v>3835</v>
      </c>
      <c r="Y381" s="319"/>
    </row>
    <row r="382" spans="1:25" s="91" customFormat="1" hidden="1" x14ac:dyDescent="0.25">
      <c r="A382" s="32" t="s">
        <v>1111</v>
      </c>
      <c r="B382" s="315" t="str">
        <f>IF((COUNTBLANK(G382)=0),Stats!$E$7,IF((COUNTBLANK(E382)=0),IF((COUNTBLANK(F382)=0),IF((COUNTBLANK(U382)=0),Stats!$E$6,Stats!$E$5),Stats!$E$4),""))</f>
        <v>Death</v>
      </c>
      <c r="C382" s="39" t="s">
        <v>3117</v>
      </c>
      <c r="D382" s="315"/>
      <c r="E382" s="88">
        <v>43579</v>
      </c>
      <c r="F382" s="316">
        <v>43579</v>
      </c>
      <c r="G382" s="316">
        <v>36893</v>
      </c>
      <c r="H382" s="317" t="s">
        <v>3148</v>
      </c>
      <c r="I382" s="317"/>
      <c r="J382" s="317" t="s">
        <v>3186</v>
      </c>
      <c r="K382" s="315" t="s">
        <v>3222</v>
      </c>
      <c r="L382" s="315" t="s">
        <v>3223</v>
      </c>
      <c r="M382" s="317" t="s">
        <v>3093</v>
      </c>
      <c r="N382" s="320" t="s">
        <v>3836</v>
      </c>
      <c r="O382" s="317" t="s">
        <v>51</v>
      </c>
      <c r="P382" s="318">
        <v>-650</v>
      </c>
      <c r="Q382" s="318">
        <v>170</v>
      </c>
      <c r="R382" s="317" t="s">
        <v>3831</v>
      </c>
      <c r="S382" s="317"/>
      <c r="T382" s="317"/>
      <c r="U382" s="317"/>
      <c r="V382" s="317"/>
      <c r="W382" s="317"/>
      <c r="X382" s="317"/>
      <c r="Y382" s="319"/>
    </row>
    <row r="383" spans="1:25" s="91" customFormat="1" hidden="1" x14ac:dyDescent="0.25">
      <c r="A383" s="32" t="s">
        <v>1112</v>
      </c>
      <c r="B383" s="315" t="str">
        <f>IF((COUNTBLANK(G383)=0),Stats!$E$7,IF((COUNTBLANK(E383)=0),IF((COUNTBLANK(F383)=0),IF((COUNTBLANK(U383)=0),Stats!$E$6,Stats!$E$5),Stats!$E$4),""))</f>
        <v>Death</v>
      </c>
      <c r="C383" s="39" t="s">
        <v>3117</v>
      </c>
      <c r="D383" s="315"/>
      <c r="E383" s="88">
        <v>43579</v>
      </c>
      <c r="F383" s="316">
        <v>43579</v>
      </c>
      <c r="G383" s="316">
        <v>36893</v>
      </c>
      <c r="H383" s="317" t="s">
        <v>3148</v>
      </c>
      <c r="I383" s="317"/>
      <c r="J383" s="317" t="s">
        <v>3186</v>
      </c>
      <c r="K383" s="315" t="s">
        <v>3222</v>
      </c>
      <c r="L383" s="315" t="s">
        <v>3223</v>
      </c>
      <c r="M383" s="317" t="s">
        <v>3093</v>
      </c>
      <c r="N383" s="320" t="s">
        <v>3836</v>
      </c>
      <c r="O383" s="317" t="s">
        <v>51</v>
      </c>
      <c r="P383" s="318">
        <v>-650</v>
      </c>
      <c r="Q383" s="318">
        <v>170</v>
      </c>
      <c r="R383" s="317" t="s">
        <v>3831</v>
      </c>
      <c r="S383" s="317"/>
      <c r="T383" s="317"/>
      <c r="U383" s="317"/>
      <c r="V383" s="317"/>
      <c r="W383" s="317"/>
      <c r="X383" s="317"/>
      <c r="Y383" s="319"/>
    </row>
    <row r="384" spans="1:25" s="91" customFormat="1" hidden="1" x14ac:dyDescent="0.25">
      <c r="A384" s="32" t="s">
        <v>1113</v>
      </c>
      <c r="B384" s="315" t="str">
        <f>IF((COUNTBLANK(G384)=0),Stats!$E$7,IF((COUNTBLANK(E384)=0),IF((COUNTBLANK(F384)=0),IF((COUNTBLANK(U384)=0),Stats!$E$6,Stats!$E$5),Stats!$E$4),""))</f>
        <v>Death</v>
      </c>
      <c r="C384" s="39" t="s">
        <v>3117</v>
      </c>
      <c r="D384" s="315"/>
      <c r="E384" s="88">
        <v>43579</v>
      </c>
      <c r="F384" s="316">
        <v>43579</v>
      </c>
      <c r="G384" s="316">
        <v>36893</v>
      </c>
      <c r="H384" s="317" t="s">
        <v>3148</v>
      </c>
      <c r="I384" s="317"/>
      <c r="J384" s="317" t="s">
        <v>3186</v>
      </c>
      <c r="K384" s="315" t="s">
        <v>3222</v>
      </c>
      <c r="L384" s="315" t="s">
        <v>3223</v>
      </c>
      <c r="M384" s="317" t="s">
        <v>3093</v>
      </c>
      <c r="N384" s="320" t="s">
        <v>3836</v>
      </c>
      <c r="O384" s="317" t="s">
        <v>51</v>
      </c>
      <c r="P384" s="318">
        <v>-650</v>
      </c>
      <c r="Q384" s="318">
        <v>170</v>
      </c>
      <c r="R384" s="317" t="s">
        <v>3831</v>
      </c>
      <c r="S384" s="317"/>
      <c r="T384" s="317"/>
      <c r="U384" s="317"/>
      <c r="V384" s="317"/>
      <c r="W384" s="317"/>
      <c r="X384" s="317"/>
      <c r="Y384" s="319"/>
    </row>
    <row r="385" spans="1:25" s="91" customFormat="1" hidden="1" x14ac:dyDescent="0.25">
      <c r="A385" s="32" t="s">
        <v>1114</v>
      </c>
      <c r="B385" s="315" t="str">
        <f>IF((COUNTBLANK(G385)=0),Stats!$E$7,IF((COUNTBLANK(E385)=0),IF((COUNTBLANK(F385)=0),IF((COUNTBLANK(U385)=0),Stats!$E$6,Stats!$E$5),Stats!$E$4),""))</f>
        <v>Death</v>
      </c>
      <c r="C385" s="39" t="s">
        <v>3117</v>
      </c>
      <c r="D385" s="315"/>
      <c r="E385" s="88">
        <v>43598</v>
      </c>
      <c r="F385" s="316">
        <v>43605</v>
      </c>
      <c r="G385" s="316">
        <v>36893</v>
      </c>
      <c r="H385" s="317" t="s">
        <v>3142</v>
      </c>
      <c r="I385" s="317"/>
      <c r="J385" s="317" t="s">
        <v>152</v>
      </c>
      <c r="K385" s="315" t="s">
        <v>3661</v>
      </c>
      <c r="L385" s="315" t="s">
        <v>3765</v>
      </c>
      <c r="M385" s="317" t="s">
        <v>3809</v>
      </c>
      <c r="N385" s="320" t="s">
        <v>3837</v>
      </c>
      <c r="O385" s="317" t="s">
        <v>51</v>
      </c>
      <c r="P385" s="318" t="s">
        <v>3838</v>
      </c>
      <c r="Q385" s="318" t="s">
        <v>3635</v>
      </c>
      <c r="R385" s="317" t="s">
        <v>3839</v>
      </c>
      <c r="S385" s="317"/>
      <c r="T385" s="317" t="s">
        <v>3636</v>
      </c>
      <c r="U385" s="317" t="s">
        <v>3840</v>
      </c>
      <c r="V385" s="317"/>
      <c r="W385" s="317"/>
      <c r="X385" s="317" t="s">
        <v>3762</v>
      </c>
      <c r="Y385" s="319"/>
    </row>
    <row r="386" spans="1:25" s="91" customFormat="1" hidden="1" x14ac:dyDescent="0.25">
      <c r="A386" s="32" t="s">
        <v>1115</v>
      </c>
      <c r="B386" s="315" t="str">
        <f>IF((COUNTBLANK(G386)=0),Stats!$E$7,IF((COUNTBLANK(E386)=0),IF((COUNTBLANK(F386)=0),IF((COUNTBLANK(U386)=0),Stats!$E$6,Stats!$E$5),Stats!$E$4),""))</f>
        <v>Death</v>
      </c>
      <c r="C386" s="39" t="s">
        <v>284</v>
      </c>
      <c r="D386" s="315"/>
      <c r="E386" s="88">
        <v>43598</v>
      </c>
      <c r="F386" s="316">
        <v>43605</v>
      </c>
      <c r="G386" s="316">
        <v>36893</v>
      </c>
      <c r="H386" s="317" t="s">
        <v>3142</v>
      </c>
      <c r="I386" s="317"/>
      <c r="J386" s="317" t="s">
        <v>152</v>
      </c>
      <c r="K386" s="315" t="s">
        <v>3661</v>
      </c>
      <c r="L386" s="315" t="s">
        <v>3765</v>
      </c>
      <c r="M386" s="317" t="s">
        <v>3809</v>
      </c>
      <c r="N386" s="320" t="s">
        <v>3837</v>
      </c>
      <c r="O386" s="317" t="s">
        <v>51</v>
      </c>
      <c r="P386" s="318">
        <v>-600</v>
      </c>
      <c r="Q386" s="318">
        <v>600</v>
      </c>
      <c r="R386" s="317"/>
      <c r="S386" s="317"/>
      <c r="T386" s="317"/>
      <c r="U386" s="317"/>
      <c r="V386" s="317"/>
      <c r="W386" s="317"/>
      <c r="X386" s="317" t="s">
        <v>3841</v>
      </c>
      <c r="Y386" s="319"/>
    </row>
    <row r="387" spans="1:25" s="91" customFormat="1" hidden="1" x14ac:dyDescent="0.25">
      <c r="A387" s="32" t="s">
        <v>1116</v>
      </c>
      <c r="B387" s="315" t="str">
        <f>IF((COUNTBLANK(G387)=0),Stats!$E$7,IF((COUNTBLANK(E387)=0),IF((COUNTBLANK(F387)=0),IF((COUNTBLANK(U387)=0),Stats!$E$6,Stats!$E$5),Stats!$E$4),""))</f>
        <v>Death</v>
      </c>
      <c r="C387" s="39" t="s">
        <v>3117</v>
      </c>
      <c r="D387" s="315"/>
      <c r="E387" s="88">
        <v>43599</v>
      </c>
      <c r="F387" s="316">
        <v>43599</v>
      </c>
      <c r="G387" s="316">
        <v>36893</v>
      </c>
      <c r="H387" s="317" t="s">
        <v>3148</v>
      </c>
      <c r="I387" s="317"/>
      <c r="J387" s="317" t="s">
        <v>3095</v>
      </c>
      <c r="K387" s="315" t="s">
        <v>3842</v>
      </c>
      <c r="L387" s="315"/>
      <c r="M387" s="317"/>
      <c r="N387" s="320"/>
      <c r="O387" s="317" t="s">
        <v>51</v>
      </c>
      <c r="P387" s="318">
        <v>-500</v>
      </c>
      <c r="Q387" s="318">
        <v>300</v>
      </c>
      <c r="R387" s="317"/>
      <c r="S387" s="317"/>
      <c r="T387" s="317"/>
      <c r="U387" s="317"/>
      <c r="V387" s="317"/>
      <c r="W387" s="317"/>
      <c r="X387" s="317" t="s">
        <v>3843</v>
      </c>
      <c r="Y387" s="319"/>
    </row>
    <row r="388" spans="1:25" s="91" customFormat="1" hidden="1" x14ac:dyDescent="0.25">
      <c r="A388" s="32" t="s">
        <v>1117</v>
      </c>
      <c r="B388" s="315" t="str">
        <f>IF((COUNTBLANK(G388)=0),Stats!$E$7,IF((COUNTBLANK(E388)=0),IF((COUNTBLANK(F388)=0),IF((COUNTBLANK(U388)=0),Stats!$E$6,Stats!$E$5),Stats!$E$4),""))</f>
        <v>Death</v>
      </c>
      <c r="C388" s="39" t="s">
        <v>3117</v>
      </c>
      <c r="D388" s="315"/>
      <c r="E388" s="88">
        <v>43599</v>
      </c>
      <c r="F388" s="316">
        <v>43599</v>
      </c>
      <c r="G388" s="316">
        <v>36893</v>
      </c>
      <c r="H388" s="317" t="s">
        <v>3148</v>
      </c>
      <c r="I388" s="317"/>
      <c r="J388" s="317" t="s">
        <v>3095</v>
      </c>
      <c r="K388" s="315" t="s">
        <v>3842</v>
      </c>
      <c r="L388" s="315"/>
      <c r="M388" s="317"/>
      <c r="N388" s="320"/>
      <c r="O388" s="317" t="s">
        <v>51</v>
      </c>
      <c r="P388" s="318">
        <v>-500</v>
      </c>
      <c r="Q388" s="318">
        <v>300</v>
      </c>
      <c r="R388" s="317" t="s">
        <v>3844</v>
      </c>
      <c r="S388" s="317"/>
      <c r="T388" s="317"/>
      <c r="U388" s="317"/>
      <c r="V388" s="317"/>
      <c r="W388" s="317"/>
      <c r="X388" s="317" t="s">
        <v>3845</v>
      </c>
      <c r="Y388" s="319"/>
    </row>
    <row r="389" spans="1:25" s="91" customFormat="1" hidden="1" x14ac:dyDescent="0.25">
      <c r="A389" s="32" t="s">
        <v>1118</v>
      </c>
      <c r="B389" s="315" t="str">
        <f>IF((COUNTBLANK(G389)=0),Stats!$E$7,IF((COUNTBLANK(E389)=0),IF((COUNTBLANK(F389)=0),IF((COUNTBLANK(U389)=0),Stats!$E$6,Stats!$E$5),Stats!$E$4),""))</f>
        <v>Death</v>
      </c>
      <c r="C389" s="39" t="s">
        <v>3117</v>
      </c>
      <c r="D389" s="315"/>
      <c r="E389" s="88">
        <v>43599</v>
      </c>
      <c r="F389" s="316">
        <v>43599</v>
      </c>
      <c r="G389" s="316">
        <v>36893</v>
      </c>
      <c r="H389" s="317" t="s">
        <v>3148</v>
      </c>
      <c r="I389" s="317"/>
      <c r="J389" s="317" t="s">
        <v>3095</v>
      </c>
      <c r="K389" s="315" t="s">
        <v>3842</v>
      </c>
      <c r="L389" s="315"/>
      <c r="M389" s="317"/>
      <c r="N389" s="320"/>
      <c r="O389" s="317" t="s">
        <v>51</v>
      </c>
      <c r="P389" s="318">
        <v>-500</v>
      </c>
      <c r="Q389" s="318">
        <v>300</v>
      </c>
      <c r="R389" s="317"/>
      <c r="S389" s="317"/>
      <c r="T389" s="317"/>
      <c r="U389" s="317"/>
      <c r="V389" s="317"/>
      <c r="W389" s="317"/>
      <c r="X389" s="317"/>
      <c r="Y389" s="319"/>
    </row>
    <row r="390" spans="1:25" s="91" customFormat="1" hidden="1" x14ac:dyDescent="0.25">
      <c r="A390" s="32" t="s">
        <v>1119</v>
      </c>
      <c r="B390" s="315" t="str">
        <f>IF((COUNTBLANK(G390)=0),Stats!$E$7,IF((COUNTBLANK(E390)=0),IF((COUNTBLANK(F390)=0),IF((COUNTBLANK(U390)=0),Stats!$E$6,Stats!$E$5),Stats!$E$4),""))</f>
        <v>Death</v>
      </c>
      <c r="C390" s="39" t="s">
        <v>3117</v>
      </c>
      <c r="D390" s="315"/>
      <c r="E390" s="88">
        <v>43599</v>
      </c>
      <c r="F390" s="316">
        <v>43599</v>
      </c>
      <c r="G390" s="316">
        <v>36893</v>
      </c>
      <c r="H390" s="317" t="s">
        <v>3148</v>
      </c>
      <c r="I390" s="317"/>
      <c r="J390" s="317" t="s">
        <v>152</v>
      </c>
      <c r="K390" s="315" t="s">
        <v>3842</v>
      </c>
      <c r="L390" s="315"/>
      <c r="M390" s="317"/>
      <c r="N390" s="320"/>
      <c r="O390" s="317" t="s">
        <v>51</v>
      </c>
      <c r="P390" s="318">
        <v>-500</v>
      </c>
      <c r="Q390" s="318">
        <v>300</v>
      </c>
      <c r="R390" s="317"/>
      <c r="S390" s="317"/>
      <c r="T390" s="317"/>
      <c r="U390" s="317"/>
      <c r="V390" s="317"/>
      <c r="W390" s="317"/>
      <c r="X390" s="317" t="s">
        <v>3762</v>
      </c>
      <c r="Y390" s="319"/>
    </row>
    <row r="391" spans="1:25" s="91" customFormat="1" hidden="1" x14ac:dyDescent="0.25">
      <c r="A391" s="32" t="s">
        <v>1120</v>
      </c>
      <c r="B391" s="315" t="str">
        <f>IF((COUNTBLANK(G391)=0),Stats!$E$7,IF((COUNTBLANK(E391)=0),IF((COUNTBLANK(F391)=0),IF((COUNTBLANK(U391)=0),Stats!$E$6,Stats!$E$5),Stats!$E$4),""))</f>
        <v>Death</v>
      </c>
      <c r="C391" s="39" t="s">
        <v>3117</v>
      </c>
      <c r="D391" s="315"/>
      <c r="E391" s="88">
        <v>43620</v>
      </c>
      <c r="F391" s="316">
        <v>43620</v>
      </c>
      <c r="G391" s="316">
        <v>36893</v>
      </c>
      <c r="H391" s="317" t="s">
        <v>3148</v>
      </c>
      <c r="I391" s="317"/>
      <c r="J391" s="317" t="s">
        <v>152</v>
      </c>
      <c r="K391" s="315" t="s">
        <v>3842</v>
      </c>
      <c r="L391" s="315"/>
      <c r="M391" s="317"/>
      <c r="N391" s="320"/>
      <c r="O391" s="317" t="s">
        <v>51</v>
      </c>
      <c r="P391" s="318">
        <v>-400</v>
      </c>
      <c r="Q391" s="318" t="s">
        <v>3846</v>
      </c>
      <c r="R391" s="317" t="s">
        <v>3847</v>
      </c>
      <c r="S391" s="317"/>
      <c r="T391" s="317"/>
      <c r="U391" s="317" t="s">
        <v>3848</v>
      </c>
      <c r="V391" s="317"/>
      <c r="W391" s="317"/>
      <c r="X391" s="317" t="s">
        <v>3849</v>
      </c>
      <c r="Y391" s="319"/>
    </row>
    <row r="392" spans="1:25" s="91" customFormat="1" hidden="1" x14ac:dyDescent="0.25">
      <c r="A392" s="32" t="s">
        <v>1121</v>
      </c>
      <c r="B392" s="315" t="str">
        <f>IF((COUNTBLANK(G392)=0),Stats!$E$7,IF((COUNTBLANK(E392)=0),IF((COUNTBLANK(F392)=0),IF((COUNTBLANK(U392)=0),Stats!$E$6,Stats!$E$5),Stats!$E$4),""))</f>
        <v>Death</v>
      </c>
      <c r="C392" s="39" t="s">
        <v>3117</v>
      </c>
      <c r="D392" s="315"/>
      <c r="E392" s="88">
        <v>43620</v>
      </c>
      <c r="F392" s="316">
        <v>43620</v>
      </c>
      <c r="G392" s="316">
        <v>36893</v>
      </c>
      <c r="H392" s="317" t="s">
        <v>3148</v>
      </c>
      <c r="I392" s="317"/>
      <c r="J392" s="317" t="s">
        <v>152</v>
      </c>
      <c r="K392" s="315" t="s">
        <v>3842</v>
      </c>
      <c r="L392" s="315"/>
      <c r="M392" s="317"/>
      <c r="N392" s="320"/>
      <c r="O392" s="317" t="s">
        <v>51</v>
      </c>
      <c r="P392" s="318">
        <v>-500</v>
      </c>
      <c r="Q392" s="318" t="s">
        <v>3846</v>
      </c>
      <c r="R392" s="317" t="s">
        <v>3847</v>
      </c>
      <c r="S392" s="317"/>
      <c r="T392" s="317"/>
      <c r="U392" s="317" t="s">
        <v>3850</v>
      </c>
      <c r="V392" s="317"/>
      <c r="W392" s="317"/>
      <c r="X392" s="317" t="s">
        <v>3851</v>
      </c>
      <c r="Y392" s="319"/>
    </row>
    <row r="393" spans="1:25" s="91" customFormat="1" hidden="1" x14ac:dyDescent="0.25">
      <c r="A393" s="32" t="s">
        <v>1122</v>
      </c>
      <c r="B393" s="315" t="str">
        <f>IF((COUNTBLANK(G393)=0),Stats!$E$7,IF((COUNTBLANK(E393)=0),IF((COUNTBLANK(F393)=0),IF((COUNTBLANK(U393)=0),Stats!$E$6,Stats!$E$5),Stats!$E$4),""))</f>
        <v>Death</v>
      </c>
      <c r="C393" s="39" t="s">
        <v>3117</v>
      </c>
      <c r="D393" s="315"/>
      <c r="E393" s="88">
        <v>43620</v>
      </c>
      <c r="F393" s="316">
        <v>43620</v>
      </c>
      <c r="G393" s="316">
        <v>36893</v>
      </c>
      <c r="H393" s="317" t="s">
        <v>3148</v>
      </c>
      <c r="I393" s="317"/>
      <c r="J393" s="317" t="s">
        <v>152</v>
      </c>
      <c r="K393" s="315" t="s">
        <v>3842</v>
      </c>
      <c r="L393" s="315"/>
      <c r="M393" s="317"/>
      <c r="N393" s="320"/>
      <c r="O393" s="317" t="s">
        <v>51</v>
      </c>
      <c r="P393" s="318">
        <v>-500</v>
      </c>
      <c r="Q393" s="318" t="s">
        <v>3846</v>
      </c>
      <c r="R393" s="317" t="s">
        <v>3852</v>
      </c>
      <c r="S393" s="317"/>
      <c r="T393" s="317"/>
      <c r="U393" s="317" t="s">
        <v>3853</v>
      </c>
      <c r="V393" s="317"/>
      <c r="W393" s="317"/>
      <c r="X393" s="317" t="s">
        <v>3854</v>
      </c>
      <c r="Y393" s="319"/>
    </row>
    <row r="394" spans="1:25" s="91" customFormat="1" hidden="1" x14ac:dyDescent="0.25">
      <c r="A394" s="32" t="s">
        <v>1123</v>
      </c>
      <c r="B394" s="315" t="str">
        <f>IF((COUNTBLANK(G394)=0),Stats!$E$7,IF((COUNTBLANK(E394)=0),IF((COUNTBLANK(F394)=0),IF((COUNTBLANK(U394)=0),Stats!$E$6,Stats!$E$5),Stats!$E$4),""))</f>
        <v>Death</v>
      </c>
      <c r="C394" s="39" t="s">
        <v>284</v>
      </c>
      <c r="D394" s="315"/>
      <c r="E394" s="88">
        <v>43617</v>
      </c>
      <c r="F394" s="316">
        <v>43634</v>
      </c>
      <c r="G394" s="316">
        <v>36893</v>
      </c>
      <c r="H394" s="317" t="s">
        <v>3142</v>
      </c>
      <c r="I394" s="317"/>
      <c r="J394" s="317" t="s">
        <v>152</v>
      </c>
      <c r="K394" s="315" t="s">
        <v>3855</v>
      </c>
      <c r="L394" s="315"/>
      <c r="M394" s="317"/>
      <c r="N394" s="320"/>
      <c r="O394" s="317" t="s">
        <v>51</v>
      </c>
      <c r="P394" s="318">
        <v>-500</v>
      </c>
      <c r="Q394" s="318">
        <v>400</v>
      </c>
      <c r="R394" s="317"/>
      <c r="S394" s="317"/>
      <c r="T394" s="317" t="s">
        <v>3531</v>
      </c>
      <c r="U394" s="317" t="s">
        <v>3741</v>
      </c>
      <c r="V394" s="317" t="s">
        <v>3856</v>
      </c>
      <c r="W394" s="49" t="s">
        <v>3741</v>
      </c>
      <c r="X394" s="317"/>
      <c r="Y394" s="319"/>
    </row>
    <row r="395" spans="1:25" s="91" customFormat="1" hidden="1" x14ac:dyDescent="0.25">
      <c r="A395" s="32" t="s">
        <v>1124</v>
      </c>
      <c r="B395" s="315" t="str">
        <f>IF((COUNTBLANK(G395)=0),Stats!$E$7,IF((COUNTBLANK(E395)=0),IF((COUNTBLANK(F395)=0),IF((COUNTBLANK(U395)=0),Stats!$E$6,Stats!$E$5),Stats!$E$4),""))</f>
        <v>Death</v>
      </c>
      <c r="C395" s="39" t="s">
        <v>284</v>
      </c>
      <c r="D395" s="315"/>
      <c r="E395" s="88">
        <v>43617</v>
      </c>
      <c r="F395" s="316">
        <v>43640</v>
      </c>
      <c r="G395" s="316">
        <v>36893</v>
      </c>
      <c r="H395" s="317" t="s">
        <v>3142</v>
      </c>
      <c r="I395" s="317"/>
      <c r="J395" s="317" t="s">
        <v>152</v>
      </c>
      <c r="K395" s="315" t="s">
        <v>3855</v>
      </c>
      <c r="L395" s="315"/>
      <c r="M395" s="317"/>
      <c r="N395" s="320"/>
      <c r="O395" s="317" t="s">
        <v>51</v>
      </c>
      <c r="P395" s="318">
        <v>-500</v>
      </c>
      <c r="Q395" s="318">
        <v>700</v>
      </c>
      <c r="R395" s="317"/>
      <c r="S395" s="317"/>
      <c r="T395" s="317"/>
      <c r="U395" s="317" t="s">
        <v>3857</v>
      </c>
      <c r="V395" s="317" t="s">
        <v>3741</v>
      </c>
      <c r="W395" s="317"/>
      <c r="X395" s="317"/>
      <c r="Y395" s="319"/>
    </row>
    <row r="396" spans="1:25" s="91" customFormat="1" hidden="1" x14ac:dyDescent="0.25">
      <c r="A396" s="32" t="s">
        <v>1125</v>
      </c>
      <c r="B396" s="315" t="str">
        <f>IF((COUNTBLANK(G396)=0),Stats!$E$7,IF((COUNTBLANK(E396)=0),IF((COUNTBLANK(F396)=0),IF((COUNTBLANK(U396)=0),Stats!$E$6,Stats!$E$5),Stats!$E$4),""))</f>
        <v>Death</v>
      </c>
      <c r="C396" s="39" t="s">
        <v>284</v>
      </c>
      <c r="D396" s="315"/>
      <c r="E396" s="88">
        <v>43617</v>
      </c>
      <c r="F396" s="316">
        <v>43641</v>
      </c>
      <c r="G396" s="316">
        <v>36893</v>
      </c>
      <c r="H396" s="317" t="s">
        <v>3142</v>
      </c>
      <c r="I396" s="317"/>
      <c r="J396" s="317" t="s">
        <v>152</v>
      </c>
      <c r="K396" s="315" t="s">
        <v>3855</v>
      </c>
      <c r="L396" s="315"/>
      <c r="M396" s="317"/>
      <c r="N396" s="320"/>
      <c r="O396" s="317" t="s">
        <v>51</v>
      </c>
      <c r="P396" s="318" t="s">
        <v>3728</v>
      </c>
      <c r="Q396" s="318" t="s">
        <v>3858</v>
      </c>
      <c r="R396" s="317" t="s">
        <v>3859</v>
      </c>
      <c r="S396" s="317"/>
      <c r="T396" s="317"/>
      <c r="U396" s="317" t="s">
        <v>3857</v>
      </c>
      <c r="V396" s="317"/>
      <c r="W396" s="317"/>
      <c r="X396" s="317"/>
      <c r="Y396" s="319"/>
    </row>
    <row r="397" spans="1:25" s="91" customFormat="1" hidden="1" x14ac:dyDescent="0.25">
      <c r="A397" s="32" t="s">
        <v>1126</v>
      </c>
      <c r="B397" s="315" t="str">
        <f>IF((COUNTBLANK(G397)=0),Stats!$E$7,IF((COUNTBLANK(E397)=0),IF((COUNTBLANK(F397)=0),IF((COUNTBLANK(U397)=0),Stats!$E$6,Stats!$E$5),Stats!$E$4),""))</f>
        <v>Death</v>
      </c>
      <c r="C397" s="39" t="s">
        <v>3117</v>
      </c>
      <c r="D397" s="315"/>
      <c r="E397" s="88">
        <v>43628</v>
      </c>
      <c r="F397" s="316">
        <v>43628</v>
      </c>
      <c r="G397" s="316">
        <v>36893</v>
      </c>
      <c r="H397" s="317" t="s">
        <v>3148</v>
      </c>
      <c r="I397" s="317"/>
      <c r="J397" s="317" t="s">
        <v>152</v>
      </c>
      <c r="K397" s="315" t="s">
        <v>3765</v>
      </c>
      <c r="L397" s="315" t="s">
        <v>3860</v>
      </c>
      <c r="M397" s="317"/>
      <c r="N397" s="320"/>
      <c r="O397" s="317" t="s">
        <v>51</v>
      </c>
      <c r="P397" s="318">
        <v>-600</v>
      </c>
      <c r="Q397" s="318" t="s">
        <v>3861</v>
      </c>
      <c r="R397" s="317" t="s">
        <v>3862</v>
      </c>
      <c r="S397" s="317"/>
      <c r="T397" s="317"/>
      <c r="U397" s="317"/>
      <c r="V397" s="317"/>
      <c r="W397" s="317"/>
      <c r="X397" s="317"/>
      <c r="Y397" s="319"/>
    </row>
    <row r="398" spans="1:25" s="91" customFormat="1" hidden="1" x14ac:dyDescent="0.25">
      <c r="A398" s="32" t="s">
        <v>1127</v>
      </c>
      <c r="B398" s="315" t="str">
        <f>IF((COUNTBLANK(G398)=0),Stats!$E$7,IF((COUNTBLANK(E398)=0),IF((COUNTBLANK(F398)=0),IF((COUNTBLANK(U398)=0),Stats!$E$6,Stats!$E$5),Stats!$E$4),""))</f>
        <v>Death</v>
      </c>
      <c r="C398" s="39" t="s">
        <v>3117</v>
      </c>
      <c r="D398" s="315"/>
      <c r="E398" s="88">
        <v>43628</v>
      </c>
      <c r="F398" s="316">
        <v>43628</v>
      </c>
      <c r="G398" s="316">
        <v>36893</v>
      </c>
      <c r="H398" s="317" t="s">
        <v>3148</v>
      </c>
      <c r="I398" s="317"/>
      <c r="J398" s="317" t="s">
        <v>152</v>
      </c>
      <c r="K398" s="315" t="s">
        <v>3765</v>
      </c>
      <c r="L398" s="315" t="s">
        <v>3860</v>
      </c>
      <c r="M398" s="317"/>
      <c r="N398" s="320"/>
      <c r="O398" s="317" t="s">
        <v>51</v>
      </c>
      <c r="P398" s="318">
        <v>-600</v>
      </c>
      <c r="Q398" s="318" t="s">
        <v>3861</v>
      </c>
      <c r="R398" s="317" t="s">
        <v>3862</v>
      </c>
      <c r="S398" s="317"/>
      <c r="T398" s="317"/>
      <c r="U398" s="317"/>
      <c r="V398" s="317"/>
      <c r="W398" s="317"/>
      <c r="X398" s="317"/>
      <c r="Y398" s="319"/>
    </row>
    <row r="399" spans="1:25" s="91" customFormat="1" hidden="1" x14ac:dyDescent="0.25">
      <c r="A399" s="32" t="s">
        <v>1128</v>
      </c>
      <c r="B399" s="315" t="str">
        <f>IF((COUNTBLANK(G399)=0),Stats!$E$7,IF((COUNTBLANK(E399)=0),IF((COUNTBLANK(F399)=0),IF((COUNTBLANK(U399)=0),Stats!$E$6,Stats!$E$5),Stats!$E$4),""))</f>
        <v>Death</v>
      </c>
      <c r="C399" s="39" t="s">
        <v>3117</v>
      </c>
      <c r="D399" s="315"/>
      <c r="E399" s="88">
        <v>43628</v>
      </c>
      <c r="F399" s="316">
        <v>43628</v>
      </c>
      <c r="G399" s="316">
        <v>36893</v>
      </c>
      <c r="H399" s="317" t="s">
        <v>3148</v>
      </c>
      <c r="I399" s="317"/>
      <c r="J399" s="317" t="s">
        <v>152</v>
      </c>
      <c r="K399" s="315" t="s">
        <v>3765</v>
      </c>
      <c r="L399" s="315" t="s">
        <v>3860</v>
      </c>
      <c r="M399" s="317"/>
      <c r="N399" s="320"/>
      <c r="O399" s="317" t="s">
        <v>51</v>
      </c>
      <c r="P399" s="318">
        <v>-600</v>
      </c>
      <c r="Q399" s="318">
        <v>350</v>
      </c>
      <c r="R399" s="317"/>
      <c r="S399" s="317"/>
      <c r="T399" s="317"/>
      <c r="U399" s="317"/>
      <c r="V399" s="317"/>
      <c r="W399" s="317"/>
      <c r="X399" s="317" t="s">
        <v>3835</v>
      </c>
      <c r="Y399" s="319"/>
    </row>
    <row r="400" spans="1:25" s="91" customFormat="1" hidden="1" x14ac:dyDescent="0.25">
      <c r="A400" s="32" t="s">
        <v>1129</v>
      </c>
      <c r="B400" s="315" t="str">
        <f>IF((COUNTBLANK(G400)=0),Stats!$E$7,IF((COUNTBLANK(E400)=0),IF((COUNTBLANK(F400)=0),IF((COUNTBLANK(U400)=0),Stats!$E$6,Stats!$E$5),Stats!$E$4),""))</f>
        <v>Death</v>
      </c>
      <c r="C400" s="39" t="s">
        <v>3117</v>
      </c>
      <c r="D400" s="315"/>
      <c r="E400" s="88">
        <v>43630</v>
      </c>
      <c r="F400" s="316">
        <v>43630</v>
      </c>
      <c r="G400" s="316">
        <v>36893</v>
      </c>
      <c r="H400" s="317" t="s">
        <v>3148</v>
      </c>
      <c r="I400" s="317"/>
      <c r="J400" s="317" t="s">
        <v>152</v>
      </c>
      <c r="K400" s="315" t="s">
        <v>3863</v>
      </c>
      <c r="L400" s="315"/>
      <c r="M400" s="317"/>
      <c r="N400" s="320"/>
      <c r="O400" s="317" t="s">
        <v>51</v>
      </c>
      <c r="P400" s="318">
        <v>-350</v>
      </c>
      <c r="Q400" s="318" t="s">
        <v>3864</v>
      </c>
      <c r="R400" s="317" t="s">
        <v>3865</v>
      </c>
      <c r="S400" s="317"/>
      <c r="T400" s="317"/>
      <c r="U400" s="317"/>
      <c r="V400" s="317"/>
      <c r="W400" s="317"/>
      <c r="X400" s="317"/>
      <c r="Y400" s="319"/>
    </row>
    <row r="401" spans="1:25" s="91" customFormat="1" hidden="1" x14ac:dyDescent="0.25">
      <c r="A401" s="32" t="s">
        <v>1130</v>
      </c>
      <c r="B401" s="315" t="str">
        <f>IF((COUNTBLANK(G401)=0),Stats!$E$7,IF((COUNTBLANK(E401)=0),IF((COUNTBLANK(F401)=0),IF((COUNTBLANK(U401)=0),Stats!$E$6,Stats!$E$5),Stats!$E$4),""))</f>
        <v>Death</v>
      </c>
      <c r="C401" s="39" t="s">
        <v>3117</v>
      </c>
      <c r="D401" s="315"/>
      <c r="E401" s="88">
        <v>43630</v>
      </c>
      <c r="F401" s="316">
        <v>43630</v>
      </c>
      <c r="G401" s="316">
        <v>36893</v>
      </c>
      <c r="H401" s="317" t="s">
        <v>3148</v>
      </c>
      <c r="I401" s="317"/>
      <c r="J401" s="317" t="s">
        <v>152</v>
      </c>
      <c r="K401" s="315" t="s">
        <v>3863</v>
      </c>
      <c r="L401" s="315"/>
      <c r="M401" s="317"/>
      <c r="N401" s="320"/>
      <c r="O401" s="317" t="s">
        <v>51</v>
      </c>
      <c r="P401" s="318">
        <v>-350</v>
      </c>
      <c r="Q401" s="318" t="s">
        <v>3864</v>
      </c>
      <c r="R401" s="317" t="s">
        <v>3866</v>
      </c>
      <c r="S401" s="317"/>
      <c r="T401" s="317"/>
      <c r="U401" s="317"/>
      <c r="V401" s="317"/>
      <c r="W401" s="317"/>
      <c r="X401" s="317"/>
      <c r="Y401" s="319"/>
    </row>
    <row r="402" spans="1:25" s="91" customFormat="1" hidden="1" x14ac:dyDescent="0.25">
      <c r="A402" s="32" t="s">
        <v>1131</v>
      </c>
      <c r="B402" s="315" t="str">
        <f>IF((COUNTBLANK(G402)=0),Stats!$E$7,IF((COUNTBLANK(E402)=0),IF((COUNTBLANK(F402)=0),IF((COUNTBLANK(U402)=0),Stats!$E$6,Stats!$E$5),Stats!$E$4),""))</f>
        <v>Death</v>
      </c>
      <c r="C402" s="39" t="s">
        <v>3117</v>
      </c>
      <c r="D402" s="315"/>
      <c r="E402" s="88">
        <v>43630</v>
      </c>
      <c r="F402" s="316">
        <v>43630</v>
      </c>
      <c r="G402" s="316">
        <v>36893</v>
      </c>
      <c r="H402" s="317" t="s">
        <v>3148</v>
      </c>
      <c r="I402" s="317"/>
      <c r="J402" s="317" t="s">
        <v>152</v>
      </c>
      <c r="K402" s="315" t="s">
        <v>3863</v>
      </c>
      <c r="L402" s="315"/>
      <c r="M402" s="317"/>
      <c r="N402" s="320"/>
      <c r="O402" s="317" t="s">
        <v>51</v>
      </c>
      <c r="P402" s="318">
        <v>-350</v>
      </c>
      <c r="Q402" s="318" t="s">
        <v>3867</v>
      </c>
      <c r="R402" s="317" t="s">
        <v>3866</v>
      </c>
      <c r="S402" s="317"/>
      <c r="T402" s="317"/>
      <c r="U402" s="317"/>
      <c r="V402" s="317"/>
      <c r="W402" s="317"/>
      <c r="X402" s="317" t="s">
        <v>3715</v>
      </c>
      <c r="Y402" s="319"/>
    </row>
    <row r="403" spans="1:25" s="91" customFormat="1" hidden="1" x14ac:dyDescent="0.25">
      <c r="A403" s="32" t="s">
        <v>1132</v>
      </c>
      <c r="B403" s="315" t="str">
        <f>IF((COUNTBLANK(G403)=0),Stats!$E$7,IF((COUNTBLANK(E403)=0),IF((COUNTBLANK(F403)=0),IF((COUNTBLANK(U403)=0),Stats!$E$6,Stats!$E$5),Stats!$E$4),""))</f>
        <v>Death</v>
      </c>
      <c r="C403" s="39" t="s">
        <v>3117</v>
      </c>
      <c r="D403" s="315"/>
      <c r="E403" s="88">
        <v>43634</v>
      </c>
      <c r="F403" s="316">
        <v>43634</v>
      </c>
      <c r="G403" s="316">
        <v>36893</v>
      </c>
      <c r="H403" s="317" t="s">
        <v>3148</v>
      </c>
      <c r="I403" s="317"/>
      <c r="J403" s="317" t="s">
        <v>152</v>
      </c>
      <c r="K403" s="315" t="s">
        <v>3868</v>
      </c>
      <c r="L403" s="315"/>
      <c r="M403" s="317"/>
      <c r="N403" s="320"/>
      <c r="O403" s="317" t="s">
        <v>51</v>
      </c>
      <c r="P403" s="318">
        <v>-400</v>
      </c>
      <c r="Q403" s="318">
        <v>200</v>
      </c>
      <c r="R403" s="317"/>
      <c r="S403" s="317"/>
      <c r="T403" s="317"/>
      <c r="U403" s="317"/>
      <c r="V403" s="317"/>
      <c r="W403" s="317"/>
      <c r="X403" s="317" t="s">
        <v>3869</v>
      </c>
      <c r="Y403" s="319"/>
    </row>
    <row r="404" spans="1:25" s="91" customFormat="1" hidden="1" x14ac:dyDescent="0.25">
      <c r="A404" s="32" t="s">
        <v>1133</v>
      </c>
      <c r="B404" s="315" t="str">
        <f>IF((COUNTBLANK(G404)=0),Stats!$E$7,IF((COUNTBLANK(E404)=0),IF((COUNTBLANK(F404)=0),IF((COUNTBLANK(U404)=0),Stats!$E$6,Stats!$E$5),Stats!$E$4),""))</f>
        <v>Death</v>
      </c>
      <c r="C404" s="39" t="s">
        <v>3117</v>
      </c>
      <c r="D404" s="315"/>
      <c r="E404" s="88">
        <v>43634</v>
      </c>
      <c r="F404" s="316">
        <v>43634</v>
      </c>
      <c r="G404" s="316">
        <v>36893</v>
      </c>
      <c r="H404" s="317" t="s">
        <v>3148</v>
      </c>
      <c r="I404" s="317"/>
      <c r="J404" s="317" t="s">
        <v>152</v>
      </c>
      <c r="K404" s="315" t="s">
        <v>3868</v>
      </c>
      <c r="L404" s="315"/>
      <c r="M404" s="317"/>
      <c r="N404" s="320"/>
      <c r="O404" s="317" t="s">
        <v>51</v>
      </c>
      <c r="P404" s="318">
        <v>-400</v>
      </c>
      <c r="Q404" s="318">
        <v>200</v>
      </c>
      <c r="R404" s="317"/>
      <c r="S404" s="317"/>
      <c r="T404" s="317"/>
      <c r="U404" s="317"/>
      <c r="V404" s="317"/>
      <c r="W404" s="317"/>
      <c r="X404" s="317"/>
      <c r="Y404" s="319"/>
    </row>
    <row r="405" spans="1:25" s="91" customFormat="1" hidden="1" x14ac:dyDescent="0.25">
      <c r="A405" s="32" t="s">
        <v>1134</v>
      </c>
      <c r="B405" s="315" t="str">
        <f>IF((COUNTBLANK(G405)=0),Stats!$E$7,IF((COUNTBLANK(E405)=0),IF((COUNTBLANK(F405)=0),IF((COUNTBLANK(U405)=0),Stats!$E$6,Stats!$E$5),Stats!$E$4),""))</f>
        <v>Death</v>
      </c>
      <c r="C405" s="39" t="s">
        <v>3117</v>
      </c>
      <c r="D405" s="315"/>
      <c r="E405" s="88">
        <v>43634</v>
      </c>
      <c r="F405" s="316">
        <v>43634</v>
      </c>
      <c r="G405" s="316">
        <v>36893</v>
      </c>
      <c r="H405" s="317" t="s">
        <v>3148</v>
      </c>
      <c r="I405" s="317"/>
      <c r="J405" s="317" t="s">
        <v>152</v>
      </c>
      <c r="K405" s="315" t="s">
        <v>3216</v>
      </c>
      <c r="L405" s="315"/>
      <c r="M405" s="317"/>
      <c r="N405" s="320"/>
      <c r="O405" s="317" t="s">
        <v>51</v>
      </c>
      <c r="P405" s="318">
        <v>-400</v>
      </c>
      <c r="Q405" s="318" t="s">
        <v>3870</v>
      </c>
      <c r="R405" s="317" t="s">
        <v>3871</v>
      </c>
      <c r="S405" s="317"/>
      <c r="T405" s="317"/>
      <c r="U405" s="317"/>
      <c r="V405" s="317"/>
      <c r="W405" s="317"/>
      <c r="X405" s="317" t="s">
        <v>3872</v>
      </c>
      <c r="Y405" s="319"/>
    </row>
    <row r="406" spans="1:25" s="91" customFormat="1" hidden="1" x14ac:dyDescent="0.25">
      <c r="A406" s="32" t="s">
        <v>1135</v>
      </c>
      <c r="B406" s="315" t="str">
        <f>IF((COUNTBLANK(G406)=0),Stats!$E$7,IF((COUNTBLANK(E406)=0),IF((COUNTBLANK(F406)=0),IF((COUNTBLANK(U406)=0),Stats!$E$6,Stats!$E$5),Stats!$E$4),""))</f>
        <v>Death</v>
      </c>
      <c r="C406" s="39" t="s">
        <v>3117</v>
      </c>
      <c r="D406" s="315"/>
      <c r="E406" s="88">
        <v>43634</v>
      </c>
      <c r="F406" s="316">
        <v>43634</v>
      </c>
      <c r="G406" s="316">
        <v>36893</v>
      </c>
      <c r="H406" s="317" t="s">
        <v>3148</v>
      </c>
      <c r="I406" s="317"/>
      <c r="J406" s="317" t="s">
        <v>152</v>
      </c>
      <c r="K406" s="315" t="s">
        <v>3216</v>
      </c>
      <c r="L406" s="315"/>
      <c r="M406" s="317"/>
      <c r="N406" s="320"/>
      <c r="O406" s="317" t="s">
        <v>51</v>
      </c>
      <c r="P406" s="318">
        <v>-400</v>
      </c>
      <c r="Q406" s="318" t="s">
        <v>3870</v>
      </c>
      <c r="R406" s="317"/>
      <c r="S406" s="317"/>
      <c r="T406" s="317"/>
      <c r="U406" s="317"/>
      <c r="V406" s="317"/>
      <c r="W406" s="317"/>
      <c r="X406" s="317" t="s">
        <v>3872</v>
      </c>
      <c r="Y406" s="319"/>
    </row>
    <row r="407" spans="1:25" s="91" customFormat="1" hidden="1" x14ac:dyDescent="0.25">
      <c r="A407" s="32" t="s">
        <v>1136</v>
      </c>
      <c r="B407" s="315" t="str">
        <f>IF((COUNTBLANK(G407)=0),Stats!$E$7,IF((COUNTBLANK(E407)=0),IF((COUNTBLANK(F407)=0),IF((COUNTBLANK(U407)=0),Stats!$E$6,Stats!$E$5),Stats!$E$4),""))</f>
        <v>Death</v>
      </c>
      <c r="C407" s="39" t="s">
        <v>284</v>
      </c>
      <c r="D407" s="315"/>
      <c r="E407" s="88">
        <v>43635</v>
      </c>
      <c r="F407" s="316">
        <v>36892</v>
      </c>
      <c r="G407" s="316">
        <v>36893</v>
      </c>
      <c r="H407" s="317" t="s">
        <v>3128</v>
      </c>
      <c r="I407" s="317"/>
      <c r="J407" s="317" t="s">
        <v>152</v>
      </c>
      <c r="K407" s="315" t="s">
        <v>3817</v>
      </c>
      <c r="L407" s="315" t="s">
        <v>3873</v>
      </c>
      <c r="M407" s="317"/>
      <c r="N407" s="320" t="s">
        <v>3273</v>
      </c>
      <c r="O407" s="317" t="s">
        <v>51</v>
      </c>
      <c r="P407" s="318" t="s">
        <v>3874</v>
      </c>
      <c r="Q407" s="318" t="s">
        <v>3875</v>
      </c>
      <c r="R407" s="317"/>
      <c r="S407" s="317"/>
      <c r="T407" s="317"/>
      <c r="U407" s="317"/>
      <c r="V407" s="317"/>
      <c r="W407" s="317"/>
      <c r="X407" s="317"/>
      <c r="Y407" s="319"/>
    </row>
    <row r="408" spans="1:25" s="91" customFormat="1" hidden="1" x14ac:dyDescent="0.25">
      <c r="A408" s="32" t="s">
        <v>1137</v>
      </c>
      <c r="B408" s="315" t="str">
        <f>IF((COUNTBLANK(G408)=0),Stats!$E$7,IF((COUNTBLANK(E408)=0),IF((COUNTBLANK(F408)=0),IF((COUNTBLANK(U408)=0),Stats!$E$6,Stats!$E$5),Stats!$E$4),""))</f>
        <v>Death</v>
      </c>
      <c r="C408" s="39" t="s">
        <v>284</v>
      </c>
      <c r="D408" s="315"/>
      <c r="E408" s="88">
        <v>43635</v>
      </c>
      <c r="F408" s="316">
        <v>43642</v>
      </c>
      <c r="G408" s="316">
        <v>36893</v>
      </c>
      <c r="H408" s="317" t="s">
        <v>3128</v>
      </c>
      <c r="I408" s="317"/>
      <c r="J408" s="317" t="s">
        <v>152</v>
      </c>
      <c r="K408" s="315" t="s">
        <v>3817</v>
      </c>
      <c r="L408" s="315" t="s">
        <v>3873</v>
      </c>
      <c r="M408" s="317"/>
      <c r="N408" s="320" t="s">
        <v>3273</v>
      </c>
      <c r="O408" s="317" t="s">
        <v>51</v>
      </c>
      <c r="P408" s="318" t="s">
        <v>3874</v>
      </c>
      <c r="Q408" s="318" t="s">
        <v>3875</v>
      </c>
      <c r="R408" s="317" t="s">
        <v>3876</v>
      </c>
      <c r="S408" s="317"/>
      <c r="T408" s="317"/>
      <c r="U408" s="317"/>
      <c r="V408" s="317"/>
      <c r="W408" s="317"/>
      <c r="X408" s="317"/>
      <c r="Y408" s="319"/>
    </row>
    <row r="409" spans="1:25" s="91" customFormat="1" hidden="1" x14ac:dyDescent="0.25">
      <c r="A409" s="32" t="s">
        <v>1138</v>
      </c>
      <c r="B409" s="315" t="str">
        <f>IF((COUNTBLANK(G409)=0),Stats!$E$7,IF((COUNTBLANK(E409)=0),IF((COUNTBLANK(F409)=0),IF((COUNTBLANK(U409)=0),Stats!$E$6,Stats!$E$5),Stats!$E$4),""))</f>
        <v>Death</v>
      </c>
      <c r="C409" s="39" t="s">
        <v>284</v>
      </c>
      <c r="D409" s="315"/>
      <c r="E409" s="88">
        <v>43635</v>
      </c>
      <c r="F409" s="316">
        <v>43642</v>
      </c>
      <c r="G409" s="316">
        <v>36893</v>
      </c>
      <c r="H409" s="317" t="s">
        <v>3128</v>
      </c>
      <c r="I409" s="317"/>
      <c r="J409" s="317" t="s">
        <v>152</v>
      </c>
      <c r="K409" s="315" t="s">
        <v>3817</v>
      </c>
      <c r="L409" s="315" t="s">
        <v>3873</v>
      </c>
      <c r="M409" s="317"/>
      <c r="N409" s="320" t="s">
        <v>3273</v>
      </c>
      <c r="O409" s="317" t="s">
        <v>51</v>
      </c>
      <c r="P409" s="318" t="s">
        <v>3874</v>
      </c>
      <c r="Q409" s="318" t="s">
        <v>3875</v>
      </c>
      <c r="R409" s="317" t="s">
        <v>3876</v>
      </c>
      <c r="S409" s="317"/>
      <c r="T409" s="317"/>
      <c r="U409" s="317"/>
      <c r="V409" s="317"/>
      <c r="W409" s="317"/>
      <c r="X409" s="317" t="s">
        <v>3877</v>
      </c>
      <c r="Y409" s="319"/>
    </row>
    <row r="410" spans="1:25" s="91" customFormat="1" hidden="1" x14ac:dyDescent="0.25">
      <c r="A410" s="32" t="s">
        <v>1139</v>
      </c>
      <c r="B410" s="315" t="str">
        <f>IF((COUNTBLANK(G410)=0),Stats!$E$7,IF((COUNTBLANK(E410)=0),IF((COUNTBLANK(F410)=0),IF((COUNTBLANK(U410)=0),Stats!$E$6,Stats!$E$5),Stats!$E$4),""))</f>
        <v>Death</v>
      </c>
      <c r="C410" s="39" t="s">
        <v>3117</v>
      </c>
      <c r="D410" s="315"/>
      <c r="E410" s="88">
        <v>43637</v>
      </c>
      <c r="F410" s="316">
        <v>43637</v>
      </c>
      <c r="G410" s="316">
        <v>36893</v>
      </c>
      <c r="H410" s="317" t="s">
        <v>3148</v>
      </c>
      <c r="I410" s="317"/>
      <c r="J410" s="317" t="s">
        <v>152</v>
      </c>
      <c r="K410" s="315" t="s">
        <v>3216</v>
      </c>
      <c r="L410" s="315"/>
      <c r="M410" s="317"/>
      <c r="N410" s="320"/>
      <c r="O410" s="317" t="s">
        <v>51</v>
      </c>
      <c r="P410" s="318">
        <v>-400</v>
      </c>
      <c r="Q410" s="318" t="s">
        <v>3870</v>
      </c>
      <c r="R410" s="317"/>
      <c r="S410" s="317"/>
      <c r="T410" s="317"/>
      <c r="U410" s="317"/>
      <c r="V410" s="317"/>
      <c r="W410" s="317"/>
      <c r="X410" s="317" t="s">
        <v>3878</v>
      </c>
      <c r="Y410" s="319"/>
    </row>
    <row r="411" spans="1:25" s="91" customFormat="1" hidden="1" x14ac:dyDescent="0.25">
      <c r="A411" s="32" t="s">
        <v>1140</v>
      </c>
      <c r="B411" s="315" t="str">
        <f>IF((COUNTBLANK(G411)=0),Stats!$E$7,IF((COUNTBLANK(E411)=0),IF((COUNTBLANK(F411)=0),IF((COUNTBLANK(U411)=0),Stats!$E$6,Stats!$E$5),Stats!$E$4),""))</f>
        <v>Death</v>
      </c>
      <c r="C411" s="39" t="s">
        <v>3117</v>
      </c>
      <c r="D411" s="315"/>
      <c r="E411" s="88">
        <v>43637</v>
      </c>
      <c r="F411" s="316">
        <v>43637</v>
      </c>
      <c r="G411" s="316">
        <v>36893</v>
      </c>
      <c r="H411" s="317" t="s">
        <v>3148</v>
      </c>
      <c r="I411" s="317"/>
      <c r="J411" s="317" t="s">
        <v>152</v>
      </c>
      <c r="K411" s="315" t="s">
        <v>3216</v>
      </c>
      <c r="L411" s="315"/>
      <c r="M411" s="317"/>
      <c r="N411" s="320"/>
      <c r="O411" s="317" t="s">
        <v>51</v>
      </c>
      <c r="P411" s="318">
        <v>-400</v>
      </c>
      <c r="Q411" s="321">
        <v>150100</v>
      </c>
      <c r="R411" s="317"/>
      <c r="S411" s="317"/>
      <c r="T411" s="317"/>
      <c r="U411" s="317"/>
      <c r="V411" s="317"/>
      <c r="W411" s="317"/>
      <c r="X411" s="317" t="s">
        <v>3879</v>
      </c>
      <c r="Y411" s="319"/>
    </row>
    <row r="412" spans="1:25" s="91" customFormat="1" hidden="1" x14ac:dyDescent="0.25">
      <c r="A412" s="32" t="s">
        <v>1141</v>
      </c>
      <c r="B412" s="315" t="str">
        <f>IF((COUNTBLANK(G412)=0),Stats!$E$7,IF((COUNTBLANK(E412)=0),IF((COUNTBLANK(F412)=0),IF((COUNTBLANK(U412)=0),Stats!$E$6,Stats!$E$5),Stats!$E$4),""))</f>
        <v>Death</v>
      </c>
      <c r="C412" s="39" t="s">
        <v>3117</v>
      </c>
      <c r="D412" s="315"/>
      <c r="E412" s="88">
        <v>43637</v>
      </c>
      <c r="F412" s="316">
        <v>43637</v>
      </c>
      <c r="G412" s="316">
        <v>36893</v>
      </c>
      <c r="H412" s="317" t="s">
        <v>3148</v>
      </c>
      <c r="I412" s="317"/>
      <c r="J412" s="317" t="s">
        <v>152</v>
      </c>
      <c r="K412" s="315" t="s">
        <v>3216</v>
      </c>
      <c r="L412" s="315"/>
      <c r="M412" s="317"/>
      <c r="N412" s="320"/>
      <c r="O412" s="317" t="s">
        <v>51</v>
      </c>
      <c r="P412" s="318">
        <v>-400</v>
      </c>
      <c r="Q412" s="321">
        <v>150100</v>
      </c>
      <c r="R412" s="317"/>
      <c r="S412" s="317"/>
      <c r="T412" s="317"/>
      <c r="U412" s="317"/>
      <c r="V412" s="317"/>
      <c r="W412" s="317"/>
      <c r="X412" s="317"/>
      <c r="Y412" s="319"/>
    </row>
    <row r="413" spans="1:25" s="91" customFormat="1" hidden="1" x14ac:dyDescent="0.25">
      <c r="A413" s="32" t="s">
        <v>1142</v>
      </c>
      <c r="B413" s="315" t="str">
        <f>IF((COUNTBLANK(G413)=0),Stats!$E$7,IF((COUNTBLANK(E413)=0),IF((COUNTBLANK(F413)=0),IF((COUNTBLANK(U413)=0),Stats!$E$6,Stats!$E$5),Stats!$E$4),""))</f>
        <v>Death</v>
      </c>
      <c r="C413" s="39" t="s">
        <v>284</v>
      </c>
      <c r="D413" s="315"/>
      <c r="E413" s="88">
        <v>43641</v>
      </c>
      <c r="F413" s="316">
        <v>43648</v>
      </c>
      <c r="G413" s="316">
        <v>36893</v>
      </c>
      <c r="H413" s="317" t="s">
        <v>3142</v>
      </c>
      <c r="I413" s="317"/>
      <c r="J413" s="317" t="s">
        <v>152</v>
      </c>
      <c r="K413" s="315" t="s">
        <v>3880</v>
      </c>
      <c r="L413" s="315" t="s">
        <v>3222</v>
      </c>
      <c r="M413" s="317"/>
      <c r="N413" s="320" t="s">
        <v>3273</v>
      </c>
      <c r="O413" s="317" t="s">
        <v>51</v>
      </c>
      <c r="P413" s="318">
        <v>-500</v>
      </c>
      <c r="Q413" s="318">
        <v>500</v>
      </c>
      <c r="R413" s="317"/>
      <c r="S413" s="317"/>
      <c r="T413" s="317" t="s">
        <v>3531</v>
      </c>
      <c r="U413" s="317" t="s">
        <v>3881</v>
      </c>
      <c r="V413" s="317" t="s">
        <v>3345</v>
      </c>
      <c r="W413" s="317"/>
      <c r="X413" s="317" t="s">
        <v>3882</v>
      </c>
      <c r="Y413" s="319"/>
    </row>
    <row r="414" spans="1:25" s="91" customFormat="1" hidden="1" x14ac:dyDescent="0.25">
      <c r="A414" s="32" t="s">
        <v>1143</v>
      </c>
      <c r="B414" s="315" t="str">
        <f>IF((COUNTBLANK(G414)=0),Stats!$E$7,IF((COUNTBLANK(E414)=0),IF((COUNTBLANK(F414)=0),IF((COUNTBLANK(U414)=0),Stats!$E$6,Stats!$E$5),Stats!$E$4),""))</f>
        <v>Death</v>
      </c>
      <c r="C414" s="39" t="s">
        <v>284</v>
      </c>
      <c r="D414" s="315"/>
      <c r="E414" s="88">
        <v>43641</v>
      </c>
      <c r="F414" s="316">
        <v>43648</v>
      </c>
      <c r="G414" s="316">
        <v>36893</v>
      </c>
      <c r="H414" s="317" t="s">
        <v>3142</v>
      </c>
      <c r="I414" s="317"/>
      <c r="J414" s="317" t="s">
        <v>152</v>
      </c>
      <c r="K414" s="315" t="s">
        <v>3880</v>
      </c>
      <c r="L414" s="315" t="s">
        <v>3222</v>
      </c>
      <c r="M414" s="317"/>
      <c r="N414" s="320" t="s">
        <v>3273</v>
      </c>
      <c r="O414" s="317" t="s">
        <v>51</v>
      </c>
      <c r="P414" s="318">
        <v>-500</v>
      </c>
      <c r="Q414" s="318">
        <v>500</v>
      </c>
      <c r="R414" s="317"/>
      <c r="S414" s="317"/>
      <c r="T414" s="317" t="s">
        <v>3883</v>
      </c>
      <c r="U414" s="317" t="s">
        <v>3884</v>
      </c>
      <c r="V414" s="317" t="s">
        <v>3345</v>
      </c>
      <c r="W414" s="317"/>
      <c r="X414" s="317" t="s">
        <v>3885</v>
      </c>
      <c r="Y414" s="319"/>
    </row>
    <row r="415" spans="1:25" s="91" customFormat="1" hidden="1" x14ac:dyDescent="0.25">
      <c r="A415" s="32" t="s">
        <v>1144</v>
      </c>
      <c r="B415" s="315" t="str">
        <f>IF((COUNTBLANK(G415)=0),Stats!$E$7,IF((COUNTBLANK(E415)=0),IF((COUNTBLANK(F415)=0),IF((COUNTBLANK(U415)=0),Stats!$E$6,Stats!$E$5),Stats!$E$4),""))</f>
        <v>Death</v>
      </c>
      <c r="C415" s="39" t="s">
        <v>284</v>
      </c>
      <c r="D415" s="315"/>
      <c r="E415" s="88">
        <v>43641</v>
      </c>
      <c r="F415" s="316">
        <v>43649</v>
      </c>
      <c r="G415" s="316">
        <v>36893</v>
      </c>
      <c r="H415" s="317" t="s">
        <v>3142</v>
      </c>
      <c r="I415" s="317"/>
      <c r="J415" s="317" t="s">
        <v>152</v>
      </c>
      <c r="K415" s="315" t="s">
        <v>3880</v>
      </c>
      <c r="L415" s="315" t="s">
        <v>3222</v>
      </c>
      <c r="M415" s="317"/>
      <c r="N415" s="320" t="s">
        <v>3273</v>
      </c>
      <c r="O415" s="317" t="s">
        <v>51</v>
      </c>
      <c r="P415" s="318" t="s">
        <v>3728</v>
      </c>
      <c r="Q415" s="318" t="s">
        <v>3886</v>
      </c>
      <c r="R415" s="317"/>
      <c r="S415" s="317"/>
      <c r="T415" s="317" t="s">
        <v>3887</v>
      </c>
      <c r="U415" s="317" t="s">
        <v>3888</v>
      </c>
      <c r="V415" s="317"/>
      <c r="W415" s="317"/>
      <c r="X415" s="317"/>
      <c r="Y415" s="319"/>
    </row>
    <row r="416" spans="1:25" s="91" customFormat="1" hidden="1" x14ac:dyDescent="0.25">
      <c r="A416" s="32" t="s">
        <v>1145</v>
      </c>
      <c r="B416" s="315" t="str">
        <f>IF((COUNTBLANK(G416)=0),Stats!$E$7,IF((COUNTBLANK(E416)=0),IF((COUNTBLANK(F416)=0),IF((COUNTBLANK(U416)=0),Stats!$E$6,Stats!$E$5),Stats!$E$4),""))</f>
        <v>Death</v>
      </c>
      <c r="C416" s="39" t="s">
        <v>284</v>
      </c>
      <c r="D416" s="315"/>
      <c r="E416" s="88">
        <v>43642</v>
      </c>
      <c r="F416" s="316">
        <v>43649</v>
      </c>
      <c r="G416" s="316">
        <v>36893</v>
      </c>
      <c r="H416" s="317" t="s">
        <v>3142</v>
      </c>
      <c r="I416" s="317"/>
      <c r="J416" s="317" t="s">
        <v>152</v>
      </c>
      <c r="K416" s="315" t="s">
        <v>3889</v>
      </c>
      <c r="L416" s="315" t="s">
        <v>3199</v>
      </c>
      <c r="M416" s="317"/>
      <c r="N416" s="320"/>
      <c r="O416" s="317" t="s">
        <v>51</v>
      </c>
      <c r="P416" s="318">
        <v>-500</v>
      </c>
      <c r="Q416" s="318">
        <v>500</v>
      </c>
      <c r="R416" s="317"/>
      <c r="S416" s="317"/>
      <c r="T416" s="317"/>
      <c r="U416" s="317" t="s">
        <v>3890</v>
      </c>
      <c r="V416" s="317"/>
      <c r="W416" s="317"/>
      <c r="X416" s="317"/>
      <c r="Y416" s="319"/>
    </row>
    <row r="417" spans="1:25" s="91" customFormat="1" hidden="1" x14ac:dyDescent="0.25">
      <c r="A417" s="32" t="s">
        <v>1146</v>
      </c>
      <c r="B417" s="315" t="str">
        <f>IF((COUNTBLANK(G417)=0),Stats!$E$7,IF((COUNTBLANK(E417)=0),IF((COUNTBLANK(F417)=0),IF((COUNTBLANK(U417)=0),Stats!$E$6,Stats!$E$5),Stats!$E$4),""))</f>
        <v>Death</v>
      </c>
      <c r="C417" s="39" t="s">
        <v>284</v>
      </c>
      <c r="D417" s="315"/>
      <c r="E417" s="88">
        <v>43642</v>
      </c>
      <c r="F417" s="316">
        <v>43649</v>
      </c>
      <c r="G417" s="316">
        <v>36893</v>
      </c>
      <c r="H417" s="317" t="s">
        <v>3142</v>
      </c>
      <c r="I417" s="317"/>
      <c r="J417" s="317" t="s">
        <v>152</v>
      </c>
      <c r="K417" s="315" t="s">
        <v>3889</v>
      </c>
      <c r="L417" s="315" t="s">
        <v>3199</v>
      </c>
      <c r="M417" s="317"/>
      <c r="N417" s="320"/>
      <c r="O417" s="317" t="s">
        <v>51</v>
      </c>
      <c r="P417" s="318" t="s">
        <v>3728</v>
      </c>
      <c r="Q417" s="318" t="s">
        <v>3886</v>
      </c>
      <c r="R417" s="317"/>
      <c r="S417" s="317"/>
      <c r="T417" s="317" t="s">
        <v>3891</v>
      </c>
      <c r="U417" s="317" t="s">
        <v>3892</v>
      </c>
      <c r="V417" s="317"/>
      <c r="W417" s="317"/>
      <c r="X417" s="317" t="s">
        <v>3893</v>
      </c>
      <c r="Y417" s="319"/>
    </row>
    <row r="418" spans="1:25" s="91" customFormat="1" hidden="1" x14ac:dyDescent="0.25">
      <c r="A418" s="32" t="s">
        <v>1147</v>
      </c>
      <c r="B418" s="315" t="str">
        <f>IF((COUNTBLANK(G418)=0),Stats!$E$7,IF((COUNTBLANK(E418)=0),IF((COUNTBLANK(F418)=0),IF((COUNTBLANK(U418)=0),Stats!$E$6,Stats!$E$5),Stats!$E$4),""))</f>
        <v>Death</v>
      </c>
      <c r="C418" s="39" t="s">
        <v>284</v>
      </c>
      <c r="D418" s="315"/>
      <c r="E418" s="88">
        <v>43642</v>
      </c>
      <c r="F418" s="316">
        <v>43654</v>
      </c>
      <c r="G418" s="316">
        <v>36893</v>
      </c>
      <c r="H418" s="317" t="s">
        <v>3142</v>
      </c>
      <c r="I418" s="317"/>
      <c r="J418" s="317" t="s">
        <v>152</v>
      </c>
      <c r="K418" s="315" t="s">
        <v>3889</v>
      </c>
      <c r="L418" s="315" t="s">
        <v>3199</v>
      </c>
      <c r="M418" s="317"/>
      <c r="N418" s="320"/>
      <c r="O418" s="317" t="s">
        <v>51</v>
      </c>
      <c r="P418" s="318">
        <v>-500</v>
      </c>
      <c r="Q418" s="318">
        <v>500</v>
      </c>
      <c r="R418" s="317"/>
      <c r="S418" s="317"/>
      <c r="T418" s="317"/>
      <c r="U418" s="317" t="s">
        <v>3894</v>
      </c>
      <c r="V418" s="317"/>
      <c r="W418" s="317"/>
      <c r="X418" s="317"/>
      <c r="Y418" s="319"/>
    </row>
    <row r="419" spans="1:25" s="91" customFormat="1" hidden="1" x14ac:dyDescent="0.25">
      <c r="A419" s="32" t="s">
        <v>1148</v>
      </c>
      <c r="B419" s="315" t="str">
        <f>IF((COUNTBLANK(G419)=0),Stats!$E$7,IF((COUNTBLANK(E419)=0),IF((COUNTBLANK(F419)=0),IF((COUNTBLANK(U419)=0),Stats!$E$6,Stats!$E$5),Stats!$E$4),""))</f>
        <v>Death</v>
      </c>
      <c r="C419" s="39" t="s">
        <v>3117</v>
      </c>
      <c r="D419" s="315"/>
      <c r="E419" s="88">
        <v>43649</v>
      </c>
      <c r="F419" s="316">
        <v>43656</v>
      </c>
      <c r="G419" s="316">
        <v>36893</v>
      </c>
      <c r="H419" s="317" t="s">
        <v>3128</v>
      </c>
      <c r="I419" s="317"/>
      <c r="J419" s="317" t="s">
        <v>152</v>
      </c>
      <c r="K419" s="315" t="s">
        <v>3895</v>
      </c>
      <c r="L419" s="315"/>
      <c r="M419" s="317"/>
      <c r="N419" s="320"/>
      <c r="O419" s="317" t="s">
        <v>51</v>
      </c>
      <c r="P419" s="318" t="s">
        <v>3896</v>
      </c>
      <c r="Q419" s="318">
        <v>480</v>
      </c>
      <c r="R419" s="317"/>
      <c r="S419" s="317"/>
      <c r="T419" s="317"/>
      <c r="U419" s="317" t="s">
        <v>3897</v>
      </c>
      <c r="V419" s="317"/>
      <c r="W419" s="317"/>
      <c r="X419" s="317"/>
      <c r="Y419" s="319"/>
    </row>
    <row r="420" spans="1:25" s="91" customFormat="1" hidden="1" x14ac:dyDescent="0.25">
      <c r="A420" s="32" t="s">
        <v>1149</v>
      </c>
      <c r="B420" s="315" t="str">
        <f>IF((COUNTBLANK(G420)=0),Stats!$E$7,IF((COUNTBLANK(E420)=0),IF((COUNTBLANK(F420)=0),IF((COUNTBLANK(U420)=0),Stats!$E$6,Stats!$E$5),Stats!$E$4),""))</f>
        <v>Death</v>
      </c>
      <c r="C420" s="39" t="s">
        <v>3117</v>
      </c>
      <c r="D420" s="315"/>
      <c r="E420" s="88">
        <v>43649</v>
      </c>
      <c r="F420" s="316">
        <v>43656</v>
      </c>
      <c r="G420" s="316">
        <v>36893</v>
      </c>
      <c r="H420" s="317" t="s">
        <v>3128</v>
      </c>
      <c r="I420" s="317"/>
      <c r="J420" s="317" t="s">
        <v>152</v>
      </c>
      <c r="K420" s="315" t="s">
        <v>3895</v>
      </c>
      <c r="L420" s="315"/>
      <c r="M420" s="317"/>
      <c r="N420" s="320"/>
      <c r="O420" s="317" t="s">
        <v>51</v>
      </c>
      <c r="P420" s="318" t="s">
        <v>3896</v>
      </c>
      <c r="Q420" s="318">
        <v>480</v>
      </c>
      <c r="R420" s="317"/>
      <c r="S420" s="317"/>
      <c r="T420" s="317" t="s">
        <v>3898</v>
      </c>
      <c r="U420" s="317" t="s">
        <v>3897</v>
      </c>
      <c r="V420" s="317"/>
      <c r="W420" s="317"/>
      <c r="X420" s="317"/>
      <c r="Y420" s="319"/>
    </row>
    <row r="421" spans="1:25" s="91" customFormat="1" hidden="1" x14ac:dyDescent="0.25">
      <c r="A421" s="32" t="s">
        <v>1150</v>
      </c>
      <c r="B421" s="315" t="str">
        <f>IF((COUNTBLANK(G421)=0),Stats!$E$7,IF((COUNTBLANK(E421)=0),IF((COUNTBLANK(F421)=0),IF((COUNTBLANK(U421)=0),Stats!$E$6,Stats!$E$5),Stats!$E$4),""))</f>
        <v>Death</v>
      </c>
      <c r="C421" s="39" t="s">
        <v>3117</v>
      </c>
      <c r="D421" s="315"/>
      <c r="E421" s="88">
        <v>43649</v>
      </c>
      <c r="F421" s="316">
        <v>36892</v>
      </c>
      <c r="G421" s="316">
        <v>36893</v>
      </c>
      <c r="H421" s="317" t="s">
        <v>3128</v>
      </c>
      <c r="I421" s="317"/>
      <c r="J421" s="317" t="s">
        <v>152</v>
      </c>
      <c r="K421" s="315" t="s">
        <v>3895</v>
      </c>
      <c r="L421" s="315"/>
      <c r="M421" s="317"/>
      <c r="N421" s="320"/>
      <c r="O421" s="317" t="s">
        <v>51</v>
      </c>
      <c r="P421" s="318" t="s">
        <v>3896</v>
      </c>
      <c r="Q421" s="318">
        <v>480</v>
      </c>
      <c r="R421" s="317"/>
      <c r="S421" s="317"/>
      <c r="T421" s="317"/>
      <c r="U421" s="317"/>
      <c r="V421" s="317"/>
      <c r="W421" s="317"/>
      <c r="X421" s="317" t="s">
        <v>3899</v>
      </c>
      <c r="Y421" s="319"/>
    </row>
    <row r="422" spans="1:25" s="91" customFormat="1" hidden="1" x14ac:dyDescent="0.25">
      <c r="A422" s="32" t="s">
        <v>1151</v>
      </c>
      <c r="B422" s="315" t="str">
        <f>IF((COUNTBLANK(G422)=0),Stats!$E$7,IF((COUNTBLANK(E422)=0),IF((COUNTBLANK(F422)=0),IF((COUNTBLANK(U422)=0),Stats!$E$6,Stats!$E$5),Stats!$E$4),""))</f>
        <v>Death</v>
      </c>
      <c r="C422" s="39" t="s">
        <v>284</v>
      </c>
      <c r="D422" s="315"/>
      <c r="E422" s="88">
        <v>43661</v>
      </c>
      <c r="F422" s="316">
        <v>43675</v>
      </c>
      <c r="G422" s="316">
        <v>36893</v>
      </c>
      <c r="H422" s="317" t="s">
        <v>3142</v>
      </c>
      <c r="I422" s="317"/>
      <c r="J422" s="317" t="s">
        <v>152</v>
      </c>
      <c r="K422" s="315" t="s">
        <v>3863</v>
      </c>
      <c r="L422" s="315" t="s">
        <v>3880</v>
      </c>
      <c r="M422" s="317"/>
      <c r="N422" s="320" t="s">
        <v>3900</v>
      </c>
      <c r="O422" s="317" t="s">
        <v>51</v>
      </c>
      <c r="P422" s="318" t="s">
        <v>3728</v>
      </c>
      <c r="Q422" s="318" t="s">
        <v>3830</v>
      </c>
      <c r="R422" s="317" t="s">
        <v>3901</v>
      </c>
      <c r="S422" s="317"/>
      <c r="T422" s="49" t="s">
        <v>3902</v>
      </c>
      <c r="U422" s="317" t="s">
        <v>3345</v>
      </c>
      <c r="V422" s="317"/>
      <c r="W422" s="317"/>
      <c r="X422" s="317"/>
      <c r="Y422" s="319"/>
    </row>
    <row r="423" spans="1:25" s="91" customFormat="1" hidden="1" x14ac:dyDescent="0.25">
      <c r="A423" s="32" t="s">
        <v>1152</v>
      </c>
      <c r="B423" s="315" t="str">
        <f>IF((COUNTBLANK(G423)=0),Stats!$E$7,IF((COUNTBLANK(E423)=0),IF((COUNTBLANK(F423)=0),IF((COUNTBLANK(U423)=0),Stats!$E$6,Stats!$E$5),Stats!$E$4),""))</f>
        <v>Death</v>
      </c>
      <c r="C423" s="39" t="s">
        <v>284</v>
      </c>
      <c r="D423" s="315"/>
      <c r="E423" s="88">
        <v>43661</v>
      </c>
      <c r="F423" s="316">
        <v>43675</v>
      </c>
      <c r="G423" s="316">
        <v>36893</v>
      </c>
      <c r="H423" s="317" t="s">
        <v>3142</v>
      </c>
      <c r="I423" s="317"/>
      <c r="J423" s="317" t="s">
        <v>152</v>
      </c>
      <c r="K423" s="315" t="s">
        <v>3863</v>
      </c>
      <c r="L423" s="315" t="s">
        <v>3880</v>
      </c>
      <c r="M423" s="317"/>
      <c r="N423" s="320" t="s">
        <v>3900</v>
      </c>
      <c r="O423" s="317" t="s">
        <v>51</v>
      </c>
      <c r="P423" s="318" t="s">
        <v>3728</v>
      </c>
      <c r="Q423" s="318" t="s">
        <v>3903</v>
      </c>
      <c r="R423" s="317" t="s">
        <v>3904</v>
      </c>
      <c r="S423" s="317"/>
      <c r="T423" s="317" t="s">
        <v>3905</v>
      </c>
      <c r="U423" s="317" t="s">
        <v>3741</v>
      </c>
      <c r="V423" s="317"/>
      <c r="W423" s="317"/>
      <c r="X423" s="317"/>
      <c r="Y423" s="319"/>
    </row>
    <row r="424" spans="1:25" s="91" customFormat="1" hidden="1" x14ac:dyDescent="0.25">
      <c r="A424" s="32" t="s">
        <v>1153</v>
      </c>
      <c r="B424" s="315" t="str">
        <f>IF((COUNTBLANK(G424)=0),Stats!$E$7,IF((COUNTBLANK(E424)=0),IF((COUNTBLANK(F424)=0),IF((COUNTBLANK(U424)=0),Stats!$E$6,Stats!$E$5),Stats!$E$4),""))</f>
        <v>Death</v>
      </c>
      <c r="C424" s="39" t="s">
        <v>284</v>
      </c>
      <c r="D424" s="315"/>
      <c r="E424" s="88">
        <v>43661</v>
      </c>
      <c r="F424" s="316">
        <v>43676</v>
      </c>
      <c r="G424" s="316">
        <v>36893</v>
      </c>
      <c r="H424" s="317" t="s">
        <v>3142</v>
      </c>
      <c r="I424" s="317"/>
      <c r="J424" s="317" t="s">
        <v>152</v>
      </c>
      <c r="K424" s="315" t="s">
        <v>3863</v>
      </c>
      <c r="L424" s="315" t="s">
        <v>3880</v>
      </c>
      <c r="M424" s="317"/>
      <c r="N424" s="320" t="s">
        <v>3900</v>
      </c>
      <c r="O424" s="317" t="s">
        <v>51</v>
      </c>
      <c r="P424" s="318" t="s">
        <v>3728</v>
      </c>
      <c r="Q424" s="318" t="s">
        <v>3906</v>
      </c>
      <c r="R424" s="317"/>
      <c r="S424" s="317"/>
      <c r="T424" s="317" t="s">
        <v>3907</v>
      </c>
      <c r="U424" s="317" t="s">
        <v>3908</v>
      </c>
      <c r="V424" s="317"/>
      <c r="W424" s="317"/>
      <c r="X424" s="317"/>
      <c r="Y424" s="319"/>
    </row>
    <row r="425" spans="1:25" s="91" customFormat="1" hidden="1" x14ac:dyDescent="0.25">
      <c r="A425" s="32" t="s">
        <v>1154</v>
      </c>
      <c r="B425" s="315" t="str">
        <f>IF((COUNTBLANK(G425)=0),Stats!$E$7,IF((COUNTBLANK(E425)=0),IF((COUNTBLANK(F425)=0),IF((COUNTBLANK(U425)=0),Stats!$E$6,Stats!$E$5),Stats!$E$4),""))</f>
        <v>Death</v>
      </c>
      <c r="C425" s="39" t="s">
        <v>284</v>
      </c>
      <c r="D425" s="315"/>
      <c r="E425" s="88">
        <v>43662</v>
      </c>
      <c r="F425" s="316">
        <v>43676</v>
      </c>
      <c r="G425" s="316">
        <v>36893</v>
      </c>
      <c r="H425" s="317" t="s">
        <v>3142</v>
      </c>
      <c r="I425" s="317"/>
      <c r="J425" s="317" t="s">
        <v>152</v>
      </c>
      <c r="K425" s="315" t="s">
        <v>3199</v>
      </c>
      <c r="L425" s="315" t="s">
        <v>3661</v>
      </c>
      <c r="M425" s="317"/>
      <c r="N425" s="320" t="s">
        <v>3909</v>
      </c>
      <c r="O425" s="317" t="s">
        <v>51</v>
      </c>
      <c r="P425" s="318" t="s">
        <v>3838</v>
      </c>
      <c r="Q425" s="318" t="s">
        <v>3910</v>
      </c>
      <c r="R425" s="317" t="s">
        <v>3911</v>
      </c>
      <c r="S425" s="317"/>
      <c r="T425" s="317" t="s">
        <v>3905</v>
      </c>
      <c r="U425" s="317"/>
      <c r="V425" s="317"/>
      <c r="W425" s="317"/>
      <c r="X425" s="317"/>
      <c r="Y425" s="319"/>
    </row>
    <row r="426" spans="1:25" s="91" customFormat="1" hidden="1" x14ac:dyDescent="0.25">
      <c r="A426" s="32" t="s">
        <v>1155</v>
      </c>
      <c r="B426" s="315" t="str">
        <f>IF((COUNTBLANK(G426)=0),Stats!$E$7,IF((COUNTBLANK(E426)=0),IF((COUNTBLANK(F426)=0),IF((COUNTBLANK(U426)=0),Stats!$E$6,Stats!$E$5),Stats!$E$4),""))</f>
        <v>Death</v>
      </c>
      <c r="C426" s="39" t="s">
        <v>284</v>
      </c>
      <c r="D426" s="315"/>
      <c r="E426" s="88">
        <v>43662</v>
      </c>
      <c r="F426" s="316">
        <v>43676</v>
      </c>
      <c r="G426" s="316">
        <v>36893</v>
      </c>
      <c r="H426" s="317" t="s">
        <v>3142</v>
      </c>
      <c r="I426" s="317"/>
      <c r="J426" s="317" t="s">
        <v>152</v>
      </c>
      <c r="K426" s="315" t="s">
        <v>3199</v>
      </c>
      <c r="L426" s="315" t="s">
        <v>3661</v>
      </c>
      <c r="M426" s="317"/>
      <c r="N426" s="320" t="s">
        <v>3909</v>
      </c>
      <c r="O426" s="317" t="s">
        <v>51</v>
      </c>
      <c r="P426" s="318" t="s">
        <v>3838</v>
      </c>
      <c r="Q426" s="318" t="s">
        <v>3910</v>
      </c>
      <c r="R426" s="317"/>
      <c r="S426" s="317"/>
      <c r="T426" s="317" t="s">
        <v>3905</v>
      </c>
      <c r="U426" s="317"/>
      <c r="V426" s="317"/>
      <c r="W426" s="317"/>
      <c r="X426" s="317"/>
      <c r="Y426" s="319"/>
    </row>
    <row r="427" spans="1:25" s="91" customFormat="1" hidden="1" x14ac:dyDescent="0.25">
      <c r="A427" s="32" t="s">
        <v>1156</v>
      </c>
      <c r="B427" s="315" t="str">
        <f>IF((COUNTBLANK(G427)=0),Stats!$E$7,IF((COUNTBLANK(E427)=0),IF((COUNTBLANK(F427)=0),IF((COUNTBLANK(U427)=0),Stats!$E$6,Stats!$E$5),Stats!$E$4),""))</f>
        <v>Death</v>
      </c>
      <c r="C427" s="39" t="s">
        <v>284</v>
      </c>
      <c r="D427" s="315"/>
      <c r="E427" s="88">
        <v>43662</v>
      </c>
      <c r="F427" s="316">
        <v>43677</v>
      </c>
      <c r="G427" s="316">
        <v>36893</v>
      </c>
      <c r="H427" s="317" t="s">
        <v>3142</v>
      </c>
      <c r="I427" s="317"/>
      <c r="J427" s="317" t="s">
        <v>152</v>
      </c>
      <c r="K427" s="315" t="s">
        <v>3199</v>
      </c>
      <c r="L427" s="315" t="s">
        <v>3661</v>
      </c>
      <c r="M427" s="317"/>
      <c r="N427" s="320" t="s">
        <v>3273</v>
      </c>
      <c r="O427" s="317" t="s">
        <v>51</v>
      </c>
      <c r="P427" s="318" t="s">
        <v>3838</v>
      </c>
      <c r="Q427" s="318" t="s">
        <v>3910</v>
      </c>
      <c r="R427" s="317" t="s">
        <v>3912</v>
      </c>
      <c r="S427" s="317"/>
      <c r="T427" s="317" t="s">
        <v>3913</v>
      </c>
      <c r="U427" s="317" t="s">
        <v>3741</v>
      </c>
      <c r="V427" s="317"/>
      <c r="W427" s="317"/>
      <c r="X427" s="317" t="s">
        <v>3914</v>
      </c>
      <c r="Y427" s="319"/>
    </row>
    <row r="428" spans="1:25" s="91" customFormat="1" hidden="1" x14ac:dyDescent="0.25">
      <c r="A428" s="32" t="s">
        <v>1157</v>
      </c>
      <c r="B428" s="315" t="str">
        <f>IF((COUNTBLANK(G428)=0),Stats!$E$7,IF((COUNTBLANK(E428)=0),IF((COUNTBLANK(F428)=0),IF((COUNTBLANK(U428)=0),Stats!$E$6,Stats!$E$5),Stats!$E$4),""))</f>
        <v>Death</v>
      </c>
      <c r="C428" s="39" t="s">
        <v>284</v>
      </c>
      <c r="D428" s="315"/>
      <c r="E428" s="88">
        <v>43662</v>
      </c>
      <c r="F428" s="316">
        <v>43676</v>
      </c>
      <c r="G428" s="316">
        <v>36893</v>
      </c>
      <c r="H428" s="317" t="s">
        <v>3142</v>
      </c>
      <c r="I428" s="317"/>
      <c r="J428" s="317" t="s">
        <v>152</v>
      </c>
      <c r="K428" s="315" t="s">
        <v>3199</v>
      </c>
      <c r="L428" s="315" t="s">
        <v>3661</v>
      </c>
      <c r="M428" s="317"/>
      <c r="N428" s="320" t="s">
        <v>3273</v>
      </c>
      <c r="O428" s="317" t="s">
        <v>51</v>
      </c>
      <c r="P428" s="318" t="s">
        <v>3838</v>
      </c>
      <c r="Q428" s="318" t="s">
        <v>3910</v>
      </c>
      <c r="R428" s="317" t="s">
        <v>3915</v>
      </c>
      <c r="S428" s="317"/>
      <c r="T428" s="317" t="s">
        <v>3916</v>
      </c>
      <c r="U428" s="317" t="s">
        <v>3741</v>
      </c>
      <c r="V428" s="317"/>
      <c r="W428" s="317"/>
      <c r="X428" s="317" t="s">
        <v>3914</v>
      </c>
      <c r="Y428" s="319"/>
    </row>
    <row r="429" spans="1:25" s="91" customFormat="1" hidden="1" x14ac:dyDescent="0.25">
      <c r="A429" s="32" t="s">
        <v>1158</v>
      </c>
      <c r="B429" s="315" t="str">
        <f>IF((COUNTBLANK(G429)=0),Stats!$E$7,IF((COUNTBLANK(E429)=0),IF((COUNTBLANK(F429)=0),IF((COUNTBLANK(U429)=0),Stats!$E$6,Stats!$E$5),Stats!$E$4),""))</f>
        <v>Death</v>
      </c>
      <c r="C429" s="39" t="s">
        <v>3113</v>
      </c>
      <c r="D429" s="315"/>
      <c r="E429" s="88">
        <v>43664</v>
      </c>
      <c r="F429" s="316">
        <v>43664</v>
      </c>
      <c r="G429" s="316">
        <v>36893</v>
      </c>
      <c r="H429" s="317" t="s">
        <v>3148</v>
      </c>
      <c r="I429" s="317"/>
      <c r="J429" s="317" t="s">
        <v>3186</v>
      </c>
      <c r="K429" s="315" t="s">
        <v>3177</v>
      </c>
      <c r="L429" s="315" t="s">
        <v>3223</v>
      </c>
      <c r="M429" s="317"/>
      <c r="N429" s="320" t="s">
        <v>3917</v>
      </c>
      <c r="O429" s="317" t="s">
        <v>51</v>
      </c>
      <c r="P429" s="318" t="s">
        <v>3918</v>
      </c>
      <c r="Q429" s="318" t="s">
        <v>3294</v>
      </c>
      <c r="R429" s="317" t="s">
        <v>3919</v>
      </c>
      <c r="S429" s="317"/>
      <c r="T429" s="317"/>
      <c r="U429" s="317"/>
      <c r="V429" s="317"/>
      <c r="W429" s="317"/>
      <c r="X429" s="317"/>
      <c r="Y429" s="319"/>
    </row>
    <row r="430" spans="1:25" s="91" customFormat="1" hidden="1" x14ac:dyDescent="0.25">
      <c r="A430" s="32" t="s">
        <v>1159</v>
      </c>
      <c r="B430" s="315" t="str">
        <f>IF((COUNTBLANK(G430)=0),Stats!$E$7,IF((COUNTBLANK(E430)=0),IF((COUNTBLANK(F430)=0),IF((COUNTBLANK(U430)=0),Stats!$E$6,Stats!$E$5),Stats!$E$4),""))</f>
        <v>Death</v>
      </c>
      <c r="C430" s="39" t="s">
        <v>3113</v>
      </c>
      <c r="D430" s="315"/>
      <c r="E430" s="88">
        <v>43664</v>
      </c>
      <c r="F430" s="316">
        <v>43664</v>
      </c>
      <c r="G430" s="316">
        <v>36893</v>
      </c>
      <c r="H430" s="317" t="s">
        <v>3148</v>
      </c>
      <c r="I430" s="317"/>
      <c r="J430" s="317" t="s">
        <v>3186</v>
      </c>
      <c r="K430" s="315" t="s">
        <v>3177</v>
      </c>
      <c r="L430" s="315" t="s">
        <v>3223</v>
      </c>
      <c r="M430" s="317"/>
      <c r="N430" s="320" t="s">
        <v>3917</v>
      </c>
      <c r="O430" s="317" t="s">
        <v>51</v>
      </c>
      <c r="P430" s="318" t="s">
        <v>3918</v>
      </c>
      <c r="Q430" s="318" t="s">
        <v>3294</v>
      </c>
      <c r="R430" s="317" t="s">
        <v>3920</v>
      </c>
      <c r="S430" s="317"/>
      <c r="T430" s="317"/>
      <c r="U430" s="317"/>
      <c r="V430" s="317"/>
      <c r="W430" s="317"/>
      <c r="X430" s="317" t="s">
        <v>3879</v>
      </c>
      <c r="Y430" s="319"/>
    </row>
    <row r="431" spans="1:25" s="91" customFormat="1" hidden="1" x14ac:dyDescent="0.25">
      <c r="A431" s="32" t="s">
        <v>1160</v>
      </c>
      <c r="B431" s="315" t="str">
        <f>IF((COUNTBLANK(G431)=0),Stats!$E$7,IF((COUNTBLANK(E431)=0),IF((COUNTBLANK(F431)=0),IF((COUNTBLANK(U431)=0),Stats!$E$6,Stats!$E$5),Stats!$E$4),""))</f>
        <v>Death</v>
      </c>
      <c r="C431" s="39" t="s">
        <v>3113</v>
      </c>
      <c r="D431" s="315"/>
      <c r="E431" s="88">
        <v>43664</v>
      </c>
      <c r="F431" s="316">
        <v>43664</v>
      </c>
      <c r="G431" s="316">
        <v>36893</v>
      </c>
      <c r="H431" s="317" t="s">
        <v>3148</v>
      </c>
      <c r="I431" s="317"/>
      <c r="J431" s="317" t="s">
        <v>3186</v>
      </c>
      <c r="K431" s="315" t="s">
        <v>3177</v>
      </c>
      <c r="L431" s="315" t="s">
        <v>3223</v>
      </c>
      <c r="M431" s="317"/>
      <c r="N431" s="320" t="s">
        <v>3917</v>
      </c>
      <c r="O431" s="317" t="s">
        <v>51</v>
      </c>
      <c r="P431" s="318" t="s">
        <v>3921</v>
      </c>
      <c r="Q431" s="318" t="s">
        <v>3294</v>
      </c>
      <c r="R431" s="317" t="s">
        <v>3922</v>
      </c>
      <c r="S431" s="317"/>
      <c r="T431" s="317"/>
      <c r="U431" s="317"/>
      <c r="V431" s="317"/>
      <c r="W431" s="317"/>
      <c r="X431" s="317"/>
      <c r="Y431" s="319"/>
    </row>
    <row r="432" spans="1:25" s="91" customFormat="1" hidden="1" x14ac:dyDescent="0.25">
      <c r="A432" s="32" t="s">
        <v>1161</v>
      </c>
      <c r="B432" s="315" t="str">
        <f>IF((COUNTBLANK(G432)=0),Stats!$E$7,IF((COUNTBLANK(E432)=0),IF((COUNTBLANK(F432)=0),IF((COUNTBLANK(U432)=0),Stats!$E$6,Stats!$E$5),Stats!$E$4),""))</f>
        <v>Death</v>
      </c>
      <c r="C432" s="39" t="s">
        <v>284</v>
      </c>
      <c r="D432" s="315"/>
      <c r="E432" s="88">
        <v>43669</v>
      </c>
      <c r="F432" s="316">
        <v>43677</v>
      </c>
      <c r="G432" s="316">
        <v>36893</v>
      </c>
      <c r="H432" s="317" t="s">
        <v>3128</v>
      </c>
      <c r="I432" s="317"/>
      <c r="J432" s="317" t="s">
        <v>152</v>
      </c>
      <c r="K432" s="315" t="s">
        <v>3863</v>
      </c>
      <c r="L432" s="315" t="s">
        <v>3817</v>
      </c>
      <c r="M432" s="317"/>
      <c r="N432" s="320" t="s">
        <v>3923</v>
      </c>
      <c r="O432" s="317" t="s">
        <v>51</v>
      </c>
      <c r="P432" s="318">
        <v>-500</v>
      </c>
      <c r="Q432" s="318">
        <v>400</v>
      </c>
      <c r="R432" s="317" t="s">
        <v>3924</v>
      </c>
      <c r="S432" s="317"/>
      <c r="T432" s="317" t="s">
        <v>3905</v>
      </c>
      <c r="U432" s="317" t="s">
        <v>3925</v>
      </c>
      <c r="V432" s="317"/>
      <c r="W432" s="317"/>
      <c r="X432" s="317"/>
      <c r="Y432" s="319"/>
    </row>
    <row r="433" spans="1:25" s="91" customFormat="1" hidden="1" x14ac:dyDescent="0.25">
      <c r="A433" s="32" t="s">
        <v>1162</v>
      </c>
      <c r="B433" s="315" t="str">
        <f>IF((COUNTBLANK(G433)=0),Stats!$E$7,IF((COUNTBLANK(E433)=0),IF((COUNTBLANK(F433)=0),IF((COUNTBLANK(U433)=0),Stats!$E$6,Stats!$E$5),Stats!$E$4),""))</f>
        <v>Death</v>
      </c>
      <c r="C433" s="39" t="s">
        <v>284</v>
      </c>
      <c r="D433" s="315"/>
      <c r="E433" s="88">
        <v>43669</v>
      </c>
      <c r="F433" s="316">
        <v>43677</v>
      </c>
      <c r="G433" s="316">
        <v>36893</v>
      </c>
      <c r="H433" s="317" t="s">
        <v>3128</v>
      </c>
      <c r="I433" s="317"/>
      <c r="J433" s="317" t="s">
        <v>152</v>
      </c>
      <c r="K433" s="315" t="s">
        <v>3863</v>
      </c>
      <c r="L433" s="315" t="s">
        <v>3817</v>
      </c>
      <c r="M433" s="317"/>
      <c r="N433" s="320" t="s">
        <v>3923</v>
      </c>
      <c r="O433" s="317" t="s">
        <v>51</v>
      </c>
      <c r="P433" s="318">
        <v>-500</v>
      </c>
      <c r="Q433" s="318">
        <v>400</v>
      </c>
      <c r="R433" s="317"/>
      <c r="S433" s="317"/>
      <c r="T433" s="317" t="s">
        <v>3913</v>
      </c>
      <c r="U433" s="317" t="s">
        <v>3926</v>
      </c>
      <c r="V433" s="317"/>
      <c r="W433" s="317"/>
      <c r="X433" s="317"/>
      <c r="Y433" s="319"/>
    </row>
    <row r="434" spans="1:25" s="91" customFormat="1" hidden="1" x14ac:dyDescent="0.25">
      <c r="A434" s="32" t="s">
        <v>1163</v>
      </c>
      <c r="B434" s="315" t="str">
        <f>IF((COUNTBLANK(G434)=0),Stats!$E$7,IF((COUNTBLANK(E434)=0),IF((COUNTBLANK(F434)=0),IF((COUNTBLANK(U434)=0),Stats!$E$6,Stats!$E$5),Stats!$E$4),""))</f>
        <v>Death</v>
      </c>
      <c r="C434" s="39" t="s">
        <v>284</v>
      </c>
      <c r="D434" s="315"/>
      <c r="E434" s="88">
        <v>43669</v>
      </c>
      <c r="F434" s="316">
        <v>43677</v>
      </c>
      <c r="G434" s="316">
        <v>36893</v>
      </c>
      <c r="H434" s="317" t="s">
        <v>3128</v>
      </c>
      <c r="I434" s="317"/>
      <c r="J434" s="317" t="s">
        <v>152</v>
      </c>
      <c r="K434" s="315" t="s">
        <v>3863</v>
      </c>
      <c r="L434" s="315" t="s">
        <v>3817</v>
      </c>
      <c r="M434" s="317"/>
      <c r="N434" s="320" t="s">
        <v>3923</v>
      </c>
      <c r="O434" s="317" t="s">
        <v>51</v>
      </c>
      <c r="P434" s="318">
        <v>-500</v>
      </c>
      <c r="Q434" s="318">
        <v>400</v>
      </c>
      <c r="R434" s="317"/>
      <c r="S434" s="317"/>
      <c r="T434" s="317" t="s">
        <v>3927</v>
      </c>
      <c r="U434" s="317"/>
      <c r="V434" s="317"/>
      <c r="W434" s="317"/>
      <c r="X434" s="317"/>
      <c r="Y434" s="319"/>
    </row>
    <row r="435" spans="1:25" s="91" customFormat="1" hidden="1" x14ac:dyDescent="0.25">
      <c r="A435" s="32" t="s">
        <v>1164</v>
      </c>
      <c r="B435" s="315" t="str">
        <f>IF((COUNTBLANK(G435)=0),Stats!$E$7,IF((COUNTBLANK(E435)=0),IF((COUNTBLANK(F435)=0),IF((COUNTBLANK(U435)=0),Stats!$E$6,Stats!$E$5),Stats!$E$4),""))</f>
        <v>Death</v>
      </c>
      <c r="C435" s="39" t="s">
        <v>3115</v>
      </c>
      <c r="D435" s="315"/>
      <c r="E435" s="88">
        <v>43671</v>
      </c>
      <c r="F435" s="316">
        <v>43671</v>
      </c>
      <c r="G435" s="316">
        <v>36893</v>
      </c>
      <c r="H435" s="317" t="s">
        <v>3128</v>
      </c>
      <c r="I435" s="317"/>
      <c r="J435" s="317" t="s">
        <v>152</v>
      </c>
      <c r="K435" s="315" t="s">
        <v>3764</v>
      </c>
      <c r="L435" s="315" t="s">
        <v>3765</v>
      </c>
      <c r="M435" s="317"/>
      <c r="N435" s="320" t="s">
        <v>3273</v>
      </c>
      <c r="O435" s="317" t="s">
        <v>51</v>
      </c>
      <c r="P435" s="318" t="s">
        <v>3928</v>
      </c>
      <c r="Q435" s="318" t="s">
        <v>3929</v>
      </c>
      <c r="R435" s="317"/>
      <c r="S435" s="317"/>
      <c r="T435" s="317"/>
      <c r="U435" s="317"/>
      <c r="V435" s="317"/>
      <c r="W435" s="317"/>
      <c r="X435" s="317" t="s">
        <v>3649</v>
      </c>
      <c r="Y435" s="319"/>
    </row>
    <row r="436" spans="1:25" s="91" customFormat="1" hidden="1" x14ac:dyDescent="0.25">
      <c r="A436" s="32" t="s">
        <v>1165</v>
      </c>
      <c r="B436" s="315" t="str">
        <f>IF((COUNTBLANK(G436)=0),Stats!$E$7,IF((COUNTBLANK(E436)=0),IF((COUNTBLANK(F436)=0),IF((COUNTBLANK(U436)=0),Stats!$E$6,Stats!$E$5),Stats!$E$4),""))</f>
        <v>Death</v>
      </c>
      <c r="C436" s="39" t="s">
        <v>3115</v>
      </c>
      <c r="D436" s="315"/>
      <c r="E436" s="88">
        <v>43675</v>
      </c>
      <c r="F436" s="316">
        <v>43675</v>
      </c>
      <c r="G436" s="316">
        <v>36893</v>
      </c>
      <c r="H436" s="317" t="s">
        <v>3128</v>
      </c>
      <c r="I436" s="317"/>
      <c r="J436" s="317" t="s">
        <v>152</v>
      </c>
      <c r="K436" s="315" t="s">
        <v>3764</v>
      </c>
      <c r="L436" s="315" t="s">
        <v>3765</v>
      </c>
      <c r="M436" s="317"/>
      <c r="N436" s="320" t="s">
        <v>3273</v>
      </c>
      <c r="O436" s="317" t="s">
        <v>51</v>
      </c>
      <c r="P436" s="318" t="s">
        <v>3928</v>
      </c>
      <c r="Q436" s="318" t="s">
        <v>3929</v>
      </c>
      <c r="R436" s="317"/>
      <c r="S436" s="317"/>
      <c r="T436" s="317"/>
      <c r="U436" s="317"/>
      <c r="V436" s="317"/>
      <c r="W436" s="317"/>
      <c r="X436" s="317" t="s">
        <v>3783</v>
      </c>
      <c r="Y436" s="319"/>
    </row>
    <row r="437" spans="1:25" s="91" customFormat="1" hidden="1" x14ac:dyDescent="0.25">
      <c r="A437" s="32" t="s">
        <v>1166</v>
      </c>
      <c r="B437" s="315" t="str">
        <f>IF((COUNTBLANK(G437)=0),Stats!$E$7,IF((COUNTBLANK(E437)=0),IF((COUNTBLANK(F437)=0),IF((COUNTBLANK(U437)=0),Stats!$E$6,Stats!$E$5),Stats!$E$4),""))</f>
        <v>Death</v>
      </c>
      <c r="C437" s="39" t="s">
        <v>3117</v>
      </c>
      <c r="D437" s="315"/>
      <c r="E437" s="88">
        <v>43676</v>
      </c>
      <c r="F437" s="316">
        <v>43676</v>
      </c>
      <c r="G437" s="316">
        <v>36893</v>
      </c>
      <c r="H437" s="317" t="s">
        <v>3148</v>
      </c>
      <c r="I437" s="317"/>
      <c r="J437" s="317" t="s">
        <v>152</v>
      </c>
      <c r="K437" s="315" t="s">
        <v>3216</v>
      </c>
      <c r="L437" s="315"/>
      <c r="M437" s="317"/>
      <c r="N437" s="320" t="s">
        <v>105</v>
      </c>
      <c r="O437" s="317" t="s">
        <v>51</v>
      </c>
      <c r="P437" s="318">
        <v>-350</v>
      </c>
      <c r="Q437" s="318">
        <v>100</v>
      </c>
      <c r="R437" s="317" t="s">
        <v>3930</v>
      </c>
      <c r="S437" s="317"/>
      <c r="T437" s="317"/>
      <c r="U437" s="317" t="s">
        <v>3931</v>
      </c>
      <c r="V437" s="317"/>
      <c r="W437" s="317"/>
      <c r="X437" s="317" t="s">
        <v>3770</v>
      </c>
      <c r="Y437" s="319"/>
    </row>
    <row r="438" spans="1:25" s="91" customFormat="1" hidden="1" x14ac:dyDescent="0.25">
      <c r="A438" s="32" t="s">
        <v>1167</v>
      </c>
      <c r="B438" s="315" t="str">
        <f>IF((COUNTBLANK(G438)=0),Stats!$E$7,IF((COUNTBLANK(E438)=0),IF((COUNTBLANK(F438)=0),IF((COUNTBLANK(U438)=0),Stats!$E$6,Stats!$E$5),Stats!$E$4),""))</f>
        <v>Death</v>
      </c>
      <c r="C438" s="39" t="s">
        <v>3117</v>
      </c>
      <c r="D438" s="315"/>
      <c r="E438" s="88">
        <v>43676</v>
      </c>
      <c r="F438" s="316">
        <v>43676</v>
      </c>
      <c r="G438" s="316">
        <v>36893</v>
      </c>
      <c r="H438" s="317" t="s">
        <v>3148</v>
      </c>
      <c r="I438" s="317"/>
      <c r="J438" s="317" t="s">
        <v>152</v>
      </c>
      <c r="K438" s="315" t="s">
        <v>3216</v>
      </c>
      <c r="L438" s="315"/>
      <c r="M438" s="317"/>
      <c r="N438" s="320" t="s">
        <v>105</v>
      </c>
      <c r="O438" s="317" t="s">
        <v>51</v>
      </c>
      <c r="P438" s="318">
        <v>-350</v>
      </c>
      <c r="Q438" s="318">
        <v>100</v>
      </c>
      <c r="R438" s="317" t="s">
        <v>3932</v>
      </c>
      <c r="S438" s="317"/>
      <c r="T438" s="317" t="s">
        <v>3933</v>
      </c>
      <c r="U438" s="317" t="s">
        <v>3931</v>
      </c>
      <c r="V438" s="71" t="s">
        <v>3934</v>
      </c>
      <c r="W438" s="317"/>
      <c r="X438" s="317"/>
      <c r="Y438" s="319"/>
    </row>
    <row r="439" spans="1:25" s="91" customFormat="1" hidden="1" x14ac:dyDescent="0.25">
      <c r="A439" s="32" t="s">
        <v>1168</v>
      </c>
      <c r="B439" s="315" t="str">
        <f>IF((COUNTBLANK(G439)=0),Stats!$E$7,IF((COUNTBLANK(E439)=0),IF((COUNTBLANK(F439)=0),IF((COUNTBLANK(U439)=0),Stats!$E$6,Stats!$E$5),Stats!$E$4),""))</f>
        <v>Death</v>
      </c>
      <c r="C439" s="39" t="s">
        <v>3117</v>
      </c>
      <c r="D439" s="315"/>
      <c r="E439" s="88">
        <v>43676</v>
      </c>
      <c r="F439" s="316">
        <v>43676</v>
      </c>
      <c r="G439" s="316">
        <v>36893</v>
      </c>
      <c r="H439" s="317" t="s">
        <v>3148</v>
      </c>
      <c r="I439" s="317"/>
      <c r="J439" s="317" t="s">
        <v>152</v>
      </c>
      <c r="K439" s="315" t="s">
        <v>3216</v>
      </c>
      <c r="L439" s="315"/>
      <c r="M439" s="317"/>
      <c r="N439" s="320" t="s">
        <v>105</v>
      </c>
      <c r="O439" s="317" t="s">
        <v>51</v>
      </c>
      <c r="P439" s="318">
        <v>-350</v>
      </c>
      <c r="Q439" s="318">
        <v>100</v>
      </c>
      <c r="R439" s="317" t="s">
        <v>3935</v>
      </c>
      <c r="S439" s="317"/>
      <c r="T439" s="317" t="s">
        <v>3933</v>
      </c>
      <c r="U439" s="317" t="s">
        <v>3931</v>
      </c>
      <c r="V439" s="317" t="s">
        <v>3936</v>
      </c>
      <c r="W439" s="317"/>
      <c r="X439" s="317"/>
      <c r="Y439" s="319"/>
    </row>
    <row r="440" spans="1:25" s="91" customFormat="1" hidden="1" x14ac:dyDescent="0.25">
      <c r="A440" s="32" t="s">
        <v>1169</v>
      </c>
      <c r="B440" s="315" t="str">
        <f>IF((COUNTBLANK(G440)=0),Stats!$E$7,IF((COUNTBLANK(E440)=0),IF((COUNTBLANK(F440)=0),IF((COUNTBLANK(U440)=0),Stats!$E$6,Stats!$E$5),Stats!$E$4),""))</f>
        <v>Death</v>
      </c>
      <c r="C440" s="39" t="s">
        <v>3115</v>
      </c>
      <c r="D440" s="315"/>
      <c r="E440" s="88">
        <v>43676</v>
      </c>
      <c r="F440" s="316">
        <v>36892</v>
      </c>
      <c r="G440" s="316">
        <v>36893</v>
      </c>
      <c r="H440" s="317" t="s">
        <v>3128</v>
      </c>
      <c r="I440" s="317"/>
      <c r="J440" s="317" t="s">
        <v>152</v>
      </c>
      <c r="K440" s="315" t="s">
        <v>3216</v>
      </c>
      <c r="L440" s="315"/>
      <c r="M440" s="317"/>
      <c r="N440" s="320"/>
      <c r="O440" s="317" t="s">
        <v>51</v>
      </c>
      <c r="P440" s="318" t="s">
        <v>3928</v>
      </c>
      <c r="Q440" s="318" t="s">
        <v>3929</v>
      </c>
      <c r="R440" s="317"/>
      <c r="S440" s="317"/>
      <c r="T440" s="317"/>
      <c r="U440" s="317"/>
      <c r="V440" s="317"/>
      <c r="W440" s="317"/>
      <c r="X440" s="317"/>
      <c r="Y440" s="319"/>
    </row>
    <row r="441" spans="1:25" s="91" customFormat="1" hidden="1" x14ac:dyDescent="0.25">
      <c r="A441" s="32" t="s">
        <v>1170</v>
      </c>
      <c r="B441" s="315" t="str">
        <f>IF((COUNTBLANK(G441)=0),Stats!$E$7,IF((COUNTBLANK(E441)=0),IF((COUNTBLANK(F441)=0),IF((COUNTBLANK(U441)=0),Stats!$E$6,Stats!$E$5),Stats!$E$4),""))</f>
        <v>Death</v>
      </c>
      <c r="C441" s="39" t="s">
        <v>3115</v>
      </c>
      <c r="D441" s="315"/>
      <c r="E441" s="88">
        <v>43677</v>
      </c>
      <c r="F441" s="316">
        <v>43677</v>
      </c>
      <c r="G441" s="316">
        <v>36893</v>
      </c>
      <c r="H441" s="317" t="s">
        <v>3128</v>
      </c>
      <c r="I441" s="317"/>
      <c r="J441" s="317" t="s">
        <v>152</v>
      </c>
      <c r="K441" s="315" t="s">
        <v>3216</v>
      </c>
      <c r="L441" s="315"/>
      <c r="M441" s="317"/>
      <c r="N441" s="320"/>
      <c r="O441" s="317" t="s">
        <v>51</v>
      </c>
      <c r="P441" s="318" t="s">
        <v>3928</v>
      </c>
      <c r="Q441" s="318" t="s">
        <v>3929</v>
      </c>
      <c r="R441" s="317"/>
      <c r="S441" s="317"/>
      <c r="T441" s="317"/>
      <c r="U441" s="317"/>
      <c r="V441" s="317"/>
      <c r="W441" s="317"/>
      <c r="X441" s="317" t="s">
        <v>3649</v>
      </c>
      <c r="Y441" s="319"/>
    </row>
    <row r="442" spans="1:25" s="91" customFormat="1" hidden="1" x14ac:dyDescent="0.25">
      <c r="A442" s="32" t="s">
        <v>1171</v>
      </c>
      <c r="B442" s="315" t="str">
        <f>IF((COUNTBLANK(G442)=0),Stats!$E$7,IF((COUNTBLANK(E442)=0),IF((COUNTBLANK(F442)=0),IF((COUNTBLANK(U442)=0),Stats!$E$6,Stats!$E$5),Stats!$E$4),""))</f>
        <v>Death</v>
      </c>
      <c r="C442" s="39" t="s">
        <v>3117</v>
      </c>
      <c r="D442" s="315"/>
      <c r="E442" s="88">
        <v>43682</v>
      </c>
      <c r="F442" s="316">
        <v>43682</v>
      </c>
      <c r="G442" s="316">
        <v>36893</v>
      </c>
      <c r="H442" s="317" t="s">
        <v>3148</v>
      </c>
      <c r="I442" s="317"/>
      <c r="J442" s="317" t="s">
        <v>152</v>
      </c>
      <c r="K442" s="315" t="s">
        <v>3216</v>
      </c>
      <c r="L442" s="315"/>
      <c r="M442" s="317"/>
      <c r="N442" s="320" t="s">
        <v>105</v>
      </c>
      <c r="O442" s="317" t="s">
        <v>51</v>
      </c>
      <c r="P442" s="318" t="s">
        <v>3937</v>
      </c>
      <c r="Q442" s="318" t="s">
        <v>3938</v>
      </c>
      <c r="R442" s="317" t="s">
        <v>3939</v>
      </c>
      <c r="S442" s="317"/>
      <c r="T442" s="317"/>
      <c r="U442" s="317" t="s">
        <v>3940</v>
      </c>
      <c r="V442" s="317"/>
      <c r="W442" s="317"/>
      <c r="X442" s="317"/>
      <c r="Y442" s="319"/>
    </row>
    <row r="443" spans="1:25" s="91" customFormat="1" hidden="1" x14ac:dyDescent="0.25">
      <c r="A443" s="32" t="s">
        <v>1172</v>
      </c>
      <c r="B443" s="315" t="str">
        <f>IF((COUNTBLANK(G443)=0),Stats!$E$7,IF((COUNTBLANK(E443)=0),IF((COUNTBLANK(F443)=0),IF((COUNTBLANK(U443)=0),Stats!$E$6,Stats!$E$5),Stats!$E$4),""))</f>
        <v>Death</v>
      </c>
      <c r="C443" s="39" t="s">
        <v>3117</v>
      </c>
      <c r="D443" s="315"/>
      <c r="E443" s="88">
        <v>43682</v>
      </c>
      <c r="F443" s="316">
        <v>43682</v>
      </c>
      <c r="G443" s="316">
        <v>36893</v>
      </c>
      <c r="H443" s="317" t="s">
        <v>3148</v>
      </c>
      <c r="I443" s="317"/>
      <c r="J443" s="317" t="s">
        <v>152</v>
      </c>
      <c r="K443" s="315" t="s">
        <v>3216</v>
      </c>
      <c r="L443" s="315"/>
      <c r="M443" s="317"/>
      <c r="N443" s="320" t="s">
        <v>105</v>
      </c>
      <c r="O443" s="317" t="s">
        <v>51</v>
      </c>
      <c r="P443" s="318">
        <v>-650</v>
      </c>
      <c r="Q443" s="318" t="s">
        <v>3938</v>
      </c>
      <c r="R443" s="317" t="s">
        <v>3941</v>
      </c>
      <c r="S443" s="317"/>
      <c r="T443" s="317"/>
      <c r="U443" s="317" t="s">
        <v>3942</v>
      </c>
      <c r="V443" s="317" t="s">
        <v>3943</v>
      </c>
      <c r="W443" s="317"/>
      <c r="X443" s="317"/>
      <c r="Y443" s="319"/>
    </row>
    <row r="444" spans="1:25" s="91" customFormat="1" hidden="1" x14ac:dyDescent="0.25">
      <c r="A444" s="32" t="s">
        <v>1173</v>
      </c>
      <c r="B444" s="315" t="str">
        <f>IF((COUNTBLANK(G444)=0),Stats!$E$7,IF((COUNTBLANK(E444)=0),IF((COUNTBLANK(F444)=0),IF((COUNTBLANK(U444)=0),Stats!$E$6,Stats!$E$5),Stats!$E$4),""))</f>
        <v>Death</v>
      </c>
      <c r="C444" s="39" t="s">
        <v>3117</v>
      </c>
      <c r="D444" s="315"/>
      <c r="E444" s="88">
        <v>43682</v>
      </c>
      <c r="F444" s="316">
        <v>43682</v>
      </c>
      <c r="G444" s="316">
        <v>36893</v>
      </c>
      <c r="H444" s="317" t="s">
        <v>3148</v>
      </c>
      <c r="I444" s="317"/>
      <c r="J444" s="317" t="s">
        <v>152</v>
      </c>
      <c r="K444" s="315" t="s">
        <v>3216</v>
      </c>
      <c r="L444" s="315"/>
      <c r="M444" s="317"/>
      <c r="N444" s="320" t="s">
        <v>105</v>
      </c>
      <c r="O444" s="317" t="s">
        <v>51</v>
      </c>
      <c r="P444" s="318" t="s">
        <v>3944</v>
      </c>
      <c r="Q444" s="318" t="s">
        <v>3945</v>
      </c>
      <c r="R444" s="317" t="s">
        <v>3946</v>
      </c>
      <c r="S444" s="317"/>
      <c r="T444" s="317"/>
      <c r="U444" s="317" t="s">
        <v>3947</v>
      </c>
      <c r="V444" s="317" t="s">
        <v>3948</v>
      </c>
      <c r="W444" s="317"/>
      <c r="X444" s="317"/>
      <c r="Y444" s="319"/>
    </row>
    <row r="445" spans="1:25" s="91" customFormat="1" hidden="1" x14ac:dyDescent="0.25">
      <c r="A445" s="32" t="s">
        <v>1174</v>
      </c>
      <c r="B445" s="315" t="str">
        <f>IF((COUNTBLANK(G445)=0),Stats!$E$7,IF((COUNTBLANK(E445)=0),IF((COUNTBLANK(F445)=0),IF((COUNTBLANK(U445)=0),Stats!$E$6,Stats!$E$5),Stats!$E$4),""))</f>
        <v>Death</v>
      </c>
      <c r="C445" s="39" t="s">
        <v>3117</v>
      </c>
      <c r="D445" s="315"/>
      <c r="E445" s="88">
        <v>43684</v>
      </c>
      <c r="F445" s="316">
        <v>43684</v>
      </c>
      <c r="G445" s="316">
        <v>36893</v>
      </c>
      <c r="H445" s="317" t="s">
        <v>3150</v>
      </c>
      <c r="I445" s="317"/>
      <c r="J445" s="317" t="s">
        <v>152</v>
      </c>
      <c r="K445" s="315" t="s">
        <v>3216</v>
      </c>
      <c r="L445" s="315"/>
      <c r="M445" s="317"/>
      <c r="N445" s="320" t="s">
        <v>105</v>
      </c>
      <c r="O445" s="317" t="s">
        <v>51</v>
      </c>
      <c r="P445" s="318"/>
      <c r="Q445" s="318"/>
      <c r="R445" s="317"/>
      <c r="S445" s="317"/>
      <c r="T445" s="317"/>
      <c r="U445" s="317"/>
      <c r="V445" s="317"/>
      <c r="W445" s="317"/>
      <c r="X445" s="317"/>
      <c r="Y445" s="319"/>
    </row>
    <row r="446" spans="1:25" s="91" customFormat="1" hidden="1" x14ac:dyDescent="0.25">
      <c r="A446" s="32" t="s">
        <v>1175</v>
      </c>
      <c r="B446" s="315" t="str">
        <f>IF((COUNTBLANK(G446)=0),Stats!$E$7,IF((COUNTBLANK(E446)=0),IF((COUNTBLANK(F446)=0),IF((COUNTBLANK(U446)=0),Stats!$E$6,Stats!$E$5),Stats!$E$4),""))</f>
        <v>Death</v>
      </c>
      <c r="C446" s="39" t="s">
        <v>284</v>
      </c>
      <c r="D446" s="315"/>
      <c r="E446" s="88">
        <v>43684</v>
      </c>
      <c r="F446" s="316">
        <v>36892</v>
      </c>
      <c r="G446" s="316">
        <v>36893</v>
      </c>
      <c r="H446" s="317" t="s">
        <v>3142</v>
      </c>
      <c r="I446" s="317"/>
      <c r="J446" s="317" t="s">
        <v>3186</v>
      </c>
      <c r="K446" s="315" t="s">
        <v>3222</v>
      </c>
      <c r="L446" s="315" t="s">
        <v>3223</v>
      </c>
      <c r="M446" s="317" t="s">
        <v>3880</v>
      </c>
      <c r="N446" s="320" t="s">
        <v>3949</v>
      </c>
      <c r="O446" s="317" t="s">
        <v>51</v>
      </c>
      <c r="P446" s="318">
        <v>-500</v>
      </c>
      <c r="Q446" s="318">
        <v>500</v>
      </c>
      <c r="R446" s="317" t="s">
        <v>3950</v>
      </c>
      <c r="S446" s="317"/>
      <c r="T446" s="317"/>
      <c r="U446" s="317"/>
      <c r="V446" s="317"/>
      <c r="W446" s="317"/>
      <c r="X446" s="317" t="s">
        <v>3951</v>
      </c>
      <c r="Y446" s="319"/>
    </row>
    <row r="447" spans="1:25" s="91" customFormat="1" hidden="1" x14ac:dyDescent="0.25">
      <c r="A447" s="32" t="s">
        <v>1176</v>
      </c>
      <c r="B447" s="315" t="str">
        <f>IF((COUNTBLANK(G447)=0),Stats!$E$7,IF((COUNTBLANK(E447)=0),IF((COUNTBLANK(F447)=0),IF((COUNTBLANK(U447)=0),Stats!$E$6,Stats!$E$5),Stats!$E$4),""))</f>
        <v>Death</v>
      </c>
      <c r="C447" s="39" t="s">
        <v>284</v>
      </c>
      <c r="D447" s="315"/>
      <c r="E447" s="88">
        <v>43684</v>
      </c>
      <c r="F447" s="316">
        <v>43698</v>
      </c>
      <c r="G447" s="316">
        <v>36893</v>
      </c>
      <c r="H447" s="317" t="s">
        <v>3142</v>
      </c>
      <c r="I447" s="317"/>
      <c r="J447" s="317" t="s">
        <v>3186</v>
      </c>
      <c r="K447" s="315" t="s">
        <v>3222</v>
      </c>
      <c r="L447" s="315" t="s">
        <v>3223</v>
      </c>
      <c r="M447" s="317" t="s">
        <v>3880</v>
      </c>
      <c r="N447" s="320" t="s">
        <v>3949</v>
      </c>
      <c r="O447" s="317" t="s">
        <v>51</v>
      </c>
      <c r="P447" s="318">
        <v>-500</v>
      </c>
      <c r="Q447" s="318">
        <v>500</v>
      </c>
      <c r="R447" s="317" t="s">
        <v>3952</v>
      </c>
      <c r="S447" s="317"/>
      <c r="T447" s="317" t="s">
        <v>3905</v>
      </c>
      <c r="U447" s="317" t="s">
        <v>3953</v>
      </c>
      <c r="V447" s="317" t="s">
        <v>3954</v>
      </c>
      <c r="W447" s="317"/>
      <c r="X447" s="317"/>
      <c r="Y447" s="319"/>
    </row>
    <row r="448" spans="1:25" s="91" customFormat="1" hidden="1" x14ac:dyDescent="0.25">
      <c r="A448" s="32" t="s">
        <v>1177</v>
      </c>
      <c r="B448" s="315" t="str">
        <f>IF((COUNTBLANK(G448)=0),Stats!$E$7,IF((COUNTBLANK(E448)=0),IF((COUNTBLANK(F448)=0),IF((COUNTBLANK(U448)=0),Stats!$E$6,Stats!$E$5),Stats!$E$4),""))</f>
        <v>Death</v>
      </c>
      <c r="C448" s="39" t="s">
        <v>284</v>
      </c>
      <c r="D448" s="315"/>
      <c r="E448" s="88">
        <v>43684</v>
      </c>
      <c r="F448" s="316">
        <v>43698</v>
      </c>
      <c r="G448" s="316">
        <v>36893</v>
      </c>
      <c r="H448" s="317" t="s">
        <v>3142</v>
      </c>
      <c r="I448" s="317"/>
      <c r="J448" s="317" t="s">
        <v>3186</v>
      </c>
      <c r="K448" s="315" t="s">
        <v>3222</v>
      </c>
      <c r="L448" s="315" t="s">
        <v>3223</v>
      </c>
      <c r="M448" s="317" t="s">
        <v>3880</v>
      </c>
      <c r="N448" s="320" t="s">
        <v>3949</v>
      </c>
      <c r="O448" s="317" t="s">
        <v>51</v>
      </c>
      <c r="P448" s="318">
        <v>-500</v>
      </c>
      <c r="Q448" s="318">
        <v>500</v>
      </c>
      <c r="R448" s="317"/>
      <c r="S448" s="317"/>
      <c r="T448" s="317" t="s">
        <v>3955</v>
      </c>
      <c r="U448" s="317"/>
      <c r="V448" s="317" t="s">
        <v>3956</v>
      </c>
      <c r="W448" s="317"/>
      <c r="X448" s="317"/>
      <c r="Y448" s="319"/>
    </row>
    <row r="449" spans="1:25" s="91" customFormat="1" hidden="1" x14ac:dyDescent="0.25">
      <c r="A449" s="32" t="s">
        <v>1178</v>
      </c>
      <c r="B449" s="315" t="str">
        <f>IF((COUNTBLANK(G449)=0),Stats!$E$7,IF((COUNTBLANK(E449)=0),IF((COUNTBLANK(F449)=0),IF((COUNTBLANK(U449)=0),Stats!$E$6,Stats!$E$5),Stats!$E$4),""))</f>
        <v>Death</v>
      </c>
      <c r="C449" s="39" t="s">
        <v>284</v>
      </c>
      <c r="D449" s="315"/>
      <c r="E449" s="88">
        <v>43692</v>
      </c>
      <c r="F449" s="316">
        <v>43703</v>
      </c>
      <c r="G449" s="316">
        <v>36893</v>
      </c>
      <c r="H449" s="317" t="s">
        <v>3142</v>
      </c>
      <c r="I449" s="317"/>
      <c r="J449" s="317" t="s">
        <v>152</v>
      </c>
      <c r="K449" s="315" t="s">
        <v>3222</v>
      </c>
      <c r="L449" s="315" t="s">
        <v>3880</v>
      </c>
      <c r="M449" s="317"/>
      <c r="N449" s="320" t="s">
        <v>3273</v>
      </c>
      <c r="O449" s="317" t="s">
        <v>51</v>
      </c>
      <c r="P449" s="318">
        <v>-400</v>
      </c>
      <c r="Q449" s="318">
        <v>800</v>
      </c>
      <c r="R449" s="317"/>
      <c r="S449" s="317"/>
      <c r="T449" s="317" t="s">
        <v>3905</v>
      </c>
      <c r="U449" s="317"/>
      <c r="V449" s="317"/>
      <c r="W449" s="317"/>
      <c r="X449" s="317"/>
      <c r="Y449" s="319"/>
    </row>
    <row r="450" spans="1:25" s="91" customFormat="1" hidden="1" x14ac:dyDescent="0.25">
      <c r="A450" s="32" t="s">
        <v>1179</v>
      </c>
      <c r="B450" s="315" t="str">
        <f>IF((COUNTBLANK(G450)=0),Stats!$E$7,IF((COUNTBLANK(E450)=0),IF((COUNTBLANK(F450)=0),IF((COUNTBLANK(U450)=0),Stats!$E$6,Stats!$E$5),Stats!$E$4),""))</f>
        <v>Death</v>
      </c>
      <c r="C450" s="39" t="s">
        <v>284</v>
      </c>
      <c r="D450" s="315"/>
      <c r="E450" s="88">
        <v>43692</v>
      </c>
      <c r="F450" s="316">
        <v>43703</v>
      </c>
      <c r="G450" s="316">
        <v>36893</v>
      </c>
      <c r="H450" s="317" t="s">
        <v>3142</v>
      </c>
      <c r="I450" s="317"/>
      <c r="J450" s="317" t="s">
        <v>152</v>
      </c>
      <c r="K450" s="315" t="s">
        <v>3222</v>
      </c>
      <c r="L450" s="315" t="s">
        <v>3880</v>
      </c>
      <c r="M450" s="317"/>
      <c r="N450" s="320" t="s">
        <v>3273</v>
      </c>
      <c r="O450" s="317" t="s">
        <v>51</v>
      </c>
      <c r="P450" s="318">
        <v>-400</v>
      </c>
      <c r="Q450" s="318">
        <v>800</v>
      </c>
      <c r="R450" s="317"/>
      <c r="S450" s="317"/>
      <c r="T450" s="317" t="s">
        <v>3905</v>
      </c>
      <c r="U450" s="317"/>
      <c r="V450" s="317"/>
      <c r="W450" s="317"/>
      <c r="X450" s="317"/>
      <c r="Y450" s="319"/>
    </row>
    <row r="451" spans="1:25" s="91" customFormat="1" hidden="1" x14ac:dyDescent="0.25">
      <c r="A451" s="32" t="s">
        <v>1180</v>
      </c>
      <c r="B451" s="315" t="str">
        <f>IF((COUNTBLANK(G451)=0),Stats!$E$7,IF((COUNTBLANK(E451)=0),IF((COUNTBLANK(F451)=0),IF((COUNTBLANK(U451)=0),Stats!$E$6,Stats!$E$5),Stats!$E$4),""))</f>
        <v>Death</v>
      </c>
      <c r="C451" s="39" t="s">
        <v>284</v>
      </c>
      <c r="D451" s="315"/>
      <c r="E451" s="88">
        <v>43692</v>
      </c>
      <c r="F451" s="316">
        <v>43704</v>
      </c>
      <c r="G451" s="316">
        <v>36893</v>
      </c>
      <c r="H451" s="317" t="s">
        <v>3142</v>
      </c>
      <c r="I451" s="317"/>
      <c r="J451" s="317" t="s">
        <v>152</v>
      </c>
      <c r="K451" s="315" t="s">
        <v>3222</v>
      </c>
      <c r="L451" s="315" t="s">
        <v>3880</v>
      </c>
      <c r="M451" s="317"/>
      <c r="N451" s="320" t="s">
        <v>3273</v>
      </c>
      <c r="O451" s="317" t="s">
        <v>51</v>
      </c>
      <c r="P451" s="318">
        <v>-400</v>
      </c>
      <c r="Q451" s="318">
        <v>400</v>
      </c>
      <c r="R451" s="317"/>
      <c r="S451" s="317"/>
      <c r="T451" s="317" t="s">
        <v>3905</v>
      </c>
      <c r="U451" s="317"/>
      <c r="V451" s="317"/>
      <c r="W451" s="317"/>
      <c r="X451" s="317" t="s">
        <v>3726</v>
      </c>
      <c r="Y451" s="319"/>
    </row>
    <row r="452" spans="1:25" s="91" customFormat="1" hidden="1" x14ac:dyDescent="0.25">
      <c r="A452" s="32" t="s">
        <v>1181</v>
      </c>
      <c r="B452" s="315" t="str">
        <f>IF((COUNTBLANK(G452)=0),Stats!$E$7,IF((COUNTBLANK(E452)=0),IF((COUNTBLANK(F452)=0),IF((COUNTBLANK(U452)=0),Stats!$E$6,Stats!$E$5),Stats!$E$4),""))</f>
        <v>Death</v>
      </c>
      <c r="C452" s="39" t="s">
        <v>284</v>
      </c>
      <c r="D452" s="315"/>
      <c r="E452" s="88">
        <v>43692</v>
      </c>
      <c r="F452" s="316">
        <v>43705</v>
      </c>
      <c r="G452" s="316">
        <v>36893</v>
      </c>
      <c r="H452" s="317" t="s">
        <v>3142</v>
      </c>
      <c r="I452" s="317"/>
      <c r="J452" s="317" t="s">
        <v>152</v>
      </c>
      <c r="K452" s="315" t="s">
        <v>3222</v>
      </c>
      <c r="L452" s="315" t="s">
        <v>3880</v>
      </c>
      <c r="M452" s="317"/>
      <c r="N452" s="320" t="s">
        <v>3273</v>
      </c>
      <c r="O452" s="317" t="s">
        <v>51</v>
      </c>
      <c r="P452" s="318">
        <v>-400</v>
      </c>
      <c r="Q452" s="318">
        <v>400</v>
      </c>
      <c r="R452" s="317"/>
      <c r="S452" s="317"/>
      <c r="T452" s="317" t="s">
        <v>3955</v>
      </c>
      <c r="U452" s="317"/>
      <c r="V452" s="317"/>
      <c r="W452" s="317"/>
      <c r="X452" s="317"/>
      <c r="Y452" s="319"/>
    </row>
    <row r="453" spans="1:25" s="91" customFormat="1" hidden="1" x14ac:dyDescent="0.25">
      <c r="A453" s="32" t="s">
        <v>1182</v>
      </c>
      <c r="B453" s="315" t="str">
        <f>IF((COUNTBLANK(G453)=0),Stats!$E$7,IF((COUNTBLANK(E453)=0),IF((COUNTBLANK(F453)=0),IF((COUNTBLANK(U453)=0),Stats!$E$6,Stats!$E$5),Stats!$E$4),""))</f>
        <v>Death</v>
      </c>
      <c r="C453" s="39" t="s">
        <v>3117</v>
      </c>
      <c r="D453" s="315"/>
      <c r="E453" s="88">
        <v>43713</v>
      </c>
      <c r="F453" s="316">
        <v>43682</v>
      </c>
      <c r="G453" s="316">
        <v>36893</v>
      </c>
      <c r="H453" s="317" t="s">
        <v>3148</v>
      </c>
      <c r="I453" s="317"/>
      <c r="J453" s="317" t="s">
        <v>152</v>
      </c>
      <c r="K453" s="315" t="s">
        <v>3216</v>
      </c>
      <c r="L453" s="315"/>
      <c r="M453" s="317"/>
      <c r="N453" s="320" t="s">
        <v>105</v>
      </c>
      <c r="O453" s="317" t="s">
        <v>51</v>
      </c>
      <c r="P453" s="318" t="s">
        <v>3944</v>
      </c>
      <c r="Q453" s="318" t="s">
        <v>3957</v>
      </c>
      <c r="R453" s="317"/>
      <c r="S453" s="317"/>
      <c r="T453" s="317"/>
      <c r="U453" s="317" t="s">
        <v>3958</v>
      </c>
      <c r="V453" s="317"/>
      <c r="W453" s="317"/>
      <c r="X453" s="317"/>
      <c r="Y453" s="319"/>
    </row>
    <row r="454" spans="1:25" s="91" customFormat="1" hidden="1" x14ac:dyDescent="0.25">
      <c r="A454" s="32" t="s">
        <v>1183</v>
      </c>
      <c r="B454" s="315" t="str">
        <f>IF((COUNTBLANK(G454)=0),Stats!$E$7,IF((COUNTBLANK(E454)=0),IF((COUNTBLANK(F454)=0),IF((COUNTBLANK(U454)=0),Stats!$E$6,Stats!$E$5),Stats!$E$4),""))</f>
        <v>Death</v>
      </c>
      <c r="C454" s="39" t="s">
        <v>3117</v>
      </c>
      <c r="D454" s="315"/>
      <c r="E454" s="88">
        <v>43713</v>
      </c>
      <c r="F454" s="316">
        <v>43682</v>
      </c>
      <c r="G454" s="316">
        <v>36893</v>
      </c>
      <c r="H454" s="317" t="s">
        <v>3148</v>
      </c>
      <c r="I454" s="317"/>
      <c r="J454" s="317" t="s">
        <v>152</v>
      </c>
      <c r="K454" s="315" t="s">
        <v>3216</v>
      </c>
      <c r="L454" s="315"/>
      <c r="M454" s="317"/>
      <c r="N454" s="320" t="s">
        <v>105</v>
      </c>
      <c r="O454" s="317" t="s">
        <v>51</v>
      </c>
      <c r="P454" s="318" t="s">
        <v>3944</v>
      </c>
      <c r="Q454" s="318" t="s">
        <v>3959</v>
      </c>
      <c r="R454" s="317"/>
      <c r="S454" s="317"/>
      <c r="T454" s="317"/>
      <c r="U454" s="317"/>
      <c r="V454" s="317"/>
      <c r="W454" s="317"/>
      <c r="X454" s="317"/>
      <c r="Y454" s="319"/>
    </row>
    <row r="455" spans="1:25" s="91" customFormat="1" hidden="1" x14ac:dyDescent="0.25">
      <c r="A455" s="32" t="s">
        <v>1184</v>
      </c>
      <c r="B455" s="315" t="str">
        <f>IF((COUNTBLANK(G455)=0),Stats!$E$7,IF((COUNTBLANK(E455)=0),IF((COUNTBLANK(F455)=0),IF((COUNTBLANK(U455)=0),Stats!$E$6,Stats!$E$5),Stats!$E$4),""))</f>
        <v>Death</v>
      </c>
      <c r="C455" s="39" t="s">
        <v>3117</v>
      </c>
      <c r="D455" s="315"/>
      <c r="E455" s="88">
        <v>43712</v>
      </c>
      <c r="F455" s="316">
        <v>43712</v>
      </c>
      <c r="G455" s="316">
        <v>36893</v>
      </c>
      <c r="H455" s="317" t="s">
        <v>3150</v>
      </c>
      <c r="I455" s="317"/>
      <c r="J455" s="317" t="s">
        <v>3186</v>
      </c>
      <c r="K455" s="315" t="s">
        <v>3222</v>
      </c>
      <c r="L455" s="315" t="s">
        <v>3223</v>
      </c>
      <c r="M455" s="317"/>
      <c r="N455" s="320" t="s">
        <v>3960</v>
      </c>
      <c r="O455" s="317" t="s">
        <v>51</v>
      </c>
      <c r="P455" s="318" t="s">
        <v>3961</v>
      </c>
      <c r="Q455" s="321">
        <v>100100100</v>
      </c>
      <c r="R455" s="317" t="s">
        <v>3962</v>
      </c>
      <c r="S455" s="317"/>
      <c r="T455" s="317"/>
      <c r="U455" s="317"/>
      <c r="V455" s="317" t="s">
        <v>3963</v>
      </c>
      <c r="W455" s="317"/>
      <c r="X455" s="317"/>
      <c r="Y455" s="319"/>
    </row>
    <row r="456" spans="1:25" s="91" customFormat="1" hidden="1" x14ac:dyDescent="0.25">
      <c r="A456" s="32" t="s">
        <v>1185</v>
      </c>
      <c r="B456" s="315" t="str">
        <f>IF((COUNTBLANK(G456)=0),Stats!$E$7,IF((COUNTBLANK(E456)=0),IF((COUNTBLANK(F456)=0),IF((COUNTBLANK(U456)=0),Stats!$E$6,Stats!$E$5),Stats!$E$4),""))</f>
        <v>Death</v>
      </c>
      <c r="C456" s="39" t="s">
        <v>284</v>
      </c>
      <c r="D456" s="315"/>
      <c r="E456" s="88">
        <v>43566</v>
      </c>
      <c r="F456" s="316">
        <v>43741</v>
      </c>
      <c r="G456" s="316">
        <v>36893</v>
      </c>
      <c r="H456" s="317" t="s">
        <v>3142</v>
      </c>
      <c r="I456" s="317"/>
      <c r="J456" s="317" t="s">
        <v>152</v>
      </c>
      <c r="K456" s="315" t="s">
        <v>3964</v>
      </c>
      <c r="L456" s="315"/>
      <c r="M456" s="317"/>
      <c r="N456" s="320"/>
      <c r="O456" s="317" t="s">
        <v>51</v>
      </c>
      <c r="P456" s="318" t="s">
        <v>3965</v>
      </c>
      <c r="Q456" s="318" t="s">
        <v>3875</v>
      </c>
      <c r="R456" s="317"/>
      <c r="S456" s="317"/>
      <c r="T456" s="317" t="s">
        <v>3955</v>
      </c>
      <c r="U456" s="317"/>
      <c r="V456" s="317" t="s">
        <v>3956</v>
      </c>
      <c r="W456" s="317"/>
      <c r="X456" s="317"/>
      <c r="Y456" s="319"/>
    </row>
    <row r="457" spans="1:25" s="91" customFormat="1" hidden="1" x14ac:dyDescent="0.25">
      <c r="A457" s="32" t="s">
        <v>1186</v>
      </c>
      <c r="B457" s="315" t="str">
        <f>IF((COUNTBLANK(G457)=0),Stats!$E$7,IF((COUNTBLANK(E457)=0),IF((COUNTBLANK(F457)=0),IF((COUNTBLANK(U457)=0),Stats!$E$6,Stats!$E$5),Stats!$E$4),""))</f>
        <v>Death</v>
      </c>
      <c r="C457" s="39" t="s">
        <v>284</v>
      </c>
      <c r="D457" s="315"/>
      <c r="E457" s="88">
        <v>43566</v>
      </c>
      <c r="F457" s="316">
        <v>43741</v>
      </c>
      <c r="G457" s="316">
        <v>36893</v>
      </c>
      <c r="H457" s="317" t="s">
        <v>3142</v>
      </c>
      <c r="I457" s="317"/>
      <c r="J457" s="317" t="s">
        <v>152</v>
      </c>
      <c r="K457" s="315" t="s">
        <v>3964</v>
      </c>
      <c r="L457" s="315"/>
      <c r="M457" s="317"/>
      <c r="N457" s="320"/>
      <c r="O457" s="317" t="s">
        <v>51</v>
      </c>
      <c r="P457" s="318">
        <v>-500</v>
      </c>
      <c r="Q457" s="318">
        <v>500</v>
      </c>
      <c r="R457" s="317" t="s">
        <v>3320</v>
      </c>
      <c r="S457" s="317"/>
      <c r="T457" s="317" t="s">
        <v>3966</v>
      </c>
      <c r="U457" s="317"/>
      <c r="V457" s="317" t="s">
        <v>3956</v>
      </c>
      <c r="W457" s="317"/>
      <c r="X457" s="317"/>
      <c r="Y457" s="319"/>
    </row>
    <row r="458" spans="1:25" s="91" customFormat="1" hidden="1" x14ac:dyDescent="0.25">
      <c r="A458" s="32" t="s">
        <v>1187</v>
      </c>
      <c r="B458" s="315" t="str">
        <f>IF((COUNTBLANK(G458)=0),Stats!$E$7,IF((COUNTBLANK(E458)=0),IF((COUNTBLANK(F458)=0),IF((COUNTBLANK(U458)=0),Stats!$E$6,Stats!$E$5),Stats!$E$4),""))</f>
        <v>Death</v>
      </c>
      <c r="C458" s="39" t="s">
        <v>284</v>
      </c>
      <c r="D458" s="315"/>
      <c r="E458" s="88">
        <v>43566</v>
      </c>
      <c r="F458" s="316">
        <v>43741</v>
      </c>
      <c r="G458" s="316">
        <v>36893</v>
      </c>
      <c r="H458" s="317" t="s">
        <v>3142</v>
      </c>
      <c r="I458" s="317"/>
      <c r="J458" s="317" t="s">
        <v>152</v>
      </c>
      <c r="K458" s="315" t="s">
        <v>3964</v>
      </c>
      <c r="L458" s="315"/>
      <c r="M458" s="317"/>
      <c r="N458" s="320"/>
      <c r="O458" s="317" t="s">
        <v>51</v>
      </c>
      <c r="P458" s="318" t="s">
        <v>3728</v>
      </c>
      <c r="Q458" s="318" t="s">
        <v>3967</v>
      </c>
      <c r="R458" s="317"/>
      <c r="S458" s="317"/>
      <c r="T458" s="317" t="s">
        <v>3955</v>
      </c>
      <c r="U458" s="317"/>
      <c r="V458" s="317" t="s">
        <v>3968</v>
      </c>
      <c r="W458" s="317"/>
      <c r="X458" s="317" t="s">
        <v>3649</v>
      </c>
      <c r="Y458" s="319"/>
    </row>
    <row r="459" spans="1:25" s="91" customFormat="1" hidden="1" x14ac:dyDescent="0.25">
      <c r="A459" s="32" t="s">
        <v>1188</v>
      </c>
      <c r="B459" s="315" t="str">
        <f>IF((COUNTBLANK(G459)=0),Stats!$E$7,IF((COUNTBLANK(E459)=0),IF((COUNTBLANK(F459)=0),IF((COUNTBLANK(U459)=0),Stats!$E$6,Stats!$E$5),Stats!$E$4),""))</f>
        <v>Death</v>
      </c>
      <c r="C459" s="39" t="s">
        <v>284</v>
      </c>
      <c r="D459" s="315"/>
      <c r="E459" s="88">
        <v>43567</v>
      </c>
      <c r="F459" s="316">
        <v>43740</v>
      </c>
      <c r="G459" s="316">
        <v>36893</v>
      </c>
      <c r="H459" s="317" t="s">
        <v>3142</v>
      </c>
      <c r="I459" s="317"/>
      <c r="J459" s="317" t="s">
        <v>152</v>
      </c>
      <c r="K459" s="315" t="s">
        <v>3969</v>
      </c>
      <c r="L459" s="315" t="s">
        <v>3765</v>
      </c>
      <c r="M459" s="317"/>
      <c r="N459" s="320" t="s">
        <v>3273</v>
      </c>
      <c r="O459" s="317" t="s">
        <v>51</v>
      </c>
      <c r="P459" s="318" t="s">
        <v>3728</v>
      </c>
      <c r="Q459" s="318" t="s">
        <v>3967</v>
      </c>
      <c r="R459" s="317"/>
      <c r="S459" s="317"/>
      <c r="T459" s="317" t="s">
        <v>3955</v>
      </c>
      <c r="U459" s="317" t="s">
        <v>3970</v>
      </c>
      <c r="V459" s="317"/>
      <c r="W459" s="317"/>
      <c r="X459" s="317" t="s">
        <v>3971</v>
      </c>
      <c r="Y459" s="319"/>
    </row>
    <row r="460" spans="1:25" s="91" customFormat="1" hidden="1" x14ac:dyDescent="0.25">
      <c r="A460" s="32" t="s">
        <v>1189</v>
      </c>
      <c r="B460" s="315" t="str">
        <f>IF((COUNTBLANK(G460)=0),Stats!$E$7,IF((COUNTBLANK(E460)=0),IF((COUNTBLANK(F460)=0),IF((COUNTBLANK(U460)=0),Stats!$E$6,Stats!$E$5),Stats!$E$4),""))</f>
        <v>Death</v>
      </c>
      <c r="C460" s="39" t="s">
        <v>284</v>
      </c>
      <c r="D460" s="315"/>
      <c r="E460" s="88">
        <v>43567</v>
      </c>
      <c r="F460" s="316">
        <v>36892</v>
      </c>
      <c r="G460" s="316">
        <v>36893</v>
      </c>
      <c r="H460" s="317" t="s">
        <v>3142</v>
      </c>
      <c r="I460" s="317"/>
      <c r="J460" s="317" t="s">
        <v>152</v>
      </c>
      <c r="K460" s="315" t="s">
        <v>3969</v>
      </c>
      <c r="L460" s="315" t="s">
        <v>3765</v>
      </c>
      <c r="M460" s="317"/>
      <c r="N460" s="320" t="s">
        <v>3273</v>
      </c>
      <c r="O460" s="317" t="s">
        <v>51</v>
      </c>
      <c r="P460" s="318" t="s">
        <v>3728</v>
      </c>
      <c r="Q460" s="318" t="s">
        <v>3875</v>
      </c>
      <c r="R460" s="317"/>
      <c r="S460" s="317"/>
      <c r="T460" s="317"/>
      <c r="U460" s="317"/>
      <c r="V460" s="317"/>
      <c r="W460" s="317"/>
      <c r="X460" s="317" t="s">
        <v>3972</v>
      </c>
      <c r="Y460" s="319"/>
    </row>
    <row r="461" spans="1:25" s="91" customFormat="1" hidden="1" x14ac:dyDescent="0.25">
      <c r="A461" s="32" t="s">
        <v>1190</v>
      </c>
      <c r="B461" s="315" t="str">
        <f>IF((COUNTBLANK(G461)=0),Stats!$E$7,IF((COUNTBLANK(E461)=0),IF((COUNTBLANK(F461)=0),IF((COUNTBLANK(U461)=0),Stats!$E$6,Stats!$E$5),Stats!$E$4),""))</f>
        <v>Death</v>
      </c>
      <c r="C461" s="39" t="s">
        <v>284</v>
      </c>
      <c r="D461" s="315"/>
      <c r="E461" s="88">
        <v>43567</v>
      </c>
      <c r="F461" s="316">
        <v>43740</v>
      </c>
      <c r="G461" s="316">
        <v>36893</v>
      </c>
      <c r="H461" s="317" t="s">
        <v>3142</v>
      </c>
      <c r="I461" s="317"/>
      <c r="J461" s="317" t="s">
        <v>152</v>
      </c>
      <c r="K461" s="315" t="s">
        <v>3969</v>
      </c>
      <c r="L461" s="315" t="s">
        <v>3765</v>
      </c>
      <c r="M461" s="317"/>
      <c r="N461" s="320" t="s">
        <v>3273</v>
      </c>
      <c r="O461" s="317" t="s">
        <v>51</v>
      </c>
      <c r="P461" s="318" t="s">
        <v>3728</v>
      </c>
      <c r="Q461" s="318" t="s">
        <v>3875</v>
      </c>
      <c r="R461" s="317"/>
      <c r="S461" s="317"/>
      <c r="T461" s="317" t="s">
        <v>3955</v>
      </c>
      <c r="U461" s="317" t="s">
        <v>3970</v>
      </c>
      <c r="V461" s="317"/>
      <c r="W461" s="317"/>
      <c r="X461" s="317"/>
      <c r="Y461" s="319"/>
    </row>
    <row r="462" spans="1:25" s="91" customFormat="1" hidden="1" x14ac:dyDescent="0.25">
      <c r="A462" s="32" t="s">
        <v>1191</v>
      </c>
      <c r="B462" s="315" t="str">
        <f>IF((COUNTBLANK(G462)=0),Stats!$E$7,IF((COUNTBLANK(E462)=0),IF((COUNTBLANK(F462)=0),IF((COUNTBLANK(U462)=0),Stats!$E$6,Stats!$E$5),Stats!$E$4),""))</f>
        <v>Death</v>
      </c>
      <c r="C462" s="39" t="s">
        <v>284</v>
      </c>
      <c r="D462" s="315"/>
      <c r="E462" s="88">
        <v>43567</v>
      </c>
      <c r="F462" s="316">
        <v>43740</v>
      </c>
      <c r="G462" s="316">
        <v>36893</v>
      </c>
      <c r="H462" s="317" t="s">
        <v>3142</v>
      </c>
      <c r="I462" s="317"/>
      <c r="J462" s="317" t="s">
        <v>152</v>
      </c>
      <c r="K462" s="315" t="s">
        <v>3969</v>
      </c>
      <c r="L462" s="315" t="s">
        <v>3765</v>
      </c>
      <c r="M462" s="317"/>
      <c r="N462" s="320" t="s">
        <v>3900</v>
      </c>
      <c r="O462" s="317" t="s">
        <v>51</v>
      </c>
      <c r="P462" s="318" t="s">
        <v>3728</v>
      </c>
      <c r="Q462" s="318" t="s">
        <v>3875</v>
      </c>
      <c r="R462" s="317"/>
      <c r="S462" s="317"/>
      <c r="T462" s="317" t="s">
        <v>3955</v>
      </c>
      <c r="U462" s="317" t="s">
        <v>3970</v>
      </c>
      <c r="V462" s="317"/>
      <c r="W462" s="317"/>
      <c r="X462" s="317" t="s">
        <v>3971</v>
      </c>
      <c r="Y462" s="319"/>
    </row>
    <row r="463" spans="1:25" s="91" customFormat="1" hidden="1" x14ac:dyDescent="0.25">
      <c r="A463" s="32" t="s">
        <v>1192</v>
      </c>
      <c r="B463" s="315" t="str">
        <f>IF((COUNTBLANK(G463)=0),Stats!$E$7,IF((COUNTBLANK(E463)=0),IF((COUNTBLANK(F463)=0),IF((COUNTBLANK(U463)=0),Stats!$E$6,Stats!$E$5),Stats!$E$4),""))</f>
        <v>Death</v>
      </c>
      <c r="C463" s="39" t="s">
        <v>284</v>
      </c>
      <c r="D463" s="315"/>
      <c r="E463" s="88">
        <v>43567</v>
      </c>
      <c r="F463" s="316">
        <v>43740</v>
      </c>
      <c r="G463" s="316">
        <v>36893</v>
      </c>
      <c r="H463" s="317" t="s">
        <v>3142</v>
      </c>
      <c r="I463" s="317"/>
      <c r="J463" s="317" t="s">
        <v>152</v>
      </c>
      <c r="K463" s="315" t="s">
        <v>3969</v>
      </c>
      <c r="L463" s="315" t="s">
        <v>3765</v>
      </c>
      <c r="M463" s="317"/>
      <c r="N463" s="320" t="s">
        <v>3900</v>
      </c>
      <c r="O463" s="317" t="s">
        <v>51</v>
      </c>
      <c r="P463" s="318" t="s">
        <v>3728</v>
      </c>
      <c r="Q463" s="318" t="s">
        <v>3875</v>
      </c>
      <c r="R463" s="317"/>
      <c r="S463" s="317"/>
      <c r="T463" s="317" t="s">
        <v>3955</v>
      </c>
      <c r="U463" s="317" t="s">
        <v>3970</v>
      </c>
      <c r="V463" s="317"/>
      <c r="W463" s="317"/>
      <c r="X463" s="317" t="s">
        <v>3973</v>
      </c>
      <c r="Y463" s="319"/>
    </row>
    <row r="464" spans="1:25" s="91" customFormat="1" hidden="1" x14ac:dyDescent="0.25">
      <c r="A464" s="32" t="s">
        <v>1193</v>
      </c>
      <c r="B464" s="315" t="str">
        <f>IF((COUNTBLANK(G464)=0),Stats!$E$7,IF((COUNTBLANK(E464)=0),IF((COUNTBLANK(F464)=0),IF((COUNTBLANK(U464)=0),Stats!$E$6,Stats!$E$5),Stats!$E$4),""))</f>
        <v>Death</v>
      </c>
      <c r="C464" s="39" t="s">
        <v>3113</v>
      </c>
      <c r="D464" s="315"/>
      <c r="E464" s="88">
        <v>43732</v>
      </c>
      <c r="F464" s="316">
        <v>36892</v>
      </c>
      <c r="G464" s="316">
        <v>36893</v>
      </c>
      <c r="H464" s="317" t="s">
        <v>3128</v>
      </c>
      <c r="I464" s="317"/>
      <c r="J464" s="317" t="s">
        <v>3186</v>
      </c>
      <c r="K464" s="315" t="s">
        <v>3216</v>
      </c>
      <c r="L464" s="315"/>
      <c r="M464" s="317"/>
      <c r="N464" s="320"/>
      <c r="O464" s="317" t="s">
        <v>51</v>
      </c>
      <c r="P464" s="318">
        <v>-450</v>
      </c>
      <c r="Q464" s="318">
        <v>400</v>
      </c>
      <c r="R464" s="317"/>
      <c r="S464" s="317"/>
      <c r="T464" s="317"/>
      <c r="U464" s="317"/>
      <c r="V464" s="317"/>
      <c r="W464" s="317"/>
      <c r="X464" s="317" t="s">
        <v>3974</v>
      </c>
      <c r="Y464" s="319"/>
    </row>
    <row r="465" spans="1:25" s="91" customFormat="1" hidden="1" x14ac:dyDescent="0.25">
      <c r="A465" s="32" t="s">
        <v>1194</v>
      </c>
      <c r="B465" s="315" t="str">
        <f>IF((COUNTBLANK(G465)=0),Stats!$E$7,IF((COUNTBLANK(E465)=0),IF((COUNTBLANK(F465)=0),IF((COUNTBLANK(U465)=0),Stats!$E$6,Stats!$E$5),Stats!$E$4),""))</f>
        <v>Death</v>
      </c>
      <c r="C465" s="39" t="s">
        <v>3113</v>
      </c>
      <c r="D465" s="315"/>
      <c r="E465" s="88">
        <v>43732</v>
      </c>
      <c r="F465" s="316">
        <v>43752</v>
      </c>
      <c r="G465" s="316">
        <v>36893</v>
      </c>
      <c r="H465" s="317" t="s">
        <v>3128</v>
      </c>
      <c r="I465" s="317"/>
      <c r="J465" s="317" t="s">
        <v>3186</v>
      </c>
      <c r="K465" s="315" t="s">
        <v>3216</v>
      </c>
      <c r="L465" s="315"/>
      <c r="M465" s="317"/>
      <c r="N465" s="320"/>
      <c r="O465" s="317" t="s">
        <v>51</v>
      </c>
      <c r="P465" s="318">
        <v>-450</v>
      </c>
      <c r="Q465" s="318">
        <v>400</v>
      </c>
      <c r="R465" s="317"/>
      <c r="S465" s="317"/>
      <c r="T465" s="317"/>
      <c r="U465" s="317"/>
      <c r="V465" s="317"/>
      <c r="W465" s="317"/>
      <c r="X465" s="317"/>
      <c r="Y465" s="319"/>
    </row>
    <row r="466" spans="1:25" s="91" customFormat="1" hidden="1" x14ac:dyDescent="0.25">
      <c r="A466" s="32" t="s">
        <v>1195</v>
      </c>
      <c r="B466" s="315" t="str">
        <f>IF((COUNTBLANK(G466)=0),Stats!$E$7,IF((COUNTBLANK(E466)=0),IF((COUNTBLANK(F466)=0),IF((COUNTBLANK(U466)=0),Stats!$E$6,Stats!$E$5),Stats!$E$4),""))</f>
        <v>Death</v>
      </c>
      <c r="C466" s="39" t="s">
        <v>3113</v>
      </c>
      <c r="D466" s="315"/>
      <c r="E466" s="88">
        <v>43732</v>
      </c>
      <c r="F466" s="316" t="s">
        <v>3975</v>
      </c>
      <c r="G466" s="316">
        <v>36893</v>
      </c>
      <c r="H466" s="317" t="s">
        <v>3128</v>
      </c>
      <c r="I466" s="317"/>
      <c r="J466" s="317" t="s">
        <v>3186</v>
      </c>
      <c r="K466" s="315" t="s">
        <v>3216</v>
      </c>
      <c r="L466" s="315"/>
      <c r="M466" s="317"/>
      <c r="N466" s="320"/>
      <c r="O466" s="317" t="s">
        <v>51</v>
      </c>
      <c r="P466" s="318">
        <v>-450</v>
      </c>
      <c r="Q466" s="318">
        <v>400</v>
      </c>
      <c r="R466" s="317" t="s">
        <v>3976</v>
      </c>
      <c r="S466" s="317"/>
      <c r="T466" s="317"/>
      <c r="U466" s="317"/>
      <c r="V466" s="317"/>
      <c r="W466" s="317"/>
      <c r="X466" s="317"/>
      <c r="Y466" s="319"/>
    </row>
    <row r="467" spans="1:25" s="91" customFormat="1" hidden="1" x14ac:dyDescent="0.25">
      <c r="A467" s="32" t="s">
        <v>1196</v>
      </c>
      <c r="B467" s="315" t="str">
        <f>IF((COUNTBLANK(G467)=0),Stats!$E$7,IF((COUNTBLANK(E467)=0),IF((COUNTBLANK(F467)=0),IF((COUNTBLANK(U467)=0),Stats!$E$6,Stats!$E$5),Stats!$E$4),""))</f>
        <v>Death</v>
      </c>
      <c r="C467" s="39" t="s">
        <v>3113</v>
      </c>
      <c r="D467" s="315"/>
      <c r="E467" s="88">
        <v>43732</v>
      </c>
      <c r="F467" s="316" t="s">
        <v>3975</v>
      </c>
      <c r="G467" s="316">
        <v>36893</v>
      </c>
      <c r="H467" s="317" t="s">
        <v>3128</v>
      </c>
      <c r="I467" s="317"/>
      <c r="J467" s="317" t="s">
        <v>3186</v>
      </c>
      <c r="K467" s="315" t="s">
        <v>3216</v>
      </c>
      <c r="L467" s="315"/>
      <c r="M467" s="317"/>
      <c r="N467" s="320"/>
      <c r="O467" s="317" t="s">
        <v>51</v>
      </c>
      <c r="P467" s="318">
        <v>-450</v>
      </c>
      <c r="Q467" s="318">
        <v>400</v>
      </c>
      <c r="R467" s="317"/>
      <c r="S467" s="317"/>
      <c r="T467" s="317"/>
      <c r="U467" s="317"/>
      <c r="V467" s="317"/>
      <c r="W467" s="317"/>
      <c r="X467" s="317"/>
      <c r="Y467" s="319"/>
    </row>
    <row r="468" spans="1:25" s="91" customFormat="1" hidden="1" x14ac:dyDescent="0.25">
      <c r="A468" s="32" t="s">
        <v>1197</v>
      </c>
      <c r="B468" s="315" t="str">
        <f>IF((COUNTBLANK(G468)=0),Stats!$E$7,IF((COUNTBLANK(E468)=0),IF((COUNTBLANK(F468)=0),IF((COUNTBLANK(U468)=0),Stats!$E$6,Stats!$E$5),Stats!$E$4),""))</f>
        <v>Death</v>
      </c>
      <c r="C468" s="39" t="s">
        <v>3113</v>
      </c>
      <c r="D468" s="315"/>
      <c r="E468" s="88">
        <v>43732</v>
      </c>
      <c r="F468" s="316" t="s">
        <v>3975</v>
      </c>
      <c r="G468" s="316">
        <v>36893</v>
      </c>
      <c r="H468" s="317" t="s">
        <v>3128</v>
      </c>
      <c r="I468" s="317"/>
      <c r="J468" s="317" t="s">
        <v>3186</v>
      </c>
      <c r="K468" s="315" t="s">
        <v>3216</v>
      </c>
      <c r="L468" s="315"/>
      <c r="M468" s="317"/>
      <c r="N468" s="320"/>
      <c r="O468" s="317" t="s">
        <v>51</v>
      </c>
      <c r="P468" s="318">
        <v>-450</v>
      </c>
      <c r="Q468" s="318">
        <v>400</v>
      </c>
      <c r="R468" s="317"/>
      <c r="S468" s="317"/>
      <c r="T468" s="317"/>
      <c r="U468" s="317"/>
      <c r="V468" s="317"/>
      <c r="W468" s="317"/>
      <c r="X468" s="317"/>
      <c r="Y468" s="319"/>
    </row>
    <row r="469" spans="1:25" s="91" customFormat="1" hidden="1" x14ac:dyDescent="0.25">
      <c r="A469" s="32" t="s">
        <v>1198</v>
      </c>
      <c r="B469" s="315" t="str">
        <f>IF((COUNTBLANK(G469)=0),Stats!$E$7,IF((COUNTBLANK(E469)=0),IF((COUNTBLANK(F469)=0),IF((COUNTBLANK(U469)=0),Stats!$E$6,Stats!$E$5),Stats!$E$4),""))</f>
        <v>Death</v>
      </c>
      <c r="C469" s="39" t="s">
        <v>3113</v>
      </c>
      <c r="D469" s="315"/>
      <c r="E469" s="88">
        <v>43732</v>
      </c>
      <c r="F469" s="316">
        <v>43753</v>
      </c>
      <c r="G469" s="316">
        <v>36893</v>
      </c>
      <c r="H469" s="317" t="s">
        <v>3128</v>
      </c>
      <c r="I469" s="317"/>
      <c r="J469" s="317" t="s">
        <v>152</v>
      </c>
      <c r="K469" s="315" t="s">
        <v>3216</v>
      </c>
      <c r="L469" s="315"/>
      <c r="M469" s="317"/>
      <c r="N469" s="320"/>
      <c r="O469" s="317" t="s">
        <v>51</v>
      </c>
      <c r="P469" s="318">
        <v>-450</v>
      </c>
      <c r="Q469" s="318">
        <v>400</v>
      </c>
      <c r="R469" s="317" t="s">
        <v>3976</v>
      </c>
      <c r="S469" s="317"/>
      <c r="T469" s="317"/>
      <c r="U469" s="317"/>
      <c r="V469" s="317"/>
      <c r="W469" s="317"/>
      <c r="X469" s="317"/>
      <c r="Y469" s="319"/>
    </row>
    <row r="470" spans="1:25" s="91" customFormat="1" hidden="1" x14ac:dyDescent="0.25">
      <c r="A470" s="32" t="s">
        <v>1199</v>
      </c>
      <c r="B470" s="315" t="str">
        <f>IF((COUNTBLANK(G470)=0),Stats!$E$7,IF((COUNTBLANK(E470)=0),IF((COUNTBLANK(F470)=0),IF((COUNTBLANK(U470)=0),Stats!$E$6,Stats!$E$5),Stats!$E$4),""))</f>
        <v>Death</v>
      </c>
      <c r="C470" s="39" t="s">
        <v>3113</v>
      </c>
      <c r="D470" s="315"/>
      <c r="E470" s="88">
        <v>43732</v>
      </c>
      <c r="F470" s="316">
        <v>43795</v>
      </c>
      <c r="G470" s="316">
        <v>36893</v>
      </c>
      <c r="H470" s="317" t="s">
        <v>3128</v>
      </c>
      <c r="I470" s="317"/>
      <c r="J470" s="317" t="s">
        <v>152</v>
      </c>
      <c r="K470" s="315" t="s">
        <v>3216</v>
      </c>
      <c r="L470" s="315"/>
      <c r="M470" s="317"/>
      <c r="N470" s="320"/>
      <c r="O470" s="317" t="s">
        <v>51</v>
      </c>
      <c r="P470" s="318">
        <v>-450</v>
      </c>
      <c r="Q470" s="318">
        <v>400</v>
      </c>
      <c r="R470" s="317"/>
      <c r="S470" s="317"/>
      <c r="T470" s="317" t="s">
        <v>3955</v>
      </c>
      <c r="U470" s="317"/>
      <c r="V470" s="317"/>
      <c r="W470" s="317"/>
      <c r="X470" s="317"/>
      <c r="Y470" s="319"/>
    </row>
    <row r="471" spans="1:25" s="91" customFormat="1" hidden="1" x14ac:dyDescent="0.25">
      <c r="A471" s="32" t="s">
        <v>1200</v>
      </c>
      <c r="B471" s="315" t="str">
        <f>IF((COUNTBLANK(G471)=0),Stats!$E$7,IF((COUNTBLANK(E471)=0),IF((COUNTBLANK(F471)=0),IF((COUNTBLANK(U471)=0),Stats!$E$6,Stats!$E$5),Stats!$E$4),""))</f>
        <v>Death</v>
      </c>
      <c r="C471" s="39" t="s">
        <v>3113</v>
      </c>
      <c r="D471" s="315"/>
      <c r="E471" s="88">
        <v>43732</v>
      </c>
      <c r="F471" s="316" t="s">
        <v>3975</v>
      </c>
      <c r="G471" s="316">
        <v>36893</v>
      </c>
      <c r="H471" s="317" t="s">
        <v>3128</v>
      </c>
      <c r="I471" s="317"/>
      <c r="J471" s="317" t="s">
        <v>152</v>
      </c>
      <c r="K471" s="315" t="s">
        <v>3216</v>
      </c>
      <c r="L471" s="315"/>
      <c r="M471" s="317"/>
      <c r="N471" s="320"/>
      <c r="O471" s="317" t="s">
        <v>51</v>
      </c>
      <c r="P471" s="318">
        <v>-450</v>
      </c>
      <c r="Q471" s="318">
        <v>400</v>
      </c>
      <c r="R471" s="317" t="s">
        <v>3977</v>
      </c>
      <c r="S471" s="317"/>
      <c r="T471" s="317"/>
      <c r="U471" s="317"/>
      <c r="V471" s="317"/>
      <c r="W471" s="317"/>
      <c r="X471" s="317"/>
      <c r="Y471" s="319"/>
    </row>
    <row r="472" spans="1:25" s="91" customFormat="1" hidden="1" x14ac:dyDescent="0.25">
      <c r="A472" s="32" t="s">
        <v>1201</v>
      </c>
      <c r="B472" s="315" t="str">
        <f>IF((COUNTBLANK(G472)=0),Stats!$E$7,IF((COUNTBLANK(E472)=0),IF((COUNTBLANK(F472)=0),IF((COUNTBLANK(U472)=0),Stats!$E$6,Stats!$E$5),Stats!$E$4),""))</f>
        <v>Death</v>
      </c>
      <c r="C472" s="39" t="s">
        <v>3113</v>
      </c>
      <c r="D472" s="315"/>
      <c r="E472" s="88">
        <v>43733</v>
      </c>
      <c r="F472" s="316">
        <v>43781</v>
      </c>
      <c r="G472" s="316">
        <v>36893</v>
      </c>
      <c r="H472" s="317" t="s">
        <v>3128</v>
      </c>
      <c r="I472" s="317"/>
      <c r="J472" s="317" t="s">
        <v>152</v>
      </c>
      <c r="K472" s="315" t="s">
        <v>3216</v>
      </c>
      <c r="L472" s="315"/>
      <c r="M472" s="317"/>
      <c r="N472" s="320" t="s">
        <v>105</v>
      </c>
      <c r="O472" s="317" t="s">
        <v>51</v>
      </c>
      <c r="P472" s="318">
        <v>-450</v>
      </c>
      <c r="Q472" s="318">
        <v>430</v>
      </c>
      <c r="R472" s="317"/>
      <c r="S472" s="317"/>
      <c r="T472" s="317" t="s">
        <v>3905</v>
      </c>
      <c r="U472" s="317"/>
      <c r="V472" s="317"/>
      <c r="W472" s="317"/>
      <c r="X472" s="317" t="s">
        <v>3978</v>
      </c>
      <c r="Y472" s="319"/>
    </row>
    <row r="473" spans="1:25" s="91" customFormat="1" hidden="1" x14ac:dyDescent="0.25">
      <c r="A473" s="32" t="s">
        <v>1202</v>
      </c>
      <c r="B473" s="315" t="str">
        <f>IF((COUNTBLANK(G473)=0),Stats!$E$7,IF((COUNTBLANK(E473)=0),IF((COUNTBLANK(F473)=0),IF((COUNTBLANK(U473)=0),Stats!$E$6,Stats!$E$5),Stats!$E$4),""))</f>
        <v>Death</v>
      </c>
      <c r="C473" s="39" t="s">
        <v>3113</v>
      </c>
      <c r="D473" s="315"/>
      <c r="E473" s="88">
        <v>43733</v>
      </c>
      <c r="F473" s="316">
        <v>43782</v>
      </c>
      <c r="G473" s="316">
        <v>36893</v>
      </c>
      <c r="H473" s="317" t="s">
        <v>3128</v>
      </c>
      <c r="I473" s="317"/>
      <c r="J473" s="317" t="s">
        <v>152</v>
      </c>
      <c r="K473" s="315" t="s">
        <v>3216</v>
      </c>
      <c r="L473" s="315"/>
      <c r="M473" s="317"/>
      <c r="N473" s="320" t="s">
        <v>105</v>
      </c>
      <c r="O473" s="317" t="s">
        <v>51</v>
      </c>
      <c r="P473" s="318">
        <v>-450</v>
      </c>
      <c r="Q473" s="318">
        <v>430</v>
      </c>
      <c r="R473" s="317"/>
      <c r="S473" s="317"/>
      <c r="T473" s="317" t="s">
        <v>3905</v>
      </c>
      <c r="U473" s="317"/>
      <c r="V473" s="317"/>
      <c r="W473" s="317"/>
      <c r="X473" s="317"/>
      <c r="Y473" s="319"/>
    </row>
    <row r="474" spans="1:25" s="91" customFormat="1" hidden="1" x14ac:dyDescent="0.25">
      <c r="A474" s="32" t="s">
        <v>1203</v>
      </c>
      <c r="B474" s="315" t="str">
        <f>IF((COUNTBLANK(G474)=0),Stats!$E$7,IF((COUNTBLANK(E474)=0),IF((COUNTBLANK(F474)=0),IF((COUNTBLANK(U474)=0),Stats!$E$6,Stats!$E$5),Stats!$E$4),""))</f>
        <v>Death</v>
      </c>
      <c r="C474" s="39" t="s">
        <v>3113</v>
      </c>
      <c r="D474" s="315"/>
      <c r="E474" s="88">
        <v>43733</v>
      </c>
      <c r="F474" s="316" t="s">
        <v>3975</v>
      </c>
      <c r="G474" s="316">
        <v>36893</v>
      </c>
      <c r="H474" s="317" t="s">
        <v>3128</v>
      </c>
      <c r="I474" s="317"/>
      <c r="J474" s="317" t="s">
        <v>152</v>
      </c>
      <c r="K474" s="315" t="s">
        <v>3216</v>
      </c>
      <c r="L474" s="315"/>
      <c r="M474" s="317"/>
      <c r="N474" s="320" t="s">
        <v>105</v>
      </c>
      <c r="O474" s="317" t="s">
        <v>51</v>
      </c>
      <c r="P474" s="318">
        <v>-450</v>
      </c>
      <c r="Q474" s="318">
        <v>430</v>
      </c>
      <c r="R474" s="317" t="s">
        <v>3979</v>
      </c>
      <c r="S474" s="317"/>
      <c r="T474" s="317"/>
      <c r="U474" s="317"/>
      <c r="V474" s="317"/>
      <c r="W474" s="317"/>
      <c r="X474" s="317"/>
      <c r="Y474" s="319"/>
    </row>
    <row r="475" spans="1:25" s="91" customFormat="1" hidden="1" x14ac:dyDescent="0.25">
      <c r="A475" s="32" t="s">
        <v>1204</v>
      </c>
      <c r="B475" s="315" t="str">
        <f>IF((COUNTBLANK(G475)=0),Stats!$E$7,IF((COUNTBLANK(E475)=0),IF((COUNTBLANK(F475)=0),IF((COUNTBLANK(U475)=0),Stats!$E$6,Stats!$E$5),Stats!$E$4),""))</f>
        <v>Death</v>
      </c>
      <c r="C475" s="39" t="s">
        <v>3113</v>
      </c>
      <c r="D475" s="315"/>
      <c r="E475" s="88">
        <v>43733</v>
      </c>
      <c r="F475" s="316" t="s">
        <v>3975</v>
      </c>
      <c r="G475" s="316">
        <v>36893</v>
      </c>
      <c r="H475" s="317" t="s">
        <v>3128</v>
      </c>
      <c r="I475" s="317"/>
      <c r="J475" s="317" t="s">
        <v>152</v>
      </c>
      <c r="K475" s="315" t="s">
        <v>3216</v>
      </c>
      <c r="L475" s="315"/>
      <c r="M475" s="317"/>
      <c r="N475" s="320" t="s">
        <v>105</v>
      </c>
      <c r="O475" s="317" t="s">
        <v>51</v>
      </c>
      <c r="P475" s="318">
        <v>-450</v>
      </c>
      <c r="Q475" s="318">
        <v>430</v>
      </c>
      <c r="R475" s="317"/>
      <c r="S475" s="317"/>
      <c r="T475" s="317"/>
      <c r="U475" s="317"/>
      <c r="V475" s="317"/>
      <c r="W475" s="317"/>
      <c r="X475" s="317"/>
      <c r="Y475" s="319"/>
    </row>
    <row r="476" spans="1:25" s="91" customFormat="1" hidden="1" x14ac:dyDescent="0.25">
      <c r="A476" s="32" t="s">
        <v>1205</v>
      </c>
      <c r="B476" s="315" t="str">
        <f>IF((COUNTBLANK(G476)=0),Stats!$E$7,IF((COUNTBLANK(E476)=0),IF((COUNTBLANK(F476)=0),IF((COUNTBLANK(U476)=0),Stats!$E$6,Stats!$E$5),Stats!$E$4),""))</f>
        <v>Death</v>
      </c>
      <c r="C476" s="39" t="s">
        <v>284</v>
      </c>
      <c r="D476" s="315"/>
      <c r="E476" s="88">
        <v>43734</v>
      </c>
      <c r="F476" s="316">
        <v>43745</v>
      </c>
      <c r="G476" s="316">
        <v>36893</v>
      </c>
      <c r="H476" s="317" t="s">
        <v>3142</v>
      </c>
      <c r="I476" s="317"/>
      <c r="J476" s="317" t="s">
        <v>152</v>
      </c>
      <c r="K476" s="315" t="s">
        <v>3980</v>
      </c>
      <c r="L476" s="315"/>
      <c r="M476" s="317"/>
      <c r="N476" s="320"/>
      <c r="O476" s="317" t="s">
        <v>51</v>
      </c>
      <c r="P476" s="318" t="s">
        <v>3728</v>
      </c>
      <c r="Q476" s="318" t="s">
        <v>3875</v>
      </c>
      <c r="R476" s="317"/>
      <c r="S476" s="317"/>
      <c r="T476" s="317" t="s">
        <v>3905</v>
      </c>
      <c r="U476" s="317" t="s">
        <v>3981</v>
      </c>
      <c r="V476" s="317" t="s">
        <v>3982</v>
      </c>
      <c r="W476" s="317"/>
      <c r="X476" s="317"/>
      <c r="Y476" s="319"/>
    </row>
    <row r="477" spans="1:25" s="91" customFormat="1" hidden="1" x14ac:dyDescent="0.25">
      <c r="A477" s="32" t="s">
        <v>1206</v>
      </c>
      <c r="B477" s="315" t="str">
        <f>IF((COUNTBLANK(G477)=0),Stats!$E$7,IF((COUNTBLANK(E477)=0),IF((COUNTBLANK(F477)=0),IF((COUNTBLANK(U477)=0),Stats!$E$6,Stats!$E$5),Stats!$E$4),""))</f>
        <v>Death</v>
      </c>
      <c r="C477" s="39" t="s">
        <v>284</v>
      </c>
      <c r="D477" s="315"/>
      <c r="E477" s="88">
        <v>43734</v>
      </c>
      <c r="F477" s="316">
        <v>43745</v>
      </c>
      <c r="G477" s="316">
        <v>36893</v>
      </c>
      <c r="H477" s="317" t="s">
        <v>3142</v>
      </c>
      <c r="I477" s="317"/>
      <c r="J477" s="317" t="s">
        <v>152</v>
      </c>
      <c r="K477" s="315" t="s">
        <v>3980</v>
      </c>
      <c r="L477" s="315"/>
      <c r="M477" s="317"/>
      <c r="N477" s="320"/>
      <c r="O477" s="317" t="s">
        <v>51</v>
      </c>
      <c r="P477" s="318" t="s">
        <v>3728</v>
      </c>
      <c r="Q477" s="318" t="s">
        <v>3875</v>
      </c>
      <c r="R477" s="317"/>
      <c r="S477" s="317"/>
      <c r="T477" s="317" t="s">
        <v>3983</v>
      </c>
      <c r="U477" s="317" t="s">
        <v>3981</v>
      </c>
      <c r="V477" s="317" t="s">
        <v>3982</v>
      </c>
      <c r="W477" s="317"/>
      <c r="X477" s="317"/>
      <c r="Y477" s="319"/>
    </row>
    <row r="478" spans="1:25" s="91" customFormat="1" hidden="1" x14ac:dyDescent="0.25">
      <c r="A478" s="32" t="s">
        <v>1207</v>
      </c>
      <c r="B478" s="315" t="str">
        <f>IF((COUNTBLANK(G478)=0),Stats!$E$7,IF((COUNTBLANK(E478)=0),IF((COUNTBLANK(F478)=0),IF((COUNTBLANK(U478)=0),Stats!$E$6,Stats!$E$5),Stats!$E$4),""))</f>
        <v>Death</v>
      </c>
      <c r="C478" s="39" t="s">
        <v>284</v>
      </c>
      <c r="D478" s="315"/>
      <c r="E478" s="88">
        <v>43734</v>
      </c>
      <c r="F478" s="316">
        <v>43746</v>
      </c>
      <c r="G478" s="316">
        <v>36893</v>
      </c>
      <c r="H478" s="317" t="s">
        <v>3142</v>
      </c>
      <c r="I478" s="317"/>
      <c r="J478" s="317" t="s">
        <v>152</v>
      </c>
      <c r="K478" s="315" t="s">
        <v>3980</v>
      </c>
      <c r="L478" s="315"/>
      <c r="M478" s="317"/>
      <c r="N478" s="320"/>
      <c r="O478" s="317" t="s">
        <v>51</v>
      </c>
      <c r="P478" s="318" t="s">
        <v>3728</v>
      </c>
      <c r="Q478" s="318" t="s">
        <v>3875</v>
      </c>
      <c r="R478" s="317"/>
      <c r="S478" s="317"/>
      <c r="T478" s="317"/>
      <c r="U478" s="317" t="s">
        <v>3981</v>
      </c>
      <c r="V478" s="317" t="s">
        <v>3982</v>
      </c>
      <c r="W478" s="317"/>
      <c r="X478" s="317"/>
      <c r="Y478" s="319"/>
    </row>
    <row r="479" spans="1:25" s="91" customFormat="1" hidden="1" x14ac:dyDescent="0.25">
      <c r="A479" s="32" t="s">
        <v>1208</v>
      </c>
      <c r="B479" s="315" t="str">
        <f>IF((COUNTBLANK(G479)=0),Stats!$E$7,IF((COUNTBLANK(E479)=0),IF((COUNTBLANK(F479)=0),IF((COUNTBLANK(U479)=0),Stats!$E$6,Stats!$E$5),Stats!$E$4),""))</f>
        <v>Death</v>
      </c>
      <c r="C479" s="39" t="s">
        <v>284</v>
      </c>
      <c r="D479" s="315"/>
      <c r="E479" s="88">
        <v>43735</v>
      </c>
      <c r="F479" s="316">
        <v>43746</v>
      </c>
      <c r="G479" s="316">
        <v>36893</v>
      </c>
      <c r="H479" s="317" t="s">
        <v>3142</v>
      </c>
      <c r="I479" s="317"/>
      <c r="J479" s="317" t="s">
        <v>152</v>
      </c>
      <c r="K479" s="315" t="s">
        <v>3980</v>
      </c>
      <c r="L479" s="315"/>
      <c r="M479" s="317"/>
      <c r="N479" s="320" t="s">
        <v>105</v>
      </c>
      <c r="O479" s="317" t="s">
        <v>51</v>
      </c>
      <c r="P479" s="318" t="s">
        <v>3728</v>
      </c>
      <c r="Q479" s="318" t="s">
        <v>3875</v>
      </c>
      <c r="R479" s="317"/>
      <c r="S479" s="317"/>
      <c r="T479" s="317"/>
      <c r="U479" s="317" t="s">
        <v>3981</v>
      </c>
      <c r="V479" s="317" t="s">
        <v>3982</v>
      </c>
      <c r="W479" s="317"/>
      <c r="X479" s="317"/>
      <c r="Y479" s="319"/>
    </row>
    <row r="480" spans="1:25" s="91" customFormat="1" hidden="1" x14ac:dyDescent="0.25">
      <c r="A480" s="32" t="s">
        <v>1209</v>
      </c>
      <c r="B480" s="315" t="str">
        <f>IF((COUNTBLANK(G480)=0),Stats!$E$7,IF((COUNTBLANK(E480)=0),IF((COUNTBLANK(F480)=0),IF((COUNTBLANK(U480)=0),Stats!$E$6,Stats!$E$5),Stats!$E$4),""))</f>
        <v>Death</v>
      </c>
      <c r="C480" s="39" t="s">
        <v>284</v>
      </c>
      <c r="D480" s="315"/>
      <c r="E480" s="88">
        <v>43735</v>
      </c>
      <c r="F480" s="316">
        <v>43746</v>
      </c>
      <c r="G480" s="316">
        <v>36893</v>
      </c>
      <c r="H480" s="317" t="s">
        <v>3142</v>
      </c>
      <c r="I480" s="317"/>
      <c r="J480" s="317" t="s">
        <v>152</v>
      </c>
      <c r="K480" s="315" t="s">
        <v>3980</v>
      </c>
      <c r="L480" s="315"/>
      <c r="M480" s="317"/>
      <c r="N480" s="320" t="s">
        <v>105</v>
      </c>
      <c r="O480" s="317" t="s">
        <v>51</v>
      </c>
      <c r="P480" s="318" t="s">
        <v>3728</v>
      </c>
      <c r="Q480" s="318" t="s">
        <v>3875</v>
      </c>
      <c r="R480" s="317"/>
      <c r="S480" s="317"/>
      <c r="T480" s="317" t="s">
        <v>3984</v>
      </c>
      <c r="U480" s="317" t="s">
        <v>3981</v>
      </c>
      <c r="V480" s="317" t="s">
        <v>3982</v>
      </c>
      <c r="W480" s="317"/>
      <c r="X480" s="317"/>
      <c r="Y480" s="319"/>
    </row>
    <row r="481" spans="1:25" s="91" customFormat="1" hidden="1" x14ac:dyDescent="0.25">
      <c r="A481" s="32" t="s">
        <v>1210</v>
      </c>
      <c r="B481" s="315" t="str">
        <f>IF((COUNTBLANK(G481)=0),Stats!$E$7,IF((COUNTBLANK(E481)=0),IF((COUNTBLANK(F481)=0),IF((COUNTBLANK(U481)=0),Stats!$E$6,Stats!$E$5),Stats!$E$4),""))</f>
        <v>Death</v>
      </c>
      <c r="C481" s="39" t="s">
        <v>284</v>
      </c>
      <c r="D481" s="315"/>
      <c r="E481" s="88">
        <v>43735</v>
      </c>
      <c r="F481" s="316">
        <v>76619</v>
      </c>
      <c r="G481" s="316">
        <v>36893</v>
      </c>
      <c r="H481" s="317" t="s">
        <v>3142</v>
      </c>
      <c r="I481" s="317"/>
      <c r="J481" s="317" t="s">
        <v>152</v>
      </c>
      <c r="K481" s="315" t="s">
        <v>3980</v>
      </c>
      <c r="L481" s="315"/>
      <c r="M481" s="317"/>
      <c r="N481" s="320" t="s">
        <v>105</v>
      </c>
      <c r="O481" s="317" t="s">
        <v>51</v>
      </c>
      <c r="P481" s="318" t="s">
        <v>3728</v>
      </c>
      <c r="Q481" s="318" t="s">
        <v>3875</v>
      </c>
      <c r="R481" s="317"/>
      <c r="S481" s="317"/>
      <c r="T481" s="317" t="s">
        <v>3955</v>
      </c>
      <c r="U481" s="317" t="s">
        <v>3981</v>
      </c>
      <c r="V481" s="317" t="s">
        <v>3982</v>
      </c>
      <c r="W481" s="317"/>
      <c r="X481" s="317"/>
      <c r="Y481" s="319"/>
    </row>
    <row r="482" spans="1:25" s="91" customFormat="1" hidden="1" x14ac:dyDescent="0.25">
      <c r="A482" s="32" t="s">
        <v>1211</v>
      </c>
      <c r="B482" s="315" t="str">
        <f>IF((COUNTBLANK(G482)=0),Stats!$E$7,IF((COUNTBLANK(E482)=0),IF((COUNTBLANK(F482)=0),IF((COUNTBLANK(U482)=0),Stats!$E$6,Stats!$E$5),Stats!$E$4),""))</f>
        <v>Death</v>
      </c>
      <c r="C482" s="39" t="s">
        <v>3113</v>
      </c>
      <c r="D482" s="315"/>
      <c r="E482" s="88">
        <v>43738</v>
      </c>
      <c r="F482" s="316">
        <v>43782</v>
      </c>
      <c r="G482" s="316">
        <v>36893</v>
      </c>
      <c r="H482" s="317" t="s">
        <v>3128</v>
      </c>
      <c r="I482" s="317"/>
      <c r="J482" s="317" t="s">
        <v>152</v>
      </c>
      <c r="K482" s="315" t="s">
        <v>3216</v>
      </c>
      <c r="L482" s="315"/>
      <c r="M482" s="317"/>
      <c r="N482" s="320"/>
      <c r="O482" s="317" t="s">
        <v>51</v>
      </c>
      <c r="P482" s="318">
        <v>-450</v>
      </c>
      <c r="Q482" s="318">
        <v>400</v>
      </c>
      <c r="R482" s="317"/>
      <c r="S482" s="317"/>
      <c r="T482" s="317" t="s">
        <v>3905</v>
      </c>
      <c r="U482" s="317" t="s">
        <v>3985</v>
      </c>
      <c r="V482" s="317"/>
      <c r="W482" s="317"/>
      <c r="X482" s="317" t="s">
        <v>3986</v>
      </c>
      <c r="Y482" s="319"/>
    </row>
    <row r="483" spans="1:25" s="91" customFormat="1" hidden="1" x14ac:dyDescent="0.25">
      <c r="A483" s="32" t="s">
        <v>1212</v>
      </c>
      <c r="B483" s="315" t="str">
        <f>IF((COUNTBLANK(G483)=0),Stats!$E$7,IF((COUNTBLANK(E483)=0),IF((COUNTBLANK(F483)=0),IF((COUNTBLANK(U483)=0),Stats!$E$6,Stats!$E$5),Stats!$E$4),""))</f>
        <v>Death</v>
      </c>
      <c r="C483" s="39" t="s">
        <v>3113</v>
      </c>
      <c r="D483" s="315"/>
      <c r="E483" s="88">
        <v>43738</v>
      </c>
      <c r="F483" s="316">
        <v>43787</v>
      </c>
      <c r="G483" s="316">
        <v>36893</v>
      </c>
      <c r="H483" s="317" t="s">
        <v>3128</v>
      </c>
      <c r="I483" s="317"/>
      <c r="J483" s="317" t="s">
        <v>152</v>
      </c>
      <c r="K483" s="315" t="s">
        <v>3216</v>
      </c>
      <c r="L483" s="315"/>
      <c r="M483" s="317"/>
      <c r="N483" s="320"/>
      <c r="O483" s="317" t="s">
        <v>51</v>
      </c>
      <c r="P483" s="318">
        <v>-450</v>
      </c>
      <c r="Q483" s="318">
        <v>400</v>
      </c>
      <c r="R483" s="317"/>
      <c r="S483" s="317"/>
      <c r="T483" s="317" t="s">
        <v>3905</v>
      </c>
      <c r="U483" s="317" t="s">
        <v>3987</v>
      </c>
      <c r="V483" s="317"/>
      <c r="W483" s="317"/>
      <c r="X483" s="317"/>
      <c r="Y483" s="319"/>
    </row>
    <row r="484" spans="1:25" s="91" customFormat="1" hidden="1" x14ac:dyDescent="0.25">
      <c r="A484" s="32" t="s">
        <v>1213</v>
      </c>
      <c r="B484" s="315" t="str">
        <f>IF((COUNTBLANK(G484)=0),Stats!$E$7,IF((COUNTBLANK(E484)=0),IF((COUNTBLANK(F484)=0),IF((COUNTBLANK(U484)=0),Stats!$E$6,Stats!$E$5),Stats!$E$4),""))</f>
        <v>Death</v>
      </c>
      <c r="C484" s="39" t="s">
        <v>3113</v>
      </c>
      <c r="D484" s="315"/>
      <c r="E484" s="88">
        <v>43738</v>
      </c>
      <c r="F484" s="316" t="s">
        <v>3975</v>
      </c>
      <c r="G484" s="316">
        <v>36893</v>
      </c>
      <c r="H484" s="317" t="s">
        <v>3128</v>
      </c>
      <c r="I484" s="317"/>
      <c r="J484" s="317" t="s">
        <v>152</v>
      </c>
      <c r="K484" s="315" t="s">
        <v>3216</v>
      </c>
      <c r="L484" s="315"/>
      <c r="M484" s="317"/>
      <c r="N484" s="320"/>
      <c r="O484" s="317" t="s">
        <v>51</v>
      </c>
      <c r="P484" s="318">
        <v>-450</v>
      </c>
      <c r="Q484" s="318">
        <v>400</v>
      </c>
      <c r="R484" s="317"/>
      <c r="S484" s="317"/>
      <c r="T484" s="317"/>
      <c r="U484" s="317"/>
      <c r="V484" s="317"/>
      <c r="W484" s="317"/>
      <c r="X484" s="317"/>
      <c r="Y484" s="319"/>
    </row>
    <row r="485" spans="1:25" s="91" customFormat="1" hidden="1" x14ac:dyDescent="0.25">
      <c r="A485" s="32" t="s">
        <v>1214</v>
      </c>
      <c r="B485" s="315" t="str">
        <f>IF((COUNTBLANK(G485)=0),Stats!$E$7,IF((COUNTBLANK(E485)=0),IF((COUNTBLANK(F485)=0),IF((COUNTBLANK(U485)=0),Stats!$E$6,Stats!$E$5),Stats!$E$4),""))</f>
        <v>Death</v>
      </c>
      <c r="C485" s="39" t="s">
        <v>3113</v>
      </c>
      <c r="D485" s="315"/>
      <c r="E485" s="88">
        <v>43738</v>
      </c>
      <c r="F485" s="316" t="s">
        <v>3975</v>
      </c>
      <c r="G485" s="316">
        <v>36893</v>
      </c>
      <c r="H485" s="317" t="s">
        <v>3128</v>
      </c>
      <c r="I485" s="317"/>
      <c r="J485" s="317" t="s">
        <v>152</v>
      </c>
      <c r="K485" s="315" t="s">
        <v>3216</v>
      </c>
      <c r="L485" s="315"/>
      <c r="M485" s="317"/>
      <c r="N485" s="320"/>
      <c r="O485" s="317" t="s">
        <v>51</v>
      </c>
      <c r="P485" s="318">
        <v>-450</v>
      </c>
      <c r="Q485" s="318">
        <v>400</v>
      </c>
      <c r="R485" s="317"/>
      <c r="S485" s="317"/>
      <c r="T485" s="317"/>
      <c r="U485" s="317"/>
      <c r="V485" s="317"/>
      <c r="W485" s="317"/>
      <c r="X485" s="317"/>
      <c r="Y485" s="319"/>
    </row>
    <row r="486" spans="1:25" s="91" customFormat="1" hidden="1" x14ac:dyDescent="0.25">
      <c r="A486" s="32" t="s">
        <v>1215</v>
      </c>
      <c r="B486" s="315" t="str">
        <f>IF((COUNTBLANK(G486)=0),Stats!$E$7,IF((COUNTBLANK(E486)=0),IF((COUNTBLANK(F486)=0),IF((COUNTBLANK(U486)=0),Stats!$E$6,Stats!$E$5),Stats!$E$4),""))</f>
        <v>Death</v>
      </c>
      <c r="C486" s="39" t="s">
        <v>3113</v>
      </c>
      <c r="D486" s="315"/>
      <c r="E486" s="88">
        <v>43738</v>
      </c>
      <c r="F486" s="316" t="s">
        <v>3975</v>
      </c>
      <c r="G486" s="316">
        <v>36893</v>
      </c>
      <c r="H486" s="317" t="s">
        <v>3128</v>
      </c>
      <c r="I486" s="317"/>
      <c r="J486" s="317" t="s">
        <v>152</v>
      </c>
      <c r="K486" s="315" t="s">
        <v>3216</v>
      </c>
      <c r="L486" s="315"/>
      <c r="M486" s="317"/>
      <c r="N486" s="320"/>
      <c r="O486" s="317" t="s">
        <v>51</v>
      </c>
      <c r="P486" s="318">
        <v>-450</v>
      </c>
      <c r="Q486" s="318">
        <v>400</v>
      </c>
      <c r="R486" s="317"/>
      <c r="S486" s="317"/>
      <c r="T486" s="317"/>
      <c r="U486" s="317"/>
      <c r="V486" s="317"/>
      <c r="W486" s="317"/>
      <c r="X486" s="317"/>
      <c r="Y486" s="319"/>
    </row>
    <row r="487" spans="1:25" s="91" customFormat="1" hidden="1" x14ac:dyDescent="0.25">
      <c r="A487" s="32" t="s">
        <v>1216</v>
      </c>
      <c r="B487" s="315" t="str">
        <f>IF((COUNTBLANK(G487)=0),Stats!$E$7,IF((COUNTBLANK(E487)=0),IF((COUNTBLANK(F487)=0),IF((COUNTBLANK(U487)=0),Stats!$E$6,Stats!$E$5),Stats!$E$4),""))</f>
        <v>Death</v>
      </c>
      <c r="C487" s="39" t="s">
        <v>3113</v>
      </c>
      <c r="D487" s="315"/>
      <c r="E487" s="88">
        <v>43738</v>
      </c>
      <c r="F487" s="316" t="s">
        <v>3975</v>
      </c>
      <c r="G487" s="316">
        <v>36893</v>
      </c>
      <c r="H487" s="317" t="s">
        <v>3128</v>
      </c>
      <c r="I487" s="317"/>
      <c r="J487" s="317" t="s">
        <v>152</v>
      </c>
      <c r="K487" s="315" t="s">
        <v>3216</v>
      </c>
      <c r="L487" s="315"/>
      <c r="M487" s="317"/>
      <c r="N487" s="320"/>
      <c r="O487" s="317" t="s">
        <v>51</v>
      </c>
      <c r="P487" s="318">
        <v>-450</v>
      </c>
      <c r="Q487" s="318">
        <v>400</v>
      </c>
      <c r="R487" s="317"/>
      <c r="S487" s="317"/>
      <c r="T487" s="317"/>
      <c r="U487" s="317"/>
      <c r="V487" s="317"/>
      <c r="W487" s="317"/>
      <c r="X487" s="317"/>
      <c r="Y487" s="319"/>
    </row>
    <row r="488" spans="1:25" s="91" customFormat="1" hidden="1" x14ac:dyDescent="0.25">
      <c r="A488" s="32" t="s">
        <v>1217</v>
      </c>
      <c r="B488" s="315" t="str">
        <f>IF((COUNTBLANK(G488)=0),Stats!$E$7,IF((COUNTBLANK(E488)=0),IF((COUNTBLANK(F488)=0),IF((COUNTBLANK(U488)=0),Stats!$E$6,Stats!$E$5),Stats!$E$4),""))</f>
        <v>Death</v>
      </c>
      <c r="C488" s="39" t="s">
        <v>62</v>
      </c>
      <c r="D488" s="315"/>
      <c r="E488" s="88">
        <v>43739</v>
      </c>
      <c r="F488" s="316">
        <v>43739</v>
      </c>
      <c r="G488" s="316">
        <v>36893</v>
      </c>
      <c r="H488" s="317" t="s">
        <v>3150</v>
      </c>
      <c r="I488" s="317"/>
      <c r="J488" s="317" t="s">
        <v>152</v>
      </c>
      <c r="K488" s="315" t="s">
        <v>3216</v>
      </c>
      <c r="L488" s="315"/>
      <c r="M488" s="317"/>
      <c r="N488" s="320"/>
      <c r="O488" s="317" t="s">
        <v>51</v>
      </c>
      <c r="P488" s="318" t="s">
        <v>3988</v>
      </c>
      <c r="Q488" s="321">
        <v>100100</v>
      </c>
      <c r="R488" s="317"/>
      <c r="S488" s="317"/>
      <c r="T488" s="317"/>
      <c r="U488" s="317" t="s">
        <v>3989</v>
      </c>
      <c r="V488" s="317"/>
      <c r="W488" s="317"/>
      <c r="X488" s="317"/>
      <c r="Y488" s="319"/>
    </row>
    <row r="489" spans="1:25" s="91" customFormat="1" hidden="1" x14ac:dyDescent="0.25">
      <c r="A489" s="32" t="s">
        <v>1218</v>
      </c>
      <c r="B489" s="315" t="str">
        <f>IF((COUNTBLANK(G489)=0),Stats!$E$7,IF((COUNTBLANK(E489)=0),IF((COUNTBLANK(F489)=0),IF((COUNTBLANK(U489)=0),Stats!$E$6,Stats!$E$5),Stats!$E$4),""))</f>
        <v>Death</v>
      </c>
      <c r="C489" s="39" t="s">
        <v>3113</v>
      </c>
      <c r="D489" s="315"/>
      <c r="E489" s="88">
        <v>43467</v>
      </c>
      <c r="F489" s="316" t="s">
        <v>3975</v>
      </c>
      <c r="G489" s="316">
        <v>36893</v>
      </c>
      <c r="H489" s="317" t="s">
        <v>3128</v>
      </c>
      <c r="I489" s="317"/>
      <c r="J489" s="317" t="s">
        <v>152</v>
      </c>
      <c r="K489" s="315" t="s">
        <v>3216</v>
      </c>
      <c r="L489" s="315"/>
      <c r="M489" s="317"/>
      <c r="N489" s="320"/>
      <c r="O489" s="317" t="s">
        <v>51</v>
      </c>
      <c r="P489" s="318">
        <v>-450</v>
      </c>
      <c r="Q489" s="318">
        <v>400</v>
      </c>
      <c r="R489" s="317"/>
      <c r="S489" s="317"/>
      <c r="T489" s="317"/>
      <c r="U489" s="317"/>
      <c r="V489" s="317"/>
      <c r="W489" s="317"/>
      <c r="X489" s="317"/>
      <c r="Y489" s="319"/>
    </row>
    <row r="490" spans="1:25" s="91" customFormat="1" hidden="1" x14ac:dyDescent="0.25">
      <c r="A490" s="32" t="s">
        <v>1219</v>
      </c>
      <c r="B490" s="315" t="str">
        <f>IF((COUNTBLANK(G490)=0),Stats!$E$7,IF((COUNTBLANK(E490)=0),IF((COUNTBLANK(F490)=0),IF((COUNTBLANK(U490)=0),Stats!$E$6,Stats!$E$5),Stats!$E$4),""))</f>
        <v>Death</v>
      </c>
      <c r="C490" s="39" t="s">
        <v>3113</v>
      </c>
      <c r="D490" s="315"/>
      <c r="E490" s="88">
        <v>43467</v>
      </c>
      <c r="F490" s="316" t="s">
        <v>3975</v>
      </c>
      <c r="G490" s="316">
        <v>36893</v>
      </c>
      <c r="H490" s="317" t="s">
        <v>3128</v>
      </c>
      <c r="I490" s="317"/>
      <c r="J490" s="317" t="s">
        <v>152</v>
      </c>
      <c r="K490" s="315" t="s">
        <v>3216</v>
      </c>
      <c r="L490" s="315"/>
      <c r="M490" s="317"/>
      <c r="N490" s="320"/>
      <c r="O490" s="317" t="s">
        <v>51</v>
      </c>
      <c r="P490" s="318">
        <v>-450</v>
      </c>
      <c r="Q490" s="318">
        <v>400</v>
      </c>
      <c r="R490" s="317"/>
      <c r="S490" s="317"/>
      <c r="T490" s="317"/>
      <c r="U490" s="317"/>
      <c r="V490" s="317"/>
      <c r="W490" s="317"/>
      <c r="X490" s="317"/>
      <c r="Y490" s="319"/>
    </row>
    <row r="491" spans="1:25" s="91" customFormat="1" hidden="1" x14ac:dyDescent="0.25">
      <c r="A491" s="32" t="s">
        <v>1220</v>
      </c>
      <c r="B491" s="315" t="str">
        <f>IF((COUNTBLANK(G491)=0),Stats!$E$7,IF((COUNTBLANK(E491)=0),IF((COUNTBLANK(F491)=0),IF((COUNTBLANK(U491)=0),Stats!$E$6,Stats!$E$5),Stats!$E$4),""))</f>
        <v>Death</v>
      </c>
      <c r="C491" s="39" t="s">
        <v>3113</v>
      </c>
      <c r="D491" s="315"/>
      <c r="E491" s="88">
        <v>43467</v>
      </c>
      <c r="F491" s="316" t="s">
        <v>3975</v>
      </c>
      <c r="G491" s="316">
        <v>36893</v>
      </c>
      <c r="H491" s="317" t="s">
        <v>3128</v>
      </c>
      <c r="I491" s="317"/>
      <c r="J491" s="317" t="s">
        <v>152</v>
      </c>
      <c r="K491" s="315" t="s">
        <v>3216</v>
      </c>
      <c r="L491" s="315"/>
      <c r="M491" s="317"/>
      <c r="N491" s="320"/>
      <c r="O491" s="317" t="s">
        <v>51</v>
      </c>
      <c r="P491" s="318">
        <v>-450</v>
      </c>
      <c r="Q491" s="318">
        <v>400</v>
      </c>
      <c r="R491" s="317"/>
      <c r="S491" s="317"/>
      <c r="T491" s="317"/>
      <c r="U491" s="317"/>
      <c r="V491" s="317"/>
      <c r="W491" s="317"/>
      <c r="X491" s="317"/>
      <c r="Y491" s="319"/>
    </row>
    <row r="492" spans="1:25" s="91" customFormat="1" hidden="1" x14ac:dyDescent="0.25">
      <c r="A492" s="32" t="s">
        <v>1221</v>
      </c>
      <c r="B492" s="315" t="str">
        <f>IF((COUNTBLANK(G492)=0),Stats!$E$7,IF((COUNTBLANK(E492)=0),IF((COUNTBLANK(F492)=0),IF((COUNTBLANK(U492)=0),Stats!$E$6,Stats!$E$5),Stats!$E$4),""))</f>
        <v>Death</v>
      </c>
      <c r="C492" s="39" t="s">
        <v>3113</v>
      </c>
      <c r="D492" s="315"/>
      <c r="E492" s="88">
        <v>43467</v>
      </c>
      <c r="F492" s="316">
        <v>43787</v>
      </c>
      <c r="G492" s="316">
        <v>36893</v>
      </c>
      <c r="H492" s="317" t="s">
        <v>3128</v>
      </c>
      <c r="I492" s="317"/>
      <c r="J492" s="317" t="s">
        <v>152</v>
      </c>
      <c r="K492" s="315" t="s">
        <v>3216</v>
      </c>
      <c r="L492" s="315"/>
      <c r="M492" s="317"/>
      <c r="N492" s="320"/>
      <c r="O492" s="317" t="s">
        <v>51</v>
      </c>
      <c r="P492" s="318">
        <v>-450</v>
      </c>
      <c r="Q492" s="318">
        <v>400</v>
      </c>
      <c r="R492" s="317"/>
      <c r="S492" s="317"/>
      <c r="T492" s="317" t="s">
        <v>3905</v>
      </c>
      <c r="U492" s="317"/>
      <c r="V492" s="317"/>
      <c r="W492" s="317"/>
      <c r="X492" s="317"/>
      <c r="Y492" s="319"/>
    </row>
    <row r="493" spans="1:25" s="91" customFormat="1" hidden="1" x14ac:dyDescent="0.25">
      <c r="A493" s="32" t="s">
        <v>1222</v>
      </c>
      <c r="B493" s="315" t="str">
        <f>IF((COUNTBLANK(G493)=0),Stats!$E$7,IF((COUNTBLANK(E493)=0),IF((COUNTBLANK(F493)=0),IF((COUNTBLANK(U493)=0),Stats!$E$6,Stats!$E$5),Stats!$E$4),""))</f>
        <v>Death</v>
      </c>
      <c r="C493" s="39" t="s">
        <v>3117</v>
      </c>
      <c r="D493" s="315"/>
      <c r="E493" s="88">
        <v>43467</v>
      </c>
      <c r="F493" s="316">
        <v>43788</v>
      </c>
      <c r="G493" s="316">
        <v>36893</v>
      </c>
      <c r="H493" s="317" t="s">
        <v>3128</v>
      </c>
      <c r="I493" s="317"/>
      <c r="J493" s="317" t="s">
        <v>152</v>
      </c>
      <c r="K493" s="315" t="s">
        <v>3216</v>
      </c>
      <c r="L493" s="315"/>
      <c r="M493" s="317"/>
      <c r="N493" s="320"/>
      <c r="O493" s="317" t="s">
        <v>51</v>
      </c>
      <c r="P493" s="318">
        <v>-450</v>
      </c>
      <c r="Q493" s="318">
        <v>400</v>
      </c>
      <c r="R493" s="317"/>
      <c r="S493" s="317"/>
      <c r="T493" s="317" t="s">
        <v>3905</v>
      </c>
      <c r="U493" s="317" t="s">
        <v>3990</v>
      </c>
      <c r="V493" s="317"/>
      <c r="W493" s="317"/>
      <c r="X493" s="317"/>
      <c r="Y493" s="319"/>
    </row>
    <row r="494" spans="1:25" s="91" customFormat="1" hidden="1" x14ac:dyDescent="0.25">
      <c r="A494" s="32" t="s">
        <v>1223</v>
      </c>
      <c r="B494" s="315" t="str">
        <f>IF((COUNTBLANK(G494)=0),Stats!$E$7,IF((COUNTBLANK(E494)=0),IF((COUNTBLANK(F494)=0),IF((COUNTBLANK(U494)=0),Stats!$E$6,Stats!$E$5),Stats!$E$4),""))</f>
        <v>Death</v>
      </c>
      <c r="C494" s="39" t="s">
        <v>284</v>
      </c>
      <c r="D494" s="315"/>
      <c r="E494" s="88">
        <v>43741</v>
      </c>
      <c r="F494" s="88">
        <v>43773</v>
      </c>
      <c r="G494" s="316">
        <v>36893</v>
      </c>
      <c r="H494" s="317" t="s">
        <v>3142</v>
      </c>
      <c r="I494" s="317"/>
      <c r="J494" s="317" t="s">
        <v>152</v>
      </c>
      <c r="K494" s="315" t="s">
        <v>3222</v>
      </c>
      <c r="L494" s="315" t="s">
        <v>3880</v>
      </c>
      <c r="M494" s="317" t="s">
        <v>3093</v>
      </c>
      <c r="N494" s="320" t="s">
        <v>3837</v>
      </c>
      <c r="O494" s="317" t="s">
        <v>3991</v>
      </c>
      <c r="P494" s="318">
        <v>-500</v>
      </c>
      <c r="Q494" s="318" t="s">
        <v>3992</v>
      </c>
      <c r="R494" s="317"/>
      <c r="S494" s="317"/>
      <c r="T494" s="317" t="s">
        <v>3993</v>
      </c>
      <c r="U494" s="317" t="s">
        <v>3994</v>
      </c>
      <c r="V494" s="317"/>
      <c r="W494" s="317"/>
      <c r="X494" s="317"/>
      <c r="Y494" s="319"/>
    </row>
    <row r="495" spans="1:25" s="91" customFormat="1" hidden="1" x14ac:dyDescent="0.25">
      <c r="A495" s="32" t="s">
        <v>1224</v>
      </c>
      <c r="B495" s="315" t="str">
        <f>IF((COUNTBLANK(G495)=0),Stats!$E$7,IF((COUNTBLANK(E495)=0),IF((COUNTBLANK(F495)=0),IF((COUNTBLANK(U495)=0),Stats!$E$6,Stats!$E$5),Stats!$E$4),""))</f>
        <v>Death</v>
      </c>
      <c r="C495" s="39" t="s">
        <v>284</v>
      </c>
      <c r="D495" s="315"/>
      <c r="E495" s="88">
        <v>43741</v>
      </c>
      <c r="F495" s="88">
        <v>43774</v>
      </c>
      <c r="G495" s="316">
        <v>36893</v>
      </c>
      <c r="H495" s="317" t="s">
        <v>3142</v>
      </c>
      <c r="I495" s="317"/>
      <c r="J495" s="317" t="s">
        <v>152</v>
      </c>
      <c r="K495" s="315" t="s">
        <v>3222</v>
      </c>
      <c r="L495" s="315" t="s">
        <v>3880</v>
      </c>
      <c r="M495" s="317" t="s">
        <v>3093</v>
      </c>
      <c r="N495" s="320" t="s">
        <v>3837</v>
      </c>
      <c r="O495" s="317" t="s">
        <v>3991</v>
      </c>
      <c r="P495" s="318">
        <v>-500</v>
      </c>
      <c r="Q495" s="318" t="s">
        <v>3992</v>
      </c>
      <c r="R495" s="317" t="s">
        <v>3995</v>
      </c>
      <c r="S495" s="317"/>
      <c r="T495" s="317" t="s">
        <v>3993</v>
      </c>
      <c r="U495" s="317" t="s">
        <v>3996</v>
      </c>
      <c r="V495" s="317"/>
      <c r="W495" s="317"/>
      <c r="X495" s="317"/>
      <c r="Y495" s="319"/>
    </row>
    <row r="496" spans="1:25" s="91" customFormat="1" hidden="1" x14ac:dyDescent="0.25">
      <c r="A496" s="32" t="s">
        <v>1225</v>
      </c>
      <c r="B496" s="315" t="str">
        <f>IF((COUNTBLANK(G496)=0),Stats!$E$7,IF((COUNTBLANK(E496)=0),IF((COUNTBLANK(F496)=0),IF((COUNTBLANK(U496)=0),Stats!$E$6,Stats!$E$5),Stats!$E$4),""))</f>
        <v>Death</v>
      </c>
      <c r="C496" s="39" t="s">
        <v>284</v>
      </c>
      <c r="D496" s="315"/>
      <c r="E496" s="88">
        <v>43742</v>
      </c>
      <c r="F496" s="88">
        <v>43774</v>
      </c>
      <c r="G496" s="316">
        <v>36893</v>
      </c>
      <c r="H496" s="317" t="s">
        <v>3128</v>
      </c>
      <c r="I496" s="317"/>
      <c r="J496" s="317" t="s">
        <v>152</v>
      </c>
      <c r="K496" s="315" t="s">
        <v>3661</v>
      </c>
      <c r="L496" s="315" t="s">
        <v>3199</v>
      </c>
      <c r="M496" s="317"/>
      <c r="N496" s="320"/>
      <c r="O496" s="317" t="s">
        <v>3991</v>
      </c>
      <c r="P496" s="318">
        <v>-500</v>
      </c>
      <c r="Q496" s="318" t="s">
        <v>3992</v>
      </c>
      <c r="R496" s="317" t="s">
        <v>3997</v>
      </c>
      <c r="S496" s="317"/>
      <c r="T496" s="317" t="s">
        <v>3993</v>
      </c>
      <c r="U496" s="317" t="s">
        <v>3998</v>
      </c>
      <c r="V496" s="317"/>
      <c r="W496" s="317"/>
      <c r="X496" s="317"/>
      <c r="Y496" s="319"/>
    </row>
    <row r="497" spans="1:25" s="91" customFormat="1" hidden="1" x14ac:dyDescent="0.25">
      <c r="A497" s="32" t="s">
        <v>1226</v>
      </c>
      <c r="B497" s="315" t="str">
        <f>IF((COUNTBLANK(G497)=0),Stats!$E$7,IF((COUNTBLANK(E497)=0),IF((COUNTBLANK(F497)=0),IF((COUNTBLANK(U497)=0),Stats!$E$6,Stats!$E$5),Stats!$E$4),""))</f>
        <v>Death</v>
      </c>
      <c r="C497" s="39" t="s">
        <v>284</v>
      </c>
      <c r="D497" s="315"/>
      <c r="E497" s="88">
        <v>43742</v>
      </c>
      <c r="F497" s="88" t="s">
        <v>3999</v>
      </c>
      <c r="G497" s="316">
        <v>36893</v>
      </c>
      <c r="H497" s="317" t="s">
        <v>3128</v>
      </c>
      <c r="I497" s="317"/>
      <c r="J497" s="317" t="s">
        <v>152</v>
      </c>
      <c r="K497" s="315" t="s">
        <v>3661</v>
      </c>
      <c r="L497" s="315" t="s">
        <v>3199</v>
      </c>
      <c r="M497" s="317"/>
      <c r="N497" s="320"/>
      <c r="O497" s="317" t="s">
        <v>3991</v>
      </c>
      <c r="P497" s="318">
        <v>-500</v>
      </c>
      <c r="Q497" s="318" t="s">
        <v>3992</v>
      </c>
      <c r="R497" s="317" t="s">
        <v>3997</v>
      </c>
      <c r="S497" s="317"/>
      <c r="T497" s="317" t="s">
        <v>4000</v>
      </c>
      <c r="U497" s="317"/>
      <c r="V497" s="317"/>
      <c r="W497" s="317"/>
      <c r="X497" s="317"/>
      <c r="Y497" s="319"/>
    </row>
    <row r="498" spans="1:25" s="91" customFormat="1" hidden="1" x14ac:dyDescent="0.25">
      <c r="A498" s="32" t="s">
        <v>1227</v>
      </c>
      <c r="B498" s="315" t="str">
        <f>IF((COUNTBLANK(G498)=0),Stats!$E$7,IF((COUNTBLANK(E498)=0),IF((COUNTBLANK(F498)=0),IF((COUNTBLANK(U498)=0),Stats!$E$6,Stats!$E$5),Stats!$E$4),""))</f>
        <v>Death</v>
      </c>
      <c r="C498" s="39" t="s">
        <v>3113</v>
      </c>
      <c r="D498" s="315"/>
      <c r="E498" s="88">
        <v>43743</v>
      </c>
      <c r="F498" s="316" t="s">
        <v>3975</v>
      </c>
      <c r="G498" s="316">
        <v>36893</v>
      </c>
      <c r="H498" s="317" t="s">
        <v>3128</v>
      </c>
      <c r="I498" s="317"/>
      <c r="J498" s="317" t="s">
        <v>152</v>
      </c>
      <c r="K498" s="315" t="s">
        <v>3216</v>
      </c>
      <c r="L498" s="315"/>
      <c r="M498" s="317"/>
      <c r="N498" s="320"/>
      <c r="O498" s="317" t="s">
        <v>51</v>
      </c>
      <c r="P498" s="318">
        <v>-450</v>
      </c>
      <c r="Q498" s="318">
        <v>400</v>
      </c>
      <c r="R498" s="317"/>
      <c r="S498" s="317"/>
      <c r="T498" s="317"/>
      <c r="U498" s="317"/>
      <c r="V498" s="317"/>
      <c r="W498" s="317"/>
      <c r="X498" s="317"/>
      <c r="Y498" s="319"/>
    </row>
    <row r="499" spans="1:25" s="91" customFormat="1" hidden="1" x14ac:dyDescent="0.25">
      <c r="A499" s="32" t="s">
        <v>1228</v>
      </c>
      <c r="B499" s="315" t="str">
        <f>IF((COUNTBLANK(G499)=0),Stats!$E$7,IF((COUNTBLANK(E499)=0),IF((COUNTBLANK(F499)=0),IF((COUNTBLANK(U499)=0),Stats!$E$6,Stats!$E$5),Stats!$E$4),""))</f>
        <v>Death</v>
      </c>
      <c r="C499" s="39" t="s">
        <v>3113</v>
      </c>
      <c r="D499" s="315"/>
      <c r="E499" s="88">
        <v>43744</v>
      </c>
      <c r="F499" s="316">
        <v>43788</v>
      </c>
      <c r="G499" s="316">
        <v>36893</v>
      </c>
      <c r="H499" s="317" t="s">
        <v>3128</v>
      </c>
      <c r="I499" s="317"/>
      <c r="J499" s="317" t="s">
        <v>152</v>
      </c>
      <c r="K499" s="315" t="s">
        <v>3216</v>
      </c>
      <c r="L499" s="315"/>
      <c r="M499" s="317"/>
      <c r="N499" s="320"/>
      <c r="O499" s="317" t="s">
        <v>51</v>
      </c>
      <c r="P499" s="318">
        <v>-450</v>
      </c>
      <c r="Q499" s="318">
        <v>400</v>
      </c>
      <c r="R499" s="317"/>
      <c r="S499" s="317"/>
      <c r="T499" s="317" t="s">
        <v>4001</v>
      </c>
      <c r="U499" s="317"/>
      <c r="V499" s="317"/>
      <c r="W499" s="317"/>
      <c r="X499" s="317"/>
      <c r="Y499" s="319"/>
    </row>
    <row r="500" spans="1:25" s="91" customFormat="1" hidden="1" x14ac:dyDescent="0.25">
      <c r="A500" s="32" t="s">
        <v>1229</v>
      </c>
      <c r="B500" s="315" t="str">
        <f>IF((COUNTBLANK(G500)=0),Stats!$E$7,IF((COUNTBLANK(E500)=0),IF((COUNTBLANK(F500)=0),IF((COUNTBLANK(U500)=0),Stats!$E$6,Stats!$E$5),Stats!$E$4),""))</f>
        <v>Death</v>
      </c>
      <c r="C500" s="39" t="s">
        <v>62</v>
      </c>
      <c r="D500" s="315"/>
      <c r="E500" s="88">
        <v>43746</v>
      </c>
      <c r="F500" s="316">
        <v>43746</v>
      </c>
      <c r="G500" s="316">
        <v>36893</v>
      </c>
      <c r="H500" s="317" t="s">
        <v>3150</v>
      </c>
      <c r="I500" s="317"/>
      <c r="J500" s="317" t="s">
        <v>152</v>
      </c>
      <c r="K500" s="315" t="s">
        <v>4002</v>
      </c>
      <c r="L500" s="315"/>
      <c r="M500" s="317"/>
      <c r="N500" s="320"/>
      <c r="O500" s="317" t="s">
        <v>4003</v>
      </c>
      <c r="P500" s="318" t="s">
        <v>4004</v>
      </c>
      <c r="Q500" s="321">
        <v>100150</v>
      </c>
      <c r="R500" s="317"/>
      <c r="S500" s="317"/>
      <c r="T500" s="317"/>
      <c r="U500" s="317"/>
      <c r="V500" s="317"/>
      <c r="W500" s="317"/>
      <c r="X500" s="317"/>
      <c r="Y500" s="319"/>
    </row>
    <row r="501" spans="1:25" s="91" customFormat="1" hidden="1" x14ac:dyDescent="0.25">
      <c r="A501" s="32" t="s">
        <v>1230</v>
      </c>
      <c r="B501" s="315" t="str">
        <f>IF((COUNTBLANK(G501)=0),Stats!$E$7,IF((COUNTBLANK(E501)=0),IF((COUNTBLANK(F501)=0),IF((COUNTBLANK(U501)=0),Stats!$E$6,Stats!$E$5),Stats!$E$4),""))</f>
        <v>Death</v>
      </c>
      <c r="C501" s="39" t="s">
        <v>62</v>
      </c>
      <c r="D501" s="315"/>
      <c r="E501" s="88">
        <v>43746</v>
      </c>
      <c r="F501" s="316">
        <v>43746</v>
      </c>
      <c r="G501" s="316">
        <v>36893</v>
      </c>
      <c r="H501" s="317" t="s">
        <v>3150</v>
      </c>
      <c r="I501" s="317"/>
      <c r="J501" s="317" t="s">
        <v>152</v>
      </c>
      <c r="K501" s="315" t="s">
        <v>4002</v>
      </c>
      <c r="L501" s="315"/>
      <c r="M501" s="317"/>
      <c r="N501" s="320"/>
      <c r="O501" s="317" t="s">
        <v>4003</v>
      </c>
      <c r="P501" s="318" t="s">
        <v>4005</v>
      </c>
      <c r="Q501" s="321">
        <v>150150</v>
      </c>
      <c r="R501" s="317"/>
      <c r="S501" s="317"/>
      <c r="T501" s="317"/>
      <c r="U501" s="317"/>
      <c r="V501" s="317"/>
      <c r="W501" s="317"/>
      <c r="X501" s="317"/>
      <c r="Y501" s="319"/>
    </row>
    <row r="502" spans="1:25" s="91" customFormat="1" hidden="1" x14ac:dyDescent="0.25">
      <c r="A502" s="32" t="s">
        <v>1231</v>
      </c>
      <c r="B502" s="315" t="str">
        <f>IF((COUNTBLANK(G502)=0),Stats!$E$7,IF((COUNTBLANK(E502)=0),IF((COUNTBLANK(F502)=0),IF((COUNTBLANK(U502)=0),Stats!$E$6,Stats!$E$5),Stats!$E$4),""))</f>
        <v>Death</v>
      </c>
      <c r="C502" s="39" t="s">
        <v>62</v>
      </c>
      <c r="D502" s="315"/>
      <c r="E502" s="88">
        <v>43746</v>
      </c>
      <c r="F502" s="316">
        <v>43746</v>
      </c>
      <c r="G502" s="316">
        <v>36893</v>
      </c>
      <c r="H502" s="317" t="s">
        <v>3150</v>
      </c>
      <c r="I502" s="317"/>
      <c r="J502" s="317" t="s">
        <v>152</v>
      </c>
      <c r="K502" s="315" t="s">
        <v>4002</v>
      </c>
      <c r="L502" s="315"/>
      <c r="M502" s="317"/>
      <c r="N502" s="320"/>
      <c r="O502" s="317" t="s">
        <v>4003</v>
      </c>
      <c r="P502" s="318" t="s">
        <v>4005</v>
      </c>
      <c r="Q502" s="321">
        <v>150150</v>
      </c>
      <c r="R502" s="317"/>
      <c r="S502" s="317"/>
      <c r="T502" s="317"/>
      <c r="U502" s="317"/>
      <c r="V502" s="317"/>
      <c r="W502" s="317"/>
      <c r="X502" s="317"/>
      <c r="Y502" s="319"/>
    </row>
    <row r="503" spans="1:25" s="91" customFormat="1" hidden="1" x14ac:dyDescent="0.25">
      <c r="A503" s="32" t="s">
        <v>1232</v>
      </c>
      <c r="B503" s="315" t="str">
        <f>IF((COUNTBLANK(G503)=0),Stats!$E$7,IF((COUNTBLANK(E503)=0),IF((COUNTBLANK(F503)=0),IF((COUNTBLANK(U503)=0),Stats!$E$6,Stats!$E$5),Stats!$E$4),""))</f>
        <v>Death</v>
      </c>
      <c r="C503" s="39" t="s">
        <v>62</v>
      </c>
      <c r="D503" s="315"/>
      <c r="E503" s="88">
        <v>43776</v>
      </c>
      <c r="F503" s="316">
        <v>43781</v>
      </c>
      <c r="G503" s="316">
        <v>36893</v>
      </c>
      <c r="H503" s="317" t="s">
        <v>3148</v>
      </c>
      <c r="I503" s="317"/>
      <c r="J503" s="317" t="s">
        <v>152</v>
      </c>
      <c r="K503" s="315" t="s">
        <v>4002</v>
      </c>
      <c r="L503" s="315"/>
      <c r="M503" s="317"/>
      <c r="N503" s="320" t="s">
        <v>105</v>
      </c>
      <c r="O503" s="317" t="s">
        <v>51</v>
      </c>
      <c r="P503" s="67">
        <v>-600</v>
      </c>
      <c r="Q503" s="318">
        <v>300</v>
      </c>
      <c r="R503" s="317"/>
      <c r="S503" s="317"/>
      <c r="T503" s="317"/>
      <c r="U503" s="317"/>
      <c r="V503" s="317"/>
      <c r="W503" s="317"/>
      <c r="X503" s="317"/>
      <c r="Y503" s="319"/>
    </row>
    <row r="504" spans="1:25" s="91" customFormat="1" hidden="1" x14ac:dyDescent="0.25">
      <c r="A504" s="32" t="s">
        <v>1233</v>
      </c>
      <c r="B504" s="315" t="str">
        <f>IF((COUNTBLANK(G504)=0),Stats!$E$7,IF((COUNTBLANK(E504)=0),IF((COUNTBLANK(F504)=0),IF((COUNTBLANK(U504)=0),Stats!$E$6,Stats!$E$5),Stats!$E$4),""))</f>
        <v>Death</v>
      </c>
      <c r="C504" s="39" t="s">
        <v>3117</v>
      </c>
      <c r="D504" s="315"/>
      <c r="E504" s="88">
        <v>43776</v>
      </c>
      <c r="F504" s="316">
        <v>43780</v>
      </c>
      <c r="G504" s="316">
        <v>36893</v>
      </c>
      <c r="H504" s="317" t="s">
        <v>3148</v>
      </c>
      <c r="I504" s="317"/>
      <c r="J504" s="317" t="s">
        <v>152</v>
      </c>
      <c r="K504" s="315" t="s">
        <v>4002</v>
      </c>
      <c r="L504" s="315"/>
      <c r="M504" s="317"/>
      <c r="N504" s="320" t="s">
        <v>105</v>
      </c>
      <c r="O504" s="317" t="s">
        <v>51</v>
      </c>
      <c r="P504" s="67">
        <v>-600</v>
      </c>
      <c r="Q504" s="318">
        <v>300</v>
      </c>
      <c r="R504" s="317"/>
      <c r="S504" s="317"/>
      <c r="T504" s="317" t="s">
        <v>4006</v>
      </c>
      <c r="U504" s="317"/>
      <c r="V504" s="317"/>
      <c r="W504" s="317"/>
      <c r="X504" s="317"/>
      <c r="Y504" s="319"/>
    </row>
    <row r="505" spans="1:25" s="91" customFormat="1" hidden="1" x14ac:dyDescent="0.25">
      <c r="A505" s="32" t="s">
        <v>1234</v>
      </c>
      <c r="B505" s="315" t="str">
        <f>IF((COUNTBLANK(G505)=0),Stats!$E$7,IF((COUNTBLANK(E505)=0),IF((COUNTBLANK(F505)=0),IF((COUNTBLANK(U505)=0),Stats!$E$6,Stats!$E$5),Stats!$E$4),""))</f>
        <v>Death</v>
      </c>
      <c r="C505" s="39" t="s">
        <v>3117</v>
      </c>
      <c r="D505" s="315"/>
      <c r="E505" s="88">
        <v>43776</v>
      </c>
      <c r="F505" s="316">
        <v>43780</v>
      </c>
      <c r="G505" s="316">
        <v>36893</v>
      </c>
      <c r="H505" s="317" t="s">
        <v>3148</v>
      </c>
      <c r="I505" s="317"/>
      <c r="J505" s="317" t="s">
        <v>152</v>
      </c>
      <c r="K505" s="315" t="s">
        <v>4002</v>
      </c>
      <c r="L505" s="315"/>
      <c r="M505" s="317"/>
      <c r="N505" s="320" t="s">
        <v>105</v>
      </c>
      <c r="O505" s="317" t="s">
        <v>51</v>
      </c>
      <c r="P505" s="67">
        <v>-600</v>
      </c>
      <c r="Q505" s="318">
        <v>300</v>
      </c>
      <c r="R505" s="317"/>
      <c r="S505" s="317"/>
      <c r="T505" s="317" t="s">
        <v>4007</v>
      </c>
      <c r="U505" s="317"/>
      <c r="V505" s="317"/>
      <c r="W505" s="317"/>
      <c r="X505" s="317" t="s">
        <v>4008</v>
      </c>
      <c r="Y505" s="319"/>
    </row>
    <row r="506" spans="1:25" s="91" customFormat="1" hidden="1" x14ac:dyDescent="0.25">
      <c r="A506" s="32" t="s">
        <v>1235</v>
      </c>
      <c r="B506" s="315" t="str">
        <f>IF((COUNTBLANK(G506)=0),Stats!$E$7,IF((COUNTBLANK(E506)=0),IF((COUNTBLANK(F506)=0),IF((COUNTBLANK(U506)=0),Stats!$E$6,Stats!$E$5),Stats!$E$4),""))</f>
        <v>Death</v>
      </c>
      <c r="C506" s="39" t="s">
        <v>3117</v>
      </c>
      <c r="D506" s="315"/>
      <c r="E506" s="88">
        <v>43776</v>
      </c>
      <c r="F506" s="316">
        <v>43781</v>
      </c>
      <c r="G506" s="316">
        <v>36893</v>
      </c>
      <c r="H506" s="317" t="s">
        <v>3148</v>
      </c>
      <c r="I506" s="317"/>
      <c r="J506" s="317" t="s">
        <v>152</v>
      </c>
      <c r="K506" s="315" t="s">
        <v>4002</v>
      </c>
      <c r="L506" s="315"/>
      <c r="M506" s="317"/>
      <c r="N506" s="320" t="s">
        <v>105</v>
      </c>
      <c r="O506" s="317" t="s">
        <v>51</v>
      </c>
      <c r="P506" s="67">
        <v>-600</v>
      </c>
      <c r="Q506" s="318">
        <v>300</v>
      </c>
      <c r="R506" s="317"/>
      <c r="S506" s="317"/>
      <c r="T506" s="317" t="s">
        <v>4009</v>
      </c>
      <c r="U506" s="317"/>
      <c r="V506" s="317"/>
      <c r="W506" s="317"/>
      <c r="X506" s="317" t="s">
        <v>4008</v>
      </c>
      <c r="Y506" s="319"/>
    </row>
    <row r="507" spans="1:25" s="91" customFormat="1" hidden="1" x14ac:dyDescent="0.25">
      <c r="A507" s="32" t="s">
        <v>1236</v>
      </c>
      <c r="B507" s="315" t="str">
        <f>IF((COUNTBLANK(G507)=0),Stats!$E$7,IF((COUNTBLANK(E507)=0),IF((COUNTBLANK(F507)=0),IF((COUNTBLANK(U507)=0),Stats!$E$6,Stats!$E$5),Stats!$E$4),""))</f>
        <v>Death</v>
      </c>
      <c r="C507" s="39" t="s">
        <v>3111</v>
      </c>
      <c r="D507" s="315"/>
      <c r="E507" s="88">
        <v>43794</v>
      </c>
      <c r="F507" s="316">
        <v>36892</v>
      </c>
      <c r="G507" s="316">
        <v>36893</v>
      </c>
      <c r="H507" s="317" t="s">
        <v>3140</v>
      </c>
      <c r="I507" s="317"/>
      <c r="J507" s="317" t="s">
        <v>152</v>
      </c>
      <c r="K507" s="315" t="s">
        <v>3809</v>
      </c>
      <c r="L507" s="315"/>
      <c r="M507" s="317"/>
      <c r="N507" s="320"/>
      <c r="O507" s="317" t="s">
        <v>51</v>
      </c>
      <c r="P507" s="318">
        <v>-300</v>
      </c>
      <c r="Q507" s="318">
        <v>200</v>
      </c>
      <c r="R507" s="317"/>
      <c r="S507" s="317"/>
      <c r="T507" s="317"/>
      <c r="U507" s="317"/>
      <c r="V507" s="317"/>
      <c r="W507" s="317"/>
      <c r="X507" s="317"/>
      <c r="Y507" s="319"/>
    </row>
    <row r="508" spans="1:25" s="91" customFormat="1" hidden="1" x14ac:dyDescent="0.25">
      <c r="A508" s="32" t="s">
        <v>1237</v>
      </c>
      <c r="B508" s="315" t="str">
        <f>IF((COUNTBLANK(G508)=0),Stats!$E$7,IF((COUNTBLANK(E508)=0),IF((COUNTBLANK(F508)=0),IF((COUNTBLANK(U508)=0),Stats!$E$6,Stats!$E$5),Stats!$E$4),""))</f>
        <v>Death</v>
      </c>
      <c r="C508" s="39" t="s">
        <v>3111</v>
      </c>
      <c r="D508" s="315"/>
      <c r="E508" s="88">
        <v>43797</v>
      </c>
      <c r="F508" s="316">
        <v>36892</v>
      </c>
      <c r="G508" s="316">
        <v>36893</v>
      </c>
      <c r="H508" s="317" t="s">
        <v>3140</v>
      </c>
      <c r="I508" s="317"/>
      <c r="J508" s="317" t="s">
        <v>152</v>
      </c>
      <c r="K508" s="315" t="s">
        <v>3199</v>
      </c>
      <c r="L508" s="315" t="s">
        <v>4010</v>
      </c>
      <c r="M508" s="317"/>
      <c r="N508" s="320"/>
      <c r="O508" s="317" t="s">
        <v>51</v>
      </c>
      <c r="P508" s="318">
        <v>-300</v>
      </c>
      <c r="Q508" s="318" t="s">
        <v>3830</v>
      </c>
      <c r="R508" s="317"/>
      <c r="S508" s="317"/>
      <c r="T508" s="317"/>
      <c r="U508" s="317"/>
      <c r="V508" s="317"/>
      <c r="W508" s="317"/>
      <c r="X508" s="317" t="s">
        <v>3808</v>
      </c>
      <c r="Y508" s="319"/>
    </row>
    <row r="509" spans="1:25" s="91" customFormat="1" hidden="1" x14ac:dyDescent="0.25">
      <c r="A509" s="32" t="s">
        <v>1238</v>
      </c>
      <c r="B509" s="315" t="str">
        <f>IF((COUNTBLANK(G509)=0),Stats!$E$7,IF((COUNTBLANK(E509)=0),IF((COUNTBLANK(F509)=0),IF((COUNTBLANK(U509)=0),Stats!$E$6,Stats!$E$5),Stats!$E$4),""))</f>
        <v>Death</v>
      </c>
      <c r="C509" s="39" t="s">
        <v>3111</v>
      </c>
      <c r="D509" s="315"/>
      <c r="E509" s="88">
        <v>43798</v>
      </c>
      <c r="F509" s="88">
        <v>36892</v>
      </c>
      <c r="G509" s="316">
        <v>36893</v>
      </c>
      <c r="H509" s="317" t="s">
        <v>3140</v>
      </c>
      <c r="I509" s="49"/>
      <c r="J509" s="49" t="s">
        <v>152</v>
      </c>
      <c r="K509" s="315" t="s">
        <v>3199</v>
      </c>
      <c r="L509" s="315" t="s">
        <v>4010</v>
      </c>
      <c r="M509" s="49"/>
      <c r="N509" s="320"/>
      <c r="O509" s="49" t="s">
        <v>51</v>
      </c>
      <c r="P509" s="67">
        <v>-300</v>
      </c>
      <c r="Q509" s="67" t="s">
        <v>3370</v>
      </c>
      <c r="R509" s="49" t="s">
        <v>4011</v>
      </c>
      <c r="S509" s="49"/>
      <c r="T509" s="49"/>
      <c r="U509" s="49"/>
      <c r="V509" s="49"/>
      <c r="W509" s="49"/>
      <c r="X509" s="49" t="s">
        <v>4012</v>
      </c>
      <c r="Y509" s="95"/>
    </row>
    <row r="510" spans="1:25" s="92" customFormat="1" hidden="1" x14ac:dyDescent="0.25">
      <c r="A510" s="32" t="s">
        <v>1239</v>
      </c>
      <c r="B510" s="315" t="str">
        <f>IF((COUNTBLANK(G510)=0),Stats!$E$7,IF((COUNTBLANK(E510)=0),IF((COUNTBLANK(F510)=0),IF((COUNTBLANK(U510)=0),Stats!$E$6,Stats!$E$5),Stats!$E$4),""))</f>
        <v>Death</v>
      </c>
      <c r="C510" s="39" t="s">
        <v>284</v>
      </c>
      <c r="D510" s="315"/>
      <c r="E510" s="88">
        <v>43861</v>
      </c>
      <c r="F510" s="316">
        <v>43878</v>
      </c>
      <c r="G510" s="316">
        <v>36893</v>
      </c>
      <c r="H510" s="317" t="s">
        <v>3128</v>
      </c>
      <c r="I510" s="317"/>
      <c r="J510" s="317" t="s">
        <v>152</v>
      </c>
      <c r="K510" s="315" t="s">
        <v>3828</v>
      </c>
      <c r="L510" s="315" t="s">
        <v>3222</v>
      </c>
      <c r="M510" s="317" t="s">
        <v>3093</v>
      </c>
      <c r="N510" s="320" t="s">
        <v>4013</v>
      </c>
      <c r="O510" s="317" t="s">
        <v>51</v>
      </c>
      <c r="P510" s="318">
        <v>-500</v>
      </c>
      <c r="Q510" s="318">
        <v>550</v>
      </c>
      <c r="R510" s="317"/>
      <c r="S510" s="317"/>
      <c r="T510" s="317"/>
      <c r="U510" s="317" t="s">
        <v>4014</v>
      </c>
      <c r="V510" s="317"/>
      <c r="W510" s="317"/>
      <c r="X510" s="317"/>
      <c r="Y510" s="319"/>
    </row>
    <row r="511" spans="1:25" s="91" customFormat="1" hidden="1" x14ac:dyDescent="0.25">
      <c r="A511" s="32" t="s">
        <v>1240</v>
      </c>
      <c r="B511" s="315" t="str">
        <f>IF((COUNTBLANK(G511)=0),Stats!$E$7,IF((COUNTBLANK(E511)=0),IF((COUNTBLANK(F511)=0),IF((COUNTBLANK(U511)=0),Stats!$E$6,Stats!$E$5),Stats!$E$4),""))</f>
        <v>Death</v>
      </c>
      <c r="C511" s="39" t="s">
        <v>284</v>
      </c>
      <c r="D511" s="315"/>
      <c r="E511" s="88">
        <v>43861</v>
      </c>
      <c r="F511" s="316">
        <v>43878</v>
      </c>
      <c r="G511" s="316">
        <v>36893</v>
      </c>
      <c r="H511" s="317" t="s">
        <v>3128</v>
      </c>
      <c r="I511" s="317"/>
      <c r="J511" s="317" t="s">
        <v>152</v>
      </c>
      <c r="K511" s="315" t="s">
        <v>3828</v>
      </c>
      <c r="L511" s="315" t="s">
        <v>3222</v>
      </c>
      <c r="M511" s="317" t="s">
        <v>3093</v>
      </c>
      <c r="N511" s="320" t="s">
        <v>4013</v>
      </c>
      <c r="O511" s="317" t="s">
        <v>51</v>
      </c>
      <c r="P511" s="318">
        <v>-500</v>
      </c>
      <c r="Q511" s="318">
        <v>550</v>
      </c>
      <c r="R511" s="317"/>
      <c r="S511" s="317"/>
      <c r="T511" s="317"/>
      <c r="U511" s="317" t="s">
        <v>4014</v>
      </c>
      <c r="V511" s="317"/>
      <c r="W511" s="317"/>
      <c r="X511" s="317"/>
      <c r="Y511" s="319"/>
    </row>
    <row r="512" spans="1:25" s="91" customFormat="1" hidden="1" x14ac:dyDescent="0.25">
      <c r="A512" s="32" t="s">
        <v>1241</v>
      </c>
      <c r="B512" s="315" t="str">
        <f>IF((COUNTBLANK(G512)=0),Stats!$E$7,IF((COUNTBLANK(E512)=0),IF((COUNTBLANK(F512)=0),IF((COUNTBLANK(U512)=0),Stats!$E$6,Stats!$E$5),Stats!$E$4),""))</f>
        <v>Death</v>
      </c>
      <c r="C512" s="39" t="s">
        <v>284</v>
      </c>
      <c r="D512" s="315"/>
      <c r="E512" s="88">
        <v>43872</v>
      </c>
      <c r="F512" s="316">
        <v>43892</v>
      </c>
      <c r="G512" s="316">
        <v>36893</v>
      </c>
      <c r="H512" s="317" t="s">
        <v>3128</v>
      </c>
      <c r="I512" s="317"/>
      <c r="J512" s="317" t="s">
        <v>152</v>
      </c>
      <c r="K512" s="315" t="s">
        <v>3828</v>
      </c>
      <c r="L512" s="315" t="s">
        <v>3222</v>
      </c>
      <c r="M512" s="317" t="s">
        <v>3093</v>
      </c>
      <c r="N512" s="320" t="s">
        <v>4013</v>
      </c>
      <c r="O512" s="317" t="s">
        <v>51</v>
      </c>
      <c r="P512" s="318">
        <v>-500</v>
      </c>
      <c r="Q512" s="318">
        <v>600</v>
      </c>
      <c r="R512" s="317" t="s">
        <v>3905</v>
      </c>
      <c r="S512" s="317"/>
      <c r="T512" s="317"/>
      <c r="U512" s="317" t="s">
        <v>4015</v>
      </c>
      <c r="V512" s="317" t="s">
        <v>4016</v>
      </c>
      <c r="W512" s="317" t="s">
        <v>4017</v>
      </c>
      <c r="X512" s="317"/>
      <c r="Y512" s="319"/>
    </row>
    <row r="513" spans="1:25" s="91" customFormat="1" hidden="1" x14ac:dyDescent="0.25">
      <c r="A513" s="32" t="s">
        <v>1242</v>
      </c>
      <c r="B513" s="315" t="str">
        <f>IF((COUNTBLANK(G513)=0),Stats!$E$7,IF((COUNTBLANK(E513)=0),IF((COUNTBLANK(F513)=0),IF((COUNTBLANK(U513)=0),Stats!$E$6,Stats!$E$5),Stats!$E$4),""))</f>
        <v>Death</v>
      </c>
      <c r="C513" s="39" t="s">
        <v>284</v>
      </c>
      <c r="D513" s="315"/>
      <c r="E513" s="88">
        <v>43872</v>
      </c>
      <c r="F513" s="316">
        <v>43894</v>
      </c>
      <c r="G513" s="316">
        <v>36893</v>
      </c>
      <c r="H513" s="317" t="s">
        <v>3128</v>
      </c>
      <c r="I513" s="317"/>
      <c r="J513" s="317" t="s">
        <v>152</v>
      </c>
      <c r="K513" s="315" t="s">
        <v>3828</v>
      </c>
      <c r="L513" s="315" t="s">
        <v>3222</v>
      </c>
      <c r="M513" s="317" t="s">
        <v>3093</v>
      </c>
      <c r="N513" s="320" t="s">
        <v>4013</v>
      </c>
      <c r="O513" s="317" t="s">
        <v>51</v>
      </c>
      <c r="P513" s="318">
        <v>-500</v>
      </c>
      <c r="Q513" s="318">
        <v>600</v>
      </c>
      <c r="R513" s="317" t="s">
        <v>3905</v>
      </c>
      <c r="S513" s="317"/>
      <c r="T513" s="317"/>
      <c r="U513" s="317" t="s">
        <v>4018</v>
      </c>
      <c r="V513" s="317"/>
      <c r="W513" s="317"/>
      <c r="X513" s="317"/>
      <c r="Y513" s="319"/>
    </row>
    <row r="514" spans="1:25" s="91" customFormat="1" hidden="1" x14ac:dyDescent="0.25">
      <c r="A514" s="32" t="s">
        <v>1243</v>
      </c>
      <c r="B514" s="315" t="str">
        <f>IF((COUNTBLANK(G514)=0),Stats!$E$7,IF((COUNTBLANK(E514)=0),IF((COUNTBLANK(F514)=0),IF((COUNTBLANK(U514)=0),Stats!$E$6,Stats!$E$5),Stats!$E$4),""))</f>
        <v>Death</v>
      </c>
      <c r="C514" s="39" t="s">
        <v>284</v>
      </c>
      <c r="D514" s="315"/>
      <c r="E514" s="88">
        <v>43872</v>
      </c>
      <c r="F514" s="316">
        <v>43894</v>
      </c>
      <c r="G514" s="316">
        <v>36893</v>
      </c>
      <c r="H514" s="317" t="s">
        <v>3128</v>
      </c>
      <c r="I514" s="317"/>
      <c r="J514" s="317" t="s">
        <v>152</v>
      </c>
      <c r="K514" s="315" t="s">
        <v>3828</v>
      </c>
      <c r="L514" s="315" t="s">
        <v>3222</v>
      </c>
      <c r="M514" s="317" t="s">
        <v>3093</v>
      </c>
      <c r="N514" s="320" t="s">
        <v>4013</v>
      </c>
      <c r="O514" s="317" t="s">
        <v>51</v>
      </c>
      <c r="P514" s="318">
        <v>-500</v>
      </c>
      <c r="Q514" s="318">
        <v>600</v>
      </c>
      <c r="R514" s="317"/>
      <c r="S514" s="317"/>
      <c r="T514" s="317"/>
      <c r="U514" s="317" t="s">
        <v>4015</v>
      </c>
      <c r="V514" s="317" t="s">
        <v>4019</v>
      </c>
      <c r="W514" s="317" t="s">
        <v>4017</v>
      </c>
      <c r="X514" s="317" t="s">
        <v>4020</v>
      </c>
      <c r="Y514" s="319"/>
    </row>
    <row r="515" spans="1:25" s="91" customFormat="1" hidden="1" x14ac:dyDescent="0.25">
      <c r="A515" s="32" t="s">
        <v>1244</v>
      </c>
      <c r="B515" s="315" t="str">
        <f>IF((COUNTBLANK(G515)=0),Stats!$E$7,IF((COUNTBLANK(E515)=0),IF((COUNTBLANK(F515)=0),IF((COUNTBLANK(U515)=0),Stats!$E$6,Stats!$E$5),Stats!$E$4),""))</f>
        <v>Death</v>
      </c>
      <c r="C515" s="39" t="s">
        <v>284</v>
      </c>
      <c r="D515" s="315"/>
      <c r="E515" s="88">
        <v>43872</v>
      </c>
      <c r="F515" s="316">
        <v>43900</v>
      </c>
      <c r="G515" s="316">
        <v>36893</v>
      </c>
      <c r="H515" s="317" t="s">
        <v>3142</v>
      </c>
      <c r="I515" s="317"/>
      <c r="J515" s="317" t="s">
        <v>152</v>
      </c>
      <c r="K515" s="315" t="s">
        <v>3828</v>
      </c>
      <c r="L515" s="315" t="s">
        <v>3222</v>
      </c>
      <c r="M515" s="317" t="s">
        <v>3093</v>
      </c>
      <c r="N515" s="320" t="s">
        <v>4013</v>
      </c>
      <c r="O515" s="317" t="s">
        <v>51</v>
      </c>
      <c r="P515" s="318">
        <v>-500</v>
      </c>
      <c r="Q515" s="318">
        <v>900</v>
      </c>
      <c r="R515" s="317" t="s">
        <v>4021</v>
      </c>
      <c r="S515" s="317"/>
      <c r="T515" s="317"/>
      <c r="U515" s="317" t="s">
        <v>4022</v>
      </c>
      <c r="V515" s="317" t="s">
        <v>4023</v>
      </c>
      <c r="W515" s="317"/>
      <c r="X515" s="317"/>
      <c r="Y515" s="319"/>
    </row>
    <row r="516" spans="1:25" s="91" customFormat="1" hidden="1" x14ac:dyDescent="0.25">
      <c r="A516" s="32" t="s">
        <v>1245</v>
      </c>
      <c r="B516" s="315" t="str">
        <f>IF((COUNTBLANK(G516)=0),Stats!$E$7,IF((COUNTBLANK(E516)=0),IF((COUNTBLANK(F516)=0),IF((COUNTBLANK(U516)=0),Stats!$E$6,Stats!$E$5),Stats!$E$4),""))</f>
        <v>Death</v>
      </c>
      <c r="C516" s="39" t="s">
        <v>284</v>
      </c>
      <c r="D516" s="315"/>
      <c r="E516" s="88">
        <v>43872</v>
      </c>
      <c r="F516" s="316">
        <v>43900</v>
      </c>
      <c r="G516" s="316">
        <v>36893</v>
      </c>
      <c r="H516" s="317" t="s">
        <v>3142</v>
      </c>
      <c r="I516" s="317"/>
      <c r="J516" s="317" t="s">
        <v>152</v>
      </c>
      <c r="K516" s="315" t="s">
        <v>3828</v>
      </c>
      <c r="L516" s="315" t="s">
        <v>3222</v>
      </c>
      <c r="M516" s="317" t="s">
        <v>3093</v>
      </c>
      <c r="N516" s="320" t="s">
        <v>4013</v>
      </c>
      <c r="O516" s="317" t="s">
        <v>51</v>
      </c>
      <c r="P516" s="318">
        <v>-500</v>
      </c>
      <c r="Q516" s="318">
        <v>1000</v>
      </c>
      <c r="R516" s="317" t="s">
        <v>3905</v>
      </c>
      <c r="S516" s="317"/>
      <c r="T516" s="317"/>
      <c r="U516" s="317" t="s">
        <v>4024</v>
      </c>
      <c r="V516" s="317"/>
      <c r="W516" s="317"/>
      <c r="X516" s="317"/>
      <c r="Y516" s="319"/>
    </row>
    <row r="517" spans="1:25" s="91" customFormat="1" hidden="1" x14ac:dyDescent="0.25">
      <c r="A517" s="32" t="s">
        <v>1246</v>
      </c>
      <c r="B517" s="315" t="str">
        <f>IF((COUNTBLANK(G517)=0),Stats!$E$7,IF((COUNTBLANK(E517)=0),IF((COUNTBLANK(F517)=0),IF((COUNTBLANK(U517)=0),Stats!$E$6,Stats!$E$5),Stats!$E$4),""))</f>
        <v>Death</v>
      </c>
      <c r="C517" s="39" t="s">
        <v>284</v>
      </c>
      <c r="D517" s="315"/>
      <c r="E517" s="88">
        <v>43878</v>
      </c>
      <c r="F517" s="316">
        <v>36892</v>
      </c>
      <c r="G517" s="316">
        <v>36893</v>
      </c>
      <c r="H517" s="317" t="s">
        <v>3142</v>
      </c>
      <c r="I517" s="317"/>
      <c r="J517" s="317" t="s">
        <v>3186</v>
      </c>
      <c r="K517" s="315" t="s">
        <v>4025</v>
      </c>
      <c r="L517" s="315"/>
      <c r="M517" s="317"/>
      <c r="N517" s="320" t="s">
        <v>105</v>
      </c>
      <c r="O517" s="317" t="s">
        <v>51</v>
      </c>
      <c r="P517" s="318">
        <v>-500</v>
      </c>
      <c r="Q517" s="318">
        <v>1000</v>
      </c>
      <c r="R517" s="317"/>
      <c r="S517" s="317"/>
      <c r="T517" s="317"/>
      <c r="U517" s="317"/>
      <c r="V517" s="317"/>
      <c r="W517" s="317"/>
      <c r="X517" s="317"/>
      <c r="Y517" s="319"/>
    </row>
    <row r="518" spans="1:25" s="91" customFormat="1" hidden="1" x14ac:dyDescent="0.25">
      <c r="A518" s="32" t="s">
        <v>1247</v>
      </c>
      <c r="B518" s="315" t="str">
        <f>IF((COUNTBLANK(G518)=0),Stats!$E$7,IF((COUNTBLANK(E518)=0),IF((COUNTBLANK(F518)=0),IF((COUNTBLANK(U518)=0),Stats!$E$6,Stats!$E$5),Stats!$E$4),""))</f>
        <v>Death</v>
      </c>
      <c r="C518" s="39" t="s">
        <v>284</v>
      </c>
      <c r="D518" s="315"/>
      <c r="E518" s="88">
        <v>43878</v>
      </c>
      <c r="F518" s="316">
        <v>36892</v>
      </c>
      <c r="G518" s="316">
        <v>36893</v>
      </c>
      <c r="H518" s="317" t="s">
        <v>3142</v>
      </c>
      <c r="I518" s="317"/>
      <c r="J518" s="317" t="s">
        <v>3186</v>
      </c>
      <c r="K518" s="315" t="s">
        <v>4025</v>
      </c>
      <c r="L518" s="315"/>
      <c r="M518" s="317"/>
      <c r="N518" s="320" t="s">
        <v>105</v>
      </c>
      <c r="O518" s="317" t="s">
        <v>51</v>
      </c>
      <c r="P518" s="318">
        <v>-500</v>
      </c>
      <c r="Q518" s="318">
        <v>500</v>
      </c>
      <c r="R518" s="317"/>
      <c r="S518" s="317"/>
      <c r="T518" s="317"/>
      <c r="U518" s="317"/>
      <c r="V518" s="317"/>
      <c r="W518" s="317"/>
      <c r="X518" s="317"/>
      <c r="Y518" s="319"/>
    </row>
    <row r="519" spans="1:25" s="91" customFormat="1" hidden="1" x14ac:dyDescent="0.25">
      <c r="A519" s="32" t="s">
        <v>1248</v>
      </c>
      <c r="B519" s="315" t="str">
        <f>IF((COUNTBLANK(G519)=0),Stats!$E$7,IF((COUNTBLANK(E519)=0),IF((COUNTBLANK(F519)=0),IF((COUNTBLANK(U519)=0),Stats!$E$6,Stats!$E$5),Stats!$E$4),""))</f>
        <v>Death</v>
      </c>
      <c r="C519" s="39" t="s">
        <v>284</v>
      </c>
      <c r="D519" s="315"/>
      <c r="E519" s="88">
        <v>43882</v>
      </c>
      <c r="F519" s="316" t="s">
        <v>4026</v>
      </c>
      <c r="G519" s="316">
        <v>36893</v>
      </c>
      <c r="H519" s="317" t="s">
        <v>3142</v>
      </c>
      <c r="I519" s="317"/>
      <c r="J519" s="317" t="s">
        <v>152</v>
      </c>
      <c r="K519" s="315" t="s">
        <v>3828</v>
      </c>
      <c r="L519" s="315" t="s">
        <v>3222</v>
      </c>
      <c r="M519" s="317" t="s">
        <v>3093</v>
      </c>
      <c r="N519" s="320" t="s">
        <v>4013</v>
      </c>
      <c r="O519" s="317" t="s">
        <v>51</v>
      </c>
      <c r="P519" s="318">
        <v>-500</v>
      </c>
      <c r="Q519" s="318">
        <v>1000</v>
      </c>
      <c r="R519" s="317"/>
      <c r="S519" s="317"/>
      <c r="T519" s="317" t="s">
        <v>3905</v>
      </c>
      <c r="U519" s="317"/>
      <c r="V519" s="317"/>
      <c r="W519" s="317"/>
      <c r="X519" s="317"/>
      <c r="Y519" s="319"/>
    </row>
    <row r="520" spans="1:25" s="91" customFormat="1" hidden="1" x14ac:dyDescent="0.25">
      <c r="A520" s="32" t="s">
        <v>1249</v>
      </c>
      <c r="B520" s="315" t="str">
        <f>IF((COUNTBLANK(G520)=0),Stats!$E$7,IF((COUNTBLANK(E520)=0),IF((COUNTBLANK(F520)=0),IF((COUNTBLANK(U520)=0),Stats!$E$6,Stats!$E$5),Stats!$E$4),""))</f>
        <v>Death</v>
      </c>
      <c r="C520" s="39" t="s">
        <v>284</v>
      </c>
      <c r="D520" s="315"/>
      <c r="E520" s="88">
        <v>43882</v>
      </c>
      <c r="F520" s="316">
        <v>36892</v>
      </c>
      <c r="G520" s="316">
        <v>36893</v>
      </c>
      <c r="H520" s="317" t="s">
        <v>3145</v>
      </c>
      <c r="I520" s="317"/>
      <c r="J520" s="317" t="s">
        <v>152</v>
      </c>
      <c r="K520" s="315" t="s">
        <v>3828</v>
      </c>
      <c r="L520" s="315" t="s">
        <v>3222</v>
      </c>
      <c r="M520" s="317" t="s">
        <v>3093</v>
      </c>
      <c r="N520" s="320" t="s">
        <v>4013</v>
      </c>
      <c r="O520" s="317" t="s">
        <v>51</v>
      </c>
      <c r="P520" s="318">
        <v>-500</v>
      </c>
      <c r="Q520" s="318">
        <v>1000</v>
      </c>
      <c r="R520" s="317"/>
      <c r="S520" s="317"/>
      <c r="T520" s="317"/>
      <c r="U520" s="317"/>
      <c r="V520" s="317"/>
      <c r="W520" s="317"/>
      <c r="X520" s="317" t="s">
        <v>4027</v>
      </c>
      <c r="Y520" s="319"/>
    </row>
    <row r="521" spans="1:25" s="91" customFormat="1" hidden="1" x14ac:dyDescent="0.25">
      <c r="A521" s="32" t="s">
        <v>1250</v>
      </c>
      <c r="B521" s="315" t="str">
        <f>IF((COUNTBLANK(G521)=0),Stats!$E$7,IF((COUNTBLANK(E521)=0),IF((COUNTBLANK(F521)=0),IF((COUNTBLANK(U521)=0),Stats!$E$6,Stats!$E$5),Stats!$E$4),""))</f>
        <v>Death</v>
      </c>
      <c r="C521" s="39" t="s">
        <v>284</v>
      </c>
      <c r="D521" s="315"/>
      <c r="E521" s="88">
        <v>43881</v>
      </c>
      <c r="F521" s="316">
        <v>36892</v>
      </c>
      <c r="G521" s="316">
        <v>36893</v>
      </c>
      <c r="H521" s="317" t="s">
        <v>3145</v>
      </c>
      <c r="I521" s="317"/>
      <c r="J521" s="317" t="s">
        <v>152</v>
      </c>
      <c r="K521" s="315" t="s">
        <v>3222</v>
      </c>
      <c r="L521" s="315"/>
      <c r="M521" s="317"/>
      <c r="N521" s="320"/>
      <c r="O521" s="317" t="s">
        <v>51</v>
      </c>
      <c r="P521" s="318" t="s">
        <v>4028</v>
      </c>
      <c r="Q521" s="318" t="s">
        <v>4029</v>
      </c>
      <c r="R521" s="317"/>
      <c r="S521" s="317"/>
      <c r="T521" s="317"/>
      <c r="U521" s="317"/>
      <c r="V521" s="317"/>
      <c r="W521" s="317"/>
      <c r="X521" s="317" t="s">
        <v>4030</v>
      </c>
      <c r="Y521" s="319"/>
    </row>
    <row r="522" spans="1:25" s="91" customFormat="1" hidden="1" x14ac:dyDescent="0.25">
      <c r="A522" s="32" t="s">
        <v>1251</v>
      </c>
      <c r="B522" s="315" t="str">
        <f>IF((COUNTBLANK(G522)=0),Stats!$E$7,IF((COUNTBLANK(E522)=0),IF((COUNTBLANK(F522)=0),IF((COUNTBLANK(U522)=0),Stats!$E$6,Stats!$E$5),Stats!$E$4),""))</f>
        <v>Death</v>
      </c>
      <c r="C522" s="39" t="s">
        <v>3117</v>
      </c>
      <c r="D522" s="315"/>
      <c r="E522" s="88">
        <v>43888</v>
      </c>
      <c r="F522" s="316" t="s">
        <v>4031</v>
      </c>
      <c r="G522" s="316">
        <v>36893</v>
      </c>
      <c r="H522" s="317" t="s">
        <v>3145</v>
      </c>
      <c r="I522" s="317"/>
      <c r="J522" s="317" t="s">
        <v>152</v>
      </c>
      <c r="K522" s="315" t="s">
        <v>3222</v>
      </c>
      <c r="L522" s="315"/>
      <c r="M522" s="317"/>
      <c r="N522" s="320"/>
      <c r="O522" s="317" t="s">
        <v>51</v>
      </c>
      <c r="P522" s="318" t="s">
        <v>4032</v>
      </c>
      <c r="Q522" s="321" t="s">
        <v>4033</v>
      </c>
      <c r="R522" s="317"/>
      <c r="S522" s="317"/>
      <c r="T522" s="317"/>
      <c r="U522" s="317" t="s">
        <v>4034</v>
      </c>
      <c r="V522" s="317"/>
      <c r="W522" s="317"/>
      <c r="X522" s="317"/>
      <c r="Y522" s="319"/>
    </row>
    <row r="523" spans="1:25" s="91" customFormat="1" hidden="1" x14ac:dyDescent="0.25">
      <c r="A523" s="32" t="s">
        <v>1252</v>
      </c>
      <c r="B523" s="315" t="str">
        <f>IF((COUNTBLANK(G523)=0),Stats!$E$7,IF((COUNTBLANK(E523)=0),IF((COUNTBLANK(F523)=0),IF((COUNTBLANK(U523)=0),Stats!$E$6,Stats!$E$5),Stats!$E$4),""))</f>
        <v>Death</v>
      </c>
      <c r="C523" s="39" t="s">
        <v>3111</v>
      </c>
      <c r="D523" s="315"/>
      <c r="E523" s="88">
        <v>43889</v>
      </c>
      <c r="F523" s="316">
        <v>44005</v>
      </c>
      <c r="G523" s="316">
        <v>36893</v>
      </c>
      <c r="H523" s="317" t="s">
        <v>3145</v>
      </c>
      <c r="I523" s="317"/>
      <c r="J523" s="317" t="s">
        <v>152</v>
      </c>
      <c r="K523" s="315" t="s">
        <v>3222</v>
      </c>
      <c r="L523" s="315"/>
      <c r="M523" s="317"/>
      <c r="N523" s="320"/>
      <c r="O523" s="317" t="s">
        <v>4035</v>
      </c>
      <c r="P523" s="318" t="s">
        <v>4036</v>
      </c>
      <c r="Q523" s="318" t="s">
        <v>4037</v>
      </c>
      <c r="R523" s="317" t="s">
        <v>3111</v>
      </c>
      <c r="S523" s="317"/>
      <c r="T523" s="317"/>
      <c r="U523" s="317"/>
      <c r="V523" s="317"/>
      <c r="W523" s="317"/>
      <c r="X523" s="317" t="s">
        <v>4038</v>
      </c>
      <c r="Y523" s="319"/>
    </row>
    <row r="524" spans="1:25" s="91" customFormat="1" hidden="1" x14ac:dyDescent="0.25">
      <c r="A524" s="32" t="s">
        <v>1253</v>
      </c>
      <c r="B524" s="315" t="str">
        <f>IF((COUNTBLANK(G524)=0),Stats!$E$7,IF((COUNTBLANK(E524)=0),IF((COUNTBLANK(F524)=0),IF((COUNTBLANK(U524)=0),Stats!$E$6,Stats!$E$5),Stats!$E$4),""))</f>
        <v>Death</v>
      </c>
      <c r="C524" s="39" t="s">
        <v>284</v>
      </c>
      <c r="D524" s="315"/>
      <c r="E524" s="88">
        <v>43889</v>
      </c>
      <c r="F524" s="316">
        <v>43935</v>
      </c>
      <c r="G524" s="316">
        <v>36893</v>
      </c>
      <c r="H524" s="317" t="s">
        <v>3128</v>
      </c>
      <c r="I524" s="317"/>
      <c r="J524" s="317" t="s">
        <v>152</v>
      </c>
      <c r="K524" s="315" t="s">
        <v>3661</v>
      </c>
      <c r="L524" s="315" t="s">
        <v>3575</v>
      </c>
      <c r="M524" s="317"/>
      <c r="N524" s="320" t="s">
        <v>4039</v>
      </c>
      <c r="O524" s="317" t="s">
        <v>51</v>
      </c>
      <c r="P524" s="318">
        <v>-550</v>
      </c>
      <c r="Q524" s="318">
        <v>750</v>
      </c>
      <c r="R524" s="317"/>
      <c r="S524" s="317"/>
      <c r="T524" s="317" t="s">
        <v>3983</v>
      </c>
      <c r="U524" s="317" t="s">
        <v>4040</v>
      </c>
      <c r="V524" s="317" t="s">
        <v>4041</v>
      </c>
      <c r="W524" s="317"/>
      <c r="X524" s="317" t="s">
        <v>3971</v>
      </c>
      <c r="Y524" s="319"/>
    </row>
    <row r="525" spans="1:25" s="91" customFormat="1" hidden="1" x14ac:dyDescent="0.25">
      <c r="A525" s="32" t="s">
        <v>1254</v>
      </c>
      <c r="B525" s="315" t="str">
        <f>IF((COUNTBLANK(G525)=0),Stats!$E$7,IF((COUNTBLANK(E525)=0),IF((COUNTBLANK(F525)=0),IF((COUNTBLANK(U525)=0),Stats!$E$6,Stats!$E$5),Stats!$E$4),""))</f>
        <v>Death</v>
      </c>
      <c r="C525" s="39" t="s">
        <v>284</v>
      </c>
      <c r="D525" s="315"/>
      <c r="E525" s="88">
        <v>43889</v>
      </c>
      <c r="F525" s="316">
        <v>43936</v>
      </c>
      <c r="G525" s="316">
        <v>36893</v>
      </c>
      <c r="H525" s="317" t="s">
        <v>3128</v>
      </c>
      <c r="I525" s="317"/>
      <c r="J525" s="317" t="s">
        <v>152</v>
      </c>
      <c r="K525" s="315" t="s">
        <v>3661</v>
      </c>
      <c r="L525" s="315" t="s">
        <v>3575</v>
      </c>
      <c r="M525" s="317"/>
      <c r="N525" s="320" t="s">
        <v>4039</v>
      </c>
      <c r="O525" s="317" t="s">
        <v>51</v>
      </c>
      <c r="P525" s="318">
        <v>-550</v>
      </c>
      <c r="Q525" s="318">
        <v>750</v>
      </c>
      <c r="R525" s="317"/>
      <c r="S525" s="317"/>
      <c r="T525" s="317"/>
      <c r="U525" s="317" t="s">
        <v>4040</v>
      </c>
      <c r="V525" s="317" t="s">
        <v>4042</v>
      </c>
      <c r="W525" s="317"/>
      <c r="X525" s="317" t="s">
        <v>3978</v>
      </c>
      <c r="Y525" s="319"/>
    </row>
    <row r="526" spans="1:25" s="91" customFormat="1" hidden="1" x14ac:dyDescent="0.25">
      <c r="A526" s="32" t="s">
        <v>1255</v>
      </c>
      <c r="B526" s="315" t="str">
        <f>IF((COUNTBLANK(G526)=0),Stats!$E$7,IF((COUNTBLANK(E526)=0),IF((COUNTBLANK(F526)=0),IF((COUNTBLANK(U526)=0),Stats!$E$6,Stats!$E$5),Stats!$E$4),""))</f>
        <v>Death</v>
      </c>
      <c r="C526" s="39" t="s">
        <v>284</v>
      </c>
      <c r="D526" s="315"/>
      <c r="E526" s="88">
        <v>43889</v>
      </c>
      <c r="F526" s="316">
        <v>43936</v>
      </c>
      <c r="G526" s="316">
        <v>36893</v>
      </c>
      <c r="H526" s="317" t="s">
        <v>3128</v>
      </c>
      <c r="I526" s="317"/>
      <c r="J526" s="317" t="s">
        <v>152</v>
      </c>
      <c r="K526" s="315" t="s">
        <v>3661</v>
      </c>
      <c r="L526" s="315" t="s">
        <v>3575</v>
      </c>
      <c r="M526" s="317"/>
      <c r="N526" s="320" t="s">
        <v>4039</v>
      </c>
      <c r="O526" s="317" t="s">
        <v>51</v>
      </c>
      <c r="P526" s="318">
        <v>-550</v>
      </c>
      <c r="Q526" s="318">
        <v>750</v>
      </c>
      <c r="R526" s="317"/>
      <c r="S526" s="317"/>
      <c r="T526" s="317" t="s">
        <v>4043</v>
      </c>
      <c r="U526" s="317"/>
      <c r="V526" s="317" t="s">
        <v>4041</v>
      </c>
      <c r="W526" s="317"/>
      <c r="X526" s="317"/>
      <c r="Y526" s="319"/>
    </row>
    <row r="527" spans="1:25" s="91" customFormat="1" hidden="1" x14ac:dyDescent="0.25">
      <c r="A527" s="32" t="s">
        <v>1256</v>
      </c>
      <c r="B527" s="315" t="str">
        <f>IF((COUNTBLANK(G527)=0),Stats!$E$7,IF((COUNTBLANK(E527)=0),IF((COUNTBLANK(F527)=0),IF((COUNTBLANK(U527)=0),Stats!$E$6,Stats!$E$5),Stats!$E$4),""))</f>
        <v>Death</v>
      </c>
      <c r="C527" s="39" t="s">
        <v>3111</v>
      </c>
      <c r="D527" s="315"/>
      <c r="E527" s="88">
        <v>43896</v>
      </c>
      <c r="F527" s="316">
        <v>44116</v>
      </c>
      <c r="G527" s="316">
        <v>36893</v>
      </c>
      <c r="H527" s="317" t="s">
        <v>3145</v>
      </c>
      <c r="I527" s="317"/>
      <c r="J527" s="317" t="s">
        <v>3186</v>
      </c>
      <c r="K527" s="315" t="s">
        <v>4044</v>
      </c>
      <c r="L527" s="315"/>
      <c r="M527" s="317"/>
      <c r="N527" s="320"/>
      <c r="O527" s="317" t="s">
        <v>4045</v>
      </c>
      <c r="P527" s="318" t="s">
        <v>4046</v>
      </c>
      <c r="Q527" s="318" t="s">
        <v>4047</v>
      </c>
      <c r="R527" s="317" t="s">
        <v>3111</v>
      </c>
      <c r="S527" s="317"/>
      <c r="T527" s="317"/>
      <c r="U527" s="317"/>
      <c r="V527" s="317"/>
      <c r="W527" s="317"/>
      <c r="X527" s="317"/>
      <c r="Y527" s="319"/>
    </row>
    <row r="528" spans="1:25" s="91" customFormat="1" hidden="1" x14ac:dyDescent="0.25">
      <c r="A528" s="32" t="s">
        <v>1257</v>
      </c>
      <c r="B528" s="315" t="str">
        <f>IF((COUNTBLANK(G528)=0),Stats!$E$7,IF((COUNTBLANK(E528)=0),IF((COUNTBLANK(F528)=0),IF((COUNTBLANK(U528)=0),Stats!$E$6,Stats!$E$5),Stats!$E$4),""))</f>
        <v>Death</v>
      </c>
      <c r="C528" s="39" t="s">
        <v>284</v>
      </c>
      <c r="D528" s="315"/>
      <c r="E528" s="88">
        <v>43902</v>
      </c>
      <c r="F528" s="316">
        <v>43941</v>
      </c>
      <c r="G528" s="316">
        <v>36893</v>
      </c>
      <c r="H528" s="317" t="s">
        <v>3145</v>
      </c>
      <c r="I528" s="317"/>
      <c r="J528" s="317" t="s">
        <v>3186</v>
      </c>
      <c r="K528" s="315" t="s">
        <v>3817</v>
      </c>
      <c r="L528" s="315" t="s">
        <v>4048</v>
      </c>
      <c r="M528" s="317" t="s">
        <v>3223</v>
      </c>
      <c r="N528" s="320"/>
      <c r="O528" s="317" t="s">
        <v>51</v>
      </c>
      <c r="P528" s="318" t="s">
        <v>4049</v>
      </c>
      <c r="Q528" s="318" t="s">
        <v>4050</v>
      </c>
      <c r="R528" s="317" t="s">
        <v>4051</v>
      </c>
      <c r="S528" s="317"/>
      <c r="T528" s="317" t="s">
        <v>4052</v>
      </c>
      <c r="U528" s="317"/>
      <c r="V528" s="317"/>
      <c r="W528" s="317"/>
      <c r="X528" s="317"/>
      <c r="Y528" s="319"/>
    </row>
    <row r="529" spans="1:25" s="91" customFormat="1" hidden="1" x14ac:dyDescent="0.25">
      <c r="A529" s="32" t="s">
        <v>1258</v>
      </c>
      <c r="B529" s="315" t="str">
        <f>IF((COUNTBLANK(G529)=0),Stats!$E$7,IF((COUNTBLANK(E529)=0),IF((COUNTBLANK(F529)=0),IF((COUNTBLANK(U529)=0),Stats!$E$6,Stats!$E$5),Stats!$E$4),""))</f>
        <v>Death</v>
      </c>
      <c r="C529" s="39" t="s">
        <v>284</v>
      </c>
      <c r="D529" s="315"/>
      <c r="E529" s="88">
        <v>43903</v>
      </c>
      <c r="F529" s="316">
        <v>43942</v>
      </c>
      <c r="G529" s="316">
        <v>36893</v>
      </c>
      <c r="H529" s="317" t="s">
        <v>3145</v>
      </c>
      <c r="I529" s="317"/>
      <c r="J529" s="317" t="s">
        <v>3186</v>
      </c>
      <c r="K529" s="315" t="s">
        <v>3817</v>
      </c>
      <c r="L529" s="315" t="s">
        <v>4048</v>
      </c>
      <c r="M529" s="317" t="s">
        <v>3223</v>
      </c>
      <c r="N529" s="320"/>
      <c r="O529" s="317" t="s">
        <v>51</v>
      </c>
      <c r="P529" s="318" t="s">
        <v>4049</v>
      </c>
      <c r="Q529" s="318" t="s">
        <v>4050</v>
      </c>
      <c r="R529" s="317" t="s">
        <v>4051</v>
      </c>
      <c r="S529" s="317"/>
      <c r="T529" s="317" t="s">
        <v>4052</v>
      </c>
      <c r="U529" s="317" t="s">
        <v>4053</v>
      </c>
      <c r="V529" s="317"/>
      <c r="W529" s="317"/>
      <c r="X529" s="317"/>
      <c r="Y529" s="319"/>
    </row>
    <row r="530" spans="1:25" s="91" customFormat="1" hidden="1" x14ac:dyDescent="0.25">
      <c r="A530" s="32" t="s">
        <v>1259</v>
      </c>
      <c r="B530" s="315" t="str">
        <f>IF((COUNTBLANK(G530)=0),Stats!$E$7,IF((COUNTBLANK(E530)=0),IF((COUNTBLANK(F530)=0),IF((COUNTBLANK(U530)=0),Stats!$E$6,Stats!$E$5),Stats!$E$4),""))</f>
        <v>Death</v>
      </c>
      <c r="C530" s="39" t="s">
        <v>284</v>
      </c>
      <c r="D530" s="315"/>
      <c r="E530" s="88">
        <v>43909</v>
      </c>
      <c r="F530" s="316">
        <v>43970</v>
      </c>
      <c r="G530" s="316">
        <v>36893</v>
      </c>
      <c r="H530" s="317" t="s">
        <v>3145</v>
      </c>
      <c r="I530" s="317"/>
      <c r="J530" s="317" t="s">
        <v>3186</v>
      </c>
      <c r="K530" s="315" t="s">
        <v>3817</v>
      </c>
      <c r="L530" s="315" t="s">
        <v>4048</v>
      </c>
      <c r="M530" s="317" t="s">
        <v>3223</v>
      </c>
      <c r="N530" s="320"/>
      <c r="O530" s="317" t="s">
        <v>51</v>
      </c>
      <c r="P530" s="318" t="s">
        <v>4049</v>
      </c>
      <c r="Q530" s="318" t="s">
        <v>4050</v>
      </c>
      <c r="R530" s="317" t="s">
        <v>4051</v>
      </c>
      <c r="S530" s="317"/>
      <c r="T530" s="317"/>
      <c r="U530" s="317" t="s">
        <v>4054</v>
      </c>
      <c r="V530" s="317"/>
      <c r="W530" s="317"/>
      <c r="X530" s="317"/>
      <c r="Y530" s="319"/>
    </row>
    <row r="531" spans="1:25" s="91" customFormat="1" hidden="1" x14ac:dyDescent="0.25">
      <c r="A531" s="32" t="s">
        <v>1260</v>
      </c>
      <c r="B531" s="315" t="str">
        <f>IF((COUNTBLANK(G531)=0),Stats!$E$7,IF((COUNTBLANK(E531)=0),IF((COUNTBLANK(F531)=0),IF((COUNTBLANK(U531)=0),Stats!$E$6,Stats!$E$5),Stats!$E$4),""))</f>
        <v>Death</v>
      </c>
      <c r="C531" s="39" t="s">
        <v>284</v>
      </c>
      <c r="D531" s="315"/>
      <c r="E531" s="88">
        <v>43913</v>
      </c>
      <c r="F531" s="316">
        <v>43941</v>
      </c>
      <c r="G531" s="316">
        <v>36893</v>
      </c>
      <c r="H531" s="317" t="s">
        <v>3142</v>
      </c>
      <c r="I531" s="317"/>
      <c r="J531" s="317" t="s">
        <v>152</v>
      </c>
      <c r="K531" s="315" t="s">
        <v>3880</v>
      </c>
      <c r="L531" s="315" t="s">
        <v>3222</v>
      </c>
      <c r="M531" s="317"/>
      <c r="N531" s="320" t="s">
        <v>4055</v>
      </c>
      <c r="O531" s="317" t="s">
        <v>51</v>
      </c>
      <c r="P531" s="318">
        <v>-500</v>
      </c>
      <c r="Q531" s="318">
        <v>1000</v>
      </c>
      <c r="R531" s="317"/>
      <c r="S531" s="317"/>
      <c r="T531" s="317" t="s">
        <v>4043</v>
      </c>
      <c r="U531" s="317" t="s">
        <v>4056</v>
      </c>
      <c r="V531" s="317"/>
      <c r="W531" s="317"/>
      <c r="X531" s="317"/>
      <c r="Y531" s="319"/>
    </row>
    <row r="532" spans="1:25" s="91" customFormat="1" hidden="1" x14ac:dyDescent="0.25">
      <c r="A532" s="32" t="s">
        <v>1261</v>
      </c>
      <c r="B532" s="315" t="str">
        <f>IF((COUNTBLANK(G532)=0),Stats!$E$7,IF((COUNTBLANK(E532)=0),IF((COUNTBLANK(F532)=0),IF((COUNTBLANK(U532)=0),Stats!$E$6,Stats!$E$5),Stats!$E$4),""))</f>
        <v>Death</v>
      </c>
      <c r="C532" s="39" t="s">
        <v>284</v>
      </c>
      <c r="D532" s="315"/>
      <c r="E532" s="88">
        <v>43913</v>
      </c>
      <c r="F532" s="316">
        <v>43941</v>
      </c>
      <c r="G532" s="316">
        <v>36893</v>
      </c>
      <c r="H532" s="317" t="s">
        <v>3142</v>
      </c>
      <c r="I532" s="317"/>
      <c r="J532" s="317" t="s">
        <v>152</v>
      </c>
      <c r="K532" s="315" t="s">
        <v>3880</v>
      </c>
      <c r="L532" s="315" t="s">
        <v>3222</v>
      </c>
      <c r="M532" s="317"/>
      <c r="N532" s="320" t="s">
        <v>4055</v>
      </c>
      <c r="O532" s="317" t="s">
        <v>51</v>
      </c>
      <c r="P532" s="318" t="s">
        <v>3965</v>
      </c>
      <c r="Q532" s="318" t="s">
        <v>4057</v>
      </c>
      <c r="R532" s="317"/>
      <c r="S532" s="317"/>
      <c r="T532" s="317" t="s">
        <v>4043</v>
      </c>
      <c r="U532" s="317" t="s">
        <v>4056</v>
      </c>
      <c r="V532" s="317"/>
      <c r="W532" s="317"/>
      <c r="X532" s="317"/>
      <c r="Y532" s="319"/>
    </row>
    <row r="533" spans="1:25" s="91" customFormat="1" hidden="1" x14ac:dyDescent="0.25">
      <c r="A533" s="32" t="s">
        <v>1262</v>
      </c>
      <c r="B533" s="315" t="str">
        <f>IF((COUNTBLANK(G533)=0),Stats!$E$7,IF((COUNTBLANK(E533)=0),IF((COUNTBLANK(F533)=0),IF((COUNTBLANK(U533)=0),Stats!$E$6,Stats!$E$5),Stats!$E$4),""))</f>
        <v>Death</v>
      </c>
      <c r="C533" s="39" t="s">
        <v>284</v>
      </c>
      <c r="D533" s="315"/>
      <c r="E533" s="88">
        <v>43913</v>
      </c>
      <c r="F533" s="316">
        <v>43942</v>
      </c>
      <c r="G533" s="316">
        <v>36893</v>
      </c>
      <c r="H533" s="317" t="s">
        <v>3142</v>
      </c>
      <c r="I533" s="317"/>
      <c r="J533" s="317" t="s">
        <v>152</v>
      </c>
      <c r="K533" s="315" t="s">
        <v>3880</v>
      </c>
      <c r="L533" s="315" t="s">
        <v>3222</v>
      </c>
      <c r="M533" s="317"/>
      <c r="N533" s="320" t="s">
        <v>4055</v>
      </c>
      <c r="O533" s="317" t="s">
        <v>51</v>
      </c>
      <c r="P533" s="318" t="s">
        <v>3965</v>
      </c>
      <c r="Q533" s="318" t="s">
        <v>3886</v>
      </c>
      <c r="R533" s="317"/>
      <c r="S533" s="317"/>
      <c r="T533" s="317" t="s">
        <v>4058</v>
      </c>
      <c r="U533" s="317" t="s">
        <v>4059</v>
      </c>
      <c r="V533" s="317"/>
      <c r="W533" s="317"/>
      <c r="X533" s="317"/>
      <c r="Y533" s="319"/>
    </row>
    <row r="534" spans="1:25" s="91" customFormat="1" hidden="1" x14ac:dyDescent="0.25">
      <c r="A534" s="32" t="s">
        <v>1263</v>
      </c>
      <c r="B534" s="315" t="str">
        <f>IF((COUNTBLANK(G534)=0),Stats!$E$7,IF((COUNTBLANK(E534)=0),IF((COUNTBLANK(F534)=0),IF((COUNTBLANK(U534)=0),Stats!$E$6,Stats!$E$5),Stats!$E$4),""))</f>
        <v>Death</v>
      </c>
      <c r="C534" s="39" t="s">
        <v>284</v>
      </c>
      <c r="D534" s="315"/>
      <c r="E534" s="88">
        <v>43913</v>
      </c>
      <c r="F534" s="316">
        <v>43942</v>
      </c>
      <c r="G534" s="316">
        <v>36893</v>
      </c>
      <c r="H534" s="317" t="s">
        <v>3142</v>
      </c>
      <c r="I534" s="317"/>
      <c r="J534" s="317" t="s">
        <v>152</v>
      </c>
      <c r="K534" s="315" t="s">
        <v>3880</v>
      </c>
      <c r="L534" s="315" t="s">
        <v>3222</v>
      </c>
      <c r="M534" s="317"/>
      <c r="N534" s="320" t="s">
        <v>4055</v>
      </c>
      <c r="O534" s="317" t="s">
        <v>51</v>
      </c>
      <c r="P534" s="318" t="s">
        <v>3965</v>
      </c>
      <c r="Q534" s="318" t="s">
        <v>3886</v>
      </c>
      <c r="R534" s="317" t="s">
        <v>4060</v>
      </c>
      <c r="S534" s="317"/>
      <c r="T534" s="317" t="s">
        <v>4058</v>
      </c>
      <c r="U534" s="317" t="s">
        <v>4061</v>
      </c>
      <c r="V534" s="317" t="s">
        <v>4062</v>
      </c>
      <c r="W534" s="317"/>
      <c r="X534" s="317"/>
      <c r="Y534" s="319"/>
    </row>
    <row r="535" spans="1:25" s="91" customFormat="1" hidden="1" x14ac:dyDescent="0.25">
      <c r="A535" s="32" t="s">
        <v>1264</v>
      </c>
      <c r="B535" s="315" t="str">
        <f>IF((COUNTBLANK(G535)=0),Stats!$E$7,IF((COUNTBLANK(E535)=0),IF((COUNTBLANK(F535)=0),IF((COUNTBLANK(U535)=0),Stats!$E$6,Stats!$E$5),Stats!$E$4),""))</f>
        <v>Death</v>
      </c>
      <c r="C535" s="39" t="s">
        <v>284</v>
      </c>
      <c r="D535" s="315"/>
      <c r="E535" s="88">
        <v>43914</v>
      </c>
      <c r="F535" s="316">
        <v>36892</v>
      </c>
      <c r="G535" s="316">
        <v>36893</v>
      </c>
      <c r="H535" s="317" t="s">
        <v>3142</v>
      </c>
      <c r="I535" s="317"/>
      <c r="J535" s="317" t="s">
        <v>3186</v>
      </c>
      <c r="K535" s="315" t="s">
        <v>3880</v>
      </c>
      <c r="L535" s="315" t="s">
        <v>3222</v>
      </c>
      <c r="M535" s="317"/>
      <c r="N535" s="320" t="s">
        <v>4055</v>
      </c>
      <c r="O535" s="317" t="s">
        <v>51</v>
      </c>
      <c r="P535" s="318" t="s">
        <v>3965</v>
      </c>
      <c r="Q535" s="318" t="s">
        <v>4057</v>
      </c>
      <c r="R535" s="317"/>
      <c r="S535" s="317"/>
      <c r="T535" s="317"/>
      <c r="U535" s="317"/>
      <c r="V535" s="317"/>
      <c r="W535" s="317"/>
      <c r="X535" s="317"/>
      <c r="Y535" s="319"/>
    </row>
    <row r="536" spans="1:25" s="91" customFormat="1" hidden="1" x14ac:dyDescent="0.25">
      <c r="A536" s="32" t="s">
        <v>1265</v>
      </c>
      <c r="B536" s="315" t="str">
        <f>IF((COUNTBLANK(G536)=0),Stats!$E$7,IF((COUNTBLANK(E536)=0),IF((COUNTBLANK(F536)=0),IF((COUNTBLANK(U536)=0),Stats!$E$6,Stats!$E$5),Stats!$E$4),""))</f>
        <v>Death</v>
      </c>
      <c r="C536" s="39" t="s">
        <v>284</v>
      </c>
      <c r="D536" s="315"/>
      <c r="E536" s="88">
        <v>43914</v>
      </c>
      <c r="F536" s="316">
        <v>43943</v>
      </c>
      <c r="G536" s="316">
        <v>36893</v>
      </c>
      <c r="H536" s="317" t="s">
        <v>3142</v>
      </c>
      <c r="I536" s="317"/>
      <c r="J536" s="317" t="s">
        <v>3186</v>
      </c>
      <c r="K536" s="315" t="s">
        <v>3880</v>
      </c>
      <c r="L536" s="315" t="s">
        <v>3222</v>
      </c>
      <c r="M536" s="317" t="s">
        <v>3223</v>
      </c>
      <c r="N536" s="320" t="s">
        <v>4063</v>
      </c>
      <c r="O536" s="317" t="s">
        <v>51</v>
      </c>
      <c r="P536" s="318" t="s">
        <v>3965</v>
      </c>
      <c r="Q536" s="318" t="s">
        <v>4057</v>
      </c>
      <c r="R536" s="317"/>
      <c r="S536" s="317"/>
      <c r="T536" s="317" t="s">
        <v>4064</v>
      </c>
      <c r="U536" s="317" t="s">
        <v>4065</v>
      </c>
      <c r="V536" s="317"/>
      <c r="W536" s="317"/>
      <c r="X536" s="317"/>
      <c r="Y536" s="319"/>
    </row>
    <row r="537" spans="1:25" s="91" customFormat="1" hidden="1" x14ac:dyDescent="0.25">
      <c r="A537" s="32" t="s">
        <v>1266</v>
      </c>
      <c r="B537" s="315" t="str">
        <f>IF((COUNTBLANK(G537)=0),Stats!$E$7,IF((COUNTBLANK(E537)=0),IF((COUNTBLANK(F537)=0),IF((COUNTBLANK(U537)=0),Stats!$E$6,Stats!$E$5),Stats!$E$4),""))</f>
        <v>Death</v>
      </c>
      <c r="C537" s="39" t="s">
        <v>284</v>
      </c>
      <c r="D537" s="315"/>
      <c r="E537" s="88">
        <v>43914</v>
      </c>
      <c r="F537" s="316">
        <v>43943</v>
      </c>
      <c r="G537" s="316">
        <v>36893</v>
      </c>
      <c r="H537" s="317" t="s">
        <v>3142</v>
      </c>
      <c r="I537" s="317"/>
      <c r="J537" s="317" t="s">
        <v>3186</v>
      </c>
      <c r="K537" s="315" t="s">
        <v>3880</v>
      </c>
      <c r="L537" s="315" t="s">
        <v>3222</v>
      </c>
      <c r="M537" s="317" t="s">
        <v>3223</v>
      </c>
      <c r="N537" s="320" t="s">
        <v>4063</v>
      </c>
      <c r="O537" s="317" t="s">
        <v>51</v>
      </c>
      <c r="P537" s="318" t="s">
        <v>3965</v>
      </c>
      <c r="Q537" s="318" t="s">
        <v>3886</v>
      </c>
      <c r="R537" s="317"/>
      <c r="S537" s="317"/>
      <c r="T537" s="317"/>
      <c r="U537" s="317" t="s">
        <v>4065</v>
      </c>
      <c r="V537" s="317"/>
      <c r="W537" s="317"/>
      <c r="X537" s="317" t="s">
        <v>3971</v>
      </c>
      <c r="Y537" s="319"/>
    </row>
    <row r="538" spans="1:25" s="91" customFormat="1" hidden="1" x14ac:dyDescent="0.25">
      <c r="A538" s="32" t="s">
        <v>1267</v>
      </c>
      <c r="B538" s="315" t="str">
        <f>IF((COUNTBLANK(G538)=0),Stats!$E$7,IF((COUNTBLANK(E538)=0),IF((COUNTBLANK(F538)=0),IF((COUNTBLANK(U538)=0),Stats!$E$6,Stats!$E$5),Stats!$E$4),""))</f>
        <v>Death</v>
      </c>
      <c r="C538" s="39" t="s">
        <v>284</v>
      </c>
      <c r="D538" s="315"/>
      <c r="E538" s="88">
        <v>43914</v>
      </c>
      <c r="F538" s="316">
        <v>43943</v>
      </c>
      <c r="G538" s="316">
        <v>36893</v>
      </c>
      <c r="H538" s="317" t="s">
        <v>3142</v>
      </c>
      <c r="I538" s="317"/>
      <c r="J538" s="317" t="s">
        <v>3186</v>
      </c>
      <c r="K538" s="315" t="s">
        <v>3880</v>
      </c>
      <c r="L538" s="315" t="s">
        <v>3222</v>
      </c>
      <c r="M538" s="317" t="s">
        <v>3223</v>
      </c>
      <c r="N538" s="320" t="s">
        <v>4063</v>
      </c>
      <c r="O538" s="317" t="s">
        <v>51</v>
      </c>
      <c r="P538" s="318" t="s">
        <v>3965</v>
      </c>
      <c r="Q538" s="318" t="s">
        <v>3886</v>
      </c>
      <c r="R538" s="317"/>
      <c r="S538" s="317"/>
      <c r="T538" s="317" t="s">
        <v>4066</v>
      </c>
      <c r="U538" s="317" t="s">
        <v>4065</v>
      </c>
      <c r="V538" s="317"/>
      <c r="W538" s="317"/>
      <c r="X538" s="317"/>
      <c r="Y538" s="319"/>
    </row>
    <row r="539" spans="1:25" s="91" customFormat="1" hidden="1" x14ac:dyDescent="0.25">
      <c r="A539" s="32" t="s">
        <v>1268</v>
      </c>
      <c r="B539" s="315" t="str">
        <f>IF((COUNTBLANK(G539)=0),Stats!$E$7,IF((COUNTBLANK(E539)=0),IF((COUNTBLANK(F539)=0),IF((COUNTBLANK(U539)=0),Stats!$E$6,Stats!$E$5),Stats!$E$4),""))</f>
        <v>Death</v>
      </c>
      <c r="C539" s="39" t="s">
        <v>284</v>
      </c>
      <c r="D539" s="315"/>
      <c r="E539" s="88">
        <v>43915</v>
      </c>
      <c r="F539" s="316">
        <v>43956</v>
      </c>
      <c r="G539" s="316">
        <v>36893</v>
      </c>
      <c r="H539" s="317" t="s">
        <v>3145</v>
      </c>
      <c r="I539" s="317"/>
      <c r="J539" s="317" t="s">
        <v>152</v>
      </c>
      <c r="K539" s="315" t="s">
        <v>3880</v>
      </c>
      <c r="L539" s="315"/>
      <c r="M539" s="317"/>
      <c r="N539" s="320"/>
      <c r="O539" s="317" t="s">
        <v>51</v>
      </c>
      <c r="P539" s="318" t="s">
        <v>3965</v>
      </c>
      <c r="Q539" s="318" t="s">
        <v>233</v>
      </c>
      <c r="R539" s="317" t="s">
        <v>4067</v>
      </c>
      <c r="S539" s="317"/>
      <c r="T539" s="317" t="s">
        <v>4043</v>
      </c>
      <c r="U539" s="317" t="s">
        <v>4068</v>
      </c>
      <c r="V539" s="317"/>
      <c r="W539" s="317"/>
      <c r="X539" s="317"/>
      <c r="Y539" s="319"/>
    </row>
    <row r="540" spans="1:25" s="91" customFormat="1" hidden="1" x14ac:dyDescent="0.25">
      <c r="A540" s="32" t="s">
        <v>1269</v>
      </c>
      <c r="B540" s="315" t="str">
        <f>IF((COUNTBLANK(G540)=0),Stats!$E$7,IF((COUNTBLANK(E540)=0),IF((COUNTBLANK(F540)=0),IF((COUNTBLANK(U540)=0),Stats!$E$6,Stats!$E$5),Stats!$E$4),""))</f>
        <v>Death</v>
      </c>
      <c r="C540" s="39" t="s">
        <v>284</v>
      </c>
      <c r="D540" s="315"/>
      <c r="E540" s="88">
        <v>43915</v>
      </c>
      <c r="F540" s="316">
        <v>43957</v>
      </c>
      <c r="G540" s="316">
        <v>36893</v>
      </c>
      <c r="H540" s="317" t="s">
        <v>3145</v>
      </c>
      <c r="I540" s="317"/>
      <c r="J540" s="317" t="s">
        <v>152</v>
      </c>
      <c r="K540" s="315" t="s">
        <v>3880</v>
      </c>
      <c r="L540" s="315"/>
      <c r="M540" s="317"/>
      <c r="N540" s="320" t="s">
        <v>3749</v>
      </c>
      <c r="O540" s="317" t="s">
        <v>51</v>
      </c>
      <c r="P540" s="318" t="s">
        <v>3965</v>
      </c>
      <c r="Q540" s="318" t="s">
        <v>4069</v>
      </c>
      <c r="R540" s="317"/>
      <c r="S540" s="317"/>
      <c r="T540" s="317" t="s">
        <v>4052</v>
      </c>
      <c r="U540" s="317" t="s">
        <v>4068</v>
      </c>
      <c r="V540" s="317"/>
      <c r="W540" s="317"/>
      <c r="X540" s="317"/>
      <c r="Y540" s="319"/>
    </row>
    <row r="541" spans="1:25" s="91" customFormat="1" hidden="1" x14ac:dyDescent="0.25">
      <c r="A541" s="32" t="s">
        <v>1270</v>
      </c>
      <c r="B541" s="315" t="str">
        <f>IF((COUNTBLANK(G541)=0),Stats!$E$7,IF((COUNTBLANK(E541)=0),IF((COUNTBLANK(F541)=0),IF((COUNTBLANK(U541)=0),Stats!$E$6,Stats!$E$5),Stats!$E$4),""))</f>
        <v>Death</v>
      </c>
      <c r="C541" s="39" t="s">
        <v>284</v>
      </c>
      <c r="D541" s="315"/>
      <c r="E541" s="88">
        <v>43915</v>
      </c>
      <c r="F541" s="316">
        <v>43957</v>
      </c>
      <c r="G541" s="316">
        <v>36893</v>
      </c>
      <c r="H541" s="317" t="s">
        <v>3145</v>
      </c>
      <c r="I541" s="317"/>
      <c r="J541" s="317" t="s">
        <v>152</v>
      </c>
      <c r="K541" s="315" t="s">
        <v>3880</v>
      </c>
      <c r="L541" s="315"/>
      <c r="M541" s="317"/>
      <c r="N541" s="320" t="s">
        <v>3749</v>
      </c>
      <c r="O541" s="317" t="s">
        <v>51</v>
      </c>
      <c r="P541" s="318" t="s">
        <v>3965</v>
      </c>
      <c r="Q541" s="318" t="s">
        <v>4069</v>
      </c>
      <c r="R541" s="317"/>
      <c r="S541" s="317"/>
      <c r="T541" s="317" t="s">
        <v>4058</v>
      </c>
      <c r="U541" s="317"/>
      <c r="V541" s="317"/>
      <c r="W541" s="317"/>
      <c r="X541" s="317"/>
      <c r="Y541" s="319"/>
    </row>
    <row r="542" spans="1:25" s="91" customFormat="1" hidden="1" x14ac:dyDescent="0.25">
      <c r="A542" s="32" t="s">
        <v>1271</v>
      </c>
      <c r="B542" s="315" t="str">
        <f>IF((COUNTBLANK(G542)=0),Stats!$E$7,IF((COUNTBLANK(E542)=0),IF((COUNTBLANK(F542)=0),IF((COUNTBLANK(U542)=0),Stats!$E$6,Stats!$E$5),Stats!$E$4),""))</f>
        <v>Death</v>
      </c>
      <c r="C542" s="39" t="s">
        <v>284</v>
      </c>
      <c r="D542" s="315"/>
      <c r="E542" s="88">
        <v>43915</v>
      </c>
      <c r="F542" s="316">
        <v>43956</v>
      </c>
      <c r="G542" s="316">
        <v>36893</v>
      </c>
      <c r="H542" s="317" t="s">
        <v>3145</v>
      </c>
      <c r="I542" s="317"/>
      <c r="J542" s="317" t="s">
        <v>152</v>
      </c>
      <c r="K542" s="315" t="s">
        <v>3880</v>
      </c>
      <c r="L542" s="315"/>
      <c r="M542" s="317"/>
      <c r="N542" s="320" t="s">
        <v>105</v>
      </c>
      <c r="O542" s="317" t="s">
        <v>51</v>
      </c>
      <c r="P542" s="318" t="s">
        <v>3965</v>
      </c>
      <c r="Q542" s="318" t="s">
        <v>4069</v>
      </c>
      <c r="R542" s="317" t="s">
        <v>4070</v>
      </c>
      <c r="S542" s="317"/>
      <c r="T542" s="317" t="s">
        <v>4064</v>
      </c>
      <c r="U542" s="317"/>
      <c r="V542" s="317"/>
      <c r="W542" s="317"/>
      <c r="X542" s="317" t="s">
        <v>4071</v>
      </c>
      <c r="Y542" s="319"/>
    </row>
    <row r="543" spans="1:25" s="91" customFormat="1" hidden="1" x14ac:dyDescent="0.25">
      <c r="A543" s="32" t="s">
        <v>1272</v>
      </c>
      <c r="B543" s="315" t="str">
        <f>IF((COUNTBLANK(G543)=0),Stats!$E$7,IF((COUNTBLANK(E543)=0),IF((COUNTBLANK(F543)=0),IF((COUNTBLANK(U543)=0),Stats!$E$6,Stats!$E$5),Stats!$E$4),""))</f>
        <v>Death</v>
      </c>
      <c r="C543" s="39" t="s">
        <v>284</v>
      </c>
      <c r="D543" s="315"/>
      <c r="E543" s="88">
        <v>43916</v>
      </c>
      <c r="F543" s="316" t="s">
        <v>4072</v>
      </c>
      <c r="G543" s="316">
        <v>36893</v>
      </c>
      <c r="H543" s="317" t="s">
        <v>3145</v>
      </c>
      <c r="I543" s="317"/>
      <c r="J543" s="317" t="s">
        <v>152</v>
      </c>
      <c r="K543" s="315" t="s">
        <v>3880</v>
      </c>
      <c r="L543" s="315"/>
      <c r="M543" s="317"/>
      <c r="N543" s="320" t="s">
        <v>105</v>
      </c>
      <c r="O543" s="317" t="s">
        <v>51</v>
      </c>
      <c r="P543" s="318" t="s">
        <v>3965</v>
      </c>
      <c r="Q543" s="318" t="s">
        <v>4069</v>
      </c>
      <c r="R543" s="317"/>
      <c r="S543" s="317"/>
      <c r="T543" s="317" t="s">
        <v>4052</v>
      </c>
      <c r="U543" s="317"/>
      <c r="V543" s="317"/>
      <c r="W543" s="317"/>
      <c r="X543" s="317" t="s">
        <v>4073</v>
      </c>
      <c r="Y543" s="319"/>
    </row>
    <row r="544" spans="1:25" s="91" customFormat="1" hidden="1" x14ac:dyDescent="0.25">
      <c r="A544" s="32" t="s">
        <v>1273</v>
      </c>
      <c r="B544" s="315" t="str">
        <f>IF((COUNTBLANK(G544)=0),Stats!$E$7,IF((COUNTBLANK(E544)=0),IF((COUNTBLANK(F544)=0),IF((COUNTBLANK(U544)=0),Stats!$E$6,Stats!$E$5),Stats!$E$4),""))</f>
        <v>Death</v>
      </c>
      <c r="C544" s="39" t="s">
        <v>284</v>
      </c>
      <c r="D544" s="315"/>
      <c r="E544" s="88">
        <v>43917</v>
      </c>
      <c r="F544" s="316">
        <v>36892</v>
      </c>
      <c r="G544" s="316">
        <v>36893</v>
      </c>
      <c r="H544" s="317" t="s">
        <v>3152</v>
      </c>
      <c r="I544" s="317"/>
      <c r="J544" s="317" t="s">
        <v>3102</v>
      </c>
      <c r="K544" s="315" t="s">
        <v>3880</v>
      </c>
      <c r="L544" s="315"/>
      <c r="M544" s="317"/>
      <c r="N544" s="320" t="s">
        <v>105</v>
      </c>
      <c r="O544" s="317" t="s">
        <v>478</v>
      </c>
      <c r="P544" s="318" t="s">
        <v>4074</v>
      </c>
      <c r="Q544" s="318" t="s">
        <v>4075</v>
      </c>
      <c r="R544" s="317" t="s">
        <v>4076</v>
      </c>
      <c r="S544" s="317"/>
      <c r="T544" s="317" t="s">
        <v>4077</v>
      </c>
      <c r="U544" s="317"/>
      <c r="V544" s="317"/>
      <c r="W544" s="317"/>
      <c r="X544" s="317"/>
      <c r="Y544" s="319"/>
    </row>
    <row r="545" spans="1:25" s="91" customFormat="1" hidden="1" x14ac:dyDescent="0.25">
      <c r="A545" s="32" t="s">
        <v>1274</v>
      </c>
      <c r="B545" s="315" t="str">
        <f>IF((COUNTBLANK(G545)=0),Stats!$E$7,IF((COUNTBLANK(E545)=0),IF((COUNTBLANK(F545)=0),IF((COUNTBLANK(U545)=0),Stats!$E$6,Stats!$E$5),Stats!$E$4),""))</f>
        <v>Death</v>
      </c>
      <c r="C545" s="39" t="s">
        <v>284</v>
      </c>
      <c r="D545" s="315"/>
      <c r="E545" s="88">
        <v>43922</v>
      </c>
      <c r="F545" s="316" t="s">
        <v>3999</v>
      </c>
      <c r="G545" s="316">
        <v>36893</v>
      </c>
      <c r="H545" s="317" t="s">
        <v>3128</v>
      </c>
      <c r="I545" s="317"/>
      <c r="J545" s="317" t="s">
        <v>152</v>
      </c>
      <c r="K545" s="315" t="s">
        <v>4025</v>
      </c>
      <c r="L545" s="315"/>
      <c r="M545" s="317"/>
      <c r="N545" s="320"/>
      <c r="O545" s="317" t="s">
        <v>51</v>
      </c>
      <c r="P545" s="318" t="s">
        <v>4078</v>
      </c>
      <c r="Q545" s="318" t="s">
        <v>4079</v>
      </c>
      <c r="R545" s="317"/>
      <c r="S545" s="317"/>
      <c r="T545" s="317"/>
      <c r="U545" s="317"/>
      <c r="V545" s="317"/>
      <c r="W545" s="317"/>
      <c r="X545" s="317"/>
      <c r="Y545" s="319"/>
    </row>
    <row r="546" spans="1:25" s="91" customFormat="1" hidden="1" x14ac:dyDescent="0.25">
      <c r="A546" s="32" t="s">
        <v>1275</v>
      </c>
      <c r="B546" s="315" t="str">
        <f>IF((COUNTBLANK(G546)=0),Stats!$E$7,IF((COUNTBLANK(E546)=0),IF((COUNTBLANK(F546)=0),IF((COUNTBLANK(U546)=0),Stats!$E$6,Stats!$E$5),Stats!$E$4),""))</f>
        <v>Death</v>
      </c>
      <c r="C546" s="39" t="s">
        <v>284</v>
      </c>
      <c r="D546" s="315"/>
      <c r="E546" s="88">
        <v>43922</v>
      </c>
      <c r="F546" s="316">
        <v>43976</v>
      </c>
      <c r="G546" s="316">
        <v>36893</v>
      </c>
      <c r="H546" s="317" t="s">
        <v>3128</v>
      </c>
      <c r="I546" s="317"/>
      <c r="J546" s="317" t="s">
        <v>152</v>
      </c>
      <c r="K546" s="315" t="s">
        <v>4025</v>
      </c>
      <c r="L546" s="315"/>
      <c r="M546" s="317"/>
      <c r="N546" s="320"/>
      <c r="O546" s="317" t="s">
        <v>51</v>
      </c>
      <c r="P546" s="318" t="s">
        <v>4078</v>
      </c>
      <c r="Q546" s="318" t="s">
        <v>4079</v>
      </c>
      <c r="R546" s="317"/>
      <c r="S546" s="317"/>
      <c r="T546" s="317" t="s">
        <v>4080</v>
      </c>
      <c r="U546" s="317" t="s">
        <v>4081</v>
      </c>
      <c r="V546" s="317"/>
      <c r="W546" s="317"/>
      <c r="X546" s="317"/>
      <c r="Y546" s="319"/>
    </row>
    <row r="547" spans="1:25" s="91" customFormat="1" hidden="1" x14ac:dyDescent="0.25">
      <c r="A547" s="32" t="s">
        <v>1276</v>
      </c>
      <c r="B547" s="315" t="str">
        <f>IF((COUNTBLANK(G547)=0),Stats!$E$7,IF((COUNTBLANK(E547)=0),IF((COUNTBLANK(F547)=0),IF((COUNTBLANK(U547)=0),Stats!$E$6,Stats!$E$5),Stats!$E$4),""))</f>
        <v>Death</v>
      </c>
      <c r="C547" s="39" t="s">
        <v>284</v>
      </c>
      <c r="D547" s="315"/>
      <c r="E547" s="88">
        <v>43922</v>
      </c>
      <c r="F547" s="316">
        <v>43948</v>
      </c>
      <c r="G547" s="316">
        <v>36893</v>
      </c>
      <c r="H547" s="317" t="s">
        <v>3128</v>
      </c>
      <c r="I547" s="317"/>
      <c r="J547" s="317" t="s">
        <v>3186</v>
      </c>
      <c r="K547" s="315" t="s">
        <v>4025</v>
      </c>
      <c r="L547" s="315"/>
      <c r="M547" s="317"/>
      <c r="N547" s="320" t="s">
        <v>105</v>
      </c>
      <c r="O547" s="317" t="s">
        <v>51</v>
      </c>
      <c r="P547" s="318">
        <v>-550</v>
      </c>
      <c r="Q547" s="318">
        <v>450</v>
      </c>
      <c r="R547" s="317"/>
      <c r="S547" s="317"/>
      <c r="T547" s="317" t="s">
        <v>4058</v>
      </c>
      <c r="U547" s="317" t="s">
        <v>4082</v>
      </c>
      <c r="V547" s="317"/>
      <c r="W547" s="317"/>
      <c r="X547" s="317"/>
      <c r="Y547" s="319"/>
    </row>
    <row r="548" spans="1:25" s="91" customFormat="1" hidden="1" x14ac:dyDescent="0.25">
      <c r="A548" s="32" t="s">
        <v>1277</v>
      </c>
      <c r="B548" s="315" t="str">
        <f>IF((COUNTBLANK(G548)=0),Stats!$E$7,IF((COUNTBLANK(E548)=0),IF((COUNTBLANK(F548)=0),IF((COUNTBLANK(U548)=0),Stats!$E$6,Stats!$E$5),Stats!$E$4),""))</f>
        <v>Death</v>
      </c>
      <c r="C548" s="39" t="s">
        <v>284</v>
      </c>
      <c r="D548" s="315"/>
      <c r="E548" s="88">
        <v>43922</v>
      </c>
      <c r="F548" s="316">
        <v>43943</v>
      </c>
      <c r="G548" s="316">
        <v>36893</v>
      </c>
      <c r="H548" s="317" t="s">
        <v>3128</v>
      </c>
      <c r="I548" s="317"/>
      <c r="J548" s="317" t="s">
        <v>3186</v>
      </c>
      <c r="K548" s="315" t="s">
        <v>4025</v>
      </c>
      <c r="L548" s="315"/>
      <c r="M548" s="317"/>
      <c r="N548" s="320" t="s">
        <v>105</v>
      </c>
      <c r="O548" s="317" t="s">
        <v>51</v>
      </c>
      <c r="P548" s="318">
        <v>-550</v>
      </c>
      <c r="Q548" s="318">
        <v>900</v>
      </c>
      <c r="R548" s="317"/>
      <c r="S548" s="317"/>
      <c r="T548" s="317" t="s">
        <v>4064</v>
      </c>
      <c r="U548" s="317" t="s">
        <v>4083</v>
      </c>
      <c r="V548" s="317"/>
      <c r="W548" s="317"/>
      <c r="X548" s="317"/>
      <c r="Y548" s="319"/>
    </row>
    <row r="549" spans="1:25" s="91" customFormat="1" hidden="1" x14ac:dyDescent="0.25">
      <c r="A549" s="32" t="s">
        <v>1278</v>
      </c>
      <c r="B549" s="315" t="str">
        <f>IF((COUNTBLANK(G549)=0),Stats!$E$7,IF((COUNTBLANK(E549)=0),IF((COUNTBLANK(F549)=0),IF((COUNTBLANK(U549)=0),Stats!$E$6,Stats!$E$5),Stats!$E$4),""))</f>
        <v>Death</v>
      </c>
      <c r="C549" s="39" t="s">
        <v>284</v>
      </c>
      <c r="D549" s="315"/>
      <c r="E549" s="88">
        <v>43922</v>
      </c>
      <c r="F549" s="316">
        <v>43943</v>
      </c>
      <c r="G549" s="316">
        <v>36893</v>
      </c>
      <c r="H549" s="317" t="s">
        <v>3128</v>
      </c>
      <c r="I549" s="317"/>
      <c r="J549" s="317" t="s">
        <v>3186</v>
      </c>
      <c r="K549" s="315" t="s">
        <v>4025</v>
      </c>
      <c r="L549" s="315"/>
      <c r="M549" s="317"/>
      <c r="N549" s="320" t="s">
        <v>105</v>
      </c>
      <c r="O549" s="317" t="s">
        <v>51</v>
      </c>
      <c r="P549" s="318">
        <v>-550</v>
      </c>
      <c r="Q549" s="318">
        <v>450</v>
      </c>
      <c r="R549" s="317"/>
      <c r="S549" s="317"/>
      <c r="T549" s="317" t="s">
        <v>4064</v>
      </c>
      <c r="U549" s="317" t="s">
        <v>4084</v>
      </c>
      <c r="V549" s="317"/>
      <c r="W549" s="317"/>
      <c r="X549" s="317"/>
      <c r="Y549" s="319"/>
    </row>
    <row r="550" spans="1:25" s="91" customFormat="1" hidden="1" x14ac:dyDescent="0.25">
      <c r="A550" s="32" t="s">
        <v>1279</v>
      </c>
      <c r="B550" s="315" t="str">
        <f>IF((COUNTBLANK(G550)=0),Stats!$E$7,IF((COUNTBLANK(E550)=0),IF((COUNTBLANK(F550)=0),IF((COUNTBLANK(U550)=0),Stats!$E$6,Stats!$E$5),Stats!$E$4),""))</f>
        <v>Death</v>
      </c>
      <c r="C550" s="39" t="s">
        <v>284</v>
      </c>
      <c r="D550" s="315"/>
      <c r="E550" s="88">
        <v>43922</v>
      </c>
      <c r="F550" s="316">
        <v>43948</v>
      </c>
      <c r="G550" s="316">
        <v>36893</v>
      </c>
      <c r="H550" s="317" t="s">
        <v>3128</v>
      </c>
      <c r="I550" s="317"/>
      <c r="J550" s="317" t="s">
        <v>3186</v>
      </c>
      <c r="K550" s="315" t="s">
        <v>4025</v>
      </c>
      <c r="L550" s="315"/>
      <c r="M550" s="317"/>
      <c r="N550" s="320" t="s">
        <v>105</v>
      </c>
      <c r="O550" s="317" t="s">
        <v>51</v>
      </c>
      <c r="P550" s="318">
        <v>-550</v>
      </c>
      <c r="Q550" s="318">
        <v>900</v>
      </c>
      <c r="R550" s="317"/>
      <c r="S550" s="317"/>
      <c r="T550" s="317" t="s">
        <v>4052</v>
      </c>
      <c r="U550" s="317" t="s">
        <v>4085</v>
      </c>
      <c r="V550" s="317" t="s">
        <v>4086</v>
      </c>
      <c r="W550" s="317"/>
      <c r="X550" s="317"/>
      <c r="Y550" s="319"/>
    </row>
    <row r="551" spans="1:25" s="91" customFormat="1" hidden="1" x14ac:dyDescent="0.25">
      <c r="A551" s="32" t="s">
        <v>1280</v>
      </c>
      <c r="B551" s="315" t="str">
        <f>IF((COUNTBLANK(G551)=0),Stats!$E$7,IF((COUNTBLANK(E551)=0),IF((COUNTBLANK(F551)=0),IF((COUNTBLANK(U551)=0),Stats!$E$6,Stats!$E$5),Stats!$E$4),""))</f>
        <v>Death</v>
      </c>
      <c r="C551" s="39" t="s">
        <v>284</v>
      </c>
      <c r="D551" s="315"/>
      <c r="E551" s="88">
        <v>43928</v>
      </c>
      <c r="F551" s="316">
        <v>36892</v>
      </c>
      <c r="G551" s="316">
        <v>36893</v>
      </c>
      <c r="H551" s="317" t="s">
        <v>3142</v>
      </c>
      <c r="I551" s="317"/>
      <c r="J551" s="317" t="s">
        <v>3186</v>
      </c>
      <c r="K551" s="315" t="s">
        <v>4025</v>
      </c>
      <c r="L551" s="315"/>
      <c r="M551" s="317"/>
      <c r="N551" s="320"/>
      <c r="O551" s="317" t="s">
        <v>51</v>
      </c>
      <c r="P551" s="318">
        <v>-500</v>
      </c>
      <c r="Q551" s="318">
        <v>350</v>
      </c>
      <c r="R551" s="317" t="s">
        <v>4087</v>
      </c>
      <c r="S551" s="317"/>
      <c r="T551" s="317"/>
      <c r="U551" s="317" t="s">
        <v>4088</v>
      </c>
      <c r="V551" s="317"/>
      <c r="W551" s="317"/>
      <c r="X551" s="317"/>
      <c r="Y551" s="319"/>
    </row>
    <row r="552" spans="1:25" s="91" customFormat="1" hidden="1" x14ac:dyDescent="0.25">
      <c r="A552" s="32" t="s">
        <v>1281</v>
      </c>
      <c r="B552" s="315" t="str">
        <f>IF((COUNTBLANK(G552)=0),Stats!$E$7,IF((COUNTBLANK(E552)=0),IF((COUNTBLANK(F552)=0),IF((COUNTBLANK(U552)=0),Stats!$E$6,Stats!$E$5),Stats!$E$4),""))</f>
        <v>Death</v>
      </c>
      <c r="C552" s="39" t="s">
        <v>284</v>
      </c>
      <c r="D552" s="315"/>
      <c r="E552" s="88">
        <v>43928</v>
      </c>
      <c r="F552" s="316">
        <v>43964</v>
      </c>
      <c r="G552" s="316">
        <v>36893</v>
      </c>
      <c r="H552" s="317" t="s">
        <v>3142</v>
      </c>
      <c r="I552" s="317"/>
      <c r="J552" s="317" t="s">
        <v>3186</v>
      </c>
      <c r="K552" s="315" t="s">
        <v>4025</v>
      </c>
      <c r="L552" s="315"/>
      <c r="M552" s="317"/>
      <c r="N552" s="320"/>
      <c r="O552" s="317" t="s">
        <v>51</v>
      </c>
      <c r="P552" s="318" t="s">
        <v>3728</v>
      </c>
      <c r="Q552" s="318" t="s">
        <v>3858</v>
      </c>
      <c r="R552" s="317" t="s">
        <v>4089</v>
      </c>
      <c r="S552" s="317"/>
      <c r="T552" s="317" t="s">
        <v>4090</v>
      </c>
      <c r="U552" s="317"/>
      <c r="V552" s="317"/>
      <c r="W552" s="317"/>
      <c r="X552" s="317"/>
      <c r="Y552" s="319"/>
    </row>
    <row r="553" spans="1:25" s="91" customFormat="1" hidden="1" x14ac:dyDescent="0.25">
      <c r="A553" s="32" t="s">
        <v>1282</v>
      </c>
      <c r="B553" s="315" t="str">
        <f>IF((COUNTBLANK(G553)=0),Stats!$E$7,IF((COUNTBLANK(E553)=0),IF((COUNTBLANK(F553)=0),IF((COUNTBLANK(U553)=0),Stats!$E$6,Stats!$E$5),Stats!$E$4),""))</f>
        <v>Death</v>
      </c>
      <c r="C553" s="39" t="s">
        <v>284</v>
      </c>
      <c r="D553" s="315"/>
      <c r="E553" s="88">
        <v>43928</v>
      </c>
      <c r="F553" s="316">
        <v>43963</v>
      </c>
      <c r="G553" s="316">
        <v>36893</v>
      </c>
      <c r="H553" s="317" t="s">
        <v>3142</v>
      </c>
      <c r="I553" s="317"/>
      <c r="J553" s="317" t="s">
        <v>3186</v>
      </c>
      <c r="K553" s="315" t="s">
        <v>4025</v>
      </c>
      <c r="L553" s="315"/>
      <c r="M553" s="317"/>
      <c r="N553" s="320"/>
      <c r="O553" s="317" t="s">
        <v>51</v>
      </c>
      <c r="P553" s="318">
        <v>-500</v>
      </c>
      <c r="Q553" s="318">
        <v>350</v>
      </c>
      <c r="R553" s="317" t="s">
        <v>4089</v>
      </c>
      <c r="S553" s="317"/>
      <c r="T553" s="317" t="s">
        <v>4091</v>
      </c>
      <c r="U553" s="317" t="s">
        <v>4092</v>
      </c>
      <c r="V553" s="317" t="s">
        <v>4093</v>
      </c>
      <c r="W553" s="317"/>
      <c r="X553" s="317" t="s">
        <v>4094</v>
      </c>
      <c r="Y553" s="319"/>
    </row>
    <row r="554" spans="1:25" s="91" customFormat="1" hidden="1" x14ac:dyDescent="0.25">
      <c r="A554" s="32" t="s">
        <v>1283</v>
      </c>
      <c r="B554" s="315" t="str">
        <f>IF((COUNTBLANK(G554)=0),Stats!$E$7,IF((COUNTBLANK(E554)=0),IF((COUNTBLANK(F554)=0),IF((COUNTBLANK(U554)=0),Stats!$E$6,Stats!$E$5),Stats!$E$4),""))</f>
        <v>Death</v>
      </c>
      <c r="C554" s="39" t="s">
        <v>284</v>
      </c>
      <c r="D554" s="315"/>
      <c r="E554" s="88">
        <v>43928</v>
      </c>
      <c r="F554" s="316">
        <v>43963</v>
      </c>
      <c r="G554" s="316">
        <v>36893</v>
      </c>
      <c r="H554" s="317" t="s">
        <v>3142</v>
      </c>
      <c r="I554" s="317"/>
      <c r="J554" s="317" t="s">
        <v>3186</v>
      </c>
      <c r="K554" s="315" t="s">
        <v>4025</v>
      </c>
      <c r="L554" s="315"/>
      <c r="M554" s="317"/>
      <c r="N554" s="320"/>
      <c r="O554" s="317" t="s">
        <v>51</v>
      </c>
      <c r="P554" s="318" t="s">
        <v>3728</v>
      </c>
      <c r="Q554" s="318" t="s">
        <v>3858</v>
      </c>
      <c r="R554" s="317" t="s">
        <v>4089</v>
      </c>
      <c r="S554" s="317"/>
      <c r="T554" s="317" t="s">
        <v>4077</v>
      </c>
      <c r="U554" s="317" t="s">
        <v>4095</v>
      </c>
      <c r="V554" s="317"/>
      <c r="W554" s="317"/>
      <c r="X554" s="317"/>
      <c r="Y554" s="319"/>
    </row>
    <row r="555" spans="1:25" s="91" customFormat="1" hidden="1" x14ac:dyDescent="0.25">
      <c r="A555" s="32" t="s">
        <v>1284</v>
      </c>
      <c r="B555" s="315" t="str">
        <f>IF((COUNTBLANK(G555)=0),Stats!$E$7,IF((COUNTBLANK(E555)=0),IF((COUNTBLANK(F555)=0),IF((COUNTBLANK(U555)=0),Stats!$E$6,Stats!$E$5),Stats!$E$4),""))</f>
        <v>Death</v>
      </c>
      <c r="C555" s="39" t="s">
        <v>284</v>
      </c>
      <c r="D555" s="315"/>
      <c r="E555" s="88">
        <v>43936</v>
      </c>
      <c r="F555" s="316">
        <v>43987</v>
      </c>
      <c r="G555" s="316">
        <v>36893</v>
      </c>
      <c r="H555" s="317" t="s">
        <v>3152</v>
      </c>
      <c r="I555" s="317"/>
      <c r="J555" s="317" t="s">
        <v>152</v>
      </c>
      <c r="K555" s="315" t="s">
        <v>3222</v>
      </c>
      <c r="L555" s="315"/>
      <c r="M555" s="317"/>
      <c r="N555" s="320"/>
      <c r="O555" s="317" t="s">
        <v>4045</v>
      </c>
      <c r="P555" s="318" t="s">
        <v>4096</v>
      </c>
      <c r="Q555" s="318" t="s">
        <v>3830</v>
      </c>
      <c r="R555" s="317"/>
      <c r="S555" s="317"/>
      <c r="T555" s="317"/>
      <c r="U555" s="317"/>
      <c r="V555" s="317"/>
      <c r="W555" s="317"/>
      <c r="X555" s="317" t="s">
        <v>4097</v>
      </c>
      <c r="Y555" s="319"/>
    </row>
    <row r="556" spans="1:25" s="91" customFormat="1" hidden="1" x14ac:dyDescent="0.25">
      <c r="A556" s="32" t="s">
        <v>1285</v>
      </c>
      <c r="B556" s="315" t="str">
        <f>IF((COUNTBLANK(G556)=0),Stats!$E$7,IF((COUNTBLANK(E556)=0),IF((COUNTBLANK(F556)=0),IF((COUNTBLANK(U556)=0),Stats!$E$6,Stats!$E$5),Stats!$E$4),""))</f>
        <v>Death</v>
      </c>
      <c r="C556" s="39" t="s">
        <v>284</v>
      </c>
      <c r="D556" s="315"/>
      <c r="E556" s="88">
        <v>43966</v>
      </c>
      <c r="F556" s="316">
        <v>36892</v>
      </c>
      <c r="G556" s="316">
        <v>36893</v>
      </c>
      <c r="H556" s="317" t="s">
        <v>3152</v>
      </c>
      <c r="I556" s="317"/>
      <c r="J556" s="317" t="s">
        <v>152</v>
      </c>
      <c r="K556" s="315" t="s">
        <v>3880</v>
      </c>
      <c r="L556" s="315"/>
      <c r="M556" s="317"/>
      <c r="N556" s="320" t="s">
        <v>105</v>
      </c>
      <c r="O556" s="317" t="s">
        <v>4098</v>
      </c>
      <c r="P556" s="318" t="s">
        <v>3965</v>
      </c>
      <c r="Q556" s="318" t="s">
        <v>4099</v>
      </c>
      <c r="R556" s="317"/>
      <c r="S556" s="317"/>
      <c r="T556" s="317"/>
      <c r="U556" s="317"/>
      <c r="V556" s="317"/>
      <c r="W556" s="317"/>
      <c r="X556" s="317" t="s">
        <v>4100</v>
      </c>
      <c r="Y556" s="319"/>
    </row>
    <row r="557" spans="1:25" s="91" customFormat="1" hidden="1" x14ac:dyDescent="0.25">
      <c r="A557" s="32" t="s">
        <v>1286</v>
      </c>
      <c r="B557" s="315" t="str">
        <f>IF((COUNTBLANK(G557)=0),Stats!$E$7,IF((COUNTBLANK(E557)=0),IF((COUNTBLANK(F557)=0),IF((COUNTBLANK(U557)=0),Stats!$E$6,Stats!$E$5),Stats!$E$4),""))</f>
        <v>Death</v>
      </c>
      <c r="C557" s="39" t="s">
        <v>284</v>
      </c>
      <c r="D557" s="315"/>
      <c r="E557" s="88">
        <v>43969</v>
      </c>
      <c r="F557" s="316">
        <v>36892</v>
      </c>
      <c r="G557" s="316">
        <v>36893</v>
      </c>
      <c r="H557" s="317" t="s">
        <v>3152</v>
      </c>
      <c r="I557" s="317"/>
      <c r="J557" s="317" t="s">
        <v>152</v>
      </c>
      <c r="K557" s="315" t="s">
        <v>3880</v>
      </c>
      <c r="L557" s="315"/>
      <c r="M557" s="317"/>
      <c r="N557" s="320" t="s">
        <v>105</v>
      </c>
      <c r="O557" s="317" t="s">
        <v>4098</v>
      </c>
      <c r="P557" s="318" t="s">
        <v>3965</v>
      </c>
      <c r="Q557" s="318" t="s">
        <v>4099</v>
      </c>
      <c r="R557" s="317" t="s">
        <v>4101</v>
      </c>
      <c r="S557" s="317"/>
      <c r="T557" s="317"/>
      <c r="U557" s="317"/>
      <c r="V557" s="317"/>
      <c r="W557" s="317"/>
      <c r="X557" s="317"/>
      <c r="Y557" s="319"/>
    </row>
    <row r="558" spans="1:25" s="91" customFormat="1" hidden="1" x14ac:dyDescent="0.25">
      <c r="A558" s="32" t="s">
        <v>1287</v>
      </c>
      <c r="B558" s="315" t="str">
        <f>IF((COUNTBLANK(G558)=0),Stats!$E$7,IF((COUNTBLANK(E558)=0),IF((COUNTBLANK(F558)=0),IF((COUNTBLANK(U558)=0),Stats!$E$6,Stats!$E$5),Stats!$E$4),""))</f>
        <v>Death</v>
      </c>
      <c r="C558" s="39" t="s">
        <v>284</v>
      </c>
      <c r="D558" s="315"/>
      <c r="E558" s="88">
        <v>43976</v>
      </c>
      <c r="F558" s="316">
        <v>43990</v>
      </c>
      <c r="G558" s="316">
        <v>36893</v>
      </c>
      <c r="H558" s="317" t="s">
        <v>3145</v>
      </c>
      <c r="I558" s="317"/>
      <c r="J558" s="317" t="s">
        <v>152</v>
      </c>
      <c r="K558" s="315" t="s">
        <v>3880</v>
      </c>
      <c r="L558" s="315"/>
      <c r="M558" s="317"/>
      <c r="N558" s="320"/>
      <c r="O558" s="317" t="s">
        <v>4098</v>
      </c>
      <c r="P558" s="318" t="s">
        <v>3965</v>
      </c>
      <c r="Q558" s="318" t="s">
        <v>3830</v>
      </c>
      <c r="R558" s="317" t="s">
        <v>4101</v>
      </c>
      <c r="S558" s="317"/>
      <c r="T558" s="317" t="s">
        <v>4102</v>
      </c>
      <c r="U558" s="317"/>
      <c r="V558" s="317"/>
      <c r="W558" s="317"/>
      <c r="X558" s="317"/>
      <c r="Y558" s="319"/>
    </row>
    <row r="559" spans="1:25" s="91" customFormat="1" hidden="1" x14ac:dyDescent="0.25">
      <c r="A559" s="32" t="s">
        <v>1288</v>
      </c>
      <c r="B559" s="315" t="str">
        <f>IF((COUNTBLANK(G559)=0),Stats!$E$7,IF((COUNTBLANK(E559)=0),IF((COUNTBLANK(F559)=0),IF((COUNTBLANK(U559)=0),Stats!$E$6,Stats!$E$5),Stats!$E$4),""))</f>
        <v>Death</v>
      </c>
      <c r="C559" s="39" t="s">
        <v>284</v>
      </c>
      <c r="D559" s="315"/>
      <c r="E559" s="88">
        <v>43976</v>
      </c>
      <c r="F559" s="316">
        <v>43990</v>
      </c>
      <c r="G559" s="316">
        <v>36893</v>
      </c>
      <c r="H559" s="317" t="s">
        <v>3145</v>
      </c>
      <c r="I559" s="317"/>
      <c r="J559" s="317" t="s">
        <v>152</v>
      </c>
      <c r="K559" s="315" t="s">
        <v>3880</v>
      </c>
      <c r="L559" s="315"/>
      <c r="M559" s="317"/>
      <c r="N559" s="320"/>
      <c r="O559" s="317" t="s">
        <v>4098</v>
      </c>
      <c r="P559" s="318" t="s">
        <v>3965</v>
      </c>
      <c r="Q559" s="318" t="s">
        <v>3830</v>
      </c>
      <c r="R559" s="317"/>
      <c r="S559" s="317"/>
      <c r="T559" s="317" t="s">
        <v>4103</v>
      </c>
      <c r="U559" s="317"/>
      <c r="V559" s="317"/>
      <c r="W559" s="317"/>
      <c r="X559" s="317"/>
      <c r="Y559" s="319"/>
    </row>
    <row r="560" spans="1:25" s="91" customFormat="1" hidden="1" x14ac:dyDescent="0.25">
      <c r="A560" s="32" t="s">
        <v>1289</v>
      </c>
      <c r="B560" s="315" t="str">
        <f>IF((COUNTBLANK(G560)=0),Stats!$E$7,IF((COUNTBLANK(E560)=0),IF((COUNTBLANK(F560)=0),IF((COUNTBLANK(U560)=0),Stats!$E$6,Stats!$E$5),Stats!$E$4),""))</f>
        <v>Death</v>
      </c>
      <c r="C560" s="39" t="s">
        <v>284</v>
      </c>
      <c r="D560" s="315"/>
      <c r="E560" s="88">
        <v>43976</v>
      </c>
      <c r="F560" s="316">
        <v>44042</v>
      </c>
      <c r="G560" s="316">
        <v>36893</v>
      </c>
      <c r="H560" s="317" t="s">
        <v>3145</v>
      </c>
      <c r="I560" s="317"/>
      <c r="J560" s="317" t="s">
        <v>152</v>
      </c>
      <c r="K560" s="315" t="s">
        <v>3880</v>
      </c>
      <c r="L560" s="315"/>
      <c r="M560" s="317"/>
      <c r="N560" s="320"/>
      <c r="O560" s="317" t="s">
        <v>4098</v>
      </c>
      <c r="P560" s="318" t="s">
        <v>3965</v>
      </c>
      <c r="Q560" s="318" t="s">
        <v>4069</v>
      </c>
      <c r="R560" s="317" t="s">
        <v>4101</v>
      </c>
      <c r="S560" s="317"/>
      <c r="T560" s="317" t="s">
        <v>4104</v>
      </c>
      <c r="U560" s="317" t="s">
        <v>4105</v>
      </c>
      <c r="V560" s="317"/>
      <c r="W560" s="317"/>
      <c r="X560" s="317"/>
      <c r="Y560" s="319"/>
    </row>
    <row r="561" spans="1:25" s="91" customFormat="1" hidden="1" x14ac:dyDescent="0.25">
      <c r="A561" s="32" t="s">
        <v>1290</v>
      </c>
      <c r="B561" s="315" t="str">
        <f>IF((COUNTBLANK(G561)=0),Stats!$E$7,IF((COUNTBLANK(E561)=0),IF((COUNTBLANK(F561)=0),IF((COUNTBLANK(U561)=0),Stats!$E$6,Stats!$E$5),Stats!$E$4),""))</f>
        <v>Death</v>
      </c>
      <c r="C561" s="39" t="s">
        <v>284</v>
      </c>
      <c r="D561" s="315"/>
      <c r="E561" s="88">
        <v>43976</v>
      </c>
      <c r="F561" s="316">
        <v>44042</v>
      </c>
      <c r="G561" s="316">
        <v>36893</v>
      </c>
      <c r="H561" s="317" t="s">
        <v>3145</v>
      </c>
      <c r="I561" s="317"/>
      <c r="J561" s="317" t="s">
        <v>152</v>
      </c>
      <c r="K561" s="315" t="s">
        <v>3880</v>
      </c>
      <c r="L561" s="315"/>
      <c r="M561" s="317"/>
      <c r="N561" s="320"/>
      <c r="O561" s="317" t="s">
        <v>4098</v>
      </c>
      <c r="P561" s="318" t="s">
        <v>3965</v>
      </c>
      <c r="Q561" s="318" t="s">
        <v>4069</v>
      </c>
      <c r="R561" s="317"/>
      <c r="S561" s="317"/>
      <c r="T561" s="317" t="s">
        <v>4104</v>
      </c>
      <c r="U561" s="317" t="s">
        <v>4068</v>
      </c>
      <c r="V561" s="317"/>
      <c r="W561" s="317"/>
      <c r="X561" s="317"/>
      <c r="Y561" s="319"/>
    </row>
    <row r="562" spans="1:25" s="91" customFormat="1" hidden="1" x14ac:dyDescent="0.25">
      <c r="A562" s="32" t="s">
        <v>1291</v>
      </c>
      <c r="B562" s="315" t="str">
        <f>IF((COUNTBLANK(G562)=0),Stats!$E$7,IF((COUNTBLANK(E562)=0),IF((COUNTBLANK(F562)=0),IF((COUNTBLANK(U562)=0),Stats!$E$6,Stats!$E$5),Stats!$E$4),""))</f>
        <v>Death</v>
      </c>
      <c r="C562" s="39" t="s">
        <v>284</v>
      </c>
      <c r="D562" s="315"/>
      <c r="E562" s="88">
        <v>43977</v>
      </c>
      <c r="F562" s="316">
        <v>44043</v>
      </c>
      <c r="G562" s="316">
        <v>36893</v>
      </c>
      <c r="H562" s="317" t="s">
        <v>3145</v>
      </c>
      <c r="I562" s="317"/>
      <c r="J562" s="317" t="s">
        <v>152</v>
      </c>
      <c r="K562" s="315" t="s">
        <v>3880</v>
      </c>
      <c r="L562" s="315"/>
      <c r="M562" s="317"/>
      <c r="N562" s="320" t="s">
        <v>3749</v>
      </c>
      <c r="O562" s="317" t="s">
        <v>4098</v>
      </c>
      <c r="P562" s="318" t="s">
        <v>3965</v>
      </c>
      <c r="Q562" s="318" t="s">
        <v>3830</v>
      </c>
      <c r="R562" s="317" t="s">
        <v>4101</v>
      </c>
      <c r="S562" s="317"/>
      <c r="T562" s="317" t="s">
        <v>4104</v>
      </c>
      <c r="U562" s="317" t="s">
        <v>4106</v>
      </c>
      <c r="V562" s="317" t="s">
        <v>4068</v>
      </c>
      <c r="W562" s="317"/>
      <c r="X562" s="317"/>
      <c r="Y562" s="319"/>
    </row>
    <row r="563" spans="1:25" s="91" customFormat="1" hidden="1" x14ac:dyDescent="0.25">
      <c r="A563" s="32" t="s">
        <v>1292</v>
      </c>
      <c r="B563" s="315" t="str">
        <f>IF((COUNTBLANK(G563)=0),Stats!$E$7,IF((COUNTBLANK(E563)=0),IF((COUNTBLANK(F563)=0),IF((COUNTBLANK(U563)=0),Stats!$E$6,Stats!$E$5),Stats!$E$4),""))</f>
        <v>Death</v>
      </c>
      <c r="C563" s="39" t="s">
        <v>284</v>
      </c>
      <c r="D563" s="315"/>
      <c r="E563" s="88">
        <v>43977</v>
      </c>
      <c r="F563" s="316">
        <v>44043</v>
      </c>
      <c r="G563" s="316">
        <v>36893</v>
      </c>
      <c r="H563" s="317" t="s">
        <v>3145</v>
      </c>
      <c r="I563" s="317"/>
      <c r="J563" s="317" t="s">
        <v>152</v>
      </c>
      <c r="K563" s="315" t="s">
        <v>3880</v>
      </c>
      <c r="L563" s="315"/>
      <c r="M563" s="317"/>
      <c r="N563" s="320" t="s">
        <v>3749</v>
      </c>
      <c r="O563" s="317" t="s">
        <v>4098</v>
      </c>
      <c r="P563" s="318" t="s">
        <v>3965</v>
      </c>
      <c r="Q563" s="318" t="s">
        <v>3830</v>
      </c>
      <c r="R563" s="317" t="s">
        <v>4107</v>
      </c>
      <c r="S563" s="317"/>
      <c r="T563" s="317" t="s">
        <v>4104</v>
      </c>
      <c r="U563" s="317" t="s">
        <v>4108</v>
      </c>
      <c r="V563" s="317" t="s">
        <v>4068</v>
      </c>
      <c r="W563" s="317"/>
      <c r="X563" s="317"/>
      <c r="Y563" s="319"/>
    </row>
    <row r="564" spans="1:25" s="91" customFormat="1" hidden="1" x14ac:dyDescent="0.25">
      <c r="A564" s="32" t="s">
        <v>1293</v>
      </c>
      <c r="B564" s="315" t="str">
        <f>IF((COUNTBLANK(G564)=0),Stats!$E$7,IF((COUNTBLANK(E564)=0),IF((COUNTBLANK(F564)=0),IF((COUNTBLANK(U564)=0),Stats!$E$6,Stats!$E$5),Stats!$E$4),""))</f>
        <v>Death</v>
      </c>
      <c r="C564" s="39" t="s">
        <v>284</v>
      </c>
      <c r="D564" s="315"/>
      <c r="E564" s="88">
        <v>43979</v>
      </c>
      <c r="F564" s="316">
        <v>44095</v>
      </c>
      <c r="G564" s="316">
        <v>36893</v>
      </c>
      <c r="H564" s="317" t="s">
        <v>3152</v>
      </c>
      <c r="I564" s="317"/>
      <c r="J564" s="317" t="s">
        <v>3186</v>
      </c>
      <c r="K564" s="315" t="s">
        <v>3817</v>
      </c>
      <c r="L564" s="315" t="s">
        <v>3222</v>
      </c>
      <c r="M564" s="317" t="s">
        <v>3223</v>
      </c>
      <c r="N564" s="320" t="s">
        <v>4109</v>
      </c>
      <c r="O564" s="317" t="s">
        <v>478</v>
      </c>
      <c r="P564" s="318" t="s">
        <v>4110</v>
      </c>
      <c r="Q564" s="318">
        <v>200</v>
      </c>
      <c r="R564" s="49"/>
      <c r="S564" s="49"/>
      <c r="T564" s="49" t="s">
        <v>4104</v>
      </c>
      <c r="U564" s="317"/>
      <c r="V564" s="317"/>
      <c r="W564" s="317"/>
      <c r="X564" s="317"/>
      <c r="Y564" s="319"/>
    </row>
    <row r="565" spans="1:25" s="91" customFormat="1" hidden="1" x14ac:dyDescent="0.25">
      <c r="A565" s="32" t="s">
        <v>1294</v>
      </c>
      <c r="B565" s="315" t="str">
        <f>IF((COUNTBLANK(G565)=0),Stats!$E$7,IF((COUNTBLANK(E565)=0),IF((COUNTBLANK(F565)=0),IF((COUNTBLANK(U565)=0),Stats!$E$6,Stats!$E$5),Stats!$E$4),""))</f>
        <v>Death</v>
      </c>
      <c r="C565" s="39" t="s">
        <v>284</v>
      </c>
      <c r="D565" s="315"/>
      <c r="E565" s="88">
        <v>43979</v>
      </c>
      <c r="F565" s="316">
        <v>36892</v>
      </c>
      <c r="G565" s="316">
        <v>36893</v>
      </c>
      <c r="H565" s="317" t="s">
        <v>3152</v>
      </c>
      <c r="I565" s="317"/>
      <c r="J565" s="317" t="s">
        <v>3186</v>
      </c>
      <c r="K565" s="315" t="s">
        <v>3817</v>
      </c>
      <c r="L565" s="315" t="s">
        <v>3222</v>
      </c>
      <c r="M565" s="317" t="s">
        <v>3223</v>
      </c>
      <c r="N565" s="320" t="s">
        <v>4109</v>
      </c>
      <c r="O565" s="317" t="s">
        <v>4045</v>
      </c>
      <c r="P565" s="318">
        <v>-1400</v>
      </c>
      <c r="Q565" s="318">
        <v>300</v>
      </c>
      <c r="R565" s="317"/>
      <c r="S565" s="317"/>
      <c r="T565" s="317"/>
      <c r="U565" s="317"/>
      <c r="V565" s="317"/>
      <c r="W565" s="317"/>
      <c r="X565" s="317"/>
      <c r="Y565" s="319"/>
    </row>
    <row r="566" spans="1:25" s="91" customFormat="1" hidden="1" x14ac:dyDescent="0.25">
      <c r="A566" s="32" t="s">
        <v>1295</v>
      </c>
      <c r="B566" s="315" t="str">
        <f>IF((COUNTBLANK(G566)=0),Stats!$E$7,IF((COUNTBLANK(E566)=0),IF((COUNTBLANK(F566)=0),IF((COUNTBLANK(U566)=0),Stats!$E$6,Stats!$E$5),Stats!$E$4),""))</f>
        <v>Death</v>
      </c>
      <c r="C566" s="39" t="s">
        <v>284</v>
      </c>
      <c r="D566" s="315"/>
      <c r="E566" s="88">
        <v>43986</v>
      </c>
      <c r="F566" s="316">
        <v>44095</v>
      </c>
      <c r="G566" s="316">
        <v>36893</v>
      </c>
      <c r="H566" s="317" t="s">
        <v>3152</v>
      </c>
      <c r="I566" s="317"/>
      <c r="J566" s="317" t="s">
        <v>152</v>
      </c>
      <c r="K566" s="315" t="s">
        <v>3880</v>
      </c>
      <c r="L566" s="315"/>
      <c r="M566" s="317"/>
      <c r="N566" s="320" t="s">
        <v>4111</v>
      </c>
      <c r="O566" s="317" t="s">
        <v>478</v>
      </c>
      <c r="P566" s="318" t="s">
        <v>4112</v>
      </c>
      <c r="Q566" s="318" t="s">
        <v>4069</v>
      </c>
      <c r="R566" s="49"/>
      <c r="S566" s="49"/>
      <c r="T566" s="49" t="s">
        <v>4104</v>
      </c>
      <c r="U566" s="317"/>
      <c r="V566" s="317"/>
      <c r="W566" s="317"/>
      <c r="X566" s="317"/>
      <c r="Y566" s="319"/>
    </row>
    <row r="567" spans="1:25" s="91" customFormat="1" hidden="1" x14ac:dyDescent="0.25">
      <c r="A567" s="32" t="s">
        <v>1296</v>
      </c>
      <c r="B567" s="315" t="str">
        <f>IF((COUNTBLANK(G567)=0),Stats!$E$7,IF((COUNTBLANK(E567)=0),IF((COUNTBLANK(F567)=0),IF((COUNTBLANK(U567)=0),Stats!$E$6,Stats!$E$5),Stats!$E$4),""))</f>
        <v>Death</v>
      </c>
      <c r="C567" s="39" t="s">
        <v>284</v>
      </c>
      <c r="D567" s="315"/>
      <c r="E567" s="88">
        <v>43986</v>
      </c>
      <c r="F567" s="316">
        <v>44095</v>
      </c>
      <c r="G567" s="316">
        <v>36893</v>
      </c>
      <c r="H567" s="317" t="s">
        <v>3152</v>
      </c>
      <c r="I567" s="317"/>
      <c r="J567" s="317" t="s">
        <v>152</v>
      </c>
      <c r="K567" s="315" t="s">
        <v>3880</v>
      </c>
      <c r="L567" s="315"/>
      <c r="M567" s="317"/>
      <c r="N567" s="320" t="s">
        <v>4111</v>
      </c>
      <c r="O567" s="317" t="s">
        <v>478</v>
      </c>
      <c r="P567" s="318" t="s">
        <v>4112</v>
      </c>
      <c r="Q567" s="318" t="s">
        <v>4069</v>
      </c>
      <c r="R567" s="49"/>
      <c r="S567" s="49"/>
      <c r="T567" s="49" t="s">
        <v>4104</v>
      </c>
      <c r="U567" s="317"/>
      <c r="V567" s="317"/>
      <c r="W567" s="317"/>
      <c r="X567" s="317"/>
      <c r="Y567" s="319"/>
    </row>
    <row r="568" spans="1:25" s="91" customFormat="1" hidden="1" x14ac:dyDescent="0.25">
      <c r="A568" s="32" t="s">
        <v>1297</v>
      </c>
      <c r="B568" s="315" t="str">
        <f>IF((COUNTBLANK(G568)=0),Stats!$E$7,IF((COUNTBLANK(E568)=0),IF((COUNTBLANK(F568)=0),IF((COUNTBLANK(U568)=0),Stats!$E$6,Stats!$E$5),Stats!$E$4),""))</f>
        <v>Death</v>
      </c>
      <c r="C568" s="39" t="s">
        <v>284</v>
      </c>
      <c r="D568" s="315"/>
      <c r="E568" s="88">
        <v>43986</v>
      </c>
      <c r="F568" s="316">
        <v>44097</v>
      </c>
      <c r="G568" s="316">
        <v>36893</v>
      </c>
      <c r="H568" s="317" t="s">
        <v>3152</v>
      </c>
      <c r="I568" s="317"/>
      <c r="J568" s="317" t="s">
        <v>152</v>
      </c>
      <c r="K568" s="315" t="s">
        <v>3880</v>
      </c>
      <c r="L568" s="315"/>
      <c r="M568" s="317"/>
      <c r="N568" s="320" t="s">
        <v>4113</v>
      </c>
      <c r="O568" s="317" t="s">
        <v>478</v>
      </c>
      <c r="P568" s="318" t="s">
        <v>4112</v>
      </c>
      <c r="Q568" s="321">
        <v>800400</v>
      </c>
      <c r="R568" s="317" t="s">
        <v>4114</v>
      </c>
      <c r="S568" s="317"/>
      <c r="T568" s="49" t="s">
        <v>4115</v>
      </c>
      <c r="U568" s="317"/>
      <c r="V568" s="317"/>
      <c r="W568" s="317"/>
      <c r="X568" s="317"/>
      <c r="Y568" s="319" t="s">
        <v>4116</v>
      </c>
    </row>
    <row r="569" spans="1:25" s="91" customFormat="1" hidden="1" x14ac:dyDescent="0.25">
      <c r="A569" s="32" t="s">
        <v>1298</v>
      </c>
      <c r="B569" s="315" t="str">
        <f>IF((COUNTBLANK(G569)=0),Stats!$E$7,IF((COUNTBLANK(E569)=0),IF((COUNTBLANK(F569)=0),IF((COUNTBLANK(U569)=0),Stats!$E$6,Stats!$E$5),Stats!$E$4),""))</f>
        <v>Death</v>
      </c>
      <c r="C569" s="39" t="s">
        <v>284</v>
      </c>
      <c r="D569" s="315"/>
      <c r="E569" s="88">
        <v>43987</v>
      </c>
      <c r="F569" s="316">
        <v>44095</v>
      </c>
      <c r="G569" s="316">
        <v>36893</v>
      </c>
      <c r="H569" s="317" t="s">
        <v>3152</v>
      </c>
      <c r="I569" s="317"/>
      <c r="J569" s="317" t="s">
        <v>152</v>
      </c>
      <c r="K569" s="315" t="s">
        <v>3880</v>
      </c>
      <c r="L569" s="315"/>
      <c r="M569" s="317"/>
      <c r="N569" s="320" t="s">
        <v>4113</v>
      </c>
      <c r="O569" s="317" t="s">
        <v>478</v>
      </c>
      <c r="P569" s="318" t="s">
        <v>4112</v>
      </c>
      <c r="Q569" s="318" t="s">
        <v>3830</v>
      </c>
      <c r="R569" s="49"/>
      <c r="S569" s="49"/>
      <c r="T569" s="49" t="s">
        <v>4104</v>
      </c>
      <c r="U569" s="317"/>
      <c r="V569" s="317"/>
      <c r="W569" s="317"/>
      <c r="X569" s="317"/>
      <c r="Y569" s="319"/>
    </row>
    <row r="570" spans="1:25" s="91" customFormat="1" hidden="1" x14ac:dyDescent="0.25">
      <c r="A570" s="32" t="s">
        <v>1299</v>
      </c>
      <c r="B570" s="315" t="str">
        <f>IF((COUNTBLANK(G570)=0),Stats!$E$7,IF((COUNTBLANK(E570)=0),IF((COUNTBLANK(F570)=0),IF((COUNTBLANK(U570)=0),Stats!$E$6,Stats!$E$5),Stats!$E$4),""))</f>
        <v>Death</v>
      </c>
      <c r="C570" s="39" t="s">
        <v>284</v>
      </c>
      <c r="D570" s="315"/>
      <c r="E570" s="88">
        <v>43987</v>
      </c>
      <c r="F570" s="316">
        <v>36892</v>
      </c>
      <c r="G570" s="316">
        <v>36893</v>
      </c>
      <c r="H570" s="317" t="s">
        <v>3152</v>
      </c>
      <c r="I570" s="317"/>
      <c r="J570" s="317" t="s">
        <v>152</v>
      </c>
      <c r="K570" s="315" t="s">
        <v>3880</v>
      </c>
      <c r="L570" s="315"/>
      <c r="M570" s="317"/>
      <c r="N570" s="320" t="s">
        <v>4113</v>
      </c>
      <c r="O570" s="317" t="s">
        <v>478</v>
      </c>
      <c r="P570" s="318" t="s">
        <v>4112</v>
      </c>
      <c r="Q570" s="318" t="s">
        <v>3830</v>
      </c>
      <c r="R570" s="317"/>
      <c r="S570" s="317"/>
      <c r="T570" s="317"/>
      <c r="U570" s="317"/>
      <c r="V570" s="317"/>
      <c r="W570" s="317"/>
      <c r="X570" s="317"/>
      <c r="Y570" s="319"/>
    </row>
    <row r="571" spans="1:25" s="91" customFormat="1" hidden="1" x14ac:dyDescent="0.25">
      <c r="A571" s="32" t="s">
        <v>1300</v>
      </c>
      <c r="B571" s="315" t="str">
        <f>IF((COUNTBLANK(G571)=0),Stats!$E$7,IF((COUNTBLANK(E571)=0),IF((COUNTBLANK(F571)=0),IF((COUNTBLANK(U571)=0),Stats!$E$6,Stats!$E$5),Stats!$E$4),""))</f>
        <v>Death</v>
      </c>
      <c r="C571" s="39" t="s">
        <v>284</v>
      </c>
      <c r="D571" s="315"/>
      <c r="E571" s="88">
        <v>43993</v>
      </c>
      <c r="F571" s="316">
        <v>44102</v>
      </c>
      <c r="G571" s="316">
        <v>36893</v>
      </c>
      <c r="H571" s="317" t="s">
        <v>3145</v>
      </c>
      <c r="I571" s="317"/>
      <c r="J571" s="317" t="s">
        <v>152</v>
      </c>
      <c r="K571" s="315" t="s">
        <v>3880</v>
      </c>
      <c r="L571" s="315"/>
      <c r="M571" s="317"/>
      <c r="N571" s="320" t="s">
        <v>105</v>
      </c>
      <c r="O571" s="317" t="s">
        <v>478</v>
      </c>
      <c r="P571" s="318" t="s">
        <v>4112</v>
      </c>
      <c r="Q571" s="318" t="s">
        <v>3830</v>
      </c>
      <c r="R571" s="317" t="s">
        <v>4101</v>
      </c>
      <c r="S571" s="317"/>
      <c r="T571" s="317"/>
      <c r="U571" s="317"/>
      <c r="V571" s="317"/>
      <c r="W571" s="317"/>
      <c r="X571" s="317"/>
      <c r="Y571" s="319"/>
    </row>
    <row r="572" spans="1:25" s="91" customFormat="1" hidden="1" x14ac:dyDescent="0.25">
      <c r="A572" s="32" t="s">
        <v>1301</v>
      </c>
      <c r="B572" s="315" t="str">
        <f>IF((COUNTBLANK(G572)=0),Stats!$E$7,IF((COUNTBLANK(E572)=0),IF((COUNTBLANK(F572)=0),IF((COUNTBLANK(U572)=0),Stats!$E$6,Stats!$E$5),Stats!$E$4),""))</f>
        <v>Death</v>
      </c>
      <c r="C572" s="39" t="s">
        <v>284</v>
      </c>
      <c r="D572" s="315"/>
      <c r="E572" s="88">
        <v>43993</v>
      </c>
      <c r="F572" s="316">
        <v>44102</v>
      </c>
      <c r="G572" s="316">
        <v>36893</v>
      </c>
      <c r="H572" s="317" t="s">
        <v>3145</v>
      </c>
      <c r="I572" s="317"/>
      <c r="J572" s="317" t="s">
        <v>152</v>
      </c>
      <c r="K572" s="315" t="s">
        <v>3880</v>
      </c>
      <c r="L572" s="315"/>
      <c r="M572" s="317"/>
      <c r="N572" s="320" t="s">
        <v>105</v>
      </c>
      <c r="O572" s="317" t="s">
        <v>478</v>
      </c>
      <c r="P572" s="318" t="s">
        <v>4112</v>
      </c>
      <c r="Q572" s="318" t="s">
        <v>3830</v>
      </c>
      <c r="R572" s="317"/>
      <c r="S572" s="317"/>
      <c r="T572" s="317" t="s">
        <v>4115</v>
      </c>
      <c r="U572" s="317"/>
      <c r="V572" s="317"/>
      <c r="W572" s="317"/>
      <c r="X572" s="317"/>
      <c r="Y572" s="319"/>
    </row>
    <row r="573" spans="1:25" s="91" customFormat="1" hidden="1" x14ac:dyDescent="0.25">
      <c r="A573" s="32" t="s">
        <v>1302</v>
      </c>
      <c r="B573" s="315" t="str">
        <f>IF((COUNTBLANK(G573)=0),Stats!$E$7,IF((COUNTBLANK(E573)=0),IF((COUNTBLANK(F573)=0),IF((COUNTBLANK(U573)=0),Stats!$E$6,Stats!$E$5),Stats!$E$4),""))</f>
        <v>Death</v>
      </c>
      <c r="C573" s="39" t="s">
        <v>3119</v>
      </c>
      <c r="D573" s="315"/>
      <c r="E573" s="88">
        <v>43993</v>
      </c>
      <c r="F573" s="316">
        <v>44006</v>
      </c>
      <c r="G573" s="316">
        <v>36893</v>
      </c>
      <c r="H573" s="317" t="s">
        <v>3145</v>
      </c>
      <c r="I573" s="317"/>
      <c r="J573" s="317" t="s">
        <v>3085</v>
      </c>
      <c r="K573" s="315" t="s">
        <v>3199</v>
      </c>
      <c r="L573" s="315"/>
      <c r="M573" s="317"/>
      <c r="N573" s="320"/>
      <c r="O573" s="317" t="s">
        <v>4045</v>
      </c>
      <c r="P573" s="318" t="s">
        <v>4117</v>
      </c>
      <c r="Q573" s="318" t="s">
        <v>4118</v>
      </c>
      <c r="R573" s="317" t="s">
        <v>4101</v>
      </c>
      <c r="S573" s="317"/>
      <c r="T573" s="317"/>
      <c r="U573" s="317"/>
      <c r="V573" s="317"/>
      <c r="W573" s="317"/>
      <c r="X573" s="317" t="s">
        <v>4038</v>
      </c>
      <c r="Y573" s="319"/>
    </row>
    <row r="574" spans="1:25" s="91" customFormat="1" hidden="1" x14ac:dyDescent="0.25">
      <c r="A574" s="32" t="s">
        <v>1303</v>
      </c>
      <c r="B574" s="315" t="str">
        <f>IF((COUNTBLANK(G574)=0),Stats!$E$7,IF((COUNTBLANK(E574)=0),IF((COUNTBLANK(F574)=0),IF((COUNTBLANK(U574)=0),Stats!$E$6,Stats!$E$5),Stats!$E$4),""))</f>
        <v>Death</v>
      </c>
      <c r="C574" s="39" t="s">
        <v>3119</v>
      </c>
      <c r="D574" s="315"/>
      <c r="E574" s="88">
        <v>43993</v>
      </c>
      <c r="F574" s="316">
        <v>44007</v>
      </c>
      <c r="G574" s="316">
        <v>36893</v>
      </c>
      <c r="H574" s="317" t="s">
        <v>3145</v>
      </c>
      <c r="I574" s="317"/>
      <c r="J574" s="317" t="s">
        <v>3085</v>
      </c>
      <c r="K574" s="315" t="s">
        <v>3199</v>
      </c>
      <c r="L574" s="315"/>
      <c r="M574" s="317"/>
      <c r="N574" s="320"/>
      <c r="O574" s="317" t="s">
        <v>4045</v>
      </c>
      <c r="P574" s="318" t="s">
        <v>4117</v>
      </c>
      <c r="Q574" s="318" t="s">
        <v>4118</v>
      </c>
      <c r="R574" s="317"/>
      <c r="S574" s="317"/>
      <c r="T574" s="317"/>
      <c r="U574" s="317"/>
      <c r="V574" s="317"/>
      <c r="W574" s="317"/>
      <c r="X574" s="317" t="s">
        <v>4038</v>
      </c>
      <c r="Y574" s="319"/>
    </row>
    <row r="575" spans="1:25" s="91" customFormat="1" hidden="1" x14ac:dyDescent="0.25">
      <c r="A575" s="32" t="s">
        <v>1304</v>
      </c>
      <c r="B575" s="315" t="str">
        <f>IF((COUNTBLANK(G575)=0),Stats!$E$7,IF((COUNTBLANK(E575)=0),IF((COUNTBLANK(F575)=0),IF((COUNTBLANK(U575)=0),Stats!$E$6,Stats!$E$5),Stats!$E$4),""))</f>
        <v>Death</v>
      </c>
      <c r="C575" s="39" t="s">
        <v>3119</v>
      </c>
      <c r="D575" s="315"/>
      <c r="E575" s="88">
        <v>43994</v>
      </c>
      <c r="F575" s="316">
        <v>44006</v>
      </c>
      <c r="G575" s="316">
        <v>36893</v>
      </c>
      <c r="H575" s="317" t="s">
        <v>3145</v>
      </c>
      <c r="I575" s="317"/>
      <c r="J575" s="317" t="s">
        <v>3085</v>
      </c>
      <c r="K575" s="315" t="s">
        <v>3199</v>
      </c>
      <c r="L575" s="315"/>
      <c r="M575" s="317"/>
      <c r="N575" s="320"/>
      <c r="O575" s="317" t="s">
        <v>4045</v>
      </c>
      <c r="P575" s="318" t="s">
        <v>4117</v>
      </c>
      <c r="Q575" s="318" t="s">
        <v>4118</v>
      </c>
      <c r="R575" s="317" t="s">
        <v>4101</v>
      </c>
      <c r="S575" s="317"/>
      <c r="T575" s="317"/>
      <c r="U575" s="317"/>
      <c r="V575" s="317"/>
      <c r="W575" s="317"/>
      <c r="X575" s="317" t="s">
        <v>4038</v>
      </c>
      <c r="Y575" s="319"/>
    </row>
    <row r="576" spans="1:25" s="91" customFormat="1" hidden="1" x14ac:dyDescent="0.25">
      <c r="A576" s="32" t="s">
        <v>1305</v>
      </c>
      <c r="B576" s="315" t="str">
        <f>IF((COUNTBLANK(G576)=0),Stats!$E$7,IF((COUNTBLANK(E576)=0),IF((COUNTBLANK(F576)=0),IF((COUNTBLANK(U576)=0),Stats!$E$6,Stats!$E$5),Stats!$E$4),""))</f>
        <v>Death</v>
      </c>
      <c r="C576" s="39" t="s">
        <v>3119</v>
      </c>
      <c r="D576" s="315"/>
      <c r="E576" s="88">
        <v>43994</v>
      </c>
      <c r="F576" s="316">
        <v>44005</v>
      </c>
      <c r="G576" s="316">
        <v>36893</v>
      </c>
      <c r="H576" s="317" t="s">
        <v>3145</v>
      </c>
      <c r="I576" s="317"/>
      <c r="J576" s="317" t="s">
        <v>3085</v>
      </c>
      <c r="K576" s="315" t="s">
        <v>3199</v>
      </c>
      <c r="L576" s="315"/>
      <c r="M576" s="317"/>
      <c r="N576" s="320"/>
      <c r="O576" s="317" t="s">
        <v>4045</v>
      </c>
      <c r="P576" s="318" t="s">
        <v>4117</v>
      </c>
      <c r="Q576" s="318" t="s">
        <v>4118</v>
      </c>
      <c r="R576" s="317"/>
      <c r="S576" s="317"/>
      <c r="T576" s="317"/>
      <c r="U576" s="317"/>
      <c r="V576" s="317"/>
      <c r="W576" s="317"/>
      <c r="X576" s="317" t="s">
        <v>4038</v>
      </c>
      <c r="Y576" s="319"/>
    </row>
    <row r="577" spans="1:25" s="91" customFormat="1" hidden="1" x14ac:dyDescent="0.25">
      <c r="A577" s="32" t="s">
        <v>1306</v>
      </c>
      <c r="B577" s="315" t="str">
        <f>IF((COUNTBLANK(G577)=0),Stats!$E$7,IF((COUNTBLANK(E577)=0),IF((COUNTBLANK(F577)=0),IF((COUNTBLANK(U577)=0),Stats!$E$6,Stats!$E$5),Stats!$E$4),""))</f>
        <v>Death</v>
      </c>
      <c r="C577" s="39" t="s">
        <v>3119</v>
      </c>
      <c r="D577" s="315"/>
      <c r="E577" s="88">
        <v>43994</v>
      </c>
      <c r="F577" s="316">
        <v>44007</v>
      </c>
      <c r="G577" s="316">
        <v>36893</v>
      </c>
      <c r="H577" s="317" t="s">
        <v>3145</v>
      </c>
      <c r="I577" s="317"/>
      <c r="J577" s="317" t="s">
        <v>3085</v>
      </c>
      <c r="K577" s="315" t="s">
        <v>3199</v>
      </c>
      <c r="L577" s="315"/>
      <c r="M577" s="317"/>
      <c r="N577" s="320"/>
      <c r="O577" s="317" t="s">
        <v>4045</v>
      </c>
      <c r="P577" s="318" t="s">
        <v>4117</v>
      </c>
      <c r="Q577" s="318" t="s">
        <v>4118</v>
      </c>
      <c r="R577" s="317"/>
      <c r="S577" s="317"/>
      <c r="T577" s="317"/>
      <c r="U577" s="317"/>
      <c r="V577" s="317"/>
      <c r="W577" s="317"/>
      <c r="X577" s="317"/>
      <c r="Y577" s="319"/>
    </row>
    <row r="578" spans="1:25" s="91" customFormat="1" hidden="1" x14ac:dyDescent="0.25">
      <c r="A578" s="32" t="s">
        <v>1307</v>
      </c>
      <c r="B578" s="315" t="str">
        <f>IF((COUNTBLANK(G578)=0),Stats!$E$7,IF((COUNTBLANK(E578)=0),IF((COUNTBLANK(F578)=0),IF((COUNTBLANK(U578)=0),Stats!$E$6,Stats!$E$5),Stats!$E$4),""))</f>
        <v>Death</v>
      </c>
      <c r="C578" s="39" t="s">
        <v>284</v>
      </c>
      <c r="D578" s="315"/>
      <c r="E578" s="88">
        <v>44000</v>
      </c>
      <c r="F578" s="316">
        <v>36892</v>
      </c>
      <c r="G578" s="316">
        <v>36893</v>
      </c>
      <c r="H578" s="317" t="s">
        <v>3145</v>
      </c>
      <c r="I578" s="317"/>
      <c r="J578" s="317" t="s">
        <v>302</v>
      </c>
      <c r="K578" s="315" t="s">
        <v>3177</v>
      </c>
      <c r="L578" s="315" t="s">
        <v>4044</v>
      </c>
      <c r="M578" s="317" t="s">
        <v>3093</v>
      </c>
      <c r="N578" s="320" t="s">
        <v>4013</v>
      </c>
      <c r="O578" s="317" t="s">
        <v>478</v>
      </c>
      <c r="P578" s="318" t="s">
        <v>4119</v>
      </c>
      <c r="Q578" s="318" t="s">
        <v>4069</v>
      </c>
      <c r="R578" s="317" t="s">
        <v>3512</v>
      </c>
      <c r="S578" s="317"/>
      <c r="T578" s="317"/>
      <c r="U578" s="317"/>
      <c r="V578" s="317"/>
      <c r="W578" s="317"/>
      <c r="X578" s="317"/>
      <c r="Y578" s="319"/>
    </row>
    <row r="579" spans="1:25" s="91" customFormat="1" hidden="1" x14ac:dyDescent="0.25">
      <c r="A579" s="32" t="s">
        <v>1308</v>
      </c>
      <c r="B579" s="315" t="str">
        <f>IF((COUNTBLANK(G579)=0),Stats!$E$7,IF((COUNTBLANK(E579)=0),IF((COUNTBLANK(F579)=0),IF((COUNTBLANK(U579)=0),Stats!$E$6,Stats!$E$5),Stats!$E$4),""))</f>
        <v>Death</v>
      </c>
      <c r="C579" s="39" t="s">
        <v>284</v>
      </c>
      <c r="D579" s="315"/>
      <c r="E579" s="88">
        <v>44000</v>
      </c>
      <c r="F579" s="316">
        <v>36892</v>
      </c>
      <c r="G579" s="316">
        <v>36893</v>
      </c>
      <c r="H579" s="317" t="s">
        <v>3145</v>
      </c>
      <c r="I579" s="317"/>
      <c r="J579" s="317" t="s">
        <v>302</v>
      </c>
      <c r="K579" s="315" t="s">
        <v>3177</v>
      </c>
      <c r="L579" s="315" t="s">
        <v>4044</v>
      </c>
      <c r="M579" s="317" t="s">
        <v>3093</v>
      </c>
      <c r="N579" s="320" t="s">
        <v>4013</v>
      </c>
      <c r="O579" s="317" t="s">
        <v>478</v>
      </c>
      <c r="P579" s="318" t="s">
        <v>4119</v>
      </c>
      <c r="Q579" s="318" t="s">
        <v>4069</v>
      </c>
      <c r="R579" s="317" t="s">
        <v>3513</v>
      </c>
      <c r="S579" s="317"/>
      <c r="T579" s="317"/>
      <c r="U579" s="317"/>
      <c r="V579" s="317"/>
      <c r="W579" s="317"/>
      <c r="X579" s="317"/>
      <c r="Y579" s="319"/>
    </row>
    <row r="580" spans="1:25" s="91" customFormat="1" hidden="1" x14ac:dyDescent="0.25">
      <c r="A580" s="32" t="s">
        <v>1309</v>
      </c>
      <c r="B580" s="315" t="str">
        <f>IF((COUNTBLANK(G580)=0),Stats!$E$7,IF((COUNTBLANK(E580)=0),IF((COUNTBLANK(F580)=0),IF((COUNTBLANK(U580)=0),Stats!$E$6,Stats!$E$5),Stats!$E$4),""))</f>
        <v>Death</v>
      </c>
      <c r="C580" s="39" t="s">
        <v>284</v>
      </c>
      <c r="D580" s="315"/>
      <c r="E580" s="88">
        <v>44000</v>
      </c>
      <c r="F580" s="316">
        <v>36892</v>
      </c>
      <c r="G580" s="316">
        <v>36893</v>
      </c>
      <c r="H580" s="317" t="s">
        <v>3145</v>
      </c>
      <c r="I580" s="317"/>
      <c r="J580" s="317" t="s">
        <v>302</v>
      </c>
      <c r="K580" s="315" t="s">
        <v>3177</v>
      </c>
      <c r="L580" s="315" t="s">
        <v>4044</v>
      </c>
      <c r="M580" s="317" t="s">
        <v>3093</v>
      </c>
      <c r="N580" s="320" t="s">
        <v>4013</v>
      </c>
      <c r="O580" s="317" t="s">
        <v>478</v>
      </c>
      <c r="P580" s="318" t="s">
        <v>4119</v>
      </c>
      <c r="Q580" s="318" t="s">
        <v>4069</v>
      </c>
      <c r="R580" s="317" t="s">
        <v>4120</v>
      </c>
      <c r="S580" s="317"/>
      <c r="T580" s="317"/>
      <c r="U580" s="317"/>
      <c r="V580" s="317"/>
      <c r="W580" s="317"/>
      <c r="X580" s="317"/>
      <c r="Y580" s="319"/>
    </row>
    <row r="581" spans="1:25" s="91" customFormat="1" hidden="1" x14ac:dyDescent="0.25">
      <c r="A581" s="32" t="s">
        <v>1310</v>
      </c>
      <c r="B581" s="315" t="str">
        <f>IF((COUNTBLANK(G581)=0),Stats!$E$7,IF((COUNTBLANK(E581)=0),IF((COUNTBLANK(F581)=0),IF((COUNTBLANK(U581)=0),Stats!$E$6,Stats!$E$5),Stats!$E$4),""))</f>
        <v>Death</v>
      </c>
      <c r="C581" s="39" t="s">
        <v>284</v>
      </c>
      <c r="D581" s="315"/>
      <c r="E581" s="88">
        <v>44013</v>
      </c>
      <c r="F581" s="316">
        <v>44039</v>
      </c>
      <c r="G581" s="316">
        <v>36893</v>
      </c>
      <c r="H581" s="317" t="s">
        <v>3142</v>
      </c>
      <c r="I581" s="317"/>
      <c r="J581" s="317" t="s">
        <v>152</v>
      </c>
      <c r="K581" s="315" t="s">
        <v>3880</v>
      </c>
      <c r="L581" s="315" t="s">
        <v>3222</v>
      </c>
      <c r="M581" s="317"/>
      <c r="N581" s="320" t="s">
        <v>4121</v>
      </c>
      <c r="O581" s="317" t="s">
        <v>51</v>
      </c>
      <c r="P581" s="318">
        <v>-400</v>
      </c>
      <c r="Q581" s="318">
        <v>600</v>
      </c>
      <c r="R581" s="317"/>
      <c r="S581" s="317"/>
      <c r="T581" s="49" t="s">
        <v>4104</v>
      </c>
      <c r="U581" s="317" t="s">
        <v>4122</v>
      </c>
      <c r="V581" s="317"/>
      <c r="W581" s="317"/>
      <c r="X581" s="317"/>
      <c r="Y581" s="319"/>
    </row>
    <row r="582" spans="1:25" s="91" customFormat="1" hidden="1" x14ac:dyDescent="0.25">
      <c r="A582" s="32" t="s">
        <v>1311</v>
      </c>
      <c r="B582" s="315" t="str">
        <f>IF((COUNTBLANK(G582)=0),Stats!$E$7,IF((COUNTBLANK(E582)=0),IF((COUNTBLANK(F582)=0),IF((COUNTBLANK(U582)=0),Stats!$E$6,Stats!$E$5),Stats!$E$4),""))</f>
        <v>Death</v>
      </c>
      <c r="C582" s="39" t="s">
        <v>284</v>
      </c>
      <c r="D582" s="315"/>
      <c r="E582" s="88">
        <v>44013</v>
      </c>
      <c r="F582" s="316">
        <v>36892</v>
      </c>
      <c r="G582" s="316">
        <v>36893</v>
      </c>
      <c r="H582" s="317" t="s">
        <v>3142</v>
      </c>
      <c r="I582" s="317"/>
      <c r="J582" s="317" t="s">
        <v>152</v>
      </c>
      <c r="K582" s="315" t="s">
        <v>3880</v>
      </c>
      <c r="L582" s="315" t="s">
        <v>3222</v>
      </c>
      <c r="M582" s="317"/>
      <c r="N582" s="320" t="s">
        <v>4121</v>
      </c>
      <c r="O582" s="317" t="s">
        <v>51</v>
      </c>
      <c r="P582" s="318" t="s">
        <v>4123</v>
      </c>
      <c r="Q582" s="318" t="s">
        <v>4075</v>
      </c>
      <c r="R582" s="317"/>
      <c r="S582" s="317"/>
      <c r="T582" s="317"/>
      <c r="U582" s="317"/>
      <c r="V582" s="317"/>
      <c r="W582" s="317"/>
      <c r="X582" s="317"/>
      <c r="Y582" s="319"/>
    </row>
    <row r="583" spans="1:25" s="91" customFormat="1" hidden="1" x14ac:dyDescent="0.25">
      <c r="A583" s="32" t="s">
        <v>1312</v>
      </c>
      <c r="B583" s="315" t="str">
        <f>IF((COUNTBLANK(G583)=0),Stats!$E$7,IF((COUNTBLANK(E583)=0),IF((COUNTBLANK(F583)=0),IF((COUNTBLANK(U583)=0),Stats!$E$6,Stats!$E$5),Stats!$E$4),""))</f>
        <v>Death</v>
      </c>
      <c r="C583" s="39" t="s">
        <v>284</v>
      </c>
      <c r="D583" s="315"/>
      <c r="E583" s="88">
        <v>44013</v>
      </c>
      <c r="F583" s="316">
        <v>44039</v>
      </c>
      <c r="G583" s="316">
        <v>36893</v>
      </c>
      <c r="H583" s="317" t="s">
        <v>3142</v>
      </c>
      <c r="I583" s="317"/>
      <c r="J583" s="317" t="s">
        <v>152</v>
      </c>
      <c r="K583" s="315" t="s">
        <v>3880</v>
      </c>
      <c r="L583" s="315" t="s">
        <v>3222</v>
      </c>
      <c r="M583" s="317"/>
      <c r="N583" s="320" t="s">
        <v>4121</v>
      </c>
      <c r="O583" s="317" t="s">
        <v>51</v>
      </c>
      <c r="P583" s="318" t="s">
        <v>4123</v>
      </c>
      <c r="Q583" s="318" t="s">
        <v>4075</v>
      </c>
      <c r="R583" s="317"/>
      <c r="S583" s="317"/>
      <c r="T583" s="49" t="s">
        <v>4104</v>
      </c>
      <c r="U583" s="317" t="s">
        <v>4124</v>
      </c>
      <c r="V583" s="317"/>
      <c r="W583" s="317"/>
      <c r="X583" s="317" t="s">
        <v>4125</v>
      </c>
      <c r="Y583" s="319"/>
    </row>
    <row r="584" spans="1:25" s="91" customFormat="1" hidden="1" x14ac:dyDescent="0.25">
      <c r="A584" s="32" t="s">
        <v>1313</v>
      </c>
      <c r="B584" s="315" t="str">
        <f>IF((COUNTBLANK(G584)=0),Stats!$E$7,IF((COUNTBLANK(E584)=0),IF((COUNTBLANK(F584)=0),IF((COUNTBLANK(U584)=0),Stats!$E$6,Stats!$E$5),Stats!$E$4),""))</f>
        <v>Death</v>
      </c>
      <c r="C584" s="39" t="s">
        <v>284</v>
      </c>
      <c r="D584" s="315"/>
      <c r="E584" s="88">
        <v>44013</v>
      </c>
      <c r="F584" s="316">
        <v>36892</v>
      </c>
      <c r="G584" s="316">
        <v>36893</v>
      </c>
      <c r="H584" s="317" t="s">
        <v>3142</v>
      </c>
      <c r="I584" s="317"/>
      <c r="J584" s="317" t="s">
        <v>152</v>
      </c>
      <c r="K584" s="315" t="s">
        <v>3880</v>
      </c>
      <c r="L584" s="315" t="s">
        <v>3222</v>
      </c>
      <c r="M584" s="317"/>
      <c r="N584" s="320" t="s">
        <v>4121</v>
      </c>
      <c r="O584" s="317" t="s">
        <v>51</v>
      </c>
      <c r="P584" s="318" t="s">
        <v>4123</v>
      </c>
      <c r="Q584" s="318" t="s">
        <v>4126</v>
      </c>
      <c r="R584" s="317"/>
      <c r="S584" s="317"/>
      <c r="T584" s="317"/>
      <c r="U584" s="317"/>
      <c r="V584" s="317"/>
      <c r="W584" s="317"/>
      <c r="X584" s="317"/>
      <c r="Y584" s="319"/>
    </row>
    <row r="585" spans="1:25" s="91" customFormat="1" hidden="1" x14ac:dyDescent="0.25">
      <c r="A585" s="32" t="s">
        <v>1314</v>
      </c>
      <c r="B585" s="315" t="str">
        <f>IF((COUNTBLANK(G585)=0),Stats!$E$7,IF((COUNTBLANK(E585)=0),IF((COUNTBLANK(F585)=0),IF((COUNTBLANK(U585)=0),Stats!$E$6,Stats!$E$5),Stats!$E$4),""))</f>
        <v>Death</v>
      </c>
      <c r="C585" s="39" t="s">
        <v>284</v>
      </c>
      <c r="D585" s="315"/>
      <c r="E585" s="88">
        <v>44013</v>
      </c>
      <c r="F585" s="316">
        <v>44040</v>
      </c>
      <c r="G585" s="316">
        <v>36893</v>
      </c>
      <c r="H585" s="317" t="s">
        <v>3142</v>
      </c>
      <c r="I585" s="317"/>
      <c r="J585" s="317" t="s">
        <v>152</v>
      </c>
      <c r="K585" s="315" t="s">
        <v>3880</v>
      </c>
      <c r="L585" s="315" t="s">
        <v>3222</v>
      </c>
      <c r="M585" s="317"/>
      <c r="N585" s="320" t="s">
        <v>4121</v>
      </c>
      <c r="O585" s="317" t="s">
        <v>51</v>
      </c>
      <c r="P585" s="318" t="s">
        <v>4123</v>
      </c>
      <c r="Q585" s="318" t="s">
        <v>4069</v>
      </c>
      <c r="R585" s="317"/>
      <c r="S585" s="317"/>
      <c r="T585" s="317" t="s">
        <v>4127</v>
      </c>
      <c r="U585" s="317" t="s">
        <v>4128</v>
      </c>
      <c r="V585" s="317"/>
      <c r="W585" s="317"/>
      <c r="X585" s="317" t="s">
        <v>4129</v>
      </c>
      <c r="Y585" s="319"/>
    </row>
    <row r="586" spans="1:25" s="91" customFormat="1" hidden="1" x14ac:dyDescent="0.25">
      <c r="A586" s="32" t="s">
        <v>1315</v>
      </c>
      <c r="B586" s="315" t="str">
        <f>IF((COUNTBLANK(G586)=0),Stats!$E$7,IF((COUNTBLANK(E586)=0),IF((COUNTBLANK(F586)=0),IF((COUNTBLANK(U586)=0),Stats!$E$6,Stats!$E$5),Stats!$E$4),""))</f>
        <v>Death</v>
      </c>
      <c r="C586" s="39" t="s">
        <v>284</v>
      </c>
      <c r="D586" s="315"/>
      <c r="E586" s="88">
        <v>44013</v>
      </c>
      <c r="F586" s="316">
        <v>44040</v>
      </c>
      <c r="G586" s="316">
        <v>36893</v>
      </c>
      <c r="H586" s="317" t="s">
        <v>3142</v>
      </c>
      <c r="I586" s="317"/>
      <c r="J586" s="317" t="s">
        <v>152</v>
      </c>
      <c r="K586" s="315" t="s">
        <v>3880</v>
      </c>
      <c r="L586" s="315" t="s">
        <v>3222</v>
      </c>
      <c r="M586" s="317"/>
      <c r="N586" s="320" t="s">
        <v>4121</v>
      </c>
      <c r="O586" s="317" t="s">
        <v>51</v>
      </c>
      <c r="P586" s="318" t="s">
        <v>4123</v>
      </c>
      <c r="Q586" s="318" t="s">
        <v>4126</v>
      </c>
      <c r="R586" s="317"/>
      <c r="S586" s="317"/>
      <c r="T586" s="49" t="s">
        <v>4104</v>
      </c>
      <c r="U586" s="317" t="s">
        <v>4130</v>
      </c>
      <c r="V586" s="317"/>
      <c r="W586" s="317"/>
      <c r="X586" s="317" t="s">
        <v>4131</v>
      </c>
      <c r="Y586" s="319"/>
    </row>
    <row r="587" spans="1:25" s="91" customFormat="1" hidden="1" x14ac:dyDescent="0.25">
      <c r="A587" s="32" t="s">
        <v>1316</v>
      </c>
      <c r="B587" s="315" t="str">
        <f>IF((COUNTBLANK(G587)=0),Stats!$E$7,IF((COUNTBLANK(E587)=0),IF((COUNTBLANK(F587)=0),IF((COUNTBLANK(U587)=0),Stats!$E$6,Stats!$E$5),Stats!$E$4),""))</f>
        <v>Death</v>
      </c>
      <c r="C587" s="39" t="s">
        <v>284</v>
      </c>
      <c r="D587" s="315"/>
      <c r="E587" s="88">
        <v>44014</v>
      </c>
      <c r="F587" s="316">
        <v>44040</v>
      </c>
      <c r="G587" s="316">
        <v>36893</v>
      </c>
      <c r="H587" s="317" t="s">
        <v>3128</v>
      </c>
      <c r="I587" s="317"/>
      <c r="J587" s="317" t="s">
        <v>3186</v>
      </c>
      <c r="K587" s="315" t="s">
        <v>4025</v>
      </c>
      <c r="L587" s="315"/>
      <c r="M587" s="317"/>
      <c r="N587" s="320" t="s">
        <v>105</v>
      </c>
      <c r="O587" s="317" t="s">
        <v>4132</v>
      </c>
      <c r="P587" s="318" t="s">
        <v>4133</v>
      </c>
      <c r="Q587" s="318" t="s">
        <v>4134</v>
      </c>
      <c r="R587" s="317"/>
      <c r="S587" s="317"/>
      <c r="T587" s="49" t="s">
        <v>4104</v>
      </c>
      <c r="U587" s="317" t="s">
        <v>4124</v>
      </c>
      <c r="V587" s="317"/>
      <c r="W587" s="317"/>
      <c r="X587" s="317"/>
      <c r="Y587" s="319"/>
    </row>
    <row r="588" spans="1:25" s="91" customFormat="1" hidden="1" x14ac:dyDescent="0.25">
      <c r="A588" s="32" t="s">
        <v>1317</v>
      </c>
      <c r="B588" s="315" t="str">
        <f>IF((COUNTBLANK(G588)=0),Stats!$E$7,IF((COUNTBLANK(E588)=0),IF((COUNTBLANK(F588)=0),IF((COUNTBLANK(U588)=0),Stats!$E$6,Stats!$E$5),Stats!$E$4),""))</f>
        <v>Death</v>
      </c>
      <c r="C588" s="39" t="s">
        <v>284</v>
      </c>
      <c r="D588" s="315"/>
      <c r="E588" s="88">
        <v>44014</v>
      </c>
      <c r="F588" s="316">
        <v>44097</v>
      </c>
      <c r="G588" s="316">
        <v>36893</v>
      </c>
      <c r="H588" s="317" t="s">
        <v>3152</v>
      </c>
      <c r="I588" s="317"/>
      <c r="J588" s="317" t="s">
        <v>152</v>
      </c>
      <c r="K588" s="315"/>
      <c r="L588" s="315"/>
      <c r="M588" s="317"/>
      <c r="N588" s="320"/>
      <c r="O588" s="317" t="s">
        <v>51</v>
      </c>
      <c r="P588" s="318" t="s">
        <v>3965</v>
      </c>
      <c r="Q588" s="318" t="s">
        <v>3830</v>
      </c>
      <c r="R588" s="317"/>
      <c r="S588" s="317"/>
      <c r="T588" s="317" t="s">
        <v>4127</v>
      </c>
      <c r="U588" s="317"/>
      <c r="V588" s="317"/>
      <c r="W588" s="317"/>
      <c r="X588" s="317"/>
      <c r="Y588" s="319"/>
    </row>
    <row r="589" spans="1:25" s="91" customFormat="1" hidden="1" x14ac:dyDescent="0.25">
      <c r="A589" s="32" t="s">
        <v>1318</v>
      </c>
      <c r="B589" s="315" t="str">
        <f>IF((COUNTBLANK(G589)=0),Stats!$E$7,IF((COUNTBLANK(E589)=0),IF((COUNTBLANK(F589)=0),IF((COUNTBLANK(U589)=0),Stats!$E$6,Stats!$E$5),Stats!$E$4),""))</f>
        <v>Death</v>
      </c>
      <c r="C589" s="39" t="s">
        <v>284</v>
      </c>
      <c r="D589" s="315"/>
      <c r="E589" s="88">
        <v>44014</v>
      </c>
      <c r="F589" s="316">
        <v>44097</v>
      </c>
      <c r="G589" s="316">
        <v>36893</v>
      </c>
      <c r="H589" s="317" t="s">
        <v>3152</v>
      </c>
      <c r="I589" s="317"/>
      <c r="J589" s="317" t="s">
        <v>152</v>
      </c>
      <c r="K589" s="315"/>
      <c r="L589" s="315"/>
      <c r="M589" s="317"/>
      <c r="N589" s="320"/>
      <c r="O589" s="317" t="s">
        <v>51</v>
      </c>
      <c r="P589" s="318" t="s">
        <v>3965</v>
      </c>
      <c r="Q589" s="318" t="s">
        <v>3830</v>
      </c>
      <c r="R589" s="317"/>
      <c r="S589" s="317"/>
      <c r="T589" s="317" t="s">
        <v>4135</v>
      </c>
      <c r="U589" s="317"/>
      <c r="V589" s="317"/>
      <c r="W589" s="317"/>
      <c r="X589" s="317"/>
      <c r="Y589" s="319"/>
    </row>
    <row r="590" spans="1:25" s="91" customFormat="1" hidden="1" x14ac:dyDescent="0.25">
      <c r="A590" s="32" t="s">
        <v>1319</v>
      </c>
      <c r="B590" s="315" t="str">
        <f>IF((COUNTBLANK(G590)=0),Stats!$E$7,IF((COUNTBLANK(E590)=0),IF((COUNTBLANK(F590)=0),IF((COUNTBLANK(U590)=0),Stats!$E$6,Stats!$E$5),Stats!$E$4),""))</f>
        <v>Death</v>
      </c>
      <c r="C590" s="39" t="s">
        <v>284</v>
      </c>
      <c r="D590" s="315"/>
      <c r="E590" s="88">
        <v>44014</v>
      </c>
      <c r="F590" s="316">
        <v>36892</v>
      </c>
      <c r="G590" s="316">
        <v>36893</v>
      </c>
      <c r="H590" s="317" t="s">
        <v>3152</v>
      </c>
      <c r="I590" s="317"/>
      <c r="J590" s="317" t="s">
        <v>152</v>
      </c>
      <c r="K590" s="315"/>
      <c r="L590" s="315"/>
      <c r="M590" s="317"/>
      <c r="N590" s="320"/>
      <c r="O590" s="317" t="s">
        <v>51</v>
      </c>
      <c r="P590" s="318" t="s">
        <v>3965</v>
      </c>
      <c r="Q590" s="318" t="s">
        <v>4069</v>
      </c>
      <c r="R590" s="317"/>
      <c r="S590" s="317"/>
      <c r="T590" s="317" t="s">
        <v>4136</v>
      </c>
      <c r="U590" s="317"/>
      <c r="V590" s="317"/>
      <c r="W590" s="317"/>
      <c r="X590" s="317"/>
      <c r="Y590" s="319"/>
    </row>
    <row r="591" spans="1:25" s="91" customFormat="1" hidden="1" x14ac:dyDescent="0.25">
      <c r="A591" s="32" t="s">
        <v>1320</v>
      </c>
      <c r="B591" s="315" t="str">
        <f>IF((COUNTBLANK(G591)=0),Stats!$E$7,IF((COUNTBLANK(E591)=0),IF((COUNTBLANK(F591)=0),IF((COUNTBLANK(U591)=0),Stats!$E$6,Stats!$E$5),Stats!$E$4),""))</f>
        <v>Death</v>
      </c>
      <c r="C591" s="39" t="s">
        <v>284</v>
      </c>
      <c r="D591" s="315"/>
      <c r="E591" s="88">
        <v>44014</v>
      </c>
      <c r="F591" s="316">
        <v>44110</v>
      </c>
      <c r="G591" s="316">
        <v>36893</v>
      </c>
      <c r="H591" s="317" t="s">
        <v>3152</v>
      </c>
      <c r="I591" s="317"/>
      <c r="J591" s="317" t="s">
        <v>152</v>
      </c>
      <c r="K591" s="315"/>
      <c r="L591" s="315"/>
      <c r="M591" s="317"/>
      <c r="N591" s="320"/>
      <c r="O591" s="317" t="s">
        <v>51</v>
      </c>
      <c r="P591" s="318" t="s">
        <v>3965</v>
      </c>
      <c r="Q591" s="318" t="s">
        <v>4069</v>
      </c>
      <c r="R591" s="317"/>
      <c r="S591" s="317"/>
      <c r="T591" s="317" t="s">
        <v>4137</v>
      </c>
      <c r="U591" s="317"/>
      <c r="V591" s="317"/>
      <c r="W591" s="317"/>
      <c r="X591" s="317"/>
      <c r="Y591" s="319"/>
    </row>
    <row r="592" spans="1:25" s="91" customFormat="1" hidden="1" x14ac:dyDescent="0.25">
      <c r="A592" s="32" t="s">
        <v>1321</v>
      </c>
      <c r="B592" s="315" t="str">
        <f>IF((COUNTBLANK(G592)=0),Stats!$E$7,IF((COUNTBLANK(E592)=0),IF((COUNTBLANK(F592)=0),IF((COUNTBLANK(U592)=0),Stats!$E$6,Stats!$E$5),Stats!$E$4),""))</f>
        <v>Death</v>
      </c>
      <c r="C592" s="39" t="s">
        <v>284</v>
      </c>
      <c r="D592" s="315"/>
      <c r="E592" s="88">
        <v>44015</v>
      </c>
      <c r="F592" s="316">
        <v>40458</v>
      </c>
      <c r="G592" s="316">
        <v>36893</v>
      </c>
      <c r="H592" s="317" t="s">
        <v>3152</v>
      </c>
      <c r="I592" s="317"/>
      <c r="J592" s="317" t="s">
        <v>152</v>
      </c>
      <c r="K592" s="315"/>
      <c r="L592" s="315"/>
      <c r="M592" s="317"/>
      <c r="N592" s="320"/>
      <c r="O592" s="317" t="s">
        <v>51</v>
      </c>
      <c r="P592" s="318" t="s">
        <v>3965</v>
      </c>
      <c r="Q592" s="318" t="s">
        <v>4069</v>
      </c>
      <c r="R592" s="317"/>
      <c r="S592" s="317"/>
      <c r="T592" s="317" t="s">
        <v>4104</v>
      </c>
      <c r="U592" s="317"/>
      <c r="V592" s="317"/>
      <c r="W592" s="317"/>
      <c r="X592" s="317"/>
      <c r="Y592" s="319"/>
    </row>
    <row r="593" spans="1:25" s="91" customFormat="1" hidden="1" x14ac:dyDescent="0.25">
      <c r="A593" s="32" t="s">
        <v>1322</v>
      </c>
      <c r="B593" s="315" t="str">
        <f>IF((COUNTBLANK(G593)=0),Stats!$E$7,IF((COUNTBLANK(E593)=0),IF((COUNTBLANK(F593)=0),IF((COUNTBLANK(U593)=0),Stats!$E$6,Stats!$E$5),Stats!$E$4),""))</f>
        <v>Death</v>
      </c>
      <c r="C593" s="39" t="s">
        <v>284</v>
      </c>
      <c r="D593" s="315"/>
      <c r="E593" s="88">
        <v>44015</v>
      </c>
      <c r="F593" s="316">
        <v>36892</v>
      </c>
      <c r="G593" s="316">
        <v>36893</v>
      </c>
      <c r="H593" s="317" t="s">
        <v>3152</v>
      </c>
      <c r="I593" s="317"/>
      <c r="J593" s="317" t="s">
        <v>152</v>
      </c>
      <c r="K593" s="315"/>
      <c r="L593" s="315"/>
      <c r="M593" s="317"/>
      <c r="N593" s="320"/>
      <c r="O593" s="317" t="s">
        <v>51</v>
      </c>
      <c r="P593" s="318" t="s">
        <v>3965</v>
      </c>
      <c r="Q593" s="318" t="s">
        <v>4069</v>
      </c>
      <c r="R593" s="317"/>
      <c r="S593" s="317"/>
      <c r="T593" s="317"/>
      <c r="U593" s="317"/>
      <c r="V593" s="317"/>
      <c r="W593" s="317"/>
      <c r="X593" s="323">
        <v>44055</v>
      </c>
      <c r="Y593" s="319"/>
    </row>
    <row r="594" spans="1:25" s="91" customFormat="1" hidden="1" x14ac:dyDescent="0.25">
      <c r="A594" s="32" t="s">
        <v>1322</v>
      </c>
      <c r="B594" s="315" t="str">
        <f>IF((COUNTBLANK(G594)=0),Stats!$E$7,IF((COUNTBLANK(E594)=0),IF((COUNTBLANK(F594)=0),IF((COUNTBLANK(U594)=0),Stats!$E$6,Stats!$E$5),Stats!$E$4),""))</f>
        <v>Death</v>
      </c>
      <c r="C594" s="39" t="s">
        <v>284</v>
      </c>
      <c r="D594" s="315"/>
      <c r="E594" s="88">
        <v>44015</v>
      </c>
      <c r="F594" s="316">
        <v>36892</v>
      </c>
      <c r="G594" s="316">
        <v>36893</v>
      </c>
      <c r="H594" s="317" t="s">
        <v>3152</v>
      </c>
      <c r="I594" s="317"/>
      <c r="J594" s="317" t="s">
        <v>152</v>
      </c>
      <c r="K594" s="315" t="s">
        <v>4025</v>
      </c>
      <c r="L594" s="315"/>
      <c r="M594" s="317"/>
      <c r="N594" s="320" t="s">
        <v>105</v>
      </c>
      <c r="O594" s="317" t="s">
        <v>51</v>
      </c>
      <c r="P594" s="318" t="s">
        <v>3965</v>
      </c>
      <c r="Q594" s="318" t="s">
        <v>3830</v>
      </c>
      <c r="R594" s="317"/>
      <c r="S594" s="317"/>
      <c r="T594" s="317"/>
      <c r="U594" s="317"/>
      <c r="V594" s="317"/>
      <c r="W594" s="317"/>
      <c r="X594" s="317"/>
      <c r="Y594" s="319"/>
    </row>
    <row r="595" spans="1:25" s="91" customFormat="1" hidden="1" x14ac:dyDescent="0.25">
      <c r="A595" s="32" t="s">
        <v>4138</v>
      </c>
      <c r="B595" s="315" t="str">
        <f>IF((COUNTBLANK(G595)=0),Stats!$E$7,IF((COUNTBLANK(E595)=0),IF((COUNTBLANK(F595)=0),IF((COUNTBLANK(U595)=0),Stats!$E$6,Stats!$E$5),Stats!$E$4),""))</f>
        <v>Death</v>
      </c>
      <c r="C595" s="39" t="s">
        <v>284</v>
      </c>
      <c r="D595" s="315"/>
      <c r="E595" s="88">
        <v>43987</v>
      </c>
      <c r="F595" s="316">
        <v>44103</v>
      </c>
      <c r="G595" s="316">
        <v>36893</v>
      </c>
      <c r="H595" s="317" t="s">
        <v>3152</v>
      </c>
      <c r="I595" s="317"/>
      <c r="J595" s="317" t="s">
        <v>152</v>
      </c>
      <c r="K595" s="315"/>
      <c r="L595" s="315"/>
      <c r="M595" s="317"/>
      <c r="N595" s="320"/>
      <c r="O595" s="317" t="s">
        <v>478</v>
      </c>
      <c r="P595" s="318" t="s">
        <v>4112</v>
      </c>
      <c r="Q595" s="318" t="s">
        <v>3830</v>
      </c>
      <c r="R595" s="317"/>
      <c r="S595" s="317"/>
      <c r="T595" s="317" t="s">
        <v>4104</v>
      </c>
      <c r="U595" s="317"/>
      <c r="V595" s="317"/>
      <c r="W595" s="317"/>
      <c r="X595" s="317"/>
      <c r="Y595" s="319"/>
    </row>
    <row r="596" spans="1:25" s="91" customFormat="1" hidden="1" x14ac:dyDescent="0.25">
      <c r="A596" s="32" t="s">
        <v>4139</v>
      </c>
      <c r="B596" s="315" t="str">
        <f>IF((COUNTBLANK(G596)=0),Stats!$E$7,IF((COUNTBLANK(E596)=0),IF((COUNTBLANK(F596)=0),IF((COUNTBLANK(U596)=0),Stats!$E$6,Stats!$E$5),Stats!$E$4),""))</f>
        <v>Death</v>
      </c>
      <c r="C596" s="39" t="s">
        <v>284</v>
      </c>
      <c r="D596" s="315"/>
      <c r="E596" s="88">
        <v>43987</v>
      </c>
      <c r="F596" s="316">
        <v>44103</v>
      </c>
      <c r="G596" s="316">
        <v>36893</v>
      </c>
      <c r="H596" s="317" t="s">
        <v>3152</v>
      </c>
      <c r="I596" s="317"/>
      <c r="J596" s="317" t="s">
        <v>152</v>
      </c>
      <c r="K596" s="315"/>
      <c r="L596" s="315"/>
      <c r="M596" s="317"/>
      <c r="N596" s="320"/>
      <c r="O596" s="317" t="s">
        <v>478</v>
      </c>
      <c r="P596" s="318" t="s">
        <v>4112</v>
      </c>
      <c r="Q596" s="318" t="s">
        <v>3830</v>
      </c>
      <c r="R596" s="317"/>
      <c r="S596" s="317"/>
      <c r="T596" s="317"/>
      <c r="U596" s="317"/>
      <c r="V596" s="317"/>
      <c r="W596" s="317"/>
      <c r="X596" s="317"/>
      <c r="Y596" s="319"/>
    </row>
    <row r="597" spans="1:25" s="91" customFormat="1" hidden="1" x14ac:dyDescent="0.25">
      <c r="A597" s="32" t="s">
        <v>4140</v>
      </c>
      <c r="B597" s="315" t="str">
        <f>IF((COUNTBLANK(G597)=0),Stats!$E$7,IF((COUNTBLANK(E597)=0),IF((COUNTBLANK(F597)=0),IF((COUNTBLANK(U597)=0),Stats!$E$6,Stats!$E$5),Stats!$E$4),""))</f>
        <v>Death</v>
      </c>
      <c r="C597" s="39" t="s">
        <v>284</v>
      </c>
      <c r="D597" s="315"/>
      <c r="E597" s="88">
        <v>44015</v>
      </c>
      <c r="F597" s="316">
        <v>44046</v>
      </c>
      <c r="G597" s="316">
        <v>36893</v>
      </c>
      <c r="H597" s="317" t="s">
        <v>3152</v>
      </c>
      <c r="I597" s="317"/>
      <c r="J597" s="317" t="s">
        <v>152</v>
      </c>
      <c r="K597" s="315" t="s">
        <v>4025</v>
      </c>
      <c r="L597" s="315"/>
      <c r="M597" s="317"/>
      <c r="N597" s="320" t="s">
        <v>105</v>
      </c>
      <c r="O597" s="317" t="s">
        <v>51</v>
      </c>
      <c r="P597" s="318" t="s">
        <v>3965</v>
      </c>
      <c r="Q597" s="318" t="s">
        <v>3830</v>
      </c>
      <c r="R597" s="317"/>
      <c r="S597" s="317"/>
      <c r="T597" s="317"/>
      <c r="U597" s="317" t="s">
        <v>4141</v>
      </c>
      <c r="V597" s="317"/>
      <c r="W597" s="317"/>
      <c r="X597" s="317"/>
      <c r="Y597" s="319"/>
    </row>
    <row r="598" spans="1:25" s="91" customFormat="1" hidden="1" x14ac:dyDescent="0.25">
      <c r="A598" s="32" t="s">
        <v>1323</v>
      </c>
      <c r="B598" s="315" t="str">
        <f>IF((COUNTBLANK(G598)=0),Stats!$E$7,IF((COUNTBLANK(E598)=0),IF((COUNTBLANK(F598)=0),IF((COUNTBLANK(U598)=0),Stats!$E$6,Stats!$E$5),Stats!$E$4),""))</f>
        <v>Death</v>
      </c>
      <c r="C598" s="39" t="s">
        <v>284</v>
      </c>
      <c r="D598" s="315"/>
      <c r="E598" s="88">
        <v>44027</v>
      </c>
      <c r="F598" s="316">
        <v>36892</v>
      </c>
      <c r="G598" s="316">
        <v>36893</v>
      </c>
      <c r="H598" s="317" t="s">
        <v>3152</v>
      </c>
      <c r="I598" s="317"/>
      <c r="J598" s="317" t="s">
        <v>3186</v>
      </c>
      <c r="K598" s="315" t="s">
        <v>4025</v>
      </c>
      <c r="L598" s="315"/>
      <c r="M598" s="317"/>
      <c r="N598" s="320" t="s">
        <v>105</v>
      </c>
      <c r="O598" s="317" t="s">
        <v>478</v>
      </c>
      <c r="P598" s="318" t="s">
        <v>4112</v>
      </c>
      <c r="Q598" s="318" t="s">
        <v>4075</v>
      </c>
      <c r="R598" s="317"/>
      <c r="S598" s="317"/>
      <c r="T598" s="317"/>
      <c r="U598" s="317" t="s">
        <v>4141</v>
      </c>
      <c r="V598" s="317"/>
      <c r="W598" s="317"/>
      <c r="X598" s="317"/>
      <c r="Y598" s="319"/>
    </row>
    <row r="599" spans="1:25" s="91" customFormat="1" hidden="1" x14ac:dyDescent="0.25">
      <c r="A599" s="32" t="s">
        <v>1324</v>
      </c>
      <c r="B599" s="315" t="str">
        <f>IF((COUNTBLANK(G599)=0),Stats!$E$7,IF((COUNTBLANK(E599)=0),IF((COUNTBLANK(F599)=0),IF((COUNTBLANK(U599)=0),Stats!$E$6,Stats!$E$5),Stats!$E$4),""))</f>
        <v>Death</v>
      </c>
      <c r="C599" s="39" t="s">
        <v>284</v>
      </c>
      <c r="D599" s="315"/>
      <c r="E599" s="88">
        <v>44027</v>
      </c>
      <c r="F599" s="316">
        <v>44049</v>
      </c>
      <c r="G599" s="316">
        <v>36893</v>
      </c>
      <c r="H599" s="317" t="s">
        <v>3152</v>
      </c>
      <c r="I599" s="317"/>
      <c r="J599" s="317" t="s">
        <v>3186</v>
      </c>
      <c r="K599" s="315" t="s">
        <v>4025</v>
      </c>
      <c r="L599" s="315"/>
      <c r="M599" s="317"/>
      <c r="N599" s="320" t="s">
        <v>105</v>
      </c>
      <c r="O599" s="317" t="s">
        <v>478</v>
      </c>
      <c r="P599" s="318" t="s">
        <v>4112</v>
      </c>
      <c r="Q599" s="318" t="s">
        <v>4075</v>
      </c>
      <c r="R599" s="317"/>
      <c r="S599" s="317"/>
      <c r="T599" s="317" t="s">
        <v>4142</v>
      </c>
      <c r="U599" s="317" t="s">
        <v>4143</v>
      </c>
      <c r="V599" s="317"/>
      <c r="W599" s="317"/>
      <c r="X599" s="317"/>
      <c r="Y599" s="319"/>
    </row>
    <row r="600" spans="1:25" s="91" customFormat="1" hidden="1" x14ac:dyDescent="0.25">
      <c r="A600" s="32" t="s">
        <v>1325</v>
      </c>
      <c r="B600" s="315" t="str">
        <f>IF((COUNTBLANK(G600)=0),Stats!$E$7,IF((COUNTBLANK(E600)=0),IF((COUNTBLANK(F600)=0),IF((COUNTBLANK(U600)=0),Stats!$E$6,Stats!$E$5),Stats!$E$4),""))</f>
        <v>Death</v>
      </c>
      <c r="C600" s="39" t="s">
        <v>284</v>
      </c>
      <c r="D600" s="315"/>
      <c r="E600" s="88">
        <v>44027</v>
      </c>
      <c r="F600" s="316">
        <v>44049</v>
      </c>
      <c r="G600" s="316">
        <v>36893</v>
      </c>
      <c r="H600" s="317" t="s">
        <v>3152</v>
      </c>
      <c r="I600" s="317"/>
      <c r="J600" s="317" t="s">
        <v>3186</v>
      </c>
      <c r="K600" s="315" t="s">
        <v>4025</v>
      </c>
      <c r="L600" s="315"/>
      <c r="M600" s="317"/>
      <c r="N600" s="320" t="s">
        <v>105</v>
      </c>
      <c r="O600" s="317" t="s">
        <v>478</v>
      </c>
      <c r="P600" s="318" t="s">
        <v>4112</v>
      </c>
      <c r="Q600" s="318" t="s">
        <v>4075</v>
      </c>
      <c r="R600" s="317"/>
      <c r="S600" s="317"/>
      <c r="T600" s="317"/>
      <c r="U600" s="317" t="s">
        <v>4143</v>
      </c>
      <c r="V600" s="317"/>
      <c r="W600" s="317"/>
      <c r="X600" s="317" t="s">
        <v>4144</v>
      </c>
      <c r="Y600" s="319"/>
    </row>
    <row r="601" spans="1:25" s="91" customFormat="1" hidden="1" x14ac:dyDescent="0.25">
      <c r="A601" s="32" t="s">
        <v>1326</v>
      </c>
      <c r="B601" s="315" t="str">
        <f>IF((COUNTBLANK(G601)=0),Stats!$E$7,IF((COUNTBLANK(E601)=0),IF((COUNTBLANK(F601)=0),IF((COUNTBLANK(U601)=0),Stats!$E$6,Stats!$E$5),Stats!$E$4),""))</f>
        <v>Death</v>
      </c>
      <c r="C601" s="39" t="s">
        <v>284</v>
      </c>
      <c r="D601" s="315"/>
      <c r="E601" s="88">
        <v>44027</v>
      </c>
      <c r="F601" s="316">
        <v>44081</v>
      </c>
      <c r="G601" s="316">
        <v>36893</v>
      </c>
      <c r="H601" s="317" t="s">
        <v>3152</v>
      </c>
      <c r="I601" s="317"/>
      <c r="J601" s="317" t="s">
        <v>3186</v>
      </c>
      <c r="K601" s="315" t="s">
        <v>4025</v>
      </c>
      <c r="L601" s="315"/>
      <c r="M601" s="317"/>
      <c r="N601" s="320" t="s">
        <v>105</v>
      </c>
      <c r="O601" s="317" t="s">
        <v>478</v>
      </c>
      <c r="P601" s="318" t="s">
        <v>4112</v>
      </c>
      <c r="Q601" s="318" t="s">
        <v>4075</v>
      </c>
      <c r="R601" s="317"/>
      <c r="S601" s="317"/>
      <c r="T601" s="317"/>
      <c r="U601" s="317"/>
      <c r="V601" s="317"/>
      <c r="W601" s="317"/>
      <c r="X601" s="317" t="s">
        <v>4145</v>
      </c>
      <c r="Y601" s="319"/>
    </row>
    <row r="602" spans="1:25" s="91" customFormat="1" hidden="1" x14ac:dyDescent="0.25">
      <c r="A602" s="32" t="s">
        <v>1327</v>
      </c>
      <c r="B602" s="315" t="str">
        <f>IF((COUNTBLANK(G602)=0),Stats!$E$7,IF((COUNTBLANK(E602)=0),IF((COUNTBLANK(F602)=0),IF((COUNTBLANK(U602)=0),Stats!$E$6,Stats!$E$5),Stats!$E$4),""))</f>
        <v>Death</v>
      </c>
      <c r="C602" s="39" t="s">
        <v>284</v>
      </c>
      <c r="D602" s="315"/>
      <c r="E602" s="88">
        <v>44027</v>
      </c>
      <c r="F602" s="316">
        <v>36892</v>
      </c>
      <c r="G602" s="316">
        <v>36893</v>
      </c>
      <c r="H602" s="317" t="s">
        <v>3152</v>
      </c>
      <c r="I602" s="317"/>
      <c r="J602" s="317" t="s">
        <v>3186</v>
      </c>
      <c r="K602" s="315" t="s">
        <v>4025</v>
      </c>
      <c r="L602" s="315"/>
      <c r="M602" s="317"/>
      <c r="N602" s="320" t="s">
        <v>105</v>
      </c>
      <c r="O602" s="317" t="s">
        <v>478</v>
      </c>
      <c r="P602" s="318" t="s">
        <v>4112</v>
      </c>
      <c r="Q602" s="318" t="s">
        <v>4075</v>
      </c>
      <c r="R602" s="317"/>
      <c r="S602" s="317"/>
      <c r="T602" s="317"/>
      <c r="U602" s="317"/>
      <c r="V602" s="317"/>
      <c r="W602" s="317"/>
      <c r="X602" s="317"/>
      <c r="Y602" s="319"/>
    </row>
    <row r="603" spans="1:25" s="91" customFormat="1" hidden="1" x14ac:dyDescent="0.25">
      <c r="A603" s="32" t="s">
        <v>1328</v>
      </c>
      <c r="B603" s="315" t="str">
        <f>IF((COUNTBLANK(G603)=0),Stats!$E$7,IF((COUNTBLANK(E603)=0),IF((COUNTBLANK(F603)=0),IF((COUNTBLANK(U603)=0),Stats!$E$6,Stats!$E$5),Stats!$E$4),""))</f>
        <v>Death</v>
      </c>
      <c r="C603" s="39" t="s">
        <v>4146</v>
      </c>
      <c r="D603" s="315"/>
      <c r="E603" s="88">
        <v>44028</v>
      </c>
      <c r="F603" s="316">
        <v>44054</v>
      </c>
      <c r="G603" s="316">
        <v>36893</v>
      </c>
      <c r="H603" s="317" t="s">
        <v>3152</v>
      </c>
      <c r="I603" s="317"/>
      <c r="J603" s="317" t="s">
        <v>152</v>
      </c>
      <c r="K603" s="315" t="s">
        <v>4147</v>
      </c>
      <c r="L603" s="315"/>
      <c r="M603" s="317"/>
      <c r="N603" s="320"/>
      <c r="O603" s="317" t="s">
        <v>4045</v>
      </c>
      <c r="P603" s="318" t="s">
        <v>4148</v>
      </c>
      <c r="Q603" s="318">
        <v>400</v>
      </c>
      <c r="R603" s="317"/>
      <c r="S603" s="317"/>
      <c r="T603" s="317" t="s">
        <v>4127</v>
      </c>
      <c r="U603" s="317"/>
      <c r="V603" s="317"/>
      <c r="W603" s="317"/>
      <c r="X603" s="317"/>
      <c r="Y603" s="319"/>
    </row>
    <row r="604" spans="1:25" s="91" customFormat="1" hidden="1" x14ac:dyDescent="0.25">
      <c r="A604" s="32" t="s">
        <v>1329</v>
      </c>
      <c r="B604" s="315" t="str">
        <f>IF((COUNTBLANK(G604)=0),Stats!$E$7,IF((COUNTBLANK(E604)=0),IF((COUNTBLANK(F604)=0),IF((COUNTBLANK(U604)=0),Stats!$E$6,Stats!$E$5),Stats!$E$4),""))</f>
        <v>Death</v>
      </c>
      <c r="C604" s="39" t="s">
        <v>4146</v>
      </c>
      <c r="D604" s="315"/>
      <c r="E604" s="88">
        <v>44028</v>
      </c>
      <c r="F604" s="316">
        <v>44054</v>
      </c>
      <c r="G604" s="316">
        <v>36893</v>
      </c>
      <c r="H604" s="317" t="s">
        <v>3152</v>
      </c>
      <c r="I604" s="317"/>
      <c r="J604" s="317" t="s">
        <v>152</v>
      </c>
      <c r="K604" s="315" t="s">
        <v>4147</v>
      </c>
      <c r="L604" s="315"/>
      <c r="M604" s="317"/>
      <c r="N604" s="320"/>
      <c r="O604" s="317" t="s">
        <v>4045</v>
      </c>
      <c r="P604" s="318" t="s">
        <v>4148</v>
      </c>
      <c r="Q604" s="318">
        <v>400</v>
      </c>
      <c r="R604" s="317"/>
      <c r="S604" s="317"/>
      <c r="T604" s="317"/>
      <c r="U604" s="317"/>
      <c r="V604" s="317"/>
      <c r="W604" s="317"/>
      <c r="X604" s="317"/>
      <c r="Y604" s="319"/>
    </row>
    <row r="605" spans="1:25" s="91" customFormat="1" hidden="1" x14ac:dyDescent="0.25">
      <c r="A605" s="32" t="s">
        <v>1330</v>
      </c>
      <c r="B605" s="315" t="str">
        <f>IF((COUNTBLANK(G605)=0),Stats!$E$7,IF((COUNTBLANK(E605)=0),IF((COUNTBLANK(F605)=0),IF((COUNTBLANK(U605)=0),Stats!$E$6,Stats!$E$5),Stats!$E$4),""))</f>
        <v>Death</v>
      </c>
      <c r="C605" s="39" t="s">
        <v>4146</v>
      </c>
      <c r="D605" s="315"/>
      <c r="E605" s="88">
        <v>44028</v>
      </c>
      <c r="F605" s="316">
        <v>44054</v>
      </c>
      <c r="G605" s="316">
        <v>36893</v>
      </c>
      <c r="H605" s="317" t="s">
        <v>3152</v>
      </c>
      <c r="I605" s="317"/>
      <c r="J605" s="317" t="s">
        <v>152</v>
      </c>
      <c r="K605" s="315" t="s">
        <v>4147</v>
      </c>
      <c r="L605" s="315"/>
      <c r="M605" s="317"/>
      <c r="N605" s="320"/>
      <c r="O605" s="317" t="s">
        <v>4045</v>
      </c>
      <c r="P605" s="318" t="s">
        <v>4148</v>
      </c>
      <c r="Q605" s="318">
        <v>400</v>
      </c>
      <c r="R605" s="317"/>
      <c r="S605" s="317"/>
      <c r="T605" s="317"/>
      <c r="U605" s="317"/>
      <c r="V605" s="317"/>
      <c r="W605" s="317"/>
      <c r="X605" s="317"/>
      <c r="Y605" s="319"/>
    </row>
    <row r="606" spans="1:25" s="91" customFormat="1" hidden="1" x14ac:dyDescent="0.25">
      <c r="A606" s="32" t="s">
        <v>1331</v>
      </c>
      <c r="B606" s="315" t="str">
        <f>IF((COUNTBLANK(G606)=0),Stats!$E$7,IF((COUNTBLANK(E606)=0),IF((COUNTBLANK(F606)=0),IF((COUNTBLANK(U606)=0),Stats!$E$6,Stats!$E$5),Stats!$E$4),""))</f>
        <v>Death</v>
      </c>
      <c r="C606" s="39" t="s">
        <v>4146</v>
      </c>
      <c r="D606" s="315"/>
      <c r="E606" s="88">
        <v>44028</v>
      </c>
      <c r="F606" s="316">
        <v>44055</v>
      </c>
      <c r="G606" s="316">
        <v>36893</v>
      </c>
      <c r="H606" s="317" t="s">
        <v>3152</v>
      </c>
      <c r="I606" s="317"/>
      <c r="J606" s="317" t="s">
        <v>152</v>
      </c>
      <c r="K606" s="315" t="s">
        <v>4147</v>
      </c>
      <c r="L606" s="315"/>
      <c r="M606" s="317"/>
      <c r="N606" s="320"/>
      <c r="O606" s="317" t="s">
        <v>4045</v>
      </c>
      <c r="P606" s="318" t="s">
        <v>4149</v>
      </c>
      <c r="Q606" s="318" t="s">
        <v>4150</v>
      </c>
      <c r="R606" s="317"/>
      <c r="S606" s="317"/>
      <c r="T606" s="317" t="s">
        <v>4127</v>
      </c>
      <c r="U606" s="317"/>
      <c r="V606" s="317"/>
      <c r="W606" s="317"/>
      <c r="X606" s="317"/>
      <c r="Y606" s="319"/>
    </row>
    <row r="607" spans="1:25" s="91" customFormat="1" hidden="1" x14ac:dyDescent="0.25">
      <c r="A607" s="32" t="s">
        <v>1332</v>
      </c>
      <c r="B607" s="315" t="str">
        <f>IF((COUNTBLANK(G607)=0),Stats!$E$7,IF((COUNTBLANK(E607)=0),IF((COUNTBLANK(F607)=0),IF((COUNTBLANK(U607)=0),Stats!$E$6,Stats!$E$5),Stats!$E$4),""))</f>
        <v>Death</v>
      </c>
      <c r="C607" s="39" t="s">
        <v>4146</v>
      </c>
      <c r="D607" s="315"/>
      <c r="E607" s="88">
        <v>44028</v>
      </c>
      <c r="F607" s="316">
        <v>44060</v>
      </c>
      <c r="G607" s="316">
        <v>36893</v>
      </c>
      <c r="H607" s="317" t="s">
        <v>3152</v>
      </c>
      <c r="I607" s="317"/>
      <c r="J607" s="317" t="s">
        <v>152</v>
      </c>
      <c r="K607" s="315" t="s">
        <v>4147</v>
      </c>
      <c r="L607" s="315"/>
      <c r="M607" s="317"/>
      <c r="N607" s="320"/>
      <c r="O607" s="317" t="s">
        <v>4045</v>
      </c>
      <c r="P607" s="318" t="s">
        <v>4151</v>
      </c>
      <c r="Q607" s="318" t="s">
        <v>4150</v>
      </c>
      <c r="R607" s="317"/>
      <c r="S607" s="317"/>
      <c r="T607" s="317" t="s">
        <v>4127</v>
      </c>
      <c r="U607" s="317"/>
      <c r="V607" s="317"/>
      <c r="W607" s="317"/>
      <c r="X607" s="317"/>
      <c r="Y607" s="319"/>
    </row>
    <row r="608" spans="1:25" s="91" customFormat="1" hidden="1" x14ac:dyDescent="0.25">
      <c r="A608" s="32" t="s">
        <v>1333</v>
      </c>
      <c r="B608" s="315" t="str">
        <f>IF((COUNTBLANK(G608)=0),Stats!$E$7,IF((COUNTBLANK(E608)=0),IF((COUNTBLANK(F608)=0),IF((COUNTBLANK(U608)=0),Stats!$E$6,Stats!$E$5),Stats!$E$4),""))</f>
        <v>Death</v>
      </c>
      <c r="C608" s="39" t="s">
        <v>284</v>
      </c>
      <c r="D608" s="315"/>
      <c r="E608" s="88">
        <v>44031</v>
      </c>
      <c r="F608" s="316">
        <v>44046</v>
      </c>
      <c r="G608" s="316">
        <v>36893</v>
      </c>
      <c r="H608" s="317" t="s">
        <v>3142</v>
      </c>
      <c r="I608" s="317"/>
      <c r="J608" s="317" t="s">
        <v>152</v>
      </c>
      <c r="K608" s="315" t="s">
        <v>3880</v>
      </c>
      <c r="L608" s="315" t="s">
        <v>3222</v>
      </c>
      <c r="M608" s="317" t="s">
        <v>3223</v>
      </c>
      <c r="N608" s="320" t="s">
        <v>4063</v>
      </c>
      <c r="O608" s="317" t="s">
        <v>51</v>
      </c>
      <c r="P608" s="318" t="s">
        <v>4123</v>
      </c>
      <c r="Q608" s="318" t="s">
        <v>4069</v>
      </c>
      <c r="R608" s="317"/>
      <c r="S608" s="317"/>
      <c r="T608" s="317" t="s">
        <v>4104</v>
      </c>
      <c r="U608" s="317" t="s">
        <v>4152</v>
      </c>
      <c r="V608" s="317"/>
      <c r="W608" s="317"/>
      <c r="X608" s="317"/>
      <c r="Y608" s="319"/>
    </row>
    <row r="609" spans="1:25" s="91" customFormat="1" hidden="1" x14ac:dyDescent="0.25">
      <c r="A609" s="32" t="s">
        <v>1334</v>
      </c>
      <c r="B609" s="315" t="str">
        <f>IF((COUNTBLANK(G609)=0),Stats!$E$7,IF((COUNTBLANK(E609)=0),IF((COUNTBLANK(F609)=0),IF((COUNTBLANK(U609)=0),Stats!$E$6,Stats!$E$5),Stats!$E$4),""))</f>
        <v>Death</v>
      </c>
      <c r="C609" s="39" t="s">
        <v>284</v>
      </c>
      <c r="D609" s="315"/>
      <c r="E609" s="88">
        <v>44031</v>
      </c>
      <c r="F609" s="316">
        <v>44046</v>
      </c>
      <c r="G609" s="316">
        <v>36893</v>
      </c>
      <c r="H609" s="317" t="s">
        <v>3142</v>
      </c>
      <c r="I609" s="317"/>
      <c r="J609" s="317" t="s">
        <v>152</v>
      </c>
      <c r="K609" s="315" t="s">
        <v>3880</v>
      </c>
      <c r="L609" s="315" t="s">
        <v>3222</v>
      </c>
      <c r="M609" s="317" t="s">
        <v>3223</v>
      </c>
      <c r="N609" s="320" t="s">
        <v>4063</v>
      </c>
      <c r="O609" s="317" t="s">
        <v>51</v>
      </c>
      <c r="P609" s="318" t="s">
        <v>4123</v>
      </c>
      <c r="Q609" s="318" t="s">
        <v>4069</v>
      </c>
      <c r="R609" s="317"/>
      <c r="S609" s="317"/>
      <c r="T609" s="49" t="s">
        <v>4104</v>
      </c>
      <c r="U609" s="317" t="s">
        <v>4152</v>
      </c>
      <c r="V609" s="317"/>
      <c r="W609" s="317"/>
      <c r="X609" s="317"/>
      <c r="Y609" s="319"/>
    </row>
    <row r="610" spans="1:25" s="91" customFormat="1" hidden="1" x14ac:dyDescent="0.25">
      <c r="A610" s="32" t="s">
        <v>1335</v>
      </c>
      <c r="B610" s="315" t="str">
        <f>IF((COUNTBLANK(G610)=0),Stats!$E$7,IF((COUNTBLANK(E610)=0),IF((COUNTBLANK(F610)=0),IF((COUNTBLANK(U610)=0),Stats!$E$6,Stats!$E$5),Stats!$E$4),""))</f>
        <v>Death</v>
      </c>
      <c r="C610" s="39" t="s">
        <v>284</v>
      </c>
      <c r="D610" s="315"/>
      <c r="E610" s="88">
        <v>44035</v>
      </c>
      <c r="F610" s="88">
        <v>44055</v>
      </c>
      <c r="G610" s="316">
        <v>36893</v>
      </c>
      <c r="H610" s="317" t="s">
        <v>3128</v>
      </c>
      <c r="I610" s="49"/>
      <c r="J610" s="49" t="s">
        <v>152</v>
      </c>
      <c r="K610" s="315" t="s">
        <v>4025</v>
      </c>
      <c r="L610" s="58"/>
      <c r="M610" s="49"/>
      <c r="N610" s="320" t="s">
        <v>196</v>
      </c>
      <c r="O610" s="49" t="s">
        <v>51</v>
      </c>
      <c r="P610" s="67" t="s">
        <v>4153</v>
      </c>
      <c r="Q610" s="67" t="s">
        <v>4154</v>
      </c>
      <c r="R610" s="49"/>
      <c r="S610" s="49"/>
      <c r="T610" s="49" t="s">
        <v>4127</v>
      </c>
      <c r="U610" s="49" t="s">
        <v>4155</v>
      </c>
      <c r="V610" s="49" t="s">
        <v>4156</v>
      </c>
      <c r="W610" s="49"/>
      <c r="X610" s="49"/>
      <c r="Y610" s="95"/>
    </row>
    <row r="611" spans="1:25" s="92" customFormat="1" hidden="1" x14ac:dyDescent="0.25">
      <c r="A611" s="32" t="s">
        <v>1336</v>
      </c>
      <c r="B611" s="315" t="str">
        <f>IF((COUNTBLANK(G611)=0),Stats!$E$7,IF((COUNTBLANK(E611)=0),IF((COUNTBLANK(F611)=0),IF((COUNTBLANK(U611)=0),Stats!$E$6,Stats!$E$5),Stats!$E$4),""))</f>
        <v>Death</v>
      </c>
      <c r="C611" s="39" t="s">
        <v>284</v>
      </c>
      <c r="D611" s="315"/>
      <c r="E611" s="88">
        <v>44035</v>
      </c>
      <c r="F611" s="316">
        <v>44055</v>
      </c>
      <c r="G611" s="316">
        <v>36893</v>
      </c>
      <c r="H611" s="317" t="s">
        <v>3128</v>
      </c>
      <c r="I611" s="317"/>
      <c r="J611" s="317" t="s">
        <v>152</v>
      </c>
      <c r="K611" s="315" t="s">
        <v>4025</v>
      </c>
      <c r="L611" s="58"/>
      <c r="M611" s="49"/>
      <c r="N611" s="320" t="s">
        <v>196</v>
      </c>
      <c r="O611" s="317" t="s">
        <v>51</v>
      </c>
      <c r="P611" s="318" t="s">
        <v>4153</v>
      </c>
      <c r="Q611" s="318" t="s">
        <v>4154</v>
      </c>
      <c r="R611" s="317" t="s">
        <v>4157</v>
      </c>
      <c r="S611" s="317"/>
      <c r="T611" s="317" t="s">
        <v>4158</v>
      </c>
      <c r="U611" s="317" t="s">
        <v>4159</v>
      </c>
      <c r="V611" s="317" t="s">
        <v>4160</v>
      </c>
      <c r="W611" s="317"/>
      <c r="X611" s="317" t="s">
        <v>4161</v>
      </c>
      <c r="Y611" s="319"/>
    </row>
    <row r="612" spans="1:25" s="91" customFormat="1" hidden="1" x14ac:dyDescent="0.25">
      <c r="A612" s="32" t="s">
        <v>1337</v>
      </c>
      <c r="B612" s="315" t="str">
        <f>IF((COUNTBLANK(G612)=0),Stats!$E$7,IF((COUNTBLANK(E612)=0),IF((COUNTBLANK(F612)=0),IF((COUNTBLANK(U612)=0),Stats!$E$6,Stats!$E$5),Stats!$E$4),""))</f>
        <v>Death</v>
      </c>
      <c r="C612" s="39" t="s">
        <v>284</v>
      </c>
      <c r="D612" s="315"/>
      <c r="E612" s="88">
        <v>44035</v>
      </c>
      <c r="F612" s="316">
        <v>44055</v>
      </c>
      <c r="G612" s="316">
        <v>36893</v>
      </c>
      <c r="H612" s="317" t="s">
        <v>3128</v>
      </c>
      <c r="I612" s="317"/>
      <c r="J612" s="317" t="s">
        <v>152</v>
      </c>
      <c r="K612" s="315" t="s">
        <v>4025</v>
      </c>
      <c r="L612" s="58"/>
      <c r="M612" s="49"/>
      <c r="N612" s="320" t="s">
        <v>196</v>
      </c>
      <c r="O612" s="317" t="s">
        <v>51</v>
      </c>
      <c r="P612" s="318" t="s">
        <v>4153</v>
      </c>
      <c r="Q612" s="318" t="s">
        <v>4154</v>
      </c>
      <c r="R612" s="317"/>
      <c r="S612" s="317"/>
      <c r="T612" s="49" t="s">
        <v>4115</v>
      </c>
      <c r="U612" s="317" t="s">
        <v>4162</v>
      </c>
      <c r="V612" s="317" t="s">
        <v>4163</v>
      </c>
      <c r="W612" s="317"/>
      <c r="X612" s="317" t="s">
        <v>3971</v>
      </c>
      <c r="Y612" s="319"/>
    </row>
    <row r="613" spans="1:25" s="91" customFormat="1" hidden="1" x14ac:dyDescent="0.25">
      <c r="A613" s="32" t="s">
        <v>1338</v>
      </c>
      <c r="B613" s="315" t="str">
        <f>IF((COUNTBLANK(G613)=0),Stats!$E$7,IF((COUNTBLANK(E613)=0),IF((COUNTBLANK(F613)=0),IF((COUNTBLANK(U613)=0),Stats!$E$6,Stats!$E$5),Stats!$E$4),""))</f>
        <v>Death</v>
      </c>
      <c r="C613" s="39" t="s">
        <v>62</v>
      </c>
      <c r="D613" s="315"/>
      <c r="E613" s="88">
        <v>44047</v>
      </c>
      <c r="F613" s="316">
        <v>44054</v>
      </c>
      <c r="G613" s="316">
        <v>36893</v>
      </c>
      <c r="H613" s="317" t="s">
        <v>3145</v>
      </c>
      <c r="I613" s="317"/>
      <c r="J613" s="317" t="s">
        <v>152</v>
      </c>
      <c r="K613" s="315" t="s">
        <v>4002</v>
      </c>
      <c r="L613" s="315"/>
      <c r="M613" s="317"/>
      <c r="N613" s="320" t="s">
        <v>105</v>
      </c>
      <c r="O613" s="317" t="s">
        <v>51</v>
      </c>
      <c r="P613" s="318" t="s">
        <v>3965</v>
      </c>
      <c r="Q613" s="318" t="s">
        <v>3830</v>
      </c>
      <c r="R613" s="317" t="s">
        <v>4104</v>
      </c>
      <c r="S613" s="317"/>
      <c r="T613" s="49" t="s">
        <v>4104</v>
      </c>
      <c r="U613" s="317" t="s">
        <v>4164</v>
      </c>
      <c r="V613" s="317" t="s">
        <v>4165</v>
      </c>
      <c r="W613" s="317" t="s">
        <v>4166</v>
      </c>
      <c r="X613" s="317"/>
      <c r="Y613" s="319"/>
    </row>
    <row r="614" spans="1:25" s="91" customFormat="1" hidden="1" x14ac:dyDescent="0.25">
      <c r="A614" s="32" t="s">
        <v>1339</v>
      </c>
      <c r="B614" s="315" t="str">
        <f>IF((COUNTBLANK(G614)=0),Stats!$E$7,IF((COUNTBLANK(E614)=0),IF((COUNTBLANK(F614)=0),IF((COUNTBLANK(U614)=0),Stats!$E$6,Stats!$E$5),Stats!$E$4),""))</f>
        <v>Death</v>
      </c>
      <c r="C614" s="39" t="s">
        <v>62</v>
      </c>
      <c r="D614" s="315"/>
      <c r="E614" s="88">
        <v>44047</v>
      </c>
      <c r="F614" s="316">
        <v>44054</v>
      </c>
      <c r="G614" s="316">
        <v>36893</v>
      </c>
      <c r="H614" s="317" t="s">
        <v>3145</v>
      </c>
      <c r="I614" s="317"/>
      <c r="J614" s="317" t="s">
        <v>152</v>
      </c>
      <c r="K614" s="315" t="s">
        <v>4002</v>
      </c>
      <c r="L614" s="315"/>
      <c r="M614" s="317"/>
      <c r="N614" s="320" t="s">
        <v>105</v>
      </c>
      <c r="O614" s="317" t="s">
        <v>51</v>
      </c>
      <c r="P614" s="318" t="s">
        <v>3965</v>
      </c>
      <c r="Q614" s="318" t="s">
        <v>3830</v>
      </c>
      <c r="R614" s="317" t="s">
        <v>4104</v>
      </c>
      <c r="S614" s="317"/>
      <c r="T614" s="49" t="s">
        <v>4104</v>
      </c>
      <c r="U614" s="317" t="s">
        <v>4167</v>
      </c>
      <c r="V614" s="317" t="s">
        <v>4168</v>
      </c>
      <c r="W614" s="317" t="s">
        <v>4169</v>
      </c>
      <c r="X614" s="317" t="s">
        <v>4170</v>
      </c>
      <c r="Y614" s="319"/>
    </row>
    <row r="615" spans="1:25" s="91" customFormat="1" hidden="1" x14ac:dyDescent="0.25">
      <c r="A615" s="32" t="s">
        <v>1340</v>
      </c>
      <c r="B615" s="315" t="str">
        <f>IF((COUNTBLANK(G615)=0),Stats!$E$7,IF((COUNTBLANK(E615)=0),IF((COUNTBLANK(F615)=0),IF((COUNTBLANK(U615)=0),Stats!$E$6,Stats!$E$5),Stats!$E$4),""))</f>
        <v>Death</v>
      </c>
      <c r="C615" s="39" t="s">
        <v>62</v>
      </c>
      <c r="D615" s="315"/>
      <c r="E615" s="88">
        <v>44047</v>
      </c>
      <c r="F615" s="316">
        <v>44054</v>
      </c>
      <c r="G615" s="316">
        <v>36893</v>
      </c>
      <c r="H615" s="317" t="s">
        <v>3145</v>
      </c>
      <c r="I615" s="317"/>
      <c r="J615" s="317" t="s">
        <v>152</v>
      </c>
      <c r="K615" s="315" t="s">
        <v>4002</v>
      </c>
      <c r="L615" s="315"/>
      <c r="M615" s="317"/>
      <c r="N615" s="320" t="s">
        <v>105</v>
      </c>
      <c r="O615" s="317" t="s">
        <v>51</v>
      </c>
      <c r="P615" s="318" t="s">
        <v>3965</v>
      </c>
      <c r="Q615" s="318" t="s">
        <v>3830</v>
      </c>
      <c r="R615" s="317" t="s">
        <v>4127</v>
      </c>
      <c r="S615" s="317"/>
      <c r="T615" s="49" t="s">
        <v>4127</v>
      </c>
      <c r="U615" s="317" t="s">
        <v>4171</v>
      </c>
      <c r="V615" s="317"/>
      <c r="W615" s="317" t="s">
        <v>4172</v>
      </c>
      <c r="X615" s="317" t="s">
        <v>4170</v>
      </c>
      <c r="Y615" s="319"/>
    </row>
    <row r="616" spans="1:25" s="91" customFormat="1" hidden="1" x14ac:dyDescent="0.25">
      <c r="A616" s="32" t="s">
        <v>1341</v>
      </c>
      <c r="B616" s="315" t="str">
        <f>IF((COUNTBLANK(G616)=0),Stats!$E$7,IF((COUNTBLANK(E616)=0),IF((COUNTBLANK(F616)=0),IF((COUNTBLANK(U616)=0),Stats!$E$6,Stats!$E$5),Stats!$E$4),""))</f>
        <v>Death</v>
      </c>
      <c r="C616" s="39" t="s">
        <v>62</v>
      </c>
      <c r="D616" s="315"/>
      <c r="E616" s="88">
        <v>44047</v>
      </c>
      <c r="F616" s="316">
        <v>44055</v>
      </c>
      <c r="G616" s="316">
        <v>36893</v>
      </c>
      <c r="H616" s="317" t="s">
        <v>3145</v>
      </c>
      <c r="I616" s="317"/>
      <c r="J616" s="317" t="s">
        <v>152</v>
      </c>
      <c r="K616" s="315" t="s">
        <v>4002</v>
      </c>
      <c r="L616" s="315"/>
      <c r="M616" s="317"/>
      <c r="N616" s="320" t="s">
        <v>105</v>
      </c>
      <c r="O616" s="317" t="s">
        <v>51</v>
      </c>
      <c r="P616" s="318" t="s">
        <v>3965</v>
      </c>
      <c r="Q616" s="318" t="s">
        <v>3830</v>
      </c>
      <c r="R616" s="317"/>
      <c r="S616" s="317"/>
      <c r="T616" s="317" t="s">
        <v>4173</v>
      </c>
      <c r="U616" s="317" t="s">
        <v>4174</v>
      </c>
      <c r="V616" s="317" t="s">
        <v>4175</v>
      </c>
      <c r="W616" s="317" t="s">
        <v>4176</v>
      </c>
      <c r="X616" s="317" t="s">
        <v>4170</v>
      </c>
      <c r="Y616" s="319"/>
    </row>
    <row r="617" spans="1:25" s="91" customFormat="1" hidden="1" x14ac:dyDescent="0.25">
      <c r="A617" s="32" t="s">
        <v>1342</v>
      </c>
      <c r="B617" s="315" t="str">
        <f>IF((COUNTBLANK(G617)=0),Stats!$E$7,IF((COUNTBLANK(E617)=0),IF((COUNTBLANK(F617)=0),IF((COUNTBLANK(U617)=0),Stats!$E$6,Stats!$E$5),Stats!$E$4),""))</f>
        <v>Death</v>
      </c>
      <c r="C617" s="39" t="s">
        <v>62</v>
      </c>
      <c r="D617" s="315"/>
      <c r="E617" s="88">
        <v>44047</v>
      </c>
      <c r="F617" s="316">
        <v>36892</v>
      </c>
      <c r="G617" s="316">
        <v>36893</v>
      </c>
      <c r="H617" s="317" t="s">
        <v>3145</v>
      </c>
      <c r="I617" s="317"/>
      <c r="J617" s="317" t="s">
        <v>152</v>
      </c>
      <c r="K617" s="315" t="s">
        <v>4002</v>
      </c>
      <c r="L617" s="315"/>
      <c r="M617" s="317"/>
      <c r="N617" s="320" t="s">
        <v>105</v>
      </c>
      <c r="O617" s="317" t="s">
        <v>51</v>
      </c>
      <c r="P617" s="318" t="s">
        <v>3965</v>
      </c>
      <c r="Q617" s="318" t="s">
        <v>3830</v>
      </c>
      <c r="R617" s="317"/>
      <c r="S617" s="317"/>
      <c r="T617" s="317"/>
      <c r="U617" s="317" t="s">
        <v>4177</v>
      </c>
      <c r="V617" s="317"/>
      <c r="W617" s="317"/>
      <c r="X617" s="317"/>
      <c r="Y617" s="319"/>
    </row>
    <row r="618" spans="1:25" s="91" customFormat="1" hidden="1" x14ac:dyDescent="0.25">
      <c r="A618" s="32" t="s">
        <v>1343</v>
      </c>
      <c r="B618" s="315" t="str">
        <f>IF((COUNTBLANK(G618)=0),Stats!$E$7,IF((COUNTBLANK(E618)=0),IF((COUNTBLANK(F618)=0),IF((COUNTBLANK(U618)=0),Stats!$E$6,Stats!$E$5),Stats!$E$4),""))</f>
        <v>Death</v>
      </c>
      <c r="C618" s="39" t="s">
        <v>62</v>
      </c>
      <c r="D618" s="315"/>
      <c r="E618" s="88">
        <v>44056</v>
      </c>
      <c r="F618" s="316">
        <v>44060</v>
      </c>
      <c r="G618" s="316">
        <v>36893</v>
      </c>
      <c r="H618" s="317" t="s">
        <v>3145</v>
      </c>
      <c r="I618" s="317"/>
      <c r="J618" s="317" t="s">
        <v>152</v>
      </c>
      <c r="K618" s="315" t="s">
        <v>4002</v>
      </c>
      <c r="L618" s="315"/>
      <c r="M618" s="317"/>
      <c r="N618" s="320"/>
      <c r="O618" s="317" t="s">
        <v>51</v>
      </c>
      <c r="P618" s="318" t="s">
        <v>3965</v>
      </c>
      <c r="Q618" s="318" t="s">
        <v>3347</v>
      </c>
      <c r="R618" s="317" t="s">
        <v>4178</v>
      </c>
      <c r="S618" s="317"/>
      <c r="T618" s="49" t="s">
        <v>4104</v>
      </c>
      <c r="U618" s="317" t="s">
        <v>4179</v>
      </c>
      <c r="V618" s="317"/>
      <c r="W618" s="317"/>
      <c r="X618" s="317"/>
      <c r="Y618" s="319"/>
    </row>
    <row r="619" spans="1:25" s="91" customFormat="1" hidden="1" x14ac:dyDescent="0.25">
      <c r="A619" s="32" t="s">
        <v>1344</v>
      </c>
      <c r="B619" s="315" t="str">
        <f>IF((COUNTBLANK(G619)=0),Stats!$E$7,IF((COUNTBLANK(E619)=0),IF((COUNTBLANK(F619)=0),IF((COUNTBLANK(U619)=0),Stats!$E$6,Stats!$E$5),Stats!$E$4),""))</f>
        <v>Death</v>
      </c>
      <c r="C619" s="39" t="s">
        <v>62</v>
      </c>
      <c r="D619" s="315"/>
      <c r="E619" s="88">
        <v>44056</v>
      </c>
      <c r="F619" s="316">
        <v>44060</v>
      </c>
      <c r="G619" s="316">
        <v>36893</v>
      </c>
      <c r="H619" s="317" t="s">
        <v>3145</v>
      </c>
      <c r="I619" s="317"/>
      <c r="J619" s="317" t="s">
        <v>152</v>
      </c>
      <c r="K619" s="315" t="s">
        <v>4002</v>
      </c>
      <c r="L619" s="315"/>
      <c r="M619" s="317"/>
      <c r="N619" s="320"/>
      <c r="O619" s="317" t="s">
        <v>51</v>
      </c>
      <c r="P619" s="318" t="s">
        <v>3965</v>
      </c>
      <c r="Q619" s="318" t="s">
        <v>3347</v>
      </c>
      <c r="R619" s="317" t="s">
        <v>4101</v>
      </c>
      <c r="S619" s="317"/>
      <c r="T619" s="49" t="s">
        <v>4104</v>
      </c>
      <c r="U619" s="317"/>
      <c r="V619" s="317"/>
      <c r="W619" s="317"/>
      <c r="X619" s="317"/>
      <c r="Y619" s="319"/>
    </row>
    <row r="620" spans="1:25" s="91" customFormat="1" hidden="1" x14ac:dyDescent="0.25">
      <c r="A620" s="32" t="s">
        <v>1345</v>
      </c>
      <c r="B620" s="315" t="str">
        <f>IF((COUNTBLANK(G620)=0),Stats!$E$7,IF((COUNTBLANK(E620)=0),IF((COUNTBLANK(F620)=0),IF((COUNTBLANK(U620)=0),Stats!$E$6,Stats!$E$5),Stats!$E$4),""))</f>
        <v>Death</v>
      </c>
      <c r="C620" s="39" t="s">
        <v>62</v>
      </c>
      <c r="D620" s="315"/>
      <c r="E620" s="88">
        <v>44056</v>
      </c>
      <c r="F620" s="316">
        <v>44061</v>
      </c>
      <c r="G620" s="316">
        <v>36893</v>
      </c>
      <c r="H620" s="317" t="s">
        <v>3145</v>
      </c>
      <c r="I620" s="317"/>
      <c r="J620" s="317" t="s">
        <v>152</v>
      </c>
      <c r="K620" s="315" t="s">
        <v>4002</v>
      </c>
      <c r="L620" s="315"/>
      <c r="M620" s="317"/>
      <c r="N620" s="320"/>
      <c r="O620" s="317" t="s">
        <v>51</v>
      </c>
      <c r="P620" s="318" t="s">
        <v>3965</v>
      </c>
      <c r="Q620" s="318" t="s">
        <v>3347</v>
      </c>
      <c r="R620" s="317"/>
      <c r="S620" s="317"/>
      <c r="T620" s="317" t="s">
        <v>4104</v>
      </c>
      <c r="U620" s="317" t="s">
        <v>4180</v>
      </c>
      <c r="V620" s="317"/>
      <c r="W620" s="317"/>
      <c r="X620" s="317"/>
      <c r="Y620" s="319"/>
    </row>
    <row r="621" spans="1:25" s="91" customFormat="1" hidden="1" x14ac:dyDescent="0.25">
      <c r="A621" s="32" t="s">
        <v>1346</v>
      </c>
      <c r="B621" s="315" t="str">
        <f>IF((COUNTBLANK(G621)=0),Stats!$E$7,IF((COUNTBLANK(E621)=0),IF((COUNTBLANK(F621)=0),IF((COUNTBLANK(U621)=0),Stats!$E$6,Stats!$E$5),Stats!$E$4),""))</f>
        <v>Death</v>
      </c>
      <c r="C621" s="39" t="s">
        <v>62</v>
      </c>
      <c r="D621" s="315"/>
      <c r="E621" s="88">
        <v>44056</v>
      </c>
      <c r="F621" s="316">
        <v>44061</v>
      </c>
      <c r="G621" s="316">
        <v>36893</v>
      </c>
      <c r="H621" s="317" t="s">
        <v>3145</v>
      </c>
      <c r="I621" s="317"/>
      <c r="J621" s="317" t="s">
        <v>152</v>
      </c>
      <c r="K621" s="315" t="s">
        <v>4002</v>
      </c>
      <c r="L621" s="315"/>
      <c r="M621" s="317"/>
      <c r="N621" s="320"/>
      <c r="O621" s="317" t="s">
        <v>51</v>
      </c>
      <c r="P621" s="318" t="s">
        <v>3965</v>
      </c>
      <c r="Q621" s="318" t="s">
        <v>3347</v>
      </c>
      <c r="R621" s="317" t="s">
        <v>4181</v>
      </c>
      <c r="S621" s="317"/>
      <c r="T621" s="317" t="s">
        <v>4127</v>
      </c>
      <c r="U621" s="317" t="s">
        <v>4182</v>
      </c>
      <c r="V621" s="317" t="s">
        <v>4183</v>
      </c>
      <c r="W621" s="317"/>
      <c r="X621" s="317"/>
      <c r="Y621" s="319"/>
    </row>
    <row r="622" spans="1:25" s="91" customFormat="1" hidden="1" x14ac:dyDescent="0.25">
      <c r="A622" s="32" t="s">
        <v>1347</v>
      </c>
      <c r="B622" s="315" t="str">
        <f>IF((COUNTBLANK(G622)=0),Stats!$E$7,IF((COUNTBLANK(E622)=0),IF((COUNTBLANK(F622)=0),IF((COUNTBLANK(U622)=0),Stats!$E$6,Stats!$E$5),Stats!$E$4),""))</f>
        <v>Death</v>
      </c>
      <c r="C622" s="39" t="s">
        <v>62</v>
      </c>
      <c r="D622" s="315"/>
      <c r="E622" s="88">
        <v>44057</v>
      </c>
      <c r="F622" s="316">
        <v>44061</v>
      </c>
      <c r="G622" s="316">
        <v>36893</v>
      </c>
      <c r="H622" s="317" t="s">
        <v>3145</v>
      </c>
      <c r="I622" s="317"/>
      <c r="J622" s="317" t="s">
        <v>152</v>
      </c>
      <c r="K622" s="315" t="s">
        <v>4002</v>
      </c>
      <c r="L622" s="315"/>
      <c r="M622" s="317"/>
      <c r="N622" s="320"/>
      <c r="O622" s="317" t="s">
        <v>51</v>
      </c>
      <c r="P622" s="318" t="s">
        <v>3965</v>
      </c>
      <c r="Q622" s="318" t="s">
        <v>3347</v>
      </c>
      <c r="R622" s="317"/>
      <c r="S622" s="317"/>
      <c r="T622" s="49" t="s">
        <v>4104</v>
      </c>
      <c r="U622" s="317"/>
      <c r="V622" s="317"/>
      <c r="W622" s="317"/>
      <c r="X622" s="317" t="s">
        <v>4170</v>
      </c>
      <c r="Y622" s="319"/>
    </row>
    <row r="623" spans="1:25" s="91" customFormat="1" hidden="1" x14ac:dyDescent="0.25">
      <c r="A623" s="32" t="s">
        <v>1348</v>
      </c>
      <c r="B623" s="315" t="str">
        <f>IF((COUNTBLANK(G623)=0),Stats!$E$7,IF((COUNTBLANK(E623)=0),IF((COUNTBLANK(F623)=0),IF((COUNTBLANK(U623)=0),Stats!$E$6,Stats!$E$5),Stats!$E$4),""))</f>
        <v>Death</v>
      </c>
      <c r="C623" s="39" t="s">
        <v>3111</v>
      </c>
      <c r="D623" s="315"/>
      <c r="E623" s="88">
        <v>44061</v>
      </c>
      <c r="F623" s="316">
        <v>44088</v>
      </c>
      <c r="G623" s="316">
        <v>36893</v>
      </c>
      <c r="H623" s="317" t="s">
        <v>3145</v>
      </c>
      <c r="I623" s="317"/>
      <c r="J623" s="317" t="s">
        <v>152</v>
      </c>
      <c r="K623" s="315" t="s">
        <v>3222</v>
      </c>
      <c r="L623" s="315"/>
      <c r="M623" s="317"/>
      <c r="N623" s="320" t="s">
        <v>105</v>
      </c>
      <c r="O623" s="317" t="s">
        <v>51</v>
      </c>
      <c r="P623" s="318">
        <v>-450</v>
      </c>
      <c r="Q623" s="318">
        <v>430</v>
      </c>
      <c r="R623" s="317" t="s">
        <v>4184</v>
      </c>
      <c r="S623" s="317"/>
      <c r="T623" s="49" t="s">
        <v>4127</v>
      </c>
      <c r="U623" s="317" t="s">
        <v>4185</v>
      </c>
      <c r="V623" s="317" t="s">
        <v>4186</v>
      </c>
      <c r="W623" s="317"/>
      <c r="X623" s="317"/>
      <c r="Y623" s="319" t="s">
        <v>4187</v>
      </c>
    </row>
    <row r="624" spans="1:25" s="91" customFormat="1" hidden="1" x14ac:dyDescent="0.25">
      <c r="A624" s="32" t="s">
        <v>1349</v>
      </c>
      <c r="B624" s="315" t="str">
        <f>IF((COUNTBLANK(G624)=0),Stats!$E$7,IF((COUNTBLANK(E624)=0),IF((COUNTBLANK(F624)=0),IF((COUNTBLANK(U624)=0),Stats!$E$6,Stats!$E$5),Stats!$E$4),""))</f>
        <v>Death</v>
      </c>
      <c r="C624" s="39" t="s">
        <v>3111</v>
      </c>
      <c r="D624" s="315"/>
      <c r="E624" s="88">
        <v>44061</v>
      </c>
      <c r="F624" s="316">
        <v>44088</v>
      </c>
      <c r="G624" s="316">
        <v>36893</v>
      </c>
      <c r="H624" s="317" t="s">
        <v>3145</v>
      </c>
      <c r="I624" s="317"/>
      <c r="J624" s="317" t="s">
        <v>152</v>
      </c>
      <c r="K624" s="315" t="s">
        <v>3222</v>
      </c>
      <c r="L624" s="315"/>
      <c r="M624" s="317"/>
      <c r="N624" s="320" t="s">
        <v>105</v>
      </c>
      <c r="O624" s="317" t="s">
        <v>51</v>
      </c>
      <c r="P624" s="318">
        <v>-450</v>
      </c>
      <c r="Q624" s="318">
        <v>430</v>
      </c>
      <c r="R624" s="317" t="s">
        <v>4188</v>
      </c>
      <c r="S624" s="317"/>
      <c r="T624" s="49" t="s">
        <v>4127</v>
      </c>
      <c r="U624" s="317" t="s">
        <v>4189</v>
      </c>
      <c r="V624" s="317" t="s">
        <v>4190</v>
      </c>
      <c r="W624" s="317"/>
      <c r="X624" s="317"/>
      <c r="Y624" s="319" t="s">
        <v>4187</v>
      </c>
    </row>
    <row r="625" spans="1:25" s="91" customFormat="1" hidden="1" x14ac:dyDescent="0.25">
      <c r="A625" s="32" t="s">
        <v>1350</v>
      </c>
      <c r="B625" s="315" t="str">
        <f>IF((COUNTBLANK(G625)=0),Stats!$E$7,IF((COUNTBLANK(E625)=0),IF((COUNTBLANK(F625)=0),IF((COUNTBLANK(U625)=0),Stats!$E$6,Stats!$E$5),Stats!$E$4),""))</f>
        <v>Death</v>
      </c>
      <c r="C625" s="39" t="s">
        <v>3111</v>
      </c>
      <c r="D625" s="315"/>
      <c r="E625" s="88">
        <v>44061</v>
      </c>
      <c r="F625" s="316">
        <v>44088</v>
      </c>
      <c r="G625" s="316">
        <v>36893</v>
      </c>
      <c r="H625" s="317" t="s">
        <v>3145</v>
      </c>
      <c r="I625" s="317"/>
      <c r="J625" s="317" t="s">
        <v>152</v>
      </c>
      <c r="K625" s="315" t="s">
        <v>3222</v>
      </c>
      <c r="L625" s="315"/>
      <c r="M625" s="317"/>
      <c r="N625" s="320" t="s">
        <v>105</v>
      </c>
      <c r="O625" s="317" t="s">
        <v>51</v>
      </c>
      <c r="P625" s="318">
        <v>-450</v>
      </c>
      <c r="Q625" s="318">
        <v>430</v>
      </c>
      <c r="R625" s="317" t="s">
        <v>4188</v>
      </c>
      <c r="S625" s="317"/>
      <c r="T625" s="49" t="s">
        <v>4191</v>
      </c>
      <c r="U625" s="317" t="s">
        <v>4192</v>
      </c>
      <c r="V625" s="317" t="s">
        <v>4193</v>
      </c>
      <c r="W625" s="317"/>
      <c r="X625" s="317"/>
      <c r="Y625" s="319" t="s">
        <v>4187</v>
      </c>
    </row>
    <row r="626" spans="1:25" s="91" customFormat="1" hidden="1" x14ac:dyDescent="0.25">
      <c r="A626" s="32" t="s">
        <v>1351</v>
      </c>
      <c r="B626" s="315" t="str">
        <f>IF((COUNTBLANK(G626)=0),Stats!$E$7,IF((COUNTBLANK(E626)=0),IF((COUNTBLANK(F626)=0),IF((COUNTBLANK(U626)=0),Stats!$E$6,Stats!$E$5),Stats!$E$4),""))</f>
        <v>Death</v>
      </c>
      <c r="C626" s="39" t="s">
        <v>3111</v>
      </c>
      <c r="D626" s="315"/>
      <c r="E626" s="88">
        <v>44062</v>
      </c>
      <c r="F626" s="316">
        <v>44089</v>
      </c>
      <c r="G626" s="316">
        <v>36893</v>
      </c>
      <c r="H626" s="317" t="s">
        <v>3145</v>
      </c>
      <c r="I626" s="317"/>
      <c r="J626" s="317" t="s">
        <v>152</v>
      </c>
      <c r="K626" s="315" t="s">
        <v>3222</v>
      </c>
      <c r="L626" s="315"/>
      <c r="M626" s="317"/>
      <c r="N626" s="320" t="s">
        <v>105</v>
      </c>
      <c r="O626" s="317" t="s">
        <v>51</v>
      </c>
      <c r="P626" s="318">
        <v>-450</v>
      </c>
      <c r="Q626" s="318">
        <v>430</v>
      </c>
      <c r="R626" s="317" t="s">
        <v>4194</v>
      </c>
      <c r="S626" s="317"/>
      <c r="T626" s="49" t="s">
        <v>4191</v>
      </c>
      <c r="U626" s="317"/>
      <c r="V626" s="317" t="s">
        <v>4195</v>
      </c>
      <c r="W626" s="317"/>
      <c r="X626" s="317"/>
      <c r="Y626" s="319"/>
    </row>
    <row r="627" spans="1:25" s="91" customFormat="1" hidden="1" x14ac:dyDescent="0.25">
      <c r="A627" s="32" t="s">
        <v>1352</v>
      </c>
      <c r="B627" s="315" t="str">
        <f>IF((COUNTBLANK(G627)=0),Stats!$E$7,IF((COUNTBLANK(E627)=0),IF((COUNTBLANK(F627)=0),IF((COUNTBLANK(U627)=0),Stats!$E$6,Stats!$E$5),Stats!$E$4),""))</f>
        <v>Death</v>
      </c>
      <c r="C627" s="39" t="s">
        <v>3111</v>
      </c>
      <c r="D627" s="315"/>
      <c r="E627" s="88">
        <v>44062</v>
      </c>
      <c r="F627" s="316">
        <v>44089</v>
      </c>
      <c r="G627" s="316">
        <v>36893</v>
      </c>
      <c r="H627" s="317" t="s">
        <v>3145</v>
      </c>
      <c r="I627" s="317"/>
      <c r="J627" s="317" t="s">
        <v>152</v>
      </c>
      <c r="K627" s="315" t="s">
        <v>3222</v>
      </c>
      <c r="L627" s="315"/>
      <c r="M627" s="317"/>
      <c r="N627" s="320" t="s">
        <v>105</v>
      </c>
      <c r="O627" s="317" t="s">
        <v>51</v>
      </c>
      <c r="P627" s="318">
        <v>-450</v>
      </c>
      <c r="Q627" s="318">
        <v>430</v>
      </c>
      <c r="R627" s="317" t="s">
        <v>4188</v>
      </c>
      <c r="S627" s="317"/>
      <c r="T627" s="49" t="s">
        <v>4191</v>
      </c>
      <c r="U627" s="317"/>
      <c r="V627" s="317" t="s">
        <v>4196</v>
      </c>
      <c r="W627" s="317"/>
      <c r="X627" s="317" t="s">
        <v>4197</v>
      </c>
      <c r="Y627" s="319"/>
    </row>
    <row r="628" spans="1:25" s="91" customFormat="1" hidden="1" x14ac:dyDescent="0.25">
      <c r="A628" s="32" t="s">
        <v>1353</v>
      </c>
      <c r="B628" s="315" t="str">
        <f>IF((COUNTBLANK(G628)=0),Stats!$E$7,IF((COUNTBLANK(E628)=0),IF((COUNTBLANK(F628)=0),IF((COUNTBLANK(U628)=0),Stats!$E$6,Stats!$E$5),Stats!$E$4),""))</f>
        <v>Death</v>
      </c>
      <c r="C628" s="39" t="s">
        <v>3111</v>
      </c>
      <c r="D628" s="315"/>
      <c r="E628" s="88">
        <v>44062</v>
      </c>
      <c r="F628" s="316">
        <v>44090</v>
      </c>
      <c r="G628" s="316">
        <v>36893</v>
      </c>
      <c r="H628" s="317" t="s">
        <v>3145</v>
      </c>
      <c r="I628" s="317"/>
      <c r="J628" s="317" t="s">
        <v>152</v>
      </c>
      <c r="K628" s="315" t="s">
        <v>3222</v>
      </c>
      <c r="L628" s="315"/>
      <c r="M628" s="317"/>
      <c r="N628" s="320" t="s">
        <v>105</v>
      </c>
      <c r="O628" s="317" t="s">
        <v>51</v>
      </c>
      <c r="P628" s="318">
        <v>-450</v>
      </c>
      <c r="Q628" s="318">
        <v>430</v>
      </c>
      <c r="R628" s="317" t="s">
        <v>4188</v>
      </c>
      <c r="S628" s="317"/>
      <c r="T628" s="317" t="s">
        <v>4127</v>
      </c>
      <c r="U628" s="317"/>
      <c r="V628" s="317" t="s">
        <v>4198</v>
      </c>
      <c r="W628" s="317"/>
      <c r="X628" s="317"/>
      <c r="Y628" s="319"/>
    </row>
    <row r="629" spans="1:25" s="91" customFormat="1" hidden="1" x14ac:dyDescent="0.25">
      <c r="A629" s="32" t="s">
        <v>1354</v>
      </c>
      <c r="B629" s="315" t="str">
        <f>IF((COUNTBLANK(G629)=0),Stats!$E$7,IF((COUNTBLANK(E629)=0),IF((COUNTBLANK(F629)=0),IF((COUNTBLANK(U629)=0),Stats!$E$6,Stats!$E$5),Stats!$E$4),""))</f>
        <v>Death</v>
      </c>
      <c r="C629" s="39" t="s">
        <v>284</v>
      </c>
      <c r="D629" s="315"/>
      <c r="E629" s="88">
        <v>44067</v>
      </c>
      <c r="F629" s="316">
        <v>44076</v>
      </c>
      <c r="G629" s="316">
        <v>36893</v>
      </c>
      <c r="H629" s="317" t="s">
        <v>3128</v>
      </c>
      <c r="I629" s="317"/>
      <c r="J629" s="317" t="s">
        <v>152</v>
      </c>
      <c r="K629" s="315" t="s">
        <v>4199</v>
      </c>
      <c r="L629" s="315" t="s">
        <v>3222</v>
      </c>
      <c r="M629" s="317" t="s">
        <v>3093</v>
      </c>
      <c r="N629" s="320" t="s">
        <v>4200</v>
      </c>
      <c r="O629" s="317" t="s">
        <v>4201</v>
      </c>
      <c r="P629" s="318" t="s">
        <v>4202</v>
      </c>
      <c r="Q629" s="318" t="s">
        <v>4069</v>
      </c>
      <c r="R629" s="317"/>
      <c r="S629" s="317"/>
      <c r="T629" s="317" t="s">
        <v>4104</v>
      </c>
      <c r="U629" s="317" t="s">
        <v>4203</v>
      </c>
      <c r="V629" s="317"/>
      <c r="W629" s="317"/>
      <c r="X629" s="317" t="s">
        <v>3971</v>
      </c>
      <c r="Y629" s="319"/>
    </row>
    <row r="630" spans="1:25" s="91" customFormat="1" hidden="1" x14ac:dyDescent="0.25">
      <c r="A630" s="32" t="s">
        <v>1355</v>
      </c>
      <c r="B630" s="315" t="str">
        <f>IF((COUNTBLANK(G630)=0),Stats!$E$7,IF((COUNTBLANK(E630)=0),IF((COUNTBLANK(F630)=0),IF((COUNTBLANK(U630)=0),Stats!$E$6,Stats!$E$5),Stats!$E$4),""))</f>
        <v>Death</v>
      </c>
      <c r="C630" s="39" t="s">
        <v>284</v>
      </c>
      <c r="D630" s="315"/>
      <c r="E630" s="88">
        <v>44067</v>
      </c>
      <c r="F630" s="316">
        <v>44076</v>
      </c>
      <c r="G630" s="316">
        <v>36893</v>
      </c>
      <c r="H630" s="317" t="s">
        <v>3128</v>
      </c>
      <c r="I630" s="317"/>
      <c r="J630" s="317" t="s">
        <v>152</v>
      </c>
      <c r="K630" s="315"/>
      <c r="L630" s="315" t="s">
        <v>3222</v>
      </c>
      <c r="M630" s="317" t="s">
        <v>3093</v>
      </c>
      <c r="N630" s="320" t="s">
        <v>4200</v>
      </c>
      <c r="O630" s="317" t="s">
        <v>4201</v>
      </c>
      <c r="P630" s="318" t="s">
        <v>4202</v>
      </c>
      <c r="Q630" s="318" t="s">
        <v>4069</v>
      </c>
      <c r="R630" s="317" t="s">
        <v>4204</v>
      </c>
      <c r="S630" s="317"/>
      <c r="T630" s="317" t="s">
        <v>4127</v>
      </c>
      <c r="U630" s="317" t="s">
        <v>4205</v>
      </c>
      <c r="V630" s="317"/>
      <c r="W630" s="317"/>
      <c r="X630" s="317" t="s">
        <v>4206</v>
      </c>
      <c r="Y630" s="319"/>
    </row>
    <row r="631" spans="1:25" s="91" customFormat="1" hidden="1" x14ac:dyDescent="0.25">
      <c r="A631" s="32" t="s">
        <v>1356</v>
      </c>
      <c r="B631" s="315" t="str">
        <f>IF((COUNTBLANK(G631)=0),Stats!$E$7,IF((COUNTBLANK(E631)=0),IF((COUNTBLANK(F631)=0),IF((COUNTBLANK(U631)=0),Stats!$E$6,Stats!$E$5),Stats!$E$4),""))</f>
        <v>Death</v>
      </c>
      <c r="C631" s="39" t="s">
        <v>284</v>
      </c>
      <c r="D631" s="315"/>
      <c r="E631" s="88">
        <v>44067</v>
      </c>
      <c r="F631" s="316">
        <v>44076</v>
      </c>
      <c r="G631" s="316">
        <v>36893</v>
      </c>
      <c r="H631" s="317" t="s">
        <v>3128</v>
      </c>
      <c r="I631" s="317"/>
      <c r="J631" s="317" t="s">
        <v>152</v>
      </c>
      <c r="K631" s="315"/>
      <c r="L631" s="315" t="s">
        <v>3222</v>
      </c>
      <c r="M631" s="317" t="s">
        <v>3093</v>
      </c>
      <c r="N631" s="320" t="s">
        <v>4200</v>
      </c>
      <c r="O631" s="317" t="s">
        <v>4201</v>
      </c>
      <c r="P631" s="318" t="s">
        <v>4202</v>
      </c>
      <c r="Q631" s="318" t="s">
        <v>4069</v>
      </c>
      <c r="R631" s="317" t="s">
        <v>4207</v>
      </c>
      <c r="S631" s="317"/>
      <c r="T631" s="317" t="s">
        <v>4127</v>
      </c>
      <c r="U631" s="317" t="s">
        <v>4203</v>
      </c>
      <c r="V631" s="317"/>
      <c r="W631" s="317"/>
      <c r="X631" s="317" t="s">
        <v>4206</v>
      </c>
      <c r="Y631" s="319"/>
    </row>
    <row r="632" spans="1:25" s="91" customFormat="1" hidden="1" x14ac:dyDescent="0.25">
      <c r="A632" s="32" t="s">
        <v>1357</v>
      </c>
      <c r="B632" s="315" t="str">
        <f>IF((COUNTBLANK(G632)=0),Stats!$E$7,IF((COUNTBLANK(E632)=0),IF((COUNTBLANK(F632)=0),IF((COUNTBLANK(U632)=0),Stats!$E$6,Stats!$E$5),Stats!$E$4),""))</f>
        <v>Death</v>
      </c>
      <c r="C632" s="39" t="s">
        <v>3122</v>
      </c>
      <c r="D632" s="315"/>
      <c r="E632" s="88">
        <v>44069</v>
      </c>
      <c r="F632" s="316">
        <v>36892</v>
      </c>
      <c r="G632" s="316">
        <v>36893</v>
      </c>
      <c r="H632" s="317" t="s">
        <v>3145</v>
      </c>
      <c r="I632" s="317"/>
      <c r="J632" s="317" t="s">
        <v>152</v>
      </c>
      <c r="K632" s="315" t="s">
        <v>3222</v>
      </c>
      <c r="L632" s="315"/>
      <c r="M632" s="317"/>
      <c r="N632" s="320" t="s">
        <v>105</v>
      </c>
      <c r="O632" s="317" t="s">
        <v>4045</v>
      </c>
      <c r="P632" s="318">
        <v>-1300</v>
      </c>
      <c r="Q632" s="318">
        <v>400</v>
      </c>
      <c r="R632" s="317"/>
      <c r="S632" s="317"/>
      <c r="T632" s="317"/>
      <c r="U632" s="317"/>
      <c r="V632" s="317"/>
      <c r="W632" s="317"/>
      <c r="X632" s="317"/>
      <c r="Y632" s="319"/>
    </row>
    <row r="633" spans="1:25" s="91" customFormat="1" hidden="1" x14ac:dyDescent="0.25">
      <c r="A633" s="32" t="s">
        <v>1358</v>
      </c>
      <c r="B633" s="315" t="str">
        <f>IF((COUNTBLANK(G633)=0),Stats!$E$7,IF((COUNTBLANK(E633)=0),IF((COUNTBLANK(F633)=0),IF((COUNTBLANK(U633)=0),Stats!$E$6,Stats!$E$5),Stats!$E$4),""))</f>
        <v>Death</v>
      </c>
      <c r="C633" s="39" t="s">
        <v>3122</v>
      </c>
      <c r="D633" s="315"/>
      <c r="E633" s="88">
        <v>44069</v>
      </c>
      <c r="F633" s="316">
        <v>44103</v>
      </c>
      <c r="G633" s="316">
        <v>36893</v>
      </c>
      <c r="H633" s="317" t="s">
        <v>3145</v>
      </c>
      <c r="I633" s="317"/>
      <c r="J633" s="317" t="s">
        <v>152</v>
      </c>
      <c r="K633" s="315" t="s">
        <v>3222</v>
      </c>
      <c r="L633" s="315"/>
      <c r="M633" s="317"/>
      <c r="N633" s="320" t="s">
        <v>105</v>
      </c>
      <c r="O633" s="317" t="s">
        <v>4045</v>
      </c>
      <c r="P633" s="318">
        <v>-1300</v>
      </c>
      <c r="Q633" s="318">
        <v>400</v>
      </c>
      <c r="R633" s="317"/>
      <c r="S633" s="317"/>
      <c r="T633" s="317"/>
      <c r="U633" s="317"/>
      <c r="V633" s="317"/>
      <c r="W633" s="317"/>
      <c r="X633" s="317"/>
      <c r="Y633" s="319"/>
    </row>
    <row r="634" spans="1:25" s="91" customFormat="1" hidden="1" x14ac:dyDescent="0.25">
      <c r="A634" s="32" t="s">
        <v>1359</v>
      </c>
      <c r="B634" s="315" t="str">
        <f>IF((COUNTBLANK(G634)=0),Stats!$E$7,IF((COUNTBLANK(E634)=0),IF((COUNTBLANK(F634)=0),IF((COUNTBLANK(U634)=0),Stats!$E$6,Stats!$E$5),Stats!$E$4),""))</f>
        <v>Death</v>
      </c>
      <c r="C634" s="39" t="s">
        <v>3122</v>
      </c>
      <c r="D634" s="315"/>
      <c r="E634" s="88">
        <v>44069</v>
      </c>
      <c r="F634" s="316">
        <v>44090</v>
      </c>
      <c r="G634" s="316">
        <v>36893</v>
      </c>
      <c r="H634" s="317" t="s">
        <v>3145</v>
      </c>
      <c r="I634" s="317"/>
      <c r="J634" s="317" t="s">
        <v>152</v>
      </c>
      <c r="K634" s="315" t="s">
        <v>3222</v>
      </c>
      <c r="L634" s="315"/>
      <c r="M634" s="317"/>
      <c r="N634" s="320" t="s">
        <v>105</v>
      </c>
      <c r="O634" s="317" t="s">
        <v>4045</v>
      </c>
      <c r="P634" s="318">
        <v>-1300</v>
      </c>
      <c r="Q634" s="318">
        <v>400</v>
      </c>
      <c r="R634" s="317"/>
      <c r="S634" s="317"/>
      <c r="T634" s="317"/>
      <c r="U634" s="317"/>
      <c r="V634" s="317"/>
      <c r="W634" s="317"/>
      <c r="X634" s="317"/>
      <c r="Y634" s="319"/>
    </row>
    <row r="635" spans="1:25" s="91" customFormat="1" hidden="1" x14ac:dyDescent="0.25">
      <c r="A635" s="32" t="s">
        <v>1360</v>
      </c>
      <c r="B635" s="315" t="str">
        <f>IF((COUNTBLANK(G635)=0),Stats!$E$7,IF((COUNTBLANK(E635)=0),IF((COUNTBLANK(F635)=0),IF((COUNTBLANK(U635)=0),Stats!$E$6,Stats!$E$5),Stats!$E$4),""))</f>
        <v>Death</v>
      </c>
      <c r="C635" s="39" t="s">
        <v>3122</v>
      </c>
      <c r="D635" s="315"/>
      <c r="E635" s="88">
        <v>44070</v>
      </c>
      <c r="F635" s="316">
        <v>36892</v>
      </c>
      <c r="G635" s="316">
        <v>36893</v>
      </c>
      <c r="H635" s="317" t="s">
        <v>3145</v>
      </c>
      <c r="I635" s="317"/>
      <c r="J635" s="317" t="s">
        <v>152</v>
      </c>
      <c r="K635" s="315" t="s">
        <v>3222</v>
      </c>
      <c r="L635" s="315"/>
      <c r="M635" s="317"/>
      <c r="N635" s="320" t="s">
        <v>105</v>
      </c>
      <c r="O635" s="317" t="s">
        <v>4045</v>
      </c>
      <c r="P635" s="318">
        <v>-1300</v>
      </c>
      <c r="Q635" s="318">
        <v>400</v>
      </c>
      <c r="R635" s="317"/>
      <c r="S635" s="317"/>
      <c r="T635" s="317"/>
      <c r="U635" s="317"/>
      <c r="V635" s="317"/>
      <c r="W635" s="317"/>
      <c r="X635" s="317"/>
      <c r="Y635" s="319"/>
    </row>
    <row r="636" spans="1:25" s="91" customFormat="1" hidden="1" x14ac:dyDescent="0.25">
      <c r="A636" s="32" t="s">
        <v>1361</v>
      </c>
      <c r="B636" s="315" t="str">
        <f>IF((COUNTBLANK(G636)=0),Stats!$E$7,IF((COUNTBLANK(E636)=0),IF((COUNTBLANK(F636)=0),IF((COUNTBLANK(U636)=0),Stats!$E$6,Stats!$E$5),Stats!$E$4),""))</f>
        <v>Death</v>
      </c>
      <c r="C636" s="39" t="s">
        <v>3122</v>
      </c>
      <c r="D636" s="315"/>
      <c r="E636" s="88">
        <v>44070</v>
      </c>
      <c r="F636" s="316">
        <v>36892</v>
      </c>
      <c r="G636" s="316">
        <v>36893</v>
      </c>
      <c r="H636" s="317" t="s">
        <v>3145</v>
      </c>
      <c r="I636" s="317"/>
      <c r="J636" s="317" t="s">
        <v>152</v>
      </c>
      <c r="K636" s="315" t="s">
        <v>3222</v>
      </c>
      <c r="L636" s="315"/>
      <c r="M636" s="317"/>
      <c r="N636" s="320" t="s">
        <v>105</v>
      </c>
      <c r="O636" s="317" t="s">
        <v>4045</v>
      </c>
      <c r="P636" s="318">
        <v>-1300</v>
      </c>
      <c r="Q636" s="318">
        <v>400</v>
      </c>
      <c r="R636" s="317"/>
      <c r="S636" s="317"/>
      <c r="T636" s="317"/>
      <c r="U636" s="317"/>
      <c r="V636" s="317"/>
      <c r="W636" s="317"/>
      <c r="X636" s="317"/>
      <c r="Y636" s="319"/>
    </row>
    <row r="637" spans="1:25" s="91" customFormat="1" hidden="1" x14ac:dyDescent="0.25">
      <c r="A637" s="32" t="s">
        <v>1362</v>
      </c>
      <c r="B637" s="315" t="str">
        <f>IF((COUNTBLANK(G637)=0),Stats!$E$7,IF((COUNTBLANK(E637)=0),IF((COUNTBLANK(F637)=0),IF((COUNTBLANK(U637)=0),Stats!$E$6,Stats!$E$5),Stats!$E$4),""))</f>
        <v>Death</v>
      </c>
      <c r="C637" s="39" t="s">
        <v>284</v>
      </c>
      <c r="D637" s="315"/>
      <c r="E637" s="88">
        <v>44076</v>
      </c>
      <c r="F637" s="316">
        <v>44111</v>
      </c>
      <c r="G637" s="316">
        <v>36893</v>
      </c>
      <c r="H637" s="317" t="s">
        <v>3128</v>
      </c>
      <c r="I637" s="317"/>
      <c r="J637" s="317" t="s">
        <v>3186</v>
      </c>
      <c r="K637" s="315" t="s">
        <v>4025</v>
      </c>
      <c r="L637" s="58"/>
      <c r="M637" s="49"/>
      <c r="N637" s="320" t="s">
        <v>196</v>
      </c>
      <c r="O637" s="317" t="s">
        <v>51</v>
      </c>
      <c r="P637" s="318" t="s">
        <v>4153</v>
      </c>
      <c r="Q637" s="318" t="s">
        <v>4208</v>
      </c>
      <c r="R637" s="317" t="s">
        <v>4209</v>
      </c>
      <c r="S637" s="317"/>
      <c r="T637" s="317" t="s">
        <v>4127</v>
      </c>
      <c r="U637" s="317" t="s">
        <v>4210</v>
      </c>
      <c r="V637" s="317"/>
      <c r="W637" s="317"/>
      <c r="X637" s="317" t="s">
        <v>4211</v>
      </c>
      <c r="Y637" s="319"/>
    </row>
    <row r="638" spans="1:25" s="91" customFormat="1" hidden="1" x14ac:dyDescent="0.25">
      <c r="A638" s="32" t="s">
        <v>1363</v>
      </c>
      <c r="B638" s="315" t="str">
        <f>IF((COUNTBLANK(G638)=0),Stats!$E$7,IF((COUNTBLANK(E638)=0),IF((COUNTBLANK(F638)=0),IF((COUNTBLANK(U638)=0),Stats!$E$6,Stats!$E$5),Stats!$E$4),""))</f>
        <v>Death</v>
      </c>
      <c r="C638" s="39" t="s">
        <v>284</v>
      </c>
      <c r="D638" s="315"/>
      <c r="E638" s="88">
        <v>44076</v>
      </c>
      <c r="F638" s="316">
        <v>44111</v>
      </c>
      <c r="G638" s="316">
        <v>36893</v>
      </c>
      <c r="H638" s="317" t="s">
        <v>3128</v>
      </c>
      <c r="I638" s="317"/>
      <c r="J638" s="317" t="s">
        <v>3186</v>
      </c>
      <c r="K638" s="315" t="s">
        <v>4025</v>
      </c>
      <c r="L638" s="58"/>
      <c r="M638" s="49"/>
      <c r="N638" s="320" t="s">
        <v>196</v>
      </c>
      <c r="O638" s="317" t="s">
        <v>51</v>
      </c>
      <c r="P638" s="318" t="s">
        <v>4153</v>
      </c>
      <c r="Q638" s="318" t="s">
        <v>4208</v>
      </c>
      <c r="R638" s="317" t="s">
        <v>4212</v>
      </c>
      <c r="S638" s="317"/>
      <c r="T638" s="317" t="s">
        <v>4104</v>
      </c>
      <c r="U638" s="317" t="s">
        <v>4210</v>
      </c>
      <c r="V638" s="317"/>
      <c r="W638" s="317"/>
      <c r="X638" s="317" t="s">
        <v>4211</v>
      </c>
      <c r="Y638" s="319"/>
    </row>
    <row r="639" spans="1:25" s="91" customFormat="1" hidden="1" x14ac:dyDescent="0.25">
      <c r="A639" s="32" t="s">
        <v>1364</v>
      </c>
      <c r="B639" s="315" t="str">
        <f>IF((COUNTBLANK(G639)=0),Stats!$E$7,IF((COUNTBLANK(E639)=0),IF((COUNTBLANK(F639)=0),IF((COUNTBLANK(U639)=0),Stats!$E$6,Stats!$E$5),Stats!$E$4),""))</f>
        <v>Death</v>
      </c>
      <c r="C639" s="39" t="s">
        <v>284</v>
      </c>
      <c r="D639" s="315"/>
      <c r="E639" s="88">
        <v>44076</v>
      </c>
      <c r="F639" s="316">
        <v>36892</v>
      </c>
      <c r="G639" s="316">
        <v>36893</v>
      </c>
      <c r="H639" s="317" t="s">
        <v>3128</v>
      </c>
      <c r="I639" s="317"/>
      <c r="J639" s="317" t="s">
        <v>3186</v>
      </c>
      <c r="K639" s="315" t="s">
        <v>4025</v>
      </c>
      <c r="L639" s="58"/>
      <c r="M639" s="49"/>
      <c r="N639" s="320" t="s">
        <v>196</v>
      </c>
      <c r="O639" s="317" t="s">
        <v>51</v>
      </c>
      <c r="P639" s="318" t="s">
        <v>4153</v>
      </c>
      <c r="Q639" s="318" t="s">
        <v>4208</v>
      </c>
      <c r="R639" s="317"/>
      <c r="S639" s="317"/>
      <c r="T639" s="317"/>
      <c r="U639" s="317"/>
      <c r="V639" s="317"/>
      <c r="W639" s="317"/>
      <c r="X639" s="317"/>
      <c r="Y639" s="319"/>
    </row>
    <row r="640" spans="1:25" s="91" customFormat="1" hidden="1" x14ac:dyDescent="0.25">
      <c r="A640" s="32" t="s">
        <v>1365</v>
      </c>
      <c r="B640" s="315" t="str">
        <f>IF((COUNTBLANK(G640)=0),Stats!$E$7,IF((COUNTBLANK(E640)=0),IF((COUNTBLANK(F640)=0),IF((COUNTBLANK(U640)=0),Stats!$E$6,Stats!$E$5),Stats!$E$4),""))</f>
        <v>Death</v>
      </c>
      <c r="C640" s="39" t="s">
        <v>284</v>
      </c>
      <c r="D640" s="315"/>
      <c r="E640" s="88">
        <v>44076</v>
      </c>
      <c r="F640" s="316">
        <v>44111</v>
      </c>
      <c r="G640" s="316">
        <v>36893</v>
      </c>
      <c r="H640" s="317" t="s">
        <v>3128</v>
      </c>
      <c r="I640" s="317"/>
      <c r="J640" s="317" t="s">
        <v>3186</v>
      </c>
      <c r="K640" s="315" t="s">
        <v>4025</v>
      </c>
      <c r="L640" s="58"/>
      <c r="M640" s="49"/>
      <c r="N640" s="320" t="s">
        <v>196</v>
      </c>
      <c r="O640" s="317" t="s">
        <v>51</v>
      </c>
      <c r="P640" s="318" t="s">
        <v>4153</v>
      </c>
      <c r="Q640" s="318" t="s">
        <v>4208</v>
      </c>
      <c r="R640" s="317"/>
      <c r="S640" s="317"/>
      <c r="T640" s="317" t="s">
        <v>4127</v>
      </c>
      <c r="U640" s="317" t="s">
        <v>4213</v>
      </c>
      <c r="V640" s="317"/>
      <c r="W640" s="317"/>
      <c r="X640" s="317" t="s">
        <v>4211</v>
      </c>
      <c r="Y640" s="319"/>
    </row>
    <row r="641" spans="1:25" s="91" customFormat="1" hidden="1" x14ac:dyDescent="0.25">
      <c r="A641" s="32" t="s">
        <v>1366</v>
      </c>
      <c r="B641" s="315" t="str">
        <f>IF((COUNTBLANK(G641)=0),Stats!$E$7,IF((COUNTBLANK(E641)=0),IF((COUNTBLANK(F641)=0),IF((COUNTBLANK(U641)=0),Stats!$E$6,Stats!$E$5),Stats!$E$4),""))</f>
        <v>Death</v>
      </c>
      <c r="C641" s="39" t="s">
        <v>284</v>
      </c>
      <c r="D641" s="315"/>
      <c r="E641" s="88">
        <v>44076</v>
      </c>
      <c r="F641" s="316">
        <v>44076</v>
      </c>
      <c r="G641" s="316">
        <v>36893</v>
      </c>
      <c r="H641" s="317" t="s">
        <v>3142</v>
      </c>
      <c r="I641" s="317"/>
      <c r="J641" s="317" t="s">
        <v>3186</v>
      </c>
      <c r="K641" s="315" t="s">
        <v>4025</v>
      </c>
      <c r="L641" s="58"/>
      <c r="M641" s="49"/>
      <c r="N641" s="320" t="s">
        <v>196</v>
      </c>
      <c r="O641" s="317" t="s">
        <v>51</v>
      </c>
      <c r="P641" s="318" t="s">
        <v>4153</v>
      </c>
      <c r="Q641" s="318" t="s">
        <v>4208</v>
      </c>
      <c r="R641" s="317"/>
      <c r="S641" s="317"/>
      <c r="T641" s="317"/>
      <c r="U641" s="317" t="s">
        <v>4214</v>
      </c>
      <c r="V641" s="317" t="s">
        <v>4215</v>
      </c>
      <c r="W641" s="317"/>
      <c r="X641" s="317"/>
      <c r="Y641" s="319"/>
    </row>
    <row r="642" spans="1:25" s="91" customFormat="1" hidden="1" x14ac:dyDescent="0.25">
      <c r="A642" s="32" t="s">
        <v>1367</v>
      </c>
      <c r="B642" s="315" t="str">
        <f>IF((COUNTBLANK(G642)=0),Stats!$E$7,IF((COUNTBLANK(E642)=0),IF((COUNTBLANK(F642)=0),IF((COUNTBLANK(U642)=0),Stats!$E$6,Stats!$E$5),Stats!$E$4),""))</f>
        <v>Death</v>
      </c>
      <c r="C642" s="39" t="s">
        <v>284</v>
      </c>
      <c r="D642" s="315"/>
      <c r="E642" s="88">
        <v>44082</v>
      </c>
      <c r="F642" s="316">
        <v>44082</v>
      </c>
      <c r="G642" s="316">
        <v>36893</v>
      </c>
      <c r="H642" s="317" t="s">
        <v>3142</v>
      </c>
      <c r="I642" s="317"/>
      <c r="J642" s="317" t="s">
        <v>152</v>
      </c>
      <c r="K642" s="315" t="s">
        <v>4002</v>
      </c>
      <c r="L642" s="315" t="s">
        <v>4199</v>
      </c>
      <c r="M642" s="317"/>
      <c r="N642" s="320" t="s">
        <v>105</v>
      </c>
      <c r="O642" s="317" t="s">
        <v>51</v>
      </c>
      <c r="P642" s="318" t="s">
        <v>4153</v>
      </c>
      <c r="Q642" s="318" t="s">
        <v>4057</v>
      </c>
      <c r="R642" s="317"/>
      <c r="S642" s="317"/>
      <c r="T642" s="317"/>
      <c r="U642" s="317" t="s">
        <v>4216</v>
      </c>
      <c r="V642" s="317" t="s">
        <v>4217</v>
      </c>
      <c r="W642" s="317" t="s">
        <v>4218</v>
      </c>
      <c r="X642" s="317"/>
      <c r="Y642" s="319"/>
    </row>
    <row r="643" spans="1:25" s="91" customFormat="1" hidden="1" x14ac:dyDescent="0.25">
      <c r="A643" s="32" t="s">
        <v>1368</v>
      </c>
      <c r="B643" s="315" t="str">
        <f>IF((COUNTBLANK(G643)=0),Stats!$E$7,IF((COUNTBLANK(E643)=0),IF((COUNTBLANK(F643)=0),IF((COUNTBLANK(U643)=0),Stats!$E$6,Stats!$E$5),Stats!$E$4),""))</f>
        <v>Death</v>
      </c>
      <c r="C643" s="39" t="s">
        <v>284</v>
      </c>
      <c r="D643" s="315"/>
      <c r="E643" s="88">
        <v>44082</v>
      </c>
      <c r="F643" s="316">
        <v>36892</v>
      </c>
      <c r="G643" s="316">
        <v>36893</v>
      </c>
      <c r="H643" s="317" t="s">
        <v>3142</v>
      </c>
      <c r="I643" s="317"/>
      <c r="J643" s="317" t="s">
        <v>152</v>
      </c>
      <c r="K643" s="315" t="s">
        <v>4002</v>
      </c>
      <c r="L643" s="315" t="s">
        <v>4199</v>
      </c>
      <c r="M643" s="317"/>
      <c r="N643" s="320" t="s">
        <v>105</v>
      </c>
      <c r="O643" s="317" t="s">
        <v>51</v>
      </c>
      <c r="P643" s="318" t="s">
        <v>4153</v>
      </c>
      <c r="Q643" s="318" t="s">
        <v>4057</v>
      </c>
      <c r="R643" s="317"/>
      <c r="S643" s="317"/>
      <c r="T643" s="317"/>
      <c r="U643" s="317" t="s">
        <v>4219</v>
      </c>
      <c r="V643" s="317"/>
      <c r="W643" s="317"/>
      <c r="X643" s="317" t="s">
        <v>3973</v>
      </c>
      <c r="Y643" s="319"/>
    </row>
    <row r="644" spans="1:25" s="91" customFormat="1" hidden="1" x14ac:dyDescent="0.25">
      <c r="A644" s="32" t="s">
        <v>1369</v>
      </c>
      <c r="B644" s="315" t="str">
        <f>IF((COUNTBLANK(G644)=0),Stats!$E$7,IF((COUNTBLANK(E644)=0),IF((COUNTBLANK(F644)=0),IF((COUNTBLANK(U644)=0),Stats!$E$6,Stats!$E$5),Stats!$E$4),""))</f>
        <v>Death</v>
      </c>
      <c r="C644" s="39" t="s">
        <v>284</v>
      </c>
      <c r="D644" s="315"/>
      <c r="E644" s="88">
        <v>44085</v>
      </c>
      <c r="F644" s="316">
        <v>44116</v>
      </c>
      <c r="G644" s="316">
        <v>36893</v>
      </c>
      <c r="H644" s="317" t="s">
        <v>3128</v>
      </c>
      <c r="I644" s="317"/>
      <c r="J644" s="317" t="s">
        <v>152</v>
      </c>
      <c r="K644" s="315" t="s">
        <v>3828</v>
      </c>
      <c r="L644" s="315" t="s">
        <v>4002</v>
      </c>
      <c r="M644" s="317" t="s">
        <v>3093</v>
      </c>
      <c r="N644" s="320" t="s">
        <v>4200</v>
      </c>
      <c r="O644" s="317" t="s">
        <v>51</v>
      </c>
      <c r="P644" s="318">
        <v>-500</v>
      </c>
      <c r="Q644" s="318">
        <v>600</v>
      </c>
      <c r="R644" s="317" t="s">
        <v>4220</v>
      </c>
      <c r="S644" s="317"/>
      <c r="T644" s="317" t="s">
        <v>4221</v>
      </c>
      <c r="U644" s="317" t="s">
        <v>4222</v>
      </c>
      <c r="V644" s="317"/>
      <c r="W644" s="317"/>
      <c r="X644" s="317" t="s">
        <v>4223</v>
      </c>
      <c r="Y644" s="319"/>
    </row>
    <row r="645" spans="1:25" s="91" customFormat="1" hidden="1" x14ac:dyDescent="0.25">
      <c r="A645" s="32" t="s">
        <v>1370</v>
      </c>
      <c r="B645" s="315" t="str">
        <f>IF((COUNTBLANK(G645)=0),Stats!$E$7,IF((COUNTBLANK(E645)=0),IF((COUNTBLANK(F645)=0),IF((COUNTBLANK(U645)=0),Stats!$E$6,Stats!$E$5),Stats!$E$4),""))</f>
        <v>Death</v>
      </c>
      <c r="C645" s="39" t="s">
        <v>284</v>
      </c>
      <c r="D645" s="315"/>
      <c r="E645" s="88">
        <v>44085</v>
      </c>
      <c r="F645" s="316">
        <v>44116</v>
      </c>
      <c r="G645" s="316">
        <v>36893</v>
      </c>
      <c r="H645" s="317" t="s">
        <v>3128</v>
      </c>
      <c r="I645" s="317"/>
      <c r="J645" s="317" t="s">
        <v>152</v>
      </c>
      <c r="K645" s="315" t="s">
        <v>3828</v>
      </c>
      <c r="L645" s="315" t="s">
        <v>4002</v>
      </c>
      <c r="M645" s="317" t="s">
        <v>3093</v>
      </c>
      <c r="N645" s="320" t="s">
        <v>4200</v>
      </c>
      <c r="O645" s="317" t="s">
        <v>51</v>
      </c>
      <c r="P645" s="318">
        <v>-500</v>
      </c>
      <c r="Q645" s="318">
        <v>600</v>
      </c>
      <c r="R645" s="317"/>
      <c r="S645" s="317"/>
      <c r="T645" s="317" t="s">
        <v>4224</v>
      </c>
      <c r="U645" s="317" t="s">
        <v>4225</v>
      </c>
      <c r="V645" s="317" t="s">
        <v>4226</v>
      </c>
      <c r="W645" s="317" t="s">
        <v>4227</v>
      </c>
      <c r="X645" s="317"/>
      <c r="Y645" s="319"/>
    </row>
    <row r="646" spans="1:25" s="91" customFormat="1" hidden="1" x14ac:dyDescent="0.25">
      <c r="A646" s="32" t="s">
        <v>1371</v>
      </c>
      <c r="B646" s="315" t="str">
        <f>IF((COUNTBLANK(G646)=0),Stats!$E$7,IF((COUNTBLANK(E646)=0),IF((COUNTBLANK(F646)=0),IF((COUNTBLANK(U646)=0),Stats!$E$6,Stats!$E$5),Stats!$E$4),""))</f>
        <v>Death</v>
      </c>
      <c r="C646" s="39" t="s">
        <v>284</v>
      </c>
      <c r="D646" s="315"/>
      <c r="E646" s="88">
        <v>44085</v>
      </c>
      <c r="F646" s="316">
        <v>44116</v>
      </c>
      <c r="G646" s="316">
        <v>36893</v>
      </c>
      <c r="H646" s="317" t="s">
        <v>3128</v>
      </c>
      <c r="I646" s="317"/>
      <c r="J646" s="317" t="s">
        <v>152</v>
      </c>
      <c r="K646" s="315" t="s">
        <v>3828</v>
      </c>
      <c r="L646" s="315" t="s">
        <v>4002</v>
      </c>
      <c r="M646" s="317" t="s">
        <v>3093</v>
      </c>
      <c r="N646" s="320" t="s">
        <v>4200</v>
      </c>
      <c r="O646" s="317" t="s">
        <v>51</v>
      </c>
      <c r="P646" s="318">
        <v>-500</v>
      </c>
      <c r="Q646" s="318">
        <v>600</v>
      </c>
      <c r="R646" s="317"/>
      <c r="S646" s="317"/>
      <c r="T646" s="317" t="s">
        <v>4104</v>
      </c>
      <c r="U646" s="317" t="s">
        <v>4228</v>
      </c>
      <c r="V646" s="317" t="s">
        <v>4229</v>
      </c>
      <c r="W646" s="317"/>
      <c r="X646" s="317"/>
      <c r="Y646" s="319"/>
    </row>
    <row r="647" spans="1:25" s="91" customFormat="1" hidden="1" x14ac:dyDescent="0.25">
      <c r="A647" s="32" t="s">
        <v>1372</v>
      </c>
      <c r="B647" s="315" t="str">
        <f>IF((COUNTBLANK(G647)=0),Stats!$E$7,IF((COUNTBLANK(E647)=0),IF((COUNTBLANK(F647)=0),IF((COUNTBLANK(U647)=0),Stats!$E$6,Stats!$E$5),Stats!$E$4),""))</f>
        <v>Death</v>
      </c>
      <c r="C647" s="39" t="s">
        <v>284</v>
      </c>
      <c r="D647" s="315"/>
      <c r="E647" s="88">
        <v>44090</v>
      </c>
      <c r="F647" s="316">
        <v>44090</v>
      </c>
      <c r="G647" s="316">
        <v>36893</v>
      </c>
      <c r="H647" s="317" t="s">
        <v>3142</v>
      </c>
      <c r="I647" s="317"/>
      <c r="J647" s="317" t="s">
        <v>152</v>
      </c>
      <c r="K647" s="315" t="s">
        <v>4230</v>
      </c>
      <c r="L647" s="315"/>
      <c r="M647" s="317"/>
      <c r="N647" s="320" t="s">
        <v>105</v>
      </c>
      <c r="O647" s="317" t="s">
        <v>51</v>
      </c>
      <c r="P647" s="318" t="s">
        <v>4153</v>
      </c>
      <c r="Q647" s="318" t="s">
        <v>4231</v>
      </c>
      <c r="R647" s="317"/>
      <c r="S647" s="317"/>
      <c r="T647" s="317"/>
      <c r="U647" s="317" t="s">
        <v>4232</v>
      </c>
      <c r="V647" s="73" t="s">
        <v>4233</v>
      </c>
      <c r="W647" s="317"/>
      <c r="X647" s="317"/>
      <c r="Y647" s="319"/>
    </row>
    <row r="648" spans="1:25" s="91" customFormat="1" hidden="1" x14ac:dyDescent="0.25">
      <c r="A648" s="32" t="s">
        <v>1373</v>
      </c>
      <c r="B648" s="315" t="str">
        <f>IF((COUNTBLANK(G648)=0),Stats!$E$7,IF((COUNTBLANK(E648)=0),IF((COUNTBLANK(F648)=0),IF((COUNTBLANK(U648)=0),Stats!$E$6,Stats!$E$5),Stats!$E$4),""))</f>
        <v>Death</v>
      </c>
      <c r="C648" s="39" t="s">
        <v>284</v>
      </c>
      <c r="D648" s="315"/>
      <c r="E648" s="88">
        <v>44090</v>
      </c>
      <c r="F648" s="316">
        <v>44090</v>
      </c>
      <c r="G648" s="316">
        <v>36893</v>
      </c>
      <c r="H648" s="317" t="s">
        <v>3142</v>
      </c>
      <c r="I648" s="317"/>
      <c r="J648" s="317" t="s">
        <v>152</v>
      </c>
      <c r="K648" s="315" t="s">
        <v>4230</v>
      </c>
      <c r="L648" s="315"/>
      <c r="M648" s="317"/>
      <c r="N648" s="320" t="s">
        <v>3749</v>
      </c>
      <c r="O648" s="317" t="s">
        <v>51</v>
      </c>
      <c r="P648" s="318" t="s">
        <v>4153</v>
      </c>
      <c r="Q648" s="318" t="s">
        <v>4231</v>
      </c>
      <c r="R648" s="317"/>
      <c r="S648" s="317"/>
      <c r="T648" s="317"/>
      <c r="U648" s="317" t="s">
        <v>4219</v>
      </c>
      <c r="V648" s="317"/>
      <c r="W648" s="317"/>
      <c r="X648" s="317"/>
      <c r="Y648" s="319"/>
    </row>
    <row r="649" spans="1:25" s="91" customFormat="1" hidden="1" x14ac:dyDescent="0.25">
      <c r="A649" s="32" t="s">
        <v>1374</v>
      </c>
      <c r="B649" s="315" t="str">
        <f>IF((COUNTBLANK(G649)=0),Stats!$E$7,IF((COUNTBLANK(E649)=0),IF((COUNTBLANK(F649)=0),IF((COUNTBLANK(U649)=0),Stats!$E$6,Stats!$E$5),Stats!$E$4),""))</f>
        <v>Death</v>
      </c>
      <c r="C649" s="39" t="s">
        <v>284</v>
      </c>
      <c r="D649" s="315"/>
      <c r="E649" s="88">
        <v>44104</v>
      </c>
      <c r="F649" s="316">
        <v>44117</v>
      </c>
      <c r="G649" s="316">
        <v>36893</v>
      </c>
      <c r="H649" s="317" t="s">
        <v>3128</v>
      </c>
      <c r="I649" s="317"/>
      <c r="J649" s="317" t="s">
        <v>152</v>
      </c>
      <c r="K649" s="315" t="s">
        <v>3828</v>
      </c>
      <c r="L649" s="315" t="s">
        <v>3222</v>
      </c>
      <c r="M649" s="317"/>
      <c r="N649" s="320" t="s">
        <v>3273</v>
      </c>
      <c r="O649" s="317" t="s">
        <v>51</v>
      </c>
      <c r="P649" s="318">
        <v>-800</v>
      </c>
      <c r="Q649" s="318">
        <v>600</v>
      </c>
      <c r="R649" s="317" t="s">
        <v>4234</v>
      </c>
      <c r="S649" s="317"/>
      <c r="T649" s="317" t="s">
        <v>4235</v>
      </c>
      <c r="U649" s="317" t="s">
        <v>4236</v>
      </c>
      <c r="V649" s="317"/>
      <c r="W649" s="317"/>
      <c r="X649" s="317"/>
      <c r="Y649" s="319"/>
    </row>
    <row r="650" spans="1:25" s="91" customFormat="1" hidden="1" x14ac:dyDescent="0.25">
      <c r="A650" s="32" t="s">
        <v>1375</v>
      </c>
      <c r="B650" s="315" t="str">
        <f>IF((COUNTBLANK(G650)=0),Stats!$E$7,IF((COUNTBLANK(E650)=0),IF((COUNTBLANK(F650)=0),IF((COUNTBLANK(U650)=0),Stats!$E$6,Stats!$E$5),Stats!$E$4),""))</f>
        <v>Death</v>
      </c>
      <c r="C650" s="39" t="s">
        <v>284</v>
      </c>
      <c r="D650" s="315"/>
      <c r="E650" s="88">
        <v>44104</v>
      </c>
      <c r="F650" s="88">
        <v>44117</v>
      </c>
      <c r="G650" s="316">
        <v>36893</v>
      </c>
      <c r="H650" s="317" t="s">
        <v>3128</v>
      </c>
      <c r="I650" s="49"/>
      <c r="J650" s="49" t="s">
        <v>152</v>
      </c>
      <c r="K650" s="315" t="s">
        <v>3828</v>
      </c>
      <c r="L650" s="315" t="s">
        <v>3222</v>
      </c>
      <c r="M650" s="317"/>
      <c r="N650" s="320" t="s">
        <v>3273</v>
      </c>
      <c r="O650" s="49" t="s">
        <v>51</v>
      </c>
      <c r="P650" s="67">
        <v>-800</v>
      </c>
      <c r="Q650" s="67">
        <v>600</v>
      </c>
      <c r="R650" s="49" t="s">
        <v>4237</v>
      </c>
      <c r="S650" s="49"/>
      <c r="T650" s="49" t="s">
        <v>4238</v>
      </c>
      <c r="U650" s="49" t="s">
        <v>4236</v>
      </c>
      <c r="V650" s="49"/>
      <c r="W650" s="49"/>
      <c r="X650" s="49"/>
      <c r="Y650" s="95"/>
    </row>
    <row r="651" spans="1:25" s="92" customFormat="1" hidden="1" x14ac:dyDescent="0.25">
      <c r="A651" s="32" t="s">
        <v>1376</v>
      </c>
      <c r="B651" s="315" t="str">
        <f>IF((COUNTBLANK(G651)=0),Stats!$E$7,IF((COUNTBLANK(E651)=0),IF((COUNTBLANK(F651)=0),IF((COUNTBLANK(U651)=0),Stats!$E$6,Stats!$E$5),Stats!$E$4),""))</f>
        <v>Death</v>
      </c>
      <c r="C651" s="39" t="s">
        <v>284</v>
      </c>
      <c r="D651" s="315"/>
      <c r="E651" s="88">
        <v>44104</v>
      </c>
      <c r="F651" s="316">
        <v>44118</v>
      </c>
      <c r="G651" s="316">
        <v>36893</v>
      </c>
      <c r="H651" s="317" t="s">
        <v>3128</v>
      </c>
      <c r="I651" s="317"/>
      <c r="J651" s="317" t="s">
        <v>152</v>
      </c>
      <c r="K651" s="315" t="s">
        <v>3828</v>
      </c>
      <c r="L651" s="315" t="s">
        <v>3222</v>
      </c>
      <c r="M651" s="317" t="s">
        <v>3093</v>
      </c>
      <c r="N651" s="320" t="s">
        <v>4200</v>
      </c>
      <c r="O651" s="317" t="s">
        <v>51</v>
      </c>
      <c r="P651" s="318">
        <v>-800</v>
      </c>
      <c r="Q651" s="318">
        <v>600</v>
      </c>
      <c r="R651" s="317" t="s">
        <v>4239</v>
      </c>
      <c r="S651" s="317"/>
      <c r="T651" s="317"/>
      <c r="U651" s="317"/>
      <c r="V651" s="317"/>
      <c r="W651" s="317"/>
      <c r="X651" s="317" t="s">
        <v>4240</v>
      </c>
      <c r="Y651" s="319"/>
    </row>
    <row r="652" spans="1:25" s="91" customFormat="1" hidden="1" x14ac:dyDescent="0.25">
      <c r="A652" s="32" t="s">
        <v>1377</v>
      </c>
      <c r="B652" s="315" t="str">
        <f>IF((COUNTBLANK(G652)=0),Stats!$E$7,IF((COUNTBLANK(E652)=0),IF((COUNTBLANK(F652)=0),IF((COUNTBLANK(U652)=0),Stats!$E$6,Stats!$E$5),Stats!$E$4),""))</f>
        <v>Death</v>
      </c>
      <c r="C652" s="39" t="s">
        <v>284</v>
      </c>
      <c r="D652" s="315"/>
      <c r="E652" s="88">
        <v>44104</v>
      </c>
      <c r="F652" s="316">
        <v>44118</v>
      </c>
      <c r="G652" s="316">
        <v>36893</v>
      </c>
      <c r="H652" s="317" t="s">
        <v>3128</v>
      </c>
      <c r="I652" s="317"/>
      <c r="J652" s="317" t="s">
        <v>152</v>
      </c>
      <c r="K652" s="315" t="s">
        <v>3828</v>
      </c>
      <c r="L652" s="315" t="s">
        <v>3222</v>
      </c>
      <c r="M652" s="317" t="s">
        <v>3093</v>
      </c>
      <c r="N652" s="320" t="s">
        <v>4200</v>
      </c>
      <c r="O652" s="317" t="s">
        <v>51</v>
      </c>
      <c r="P652" s="318">
        <v>-800</v>
      </c>
      <c r="Q652" s="318">
        <v>600</v>
      </c>
      <c r="R652" s="317" t="s">
        <v>4241</v>
      </c>
      <c r="S652" s="317"/>
      <c r="T652" s="317" t="s">
        <v>4242</v>
      </c>
      <c r="U652" s="317" t="s">
        <v>4243</v>
      </c>
      <c r="V652" s="317"/>
      <c r="W652" s="317"/>
      <c r="X652" s="317"/>
      <c r="Y652" s="319"/>
    </row>
    <row r="653" spans="1:25" s="91" customFormat="1" hidden="1" x14ac:dyDescent="0.25">
      <c r="A653" s="32" t="s">
        <v>1378</v>
      </c>
      <c r="B653" s="315" t="str">
        <f>IF((COUNTBLANK(G653)=0),Stats!$E$7,IF((COUNTBLANK(E653)=0),IF((COUNTBLANK(F653)=0),IF((COUNTBLANK(U653)=0),Stats!$E$6,Stats!$E$5),Stats!$E$4),""))</f>
        <v>Death</v>
      </c>
      <c r="C653" s="39" t="s">
        <v>4146</v>
      </c>
      <c r="D653" s="315"/>
      <c r="E653" s="88">
        <v>44113</v>
      </c>
      <c r="F653" s="316">
        <v>44123</v>
      </c>
      <c r="G653" s="316">
        <v>36893</v>
      </c>
      <c r="H653" s="317" t="s">
        <v>3128</v>
      </c>
      <c r="I653" s="317"/>
      <c r="J653" s="317" t="s">
        <v>3186</v>
      </c>
      <c r="K653" s="315" t="s">
        <v>4002</v>
      </c>
      <c r="L653" s="315"/>
      <c r="M653" s="317"/>
      <c r="N653" s="320" t="s">
        <v>196</v>
      </c>
      <c r="O653" s="317" t="s">
        <v>4244</v>
      </c>
      <c r="P653" s="318" t="s">
        <v>4245</v>
      </c>
      <c r="Q653" s="318" t="s">
        <v>4246</v>
      </c>
      <c r="R653" s="317" t="s">
        <v>4247</v>
      </c>
      <c r="S653" s="317"/>
      <c r="T653" s="317" t="s">
        <v>4221</v>
      </c>
      <c r="U653" s="317"/>
      <c r="V653" s="317"/>
      <c r="W653" s="317"/>
      <c r="X653" s="317"/>
      <c r="Y653" s="319"/>
    </row>
    <row r="654" spans="1:25" s="91" customFormat="1" hidden="1" x14ac:dyDescent="0.25">
      <c r="A654" s="32" t="s">
        <v>1379</v>
      </c>
      <c r="B654" s="315" t="str">
        <f>IF((COUNTBLANK(G654)=0),Stats!$E$7,IF((COUNTBLANK(E654)=0),IF((COUNTBLANK(F654)=0),IF((COUNTBLANK(U654)=0),Stats!$E$6,Stats!$E$5),Stats!$E$4),""))</f>
        <v>Death</v>
      </c>
      <c r="C654" s="39" t="s">
        <v>4146</v>
      </c>
      <c r="D654" s="315"/>
      <c r="E654" s="88">
        <v>44113</v>
      </c>
      <c r="F654" s="316">
        <v>44123</v>
      </c>
      <c r="G654" s="316">
        <v>36893</v>
      </c>
      <c r="H654" s="317" t="s">
        <v>3128</v>
      </c>
      <c r="I654" s="317"/>
      <c r="J654" s="317" t="s">
        <v>3186</v>
      </c>
      <c r="K654" s="315" t="s">
        <v>4002</v>
      </c>
      <c r="L654" s="315"/>
      <c r="M654" s="317"/>
      <c r="N654" s="320" t="s">
        <v>196</v>
      </c>
      <c r="O654" s="317" t="s">
        <v>4244</v>
      </c>
      <c r="P654" s="318" t="s">
        <v>4245</v>
      </c>
      <c r="Q654" s="318" t="s">
        <v>4246</v>
      </c>
      <c r="R654" s="317" t="s">
        <v>4248</v>
      </c>
      <c r="S654" s="317"/>
      <c r="T654" s="317" t="s">
        <v>4249</v>
      </c>
      <c r="U654" s="317"/>
      <c r="V654" s="317"/>
      <c r="W654" s="317"/>
      <c r="X654" s="317"/>
      <c r="Y654" s="319"/>
    </row>
    <row r="655" spans="1:25" s="91" customFormat="1" hidden="1" x14ac:dyDescent="0.25">
      <c r="A655" s="32" t="s">
        <v>1380</v>
      </c>
      <c r="B655" s="315" t="str">
        <f>IF((COUNTBLANK(G655)=0),Stats!$E$7,IF((COUNTBLANK(E655)=0),IF((COUNTBLANK(F655)=0),IF((COUNTBLANK(U655)=0),Stats!$E$6,Stats!$E$5),Stats!$E$4),""))</f>
        <v>Death</v>
      </c>
      <c r="C655" s="39" t="s">
        <v>4146</v>
      </c>
      <c r="D655" s="315"/>
      <c r="E655" s="88">
        <v>44113</v>
      </c>
      <c r="F655" s="316">
        <v>44123</v>
      </c>
      <c r="G655" s="316">
        <v>36893</v>
      </c>
      <c r="H655" s="317" t="s">
        <v>3128</v>
      </c>
      <c r="I655" s="317"/>
      <c r="J655" s="317" t="s">
        <v>3186</v>
      </c>
      <c r="K655" s="315" t="s">
        <v>4002</v>
      </c>
      <c r="L655" s="315"/>
      <c r="M655" s="317"/>
      <c r="N655" s="320" t="s">
        <v>196</v>
      </c>
      <c r="O655" s="317" t="s">
        <v>4244</v>
      </c>
      <c r="P655" s="318" t="s">
        <v>4245</v>
      </c>
      <c r="Q655" s="318" t="s">
        <v>4246</v>
      </c>
      <c r="R655" s="317" t="s">
        <v>4250</v>
      </c>
      <c r="S655" s="317"/>
      <c r="T655" s="317" t="s">
        <v>4251</v>
      </c>
      <c r="U655" s="317"/>
      <c r="V655" s="317"/>
      <c r="W655" s="317"/>
      <c r="X655" s="317" t="s">
        <v>4252</v>
      </c>
      <c r="Y655" s="319"/>
    </row>
    <row r="656" spans="1:25" s="91" customFormat="1" hidden="1" x14ac:dyDescent="0.25">
      <c r="A656" s="32" t="s">
        <v>1381</v>
      </c>
      <c r="B656" s="315" t="str">
        <f>IF((COUNTBLANK(G656)=0),Stats!$E$7,IF((COUNTBLANK(E656)=0),IF((COUNTBLANK(F656)=0),IF((COUNTBLANK(U656)=0),Stats!$E$6,Stats!$E$5),Stats!$E$4),""))</f>
        <v>Death</v>
      </c>
      <c r="C656" s="39" t="s">
        <v>284</v>
      </c>
      <c r="D656" s="315"/>
      <c r="E656" s="88">
        <v>44131</v>
      </c>
      <c r="F656" s="316">
        <v>44131</v>
      </c>
      <c r="G656" s="316">
        <v>36893</v>
      </c>
      <c r="H656" s="317" t="s">
        <v>3142</v>
      </c>
      <c r="I656" s="317"/>
      <c r="J656" s="317" t="s">
        <v>152</v>
      </c>
      <c r="K656" s="315" t="s">
        <v>4230</v>
      </c>
      <c r="L656" s="315"/>
      <c r="M656" s="317"/>
      <c r="N656" s="320" t="s">
        <v>105</v>
      </c>
      <c r="O656" s="317" t="s">
        <v>51</v>
      </c>
      <c r="P656" s="318">
        <v>-500</v>
      </c>
      <c r="Q656" s="318">
        <v>500</v>
      </c>
      <c r="R656" s="317"/>
      <c r="S656" s="317"/>
      <c r="T656" s="317" t="s">
        <v>4253</v>
      </c>
      <c r="U656" s="317" t="s">
        <v>4254</v>
      </c>
      <c r="V656" s="323" t="s">
        <v>4255</v>
      </c>
      <c r="W656" s="73" t="s">
        <v>4256</v>
      </c>
      <c r="X656" s="317"/>
      <c r="Y656" s="319"/>
    </row>
    <row r="657" spans="1:25" s="91" customFormat="1" hidden="1" x14ac:dyDescent="0.25">
      <c r="A657" s="32" t="s">
        <v>1382</v>
      </c>
      <c r="B657" s="315" t="str">
        <f>IF((COUNTBLANK(G657)=0),Stats!$E$7,IF((COUNTBLANK(E657)=0),IF((COUNTBLANK(F657)=0),IF((COUNTBLANK(U657)=0),Stats!$E$6,Stats!$E$5),Stats!$E$4),""))</f>
        <v>Death</v>
      </c>
      <c r="C657" s="39" t="s">
        <v>284</v>
      </c>
      <c r="D657" s="315"/>
      <c r="E657" s="88">
        <v>44131</v>
      </c>
      <c r="F657" s="316">
        <v>44131</v>
      </c>
      <c r="G657" s="316">
        <v>36893</v>
      </c>
      <c r="H657" s="317" t="s">
        <v>3142</v>
      </c>
      <c r="I657" s="317"/>
      <c r="J657" s="317" t="s">
        <v>152</v>
      </c>
      <c r="K657" s="315" t="s">
        <v>4230</v>
      </c>
      <c r="L657" s="315"/>
      <c r="M657" s="317"/>
      <c r="N657" s="320" t="s">
        <v>105</v>
      </c>
      <c r="O657" s="317" t="s">
        <v>51</v>
      </c>
      <c r="P657" s="318">
        <v>-500</v>
      </c>
      <c r="Q657" s="318">
        <v>800</v>
      </c>
      <c r="R657" s="317"/>
      <c r="S657" s="317"/>
      <c r="T657" s="317" t="s">
        <v>4253</v>
      </c>
      <c r="U657" s="317" t="s">
        <v>4254</v>
      </c>
      <c r="V657" s="73" t="s">
        <v>4257</v>
      </c>
      <c r="W657" s="317"/>
      <c r="X657" s="317"/>
      <c r="Y657" s="319"/>
    </row>
    <row r="658" spans="1:25" s="91" customFormat="1" hidden="1" x14ac:dyDescent="0.25">
      <c r="A658" s="32" t="s">
        <v>1383</v>
      </c>
      <c r="B658" s="315" t="str">
        <f>IF((COUNTBLANK(G658)=0),Stats!$E$7,IF((COUNTBLANK(E658)=0),IF((COUNTBLANK(F658)=0),IF((COUNTBLANK(U658)=0),Stats!$E$6,Stats!$E$5),Stats!$E$4),""))</f>
        <v>Death</v>
      </c>
      <c r="C658" s="39" t="s">
        <v>284</v>
      </c>
      <c r="D658" s="315"/>
      <c r="E658" s="88">
        <v>44134</v>
      </c>
      <c r="F658" s="316">
        <v>36892</v>
      </c>
      <c r="G658" s="316">
        <v>36893</v>
      </c>
      <c r="H658" s="317" t="s">
        <v>3128</v>
      </c>
      <c r="I658" s="317"/>
      <c r="J658" s="317" t="s">
        <v>152</v>
      </c>
      <c r="K658" s="315" t="s">
        <v>4025</v>
      </c>
      <c r="L658" s="315"/>
      <c r="M658" s="317"/>
      <c r="N658" s="320" t="s">
        <v>3365</v>
      </c>
      <c r="O658" s="317" t="s">
        <v>51</v>
      </c>
      <c r="P658" s="318">
        <v>-500</v>
      </c>
      <c r="Q658" s="318">
        <v>600</v>
      </c>
      <c r="R658" s="317" t="s">
        <v>4258</v>
      </c>
      <c r="S658" s="317"/>
      <c r="T658" s="317"/>
      <c r="U658" s="317"/>
      <c r="V658" s="317"/>
      <c r="W658" s="317"/>
      <c r="X658" s="317" t="s">
        <v>4259</v>
      </c>
      <c r="Y658" s="319"/>
    </row>
    <row r="659" spans="1:25" s="91" customFormat="1" hidden="1" x14ac:dyDescent="0.25">
      <c r="A659" s="32" t="s">
        <v>1384</v>
      </c>
      <c r="B659" s="315" t="str">
        <f>IF((COUNTBLANK(G659)=0),Stats!$E$7,IF((COUNTBLANK(E659)=0),IF((COUNTBLANK(F659)=0),IF((COUNTBLANK(U659)=0),Stats!$E$6,Stats!$E$5),Stats!$E$4),""))</f>
        <v>Death</v>
      </c>
      <c r="C659" s="39" t="s">
        <v>284</v>
      </c>
      <c r="D659" s="315"/>
      <c r="E659" s="88">
        <v>44134</v>
      </c>
      <c r="F659" s="316">
        <v>44152</v>
      </c>
      <c r="G659" s="316">
        <v>36893</v>
      </c>
      <c r="H659" s="317" t="s">
        <v>3128</v>
      </c>
      <c r="I659" s="317"/>
      <c r="J659" s="317" t="s">
        <v>152</v>
      </c>
      <c r="K659" s="315" t="s">
        <v>4025</v>
      </c>
      <c r="L659" s="315"/>
      <c r="M659" s="317"/>
      <c r="N659" s="320" t="s">
        <v>3365</v>
      </c>
      <c r="O659" s="317" t="s">
        <v>51</v>
      </c>
      <c r="P659" s="318">
        <v>-500</v>
      </c>
      <c r="Q659" s="318">
        <v>600</v>
      </c>
      <c r="R659" s="317" t="s">
        <v>4260</v>
      </c>
      <c r="S659" s="317"/>
      <c r="T659" s="317" t="s">
        <v>4104</v>
      </c>
      <c r="U659" s="317" t="s">
        <v>4261</v>
      </c>
      <c r="V659" s="49" t="s">
        <v>4262</v>
      </c>
      <c r="W659" s="317" t="s">
        <v>3345</v>
      </c>
      <c r="X659" s="317"/>
      <c r="Y659" s="319"/>
    </row>
    <row r="660" spans="1:25" s="91" customFormat="1" hidden="1" x14ac:dyDescent="0.25">
      <c r="A660" s="32" t="s">
        <v>1385</v>
      </c>
      <c r="B660" s="315" t="str">
        <f>IF((COUNTBLANK(G660)=0),Stats!$E$7,IF((COUNTBLANK(E660)=0),IF((COUNTBLANK(F660)=0),IF((COUNTBLANK(U660)=0),Stats!$E$6,Stats!$E$5),Stats!$E$4),""))</f>
        <v>Death</v>
      </c>
      <c r="C660" s="39" t="s">
        <v>284</v>
      </c>
      <c r="D660" s="315"/>
      <c r="E660" s="88">
        <v>44134</v>
      </c>
      <c r="F660" s="316">
        <v>44153</v>
      </c>
      <c r="G660" s="316">
        <v>36893</v>
      </c>
      <c r="H660" s="317" t="s">
        <v>3128</v>
      </c>
      <c r="I660" s="317"/>
      <c r="J660" s="317" t="s">
        <v>152</v>
      </c>
      <c r="K660" s="315" t="s">
        <v>4025</v>
      </c>
      <c r="L660" s="315"/>
      <c r="M660" s="317"/>
      <c r="N660" s="320" t="s">
        <v>3365</v>
      </c>
      <c r="O660" s="317" t="s">
        <v>51</v>
      </c>
      <c r="P660" s="318">
        <v>-500</v>
      </c>
      <c r="Q660" s="318">
        <v>600</v>
      </c>
      <c r="R660" s="317" t="s">
        <v>4263</v>
      </c>
      <c r="S660" s="317"/>
      <c r="T660" s="317" t="s">
        <v>4264</v>
      </c>
      <c r="U660" s="49" t="s">
        <v>4265</v>
      </c>
      <c r="V660" s="49" t="s">
        <v>4266</v>
      </c>
      <c r="W660" s="317"/>
      <c r="X660" s="317"/>
      <c r="Y660" s="319"/>
    </row>
    <row r="661" spans="1:25" s="91" customFormat="1" hidden="1" x14ac:dyDescent="0.25">
      <c r="A661" s="32" t="s">
        <v>1386</v>
      </c>
      <c r="B661" s="315" t="str">
        <f>IF((COUNTBLANK(G661)=0),Stats!$E$7,IF((COUNTBLANK(E661)=0),IF((COUNTBLANK(F661)=0),IF((COUNTBLANK(U661)=0),Stats!$E$6,Stats!$E$5),Stats!$E$4),""))</f>
        <v>Death</v>
      </c>
      <c r="C661" s="39" t="s">
        <v>284</v>
      </c>
      <c r="D661" s="315"/>
      <c r="E661" s="88">
        <v>44138</v>
      </c>
      <c r="F661" s="316">
        <v>44158</v>
      </c>
      <c r="G661" s="316">
        <v>36893</v>
      </c>
      <c r="H661" s="317" t="s">
        <v>3128</v>
      </c>
      <c r="I661" s="317"/>
      <c r="J661" s="317" t="s">
        <v>3186</v>
      </c>
      <c r="K661" s="315" t="s">
        <v>4025</v>
      </c>
      <c r="L661" s="315"/>
      <c r="M661" s="317"/>
      <c r="N661" s="320" t="s">
        <v>3365</v>
      </c>
      <c r="O661" s="317" t="s">
        <v>51</v>
      </c>
      <c r="P661" s="318" t="s">
        <v>4153</v>
      </c>
      <c r="Q661" s="318" t="s">
        <v>4267</v>
      </c>
      <c r="R661" s="317" t="s">
        <v>4268</v>
      </c>
      <c r="S661" s="317"/>
      <c r="T661" s="317" t="s">
        <v>4115</v>
      </c>
      <c r="U661" s="317" t="s">
        <v>4269</v>
      </c>
      <c r="V661" s="317"/>
      <c r="W661" s="317"/>
      <c r="X661" s="317"/>
      <c r="Y661" s="319"/>
    </row>
    <row r="662" spans="1:25" s="91" customFormat="1" hidden="1" x14ac:dyDescent="0.25">
      <c r="A662" s="32" t="s">
        <v>1387</v>
      </c>
      <c r="B662" s="315" t="str">
        <f>IF((COUNTBLANK(G662)=0),Stats!$E$7,IF((COUNTBLANK(E662)=0),IF((COUNTBLANK(F662)=0),IF((COUNTBLANK(U662)=0),Stats!$E$6,Stats!$E$5),Stats!$E$4),""))</f>
        <v>Death</v>
      </c>
      <c r="C662" s="39" t="s">
        <v>284</v>
      </c>
      <c r="D662" s="315"/>
      <c r="E662" s="88">
        <v>44138</v>
      </c>
      <c r="F662" s="316">
        <v>44153</v>
      </c>
      <c r="G662" s="316">
        <v>36893</v>
      </c>
      <c r="H662" s="317" t="s">
        <v>3128</v>
      </c>
      <c r="I662" s="317"/>
      <c r="J662" s="317" t="s">
        <v>3186</v>
      </c>
      <c r="K662" s="315" t="s">
        <v>4025</v>
      </c>
      <c r="L662" s="315"/>
      <c r="M662" s="317"/>
      <c r="N662" s="320" t="s">
        <v>3365</v>
      </c>
      <c r="O662" s="317" t="s">
        <v>51</v>
      </c>
      <c r="P662" s="318" t="s">
        <v>4153</v>
      </c>
      <c r="Q662" s="318" t="s">
        <v>4267</v>
      </c>
      <c r="R662" s="317" t="s">
        <v>4270</v>
      </c>
      <c r="S662" s="317"/>
      <c r="T662" s="317" t="s">
        <v>4271</v>
      </c>
      <c r="U662" s="317" t="s">
        <v>4269</v>
      </c>
      <c r="V662" s="317"/>
      <c r="W662" s="317"/>
      <c r="X662" s="317"/>
      <c r="Y662" s="319"/>
    </row>
    <row r="663" spans="1:25" s="91" customFormat="1" hidden="1" x14ac:dyDescent="0.25">
      <c r="A663" s="32" t="s">
        <v>1388</v>
      </c>
      <c r="B663" s="315" t="str">
        <f>IF((COUNTBLANK(G663)=0),Stats!$E$7,IF((COUNTBLANK(E663)=0),IF((COUNTBLANK(F663)=0),IF((COUNTBLANK(U663)=0),Stats!$E$6,Stats!$E$5),Stats!$E$4),""))</f>
        <v>Death</v>
      </c>
      <c r="C663" s="39" t="s">
        <v>284</v>
      </c>
      <c r="D663" s="315"/>
      <c r="E663" s="88">
        <v>44138</v>
      </c>
      <c r="F663" s="316">
        <v>44158</v>
      </c>
      <c r="G663" s="316">
        <v>36893</v>
      </c>
      <c r="H663" s="317" t="s">
        <v>3128</v>
      </c>
      <c r="I663" s="317"/>
      <c r="J663" s="317" t="s">
        <v>152</v>
      </c>
      <c r="K663" s="315" t="s">
        <v>4002</v>
      </c>
      <c r="L663" s="315" t="s">
        <v>4199</v>
      </c>
      <c r="M663" s="317" t="s">
        <v>3093</v>
      </c>
      <c r="N663" s="320" t="s">
        <v>4272</v>
      </c>
      <c r="O663" s="317" t="s">
        <v>51</v>
      </c>
      <c r="P663" s="318">
        <v>-500</v>
      </c>
      <c r="Q663" s="318">
        <v>700</v>
      </c>
      <c r="R663" s="317" t="s">
        <v>4273</v>
      </c>
      <c r="S663" s="317"/>
      <c r="T663" s="317" t="s">
        <v>4271</v>
      </c>
      <c r="U663" s="317" t="s">
        <v>4274</v>
      </c>
      <c r="V663" s="317"/>
      <c r="W663" s="317"/>
      <c r="X663" s="317"/>
      <c r="Y663" s="319"/>
    </row>
    <row r="664" spans="1:25" s="91" customFormat="1" hidden="1" x14ac:dyDescent="0.25">
      <c r="A664" s="32" t="s">
        <v>1389</v>
      </c>
      <c r="B664" s="315" t="str">
        <f>IF((COUNTBLANK(G664)=0),Stats!$E$7,IF((COUNTBLANK(E664)=0),IF((COUNTBLANK(F664)=0),IF((COUNTBLANK(U664)=0),Stats!$E$6,Stats!$E$5),Stats!$E$4),""))</f>
        <v>Death</v>
      </c>
      <c r="C664" s="39" t="s">
        <v>284</v>
      </c>
      <c r="D664" s="315"/>
      <c r="E664" s="88">
        <v>44138</v>
      </c>
      <c r="F664" s="316">
        <v>44158</v>
      </c>
      <c r="G664" s="316">
        <v>36893</v>
      </c>
      <c r="H664" s="317" t="s">
        <v>3128</v>
      </c>
      <c r="I664" s="317"/>
      <c r="J664" s="317" t="s">
        <v>152</v>
      </c>
      <c r="K664" s="315" t="s">
        <v>4002</v>
      </c>
      <c r="L664" s="315" t="s">
        <v>4199</v>
      </c>
      <c r="M664" s="317" t="s">
        <v>3093</v>
      </c>
      <c r="N664" s="320" t="s">
        <v>4272</v>
      </c>
      <c r="O664" s="317" t="s">
        <v>51</v>
      </c>
      <c r="P664" s="318">
        <v>-500</v>
      </c>
      <c r="Q664" s="318">
        <v>700</v>
      </c>
      <c r="R664" s="317" t="s">
        <v>4275</v>
      </c>
      <c r="S664" s="317"/>
      <c r="T664" s="317" t="s">
        <v>4276</v>
      </c>
      <c r="U664" s="317" t="s">
        <v>4277</v>
      </c>
      <c r="V664" s="317"/>
      <c r="W664" s="317"/>
      <c r="X664" s="317"/>
      <c r="Y664" s="319"/>
    </row>
    <row r="665" spans="1:25" s="91" customFormat="1" hidden="1" x14ac:dyDescent="0.25">
      <c r="A665" s="32" t="s">
        <v>1390</v>
      </c>
      <c r="B665" s="315" t="str">
        <f>IF((COUNTBLANK(G665)=0),Stats!$E$7,IF((COUNTBLANK(E665)=0),IF((COUNTBLANK(F665)=0),IF((COUNTBLANK(U665)=0),Stats!$E$6,Stats!$E$5),Stats!$E$4),""))</f>
        <v>Death</v>
      </c>
      <c r="C665" s="39" t="s">
        <v>284</v>
      </c>
      <c r="D665" s="315"/>
      <c r="E665" s="88">
        <v>44138</v>
      </c>
      <c r="F665" s="316">
        <v>44158</v>
      </c>
      <c r="G665" s="316">
        <v>36893</v>
      </c>
      <c r="H665" s="317" t="s">
        <v>3128</v>
      </c>
      <c r="I665" s="317"/>
      <c r="J665" s="317" t="s">
        <v>152</v>
      </c>
      <c r="K665" s="315" t="s">
        <v>4002</v>
      </c>
      <c r="L665" s="315" t="s">
        <v>4199</v>
      </c>
      <c r="M665" s="317" t="s">
        <v>3093</v>
      </c>
      <c r="N665" s="320" t="s">
        <v>4272</v>
      </c>
      <c r="O665" s="317" t="s">
        <v>51</v>
      </c>
      <c r="P665" s="318">
        <v>-500</v>
      </c>
      <c r="Q665" s="318">
        <v>700</v>
      </c>
      <c r="R665" s="317" t="s">
        <v>4278</v>
      </c>
      <c r="S665" s="317"/>
      <c r="T665" s="317" t="s">
        <v>4279</v>
      </c>
      <c r="U665" s="317" t="s">
        <v>4280</v>
      </c>
      <c r="V665" s="317"/>
      <c r="W665" s="317"/>
      <c r="X665" s="317"/>
      <c r="Y665" s="319"/>
    </row>
    <row r="666" spans="1:25" s="91" customFormat="1" hidden="1" x14ac:dyDescent="0.25">
      <c r="A666" s="32" t="s">
        <v>1391</v>
      </c>
      <c r="B666" s="315" t="str">
        <f>IF((COUNTBLANK(G666)=0),Stats!$E$7,IF((COUNTBLANK(E666)=0),IF((COUNTBLANK(F666)=0),IF((COUNTBLANK(U666)=0),Stats!$E$6,Stats!$E$5),Stats!$E$4),""))</f>
        <v>Death</v>
      </c>
      <c r="C666" s="39" t="s">
        <v>284</v>
      </c>
      <c r="D666" s="315"/>
      <c r="E666" s="88">
        <v>44140</v>
      </c>
      <c r="F666" s="316">
        <v>44165</v>
      </c>
      <c r="G666" s="316">
        <v>36893</v>
      </c>
      <c r="H666" s="317" t="s">
        <v>3145</v>
      </c>
      <c r="I666" s="317"/>
      <c r="J666" s="317" t="s">
        <v>152</v>
      </c>
      <c r="K666" s="315" t="s">
        <v>3222</v>
      </c>
      <c r="L666" s="315"/>
      <c r="M666" s="317"/>
      <c r="N666" s="320" t="s">
        <v>196</v>
      </c>
      <c r="O666" s="317" t="s">
        <v>4045</v>
      </c>
      <c r="P666" s="318" t="s">
        <v>4281</v>
      </c>
      <c r="Q666" s="318">
        <v>400</v>
      </c>
      <c r="R666" s="317"/>
      <c r="S666" s="317"/>
      <c r="T666" s="317" t="s">
        <v>4282</v>
      </c>
      <c r="U666" s="317"/>
      <c r="V666" s="317"/>
      <c r="W666" s="317"/>
      <c r="X666" s="317"/>
      <c r="Y666" s="319"/>
    </row>
    <row r="667" spans="1:25" s="91" customFormat="1" hidden="1" x14ac:dyDescent="0.25">
      <c r="A667" s="32" t="s">
        <v>1392</v>
      </c>
      <c r="B667" s="315" t="str">
        <f>IF((COUNTBLANK(G667)=0),Stats!$E$7,IF((COUNTBLANK(E667)=0),IF((COUNTBLANK(F667)=0),IF((COUNTBLANK(U667)=0),Stats!$E$6,Stats!$E$5),Stats!$E$4),""))</f>
        <v>Death</v>
      </c>
      <c r="C667" s="39" t="s">
        <v>284</v>
      </c>
      <c r="D667" s="315"/>
      <c r="E667" s="88">
        <v>44140</v>
      </c>
      <c r="F667" s="316">
        <v>36892</v>
      </c>
      <c r="G667" s="316">
        <v>36893</v>
      </c>
      <c r="H667" s="317" t="s">
        <v>3145</v>
      </c>
      <c r="I667" s="317"/>
      <c r="J667" s="317" t="s">
        <v>152</v>
      </c>
      <c r="K667" s="315" t="s">
        <v>3222</v>
      </c>
      <c r="L667" s="315"/>
      <c r="M667" s="317"/>
      <c r="N667" s="320" t="s">
        <v>196</v>
      </c>
      <c r="O667" s="317" t="s">
        <v>4045</v>
      </c>
      <c r="P667" s="318" t="s">
        <v>4281</v>
      </c>
      <c r="Q667" s="318">
        <v>400</v>
      </c>
      <c r="R667" s="317" t="s">
        <v>4101</v>
      </c>
      <c r="S667" s="317"/>
      <c r="T667" s="317"/>
      <c r="U667" s="317"/>
      <c r="V667" s="317"/>
      <c r="W667" s="317"/>
      <c r="X667" s="317" t="s">
        <v>4259</v>
      </c>
      <c r="Y667" s="319"/>
    </row>
    <row r="668" spans="1:25" s="91" customFormat="1" hidden="1" x14ac:dyDescent="0.25">
      <c r="A668" s="32" t="s">
        <v>1393</v>
      </c>
      <c r="B668" s="315" t="str">
        <f>IF((COUNTBLANK(G668)=0),Stats!$E$7,IF((COUNTBLANK(E668)=0),IF((COUNTBLANK(F668)=0),IF((COUNTBLANK(U668)=0),Stats!$E$6,Stats!$E$5),Stats!$E$4),""))</f>
        <v>Death</v>
      </c>
      <c r="C668" s="39" t="s">
        <v>284</v>
      </c>
      <c r="D668" s="315"/>
      <c r="E668" s="88">
        <v>44145</v>
      </c>
      <c r="F668" s="316">
        <v>44159</v>
      </c>
      <c r="G668" s="316">
        <v>36893</v>
      </c>
      <c r="H668" s="317" t="s">
        <v>3128</v>
      </c>
      <c r="I668" s="317"/>
      <c r="J668" s="317" t="s">
        <v>152</v>
      </c>
      <c r="K668" s="315" t="s">
        <v>4002</v>
      </c>
      <c r="L668" s="315" t="s">
        <v>4199</v>
      </c>
      <c r="M668" s="317" t="s">
        <v>3093</v>
      </c>
      <c r="N668" s="320" t="s">
        <v>4272</v>
      </c>
      <c r="O668" s="317" t="s">
        <v>51</v>
      </c>
      <c r="P668" s="318">
        <v>-500</v>
      </c>
      <c r="Q668" s="318">
        <v>700</v>
      </c>
      <c r="R668" s="317" t="s">
        <v>4283</v>
      </c>
      <c r="S668" s="317"/>
      <c r="T668" s="317" t="s">
        <v>4052</v>
      </c>
      <c r="U668" s="317" t="s">
        <v>4284</v>
      </c>
      <c r="V668" s="317"/>
      <c r="W668" s="317" t="s">
        <v>4285</v>
      </c>
      <c r="X668" s="317" t="s">
        <v>4170</v>
      </c>
      <c r="Y668" s="319"/>
    </row>
    <row r="669" spans="1:25" s="91" customFormat="1" hidden="1" x14ac:dyDescent="0.25">
      <c r="A669" s="32" t="s">
        <v>1394</v>
      </c>
      <c r="B669" s="315" t="str">
        <f>IF((COUNTBLANK(G669)=0),Stats!$E$7,IF((COUNTBLANK(E669)=0),IF((COUNTBLANK(F669)=0),IF((COUNTBLANK(U669)=0),Stats!$E$6,Stats!$E$5),Stats!$E$4),""))</f>
        <v>Death</v>
      </c>
      <c r="C669" s="39" t="s">
        <v>284</v>
      </c>
      <c r="D669" s="315"/>
      <c r="E669" s="88">
        <v>44145</v>
      </c>
      <c r="F669" s="316">
        <v>44159</v>
      </c>
      <c r="G669" s="316">
        <v>36893</v>
      </c>
      <c r="H669" s="317" t="s">
        <v>3128</v>
      </c>
      <c r="I669" s="317"/>
      <c r="J669" s="317" t="s">
        <v>152</v>
      </c>
      <c r="K669" s="315" t="s">
        <v>4002</v>
      </c>
      <c r="L669" s="315" t="s">
        <v>4199</v>
      </c>
      <c r="M669" s="317" t="s">
        <v>3093</v>
      </c>
      <c r="N669" s="320" t="s">
        <v>4272</v>
      </c>
      <c r="O669" s="317" t="s">
        <v>51</v>
      </c>
      <c r="P669" s="318">
        <v>-500</v>
      </c>
      <c r="Q669" s="318">
        <v>700</v>
      </c>
      <c r="R669" s="317" t="s">
        <v>4286</v>
      </c>
      <c r="S669" s="317"/>
      <c r="T669" s="317" t="s">
        <v>4271</v>
      </c>
      <c r="U669" s="317" t="s">
        <v>4287</v>
      </c>
      <c r="V669" s="317"/>
      <c r="W669" s="317"/>
      <c r="X669" s="317" t="s">
        <v>4170</v>
      </c>
      <c r="Y669" s="319"/>
    </row>
    <row r="670" spans="1:25" s="91" customFormat="1" hidden="1" x14ac:dyDescent="0.25">
      <c r="A670" s="32" t="s">
        <v>1395</v>
      </c>
      <c r="B670" s="315" t="str">
        <f>IF((COUNTBLANK(G670)=0),Stats!$E$7,IF((COUNTBLANK(E670)=0),IF((COUNTBLANK(F670)=0),IF((COUNTBLANK(U670)=0),Stats!$E$6,Stats!$E$5),Stats!$E$4),""))</f>
        <v>Death</v>
      </c>
      <c r="C670" s="39" t="s">
        <v>284</v>
      </c>
      <c r="D670" s="315"/>
      <c r="E670" s="88">
        <v>44145</v>
      </c>
      <c r="F670" s="316">
        <v>44159</v>
      </c>
      <c r="G670" s="316">
        <v>36893</v>
      </c>
      <c r="H670" s="317" t="s">
        <v>3128</v>
      </c>
      <c r="I670" s="317"/>
      <c r="J670" s="317" t="s">
        <v>152</v>
      </c>
      <c r="K670" s="315" t="s">
        <v>4002</v>
      </c>
      <c r="L670" s="315" t="s">
        <v>4199</v>
      </c>
      <c r="M670" s="317" t="s">
        <v>3093</v>
      </c>
      <c r="N670" s="320" t="s">
        <v>4272</v>
      </c>
      <c r="O670" s="317" t="s">
        <v>51</v>
      </c>
      <c r="P670" s="318">
        <v>-500</v>
      </c>
      <c r="Q670" s="318">
        <v>700</v>
      </c>
      <c r="R670" s="317" t="s">
        <v>4288</v>
      </c>
      <c r="S670" s="317"/>
      <c r="T670" s="317" t="s">
        <v>4052</v>
      </c>
      <c r="U670" s="317" t="s">
        <v>4289</v>
      </c>
      <c r="V670" s="317"/>
      <c r="W670" s="317"/>
      <c r="X670" s="317" t="s">
        <v>4170</v>
      </c>
      <c r="Y670" s="319"/>
    </row>
    <row r="671" spans="1:25" s="91" customFormat="1" hidden="1" x14ac:dyDescent="0.25">
      <c r="A671" s="32" t="s">
        <v>1396</v>
      </c>
      <c r="B671" s="315" t="str">
        <f>IF((COUNTBLANK(G671)=0),Stats!$E$7,IF((COUNTBLANK(E671)=0),IF((COUNTBLANK(F671)=0),IF((COUNTBLANK(U671)=0),Stats!$E$6,Stats!$E$5),Stats!$E$4),""))</f>
        <v>Death</v>
      </c>
      <c r="C671" s="39" t="s">
        <v>284</v>
      </c>
      <c r="D671" s="315"/>
      <c r="E671" s="88">
        <v>44145</v>
      </c>
      <c r="F671" s="316">
        <v>44159</v>
      </c>
      <c r="G671" s="316">
        <v>36893</v>
      </c>
      <c r="H671" s="317" t="s">
        <v>3128</v>
      </c>
      <c r="I671" s="317"/>
      <c r="J671" s="317" t="s">
        <v>152</v>
      </c>
      <c r="K671" s="315" t="s">
        <v>4002</v>
      </c>
      <c r="L671" s="315" t="s">
        <v>4199</v>
      </c>
      <c r="M671" s="317" t="s">
        <v>3093</v>
      </c>
      <c r="N671" s="320" t="s">
        <v>4272</v>
      </c>
      <c r="O671" s="317" t="s">
        <v>51</v>
      </c>
      <c r="P671" s="318">
        <v>-500</v>
      </c>
      <c r="Q671" s="318">
        <v>700</v>
      </c>
      <c r="R671" s="317" t="s">
        <v>4290</v>
      </c>
      <c r="S671" s="317"/>
      <c r="T671" s="317" t="s">
        <v>4271</v>
      </c>
      <c r="U671" s="317" t="s">
        <v>4291</v>
      </c>
      <c r="V671" s="317"/>
      <c r="W671" s="317" t="s">
        <v>4285</v>
      </c>
      <c r="X671" s="317"/>
      <c r="Y671" s="319"/>
    </row>
    <row r="672" spans="1:25" s="91" customFormat="1" hidden="1" x14ac:dyDescent="0.25">
      <c r="A672" s="32" t="s">
        <v>1397</v>
      </c>
      <c r="B672" s="315" t="str">
        <f>IF((COUNTBLANK(G672)=0),Stats!$E$7,IF((COUNTBLANK(E672)=0),IF((COUNTBLANK(F672)=0),IF((COUNTBLANK(U672)=0),Stats!$E$6,Stats!$E$5),Stats!$E$4),""))</f>
        <v>Death</v>
      </c>
      <c r="C672" s="39" t="s">
        <v>284</v>
      </c>
      <c r="D672" s="315"/>
      <c r="E672" s="88">
        <v>44146</v>
      </c>
      <c r="F672" s="316">
        <v>44165</v>
      </c>
      <c r="G672" s="316">
        <v>36893</v>
      </c>
      <c r="H672" s="317" t="s">
        <v>3145</v>
      </c>
      <c r="I672" s="317"/>
      <c r="J672" s="317" t="s">
        <v>152</v>
      </c>
      <c r="K672" s="315" t="s">
        <v>3222</v>
      </c>
      <c r="L672" s="315"/>
      <c r="M672" s="317"/>
      <c r="N672" s="320" t="s">
        <v>196</v>
      </c>
      <c r="O672" s="317" t="s">
        <v>4045</v>
      </c>
      <c r="P672" s="318">
        <v>-1300</v>
      </c>
      <c r="Q672" s="318">
        <v>400</v>
      </c>
      <c r="R672" s="317"/>
      <c r="S672" s="317"/>
      <c r="T672" s="317" t="s">
        <v>4292</v>
      </c>
      <c r="U672" s="317"/>
      <c r="V672" s="317"/>
      <c r="W672" s="317"/>
      <c r="X672" s="317"/>
      <c r="Y672" s="319"/>
    </row>
    <row r="673" spans="1:25" s="91" customFormat="1" hidden="1" x14ac:dyDescent="0.25">
      <c r="A673" s="32" t="s">
        <v>1398</v>
      </c>
      <c r="B673" s="315" t="str">
        <f>IF((COUNTBLANK(G673)=0),Stats!$E$7,IF((COUNTBLANK(E673)=0),IF((COUNTBLANK(F673)=0),IF((COUNTBLANK(U673)=0),Stats!$E$6,Stats!$E$5),Stats!$E$4),""))</f>
        <v>Death</v>
      </c>
      <c r="C673" s="39" t="s">
        <v>284</v>
      </c>
      <c r="D673" s="315"/>
      <c r="E673" s="88">
        <v>44146</v>
      </c>
      <c r="F673" s="316">
        <v>36892</v>
      </c>
      <c r="G673" s="316">
        <v>36893</v>
      </c>
      <c r="H673" s="317" t="s">
        <v>3145</v>
      </c>
      <c r="I673" s="317"/>
      <c r="J673" s="317" t="s">
        <v>152</v>
      </c>
      <c r="K673" s="315" t="s">
        <v>3222</v>
      </c>
      <c r="L673" s="315"/>
      <c r="M673" s="317"/>
      <c r="N673" s="320" t="s">
        <v>105</v>
      </c>
      <c r="O673" s="317" t="s">
        <v>4045</v>
      </c>
      <c r="P673" s="318">
        <v>-1300</v>
      </c>
      <c r="Q673" s="318">
        <v>400</v>
      </c>
      <c r="R673" s="317"/>
      <c r="S673" s="317"/>
      <c r="T673" s="317"/>
      <c r="U673" s="317"/>
      <c r="V673" s="317"/>
      <c r="W673" s="317"/>
      <c r="X673" s="317"/>
      <c r="Y673" s="319"/>
    </row>
    <row r="674" spans="1:25" s="91" customFormat="1" hidden="1" x14ac:dyDescent="0.25">
      <c r="A674" s="32" t="s">
        <v>1399</v>
      </c>
      <c r="B674" s="315" t="str">
        <f>IF((COUNTBLANK(G674)=0),Stats!$E$7,IF((COUNTBLANK(E674)=0),IF((COUNTBLANK(F674)=0),IF((COUNTBLANK(U674)=0),Stats!$E$6,Stats!$E$5),Stats!$E$4),""))</f>
        <v>Death</v>
      </c>
      <c r="C674" s="39" t="s">
        <v>284</v>
      </c>
      <c r="D674" s="315"/>
      <c r="E674" s="88">
        <v>44146</v>
      </c>
      <c r="F674" s="316">
        <v>44167</v>
      </c>
      <c r="G674" s="316">
        <v>36893</v>
      </c>
      <c r="H674" s="317" t="s">
        <v>3145</v>
      </c>
      <c r="I674" s="317"/>
      <c r="J674" s="317" t="s">
        <v>152</v>
      </c>
      <c r="K674" s="315" t="s">
        <v>3222</v>
      </c>
      <c r="L674" s="315"/>
      <c r="M674" s="317"/>
      <c r="N674" s="320" t="s">
        <v>105</v>
      </c>
      <c r="O674" s="317" t="s">
        <v>4045</v>
      </c>
      <c r="P674" s="318">
        <v>-1300</v>
      </c>
      <c r="Q674" s="318">
        <v>400</v>
      </c>
      <c r="R674" s="317"/>
      <c r="S674" s="317"/>
      <c r="T674" s="317" t="s">
        <v>3898</v>
      </c>
      <c r="U674" s="317"/>
      <c r="V674" s="317"/>
      <c r="W674" s="317"/>
      <c r="X674" s="317"/>
      <c r="Y674" s="319"/>
    </row>
    <row r="675" spans="1:25" s="91" customFormat="1" hidden="1" x14ac:dyDescent="0.25">
      <c r="A675" s="32" t="s">
        <v>1400</v>
      </c>
      <c r="B675" s="315" t="str">
        <f>IF((COUNTBLANK(G675)=0),Stats!$E$7,IF((COUNTBLANK(E675)=0),IF((COUNTBLANK(F675)=0),IF((COUNTBLANK(U675)=0),Stats!$E$6,Stats!$E$5),Stats!$E$4),""))</f>
        <v>Death</v>
      </c>
      <c r="C675" s="39" t="s">
        <v>284</v>
      </c>
      <c r="D675" s="315"/>
      <c r="E675" s="88">
        <v>44160</v>
      </c>
      <c r="F675" s="316">
        <v>36892</v>
      </c>
      <c r="G675" s="316">
        <v>36893</v>
      </c>
      <c r="H675" s="317" t="s">
        <v>3145</v>
      </c>
      <c r="I675" s="317"/>
      <c r="J675" s="317" t="s">
        <v>152</v>
      </c>
      <c r="K675" s="315" t="s">
        <v>3222</v>
      </c>
      <c r="L675" s="315"/>
      <c r="M675" s="317"/>
      <c r="N675" s="320" t="s">
        <v>105</v>
      </c>
      <c r="O675" s="317" t="s">
        <v>4045</v>
      </c>
      <c r="P675" s="318" t="s">
        <v>4293</v>
      </c>
      <c r="Q675" s="318">
        <v>400</v>
      </c>
      <c r="R675" s="317"/>
      <c r="S675" s="317"/>
      <c r="T675" s="317"/>
      <c r="U675" s="317"/>
      <c r="V675" s="317"/>
      <c r="W675" s="317"/>
      <c r="X675" s="317"/>
      <c r="Y675" s="319"/>
    </row>
    <row r="676" spans="1:25" s="91" customFormat="1" hidden="1" x14ac:dyDescent="0.25">
      <c r="A676" s="32" t="s">
        <v>1401</v>
      </c>
      <c r="B676" s="315" t="str">
        <f>IF((COUNTBLANK(G676)=0),Stats!$E$7,IF((COUNTBLANK(E676)=0),IF((COUNTBLANK(F676)=0),IF((COUNTBLANK(U676)=0),Stats!$E$6,Stats!$E$5),Stats!$E$4),""))</f>
        <v>Death</v>
      </c>
      <c r="C676" s="39" t="s">
        <v>284</v>
      </c>
      <c r="D676" s="315"/>
      <c r="E676" s="88">
        <v>44160</v>
      </c>
      <c r="F676" s="316">
        <v>44172</v>
      </c>
      <c r="G676" s="316">
        <v>36893</v>
      </c>
      <c r="H676" s="317" t="s">
        <v>3145</v>
      </c>
      <c r="I676" s="317"/>
      <c r="J676" s="317" t="s">
        <v>152</v>
      </c>
      <c r="K676" s="315" t="s">
        <v>3222</v>
      </c>
      <c r="L676" s="315"/>
      <c r="M676" s="317"/>
      <c r="N676" s="320" t="s">
        <v>105</v>
      </c>
      <c r="O676" s="317" t="s">
        <v>4045</v>
      </c>
      <c r="P676" s="318" t="s">
        <v>4293</v>
      </c>
      <c r="Q676" s="318">
        <v>400</v>
      </c>
      <c r="R676" s="317"/>
      <c r="S676" s="317"/>
      <c r="T676" s="317"/>
      <c r="U676" s="317"/>
      <c r="V676" s="317"/>
      <c r="W676" s="317"/>
      <c r="X676" s="317"/>
      <c r="Y676" s="319"/>
    </row>
    <row r="677" spans="1:25" s="91" customFormat="1" hidden="1" x14ac:dyDescent="0.25">
      <c r="A677" s="32" t="s">
        <v>1402</v>
      </c>
      <c r="B677" s="315" t="str">
        <f>IF((COUNTBLANK(G677)=0),Stats!$E$7,IF((COUNTBLANK(E677)=0),IF((COUNTBLANK(F677)=0),IF((COUNTBLANK(U677)=0),Stats!$E$6,Stats!$E$5),Stats!$E$4),""))</f>
        <v>Death</v>
      </c>
      <c r="C677" s="39" t="s">
        <v>3111</v>
      </c>
      <c r="D677" s="315"/>
      <c r="E677" s="88">
        <v>44167</v>
      </c>
      <c r="F677" s="316">
        <v>44207</v>
      </c>
      <c r="G677" s="316">
        <v>36893</v>
      </c>
      <c r="H677" s="317" t="s">
        <v>3145</v>
      </c>
      <c r="I677" s="317"/>
      <c r="J677" s="317" t="s">
        <v>152</v>
      </c>
      <c r="K677" s="315" t="s">
        <v>3222</v>
      </c>
      <c r="L677" s="315"/>
      <c r="M677" s="317"/>
      <c r="N677" s="320" t="s">
        <v>196</v>
      </c>
      <c r="O677" s="317" t="s">
        <v>51</v>
      </c>
      <c r="P677" s="318" t="s">
        <v>4294</v>
      </c>
      <c r="Q677" s="318" t="s">
        <v>3275</v>
      </c>
      <c r="R677" s="317"/>
      <c r="S677" s="317"/>
      <c r="T677" s="317" t="s">
        <v>4271</v>
      </c>
      <c r="U677" s="317" t="s">
        <v>4295</v>
      </c>
      <c r="V677" s="317"/>
      <c r="W677" s="317"/>
      <c r="X677" s="317"/>
      <c r="Y677" s="319"/>
    </row>
    <row r="678" spans="1:25" s="91" customFormat="1" hidden="1" x14ac:dyDescent="0.25">
      <c r="A678" s="32" t="s">
        <v>1403</v>
      </c>
      <c r="B678" s="315" t="str">
        <f>IF((COUNTBLANK(G678)=0),Stats!$E$7,IF((COUNTBLANK(E678)=0),IF((COUNTBLANK(F678)=0),IF((COUNTBLANK(U678)=0),Stats!$E$6,Stats!$E$5),Stats!$E$4),""))</f>
        <v>Death</v>
      </c>
      <c r="C678" s="39" t="s">
        <v>3111</v>
      </c>
      <c r="D678" s="315"/>
      <c r="E678" s="88">
        <v>44167</v>
      </c>
      <c r="F678" s="316">
        <v>44207</v>
      </c>
      <c r="G678" s="316">
        <v>36893</v>
      </c>
      <c r="H678" s="317" t="s">
        <v>3145</v>
      </c>
      <c r="I678" s="317"/>
      <c r="J678" s="317" t="s">
        <v>152</v>
      </c>
      <c r="K678" s="315" t="s">
        <v>3222</v>
      </c>
      <c r="L678" s="315"/>
      <c r="M678" s="317"/>
      <c r="N678" s="320" t="s">
        <v>196</v>
      </c>
      <c r="O678" s="317" t="s">
        <v>51</v>
      </c>
      <c r="P678" s="318" t="s">
        <v>4294</v>
      </c>
      <c r="Q678" s="318" t="s">
        <v>3275</v>
      </c>
      <c r="R678" s="317"/>
      <c r="S678" s="317"/>
      <c r="T678" s="317" t="s">
        <v>4271</v>
      </c>
      <c r="U678" s="317" t="s">
        <v>4296</v>
      </c>
      <c r="V678" s="317"/>
      <c r="W678" s="317"/>
      <c r="X678" s="317"/>
      <c r="Y678" s="319"/>
    </row>
    <row r="679" spans="1:25" s="91" customFormat="1" hidden="1" x14ac:dyDescent="0.25">
      <c r="A679" s="32" t="s">
        <v>1404</v>
      </c>
      <c r="B679" s="315" t="str">
        <f>IF((COUNTBLANK(G679)=0),Stats!$E$7,IF((COUNTBLANK(E679)=0),IF((COUNTBLANK(F679)=0),IF((COUNTBLANK(U679)=0),Stats!$E$6,Stats!$E$5),Stats!$E$4),""))</f>
        <v>Death</v>
      </c>
      <c r="C679" s="39" t="s">
        <v>3111</v>
      </c>
      <c r="D679" s="315"/>
      <c r="E679" s="88">
        <v>44167</v>
      </c>
      <c r="F679" s="316">
        <v>44208</v>
      </c>
      <c r="G679" s="316">
        <v>36893</v>
      </c>
      <c r="H679" s="317" t="s">
        <v>3145</v>
      </c>
      <c r="I679" s="317"/>
      <c r="J679" s="317" t="s">
        <v>152</v>
      </c>
      <c r="K679" s="315" t="s">
        <v>3222</v>
      </c>
      <c r="L679" s="315"/>
      <c r="M679" s="317"/>
      <c r="N679" s="320" t="s">
        <v>196</v>
      </c>
      <c r="O679" s="317" t="s">
        <v>51</v>
      </c>
      <c r="P679" s="318" t="s">
        <v>4294</v>
      </c>
      <c r="Q679" s="318" t="s">
        <v>3275</v>
      </c>
      <c r="R679" s="317"/>
      <c r="S679" s="317"/>
      <c r="T679" s="317" t="s">
        <v>4297</v>
      </c>
      <c r="U679" s="317" t="s">
        <v>4298</v>
      </c>
      <c r="V679" s="317"/>
      <c r="W679" s="317"/>
      <c r="X679" s="317"/>
      <c r="Y679" s="319"/>
    </row>
    <row r="680" spans="1:25" s="91" customFormat="1" hidden="1" x14ac:dyDescent="0.25">
      <c r="A680" s="32" t="s">
        <v>1405</v>
      </c>
      <c r="B680" s="315" t="str">
        <f>IF((COUNTBLANK(G680)=0),Stats!$E$7,IF((COUNTBLANK(E680)=0),IF((COUNTBLANK(F680)=0),IF((COUNTBLANK(U680)=0),Stats!$E$6,Stats!$E$5),Stats!$E$4),""))</f>
        <v>Death</v>
      </c>
      <c r="C680" s="39" t="s">
        <v>3111</v>
      </c>
      <c r="D680" s="315"/>
      <c r="E680" s="88">
        <v>44167</v>
      </c>
      <c r="F680" s="316">
        <v>36892</v>
      </c>
      <c r="G680" s="316">
        <v>36893</v>
      </c>
      <c r="H680" s="317" t="s">
        <v>3145</v>
      </c>
      <c r="I680" s="317"/>
      <c r="J680" s="317" t="s">
        <v>152</v>
      </c>
      <c r="K680" s="315" t="s">
        <v>3222</v>
      </c>
      <c r="L680" s="315"/>
      <c r="M680" s="317"/>
      <c r="N680" s="320" t="s">
        <v>196</v>
      </c>
      <c r="O680" s="317" t="s">
        <v>51</v>
      </c>
      <c r="P680" s="318" t="s">
        <v>4294</v>
      </c>
      <c r="Q680" s="318" t="s">
        <v>3275</v>
      </c>
      <c r="R680" s="317"/>
      <c r="S680" s="317"/>
      <c r="T680" s="317"/>
      <c r="U680" s="317"/>
      <c r="V680" s="317"/>
      <c r="W680" s="317"/>
      <c r="X680" s="317" t="s">
        <v>4299</v>
      </c>
      <c r="Y680" s="319"/>
    </row>
    <row r="681" spans="1:25" s="91" customFormat="1" hidden="1" x14ac:dyDescent="0.25">
      <c r="A681" s="32" t="s">
        <v>1406</v>
      </c>
      <c r="B681" s="315" t="str">
        <f>IF((COUNTBLANK(G681)=0),Stats!$E$7,IF((COUNTBLANK(E681)=0),IF((COUNTBLANK(F681)=0),IF((COUNTBLANK(U681)=0),Stats!$E$6,Stats!$E$5),Stats!$E$4),""))</f>
        <v>Death</v>
      </c>
      <c r="C681" s="39" t="s">
        <v>284</v>
      </c>
      <c r="D681" s="315"/>
      <c r="E681" s="88">
        <v>44168</v>
      </c>
      <c r="F681" s="316">
        <v>44168</v>
      </c>
      <c r="G681" s="316">
        <v>36893</v>
      </c>
      <c r="H681" s="317" t="s">
        <v>3142</v>
      </c>
      <c r="I681" s="317"/>
      <c r="J681" s="317" t="s">
        <v>3186</v>
      </c>
      <c r="K681" s="315" t="s">
        <v>4025</v>
      </c>
      <c r="L681" s="315"/>
      <c r="M681" s="317"/>
      <c r="N681" s="320" t="s">
        <v>3365</v>
      </c>
      <c r="O681" s="317" t="s">
        <v>51</v>
      </c>
      <c r="P681" s="318" t="s">
        <v>3728</v>
      </c>
      <c r="Q681" s="318" t="s">
        <v>4134</v>
      </c>
      <c r="R681" s="317" t="s">
        <v>4300</v>
      </c>
      <c r="S681" s="317"/>
      <c r="T681" s="317"/>
      <c r="U681" s="317" t="s">
        <v>4301</v>
      </c>
      <c r="V681" s="317"/>
      <c r="W681" s="317"/>
      <c r="X681" s="317" t="s">
        <v>4302</v>
      </c>
      <c r="Y681" s="319"/>
    </row>
    <row r="682" spans="1:25" s="91" customFormat="1" hidden="1" x14ac:dyDescent="0.25">
      <c r="A682" s="32" t="s">
        <v>1407</v>
      </c>
      <c r="B682" s="315" t="str">
        <f>IF((COUNTBLANK(G682)=0),Stats!$E$7,IF((COUNTBLANK(E682)=0),IF((COUNTBLANK(F682)=0),IF((COUNTBLANK(U682)=0),Stats!$E$6,Stats!$E$5),Stats!$E$4),""))</f>
        <v>Death</v>
      </c>
      <c r="C682" s="39" t="s">
        <v>284</v>
      </c>
      <c r="D682" s="315"/>
      <c r="E682" s="88">
        <v>44178</v>
      </c>
      <c r="F682" s="316">
        <v>44178</v>
      </c>
      <c r="G682" s="316">
        <v>36893</v>
      </c>
      <c r="H682" s="317" t="s">
        <v>3142</v>
      </c>
      <c r="I682" s="317"/>
      <c r="J682" s="317" t="s">
        <v>3186</v>
      </c>
      <c r="K682" s="315" t="s">
        <v>4025</v>
      </c>
      <c r="L682" s="315"/>
      <c r="M682" s="317"/>
      <c r="N682" s="320" t="s">
        <v>3365</v>
      </c>
      <c r="O682" s="317" t="s">
        <v>51</v>
      </c>
      <c r="P682" s="318" t="s">
        <v>3728</v>
      </c>
      <c r="Q682" s="318" t="s">
        <v>4134</v>
      </c>
      <c r="R682" s="317" t="s">
        <v>4303</v>
      </c>
      <c r="S682" s="317"/>
      <c r="T682" s="317"/>
      <c r="U682" s="73" t="s">
        <v>4304</v>
      </c>
      <c r="V682" s="317"/>
      <c r="W682" s="317"/>
      <c r="X682" s="317"/>
      <c r="Y682" s="319" t="s">
        <v>4305</v>
      </c>
    </row>
    <row r="683" spans="1:25" s="91" customFormat="1" hidden="1" x14ac:dyDescent="0.25">
      <c r="A683" s="32" t="s">
        <v>1408</v>
      </c>
      <c r="B683" s="315" t="str">
        <f>IF((COUNTBLANK(G683)=0),Stats!$E$7,IF((COUNTBLANK(E683)=0),IF((COUNTBLANK(F683)=0),IF((COUNTBLANK(U683)=0),Stats!$E$6,Stats!$E$5),Stats!$E$4),""))</f>
        <v>Death</v>
      </c>
      <c r="C683" s="39" t="s">
        <v>284</v>
      </c>
      <c r="D683" s="315"/>
      <c r="E683" s="88">
        <v>44178</v>
      </c>
      <c r="F683" s="316">
        <v>44178</v>
      </c>
      <c r="G683" s="316">
        <v>36893</v>
      </c>
      <c r="H683" s="317" t="s">
        <v>3142</v>
      </c>
      <c r="I683" s="317"/>
      <c r="J683" s="317" t="s">
        <v>3186</v>
      </c>
      <c r="K683" s="315" t="s">
        <v>4025</v>
      </c>
      <c r="L683" s="315"/>
      <c r="M683" s="317"/>
      <c r="N683" s="320" t="s">
        <v>3365</v>
      </c>
      <c r="O683" s="317" t="s">
        <v>51</v>
      </c>
      <c r="P683" s="318" t="s">
        <v>3728</v>
      </c>
      <c r="Q683" s="318" t="s">
        <v>4134</v>
      </c>
      <c r="R683" s="317" t="s">
        <v>4306</v>
      </c>
      <c r="S683" s="317"/>
      <c r="T683" s="317"/>
      <c r="U683" s="317" t="s">
        <v>4307</v>
      </c>
      <c r="V683" s="317" t="s">
        <v>4308</v>
      </c>
      <c r="W683" s="317"/>
      <c r="X683" s="317"/>
      <c r="Y683" s="319" t="s">
        <v>4305</v>
      </c>
    </row>
    <row r="684" spans="1:25" s="91" customFormat="1" hidden="1" x14ac:dyDescent="0.25">
      <c r="A684" s="32" t="s">
        <v>1409</v>
      </c>
      <c r="B684" s="315" t="str">
        <f>IF((COUNTBLANK(G684)=0),Stats!$E$7,IF((COUNTBLANK(E684)=0),IF((COUNTBLANK(F684)=0),IF((COUNTBLANK(U684)=0),Stats!$E$6,Stats!$E$5),Stats!$E$4),""))</f>
        <v>Death</v>
      </c>
      <c r="C684" s="39" t="s">
        <v>284</v>
      </c>
      <c r="D684" s="315"/>
      <c r="E684" s="88">
        <v>44179</v>
      </c>
      <c r="F684" s="316">
        <v>44179</v>
      </c>
      <c r="G684" s="316">
        <v>36893</v>
      </c>
      <c r="H684" s="317" t="s">
        <v>3142</v>
      </c>
      <c r="I684" s="317"/>
      <c r="J684" s="317" t="s">
        <v>3186</v>
      </c>
      <c r="K684" s="315" t="s">
        <v>4025</v>
      </c>
      <c r="L684" s="315"/>
      <c r="M684" s="317"/>
      <c r="N684" s="320" t="s">
        <v>3365</v>
      </c>
      <c r="O684" s="317" t="s">
        <v>51</v>
      </c>
      <c r="P684" s="318" t="s">
        <v>3838</v>
      </c>
      <c r="Q684" s="318" t="s">
        <v>4309</v>
      </c>
      <c r="R684" s="317" t="s">
        <v>4310</v>
      </c>
      <c r="S684" s="317"/>
      <c r="T684" s="317"/>
      <c r="U684" s="317" t="s">
        <v>4311</v>
      </c>
      <c r="V684" s="317" t="s">
        <v>4308</v>
      </c>
      <c r="W684" s="317"/>
      <c r="X684" s="317"/>
      <c r="Y684" s="319" t="s">
        <v>4305</v>
      </c>
    </row>
    <row r="685" spans="1:25" s="91" customFormat="1" hidden="1" x14ac:dyDescent="0.25">
      <c r="A685" s="32" t="s">
        <v>1410</v>
      </c>
      <c r="B685" s="315" t="str">
        <f>IF((COUNTBLANK(G685)=0),Stats!$E$7,IF((COUNTBLANK(E685)=0),IF((COUNTBLANK(F685)=0),IF((COUNTBLANK(U685)=0),Stats!$E$6,Stats!$E$5),Stats!$E$4),""))</f>
        <v>Death</v>
      </c>
      <c r="C685" s="39" t="s">
        <v>284</v>
      </c>
      <c r="D685" s="315"/>
      <c r="E685" s="88">
        <v>44179</v>
      </c>
      <c r="F685" s="316">
        <v>44179</v>
      </c>
      <c r="G685" s="316">
        <v>36893</v>
      </c>
      <c r="H685" s="317" t="s">
        <v>3142</v>
      </c>
      <c r="I685" s="317"/>
      <c r="J685" s="317" t="s">
        <v>3186</v>
      </c>
      <c r="K685" s="315" t="s">
        <v>4025</v>
      </c>
      <c r="L685" s="315"/>
      <c r="M685" s="317"/>
      <c r="N685" s="320" t="s">
        <v>196</v>
      </c>
      <c r="O685" s="317" t="s">
        <v>51</v>
      </c>
      <c r="P685" s="318">
        <v>-400</v>
      </c>
      <c r="Q685" s="318">
        <v>600</v>
      </c>
      <c r="R685" s="73" t="s">
        <v>4312</v>
      </c>
      <c r="S685" s="73"/>
      <c r="T685" s="317"/>
      <c r="U685" s="317" t="s">
        <v>4313</v>
      </c>
      <c r="V685" s="317" t="s">
        <v>71</v>
      </c>
      <c r="W685" s="317"/>
      <c r="X685" s="317"/>
      <c r="Y685" s="319"/>
    </row>
    <row r="686" spans="1:25" s="91" customFormat="1" hidden="1" x14ac:dyDescent="0.25">
      <c r="A686" s="32" t="s">
        <v>1411</v>
      </c>
      <c r="B686" s="315" t="str">
        <f>IF((COUNTBLANK(G686)=0),Stats!$E$7,IF((COUNTBLANK(E686)=0),IF((COUNTBLANK(F686)=0),IF((COUNTBLANK(U686)=0),Stats!$E$6,Stats!$E$5),Stats!$E$4),""))</f>
        <v>Death</v>
      </c>
      <c r="C686" s="39" t="s">
        <v>284</v>
      </c>
      <c r="D686" s="315"/>
      <c r="E686" s="88">
        <v>44179</v>
      </c>
      <c r="F686" s="316">
        <v>44179</v>
      </c>
      <c r="G686" s="316">
        <v>36893</v>
      </c>
      <c r="H686" s="317" t="s">
        <v>3142</v>
      </c>
      <c r="I686" s="317"/>
      <c r="J686" s="317" t="s">
        <v>3186</v>
      </c>
      <c r="K686" s="315" t="s">
        <v>4025</v>
      </c>
      <c r="L686" s="315"/>
      <c r="M686" s="317"/>
      <c r="N686" s="320" t="s">
        <v>196</v>
      </c>
      <c r="O686" s="317" t="s">
        <v>51</v>
      </c>
      <c r="P686" s="318" t="s">
        <v>3838</v>
      </c>
      <c r="Q686" s="318" t="s">
        <v>4309</v>
      </c>
      <c r="R686" s="317"/>
      <c r="S686" s="317"/>
      <c r="T686" s="317"/>
      <c r="U686" s="317" t="s">
        <v>4314</v>
      </c>
      <c r="V686" s="317" t="s">
        <v>71</v>
      </c>
      <c r="W686" s="317"/>
      <c r="X686" s="317"/>
      <c r="Y686" s="319"/>
    </row>
    <row r="687" spans="1:25" s="91" customFormat="1" hidden="1" x14ac:dyDescent="0.25">
      <c r="A687" s="32" t="s">
        <v>1412</v>
      </c>
      <c r="B687" s="315" t="str">
        <f>IF((COUNTBLANK(G687)=0),Stats!$E$7,IF((COUNTBLANK(E687)=0),IF((COUNTBLANK(F687)=0),IF((COUNTBLANK(U687)=0),Stats!$E$6,Stats!$E$5),Stats!$E$4),""))</f>
        <v>Death</v>
      </c>
      <c r="C687" s="39" t="s">
        <v>284</v>
      </c>
      <c r="D687" s="315"/>
      <c r="E687" s="88">
        <v>44180</v>
      </c>
      <c r="F687" s="316">
        <v>44201</v>
      </c>
      <c r="G687" s="316">
        <v>36893</v>
      </c>
      <c r="H687" s="317" t="s">
        <v>3128</v>
      </c>
      <c r="I687" s="317"/>
      <c r="J687" s="317" t="s">
        <v>152</v>
      </c>
      <c r="K687" s="315" t="s">
        <v>4002</v>
      </c>
      <c r="L687" s="315" t="s">
        <v>4199</v>
      </c>
      <c r="M687" s="317" t="s">
        <v>3093</v>
      </c>
      <c r="N687" s="320" t="s">
        <v>4272</v>
      </c>
      <c r="O687" s="317" t="s">
        <v>51</v>
      </c>
      <c r="P687" s="318">
        <v>-500</v>
      </c>
      <c r="Q687" s="318">
        <v>700</v>
      </c>
      <c r="R687" s="317" t="s">
        <v>4315</v>
      </c>
      <c r="S687" s="317"/>
      <c r="T687" s="317" t="s">
        <v>4104</v>
      </c>
      <c r="U687" s="317" t="s">
        <v>4316</v>
      </c>
      <c r="V687" s="317" t="s">
        <v>4317</v>
      </c>
      <c r="W687" s="317"/>
      <c r="X687" s="317"/>
      <c r="Y687" s="319" t="s">
        <v>4318</v>
      </c>
    </row>
    <row r="688" spans="1:25" s="91" customFormat="1" hidden="1" x14ac:dyDescent="0.25">
      <c r="A688" s="32" t="s">
        <v>1413</v>
      </c>
      <c r="B688" s="315" t="str">
        <f>IF((COUNTBLANK(G688)=0),Stats!$E$7,IF((COUNTBLANK(E688)=0),IF((COUNTBLANK(F688)=0),IF((COUNTBLANK(U688)=0),Stats!$E$6,Stats!$E$5),Stats!$E$4),""))</f>
        <v>Death</v>
      </c>
      <c r="C688" s="39" t="s">
        <v>284</v>
      </c>
      <c r="D688" s="315"/>
      <c r="E688" s="88">
        <v>44180</v>
      </c>
      <c r="F688" s="316">
        <v>44202</v>
      </c>
      <c r="G688" s="316">
        <v>36893</v>
      </c>
      <c r="H688" s="317" t="s">
        <v>3128</v>
      </c>
      <c r="I688" s="317"/>
      <c r="J688" s="317" t="s">
        <v>152</v>
      </c>
      <c r="K688" s="315" t="s">
        <v>4002</v>
      </c>
      <c r="L688" s="315" t="s">
        <v>4199</v>
      </c>
      <c r="M688" s="317" t="s">
        <v>3093</v>
      </c>
      <c r="N688" s="320" t="s">
        <v>4272</v>
      </c>
      <c r="O688" s="317" t="s">
        <v>51</v>
      </c>
      <c r="P688" s="318">
        <v>-500</v>
      </c>
      <c r="Q688" s="318">
        <v>700</v>
      </c>
      <c r="R688" s="317" t="s">
        <v>4319</v>
      </c>
      <c r="S688" s="317"/>
      <c r="T688" s="317" t="s">
        <v>4115</v>
      </c>
      <c r="U688" s="317" t="s">
        <v>4320</v>
      </c>
      <c r="V688" s="317" t="s">
        <v>71</v>
      </c>
      <c r="W688" s="317"/>
      <c r="X688" s="317"/>
      <c r="Y688" s="319" t="s">
        <v>4318</v>
      </c>
    </row>
    <row r="689" spans="1:25" s="91" customFormat="1" hidden="1" x14ac:dyDescent="0.25">
      <c r="A689" s="32" t="s">
        <v>1414</v>
      </c>
      <c r="B689" s="315" t="str">
        <f>IF((COUNTBLANK(G689)=0),Stats!$E$7,IF((COUNTBLANK(E689)=0),IF((COUNTBLANK(F689)=0),IF((COUNTBLANK(U689)=0),Stats!$E$6,Stats!$E$5),Stats!$E$4),""))</f>
        <v>Death</v>
      </c>
      <c r="C689" s="39" t="s">
        <v>284</v>
      </c>
      <c r="D689" s="315"/>
      <c r="E689" s="88">
        <v>44180</v>
      </c>
      <c r="F689" s="316">
        <v>44201</v>
      </c>
      <c r="G689" s="316">
        <v>36893</v>
      </c>
      <c r="H689" s="317" t="s">
        <v>3128</v>
      </c>
      <c r="I689" s="317"/>
      <c r="J689" s="317" t="s">
        <v>152</v>
      </c>
      <c r="K689" s="315" t="s">
        <v>4002</v>
      </c>
      <c r="L689" s="315" t="s">
        <v>4199</v>
      </c>
      <c r="M689" s="317" t="s">
        <v>3093</v>
      </c>
      <c r="N689" s="320" t="s">
        <v>4272</v>
      </c>
      <c r="O689" s="317" t="s">
        <v>51</v>
      </c>
      <c r="P689" s="318">
        <v>-500</v>
      </c>
      <c r="Q689" s="318">
        <v>700</v>
      </c>
      <c r="R689" s="317" t="s">
        <v>4321</v>
      </c>
      <c r="S689" s="317"/>
      <c r="T689" s="317" t="s">
        <v>4104</v>
      </c>
      <c r="U689" s="317" t="s">
        <v>4322</v>
      </c>
      <c r="V689" s="317" t="s">
        <v>71</v>
      </c>
      <c r="W689" s="317"/>
      <c r="X689" s="317"/>
      <c r="Y689" s="319" t="s">
        <v>4318</v>
      </c>
    </row>
    <row r="690" spans="1:25" s="91" customFormat="1" hidden="1" x14ac:dyDescent="0.25">
      <c r="A690" s="32" t="s">
        <v>1415</v>
      </c>
      <c r="B690" s="315" t="str">
        <f>IF((COUNTBLANK(G690)=0),Stats!$E$7,IF((COUNTBLANK(E690)=0),IF((COUNTBLANK(F690)=0),IF((COUNTBLANK(U690)=0),Stats!$E$6,Stats!$E$5),Stats!$E$4),""))</f>
        <v>Death</v>
      </c>
      <c r="C690" s="39" t="s">
        <v>284</v>
      </c>
      <c r="D690" s="315"/>
      <c r="E690" s="88">
        <v>44180</v>
      </c>
      <c r="F690" s="316">
        <v>44202</v>
      </c>
      <c r="G690" s="316">
        <v>36893</v>
      </c>
      <c r="H690" s="317" t="s">
        <v>3128</v>
      </c>
      <c r="I690" s="317"/>
      <c r="J690" s="317" t="s">
        <v>152</v>
      </c>
      <c r="K690" s="315" t="s">
        <v>4002</v>
      </c>
      <c r="L690" s="315" t="s">
        <v>4199</v>
      </c>
      <c r="M690" s="317" t="s">
        <v>3093</v>
      </c>
      <c r="N690" s="320" t="s">
        <v>4272</v>
      </c>
      <c r="O690" s="317" t="s">
        <v>51</v>
      </c>
      <c r="P690" s="318">
        <v>-500</v>
      </c>
      <c r="Q690" s="318">
        <v>700</v>
      </c>
      <c r="R690" s="317" t="s">
        <v>4323</v>
      </c>
      <c r="S690" s="317"/>
      <c r="T690" s="317" t="s">
        <v>4324</v>
      </c>
      <c r="U690" s="317" t="s">
        <v>4325</v>
      </c>
      <c r="V690" s="317" t="s">
        <v>71</v>
      </c>
      <c r="W690" s="317"/>
      <c r="X690" s="317"/>
      <c r="Y690" s="319" t="s">
        <v>4318</v>
      </c>
    </row>
    <row r="691" spans="1:25" s="91" customFormat="1" hidden="1" x14ac:dyDescent="0.25">
      <c r="A691" s="32" t="s">
        <v>1416</v>
      </c>
      <c r="B691" s="315" t="str">
        <f>IF((COUNTBLANK(G691)=0),Stats!$E$7,IF((COUNTBLANK(E691)=0),IF((COUNTBLANK(F691)=0),IF((COUNTBLANK(U691)=0),Stats!$E$6,Stats!$E$5),Stats!$E$4),""))</f>
        <v>Death</v>
      </c>
      <c r="C691" s="39" t="s">
        <v>284</v>
      </c>
      <c r="D691" s="315"/>
      <c r="E691" s="88">
        <v>44180</v>
      </c>
      <c r="F691" s="316">
        <v>44202</v>
      </c>
      <c r="G691" s="316">
        <v>36893</v>
      </c>
      <c r="H691" s="317" t="s">
        <v>3128</v>
      </c>
      <c r="I691" s="317"/>
      <c r="J691" s="317" t="s">
        <v>152</v>
      </c>
      <c r="K691" s="315" t="s">
        <v>4002</v>
      </c>
      <c r="L691" s="315" t="s">
        <v>4199</v>
      </c>
      <c r="M691" s="317" t="s">
        <v>3093</v>
      </c>
      <c r="N691" s="320" t="s">
        <v>4272</v>
      </c>
      <c r="O691" s="317" t="s">
        <v>51</v>
      </c>
      <c r="P691" s="318">
        <v>-500</v>
      </c>
      <c r="Q691" s="318">
        <v>700</v>
      </c>
      <c r="R691" s="317" t="s">
        <v>4326</v>
      </c>
      <c r="S691" s="317"/>
      <c r="T691" s="317" t="s">
        <v>4115</v>
      </c>
      <c r="U691" s="317" t="s">
        <v>4327</v>
      </c>
      <c r="V691" s="317" t="s">
        <v>71</v>
      </c>
      <c r="W691" s="317"/>
      <c r="X691" s="317"/>
      <c r="Y691" s="319" t="s">
        <v>4318</v>
      </c>
    </row>
    <row r="692" spans="1:25" s="91" customFormat="1" hidden="1" x14ac:dyDescent="0.25">
      <c r="A692" s="32" t="s">
        <v>1417</v>
      </c>
      <c r="B692" s="315" t="str">
        <f>IF((COUNTBLANK(G692)=0),Stats!$E$7,IF((COUNTBLANK(E692)=0),IF((COUNTBLANK(F692)=0),IF((COUNTBLANK(U692)=0),Stats!$E$6,Stats!$E$5),Stats!$E$4),""))</f>
        <v>Death</v>
      </c>
      <c r="C692" s="39" t="s">
        <v>284</v>
      </c>
      <c r="D692" s="315"/>
      <c r="E692" s="88">
        <v>44218</v>
      </c>
      <c r="F692" s="316">
        <v>44229</v>
      </c>
      <c r="G692" s="316">
        <v>36893</v>
      </c>
      <c r="H692" s="317" t="s">
        <v>3128</v>
      </c>
      <c r="I692" s="317"/>
      <c r="J692" s="317" t="s">
        <v>152</v>
      </c>
      <c r="K692" s="315" t="s">
        <v>4002</v>
      </c>
      <c r="L692" s="315"/>
      <c r="M692" s="317"/>
      <c r="N692" s="320" t="s">
        <v>4272</v>
      </c>
      <c r="O692" s="317" t="s">
        <v>51</v>
      </c>
      <c r="P692" s="318">
        <v>-500</v>
      </c>
      <c r="Q692" s="318">
        <v>500</v>
      </c>
      <c r="R692" s="317" t="s">
        <v>4328</v>
      </c>
      <c r="S692" s="317"/>
      <c r="T692" s="317" t="s">
        <v>4115</v>
      </c>
      <c r="U692" s="317" t="s">
        <v>4329</v>
      </c>
      <c r="V692" s="324" t="s">
        <v>4330</v>
      </c>
      <c r="W692" s="317"/>
      <c r="X692" s="317"/>
      <c r="Y692" s="319"/>
    </row>
    <row r="693" spans="1:25" s="91" customFormat="1" hidden="1" x14ac:dyDescent="0.25">
      <c r="A693" s="32" t="s">
        <v>1418</v>
      </c>
      <c r="B693" s="315" t="str">
        <f>IF((COUNTBLANK(G693)=0),Stats!$E$7,IF((COUNTBLANK(E693)=0),IF((COUNTBLANK(F693)=0),IF((COUNTBLANK(U693)=0),Stats!$E$6,Stats!$E$5),Stats!$E$4),""))</f>
        <v>Death</v>
      </c>
      <c r="C693" s="39" t="s">
        <v>284</v>
      </c>
      <c r="D693" s="315"/>
      <c r="E693" s="88">
        <v>44218</v>
      </c>
      <c r="F693" s="316">
        <v>44229</v>
      </c>
      <c r="G693" s="316">
        <v>36893</v>
      </c>
      <c r="H693" s="317" t="s">
        <v>3128</v>
      </c>
      <c r="I693" s="317"/>
      <c r="J693" s="317" t="s">
        <v>152</v>
      </c>
      <c r="K693" s="315" t="s">
        <v>4002</v>
      </c>
      <c r="L693" s="315"/>
      <c r="M693" s="317"/>
      <c r="N693" s="320" t="s">
        <v>4272</v>
      </c>
      <c r="O693" s="317" t="s">
        <v>51</v>
      </c>
      <c r="P693" s="318">
        <v>-500</v>
      </c>
      <c r="Q693" s="318">
        <v>500</v>
      </c>
      <c r="R693" s="317" t="s">
        <v>4331</v>
      </c>
      <c r="S693" s="317"/>
      <c r="T693" s="317" t="s">
        <v>4115</v>
      </c>
      <c r="U693" s="317" t="s">
        <v>4332</v>
      </c>
      <c r="V693" s="324" t="s">
        <v>4330</v>
      </c>
      <c r="W693" s="317"/>
      <c r="X693" s="317"/>
      <c r="Y693" s="319"/>
    </row>
    <row r="694" spans="1:25" s="91" customFormat="1" hidden="1" x14ac:dyDescent="0.25">
      <c r="A694" s="32" t="s">
        <v>1419</v>
      </c>
      <c r="B694" s="315" t="str">
        <f>IF((COUNTBLANK(G694)=0),Stats!$E$7,IF((COUNTBLANK(E694)=0),IF((COUNTBLANK(F694)=0),IF((COUNTBLANK(U694)=0),Stats!$E$6,Stats!$E$5),Stats!$E$4),""))</f>
        <v>Death</v>
      </c>
      <c r="C694" s="39" t="s">
        <v>284</v>
      </c>
      <c r="D694" s="315"/>
      <c r="E694" s="88">
        <v>44222</v>
      </c>
      <c r="F694" s="316">
        <v>44229</v>
      </c>
      <c r="G694" s="316">
        <v>36893</v>
      </c>
      <c r="H694" s="317" t="s">
        <v>3128</v>
      </c>
      <c r="I694" s="317"/>
      <c r="J694" s="317" t="s">
        <v>152</v>
      </c>
      <c r="K694" s="315" t="s">
        <v>3222</v>
      </c>
      <c r="L694" s="315" t="s">
        <v>4199</v>
      </c>
      <c r="M694" s="317" t="s">
        <v>3093</v>
      </c>
      <c r="N694" s="320" t="s">
        <v>4272</v>
      </c>
      <c r="O694" s="317" t="s">
        <v>51</v>
      </c>
      <c r="P694" s="318">
        <v>-500</v>
      </c>
      <c r="Q694" s="318">
        <v>600</v>
      </c>
      <c r="R694" s="317" t="s">
        <v>4333</v>
      </c>
      <c r="S694" s="317"/>
      <c r="T694" s="317" t="s">
        <v>4115</v>
      </c>
      <c r="U694" s="317" t="s">
        <v>4334</v>
      </c>
      <c r="V694" s="317" t="s">
        <v>4335</v>
      </c>
      <c r="W694" s="317"/>
      <c r="X694" s="317"/>
      <c r="Y694" s="319"/>
    </row>
    <row r="695" spans="1:25" s="91" customFormat="1" hidden="1" x14ac:dyDescent="0.25">
      <c r="A695" s="32" t="s">
        <v>1420</v>
      </c>
      <c r="B695" s="315" t="str">
        <f>IF((COUNTBLANK(G695)=0),Stats!$E$7,IF((COUNTBLANK(E695)=0),IF((COUNTBLANK(F695)=0),IF((COUNTBLANK(U695)=0),Stats!$E$6,Stats!$E$5),Stats!$E$4),""))</f>
        <v>Death</v>
      </c>
      <c r="C695" s="39" t="s">
        <v>284</v>
      </c>
      <c r="D695" s="315"/>
      <c r="E695" s="88">
        <v>44222</v>
      </c>
      <c r="F695" s="316">
        <v>44236</v>
      </c>
      <c r="G695" s="316">
        <v>36893</v>
      </c>
      <c r="H695" s="317" t="s">
        <v>3128</v>
      </c>
      <c r="I695" s="317"/>
      <c r="J695" s="317" t="s">
        <v>152</v>
      </c>
      <c r="K695" s="315" t="s">
        <v>3222</v>
      </c>
      <c r="L695" s="315" t="s">
        <v>4199</v>
      </c>
      <c r="M695" s="317" t="s">
        <v>3093</v>
      </c>
      <c r="N695" s="320" t="s">
        <v>4272</v>
      </c>
      <c r="O695" s="317" t="s">
        <v>51</v>
      </c>
      <c r="P695" s="318">
        <v>-500</v>
      </c>
      <c r="Q695" s="318">
        <v>600</v>
      </c>
      <c r="R695" s="317" t="s">
        <v>4336</v>
      </c>
      <c r="S695" s="317"/>
      <c r="T695" s="317" t="s">
        <v>4337</v>
      </c>
      <c r="U695" s="317" t="s">
        <v>4338</v>
      </c>
      <c r="V695" s="317" t="s">
        <v>4339</v>
      </c>
      <c r="W695" s="317"/>
      <c r="X695" s="317"/>
      <c r="Y695" s="319"/>
    </row>
    <row r="696" spans="1:25" s="91" customFormat="1" hidden="1" x14ac:dyDescent="0.25">
      <c r="A696" s="32" t="s">
        <v>1421</v>
      </c>
      <c r="B696" s="315" t="str">
        <f>IF((COUNTBLANK(G696)=0),Stats!$E$7,IF((COUNTBLANK(E696)=0),IF((COUNTBLANK(F696)=0),IF((COUNTBLANK(U696)=0),Stats!$E$6,Stats!$E$5),Stats!$E$4),""))</f>
        <v>Death</v>
      </c>
      <c r="C696" s="39" t="s">
        <v>284</v>
      </c>
      <c r="D696" s="315"/>
      <c r="E696" s="88">
        <v>44222</v>
      </c>
      <c r="F696" s="316">
        <v>44236</v>
      </c>
      <c r="G696" s="316">
        <v>36893</v>
      </c>
      <c r="H696" s="317" t="s">
        <v>3128</v>
      </c>
      <c r="I696" s="317"/>
      <c r="J696" s="317" t="s">
        <v>152</v>
      </c>
      <c r="K696" s="315" t="s">
        <v>3222</v>
      </c>
      <c r="L696" s="315" t="s">
        <v>4199</v>
      </c>
      <c r="M696" s="317" t="s">
        <v>3093</v>
      </c>
      <c r="N696" s="320" t="s">
        <v>4272</v>
      </c>
      <c r="O696" s="317" t="s">
        <v>51</v>
      </c>
      <c r="P696" s="318">
        <v>-500</v>
      </c>
      <c r="Q696" s="318">
        <v>600</v>
      </c>
      <c r="R696" s="317" t="s">
        <v>4340</v>
      </c>
      <c r="S696" s="317"/>
      <c r="T696" s="317" t="s">
        <v>4115</v>
      </c>
      <c r="U696" s="317" t="s">
        <v>4341</v>
      </c>
      <c r="V696" s="317" t="s">
        <v>4342</v>
      </c>
      <c r="W696" s="317"/>
      <c r="X696" s="317"/>
      <c r="Y696" s="319"/>
    </row>
    <row r="697" spans="1:25" s="91" customFormat="1" hidden="1" x14ac:dyDescent="0.25">
      <c r="A697" s="32" t="s">
        <v>1422</v>
      </c>
      <c r="B697" s="315" t="str">
        <f>IF((COUNTBLANK(G697)=0),Stats!$E$7,IF((COUNTBLANK(E697)=0),IF((COUNTBLANK(F697)=0),IF((COUNTBLANK(U697)=0),Stats!$E$6,Stats!$E$5),Stats!$E$4),""))</f>
        <v>Death</v>
      </c>
      <c r="C697" s="39" t="s">
        <v>284</v>
      </c>
      <c r="D697" s="315"/>
      <c r="E697" s="88">
        <v>44222</v>
      </c>
      <c r="F697" s="316">
        <v>44237</v>
      </c>
      <c r="G697" s="316">
        <v>36893</v>
      </c>
      <c r="H697" s="317" t="s">
        <v>3128</v>
      </c>
      <c r="I697" s="317"/>
      <c r="J697" s="317" t="s">
        <v>152</v>
      </c>
      <c r="K697" s="315" t="s">
        <v>3222</v>
      </c>
      <c r="L697" s="315" t="s">
        <v>4199</v>
      </c>
      <c r="M697" s="317" t="s">
        <v>3093</v>
      </c>
      <c r="N697" s="320" t="s">
        <v>4272</v>
      </c>
      <c r="O697" s="317" t="s">
        <v>51</v>
      </c>
      <c r="P697" s="318">
        <v>-500</v>
      </c>
      <c r="Q697" s="318">
        <v>600</v>
      </c>
      <c r="R697" s="317" t="s">
        <v>4333</v>
      </c>
      <c r="S697" s="317"/>
      <c r="T697" s="317" t="s">
        <v>4115</v>
      </c>
      <c r="U697" s="317" t="s">
        <v>4343</v>
      </c>
      <c r="V697" s="317"/>
      <c r="W697" s="317"/>
      <c r="X697" s="317"/>
      <c r="Y697" s="319" t="s">
        <v>4344</v>
      </c>
    </row>
    <row r="698" spans="1:25" s="91" customFormat="1" hidden="1" x14ac:dyDescent="0.25">
      <c r="A698" s="32" t="s">
        <v>1423</v>
      </c>
      <c r="B698" s="315" t="str">
        <f>IF((COUNTBLANK(G698)=0),Stats!$E$7,IF((COUNTBLANK(E698)=0),IF((COUNTBLANK(F698)=0),IF((COUNTBLANK(U698)=0),Stats!$E$6,Stats!$E$5),Stats!$E$4),""))</f>
        <v>Death</v>
      </c>
      <c r="C698" s="39" t="s">
        <v>284</v>
      </c>
      <c r="D698" s="315"/>
      <c r="E698" s="88">
        <v>44222</v>
      </c>
      <c r="F698" s="316">
        <v>44237</v>
      </c>
      <c r="G698" s="316">
        <v>36893</v>
      </c>
      <c r="H698" s="317" t="s">
        <v>3128</v>
      </c>
      <c r="I698" s="317"/>
      <c r="J698" s="317" t="s">
        <v>152</v>
      </c>
      <c r="K698" s="315" t="s">
        <v>3222</v>
      </c>
      <c r="L698" s="315" t="s">
        <v>4199</v>
      </c>
      <c r="M698" s="317" t="s">
        <v>3093</v>
      </c>
      <c r="N698" s="320" t="s">
        <v>4272</v>
      </c>
      <c r="O698" s="317" t="s">
        <v>51</v>
      </c>
      <c r="P698" s="318">
        <v>-500</v>
      </c>
      <c r="Q698" s="318">
        <v>600</v>
      </c>
      <c r="R698" s="317" t="s">
        <v>4345</v>
      </c>
      <c r="S698" s="317"/>
      <c r="T698" s="317" t="s">
        <v>4115</v>
      </c>
      <c r="U698" s="317" t="s">
        <v>4346</v>
      </c>
      <c r="V698" s="317" t="s">
        <v>71</v>
      </c>
      <c r="W698" s="317"/>
      <c r="X698" s="317"/>
      <c r="Y698" s="319"/>
    </row>
    <row r="699" spans="1:25" s="91" customFormat="1" hidden="1" x14ac:dyDescent="0.25">
      <c r="A699" s="32" t="s">
        <v>1424</v>
      </c>
      <c r="B699" s="315" t="str">
        <f>IF((COUNTBLANK(G699)=0),Stats!$E$7,IF((COUNTBLANK(E699)=0),IF((COUNTBLANK(F699)=0),IF((COUNTBLANK(U699)=0),Stats!$E$6,Stats!$E$5),Stats!$E$4),""))</f>
        <v>Death</v>
      </c>
      <c r="C699" s="39" t="s">
        <v>284</v>
      </c>
      <c r="D699" s="315"/>
      <c r="E699" s="88">
        <v>44222</v>
      </c>
      <c r="F699" s="316">
        <v>36892</v>
      </c>
      <c r="G699" s="316">
        <v>36893</v>
      </c>
      <c r="H699" s="317" t="s">
        <v>3128</v>
      </c>
      <c r="I699" s="317"/>
      <c r="J699" s="317" t="s">
        <v>152</v>
      </c>
      <c r="K699" s="315" t="s">
        <v>3222</v>
      </c>
      <c r="L699" s="315" t="s">
        <v>4199</v>
      </c>
      <c r="M699" s="317" t="s">
        <v>3093</v>
      </c>
      <c r="N699" s="320" t="s">
        <v>4272</v>
      </c>
      <c r="O699" s="317" t="s">
        <v>51</v>
      </c>
      <c r="P699" s="318">
        <v>-500</v>
      </c>
      <c r="Q699" s="318">
        <v>600</v>
      </c>
      <c r="R699" s="317" t="s">
        <v>4347</v>
      </c>
      <c r="S699" s="317"/>
      <c r="T699" s="317"/>
      <c r="U699" s="317"/>
      <c r="V699" s="317" t="s">
        <v>71</v>
      </c>
      <c r="W699" s="317"/>
      <c r="X699" s="317" t="s">
        <v>4348</v>
      </c>
      <c r="Y699" s="319"/>
    </row>
    <row r="700" spans="1:25" s="91" customFormat="1" hidden="1" x14ac:dyDescent="0.25">
      <c r="A700" s="32" t="s">
        <v>1425</v>
      </c>
      <c r="B700" s="315" t="str">
        <f>IF((COUNTBLANK(G700)=0),Stats!$E$7,IF((COUNTBLANK(E700)=0),IF((COUNTBLANK(F700)=0),IF((COUNTBLANK(U700)=0),Stats!$E$6,Stats!$E$5),Stats!$E$4),""))</f>
        <v>Death</v>
      </c>
      <c r="C700" s="39" t="s">
        <v>284</v>
      </c>
      <c r="D700" s="315"/>
      <c r="E700" s="88">
        <v>44225</v>
      </c>
      <c r="F700" s="316">
        <v>44243</v>
      </c>
      <c r="G700" s="316">
        <v>36893</v>
      </c>
      <c r="H700" s="317" t="s">
        <v>3128</v>
      </c>
      <c r="I700" s="317"/>
      <c r="J700" s="317" t="s">
        <v>152</v>
      </c>
      <c r="K700" s="315" t="s">
        <v>3222</v>
      </c>
      <c r="L700" s="315" t="s">
        <v>4199</v>
      </c>
      <c r="M700" s="317" t="s">
        <v>3093</v>
      </c>
      <c r="N700" s="320" t="s">
        <v>4272</v>
      </c>
      <c r="O700" s="317" t="s">
        <v>51</v>
      </c>
      <c r="P700" s="318">
        <v>-500</v>
      </c>
      <c r="Q700" s="318">
        <v>600</v>
      </c>
      <c r="R700" s="317" t="s">
        <v>4349</v>
      </c>
      <c r="S700" s="317"/>
      <c r="T700" s="317" t="s">
        <v>4115</v>
      </c>
      <c r="U700" s="317" t="s">
        <v>4350</v>
      </c>
      <c r="V700" s="81" t="s">
        <v>4351</v>
      </c>
      <c r="W700" s="317"/>
      <c r="X700" s="317"/>
      <c r="Y700" s="319" t="s">
        <v>4352</v>
      </c>
    </row>
    <row r="701" spans="1:25" s="91" customFormat="1" hidden="1" x14ac:dyDescent="0.25">
      <c r="A701" s="32" t="s">
        <v>1426</v>
      </c>
      <c r="B701" s="315" t="str">
        <f>IF((COUNTBLANK(G701)=0),Stats!$E$7,IF((COUNTBLANK(E701)=0),IF((COUNTBLANK(F701)=0),IF((COUNTBLANK(U701)=0),Stats!$E$6,Stats!$E$5),Stats!$E$4),""))</f>
        <v>Death</v>
      </c>
      <c r="C701" s="39" t="s">
        <v>284</v>
      </c>
      <c r="D701" s="315"/>
      <c r="E701" s="88">
        <v>44225</v>
      </c>
      <c r="F701" s="316">
        <v>44244</v>
      </c>
      <c r="G701" s="316">
        <v>36893</v>
      </c>
      <c r="H701" s="317" t="s">
        <v>3128</v>
      </c>
      <c r="I701" s="317"/>
      <c r="J701" s="317" t="s">
        <v>152</v>
      </c>
      <c r="K701" s="315" t="s">
        <v>3222</v>
      </c>
      <c r="L701" s="315" t="s">
        <v>4199</v>
      </c>
      <c r="M701" s="317" t="s">
        <v>3093</v>
      </c>
      <c r="N701" s="320" t="s">
        <v>4272</v>
      </c>
      <c r="O701" s="317" t="s">
        <v>51</v>
      </c>
      <c r="P701" s="318">
        <v>-500</v>
      </c>
      <c r="Q701" s="318">
        <v>600</v>
      </c>
      <c r="R701" s="317" t="s">
        <v>4353</v>
      </c>
      <c r="S701" s="317"/>
      <c r="T701" s="317" t="s">
        <v>4354</v>
      </c>
      <c r="U701" s="317" t="s">
        <v>4350</v>
      </c>
      <c r="V701" s="81" t="s">
        <v>4351</v>
      </c>
      <c r="W701" s="317"/>
      <c r="X701" s="317"/>
      <c r="Y701" s="319" t="s">
        <v>4352</v>
      </c>
    </row>
    <row r="702" spans="1:25" s="91" customFormat="1" hidden="1" x14ac:dyDescent="0.25">
      <c r="A702" s="32" t="s">
        <v>1427</v>
      </c>
      <c r="B702" s="315" t="str">
        <f>IF((COUNTBLANK(G702)=0),Stats!$E$7,IF((COUNTBLANK(E702)=0),IF((COUNTBLANK(F702)=0),IF((COUNTBLANK(U702)=0),Stats!$E$6,Stats!$E$5),Stats!$E$4),""))</f>
        <v>Death</v>
      </c>
      <c r="C702" s="39" t="s">
        <v>284</v>
      </c>
      <c r="D702" s="315"/>
      <c r="E702" s="88">
        <v>44225</v>
      </c>
      <c r="F702" s="316">
        <v>44243</v>
      </c>
      <c r="G702" s="316">
        <v>36893</v>
      </c>
      <c r="H702" s="317" t="s">
        <v>3128</v>
      </c>
      <c r="I702" s="317"/>
      <c r="J702" s="317" t="s">
        <v>152</v>
      </c>
      <c r="K702" s="315" t="s">
        <v>3222</v>
      </c>
      <c r="L702" s="315" t="s">
        <v>4199</v>
      </c>
      <c r="M702" s="317" t="s">
        <v>3093</v>
      </c>
      <c r="N702" s="320" t="s">
        <v>4272</v>
      </c>
      <c r="O702" s="317" t="s">
        <v>51</v>
      </c>
      <c r="P702" s="318">
        <v>-500</v>
      </c>
      <c r="Q702" s="318">
        <v>600</v>
      </c>
      <c r="R702" s="317" t="s">
        <v>4355</v>
      </c>
      <c r="S702" s="317"/>
      <c r="T702" s="317" t="s">
        <v>4354</v>
      </c>
      <c r="U702" s="317" t="s">
        <v>4356</v>
      </c>
      <c r="V702" s="317" t="s">
        <v>71</v>
      </c>
      <c r="W702" s="317"/>
      <c r="X702" s="317"/>
      <c r="Y702" s="319" t="s">
        <v>4352</v>
      </c>
    </row>
    <row r="703" spans="1:25" s="91" customFormat="1" hidden="1" x14ac:dyDescent="0.25">
      <c r="A703" s="32" t="s">
        <v>1428</v>
      </c>
      <c r="B703" s="315" t="str">
        <f>IF((COUNTBLANK(G703)=0),Stats!$E$7,IF((COUNTBLANK(E703)=0),IF((COUNTBLANK(F703)=0),IF((COUNTBLANK(U703)=0),Stats!$E$6,Stats!$E$5),Stats!$E$4),""))</f>
        <v>Death</v>
      </c>
      <c r="C703" s="39" t="s">
        <v>284</v>
      </c>
      <c r="D703" s="315"/>
      <c r="E703" s="88">
        <v>44230</v>
      </c>
      <c r="F703" s="316">
        <v>44244</v>
      </c>
      <c r="G703" s="316">
        <v>36893</v>
      </c>
      <c r="H703" s="317" t="s">
        <v>3128</v>
      </c>
      <c r="I703" s="317"/>
      <c r="J703" s="317" t="s">
        <v>152</v>
      </c>
      <c r="K703" s="315" t="s">
        <v>4025</v>
      </c>
      <c r="L703" s="315"/>
      <c r="M703" s="317"/>
      <c r="N703" s="320" t="s">
        <v>196</v>
      </c>
      <c r="O703" s="317" t="s">
        <v>51</v>
      </c>
      <c r="P703" s="318" t="s">
        <v>4357</v>
      </c>
      <c r="Q703" s="318" t="s">
        <v>4309</v>
      </c>
      <c r="R703" s="317" t="s">
        <v>4358</v>
      </c>
      <c r="S703" s="317"/>
      <c r="T703" s="317" t="s">
        <v>4359</v>
      </c>
      <c r="U703" s="317" t="s">
        <v>4360</v>
      </c>
      <c r="V703" s="317" t="s">
        <v>4361</v>
      </c>
      <c r="W703" s="317"/>
      <c r="X703" s="317"/>
      <c r="Y703" s="319" t="s">
        <v>4362</v>
      </c>
    </row>
    <row r="704" spans="1:25" s="91" customFormat="1" hidden="1" x14ac:dyDescent="0.25">
      <c r="A704" s="32" t="s">
        <v>1429</v>
      </c>
      <c r="B704" s="315" t="str">
        <f>IF((COUNTBLANK(G704)=0),Stats!$E$7,IF((COUNTBLANK(E704)=0),IF((COUNTBLANK(F704)=0),IF((COUNTBLANK(U704)=0),Stats!$E$6,Stats!$E$5),Stats!$E$4),""))</f>
        <v>Death</v>
      </c>
      <c r="C704" s="39" t="s">
        <v>284</v>
      </c>
      <c r="D704" s="315"/>
      <c r="E704" s="88">
        <v>44230</v>
      </c>
      <c r="F704" s="316">
        <v>44244</v>
      </c>
      <c r="G704" s="316">
        <v>36893</v>
      </c>
      <c r="H704" s="317" t="s">
        <v>3128</v>
      </c>
      <c r="I704" s="317"/>
      <c r="J704" s="317" t="s">
        <v>152</v>
      </c>
      <c r="K704" s="315" t="s">
        <v>4025</v>
      </c>
      <c r="L704" s="315"/>
      <c r="M704" s="317"/>
      <c r="N704" s="320" t="s">
        <v>196</v>
      </c>
      <c r="O704" s="317" t="s">
        <v>51</v>
      </c>
      <c r="P704" s="318" t="s">
        <v>4357</v>
      </c>
      <c r="Q704" s="318" t="s">
        <v>4309</v>
      </c>
      <c r="R704" s="317" t="s">
        <v>4363</v>
      </c>
      <c r="S704" s="317"/>
      <c r="T704" s="317" t="s">
        <v>4115</v>
      </c>
      <c r="U704" s="317" t="s">
        <v>4364</v>
      </c>
      <c r="V704" s="317" t="s">
        <v>4365</v>
      </c>
      <c r="W704" s="317"/>
      <c r="X704" s="317"/>
      <c r="Y704" s="319" t="s">
        <v>4362</v>
      </c>
    </row>
    <row r="705" spans="1:25" s="91" customFormat="1" hidden="1" x14ac:dyDescent="0.25">
      <c r="A705" s="32" t="s">
        <v>1430</v>
      </c>
      <c r="B705" s="315" t="str">
        <f>IF((COUNTBLANK(G705)=0),Stats!$E$7,IF((COUNTBLANK(E705)=0),IF((COUNTBLANK(F705)=0),IF((COUNTBLANK(U705)=0),Stats!$E$6,Stats!$E$5),Stats!$E$4),""))</f>
        <v>Death</v>
      </c>
      <c r="C705" s="39" t="s">
        <v>284</v>
      </c>
      <c r="D705" s="315"/>
      <c r="E705" s="88">
        <v>44232</v>
      </c>
      <c r="F705" s="316">
        <v>44246</v>
      </c>
      <c r="G705" s="316">
        <v>36893</v>
      </c>
      <c r="H705" s="317" t="s">
        <v>3128</v>
      </c>
      <c r="I705" s="317"/>
      <c r="J705" s="317" t="s">
        <v>3186</v>
      </c>
      <c r="K705" s="315" t="s">
        <v>4025</v>
      </c>
      <c r="L705" s="315"/>
      <c r="M705" s="317"/>
      <c r="N705" s="320" t="s">
        <v>196</v>
      </c>
      <c r="O705" s="317" t="s">
        <v>51</v>
      </c>
      <c r="P705" s="318" t="s">
        <v>4357</v>
      </c>
      <c r="Q705" s="318" t="s">
        <v>4309</v>
      </c>
      <c r="R705" s="317" t="s">
        <v>4366</v>
      </c>
      <c r="S705" s="317"/>
      <c r="T705" s="317" t="s">
        <v>4115</v>
      </c>
      <c r="U705" s="317" t="s">
        <v>4367</v>
      </c>
      <c r="V705" s="317" t="s">
        <v>4368</v>
      </c>
      <c r="W705" s="317"/>
      <c r="X705" s="317"/>
      <c r="Y705" s="319"/>
    </row>
    <row r="706" spans="1:25" s="91" customFormat="1" hidden="1" x14ac:dyDescent="0.25">
      <c r="A706" s="32" t="s">
        <v>1431</v>
      </c>
      <c r="B706" s="315" t="str">
        <f>IF((COUNTBLANK(G706)=0),Stats!$E$7,IF((COUNTBLANK(E706)=0),IF((COUNTBLANK(F706)=0),IF((COUNTBLANK(U706)=0),Stats!$E$6,Stats!$E$5),Stats!$E$4),""))</f>
        <v>Death</v>
      </c>
      <c r="C706" s="39" t="s">
        <v>284</v>
      </c>
      <c r="D706" s="315"/>
      <c r="E706" s="88">
        <v>44232</v>
      </c>
      <c r="F706" s="316">
        <v>44246</v>
      </c>
      <c r="G706" s="316">
        <v>36893</v>
      </c>
      <c r="H706" s="317" t="s">
        <v>3128</v>
      </c>
      <c r="I706" s="317"/>
      <c r="J706" s="317" t="s">
        <v>3186</v>
      </c>
      <c r="K706" s="315" t="s">
        <v>4025</v>
      </c>
      <c r="L706" s="315"/>
      <c r="M706" s="317"/>
      <c r="N706" s="320" t="s">
        <v>196</v>
      </c>
      <c r="O706" s="317" t="s">
        <v>51</v>
      </c>
      <c r="P706" s="318" t="s">
        <v>4357</v>
      </c>
      <c r="Q706" s="318" t="s">
        <v>4309</v>
      </c>
      <c r="R706" s="317" t="s">
        <v>4347</v>
      </c>
      <c r="S706" s="317"/>
      <c r="T706" s="317" t="s">
        <v>4115</v>
      </c>
      <c r="U706" s="317"/>
      <c r="V706" s="317" t="s">
        <v>71</v>
      </c>
      <c r="W706" s="317"/>
      <c r="X706" s="317"/>
      <c r="Y706" s="319"/>
    </row>
    <row r="707" spans="1:25" s="91" customFormat="1" hidden="1" x14ac:dyDescent="0.25">
      <c r="A707" s="32" t="s">
        <v>1432</v>
      </c>
      <c r="B707" s="315" t="str">
        <f>IF((COUNTBLANK(G707)=0),Stats!$E$7,IF((COUNTBLANK(E707)=0),IF((COUNTBLANK(F707)=0),IF((COUNTBLANK(U707)=0),Stats!$E$6,Stats!$E$5),Stats!$E$4),""))</f>
        <v>Death</v>
      </c>
      <c r="C707" s="39" t="s">
        <v>284</v>
      </c>
      <c r="D707" s="315"/>
      <c r="E707" s="88">
        <v>44232</v>
      </c>
      <c r="F707" s="316">
        <v>44246</v>
      </c>
      <c r="G707" s="316">
        <v>36893</v>
      </c>
      <c r="H707" s="317" t="s">
        <v>3128</v>
      </c>
      <c r="I707" s="317"/>
      <c r="J707" s="317" t="s">
        <v>3186</v>
      </c>
      <c r="K707" s="315" t="s">
        <v>4025</v>
      </c>
      <c r="L707" s="315"/>
      <c r="M707" s="317"/>
      <c r="N707" s="320" t="s">
        <v>196</v>
      </c>
      <c r="O707" s="317" t="s">
        <v>51</v>
      </c>
      <c r="P707" s="318" t="s">
        <v>4357</v>
      </c>
      <c r="Q707" s="318" t="s">
        <v>4309</v>
      </c>
      <c r="R707" s="317" t="s">
        <v>4369</v>
      </c>
      <c r="S707" s="317"/>
      <c r="T707" s="317" t="s">
        <v>4104</v>
      </c>
      <c r="U707" s="317" t="s">
        <v>4370</v>
      </c>
      <c r="V707" s="317" t="s">
        <v>4371</v>
      </c>
      <c r="W707" s="317"/>
      <c r="X707" s="317"/>
      <c r="Y707" s="319"/>
    </row>
    <row r="708" spans="1:25" s="91" customFormat="1" hidden="1" x14ac:dyDescent="0.25">
      <c r="A708" s="32" t="s">
        <v>1433</v>
      </c>
      <c r="B708" s="315" t="str">
        <f>IF((COUNTBLANK(G708)=0),Stats!$E$7,IF((COUNTBLANK(E708)=0),IF((COUNTBLANK(F708)=0),IF((COUNTBLANK(U708)=0),Stats!$E$6,Stats!$E$5),Stats!$E$4),""))</f>
        <v>Death</v>
      </c>
      <c r="C708" s="39" t="s">
        <v>284</v>
      </c>
      <c r="D708" s="315"/>
      <c r="E708" s="88">
        <v>44232</v>
      </c>
      <c r="F708" s="316">
        <v>44246</v>
      </c>
      <c r="G708" s="316">
        <v>36893</v>
      </c>
      <c r="H708" s="317" t="s">
        <v>3128</v>
      </c>
      <c r="I708" s="317"/>
      <c r="J708" s="317" t="s">
        <v>3186</v>
      </c>
      <c r="K708" s="315" t="s">
        <v>4025</v>
      </c>
      <c r="L708" s="315"/>
      <c r="M708" s="317"/>
      <c r="N708" s="320" t="s">
        <v>196</v>
      </c>
      <c r="O708" s="317" t="s">
        <v>51</v>
      </c>
      <c r="P708" s="318" t="s">
        <v>4357</v>
      </c>
      <c r="Q708" s="318" t="s">
        <v>4309</v>
      </c>
      <c r="R708" s="317" t="s">
        <v>4372</v>
      </c>
      <c r="S708" s="317"/>
      <c r="T708" s="317" t="s">
        <v>4104</v>
      </c>
      <c r="U708" s="317" t="s">
        <v>4373</v>
      </c>
      <c r="V708" s="317"/>
      <c r="W708" s="317"/>
      <c r="X708" s="317"/>
      <c r="Y708" s="319"/>
    </row>
    <row r="709" spans="1:25" s="91" customFormat="1" hidden="1" x14ac:dyDescent="0.25">
      <c r="A709" s="32" t="s">
        <v>1434</v>
      </c>
      <c r="B709" s="315" t="str">
        <f>IF((COUNTBLANK(G709)=0),Stats!$E$7,IF((COUNTBLANK(E709)=0),IF((COUNTBLANK(F709)=0),IF((COUNTBLANK(U709)=0),Stats!$E$6,Stats!$E$5),Stats!$E$4),""))</f>
        <v>Death</v>
      </c>
      <c r="C709" s="39" t="s">
        <v>284</v>
      </c>
      <c r="D709" s="315"/>
      <c r="E709" s="88">
        <v>44235</v>
      </c>
      <c r="F709" s="316">
        <v>44235</v>
      </c>
      <c r="G709" s="316">
        <v>36893</v>
      </c>
      <c r="H709" s="317" t="s">
        <v>3142</v>
      </c>
      <c r="I709" s="317"/>
      <c r="J709" s="317" t="s">
        <v>3186</v>
      </c>
      <c r="K709" s="315" t="s">
        <v>4025</v>
      </c>
      <c r="L709" s="315"/>
      <c r="M709" s="317"/>
      <c r="N709" s="320" t="s">
        <v>3365</v>
      </c>
      <c r="O709" s="317" t="s">
        <v>51</v>
      </c>
      <c r="P709" s="318" t="s">
        <v>4374</v>
      </c>
      <c r="Q709" s="318" t="s">
        <v>4375</v>
      </c>
      <c r="R709" s="317"/>
      <c r="S709" s="317"/>
      <c r="T709" s="317"/>
      <c r="U709" s="317" t="s">
        <v>4376</v>
      </c>
      <c r="V709" s="317"/>
      <c r="W709" s="317"/>
      <c r="X709" s="317"/>
      <c r="Y709" s="319" t="s">
        <v>4377</v>
      </c>
    </row>
    <row r="710" spans="1:25" s="91" customFormat="1" hidden="1" x14ac:dyDescent="0.25">
      <c r="A710" s="32" t="s">
        <v>1435</v>
      </c>
      <c r="B710" s="315" t="str">
        <f>IF((COUNTBLANK(G710)=0),Stats!$E$7,IF((COUNTBLANK(E710)=0),IF((COUNTBLANK(F710)=0),IF((COUNTBLANK(U710)=0),Stats!$E$6,Stats!$E$5),Stats!$E$4),""))</f>
        <v>Death</v>
      </c>
      <c r="C710" s="39" t="s">
        <v>284</v>
      </c>
      <c r="D710" s="315"/>
      <c r="E710" s="88">
        <v>44235</v>
      </c>
      <c r="F710" s="316">
        <v>44235</v>
      </c>
      <c r="G710" s="316">
        <v>36893</v>
      </c>
      <c r="H710" s="317" t="s">
        <v>3142</v>
      </c>
      <c r="I710" s="317"/>
      <c r="J710" s="317" t="s">
        <v>3186</v>
      </c>
      <c r="K710" s="315" t="s">
        <v>4025</v>
      </c>
      <c r="L710" s="315"/>
      <c r="M710" s="317"/>
      <c r="N710" s="320" t="s">
        <v>3365</v>
      </c>
      <c r="O710" s="317" t="s">
        <v>51</v>
      </c>
      <c r="P710" s="318" t="s">
        <v>3838</v>
      </c>
      <c r="Q710" s="318" t="s">
        <v>4057</v>
      </c>
      <c r="R710" s="317"/>
      <c r="S710" s="317"/>
      <c r="T710" s="317"/>
      <c r="U710" s="317" t="s">
        <v>4378</v>
      </c>
      <c r="V710" s="317" t="s">
        <v>4379</v>
      </c>
      <c r="W710" s="317"/>
      <c r="X710" s="317"/>
      <c r="Y710" s="319"/>
    </row>
    <row r="711" spans="1:25" s="91" customFormat="1" hidden="1" x14ac:dyDescent="0.25">
      <c r="A711" s="32" t="s">
        <v>1436</v>
      </c>
      <c r="B711" s="315" t="str">
        <f>IF((COUNTBLANK(G711)=0),Stats!$E$7,IF((COUNTBLANK(E711)=0),IF((COUNTBLANK(F711)=0),IF((COUNTBLANK(U711)=0),Stats!$E$6,Stats!$E$5),Stats!$E$4),""))</f>
        <v>Death</v>
      </c>
      <c r="C711" s="39" t="s">
        <v>284</v>
      </c>
      <c r="D711" s="315"/>
      <c r="E711" s="88">
        <v>44235</v>
      </c>
      <c r="F711" s="316">
        <v>44235</v>
      </c>
      <c r="G711" s="316">
        <v>36893</v>
      </c>
      <c r="H711" s="317" t="s">
        <v>3142</v>
      </c>
      <c r="I711" s="317"/>
      <c r="J711" s="317" t="s">
        <v>3186</v>
      </c>
      <c r="K711" s="315" t="s">
        <v>4025</v>
      </c>
      <c r="L711" s="315"/>
      <c r="M711" s="317"/>
      <c r="N711" s="320" t="s">
        <v>3365</v>
      </c>
      <c r="O711" s="317" t="s">
        <v>51</v>
      </c>
      <c r="P711" s="318" t="s">
        <v>4374</v>
      </c>
      <c r="Q711" s="318" t="s">
        <v>4375</v>
      </c>
      <c r="R711" s="317"/>
      <c r="S711" s="317"/>
      <c r="T711" s="317"/>
      <c r="U711" s="317"/>
      <c r="V711" s="317"/>
      <c r="W711" s="317"/>
      <c r="X711" s="317"/>
      <c r="Y711" s="319"/>
    </row>
    <row r="712" spans="1:25" s="91" customFormat="1" hidden="1" x14ac:dyDescent="0.25">
      <c r="A712" s="32" t="s">
        <v>1437</v>
      </c>
      <c r="B712" s="315" t="str">
        <f>IF((COUNTBLANK(G712)=0),Stats!$E$7,IF((COUNTBLANK(E712)=0),IF((COUNTBLANK(F712)=0),IF((COUNTBLANK(U712)=0),Stats!$E$6,Stats!$E$5),Stats!$E$4),""))</f>
        <v>Death</v>
      </c>
      <c r="C712" s="39" t="s">
        <v>284</v>
      </c>
      <c r="D712" s="315"/>
      <c r="E712" s="88">
        <v>44235</v>
      </c>
      <c r="F712" s="316">
        <v>44235</v>
      </c>
      <c r="G712" s="316">
        <v>36893</v>
      </c>
      <c r="H712" s="317" t="s">
        <v>3142</v>
      </c>
      <c r="I712" s="317"/>
      <c r="J712" s="317" t="s">
        <v>3186</v>
      </c>
      <c r="K712" s="315" t="s">
        <v>4025</v>
      </c>
      <c r="L712" s="315"/>
      <c r="M712" s="317"/>
      <c r="N712" s="320" t="s">
        <v>3365</v>
      </c>
      <c r="O712" s="317" t="s">
        <v>51</v>
      </c>
      <c r="P712" s="318" t="s">
        <v>3838</v>
      </c>
      <c r="Q712" s="318" t="s">
        <v>4057</v>
      </c>
      <c r="R712" s="317"/>
      <c r="S712" s="317"/>
      <c r="T712" s="317"/>
      <c r="U712" s="317" t="s">
        <v>4380</v>
      </c>
      <c r="V712" s="317"/>
      <c r="W712" s="317"/>
      <c r="X712" s="317"/>
      <c r="Y712" s="319"/>
    </row>
    <row r="713" spans="1:25" s="91" customFormat="1" hidden="1" x14ac:dyDescent="0.25">
      <c r="A713" s="32" t="s">
        <v>1438</v>
      </c>
      <c r="B713" s="315" t="str">
        <f>IF((COUNTBLANK(G713)=0),Stats!$E$7,IF((COUNTBLANK(E713)=0),IF((COUNTBLANK(F713)=0),IF((COUNTBLANK(U713)=0),Stats!$E$6,Stats!$E$5),Stats!$E$4),""))</f>
        <v>Death</v>
      </c>
      <c r="C713" s="39" t="s">
        <v>284</v>
      </c>
      <c r="D713" s="315"/>
      <c r="E713" s="88">
        <v>44236</v>
      </c>
      <c r="F713" s="88">
        <v>44236</v>
      </c>
      <c r="G713" s="316">
        <v>36893</v>
      </c>
      <c r="H713" s="317" t="s">
        <v>3142</v>
      </c>
      <c r="I713" s="49"/>
      <c r="J713" s="49" t="s">
        <v>3186</v>
      </c>
      <c r="K713" s="315" t="s">
        <v>4025</v>
      </c>
      <c r="L713" s="315"/>
      <c r="M713" s="317"/>
      <c r="N713" s="320" t="s">
        <v>3365</v>
      </c>
      <c r="O713" s="49" t="s">
        <v>51</v>
      </c>
      <c r="P713" s="67" t="s">
        <v>4374</v>
      </c>
      <c r="Q713" s="67" t="s">
        <v>4375</v>
      </c>
      <c r="R713" s="49"/>
      <c r="S713" s="49"/>
      <c r="T713" s="49"/>
      <c r="U713" s="49" t="s">
        <v>4381</v>
      </c>
      <c r="V713" s="49"/>
      <c r="W713" s="49"/>
      <c r="X713" s="317" t="s">
        <v>4125</v>
      </c>
      <c r="Y713" s="95"/>
    </row>
    <row r="714" spans="1:25" s="92" customFormat="1" hidden="1" x14ac:dyDescent="0.25">
      <c r="A714" s="32" t="s">
        <v>1439</v>
      </c>
      <c r="B714" s="315" t="str">
        <f>IF((COUNTBLANK(G714)=0),Stats!$E$7,IF((COUNTBLANK(E714)=0),IF((COUNTBLANK(F714)=0),IF((COUNTBLANK(U714)=0),Stats!$E$6,Stats!$E$5),Stats!$E$4),""))</f>
        <v>Death</v>
      </c>
      <c r="C714" s="39" t="s">
        <v>284</v>
      </c>
      <c r="D714" s="315"/>
      <c r="E714" s="88">
        <v>44236</v>
      </c>
      <c r="F714" s="316">
        <v>44236</v>
      </c>
      <c r="G714" s="316">
        <v>36893</v>
      </c>
      <c r="H714" s="317" t="s">
        <v>3142</v>
      </c>
      <c r="I714" s="317"/>
      <c r="J714" s="317" t="s">
        <v>152</v>
      </c>
      <c r="K714" s="315" t="s">
        <v>3222</v>
      </c>
      <c r="L714" s="315" t="s">
        <v>3880</v>
      </c>
      <c r="M714" s="317" t="s">
        <v>3093</v>
      </c>
      <c r="N714" s="320" t="s">
        <v>4382</v>
      </c>
      <c r="O714" s="317" t="s">
        <v>51</v>
      </c>
      <c r="P714" s="318" t="s">
        <v>4383</v>
      </c>
      <c r="Q714" s="318" t="s">
        <v>4375</v>
      </c>
      <c r="R714" s="317"/>
      <c r="S714" s="317"/>
      <c r="T714" s="317"/>
      <c r="U714" s="317" t="s">
        <v>4384</v>
      </c>
      <c r="V714" s="317" t="s">
        <v>4385</v>
      </c>
      <c r="W714" s="317"/>
      <c r="X714" s="317" t="s">
        <v>4386</v>
      </c>
      <c r="Y714" s="319"/>
    </row>
    <row r="715" spans="1:25" s="91" customFormat="1" hidden="1" x14ac:dyDescent="0.25">
      <c r="A715" s="32" t="s">
        <v>1440</v>
      </c>
      <c r="B715" s="315" t="str">
        <f>IF((COUNTBLANK(G715)=0),Stats!$E$7,IF((COUNTBLANK(E715)=0),IF((COUNTBLANK(F715)=0),IF((COUNTBLANK(U715)=0),Stats!$E$6,Stats!$E$5),Stats!$E$4),""))</f>
        <v>Death</v>
      </c>
      <c r="C715" s="39" t="s">
        <v>284</v>
      </c>
      <c r="D715" s="315"/>
      <c r="E715" s="88">
        <v>44236</v>
      </c>
      <c r="F715" s="316">
        <v>44236</v>
      </c>
      <c r="G715" s="316">
        <v>36893</v>
      </c>
      <c r="H715" s="317" t="s">
        <v>3142</v>
      </c>
      <c r="I715" s="317"/>
      <c r="J715" s="317" t="s">
        <v>152</v>
      </c>
      <c r="K715" s="315" t="s">
        <v>3222</v>
      </c>
      <c r="L715" s="315" t="s">
        <v>3880</v>
      </c>
      <c r="M715" s="317" t="s">
        <v>3093</v>
      </c>
      <c r="N715" s="320" t="s">
        <v>4382</v>
      </c>
      <c r="O715" s="317" t="s">
        <v>51</v>
      </c>
      <c r="P715" s="318" t="s">
        <v>4383</v>
      </c>
      <c r="Q715" s="318" t="s">
        <v>4057</v>
      </c>
      <c r="R715" s="317"/>
      <c r="S715" s="317"/>
      <c r="T715" s="317"/>
      <c r="U715" s="317" t="s">
        <v>4384</v>
      </c>
      <c r="V715" s="317" t="s">
        <v>4385</v>
      </c>
      <c r="W715" s="317"/>
      <c r="X715" s="317"/>
      <c r="Y715" s="319"/>
    </row>
    <row r="716" spans="1:25" s="91" customFormat="1" hidden="1" x14ac:dyDescent="0.25">
      <c r="A716" s="32" t="s">
        <v>1441</v>
      </c>
      <c r="B716" s="315" t="str">
        <f>IF((COUNTBLANK(G716)=0),Stats!$E$7,IF((COUNTBLANK(E716)=0),IF((COUNTBLANK(F716)=0),IF((COUNTBLANK(U716)=0),Stats!$E$6,Stats!$E$5),Stats!$E$4),""))</f>
        <v>Death</v>
      </c>
      <c r="C716" s="39" t="s">
        <v>284</v>
      </c>
      <c r="D716" s="315"/>
      <c r="E716" s="88">
        <v>44239</v>
      </c>
      <c r="F716" s="316">
        <v>44263</v>
      </c>
      <c r="G716" s="316">
        <v>36893</v>
      </c>
      <c r="H716" s="317" t="s">
        <v>3145</v>
      </c>
      <c r="I716" s="317"/>
      <c r="J716" s="317" t="s">
        <v>152</v>
      </c>
      <c r="K716" s="315" t="s">
        <v>3222</v>
      </c>
      <c r="L716" s="315"/>
      <c r="M716" s="317"/>
      <c r="N716" s="320" t="s">
        <v>196</v>
      </c>
      <c r="O716" s="317" t="s">
        <v>4045</v>
      </c>
      <c r="P716" s="318">
        <v>-1300</v>
      </c>
      <c r="Q716" s="318">
        <v>400</v>
      </c>
      <c r="R716" s="317"/>
      <c r="S716" s="317"/>
      <c r="T716" s="317"/>
      <c r="U716" s="317"/>
      <c r="V716" s="317" t="s">
        <v>71</v>
      </c>
      <c r="W716" s="317"/>
      <c r="X716" s="317"/>
      <c r="Y716" s="319"/>
    </row>
    <row r="717" spans="1:25" s="91" customFormat="1" hidden="1" x14ac:dyDescent="0.25">
      <c r="A717" s="32" t="s">
        <v>1442</v>
      </c>
      <c r="B717" s="315" t="str">
        <f>IF((COUNTBLANK(G717)=0),Stats!$E$7,IF((COUNTBLANK(E717)=0),IF((COUNTBLANK(F717)=0),IF((COUNTBLANK(U717)=0),Stats!$E$6,Stats!$E$5),Stats!$E$4),""))</f>
        <v>Death</v>
      </c>
      <c r="C717" s="39" t="s">
        <v>284</v>
      </c>
      <c r="D717" s="315"/>
      <c r="E717" s="88">
        <v>44239</v>
      </c>
      <c r="F717" s="316">
        <v>44250</v>
      </c>
      <c r="G717" s="316">
        <v>36893</v>
      </c>
      <c r="H717" s="317" t="s">
        <v>3145</v>
      </c>
      <c r="I717" s="317"/>
      <c r="J717" s="317" t="s">
        <v>152</v>
      </c>
      <c r="K717" s="315" t="s">
        <v>3222</v>
      </c>
      <c r="L717" s="315"/>
      <c r="M717" s="317"/>
      <c r="N717" s="320" t="s">
        <v>196</v>
      </c>
      <c r="O717" s="317" t="s">
        <v>4045</v>
      </c>
      <c r="P717" s="318">
        <v>-1300</v>
      </c>
      <c r="Q717" s="318">
        <v>400</v>
      </c>
      <c r="R717" s="317"/>
      <c r="S717" s="317"/>
      <c r="T717" s="317" t="s">
        <v>4387</v>
      </c>
      <c r="U717" s="80" t="s">
        <v>4388</v>
      </c>
      <c r="V717" s="317" t="s">
        <v>71</v>
      </c>
      <c r="W717" s="317"/>
      <c r="X717" s="317"/>
      <c r="Y717" s="319" t="s">
        <v>4344</v>
      </c>
    </row>
    <row r="718" spans="1:25" s="91" customFormat="1" hidden="1" x14ac:dyDescent="0.25">
      <c r="A718" s="32" t="s">
        <v>1443</v>
      </c>
      <c r="B718" s="315" t="str">
        <f>IF((COUNTBLANK(G718)=0),Stats!$E$7,IF((COUNTBLANK(E718)=0),IF((COUNTBLANK(F718)=0),IF((COUNTBLANK(U718)=0),Stats!$E$6,Stats!$E$5),Stats!$E$4),""))</f>
        <v>Death</v>
      </c>
      <c r="C718" s="39" t="s">
        <v>284</v>
      </c>
      <c r="D718" s="315"/>
      <c r="E718" s="88">
        <v>44246</v>
      </c>
      <c r="F718" s="316">
        <v>36892</v>
      </c>
      <c r="G718" s="316">
        <v>36893</v>
      </c>
      <c r="H718" s="317" t="s">
        <v>3128</v>
      </c>
      <c r="I718" s="317"/>
      <c r="J718" s="317" t="s">
        <v>152</v>
      </c>
      <c r="K718" s="315" t="s">
        <v>3828</v>
      </c>
      <c r="L718" s="315" t="s">
        <v>3222</v>
      </c>
      <c r="M718" s="317" t="s">
        <v>3093</v>
      </c>
      <c r="N718" s="320" t="s">
        <v>4272</v>
      </c>
      <c r="O718" s="317" t="s">
        <v>51</v>
      </c>
      <c r="P718" s="318">
        <v>-500</v>
      </c>
      <c r="Q718" s="318">
        <v>700</v>
      </c>
      <c r="R718" s="317" t="s">
        <v>4355</v>
      </c>
      <c r="S718" s="317"/>
      <c r="T718" s="317"/>
      <c r="U718" s="317"/>
      <c r="V718" s="317" t="s">
        <v>71</v>
      </c>
      <c r="W718" s="317"/>
      <c r="X718" s="317"/>
      <c r="Y718" s="319"/>
    </row>
    <row r="719" spans="1:25" s="91" customFormat="1" hidden="1" x14ac:dyDescent="0.25">
      <c r="A719" s="32" t="s">
        <v>1444</v>
      </c>
      <c r="B719" s="315" t="str">
        <f>IF((COUNTBLANK(G719)=0),Stats!$E$7,IF((COUNTBLANK(E719)=0),IF((COUNTBLANK(F719)=0),IF((COUNTBLANK(U719)=0),Stats!$E$6,Stats!$E$5),Stats!$E$4),""))</f>
        <v>Death</v>
      </c>
      <c r="C719" s="39" t="s">
        <v>284</v>
      </c>
      <c r="D719" s="315"/>
      <c r="E719" s="88">
        <v>44246</v>
      </c>
      <c r="F719" s="316">
        <v>44259</v>
      </c>
      <c r="G719" s="316">
        <v>36893</v>
      </c>
      <c r="H719" s="317" t="s">
        <v>3128</v>
      </c>
      <c r="I719" s="317"/>
      <c r="J719" s="317" t="s">
        <v>152</v>
      </c>
      <c r="K719" s="315" t="s">
        <v>3828</v>
      </c>
      <c r="L719" s="315" t="s">
        <v>3222</v>
      </c>
      <c r="M719" s="317" t="s">
        <v>3093</v>
      </c>
      <c r="N719" s="320" t="s">
        <v>4272</v>
      </c>
      <c r="O719" s="317" t="s">
        <v>51</v>
      </c>
      <c r="P719" s="318">
        <v>-500</v>
      </c>
      <c r="Q719" s="318">
        <v>700</v>
      </c>
      <c r="R719" s="317" t="s">
        <v>4389</v>
      </c>
      <c r="S719" s="317"/>
      <c r="T719" s="317" t="s">
        <v>4115</v>
      </c>
      <c r="U719" s="317"/>
      <c r="V719" s="317" t="s">
        <v>4390</v>
      </c>
      <c r="W719" s="317"/>
      <c r="X719" s="317"/>
      <c r="Y719" s="319" t="s">
        <v>4362</v>
      </c>
    </row>
    <row r="720" spans="1:25" s="91" customFormat="1" hidden="1" x14ac:dyDescent="0.25">
      <c r="A720" s="32" t="s">
        <v>1445</v>
      </c>
      <c r="B720" s="315" t="str">
        <f>IF((COUNTBLANK(G720)=0),Stats!$E$7,IF((COUNTBLANK(E720)=0),IF((COUNTBLANK(F720)=0),IF((COUNTBLANK(U720)=0),Stats!$E$6,Stats!$E$5),Stats!$E$4),""))</f>
        <v>Death</v>
      </c>
      <c r="C720" s="39" t="s">
        <v>284</v>
      </c>
      <c r="D720" s="315"/>
      <c r="E720" s="88">
        <v>44246</v>
      </c>
      <c r="F720" s="316">
        <v>44257</v>
      </c>
      <c r="G720" s="316">
        <v>36893</v>
      </c>
      <c r="H720" s="317" t="s">
        <v>3128</v>
      </c>
      <c r="I720" s="317"/>
      <c r="J720" s="317" t="s">
        <v>152</v>
      </c>
      <c r="K720" s="315" t="s">
        <v>3828</v>
      </c>
      <c r="L720" s="315" t="s">
        <v>3222</v>
      </c>
      <c r="M720" s="317" t="s">
        <v>3093</v>
      </c>
      <c r="N720" s="320" t="s">
        <v>4272</v>
      </c>
      <c r="O720" s="317" t="s">
        <v>51</v>
      </c>
      <c r="P720" s="318">
        <v>-500</v>
      </c>
      <c r="Q720" s="318">
        <v>700</v>
      </c>
      <c r="R720" s="317" t="s">
        <v>4391</v>
      </c>
      <c r="S720" s="317"/>
      <c r="T720" s="317" t="s">
        <v>4115</v>
      </c>
      <c r="U720" s="317" t="s">
        <v>4392</v>
      </c>
      <c r="V720" s="317" t="s">
        <v>4390</v>
      </c>
      <c r="W720" s="317"/>
      <c r="X720" s="317"/>
      <c r="Y720" s="319" t="s">
        <v>4362</v>
      </c>
    </row>
    <row r="721" spans="1:25" s="91" customFormat="1" hidden="1" x14ac:dyDescent="0.25">
      <c r="A721" s="32" t="s">
        <v>1446</v>
      </c>
      <c r="B721" s="315" t="str">
        <f>IF((COUNTBLANK(G721)=0),Stats!$E$7,IF((COUNTBLANK(E721)=0),IF((COUNTBLANK(F721)=0),IF((COUNTBLANK(U721)=0),Stats!$E$6,Stats!$E$5),Stats!$E$4),""))</f>
        <v>Death</v>
      </c>
      <c r="C721" s="39" t="s">
        <v>284</v>
      </c>
      <c r="D721" s="315"/>
      <c r="E721" s="88">
        <v>44257</v>
      </c>
      <c r="F721" s="316">
        <v>44307</v>
      </c>
      <c r="G721" s="316">
        <v>36893</v>
      </c>
      <c r="H721" s="317" t="s">
        <v>3128</v>
      </c>
      <c r="I721" s="317"/>
      <c r="J721" s="317" t="s">
        <v>152</v>
      </c>
      <c r="K721" s="315" t="s">
        <v>4025</v>
      </c>
      <c r="L721" s="315"/>
      <c r="M721" s="317"/>
      <c r="N721" s="320" t="s">
        <v>196</v>
      </c>
      <c r="O721" s="317" t="s">
        <v>51</v>
      </c>
      <c r="P721" s="318">
        <v>-550</v>
      </c>
      <c r="Q721" s="318">
        <v>600</v>
      </c>
      <c r="R721" s="317" t="s">
        <v>4393</v>
      </c>
      <c r="S721" s="317"/>
      <c r="T721" s="317"/>
      <c r="U721" s="317" t="s">
        <v>4394</v>
      </c>
      <c r="V721" s="317" t="s">
        <v>4395</v>
      </c>
      <c r="W721" s="317"/>
      <c r="X721" s="317"/>
      <c r="Y721" s="319" t="s">
        <v>4344</v>
      </c>
    </row>
    <row r="722" spans="1:25" s="91" customFormat="1" hidden="1" x14ac:dyDescent="0.25">
      <c r="A722" s="32" t="s">
        <v>1447</v>
      </c>
      <c r="B722" s="315" t="str">
        <f>IF((COUNTBLANK(G722)=0),Stats!$E$7,IF((COUNTBLANK(E722)=0),IF((COUNTBLANK(F722)=0),IF((COUNTBLANK(U722)=0),Stats!$E$6,Stats!$E$5),Stats!$E$4),""))</f>
        <v>Death</v>
      </c>
      <c r="C722" s="39" t="s">
        <v>284</v>
      </c>
      <c r="D722" s="315"/>
      <c r="E722" s="88">
        <v>44257</v>
      </c>
      <c r="F722" s="316">
        <v>44307</v>
      </c>
      <c r="G722" s="316">
        <v>36893</v>
      </c>
      <c r="H722" s="317" t="s">
        <v>3106</v>
      </c>
      <c r="I722" s="317"/>
      <c r="J722" s="317" t="s">
        <v>152</v>
      </c>
      <c r="K722" s="315" t="s">
        <v>4025</v>
      </c>
      <c r="L722" s="315"/>
      <c r="M722" s="317"/>
      <c r="N722" s="320" t="s">
        <v>196</v>
      </c>
      <c r="O722" s="317" t="s">
        <v>51</v>
      </c>
      <c r="P722" s="318">
        <v>-550</v>
      </c>
      <c r="Q722" s="318">
        <v>600</v>
      </c>
      <c r="R722" s="317" t="s">
        <v>4396</v>
      </c>
      <c r="S722" s="317"/>
      <c r="T722" s="317"/>
      <c r="U722" s="317" t="s">
        <v>4397</v>
      </c>
      <c r="V722" s="317" t="s">
        <v>4398</v>
      </c>
      <c r="W722" s="317"/>
      <c r="X722" s="317"/>
      <c r="Y722" s="319" t="s">
        <v>4344</v>
      </c>
    </row>
    <row r="723" spans="1:25" s="91" customFormat="1" hidden="1" x14ac:dyDescent="0.25">
      <c r="A723" s="32" t="s">
        <v>1448</v>
      </c>
      <c r="B723" s="315" t="str">
        <f>IF((COUNTBLANK(G723)=0),Stats!$E$7,IF((COUNTBLANK(E723)=0),IF((COUNTBLANK(F723)=0),IF((COUNTBLANK(U723)=0),Stats!$E$6,Stats!$E$5),Stats!$E$4),""))</f>
        <v>Death</v>
      </c>
      <c r="C723" s="39" t="s">
        <v>284</v>
      </c>
      <c r="D723" s="315"/>
      <c r="E723" s="88">
        <v>44257</v>
      </c>
      <c r="F723" s="316">
        <v>44307</v>
      </c>
      <c r="G723" s="316">
        <v>36893</v>
      </c>
      <c r="H723" s="317" t="s">
        <v>3128</v>
      </c>
      <c r="I723" s="317"/>
      <c r="J723" s="317" t="s">
        <v>152</v>
      </c>
      <c r="K723" s="315" t="s">
        <v>4025</v>
      </c>
      <c r="L723" s="315"/>
      <c r="M723" s="317"/>
      <c r="N723" s="320" t="s">
        <v>196</v>
      </c>
      <c r="O723" s="317" t="s">
        <v>51</v>
      </c>
      <c r="P723" s="318">
        <v>-550</v>
      </c>
      <c r="Q723" s="318">
        <v>600</v>
      </c>
      <c r="R723" s="317" t="s">
        <v>4399</v>
      </c>
      <c r="S723" s="317"/>
      <c r="T723" s="317"/>
      <c r="U723" s="317" t="s">
        <v>4400</v>
      </c>
      <c r="V723" s="317" t="s">
        <v>4390</v>
      </c>
      <c r="W723" s="317"/>
      <c r="X723" s="317"/>
      <c r="Y723" s="319" t="s">
        <v>4401</v>
      </c>
    </row>
    <row r="724" spans="1:25" s="91" customFormat="1" hidden="1" x14ac:dyDescent="0.25">
      <c r="A724" s="32" t="s">
        <v>1449</v>
      </c>
      <c r="B724" s="315" t="str">
        <f>IF((COUNTBLANK(G724)=0),Stats!$E$7,IF((COUNTBLANK(E724)=0),IF((COUNTBLANK(F724)=0),IF((COUNTBLANK(U724)=0),Stats!$E$6,Stats!$E$5),Stats!$E$4),""))</f>
        <v>Death</v>
      </c>
      <c r="C724" s="39" t="s">
        <v>284</v>
      </c>
      <c r="D724" s="315"/>
      <c r="E724" s="88">
        <v>44257</v>
      </c>
      <c r="F724" s="316">
        <v>44306</v>
      </c>
      <c r="G724" s="316">
        <v>36893</v>
      </c>
      <c r="H724" s="317" t="s">
        <v>3128</v>
      </c>
      <c r="I724" s="317"/>
      <c r="J724" s="317" t="s">
        <v>152</v>
      </c>
      <c r="K724" s="315" t="s">
        <v>4025</v>
      </c>
      <c r="L724" s="315"/>
      <c r="M724" s="317"/>
      <c r="N724" s="320" t="s">
        <v>196</v>
      </c>
      <c r="O724" s="317" t="s">
        <v>51</v>
      </c>
      <c r="P724" s="318">
        <v>-550</v>
      </c>
      <c r="Q724" s="318">
        <v>600</v>
      </c>
      <c r="R724" s="317" t="s">
        <v>4402</v>
      </c>
      <c r="S724" s="317"/>
      <c r="T724" s="317"/>
      <c r="U724" s="317" t="s">
        <v>4403</v>
      </c>
      <c r="V724" s="317" t="s">
        <v>4404</v>
      </c>
      <c r="W724" s="317" t="s">
        <v>4405</v>
      </c>
      <c r="X724" s="317"/>
      <c r="Y724" s="319" t="s">
        <v>4406</v>
      </c>
    </row>
    <row r="725" spans="1:25" s="91" customFormat="1" hidden="1" x14ac:dyDescent="0.25">
      <c r="A725" s="32" t="s">
        <v>1450</v>
      </c>
      <c r="B725" s="315" t="str">
        <f>IF((COUNTBLANK(G725)=0),Stats!$E$7,IF((COUNTBLANK(E725)=0),IF((COUNTBLANK(F725)=0),IF((COUNTBLANK(U725)=0),Stats!$E$6,Stats!$E$5),Stats!$E$4),""))</f>
        <v>Death</v>
      </c>
      <c r="C725" s="39" t="s">
        <v>284</v>
      </c>
      <c r="D725" s="315"/>
      <c r="E725" s="88">
        <v>44257</v>
      </c>
      <c r="F725" s="316">
        <v>44306</v>
      </c>
      <c r="G725" s="316">
        <v>36893</v>
      </c>
      <c r="H725" s="317" t="s">
        <v>3128</v>
      </c>
      <c r="I725" s="317"/>
      <c r="J725" s="317" t="s">
        <v>152</v>
      </c>
      <c r="K725" s="315" t="s">
        <v>4025</v>
      </c>
      <c r="L725" s="315"/>
      <c r="M725" s="317"/>
      <c r="N725" s="320" t="s">
        <v>196</v>
      </c>
      <c r="O725" s="317" t="s">
        <v>51</v>
      </c>
      <c r="P725" s="318">
        <v>-550</v>
      </c>
      <c r="Q725" s="318">
        <v>600</v>
      </c>
      <c r="R725" s="317" t="s">
        <v>4407</v>
      </c>
      <c r="S725" s="317"/>
      <c r="T725" s="317"/>
      <c r="U725" s="317" t="s">
        <v>4408</v>
      </c>
      <c r="V725" s="317" t="s">
        <v>4409</v>
      </c>
      <c r="W725" s="317"/>
      <c r="X725" s="317"/>
      <c r="Y725" s="319" t="s">
        <v>4410</v>
      </c>
    </row>
    <row r="726" spans="1:25" s="91" customFormat="1" hidden="1" x14ac:dyDescent="0.25">
      <c r="A726" s="32" t="s">
        <v>1451</v>
      </c>
      <c r="B726" s="315" t="str">
        <f>IF((COUNTBLANK(G726)=0),Stats!$E$7,IF((COUNTBLANK(E726)=0),IF((COUNTBLANK(F726)=0),IF((COUNTBLANK(U726)=0),Stats!$E$6,Stats!$E$5),Stats!$E$4),""))</f>
        <v>Death</v>
      </c>
      <c r="C726" s="39" t="s">
        <v>284</v>
      </c>
      <c r="D726" s="315"/>
      <c r="E726" s="88">
        <v>44260</v>
      </c>
      <c r="F726" s="316">
        <v>44307</v>
      </c>
      <c r="G726" s="316">
        <v>36893</v>
      </c>
      <c r="H726" s="317" t="s">
        <v>3106</v>
      </c>
      <c r="I726" s="317"/>
      <c r="J726" s="317" t="s">
        <v>3095</v>
      </c>
      <c r="K726" s="315" t="s">
        <v>4025</v>
      </c>
      <c r="L726" s="315"/>
      <c r="M726" s="317"/>
      <c r="N726" s="320" t="s">
        <v>196</v>
      </c>
      <c r="O726" s="317" t="s">
        <v>51</v>
      </c>
      <c r="P726" s="318">
        <v>-550</v>
      </c>
      <c r="Q726" s="318">
        <v>600</v>
      </c>
      <c r="R726" s="317" t="s">
        <v>4411</v>
      </c>
      <c r="S726" s="317"/>
      <c r="T726" s="317"/>
      <c r="U726" s="317" t="s">
        <v>4412</v>
      </c>
      <c r="V726" s="317"/>
      <c r="W726" s="317"/>
      <c r="X726" s="317"/>
      <c r="Y726" s="319" t="s">
        <v>4413</v>
      </c>
    </row>
    <row r="727" spans="1:25" s="91" customFormat="1" hidden="1" x14ac:dyDescent="0.25">
      <c r="A727" s="32" t="s">
        <v>1452</v>
      </c>
      <c r="B727" s="315" t="str">
        <f>IF((COUNTBLANK(G727)=0),Stats!$E$7,IF((COUNTBLANK(E727)=0),IF((COUNTBLANK(F727)=0),IF((COUNTBLANK(U727)=0),Stats!$E$6,Stats!$E$5),Stats!$E$4),""))</f>
        <v>Death</v>
      </c>
      <c r="C727" s="39" t="s">
        <v>284</v>
      </c>
      <c r="D727" s="315"/>
      <c r="E727" s="88">
        <v>44260</v>
      </c>
      <c r="F727" s="316">
        <v>44307</v>
      </c>
      <c r="G727" s="316">
        <v>36893</v>
      </c>
      <c r="H727" s="317" t="s">
        <v>3106</v>
      </c>
      <c r="I727" s="317"/>
      <c r="J727" s="317" t="s">
        <v>3095</v>
      </c>
      <c r="K727" s="315" t="s">
        <v>4025</v>
      </c>
      <c r="L727" s="315"/>
      <c r="M727" s="317"/>
      <c r="N727" s="320" t="s">
        <v>196</v>
      </c>
      <c r="O727" s="317" t="s">
        <v>51</v>
      </c>
      <c r="P727" s="318">
        <v>-550</v>
      </c>
      <c r="Q727" s="318">
        <v>600</v>
      </c>
      <c r="R727" s="317" t="s">
        <v>4414</v>
      </c>
      <c r="S727" s="317"/>
      <c r="T727" s="317"/>
      <c r="U727" s="317" t="s">
        <v>4412</v>
      </c>
      <c r="V727" s="317"/>
      <c r="W727" s="317"/>
      <c r="X727" s="317"/>
      <c r="Y727" s="319" t="s">
        <v>4413</v>
      </c>
    </row>
    <row r="728" spans="1:25" s="91" customFormat="1" hidden="1" x14ac:dyDescent="0.25">
      <c r="A728" s="32" t="s">
        <v>1453</v>
      </c>
      <c r="B728" s="315" t="str">
        <f>IF((COUNTBLANK(G728)=0),Stats!$E$7,IF((COUNTBLANK(E728)=0),IF((COUNTBLANK(F728)=0),IF((COUNTBLANK(U728)=0),Stats!$E$6,Stats!$E$5),Stats!$E$4),""))</f>
        <v>Death</v>
      </c>
      <c r="C728" s="39" t="s">
        <v>284</v>
      </c>
      <c r="D728" s="315"/>
      <c r="E728" s="88">
        <v>44260</v>
      </c>
      <c r="F728" s="316">
        <v>44312</v>
      </c>
      <c r="G728" s="316">
        <v>36893</v>
      </c>
      <c r="H728" s="317" t="s">
        <v>3106</v>
      </c>
      <c r="I728" s="51"/>
      <c r="J728" s="317" t="s">
        <v>3095</v>
      </c>
      <c r="K728" s="315" t="s">
        <v>4025</v>
      </c>
      <c r="L728" s="315"/>
      <c r="M728" s="317"/>
      <c r="N728" s="320" t="s">
        <v>196</v>
      </c>
      <c r="O728" s="317" t="s">
        <v>51</v>
      </c>
      <c r="P728" s="318">
        <v>-550</v>
      </c>
      <c r="Q728" s="318">
        <v>600</v>
      </c>
      <c r="R728" s="317" t="s">
        <v>4414</v>
      </c>
      <c r="S728" s="317"/>
      <c r="T728" s="317"/>
      <c r="U728" s="317" t="s">
        <v>4415</v>
      </c>
      <c r="V728" s="317"/>
      <c r="W728" s="317"/>
      <c r="X728" s="317"/>
      <c r="Y728" s="319" t="s">
        <v>4413</v>
      </c>
    </row>
    <row r="729" spans="1:25" s="91" customFormat="1" hidden="1" x14ac:dyDescent="0.25">
      <c r="A729" s="32" t="s">
        <v>1454</v>
      </c>
      <c r="B729" s="315" t="str">
        <f>IF((COUNTBLANK(G729)=0),Stats!$E$7,IF((COUNTBLANK(E729)=0),IF((COUNTBLANK(F729)=0),IF((COUNTBLANK(U729)=0),Stats!$E$6,Stats!$E$5),Stats!$E$4),""))</f>
        <v>Death</v>
      </c>
      <c r="C729" s="39" t="s">
        <v>62</v>
      </c>
      <c r="D729" s="315"/>
      <c r="E729" s="88">
        <v>44274</v>
      </c>
      <c r="F729" s="316">
        <v>44312</v>
      </c>
      <c r="G729" s="316">
        <v>36893</v>
      </c>
      <c r="H729" s="317" t="s">
        <v>3128</v>
      </c>
      <c r="I729" s="317"/>
      <c r="J729" s="317" t="s">
        <v>152</v>
      </c>
      <c r="K729" s="315" t="s">
        <v>3216</v>
      </c>
      <c r="L729" s="315"/>
      <c r="M729" s="317"/>
      <c r="N729" s="320"/>
      <c r="O729" s="317" t="s">
        <v>51</v>
      </c>
      <c r="P729" s="318">
        <v>-500</v>
      </c>
      <c r="Q729" s="318">
        <v>500</v>
      </c>
      <c r="R729" s="317"/>
      <c r="S729" s="317"/>
      <c r="T729" s="317"/>
      <c r="U729" s="317" t="s">
        <v>4416</v>
      </c>
      <c r="V729" s="317" t="s">
        <v>4417</v>
      </c>
      <c r="W729" s="317"/>
      <c r="X729" s="317"/>
      <c r="Y729" s="319" t="s">
        <v>4406</v>
      </c>
    </row>
    <row r="730" spans="1:25" s="91" customFormat="1" hidden="1" x14ac:dyDescent="0.25">
      <c r="A730" s="32" t="s">
        <v>1455</v>
      </c>
      <c r="B730" s="315" t="str">
        <f>IF((COUNTBLANK(G730)=0),Stats!$E$7,IF((COUNTBLANK(E730)=0),IF((COUNTBLANK(F730)=0),IF((COUNTBLANK(U730)=0),Stats!$E$6,Stats!$E$5),Stats!$E$4),""))</f>
        <v>Death</v>
      </c>
      <c r="C730" s="39" t="s">
        <v>62</v>
      </c>
      <c r="D730" s="315"/>
      <c r="E730" s="88">
        <v>44274</v>
      </c>
      <c r="F730" s="316">
        <v>44313</v>
      </c>
      <c r="G730" s="316">
        <v>36893</v>
      </c>
      <c r="H730" s="317" t="s">
        <v>3128</v>
      </c>
      <c r="I730" s="317"/>
      <c r="J730" s="317" t="s">
        <v>152</v>
      </c>
      <c r="K730" s="315" t="s">
        <v>3216</v>
      </c>
      <c r="L730" s="315"/>
      <c r="M730" s="317"/>
      <c r="N730" s="320"/>
      <c r="O730" s="317" t="s">
        <v>51</v>
      </c>
      <c r="P730" s="318">
        <v>-500</v>
      </c>
      <c r="Q730" s="318">
        <v>500</v>
      </c>
      <c r="R730" s="317"/>
      <c r="S730" s="317"/>
      <c r="T730" s="317"/>
      <c r="U730" s="317" t="s">
        <v>4418</v>
      </c>
      <c r="V730" s="317"/>
      <c r="W730" s="317"/>
      <c r="X730" s="317"/>
      <c r="Y730" s="319" t="s">
        <v>4419</v>
      </c>
    </row>
    <row r="731" spans="1:25" s="91" customFormat="1" hidden="1" x14ac:dyDescent="0.25">
      <c r="A731" s="32" t="s">
        <v>1456</v>
      </c>
      <c r="B731" s="315" t="str">
        <f>IF((COUNTBLANK(G731)=0),Stats!$E$7,IF((COUNTBLANK(E731)=0),IF((COUNTBLANK(F731)=0),IF((COUNTBLANK(U731)=0),Stats!$E$6,Stats!$E$5),Stats!$E$4),""))</f>
        <v>Death</v>
      </c>
      <c r="C731" s="39" t="s">
        <v>62</v>
      </c>
      <c r="D731" s="315"/>
      <c r="E731" s="88">
        <v>44274</v>
      </c>
      <c r="F731" s="316">
        <v>44313</v>
      </c>
      <c r="G731" s="316">
        <v>36893</v>
      </c>
      <c r="H731" s="317" t="s">
        <v>3128</v>
      </c>
      <c r="I731" s="317"/>
      <c r="J731" s="317" t="s">
        <v>152</v>
      </c>
      <c r="K731" s="315" t="s">
        <v>3216</v>
      </c>
      <c r="L731" s="315"/>
      <c r="M731" s="317"/>
      <c r="N731" s="320"/>
      <c r="O731" s="317" t="s">
        <v>51</v>
      </c>
      <c r="P731" s="318">
        <v>-500</v>
      </c>
      <c r="Q731" s="318">
        <v>500</v>
      </c>
      <c r="R731" s="317"/>
      <c r="S731" s="317"/>
      <c r="T731" s="317"/>
      <c r="U731" s="317" t="s">
        <v>4420</v>
      </c>
      <c r="V731" s="317"/>
      <c r="W731" s="317"/>
      <c r="X731" s="317"/>
      <c r="Y731" s="319" t="s">
        <v>4406</v>
      </c>
    </row>
    <row r="732" spans="1:25" s="91" customFormat="1" hidden="1" x14ac:dyDescent="0.25">
      <c r="A732" s="32" t="s">
        <v>1457</v>
      </c>
      <c r="B732" s="315" t="str">
        <f>IF((COUNTBLANK(G732)=0),Stats!$E$7,IF((COUNTBLANK(E732)=0),IF((COUNTBLANK(F732)=0),IF((COUNTBLANK(U732)=0),Stats!$E$6,Stats!$E$5),Stats!$E$4),""))</f>
        <v>Death</v>
      </c>
      <c r="C732" s="39" t="s">
        <v>62</v>
      </c>
      <c r="D732" s="315"/>
      <c r="E732" s="88">
        <v>44274</v>
      </c>
      <c r="F732" s="316">
        <v>44313</v>
      </c>
      <c r="G732" s="316">
        <v>36893</v>
      </c>
      <c r="H732" s="317" t="s">
        <v>3128</v>
      </c>
      <c r="I732" s="317"/>
      <c r="J732" s="317" t="s">
        <v>152</v>
      </c>
      <c r="K732" s="315" t="s">
        <v>3216</v>
      </c>
      <c r="L732" s="315"/>
      <c r="M732" s="317"/>
      <c r="N732" s="320"/>
      <c r="O732" s="317" t="s">
        <v>51</v>
      </c>
      <c r="P732" s="318">
        <v>-500</v>
      </c>
      <c r="Q732" s="318">
        <v>500</v>
      </c>
      <c r="R732" s="317"/>
      <c r="S732" s="317"/>
      <c r="T732" s="317"/>
      <c r="U732" s="317" t="s">
        <v>4418</v>
      </c>
      <c r="V732" s="317"/>
      <c r="W732" s="317"/>
      <c r="X732" s="317"/>
      <c r="Y732" s="319" t="s">
        <v>4419</v>
      </c>
    </row>
    <row r="733" spans="1:25" s="91" customFormat="1" hidden="1" x14ac:dyDescent="0.25">
      <c r="A733" s="32" t="s">
        <v>1458</v>
      </c>
      <c r="B733" s="315" t="str">
        <f>IF((COUNTBLANK(G733)=0),Stats!$E$7,IF((COUNTBLANK(E733)=0),IF((COUNTBLANK(F733)=0),IF((COUNTBLANK(U733)=0),Stats!$E$6,Stats!$E$5),Stats!$E$4),""))</f>
        <v>Death</v>
      </c>
      <c r="C733" s="39" t="s">
        <v>62</v>
      </c>
      <c r="D733" s="315"/>
      <c r="E733" s="88">
        <v>44274</v>
      </c>
      <c r="F733" s="316">
        <v>44319</v>
      </c>
      <c r="G733" s="316">
        <v>36893</v>
      </c>
      <c r="H733" s="317" t="s">
        <v>3128</v>
      </c>
      <c r="I733" s="317"/>
      <c r="J733" s="317" t="s">
        <v>152</v>
      </c>
      <c r="K733" s="315" t="s">
        <v>3216</v>
      </c>
      <c r="L733" s="315"/>
      <c r="M733" s="317"/>
      <c r="N733" s="320"/>
      <c r="O733" s="317" t="s">
        <v>51</v>
      </c>
      <c r="P733" s="318">
        <v>-500</v>
      </c>
      <c r="Q733" s="318">
        <v>500</v>
      </c>
      <c r="R733" s="317"/>
      <c r="S733" s="317"/>
      <c r="T733" s="317"/>
      <c r="U733" s="317" t="s">
        <v>4421</v>
      </c>
      <c r="V733" s="317"/>
      <c r="W733" s="317"/>
      <c r="X733" s="317"/>
      <c r="Y733" s="319" t="s">
        <v>4419</v>
      </c>
    </row>
    <row r="734" spans="1:25" s="91" customFormat="1" hidden="1" x14ac:dyDescent="0.25">
      <c r="A734" s="32" t="s">
        <v>1459</v>
      </c>
      <c r="B734" s="315" t="str">
        <f>IF((COUNTBLANK(G734)=0),Stats!$E$7,IF((COUNTBLANK(E734)=0),IF((COUNTBLANK(F734)=0),IF((COUNTBLANK(U734)=0),Stats!$E$6,Stats!$E$5),Stats!$E$4),""))</f>
        <v>Death</v>
      </c>
      <c r="C734" s="39" t="s">
        <v>284</v>
      </c>
      <c r="D734" s="315"/>
      <c r="E734" s="88">
        <v>44299</v>
      </c>
      <c r="F734" s="316">
        <v>44321</v>
      </c>
      <c r="G734" s="316">
        <v>36893</v>
      </c>
      <c r="H734" s="317" t="s">
        <v>3128</v>
      </c>
      <c r="I734" s="317"/>
      <c r="J734" s="317" t="s">
        <v>152</v>
      </c>
      <c r="K734" s="315" t="s">
        <v>3222</v>
      </c>
      <c r="L734" s="315" t="s">
        <v>4199</v>
      </c>
      <c r="M734" s="317" t="s">
        <v>3093</v>
      </c>
      <c r="N734" s="320" t="s">
        <v>4013</v>
      </c>
      <c r="O734" s="317" t="s">
        <v>51</v>
      </c>
      <c r="P734" s="318">
        <v>-500</v>
      </c>
      <c r="Q734" s="318">
        <v>500</v>
      </c>
      <c r="R734" s="317" t="s">
        <v>4422</v>
      </c>
      <c r="S734" s="317"/>
      <c r="T734" s="317"/>
      <c r="U734" s="317" t="s">
        <v>4423</v>
      </c>
      <c r="V734" s="317"/>
      <c r="W734" s="317"/>
      <c r="X734" s="317"/>
      <c r="Y734" s="319"/>
    </row>
    <row r="735" spans="1:25" s="91" customFormat="1" hidden="1" x14ac:dyDescent="0.25">
      <c r="A735" s="32" t="s">
        <v>1460</v>
      </c>
      <c r="B735" s="315" t="str">
        <f>IF((COUNTBLANK(G735)=0),Stats!$E$7,IF((COUNTBLANK(E735)=0),IF((COUNTBLANK(F735)=0),IF((COUNTBLANK(U735)=0),Stats!$E$6,Stats!$E$5),Stats!$E$4),""))</f>
        <v>Death</v>
      </c>
      <c r="C735" s="39" t="s">
        <v>284</v>
      </c>
      <c r="D735" s="315"/>
      <c r="E735" s="88">
        <v>44299</v>
      </c>
      <c r="F735" s="316">
        <v>44321</v>
      </c>
      <c r="G735" s="316">
        <v>36893</v>
      </c>
      <c r="H735" s="317" t="s">
        <v>3128</v>
      </c>
      <c r="I735" s="317"/>
      <c r="J735" s="317" t="s">
        <v>152</v>
      </c>
      <c r="K735" s="315" t="s">
        <v>3222</v>
      </c>
      <c r="L735" s="315" t="s">
        <v>4199</v>
      </c>
      <c r="M735" s="317" t="s">
        <v>3093</v>
      </c>
      <c r="N735" s="320" t="s">
        <v>4013</v>
      </c>
      <c r="O735" s="317" t="s">
        <v>51</v>
      </c>
      <c r="P735" s="318">
        <v>-500</v>
      </c>
      <c r="Q735" s="318">
        <v>500</v>
      </c>
      <c r="R735" s="317" t="s">
        <v>4424</v>
      </c>
      <c r="S735" s="317"/>
      <c r="T735" s="317"/>
      <c r="U735" s="317" t="s">
        <v>4423</v>
      </c>
      <c r="V735" s="317"/>
      <c r="W735" s="317"/>
      <c r="X735" s="317"/>
      <c r="Y735" s="319" t="s">
        <v>4406</v>
      </c>
    </row>
    <row r="736" spans="1:25" s="91" customFormat="1" hidden="1" x14ac:dyDescent="0.25">
      <c r="A736" s="32" t="s">
        <v>1461</v>
      </c>
      <c r="B736" s="315" t="str">
        <f>IF((COUNTBLANK(G736)=0),Stats!$E$7,IF((COUNTBLANK(E736)=0),IF((COUNTBLANK(F736)=0),IF((COUNTBLANK(U736)=0),Stats!$E$6,Stats!$E$5),Stats!$E$4),""))</f>
        <v>Death</v>
      </c>
      <c r="C736" s="39" t="s">
        <v>284</v>
      </c>
      <c r="D736" s="315"/>
      <c r="E736" s="88">
        <v>44299</v>
      </c>
      <c r="F736" s="316">
        <v>44328</v>
      </c>
      <c r="G736" s="316">
        <v>36893</v>
      </c>
      <c r="H736" s="317" t="s">
        <v>3128</v>
      </c>
      <c r="I736" s="317"/>
      <c r="J736" s="317" t="s">
        <v>152</v>
      </c>
      <c r="K736" s="315" t="s">
        <v>3222</v>
      </c>
      <c r="L736" s="315" t="s">
        <v>4199</v>
      </c>
      <c r="M736" s="317" t="s">
        <v>3093</v>
      </c>
      <c r="N736" s="320" t="s">
        <v>4013</v>
      </c>
      <c r="O736" s="317" t="s">
        <v>51</v>
      </c>
      <c r="P736" s="318">
        <v>-500</v>
      </c>
      <c r="Q736" s="318">
        <v>500</v>
      </c>
      <c r="R736" s="317" t="s">
        <v>4425</v>
      </c>
      <c r="S736" s="317"/>
      <c r="T736" s="317" t="s">
        <v>4426</v>
      </c>
      <c r="U736" s="317" t="s">
        <v>4423</v>
      </c>
      <c r="V736" s="317"/>
      <c r="W736" s="317"/>
      <c r="X736" s="317"/>
      <c r="Y736" s="319" t="s">
        <v>4427</v>
      </c>
    </row>
    <row r="737" spans="1:25" s="91" customFormat="1" hidden="1" x14ac:dyDescent="0.25">
      <c r="A737" s="32" t="s">
        <v>1462</v>
      </c>
      <c r="B737" s="315" t="str">
        <f>IF((COUNTBLANK(G737)=0),Stats!$E$7,IF((COUNTBLANK(E737)=0),IF((COUNTBLANK(F737)=0),IF((COUNTBLANK(U737)=0),Stats!$E$6,Stats!$E$5),Stats!$E$4),""))</f>
        <v>Death</v>
      </c>
      <c r="C737" s="39" t="s">
        <v>284</v>
      </c>
      <c r="D737" s="315"/>
      <c r="E737" s="88">
        <v>44299</v>
      </c>
      <c r="F737" s="316">
        <v>44328</v>
      </c>
      <c r="G737" s="316">
        <v>36893</v>
      </c>
      <c r="H737" s="317" t="s">
        <v>3128</v>
      </c>
      <c r="I737" s="317"/>
      <c r="J737" s="317" t="s">
        <v>152</v>
      </c>
      <c r="K737" s="315" t="s">
        <v>3222</v>
      </c>
      <c r="L737" s="315" t="s">
        <v>4199</v>
      </c>
      <c r="M737" s="317" t="s">
        <v>3093</v>
      </c>
      <c r="N737" s="320" t="s">
        <v>4013</v>
      </c>
      <c r="O737" s="317" t="s">
        <v>51</v>
      </c>
      <c r="P737" s="318">
        <v>-500</v>
      </c>
      <c r="Q737" s="318">
        <v>500</v>
      </c>
      <c r="R737" s="317" t="s">
        <v>4428</v>
      </c>
      <c r="S737" s="317"/>
      <c r="T737" s="317" t="s">
        <v>4429</v>
      </c>
      <c r="U737" s="317" t="s">
        <v>4423</v>
      </c>
      <c r="V737" s="317"/>
      <c r="W737" s="317"/>
      <c r="X737" s="317"/>
      <c r="Y737" s="319" t="s">
        <v>4427</v>
      </c>
    </row>
    <row r="738" spans="1:25" s="91" customFormat="1" hidden="1" x14ac:dyDescent="0.25">
      <c r="A738" s="32" t="s">
        <v>1463</v>
      </c>
      <c r="B738" s="315" t="str">
        <f>IF((COUNTBLANK(G738)=0),Stats!$E$7,IF((COUNTBLANK(E738)=0),IF((COUNTBLANK(F738)=0),IF((COUNTBLANK(U738)=0),Stats!$E$6,Stats!$E$5),Stats!$E$4),""))</f>
        <v>Death</v>
      </c>
      <c r="C738" s="39" t="s">
        <v>284</v>
      </c>
      <c r="D738" s="315"/>
      <c r="E738" s="88">
        <v>44329</v>
      </c>
      <c r="F738" s="316">
        <v>44347</v>
      </c>
      <c r="G738" s="316">
        <v>36893</v>
      </c>
      <c r="H738" s="317" t="s">
        <v>3142</v>
      </c>
      <c r="I738" s="317"/>
      <c r="J738" s="317" t="s">
        <v>152</v>
      </c>
      <c r="K738" s="315" t="s">
        <v>3222</v>
      </c>
      <c r="L738" s="315" t="s">
        <v>4199</v>
      </c>
      <c r="M738" s="317" t="s">
        <v>3093</v>
      </c>
      <c r="N738" s="320" t="s">
        <v>4430</v>
      </c>
      <c r="O738" s="317" t="s">
        <v>51</v>
      </c>
      <c r="P738" s="318" t="s">
        <v>4431</v>
      </c>
      <c r="Q738" s="318" t="s">
        <v>4057</v>
      </c>
      <c r="R738" s="317" t="s">
        <v>4432</v>
      </c>
      <c r="S738" s="317"/>
      <c r="T738" s="317" t="s">
        <v>4426</v>
      </c>
      <c r="U738" s="317" t="s">
        <v>4433</v>
      </c>
      <c r="V738" s="317"/>
      <c r="W738" s="317"/>
      <c r="X738" s="317"/>
      <c r="Y738" s="319" t="s">
        <v>4434</v>
      </c>
    </row>
    <row r="739" spans="1:25" s="91" customFormat="1" hidden="1" x14ac:dyDescent="0.25">
      <c r="A739" s="32" t="s">
        <v>1464</v>
      </c>
      <c r="B739" s="315" t="str">
        <f>IF((COUNTBLANK(G739)=0),Stats!$E$7,IF((COUNTBLANK(E739)=0),IF((COUNTBLANK(F739)=0),IF((COUNTBLANK(U739)=0),Stats!$E$6,Stats!$E$5),Stats!$E$4),""))</f>
        <v>Death</v>
      </c>
      <c r="C739" s="39" t="s">
        <v>284</v>
      </c>
      <c r="D739" s="315"/>
      <c r="E739" s="88">
        <v>44329</v>
      </c>
      <c r="F739" s="316">
        <v>409583</v>
      </c>
      <c r="G739" s="316">
        <v>36893</v>
      </c>
      <c r="H739" s="317" t="s">
        <v>3142</v>
      </c>
      <c r="I739" s="317"/>
      <c r="J739" s="317" t="s">
        <v>152</v>
      </c>
      <c r="K739" s="315" t="s">
        <v>3222</v>
      </c>
      <c r="L739" s="315" t="s">
        <v>4199</v>
      </c>
      <c r="M739" s="317" t="s">
        <v>3093</v>
      </c>
      <c r="N739" s="320" t="s">
        <v>4430</v>
      </c>
      <c r="O739" s="317" t="s">
        <v>51</v>
      </c>
      <c r="P739" s="318" t="s">
        <v>4431</v>
      </c>
      <c r="Q739" s="318" t="s">
        <v>4057</v>
      </c>
      <c r="R739" s="317"/>
      <c r="S739" s="317"/>
      <c r="T739" s="317" t="s">
        <v>4426</v>
      </c>
      <c r="U739" s="317" t="s">
        <v>4435</v>
      </c>
      <c r="V739" s="317"/>
      <c r="W739" s="317"/>
      <c r="X739" s="317"/>
      <c r="Y739" s="319" t="s">
        <v>4436</v>
      </c>
    </row>
    <row r="740" spans="1:25" s="91" customFormat="1" hidden="1" x14ac:dyDescent="0.25">
      <c r="A740" s="32" t="s">
        <v>1465</v>
      </c>
      <c r="B740" s="315" t="str">
        <f>IF((COUNTBLANK(G740)=0),Stats!$E$7,IF((COUNTBLANK(E740)=0),IF((COUNTBLANK(F740)=0),IF((COUNTBLANK(U740)=0),Stats!$E$6,Stats!$E$5),Stats!$E$4),""))</f>
        <v>Death</v>
      </c>
      <c r="C740" s="39" t="s">
        <v>284</v>
      </c>
      <c r="D740" s="315"/>
      <c r="E740" s="88">
        <v>44329</v>
      </c>
      <c r="F740" s="316">
        <v>409583</v>
      </c>
      <c r="G740" s="316">
        <v>36893</v>
      </c>
      <c r="H740" s="317" t="s">
        <v>3142</v>
      </c>
      <c r="I740" s="317"/>
      <c r="J740" s="317" t="s">
        <v>152</v>
      </c>
      <c r="K740" s="315" t="s">
        <v>3222</v>
      </c>
      <c r="L740" s="315" t="s">
        <v>4199</v>
      </c>
      <c r="M740" s="317" t="s">
        <v>3093</v>
      </c>
      <c r="N740" s="320" t="s">
        <v>4430</v>
      </c>
      <c r="O740" s="317" t="s">
        <v>51</v>
      </c>
      <c r="P740" s="318" t="s">
        <v>4431</v>
      </c>
      <c r="Q740" s="318" t="s">
        <v>4057</v>
      </c>
      <c r="R740" s="317"/>
      <c r="S740" s="317"/>
      <c r="T740" s="317" t="s">
        <v>4426</v>
      </c>
      <c r="U740" s="317" t="s">
        <v>4435</v>
      </c>
      <c r="V740" s="317"/>
      <c r="W740" s="317"/>
      <c r="X740" s="317"/>
      <c r="Y740" s="319" t="s">
        <v>4437</v>
      </c>
    </row>
    <row r="741" spans="1:25" s="91" customFormat="1" hidden="1" x14ac:dyDescent="0.25">
      <c r="A741" s="32" t="s">
        <v>1466</v>
      </c>
      <c r="B741" s="315" t="str">
        <f>IF((COUNTBLANK(G741)=0),Stats!$E$7,IF((COUNTBLANK(E741)=0),IF((COUNTBLANK(F741)=0),IF((COUNTBLANK(U741)=0),Stats!$E$6,Stats!$E$5),Stats!$E$4),""))</f>
        <v>Death</v>
      </c>
      <c r="C741" s="39" t="s">
        <v>284</v>
      </c>
      <c r="D741" s="315"/>
      <c r="E741" s="88">
        <v>44329</v>
      </c>
      <c r="F741" s="316">
        <v>44349</v>
      </c>
      <c r="G741" s="316">
        <v>36893</v>
      </c>
      <c r="H741" s="317" t="s">
        <v>3142</v>
      </c>
      <c r="I741" s="317"/>
      <c r="J741" s="317" t="s">
        <v>152</v>
      </c>
      <c r="K741" s="315" t="s">
        <v>3222</v>
      </c>
      <c r="L741" s="315" t="s">
        <v>4199</v>
      </c>
      <c r="M741" s="317" t="s">
        <v>3093</v>
      </c>
      <c r="N741" s="320" t="s">
        <v>4430</v>
      </c>
      <c r="O741" s="317" t="s">
        <v>51</v>
      </c>
      <c r="P741" s="318" t="s">
        <v>4431</v>
      </c>
      <c r="Q741" s="318" t="s">
        <v>4057</v>
      </c>
      <c r="R741" s="317"/>
      <c r="S741" s="317"/>
      <c r="T741" s="317" t="s">
        <v>4426</v>
      </c>
      <c r="U741" s="317"/>
      <c r="V741" s="317"/>
      <c r="W741" s="317"/>
      <c r="X741" s="317"/>
      <c r="Y741" s="95" t="s">
        <v>4434</v>
      </c>
    </row>
    <row r="742" spans="1:25" s="91" customFormat="1" hidden="1" x14ac:dyDescent="0.25">
      <c r="A742" s="32" t="s">
        <v>1467</v>
      </c>
      <c r="B742" s="315" t="str">
        <f>IF((COUNTBLANK(G742)=0),Stats!$E$7,IF((COUNTBLANK(E742)=0),IF((COUNTBLANK(F742)=0),IF((COUNTBLANK(U742)=0),Stats!$E$6,Stats!$E$5),Stats!$E$4),""))</f>
        <v>Death</v>
      </c>
      <c r="C742" s="39" t="s">
        <v>284</v>
      </c>
      <c r="D742" s="315"/>
      <c r="E742" s="88">
        <v>44337</v>
      </c>
      <c r="F742" s="316">
        <v>44361</v>
      </c>
      <c r="G742" s="316">
        <v>36893</v>
      </c>
      <c r="H742" s="317" t="s">
        <v>3128</v>
      </c>
      <c r="I742" s="317"/>
      <c r="J742" s="317" t="s">
        <v>152</v>
      </c>
      <c r="K742" s="315" t="s">
        <v>3222</v>
      </c>
      <c r="L742" s="315" t="s">
        <v>4199</v>
      </c>
      <c r="M742" s="317" t="s">
        <v>3093</v>
      </c>
      <c r="N742" s="320" t="s">
        <v>4430</v>
      </c>
      <c r="O742" s="317" t="s">
        <v>51</v>
      </c>
      <c r="P742" s="318" t="s">
        <v>4153</v>
      </c>
      <c r="Q742" s="318" t="s">
        <v>4069</v>
      </c>
      <c r="R742" s="317" t="s">
        <v>4438</v>
      </c>
      <c r="S742" s="317"/>
      <c r="T742" s="317" t="s">
        <v>4426</v>
      </c>
      <c r="U742" s="317" t="s">
        <v>4439</v>
      </c>
      <c r="V742" s="317"/>
      <c r="W742" s="317"/>
      <c r="X742" s="317" t="s">
        <v>4386</v>
      </c>
      <c r="Y742" s="319" t="s">
        <v>4440</v>
      </c>
    </row>
    <row r="743" spans="1:25" s="91" customFormat="1" hidden="1" x14ac:dyDescent="0.25">
      <c r="A743" s="32" t="s">
        <v>1468</v>
      </c>
      <c r="B743" s="315" t="str">
        <f>IF((COUNTBLANK(G743)=0),Stats!$E$7,IF((COUNTBLANK(E743)=0),IF((COUNTBLANK(F743)=0),IF((COUNTBLANK(U743)=0),Stats!$E$6,Stats!$E$5),Stats!$E$4),""))</f>
        <v>Death</v>
      </c>
      <c r="C743" s="39" t="s">
        <v>284</v>
      </c>
      <c r="D743" s="315"/>
      <c r="E743" s="88">
        <v>44337</v>
      </c>
      <c r="F743" s="316">
        <v>44349</v>
      </c>
      <c r="G743" s="316">
        <v>36893</v>
      </c>
      <c r="H743" s="317" t="s">
        <v>3128</v>
      </c>
      <c r="I743" s="317"/>
      <c r="J743" s="317" t="s">
        <v>152</v>
      </c>
      <c r="K743" s="315" t="s">
        <v>3222</v>
      </c>
      <c r="L743" s="315" t="s">
        <v>4199</v>
      </c>
      <c r="M743" s="317" t="s">
        <v>3093</v>
      </c>
      <c r="N743" s="320" t="s">
        <v>4430</v>
      </c>
      <c r="O743" s="317" t="s">
        <v>51</v>
      </c>
      <c r="P743" s="318" t="s">
        <v>4153</v>
      </c>
      <c r="Q743" s="318" t="s">
        <v>4069</v>
      </c>
      <c r="R743" s="317" t="s">
        <v>4441</v>
      </c>
      <c r="S743" s="317"/>
      <c r="T743" s="317" t="s">
        <v>4426</v>
      </c>
      <c r="U743" s="317" t="s">
        <v>4442</v>
      </c>
      <c r="V743" s="317"/>
      <c r="W743" s="317"/>
      <c r="X743" s="317"/>
      <c r="Y743" s="319" t="s">
        <v>4440</v>
      </c>
    </row>
    <row r="744" spans="1:25" s="91" customFormat="1" hidden="1" x14ac:dyDescent="0.25">
      <c r="A744" s="32" t="s">
        <v>1469</v>
      </c>
      <c r="B744" s="315" t="str">
        <f>IF((COUNTBLANK(G744)=0),Stats!$E$7,IF((COUNTBLANK(E744)=0),IF((COUNTBLANK(F744)=0),IF((COUNTBLANK(U744)=0),Stats!$E$6,Stats!$E$5),Stats!$E$4),""))</f>
        <v>Death</v>
      </c>
      <c r="C744" s="39" t="s">
        <v>284</v>
      </c>
      <c r="D744" s="315"/>
      <c r="E744" s="88">
        <v>44337</v>
      </c>
      <c r="F744" s="316">
        <v>44361</v>
      </c>
      <c r="G744" s="316">
        <v>36893</v>
      </c>
      <c r="H744" s="317" t="s">
        <v>3128</v>
      </c>
      <c r="I744" s="317"/>
      <c r="J744" s="317" t="s">
        <v>152</v>
      </c>
      <c r="K744" s="315" t="s">
        <v>3222</v>
      </c>
      <c r="L744" s="315" t="s">
        <v>4199</v>
      </c>
      <c r="M744" s="317" t="s">
        <v>3093</v>
      </c>
      <c r="N744" s="320" t="s">
        <v>4430</v>
      </c>
      <c r="O744" s="317" t="s">
        <v>51</v>
      </c>
      <c r="P744" s="318" t="s">
        <v>4153</v>
      </c>
      <c r="Q744" s="318" t="s">
        <v>4069</v>
      </c>
      <c r="R744" s="317" t="s">
        <v>4443</v>
      </c>
      <c r="S744" s="317"/>
      <c r="T744" s="317" t="s">
        <v>4426</v>
      </c>
      <c r="U744" s="317" t="s">
        <v>4439</v>
      </c>
      <c r="V744" s="317"/>
      <c r="W744" s="317"/>
      <c r="X744" s="317"/>
      <c r="Y744" s="319" t="s">
        <v>4437</v>
      </c>
    </row>
    <row r="745" spans="1:25" s="91" customFormat="1" hidden="1" x14ac:dyDescent="0.25">
      <c r="A745" s="32" t="s">
        <v>1470</v>
      </c>
      <c r="B745" s="315" t="str">
        <f>IF((COUNTBLANK(G745)=0),Stats!$E$7,IF((COUNTBLANK(E745)=0),IF((COUNTBLANK(F745)=0),IF((COUNTBLANK(U745)=0),Stats!$E$6,Stats!$E$5),Stats!$E$4),""))</f>
        <v>Death</v>
      </c>
      <c r="C745" s="39" t="s">
        <v>284</v>
      </c>
      <c r="D745" s="315"/>
      <c r="E745" s="88">
        <v>44337</v>
      </c>
      <c r="F745" s="316">
        <v>44349</v>
      </c>
      <c r="G745" s="316">
        <v>36893</v>
      </c>
      <c r="H745" s="317" t="s">
        <v>98</v>
      </c>
      <c r="I745" s="317"/>
      <c r="J745" s="317" t="s">
        <v>152</v>
      </c>
      <c r="K745" s="315" t="s">
        <v>3222</v>
      </c>
      <c r="L745" s="315" t="s">
        <v>4199</v>
      </c>
      <c r="M745" s="317" t="s">
        <v>3093</v>
      </c>
      <c r="N745" s="320" t="s">
        <v>4430</v>
      </c>
      <c r="O745" s="317" t="s">
        <v>51</v>
      </c>
      <c r="P745" s="318" t="s">
        <v>4153</v>
      </c>
      <c r="Q745" s="318" t="s">
        <v>4069</v>
      </c>
      <c r="R745" s="317" t="s">
        <v>4444</v>
      </c>
      <c r="S745" s="317"/>
      <c r="T745" s="317" t="s">
        <v>4445</v>
      </c>
      <c r="U745" s="317" t="s">
        <v>4439</v>
      </c>
      <c r="V745" s="317"/>
      <c r="W745" s="317"/>
      <c r="X745" s="317"/>
      <c r="Y745" s="319" t="s">
        <v>4436</v>
      </c>
    </row>
    <row r="746" spans="1:25" s="91" customFormat="1" hidden="1" x14ac:dyDescent="0.25">
      <c r="A746" s="32" t="s">
        <v>1471</v>
      </c>
      <c r="B746" s="315" t="str">
        <f>IF((COUNTBLANK(G746)=0),Stats!$E$7,IF((COUNTBLANK(E746)=0),IF((COUNTBLANK(F746)=0),IF((COUNTBLANK(U746)=0),Stats!$E$6,Stats!$E$5),Stats!$E$4),""))</f>
        <v>Death</v>
      </c>
      <c r="C746" s="39" t="s">
        <v>284</v>
      </c>
      <c r="D746" s="315"/>
      <c r="E746" s="88">
        <v>44341</v>
      </c>
      <c r="F746" s="316">
        <v>44363</v>
      </c>
      <c r="G746" s="316">
        <v>36893</v>
      </c>
      <c r="H746" s="317" t="s">
        <v>3142</v>
      </c>
      <c r="I746" s="317"/>
      <c r="J746" s="317" t="s">
        <v>3186</v>
      </c>
      <c r="K746" s="315" t="s">
        <v>3222</v>
      </c>
      <c r="L746" s="315" t="s">
        <v>4199</v>
      </c>
      <c r="M746" s="317" t="s">
        <v>3223</v>
      </c>
      <c r="N746" s="320" t="s">
        <v>4446</v>
      </c>
      <c r="O746" s="317" t="s">
        <v>51</v>
      </c>
      <c r="P746" s="317" t="s">
        <v>4447</v>
      </c>
      <c r="Q746" s="317" t="s">
        <v>4057</v>
      </c>
      <c r="R746" s="317" t="s">
        <v>4448</v>
      </c>
      <c r="S746" s="317"/>
      <c r="T746" s="317" t="s">
        <v>4426</v>
      </c>
      <c r="U746" s="317" t="s">
        <v>4449</v>
      </c>
      <c r="V746" s="317"/>
      <c r="W746" s="317"/>
      <c r="X746" s="317"/>
      <c r="Y746" s="319" t="s">
        <v>4450</v>
      </c>
    </row>
    <row r="747" spans="1:25" s="91" customFormat="1" hidden="1" x14ac:dyDescent="0.25">
      <c r="A747" s="32" t="s">
        <v>1472</v>
      </c>
      <c r="B747" s="315" t="str">
        <f>IF((COUNTBLANK(G747)=0),Stats!$E$7,IF((COUNTBLANK(E747)=0),IF((COUNTBLANK(F747)=0),IF((COUNTBLANK(U747)=0),Stats!$E$6,Stats!$E$5),Stats!$E$4),""))</f>
        <v>Death</v>
      </c>
      <c r="C747" s="39" t="s">
        <v>284</v>
      </c>
      <c r="D747" s="315"/>
      <c r="E747" s="88">
        <v>44341</v>
      </c>
      <c r="F747" s="316">
        <v>44362</v>
      </c>
      <c r="G747" s="316">
        <v>36893</v>
      </c>
      <c r="H747" s="317" t="s">
        <v>3142</v>
      </c>
      <c r="I747" s="317"/>
      <c r="J747" s="317" t="s">
        <v>3186</v>
      </c>
      <c r="K747" s="315" t="s">
        <v>3222</v>
      </c>
      <c r="L747" s="315" t="s">
        <v>4199</v>
      </c>
      <c r="M747" s="317" t="s">
        <v>3223</v>
      </c>
      <c r="N747" s="320" t="s">
        <v>4446</v>
      </c>
      <c r="O747" s="317" t="s">
        <v>51</v>
      </c>
      <c r="P747" s="318" t="s">
        <v>4431</v>
      </c>
      <c r="Q747" s="318" t="s">
        <v>4057</v>
      </c>
      <c r="R747" s="317"/>
      <c r="S747" s="317"/>
      <c r="T747" s="317" t="s">
        <v>4426</v>
      </c>
      <c r="U747" s="317"/>
      <c r="V747" s="317"/>
      <c r="W747" s="317"/>
      <c r="X747" s="317" t="s">
        <v>4451</v>
      </c>
      <c r="Y747" s="319" t="s">
        <v>4450</v>
      </c>
    </row>
    <row r="748" spans="1:25" s="91" customFormat="1" hidden="1" x14ac:dyDescent="0.25">
      <c r="A748" s="32" t="s">
        <v>1473</v>
      </c>
      <c r="B748" s="315" t="str">
        <f>IF((COUNTBLANK(G748)=0),Stats!$E$7,IF((COUNTBLANK(E748)=0),IF((COUNTBLANK(F748)=0),IF((COUNTBLANK(U748)=0),Stats!$E$6,Stats!$E$5),Stats!$E$4),""))</f>
        <v>Death</v>
      </c>
      <c r="C748" s="39" t="s">
        <v>284</v>
      </c>
      <c r="D748" s="315"/>
      <c r="E748" s="88">
        <v>44341</v>
      </c>
      <c r="F748" s="316">
        <v>44362</v>
      </c>
      <c r="G748" s="316">
        <v>36893</v>
      </c>
      <c r="H748" s="317" t="s">
        <v>3142</v>
      </c>
      <c r="I748" s="317"/>
      <c r="J748" s="317" t="s">
        <v>3186</v>
      </c>
      <c r="K748" s="315" t="s">
        <v>3222</v>
      </c>
      <c r="L748" s="315" t="s">
        <v>4199</v>
      </c>
      <c r="M748" s="317" t="s">
        <v>3223</v>
      </c>
      <c r="N748" s="320" t="s">
        <v>4446</v>
      </c>
      <c r="O748" s="317" t="s">
        <v>51</v>
      </c>
      <c r="P748" s="318" t="s">
        <v>4431</v>
      </c>
      <c r="Q748" s="318" t="s">
        <v>4057</v>
      </c>
      <c r="R748" s="317"/>
      <c r="S748" s="317"/>
      <c r="T748" s="317" t="s">
        <v>4426</v>
      </c>
      <c r="U748" s="317" t="s">
        <v>4452</v>
      </c>
      <c r="V748" s="317"/>
      <c r="W748" s="317"/>
      <c r="X748" s="317"/>
      <c r="Y748" s="319" t="s">
        <v>4450</v>
      </c>
    </row>
    <row r="749" spans="1:25" s="91" customFormat="1" hidden="1" x14ac:dyDescent="0.25">
      <c r="A749" s="32" t="s">
        <v>1474</v>
      </c>
      <c r="B749" s="315" t="str">
        <f>IF((COUNTBLANK(G749)=0),Stats!$E$7,IF((COUNTBLANK(E749)=0),IF((COUNTBLANK(F749)=0),IF((COUNTBLANK(U749)=0),Stats!$E$6,Stats!$E$5),Stats!$E$4),""))</f>
        <v>Death</v>
      </c>
      <c r="C749" s="39" t="s">
        <v>284</v>
      </c>
      <c r="D749" s="315"/>
      <c r="E749" s="88">
        <v>44341</v>
      </c>
      <c r="F749" s="316">
        <v>44363</v>
      </c>
      <c r="G749" s="316">
        <v>36893</v>
      </c>
      <c r="H749" s="317" t="s">
        <v>3142</v>
      </c>
      <c r="I749" s="317"/>
      <c r="J749" s="317" t="s">
        <v>3186</v>
      </c>
      <c r="K749" s="315" t="s">
        <v>3222</v>
      </c>
      <c r="L749" s="315" t="s">
        <v>4199</v>
      </c>
      <c r="M749" s="317" t="s">
        <v>3223</v>
      </c>
      <c r="N749" s="320" t="s">
        <v>4446</v>
      </c>
      <c r="O749" s="317" t="s">
        <v>51</v>
      </c>
      <c r="P749" s="318" t="s">
        <v>4431</v>
      </c>
      <c r="Q749" s="318" t="s">
        <v>4057</v>
      </c>
      <c r="R749" s="317"/>
      <c r="S749" s="317"/>
      <c r="T749" s="317" t="s">
        <v>4426</v>
      </c>
      <c r="U749" s="317"/>
      <c r="V749" s="317"/>
      <c r="W749" s="317"/>
      <c r="X749" s="317"/>
      <c r="Y749" s="319" t="s">
        <v>4450</v>
      </c>
    </row>
    <row r="750" spans="1:25" s="91" customFormat="1" hidden="1" x14ac:dyDescent="0.25">
      <c r="A750" s="32" t="s">
        <v>1475</v>
      </c>
      <c r="B750" s="315" t="str">
        <f>IF((COUNTBLANK(G750)=0),Stats!$E$7,IF((COUNTBLANK(E750)=0),IF((COUNTBLANK(F750)=0),IF((COUNTBLANK(U750)=0),Stats!$E$6,Stats!$E$5),Stats!$E$4),""))</f>
        <v>Death</v>
      </c>
      <c r="C750" s="39" t="s">
        <v>284</v>
      </c>
      <c r="D750" s="315"/>
      <c r="E750" s="88">
        <v>44344</v>
      </c>
      <c r="F750" s="316">
        <v>44368</v>
      </c>
      <c r="G750" s="316">
        <v>36893</v>
      </c>
      <c r="H750" s="317" t="s">
        <v>98</v>
      </c>
      <c r="I750" s="317"/>
      <c r="J750" s="317" t="s">
        <v>152</v>
      </c>
      <c r="K750" s="315" t="s">
        <v>501</v>
      </c>
      <c r="L750" s="58"/>
      <c r="M750" s="49"/>
      <c r="N750" s="320"/>
      <c r="O750" s="317" t="s">
        <v>51</v>
      </c>
      <c r="P750" s="318">
        <v>-500</v>
      </c>
      <c r="Q750" s="318">
        <v>500</v>
      </c>
      <c r="R750" s="317" t="s">
        <v>4453</v>
      </c>
      <c r="S750" s="317"/>
      <c r="T750" s="317"/>
      <c r="U750" s="317" t="s">
        <v>4454</v>
      </c>
      <c r="V750" s="317" t="s">
        <v>4455</v>
      </c>
      <c r="W750" s="317"/>
      <c r="X750" s="317"/>
      <c r="Y750" s="319" t="s">
        <v>4456</v>
      </c>
    </row>
    <row r="751" spans="1:25" s="91" customFormat="1" hidden="1" x14ac:dyDescent="0.25">
      <c r="A751" s="32" t="s">
        <v>1476</v>
      </c>
      <c r="B751" s="315" t="str">
        <f>IF((COUNTBLANK(G751)=0),Stats!$E$7,IF((COUNTBLANK(E751)=0),IF((COUNTBLANK(F751)=0),IF((COUNTBLANK(U751)=0),Stats!$E$6,Stats!$E$5),Stats!$E$4),""))</f>
        <v>Death</v>
      </c>
      <c r="C751" s="39" t="s">
        <v>284</v>
      </c>
      <c r="D751" s="315"/>
      <c r="E751" s="88">
        <v>44344</v>
      </c>
      <c r="F751" s="316">
        <v>44368</v>
      </c>
      <c r="G751" s="316">
        <v>36893</v>
      </c>
      <c r="H751" s="317" t="s">
        <v>3154</v>
      </c>
      <c r="I751" s="317"/>
      <c r="J751" s="317" t="s">
        <v>152</v>
      </c>
      <c r="K751" s="315" t="s">
        <v>501</v>
      </c>
      <c r="L751" s="315"/>
      <c r="M751" s="317"/>
      <c r="N751" s="320"/>
      <c r="O751" s="317" t="s">
        <v>51</v>
      </c>
      <c r="P751" s="318">
        <v>-500</v>
      </c>
      <c r="Q751" s="318">
        <v>500</v>
      </c>
      <c r="R751" s="317" t="s">
        <v>4457</v>
      </c>
      <c r="S751" s="317"/>
      <c r="T751" s="317"/>
      <c r="U751" s="317" t="s">
        <v>4458</v>
      </c>
      <c r="V751" s="317"/>
      <c r="W751" s="317"/>
      <c r="X751" s="317"/>
      <c r="Y751" s="319" t="s">
        <v>4456</v>
      </c>
    </row>
    <row r="752" spans="1:25" s="91" customFormat="1" hidden="1" x14ac:dyDescent="0.25">
      <c r="A752" s="32" t="s">
        <v>1477</v>
      </c>
      <c r="B752" s="315" t="str">
        <f>IF((COUNTBLANK(G752)=0),Stats!$E$7,IF((COUNTBLANK(E752)=0),IF((COUNTBLANK(F752)=0),IF((COUNTBLANK(U752)=0),Stats!$E$6,Stats!$E$5),Stats!$E$4),""))</f>
        <v>Death</v>
      </c>
      <c r="C752" s="39" t="s">
        <v>284</v>
      </c>
      <c r="D752" s="315"/>
      <c r="E752" s="88">
        <v>44354</v>
      </c>
      <c r="F752" s="316">
        <v>44370</v>
      </c>
      <c r="G752" s="316">
        <v>36893</v>
      </c>
      <c r="H752" s="317" t="s">
        <v>3154</v>
      </c>
      <c r="I752" s="49"/>
      <c r="J752" s="49" t="s">
        <v>152</v>
      </c>
      <c r="K752" s="315" t="s">
        <v>501</v>
      </c>
      <c r="L752" s="315"/>
      <c r="M752" s="317"/>
      <c r="N752" s="320"/>
      <c r="O752" s="317" t="s">
        <v>51</v>
      </c>
      <c r="P752" s="318">
        <v>-500</v>
      </c>
      <c r="Q752" s="318">
        <v>500</v>
      </c>
      <c r="R752" s="49" t="s">
        <v>4459</v>
      </c>
      <c r="S752" s="49"/>
      <c r="T752" s="317"/>
      <c r="U752" s="317" t="s">
        <v>4460</v>
      </c>
      <c r="V752" s="317"/>
      <c r="W752" s="317"/>
      <c r="X752" s="317"/>
      <c r="Y752" s="319"/>
    </row>
    <row r="753" spans="1:25" s="91" customFormat="1" hidden="1" x14ac:dyDescent="0.25">
      <c r="A753" s="32" t="s">
        <v>1478</v>
      </c>
      <c r="B753" s="315" t="str">
        <f>IF((COUNTBLANK(G753)=0),Stats!$E$7,IF((COUNTBLANK(E753)=0),IF((COUNTBLANK(F753)=0),IF((COUNTBLANK(U753)=0),Stats!$E$6,Stats!$E$5),Stats!$E$4),""))</f>
        <v>Death</v>
      </c>
      <c r="C753" s="39" t="s">
        <v>284</v>
      </c>
      <c r="D753" s="315"/>
      <c r="E753" s="88">
        <v>44354</v>
      </c>
      <c r="F753" s="316">
        <v>44368</v>
      </c>
      <c r="G753" s="316">
        <v>36893</v>
      </c>
      <c r="H753" s="317" t="s">
        <v>3154</v>
      </c>
      <c r="I753" s="49"/>
      <c r="J753" s="49" t="s">
        <v>152</v>
      </c>
      <c r="K753" s="315" t="s">
        <v>501</v>
      </c>
      <c r="L753" s="315"/>
      <c r="M753" s="317"/>
      <c r="N753" s="320"/>
      <c r="O753" s="317" t="s">
        <v>51</v>
      </c>
      <c r="P753" s="318">
        <v>-500</v>
      </c>
      <c r="Q753" s="318">
        <v>500</v>
      </c>
      <c r="R753" s="49" t="s">
        <v>4461</v>
      </c>
      <c r="S753" s="49"/>
      <c r="T753" s="317" t="s">
        <v>3531</v>
      </c>
      <c r="U753" s="317"/>
      <c r="V753" s="317"/>
      <c r="W753" s="317"/>
      <c r="X753" s="49" t="s">
        <v>4462</v>
      </c>
      <c r="Y753" s="319"/>
    </row>
    <row r="754" spans="1:25" s="91" customFormat="1" hidden="1" x14ac:dyDescent="0.25">
      <c r="A754" s="32" t="s">
        <v>1479</v>
      </c>
      <c r="B754" s="315" t="str">
        <f>IF((COUNTBLANK(G754)=0),Stats!$E$7,IF((COUNTBLANK(E754)=0),IF((COUNTBLANK(F754)=0),IF((COUNTBLANK(U754)=0),Stats!$E$6,Stats!$E$5),Stats!$E$4),""))</f>
        <v>Death</v>
      </c>
      <c r="C754" s="39" t="s">
        <v>284</v>
      </c>
      <c r="D754" s="315"/>
      <c r="E754" s="88">
        <v>44354</v>
      </c>
      <c r="F754" s="316">
        <v>44368</v>
      </c>
      <c r="G754" s="316">
        <v>36893</v>
      </c>
      <c r="H754" s="317" t="s">
        <v>98</v>
      </c>
      <c r="I754" s="49"/>
      <c r="J754" s="49" t="s">
        <v>152</v>
      </c>
      <c r="K754" s="315" t="s">
        <v>501</v>
      </c>
      <c r="L754" s="315"/>
      <c r="M754" s="317"/>
      <c r="N754" s="320"/>
      <c r="O754" s="317" t="s">
        <v>51</v>
      </c>
      <c r="P754" s="318">
        <v>-500</v>
      </c>
      <c r="Q754" s="318">
        <v>500</v>
      </c>
      <c r="R754" s="49" t="s">
        <v>4463</v>
      </c>
      <c r="S754" s="49"/>
      <c r="T754" s="317" t="s">
        <v>4464</v>
      </c>
      <c r="U754" s="317" t="s">
        <v>4465</v>
      </c>
      <c r="V754" s="317" t="s">
        <v>4466</v>
      </c>
      <c r="W754" s="317"/>
      <c r="X754" s="317"/>
      <c r="Y754" s="319" t="s">
        <v>4467</v>
      </c>
    </row>
    <row r="755" spans="1:25" s="91" customFormat="1" hidden="1" x14ac:dyDescent="0.25">
      <c r="A755" s="32" t="s">
        <v>1480</v>
      </c>
      <c r="B755" s="315" t="str">
        <f>IF((COUNTBLANK(G755)=0),Stats!$E$7,IF((COUNTBLANK(E755)=0),IF((COUNTBLANK(F755)=0),IF((COUNTBLANK(U755)=0),Stats!$E$6,Stats!$E$5),Stats!$E$4),""))</f>
        <v>Death</v>
      </c>
      <c r="C755" s="39" t="s">
        <v>284</v>
      </c>
      <c r="D755" s="315"/>
      <c r="E755" s="88">
        <v>44354</v>
      </c>
      <c r="F755" s="88">
        <v>44370</v>
      </c>
      <c r="G755" s="316">
        <v>36893</v>
      </c>
      <c r="H755" s="317" t="s">
        <v>98</v>
      </c>
      <c r="I755" s="49"/>
      <c r="J755" s="49" t="s">
        <v>152</v>
      </c>
      <c r="K755" s="315" t="s">
        <v>501</v>
      </c>
      <c r="L755" s="58"/>
      <c r="M755" s="49"/>
      <c r="N755" s="320"/>
      <c r="O755" s="49" t="s">
        <v>51</v>
      </c>
      <c r="P755" s="67">
        <v>-500</v>
      </c>
      <c r="Q755" s="67">
        <v>500</v>
      </c>
      <c r="R755" s="49" t="s">
        <v>4349</v>
      </c>
      <c r="S755" s="49"/>
      <c r="T755" s="49"/>
      <c r="U755" s="49"/>
      <c r="V755" s="317" t="s">
        <v>4468</v>
      </c>
      <c r="W755" s="49"/>
      <c r="X755" s="49"/>
      <c r="Y755" s="319" t="s">
        <v>4436</v>
      </c>
    </row>
    <row r="756" spans="1:25" s="92" customFormat="1" hidden="1" x14ac:dyDescent="0.25">
      <c r="A756" s="32" t="s">
        <v>1481</v>
      </c>
      <c r="B756" s="315" t="str">
        <f>IF((COUNTBLANK(G756)=0),Stats!$E$7,IF((COUNTBLANK(E756)=0),IF((COUNTBLANK(F756)=0),IF((COUNTBLANK(U756)=0),Stats!$E$6,Stats!$E$5),Stats!$E$4),""))</f>
        <v>Death</v>
      </c>
      <c r="C756" s="39" t="s">
        <v>284</v>
      </c>
      <c r="D756" s="315"/>
      <c r="E756" s="88">
        <v>44369</v>
      </c>
      <c r="F756" s="316">
        <v>44377</v>
      </c>
      <c r="G756" s="316">
        <v>36893</v>
      </c>
      <c r="H756" s="317" t="s">
        <v>3142</v>
      </c>
      <c r="I756" s="317"/>
      <c r="J756" s="49" t="s">
        <v>152</v>
      </c>
      <c r="K756" s="315" t="s">
        <v>4230</v>
      </c>
      <c r="L756" s="315"/>
      <c r="M756" s="317"/>
      <c r="N756" s="320" t="s">
        <v>196</v>
      </c>
      <c r="O756" s="317" t="s">
        <v>51</v>
      </c>
      <c r="P756" s="318">
        <v>-500</v>
      </c>
      <c r="Q756" s="318">
        <v>900</v>
      </c>
      <c r="R756" s="317"/>
      <c r="S756" s="317"/>
      <c r="T756" s="317" t="s">
        <v>4426</v>
      </c>
      <c r="U756" s="317" t="s">
        <v>4469</v>
      </c>
      <c r="V756" s="317" t="s">
        <v>4470</v>
      </c>
      <c r="W756" s="317"/>
      <c r="X756" s="317"/>
      <c r="Y756" s="319" t="s">
        <v>4471</v>
      </c>
    </row>
    <row r="757" spans="1:25" s="91" customFormat="1" hidden="1" x14ac:dyDescent="0.25">
      <c r="A757" s="32" t="s">
        <v>1482</v>
      </c>
      <c r="B757" s="315" t="str">
        <f>IF((COUNTBLANK(G757)=0),Stats!$E$7,IF((COUNTBLANK(E757)=0),IF((COUNTBLANK(F757)=0),IF((COUNTBLANK(U757)=0),Stats!$E$6,Stats!$E$5),Stats!$E$4),""))</f>
        <v>Death</v>
      </c>
      <c r="C757" s="40" t="s">
        <v>284</v>
      </c>
      <c r="D757" s="315" t="s">
        <v>325</v>
      </c>
      <c r="E757" s="88">
        <v>44369</v>
      </c>
      <c r="F757" s="88">
        <v>44377</v>
      </c>
      <c r="G757" s="316">
        <v>44993</v>
      </c>
      <c r="H757" s="317" t="s">
        <v>3142</v>
      </c>
      <c r="I757" s="317"/>
      <c r="J757" s="54" t="s">
        <v>152</v>
      </c>
      <c r="K757" s="315" t="s">
        <v>4230</v>
      </c>
      <c r="L757" s="315"/>
      <c r="M757" s="315"/>
      <c r="N757" s="320" t="s">
        <v>196</v>
      </c>
      <c r="O757" s="325" t="s">
        <v>51</v>
      </c>
      <c r="P757" s="326">
        <v>-500</v>
      </c>
      <c r="Q757" s="326">
        <v>400</v>
      </c>
      <c r="R757" s="325"/>
      <c r="S757" s="325"/>
      <c r="T757" s="325" t="s">
        <v>4472</v>
      </c>
      <c r="U757" s="325" t="s">
        <v>4473</v>
      </c>
      <c r="V757" s="325" t="s">
        <v>4474</v>
      </c>
      <c r="W757" s="325"/>
      <c r="X757" s="325"/>
      <c r="Y757" s="319" t="s">
        <v>4475</v>
      </c>
    </row>
    <row r="758" spans="1:25" s="91" customFormat="1" hidden="1" x14ac:dyDescent="0.25">
      <c r="A758" s="32" t="s">
        <v>1483</v>
      </c>
      <c r="B758" s="315" t="str">
        <f>IF((COUNTBLANK(G758)=0),Stats!$E$7,IF((COUNTBLANK(E758)=0),IF((COUNTBLANK(F758)=0),IF((COUNTBLANK(U758)=0),Stats!$E$6,Stats!$E$5),Stats!$E$4),""))</f>
        <v>Death</v>
      </c>
      <c r="C758" s="39" t="s">
        <v>284</v>
      </c>
      <c r="D758" s="315"/>
      <c r="E758" s="88">
        <v>44369</v>
      </c>
      <c r="F758" s="316">
        <v>44377</v>
      </c>
      <c r="G758" s="316">
        <v>36893</v>
      </c>
      <c r="H758" s="317" t="s">
        <v>3142</v>
      </c>
      <c r="I758" s="317"/>
      <c r="J758" s="49" t="s">
        <v>152</v>
      </c>
      <c r="K758" s="315" t="s">
        <v>4230</v>
      </c>
      <c r="L758" s="315"/>
      <c r="M758" s="317"/>
      <c r="N758" s="320" t="s">
        <v>105</v>
      </c>
      <c r="O758" s="317" t="s">
        <v>51</v>
      </c>
      <c r="P758" s="318">
        <v>-500</v>
      </c>
      <c r="Q758" s="318">
        <v>900</v>
      </c>
      <c r="R758" s="317"/>
      <c r="S758" s="317"/>
      <c r="T758" s="317" t="s">
        <v>4426</v>
      </c>
      <c r="U758" s="317" t="s">
        <v>4476</v>
      </c>
      <c r="V758" s="317"/>
      <c r="W758" s="317"/>
      <c r="X758" s="317"/>
      <c r="Y758" s="319" t="s">
        <v>4475</v>
      </c>
    </row>
    <row r="759" spans="1:25" s="91" customFormat="1" hidden="1" x14ac:dyDescent="0.25">
      <c r="A759" s="32" t="s">
        <v>1484</v>
      </c>
      <c r="B759" s="315" t="str">
        <f>IF((COUNTBLANK(G759)=0),Stats!$E$7,IF((COUNTBLANK(E759)=0),IF((COUNTBLANK(F759)=0),IF((COUNTBLANK(U759)=0),Stats!$E$6,Stats!$E$5),Stats!$E$4),""))</f>
        <v>Death</v>
      </c>
      <c r="C759" s="39" t="s">
        <v>284</v>
      </c>
      <c r="D759" s="315"/>
      <c r="E759" s="88">
        <v>44369</v>
      </c>
      <c r="F759" s="316">
        <v>44377</v>
      </c>
      <c r="G759" s="316">
        <v>36893</v>
      </c>
      <c r="H759" s="317" t="s">
        <v>3142</v>
      </c>
      <c r="I759" s="317"/>
      <c r="J759" s="49" t="s">
        <v>152</v>
      </c>
      <c r="K759" s="315" t="s">
        <v>4230</v>
      </c>
      <c r="L759" s="315"/>
      <c r="M759" s="317"/>
      <c r="N759" s="320" t="s">
        <v>105</v>
      </c>
      <c r="O759" s="317" t="s">
        <v>51</v>
      </c>
      <c r="P759" s="318">
        <v>-500</v>
      </c>
      <c r="Q759" s="318">
        <v>400</v>
      </c>
      <c r="R759" s="317"/>
      <c r="S759" s="317"/>
      <c r="T759" s="317" t="s">
        <v>4426</v>
      </c>
      <c r="U759" s="317" t="s">
        <v>4469</v>
      </c>
      <c r="V759" s="317" t="s">
        <v>4477</v>
      </c>
      <c r="W759" s="317"/>
      <c r="X759" s="317"/>
      <c r="Y759" s="319" t="s">
        <v>4478</v>
      </c>
    </row>
    <row r="760" spans="1:25" s="91" customFormat="1" hidden="1" x14ac:dyDescent="0.25">
      <c r="A760" s="32" t="s">
        <v>1485</v>
      </c>
      <c r="B760" s="315" t="str">
        <f>IF((COUNTBLANK(G760)=0),Stats!$E$7,IF((COUNTBLANK(E760)=0),IF((COUNTBLANK(F760)=0),IF((COUNTBLANK(U760)=0),Stats!$E$6,Stats!$E$5),Stats!$E$4),""))</f>
        <v>Death</v>
      </c>
      <c r="C760" s="39" t="s">
        <v>284</v>
      </c>
      <c r="D760" s="315"/>
      <c r="E760" s="88">
        <v>44391</v>
      </c>
      <c r="F760" s="316">
        <v>44403</v>
      </c>
      <c r="G760" s="316">
        <v>36893</v>
      </c>
      <c r="H760" s="317" t="s">
        <v>3128</v>
      </c>
      <c r="I760" s="317"/>
      <c r="J760" s="317" t="s">
        <v>152</v>
      </c>
      <c r="K760" s="315" t="s">
        <v>4002</v>
      </c>
      <c r="L760" s="315" t="s">
        <v>3828</v>
      </c>
      <c r="M760" s="317" t="s">
        <v>3093</v>
      </c>
      <c r="N760" s="320" t="s">
        <v>4200</v>
      </c>
      <c r="O760" s="317" t="s">
        <v>51</v>
      </c>
      <c r="P760" s="318" t="s">
        <v>4479</v>
      </c>
      <c r="Q760" s="318">
        <v>750</v>
      </c>
      <c r="R760" s="317" t="s">
        <v>4480</v>
      </c>
      <c r="S760" s="317"/>
      <c r="T760" s="317" t="s">
        <v>4481</v>
      </c>
      <c r="U760" s="317" t="s">
        <v>4482</v>
      </c>
      <c r="V760" s="81" t="s">
        <v>4483</v>
      </c>
      <c r="W760" s="317"/>
      <c r="X760" s="317"/>
      <c r="Y760" s="319" t="s">
        <v>4478</v>
      </c>
    </row>
    <row r="761" spans="1:25" s="91" customFormat="1" hidden="1" x14ac:dyDescent="0.25">
      <c r="A761" s="32" t="s">
        <v>1486</v>
      </c>
      <c r="B761" s="315" t="str">
        <f>IF((COUNTBLANK(G761)=0),Stats!$E$7,IF((COUNTBLANK(E761)=0),IF((COUNTBLANK(F761)=0),IF((COUNTBLANK(U761)=0),Stats!$E$6,Stats!$E$5),Stats!$E$4),""))</f>
        <v>Death</v>
      </c>
      <c r="C761" s="39" t="s">
        <v>284</v>
      </c>
      <c r="D761" s="315"/>
      <c r="E761" s="88">
        <v>44391</v>
      </c>
      <c r="F761" s="316">
        <v>44397</v>
      </c>
      <c r="G761" s="316">
        <v>36893</v>
      </c>
      <c r="H761" s="317" t="s">
        <v>3128</v>
      </c>
      <c r="I761" s="317"/>
      <c r="J761" s="317" t="s">
        <v>152</v>
      </c>
      <c r="K761" s="315" t="s">
        <v>4002</v>
      </c>
      <c r="L761" s="315" t="s">
        <v>3828</v>
      </c>
      <c r="M761" s="317" t="s">
        <v>3093</v>
      </c>
      <c r="N761" s="320" t="s">
        <v>4200</v>
      </c>
      <c r="O761" s="317" t="s">
        <v>51</v>
      </c>
      <c r="P761" s="318" t="s">
        <v>4479</v>
      </c>
      <c r="Q761" s="318">
        <v>750</v>
      </c>
      <c r="R761" s="317" t="s">
        <v>4484</v>
      </c>
      <c r="S761" s="317"/>
      <c r="T761" s="317" t="s">
        <v>4426</v>
      </c>
      <c r="U761" s="317" t="s">
        <v>4485</v>
      </c>
      <c r="V761" s="317"/>
      <c r="W761" s="317"/>
      <c r="X761" s="317"/>
      <c r="Y761" s="319"/>
    </row>
    <row r="762" spans="1:25" s="91" customFormat="1" hidden="1" x14ac:dyDescent="0.25">
      <c r="A762" s="32" t="s">
        <v>1487</v>
      </c>
      <c r="B762" s="315" t="str">
        <f>IF((COUNTBLANK(G762)=0),Stats!$E$7,IF((COUNTBLANK(E762)=0),IF((COUNTBLANK(F762)=0),IF((COUNTBLANK(U762)=0),Stats!$E$6,Stats!$E$5),Stats!$E$4),""))</f>
        <v>Death</v>
      </c>
      <c r="C762" s="39" t="s">
        <v>284</v>
      </c>
      <c r="D762" s="315"/>
      <c r="E762" s="88">
        <v>44391</v>
      </c>
      <c r="F762" s="316">
        <v>44403</v>
      </c>
      <c r="G762" s="316">
        <v>36893</v>
      </c>
      <c r="H762" s="317" t="s">
        <v>3128</v>
      </c>
      <c r="I762" s="317"/>
      <c r="J762" s="317" t="s">
        <v>152</v>
      </c>
      <c r="K762" s="315" t="s">
        <v>4002</v>
      </c>
      <c r="L762" s="315" t="s">
        <v>3828</v>
      </c>
      <c r="M762" s="317" t="s">
        <v>3093</v>
      </c>
      <c r="N762" s="320" t="s">
        <v>4200</v>
      </c>
      <c r="O762" s="317" t="s">
        <v>51</v>
      </c>
      <c r="P762" s="318" t="s">
        <v>4479</v>
      </c>
      <c r="Q762" s="318">
        <v>600</v>
      </c>
      <c r="R762" s="317" t="s">
        <v>4486</v>
      </c>
      <c r="S762" s="317"/>
      <c r="T762" s="317" t="s">
        <v>4426</v>
      </c>
      <c r="U762" s="317" t="s">
        <v>4487</v>
      </c>
      <c r="V762" s="317" t="s">
        <v>4488</v>
      </c>
      <c r="W762" s="317"/>
      <c r="X762" s="317"/>
      <c r="Y762" s="319" t="s">
        <v>4489</v>
      </c>
    </row>
    <row r="763" spans="1:25" s="91" customFormat="1" hidden="1" x14ac:dyDescent="0.25">
      <c r="A763" s="32" t="s">
        <v>1488</v>
      </c>
      <c r="B763" s="315" t="str">
        <f>IF((COUNTBLANK(G763)=0),Stats!$E$7,IF((COUNTBLANK(E763)=0),IF((COUNTBLANK(F763)=0),IF((COUNTBLANK(U763)=0),Stats!$E$6,Stats!$E$5),Stats!$E$4),""))</f>
        <v>Death</v>
      </c>
      <c r="C763" s="39" t="s">
        <v>284</v>
      </c>
      <c r="D763" s="315"/>
      <c r="E763" s="88">
        <v>44391</v>
      </c>
      <c r="F763" s="316">
        <v>44397</v>
      </c>
      <c r="G763" s="316">
        <v>36893</v>
      </c>
      <c r="H763" s="317" t="s">
        <v>3128</v>
      </c>
      <c r="I763" s="317"/>
      <c r="J763" s="317" t="s">
        <v>152</v>
      </c>
      <c r="K763" s="315" t="s">
        <v>4002</v>
      </c>
      <c r="L763" s="315" t="s">
        <v>3828</v>
      </c>
      <c r="M763" s="317" t="s">
        <v>3093</v>
      </c>
      <c r="N763" s="320" t="s">
        <v>4200</v>
      </c>
      <c r="O763" s="317" t="s">
        <v>51</v>
      </c>
      <c r="P763" s="318" t="s">
        <v>4479</v>
      </c>
      <c r="Q763" s="318">
        <v>600</v>
      </c>
      <c r="R763" s="317" t="s">
        <v>4345</v>
      </c>
      <c r="S763" s="317"/>
      <c r="T763" s="317" t="s">
        <v>4490</v>
      </c>
      <c r="U763" s="317" t="s">
        <v>4491</v>
      </c>
      <c r="V763" s="81" t="s">
        <v>4492</v>
      </c>
      <c r="W763" s="317"/>
      <c r="X763" s="317"/>
      <c r="Y763" s="319" t="s">
        <v>4344</v>
      </c>
    </row>
    <row r="764" spans="1:25" s="91" customFormat="1" hidden="1" x14ac:dyDescent="0.25">
      <c r="A764" s="32" t="s">
        <v>1489</v>
      </c>
      <c r="B764" s="315" t="str">
        <f>IF((COUNTBLANK(G764)=0),Stats!$E$7,IF((COUNTBLANK(E764)=0),IF((COUNTBLANK(F764)=0),IF((COUNTBLANK(U764)=0),Stats!$E$6,Stats!$E$5),Stats!$E$4),""))</f>
        <v>Death</v>
      </c>
      <c r="C764" s="39" t="s">
        <v>284</v>
      </c>
      <c r="D764" s="315"/>
      <c r="E764" s="88">
        <v>44391</v>
      </c>
      <c r="F764" s="316">
        <v>44397</v>
      </c>
      <c r="G764" s="316">
        <v>36893</v>
      </c>
      <c r="H764" s="317" t="s">
        <v>3128</v>
      </c>
      <c r="I764" s="317"/>
      <c r="J764" s="317" t="s">
        <v>152</v>
      </c>
      <c r="K764" s="315" t="s">
        <v>4002</v>
      </c>
      <c r="L764" s="315" t="s">
        <v>3828</v>
      </c>
      <c r="M764" s="317" t="s">
        <v>3093</v>
      </c>
      <c r="N764" s="320" t="s">
        <v>4200</v>
      </c>
      <c r="O764" s="317" t="s">
        <v>51</v>
      </c>
      <c r="P764" s="318" t="s">
        <v>4479</v>
      </c>
      <c r="Q764" s="318">
        <v>600</v>
      </c>
      <c r="R764" s="317" t="s">
        <v>4493</v>
      </c>
      <c r="S764" s="317"/>
      <c r="T764" s="317" t="s">
        <v>4426</v>
      </c>
      <c r="U764" s="317" t="s">
        <v>4494</v>
      </c>
      <c r="V764" s="317" t="s">
        <v>4495</v>
      </c>
      <c r="W764" s="317"/>
      <c r="X764" s="317"/>
      <c r="Y764" s="319"/>
    </row>
    <row r="765" spans="1:25" s="91" customFormat="1" hidden="1" x14ac:dyDescent="0.25">
      <c r="A765" s="32" t="s">
        <v>1490</v>
      </c>
      <c r="B765" s="315" t="str">
        <f>IF((COUNTBLANK(G765)=0),Stats!$E$7,IF((COUNTBLANK(E765)=0),IF((COUNTBLANK(F765)=0),IF((COUNTBLANK(U765)=0),Stats!$E$6,Stats!$E$5),Stats!$E$4),""))</f>
        <v>Death</v>
      </c>
      <c r="C765" s="39" t="s">
        <v>284</v>
      </c>
      <c r="D765" s="315"/>
      <c r="E765" s="88">
        <v>44393</v>
      </c>
      <c r="F765" s="316">
        <v>44403</v>
      </c>
      <c r="G765" s="316">
        <v>36893</v>
      </c>
      <c r="H765" s="317" t="s">
        <v>3128</v>
      </c>
      <c r="I765" s="317"/>
      <c r="J765" s="317" t="s">
        <v>152</v>
      </c>
      <c r="K765" s="315" t="s">
        <v>4002</v>
      </c>
      <c r="L765" s="315" t="s">
        <v>4199</v>
      </c>
      <c r="M765" s="317" t="s">
        <v>3093</v>
      </c>
      <c r="N765" s="320" t="s">
        <v>4200</v>
      </c>
      <c r="O765" s="317" t="s">
        <v>51</v>
      </c>
      <c r="P765" s="318">
        <v>-550</v>
      </c>
      <c r="Q765" s="318">
        <v>600</v>
      </c>
      <c r="R765" s="317" t="s">
        <v>4496</v>
      </c>
      <c r="S765" s="317"/>
      <c r="T765" s="317" t="s">
        <v>4426</v>
      </c>
      <c r="U765" s="317" t="s">
        <v>4497</v>
      </c>
      <c r="V765" s="317"/>
      <c r="W765" s="317"/>
      <c r="X765" s="317"/>
      <c r="Y765" s="319" t="s">
        <v>4489</v>
      </c>
    </row>
    <row r="766" spans="1:25" s="91" customFormat="1" hidden="1" x14ac:dyDescent="0.25">
      <c r="A766" s="32" t="s">
        <v>1491</v>
      </c>
      <c r="B766" s="315" t="str">
        <f>IF((COUNTBLANK(G766)=0),Stats!$E$7,IF((COUNTBLANK(E766)=0),IF((COUNTBLANK(F766)=0),IF((COUNTBLANK(U766)=0),Stats!$E$6,Stats!$E$5),Stats!$E$4),""))</f>
        <v>Death</v>
      </c>
      <c r="C766" s="39" t="s">
        <v>284</v>
      </c>
      <c r="D766" s="315"/>
      <c r="E766" s="88">
        <v>44393</v>
      </c>
      <c r="F766" s="316">
        <v>36892</v>
      </c>
      <c r="G766" s="316">
        <v>36893</v>
      </c>
      <c r="H766" s="317" t="s">
        <v>3128</v>
      </c>
      <c r="I766" s="317"/>
      <c r="J766" s="317" t="s">
        <v>152</v>
      </c>
      <c r="K766" s="315" t="s">
        <v>4002</v>
      </c>
      <c r="L766" s="315" t="s">
        <v>4199</v>
      </c>
      <c r="M766" s="317" t="s">
        <v>3093</v>
      </c>
      <c r="N766" s="320" t="s">
        <v>4200</v>
      </c>
      <c r="O766" s="317" t="s">
        <v>51</v>
      </c>
      <c r="P766" s="318">
        <v>-550</v>
      </c>
      <c r="Q766" s="318">
        <v>600</v>
      </c>
      <c r="R766" s="317" t="s">
        <v>4498</v>
      </c>
      <c r="S766" s="317"/>
      <c r="T766" s="317"/>
      <c r="U766" s="317"/>
      <c r="V766" s="317"/>
      <c r="W766" s="317"/>
      <c r="X766" s="317"/>
      <c r="Y766" s="319"/>
    </row>
    <row r="767" spans="1:25" s="91" customFormat="1" hidden="1" x14ac:dyDescent="0.25">
      <c r="A767" s="32" t="s">
        <v>1492</v>
      </c>
      <c r="B767" s="315" t="str">
        <f>IF((COUNTBLANK(G767)=0),Stats!$E$7,IF((COUNTBLANK(E767)=0),IF((COUNTBLANK(F767)=0),IF((COUNTBLANK(U767)=0),Stats!$E$6,Stats!$E$5),Stats!$E$4),""))</f>
        <v>Death</v>
      </c>
      <c r="C767" s="39" t="s">
        <v>284</v>
      </c>
      <c r="D767" s="315"/>
      <c r="E767" s="88">
        <v>44393</v>
      </c>
      <c r="F767" s="316">
        <v>44403</v>
      </c>
      <c r="G767" s="316">
        <v>36893</v>
      </c>
      <c r="H767" s="317" t="s">
        <v>3128</v>
      </c>
      <c r="I767" s="317"/>
      <c r="J767" s="317" t="s">
        <v>152</v>
      </c>
      <c r="K767" s="315" t="s">
        <v>4002</v>
      </c>
      <c r="L767" s="315" t="s">
        <v>4199</v>
      </c>
      <c r="M767" s="317" t="s">
        <v>3093</v>
      </c>
      <c r="N767" s="320" t="s">
        <v>4200</v>
      </c>
      <c r="O767" s="317" t="s">
        <v>51</v>
      </c>
      <c r="P767" s="318">
        <v>-550</v>
      </c>
      <c r="Q767" s="318">
        <v>600</v>
      </c>
      <c r="R767" s="317" t="s">
        <v>4499</v>
      </c>
      <c r="S767" s="317"/>
      <c r="T767" s="317" t="s">
        <v>4426</v>
      </c>
      <c r="U767" s="317" t="s">
        <v>4500</v>
      </c>
      <c r="V767" s="317"/>
      <c r="W767" s="317"/>
      <c r="X767" s="317"/>
      <c r="Y767" s="319" t="s">
        <v>4501</v>
      </c>
    </row>
    <row r="768" spans="1:25" s="91" customFormat="1" hidden="1" x14ac:dyDescent="0.25">
      <c r="A768" s="32" t="s">
        <v>1493</v>
      </c>
      <c r="B768" s="315" t="str">
        <f>IF((COUNTBLANK(G768)=0),Stats!$E$7,IF((COUNTBLANK(E768)=0),IF((COUNTBLANK(F768)=0),IF((COUNTBLANK(U768)=0),Stats!$E$6,Stats!$E$5),Stats!$E$4),""))</f>
        <v>Death</v>
      </c>
      <c r="C768" s="39" t="s">
        <v>284</v>
      </c>
      <c r="D768" s="315"/>
      <c r="E768" s="88">
        <v>44393</v>
      </c>
      <c r="F768" s="316">
        <v>44403</v>
      </c>
      <c r="G768" s="316">
        <v>36893</v>
      </c>
      <c r="H768" s="317" t="s">
        <v>3128</v>
      </c>
      <c r="I768" s="317"/>
      <c r="J768" s="317" t="s">
        <v>152</v>
      </c>
      <c r="K768" s="315" t="s">
        <v>4002</v>
      </c>
      <c r="L768" s="315" t="s">
        <v>4199</v>
      </c>
      <c r="M768" s="317" t="s">
        <v>3093</v>
      </c>
      <c r="N768" s="320" t="s">
        <v>4200</v>
      </c>
      <c r="O768" s="317" t="s">
        <v>51</v>
      </c>
      <c r="P768" s="318">
        <v>-550</v>
      </c>
      <c r="Q768" s="318">
        <v>600</v>
      </c>
      <c r="R768" s="317" t="s">
        <v>4502</v>
      </c>
      <c r="S768" s="317"/>
      <c r="T768" s="317" t="s">
        <v>4503</v>
      </c>
      <c r="U768" s="317" t="s">
        <v>4504</v>
      </c>
      <c r="V768" s="317"/>
      <c r="W768" s="317"/>
      <c r="X768" s="317"/>
      <c r="Y768" s="319" t="s">
        <v>4501</v>
      </c>
    </row>
    <row r="769" spans="1:25" s="91" customFormat="1" hidden="1" x14ac:dyDescent="0.25">
      <c r="A769" s="32" t="s">
        <v>1494</v>
      </c>
      <c r="B769" s="315" t="str">
        <f>IF((COUNTBLANK(G769)=0),Stats!$E$7,IF((COUNTBLANK(E769)=0),IF((COUNTBLANK(F769)=0),IF((COUNTBLANK(U769)=0),Stats!$E$6,Stats!$E$5),Stats!$E$4),""))</f>
        <v>Death</v>
      </c>
      <c r="C769" s="39" t="s">
        <v>62</v>
      </c>
      <c r="D769" s="315"/>
      <c r="E769" s="88">
        <v>44398</v>
      </c>
      <c r="F769" s="316">
        <v>44410</v>
      </c>
      <c r="G769" s="316">
        <v>36893</v>
      </c>
      <c r="H769" s="317" t="s">
        <v>98</v>
      </c>
      <c r="I769" s="317"/>
      <c r="J769" s="317" t="s">
        <v>152</v>
      </c>
      <c r="K769" s="315" t="s">
        <v>3222</v>
      </c>
      <c r="L769" s="315"/>
      <c r="M769" s="317"/>
      <c r="N769" s="320" t="s">
        <v>3365</v>
      </c>
      <c r="O769" s="317" t="s">
        <v>51</v>
      </c>
      <c r="P769" s="318">
        <v>-500</v>
      </c>
      <c r="Q769" s="318">
        <v>500</v>
      </c>
      <c r="R769" s="317" t="s">
        <v>4459</v>
      </c>
      <c r="S769" s="317"/>
      <c r="T769" s="317"/>
      <c r="U769" s="317" t="s">
        <v>4505</v>
      </c>
      <c r="V769" s="317"/>
      <c r="W769" s="317"/>
      <c r="X769" s="317"/>
      <c r="Y769" s="319" t="s">
        <v>4506</v>
      </c>
    </row>
    <row r="770" spans="1:25" s="91" customFormat="1" hidden="1" x14ac:dyDescent="0.25">
      <c r="A770" s="32" t="s">
        <v>1495</v>
      </c>
      <c r="B770" s="315" t="str">
        <f>IF((COUNTBLANK(G770)=0),Stats!$E$7,IF((COUNTBLANK(E770)=0),IF((COUNTBLANK(F770)=0),IF((COUNTBLANK(U770)=0),Stats!$E$6,Stats!$E$5),Stats!$E$4),""))</f>
        <v>Death</v>
      </c>
      <c r="C770" s="39" t="s">
        <v>62</v>
      </c>
      <c r="D770" s="315"/>
      <c r="E770" s="88">
        <v>44398</v>
      </c>
      <c r="F770" s="316">
        <v>44410</v>
      </c>
      <c r="G770" s="316">
        <v>36893</v>
      </c>
      <c r="H770" s="317" t="s">
        <v>3154</v>
      </c>
      <c r="I770" s="317"/>
      <c r="J770" s="317" t="s">
        <v>152</v>
      </c>
      <c r="K770" s="315" t="s">
        <v>3222</v>
      </c>
      <c r="L770" s="315"/>
      <c r="M770" s="317"/>
      <c r="N770" s="320" t="s">
        <v>3365</v>
      </c>
      <c r="O770" s="317" t="s">
        <v>51</v>
      </c>
      <c r="P770" s="318">
        <v>-500</v>
      </c>
      <c r="Q770" s="318">
        <v>500</v>
      </c>
      <c r="R770" s="317" t="s">
        <v>249</v>
      </c>
      <c r="S770" s="317"/>
      <c r="T770" s="317"/>
      <c r="U770" s="317" t="s">
        <v>4507</v>
      </c>
      <c r="V770" s="317"/>
      <c r="W770" s="317"/>
      <c r="X770" s="317"/>
      <c r="Y770" s="319" t="s">
        <v>4406</v>
      </c>
    </row>
    <row r="771" spans="1:25" s="91" customFormat="1" hidden="1" x14ac:dyDescent="0.25">
      <c r="A771" s="32" t="s">
        <v>1496</v>
      </c>
      <c r="B771" s="315" t="str">
        <f>IF((COUNTBLANK(G771)=0),Stats!$E$7,IF((COUNTBLANK(E771)=0),IF((COUNTBLANK(F771)=0),IF((COUNTBLANK(U771)=0),Stats!$E$6,Stats!$E$5),Stats!$E$4),""))</f>
        <v>Death</v>
      </c>
      <c r="C771" s="39" t="s">
        <v>62</v>
      </c>
      <c r="D771" s="315"/>
      <c r="E771" s="88">
        <v>44398</v>
      </c>
      <c r="F771" s="316">
        <v>44410</v>
      </c>
      <c r="G771" s="316">
        <v>36893</v>
      </c>
      <c r="H771" s="317" t="s">
        <v>3154</v>
      </c>
      <c r="I771" s="317"/>
      <c r="J771" s="317" t="s">
        <v>152</v>
      </c>
      <c r="K771" s="315" t="s">
        <v>3222</v>
      </c>
      <c r="L771" s="315"/>
      <c r="M771" s="317"/>
      <c r="N771" s="320" t="s">
        <v>3365</v>
      </c>
      <c r="O771" s="317" t="s">
        <v>51</v>
      </c>
      <c r="P771" s="318">
        <v>-500</v>
      </c>
      <c r="Q771" s="318">
        <v>500</v>
      </c>
      <c r="R771" s="317" t="s">
        <v>4508</v>
      </c>
      <c r="S771" s="317"/>
      <c r="T771" s="317"/>
      <c r="U771" s="317" t="s">
        <v>4509</v>
      </c>
      <c r="V771" s="81" t="s">
        <v>4510</v>
      </c>
      <c r="W771" s="317"/>
      <c r="X771" s="317"/>
      <c r="Y771" s="319" t="s">
        <v>4506</v>
      </c>
    </row>
    <row r="772" spans="1:25" s="91" customFormat="1" hidden="1" x14ac:dyDescent="0.25">
      <c r="A772" s="32" t="s">
        <v>1497</v>
      </c>
      <c r="B772" s="315" t="str">
        <f>IF((COUNTBLANK(G772)=0),Stats!$E$7,IF((COUNTBLANK(E772)=0),IF((COUNTBLANK(F772)=0),IF((COUNTBLANK(U772)=0),Stats!$E$6,Stats!$E$5),Stats!$E$4),""))</f>
        <v>Death</v>
      </c>
      <c r="C772" s="39" t="s">
        <v>62</v>
      </c>
      <c r="D772" s="315"/>
      <c r="E772" s="88">
        <v>44398</v>
      </c>
      <c r="F772" s="316">
        <v>44411</v>
      </c>
      <c r="G772" s="316">
        <v>36893</v>
      </c>
      <c r="H772" s="317" t="s">
        <v>98</v>
      </c>
      <c r="I772" s="317"/>
      <c r="J772" s="317" t="s">
        <v>152</v>
      </c>
      <c r="K772" s="315" t="s">
        <v>3222</v>
      </c>
      <c r="L772" s="315"/>
      <c r="M772" s="317"/>
      <c r="N772" s="320" t="s">
        <v>3365</v>
      </c>
      <c r="O772" s="317" t="s">
        <v>51</v>
      </c>
      <c r="P772" s="318">
        <v>-500</v>
      </c>
      <c r="Q772" s="318">
        <v>500</v>
      </c>
      <c r="R772" s="317" t="s">
        <v>291</v>
      </c>
      <c r="S772" s="317"/>
      <c r="T772" s="317" t="s">
        <v>4426</v>
      </c>
      <c r="U772" s="317" t="s">
        <v>4509</v>
      </c>
      <c r="V772" s="81" t="s">
        <v>4510</v>
      </c>
      <c r="W772" s="317"/>
      <c r="X772" s="317"/>
      <c r="Y772" s="319" t="s">
        <v>4506</v>
      </c>
    </row>
    <row r="773" spans="1:25" s="91" customFormat="1" hidden="1" x14ac:dyDescent="0.25">
      <c r="A773" s="32" t="s">
        <v>1498</v>
      </c>
      <c r="B773" s="315" t="str">
        <f>IF((COUNTBLANK(G773)=0),Stats!$E$7,IF((COUNTBLANK(E773)=0),IF((COUNTBLANK(F773)=0),IF((COUNTBLANK(U773)=0),Stats!$E$6,Stats!$E$5),Stats!$E$4),""))</f>
        <v>Death</v>
      </c>
      <c r="C773" s="39" t="s">
        <v>62</v>
      </c>
      <c r="D773" s="315"/>
      <c r="E773" s="88">
        <v>44403</v>
      </c>
      <c r="F773" s="316">
        <v>44411</v>
      </c>
      <c r="G773" s="316">
        <v>36893</v>
      </c>
      <c r="H773" s="317" t="s">
        <v>3154</v>
      </c>
      <c r="I773" s="317"/>
      <c r="J773" s="317" t="s">
        <v>152</v>
      </c>
      <c r="K773" s="315" t="s">
        <v>3222</v>
      </c>
      <c r="L773" s="315"/>
      <c r="M773" s="317"/>
      <c r="N773" s="320" t="s">
        <v>3365</v>
      </c>
      <c r="O773" s="317" t="s">
        <v>51</v>
      </c>
      <c r="P773" s="318">
        <v>-500</v>
      </c>
      <c r="Q773" s="318">
        <v>500</v>
      </c>
      <c r="R773" s="317" t="s">
        <v>4511</v>
      </c>
      <c r="S773" s="317"/>
      <c r="T773" s="317" t="s">
        <v>4512</v>
      </c>
      <c r="U773" s="317" t="s">
        <v>4513</v>
      </c>
      <c r="V773" s="317"/>
      <c r="W773" s="317"/>
      <c r="X773" s="317"/>
      <c r="Y773" s="319" t="s">
        <v>4406</v>
      </c>
    </row>
    <row r="774" spans="1:25" s="91" customFormat="1" hidden="1" x14ac:dyDescent="0.25">
      <c r="A774" s="32" t="s">
        <v>1499</v>
      </c>
      <c r="B774" s="315" t="str">
        <f>IF((COUNTBLANK(G774)=0),Stats!$E$7,IF((COUNTBLANK(E774)=0),IF((COUNTBLANK(F774)=0),IF((COUNTBLANK(U774)=0),Stats!$E$6,Stats!$E$5),Stats!$E$4),""))</f>
        <v>Death</v>
      </c>
      <c r="C774" s="39" t="s">
        <v>62</v>
      </c>
      <c r="D774" s="315"/>
      <c r="E774" s="88">
        <v>44403</v>
      </c>
      <c r="F774" s="316">
        <v>44417</v>
      </c>
      <c r="G774" s="316">
        <v>36893</v>
      </c>
      <c r="H774" s="317" t="s">
        <v>3154</v>
      </c>
      <c r="I774" s="317"/>
      <c r="J774" s="317" t="s">
        <v>152</v>
      </c>
      <c r="K774" s="315" t="s">
        <v>3222</v>
      </c>
      <c r="L774" s="315"/>
      <c r="M774" s="317"/>
      <c r="N774" s="320" t="s">
        <v>3365</v>
      </c>
      <c r="O774" s="317" t="s">
        <v>51</v>
      </c>
      <c r="P774" s="318">
        <v>-500</v>
      </c>
      <c r="Q774" s="318">
        <v>500</v>
      </c>
      <c r="R774" s="317" t="s">
        <v>4502</v>
      </c>
      <c r="S774" s="317"/>
      <c r="T774" s="317" t="s">
        <v>4426</v>
      </c>
      <c r="U774" s="317" t="s">
        <v>4514</v>
      </c>
      <c r="V774" s="81" t="s">
        <v>4510</v>
      </c>
      <c r="W774" s="317"/>
      <c r="X774" s="317"/>
      <c r="Y774" s="319" t="s">
        <v>4506</v>
      </c>
    </row>
    <row r="775" spans="1:25" s="91" customFormat="1" hidden="1" x14ac:dyDescent="0.25">
      <c r="A775" s="32" t="s">
        <v>1500</v>
      </c>
      <c r="B775" s="315" t="str">
        <f>IF((COUNTBLANK(G775)=0),Stats!$E$7,IF((COUNTBLANK(E775)=0),IF((COUNTBLANK(F775)=0),IF((COUNTBLANK(U775)=0),Stats!$E$6,Stats!$E$5),Stats!$E$4),""))</f>
        <v>Death</v>
      </c>
      <c r="C775" s="39" t="s">
        <v>62</v>
      </c>
      <c r="D775" s="315"/>
      <c r="E775" s="88">
        <v>44403</v>
      </c>
      <c r="F775" s="316">
        <v>44417</v>
      </c>
      <c r="G775" s="316">
        <v>36893</v>
      </c>
      <c r="H775" s="317" t="s">
        <v>3154</v>
      </c>
      <c r="I775" s="317"/>
      <c r="J775" s="317" t="s">
        <v>152</v>
      </c>
      <c r="K775" s="315" t="s">
        <v>3222</v>
      </c>
      <c r="L775" s="315"/>
      <c r="M775" s="317"/>
      <c r="N775" s="320" t="s">
        <v>3365</v>
      </c>
      <c r="O775" s="317" t="s">
        <v>51</v>
      </c>
      <c r="P775" s="318">
        <v>-500</v>
      </c>
      <c r="Q775" s="318">
        <v>500</v>
      </c>
      <c r="R775" s="317" t="s">
        <v>4441</v>
      </c>
      <c r="S775" s="317"/>
      <c r="T775" s="317" t="s">
        <v>4512</v>
      </c>
      <c r="U775" s="317" t="s">
        <v>4513</v>
      </c>
      <c r="V775" s="317"/>
      <c r="W775" s="317"/>
      <c r="X775" s="317"/>
      <c r="Y775" s="319" t="s">
        <v>4406</v>
      </c>
    </row>
    <row r="776" spans="1:25" s="91" customFormat="1" hidden="1" x14ac:dyDescent="0.25">
      <c r="A776" s="32" t="s">
        <v>1501</v>
      </c>
      <c r="B776" s="315" t="str">
        <f>IF((COUNTBLANK(G776)=0),Stats!$E$7,IF((COUNTBLANK(E776)=0),IF((COUNTBLANK(F776)=0),IF((COUNTBLANK(U776)=0),Stats!$E$6,Stats!$E$5),Stats!$E$4),""))</f>
        <v>Death</v>
      </c>
      <c r="C776" s="39" t="s">
        <v>62</v>
      </c>
      <c r="D776" s="315"/>
      <c r="E776" s="88">
        <v>44410</v>
      </c>
      <c r="F776" s="316">
        <v>44417</v>
      </c>
      <c r="G776" s="316">
        <v>36893</v>
      </c>
      <c r="H776" s="317" t="s">
        <v>98</v>
      </c>
      <c r="I776" s="317"/>
      <c r="J776" s="317" t="s">
        <v>152</v>
      </c>
      <c r="K776" s="315" t="s">
        <v>3222</v>
      </c>
      <c r="L776" s="315"/>
      <c r="M776" s="317"/>
      <c r="N776" s="320" t="s">
        <v>3365</v>
      </c>
      <c r="O776" s="317" t="s">
        <v>51</v>
      </c>
      <c r="P776" s="318">
        <v>-500</v>
      </c>
      <c r="Q776" s="318">
        <v>500</v>
      </c>
      <c r="R776" s="317" t="s">
        <v>4515</v>
      </c>
      <c r="S776" s="317"/>
      <c r="T776" s="317" t="s">
        <v>4516</v>
      </c>
      <c r="U776" s="49" t="s">
        <v>4517</v>
      </c>
      <c r="V776" s="317"/>
      <c r="W776" s="317"/>
      <c r="X776" s="317"/>
      <c r="Y776" s="319" t="s">
        <v>4406</v>
      </c>
    </row>
    <row r="777" spans="1:25" s="91" customFormat="1" hidden="1" x14ac:dyDescent="0.25">
      <c r="A777" s="32" t="s">
        <v>1502</v>
      </c>
      <c r="B777" s="315" t="str">
        <f>IF((COUNTBLANK(G777)=0),Stats!$E$7,IF((COUNTBLANK(E777)=0),IF((COUNTBLANK(F777)=0),IF((COUNTBLANK(U777)=0),Stats!$E$6,Stats!$E$5),Stats!$E$4),""))</f>
        <v>Death</v>
      </c>
      <c r="C777" s="39" t="s">
        <v>62</v>
      </c>
      <c r="D777" s="315"/>
      <c r="E777" s="88">
        <v>44410</v>
      </c>
      <c r="F777" s="316">
        <v>44417</v>
      </c>
      <c r="G777" s="316">
        <v>36893</v>
      </c>
      <c r="H777" s="317" t="s">
        <v>98</v>
      </c>
      <c r="I777" s="317"/>
      <c r="J777" s="317" t="s">
        <v>152</v>
      </c>
      <c r="K777" s="315" t="s">
        <v>3222</v>
      </c>
      <c r="L777" s="315"/>
      <c r="M777" s="317"/>
      <c r="N777" s="320" t="s">
        <v>3365</v>
      </c>
      <c r="O777" s="317" t="s">
        <v>51</v>
      </c>
      <c r="P777" s="318">
        <v>-500</v>
      </c>
      <c r="Q777" s="318">
        <v>500</v>
      </c>
      <c r="R777" s="317" t="s">
        <v>4459</v>
      </c>
      <c r="S777" s="317"/>
      <c r="T777" s="317" t="s">
        <v>4426</v>
      </c>
      <c r="U777" s="317" t="s">
        <v>4513</v>
      </c>
      <c r="V777" s="317"/>
      <c r="W777" s="317"/>
      <c r="X777" s="317"/>
      <c r="Y777" s="319" t="s">
        <v>4501</v>
      </c>
    </row>
    <row r="778" spans="1:25" s="91" customFormat="1" hidden="1" x14ac:dyDescent="0.25">
      <c r="A778" s="32" t="s">
        <v>1503</v>
      </c>
      <c r="B778" s="315" t="str">
        <f>IF((COUNTBLANK(G778)=0),Stats!$E$7,IF((COUNTBLANK(E778)=0),IF((COUNTBLANK(F778)=0),IF((COUNTBLANK(U778)=0),Stats!$E$6,Stats!$E$5),Stats!$E$4),""))</f>
        <v>Death</v>
      </c>
      <c r="C778" s="41" t="s">
        <v>3111</v>
      </c>
      <c r="D778" s="306"/>
      <c r="E778" s="89">
        <v>44410</v>
      </c>
      <c r="F778" s="89">
        <v>44424</v>
      </c>
      <c r="G778" s="327">
        <v>44840</v>
      </c>
      <c r="H778" s="313" t="s">
        <v>3140</v>
      </c>
      <c r="I778" s="52"/>
      <c r="J778" s="313" t="s">
        <v>152</v>
      </c>
      <c r="K778" s="315" t="s">
        <v>3828</v>
      </c>
      <c r="L778" s="60" t="s">
        <v>4518</v>
      </c>
      <c r="M778" s="60" t="s">
        <v>4044</v>
      </c>
      <c r="N778" s="320"/>
      <c r="O778" s="313" t="s">
        <v>51</v>
      </c>
      <c r="P778" s="328">
        <v>-400</v>
      </c>
      <c r="Q778" s="328">
        <v>400</v>
      </c>
      <c r="R778" s="313"/>
      <c r="S778" s="313"/>
      <c r="T778" s="313" t="s">
        <v>4516</v>
      </c>
      <c r="U778" s="313"/>
      <c r="V778" s="313"/>
      <c r="W778" s="313"/>
      <c r="X778" s="313" t="s">
        <v>4519</v>
      </c>
      <c r="Y778" s="319"/>
    </row>
    <row r="779" spans="1:25" s="91" customFormat="1" hidden="1" x14ac:dyDescent="0.25">
      <c r="A779" s="32" t="s">
        <v>1504</v>
      </c>
      <c r="B779" s="315" t="str">
        <f>IF((COUNTBLANK(G779)=0),Stats!$E$7,IF((COUNTBLANK(E779)=0),IF((COUNTBLANK(F779)=0),IF((COUNTBLANK(U779)=0),Stats!$E$6,Stats!$E$5),Stats!$E$4),""))</f>
        <v>Death</v>
      </c>
      <c r="C779" s="39" t="s">
        <v>3111</v>
      </c>
      <c r="D779" s="315"/>
      <c r="E779" s="88">
        <v>44410</v>
      </c>
      <c r="F779" s="316">
        <v>44424</v>
      </c>
      <c r="G779" s="316">
        <v>36893</v>
      </c>
      <c r="H779" s="317" t="s">
        <v>3139</v>
      </c>
      <c r="I779" s="317"/>
      <c r="J779" s="317" t="s">
        <v>152</v>
      </c>
      <c r="K779" s="315" t="s">
        <v>3828</v>
      </c>
      <c r="L779" s="60" t="s">
        <v>4518</v>
      </c>
      <c r="M779" s="55" t="s">
        <v>4044</v>
      </c>
      <c r="N779" s="320"/>
      <c r="O779" s="317" t="s">
        <v>51</v>
      </c>
      <c r="P779" s="318">
        <v>-400</v>
      </c>
      <c r="Q779" s="318">
        <v>400</v>
      </c>
      <c r="R779" s="317"/>
      <c r="S779" s="317"/>
      <c r="T779" s="317" t="s">
        <v>4516</v>
      </c>
      <c r="U779" s="317"/>
      <c r="V779" s="317"/>
      <c r="W779" s="317"/>
      <c r="X779" s="317"/>
      <c r="Y779" s="319"/>
    </row>
    <row r="780" spans="1:25" s="91" customFormat="1" hidden="1" x14ac:dyDescent="0.25">
      <c r="A780" s="32" t="s">
        <v>1505</v>
      </c>
      <c r="B780" s="315" t="str">
        <f>IF((COUNTBLANK(G780)=0),Stats!$E$7,IF((COUNTBLANK(E780)=0),IF((COUNTBLANK(F780)=0),IF((COUNTBLANK(U780)=0),Stats!$E$6,Stats!$E$5),Stats!$E$4),""))</f>
        <v>Death</v>
      </c>
      <c r="C780" s="39" t="s">
        <v>3111</v>
      </c>
      <c r="D780" s="315"/>
      <c r="E780" s="88">
        <v>44411</v>
      </c>
      <c r="F780" s="88">
        <v>36892</v>
      </c>
      <c r="G780" s="316">
        <v>36893</v>
      </c>
      <c r="H780" s="317" t="s">
        <v>3139</v>
      </c>
      <c r="I780" s="317"/>
      <c r="J780" s="317" t="s">
        <v>152</v>
      </c>
      <c r="K780" s="315" t="s">
        <v>3828</v>
      </c>
      <c r="L780" s="315" t="s">
        <v>3216</v>
      </c>
      <c r="M780" s="317"/>
      <c r="N780" s="320"/>
      <c r="O780" s="317" t="s">
        <v>478</v>
      </c>
      <c r="P780" s="318" t="s">
        <v>4520</v>
      </c>
      <c r="Q780" s="318" t="s">
        <v>3709</v>
      </c>
      <c r="R780" s="317"/>
      <c r="S780" s="317"/>
      <c r="T780" s="317"/>
      <c r="U780" s="317"/>
      <c r="V780" s="317"/>
      <c r="W780" s="317"/>
      <c r="X780" s="317"/>
      <c r="Y780" s="319" t="s">
        <v>4436</v>
      </c>
    </row>
    <row r="781" spans="1:25" s="91" customFormat="1" hidden="1" x14ac:dyDescent="0.25">
      <c r="A781" s="32" t="s">
        <v>1506</v>
      </c>
      <c r="B781" s="315" t="str">
        <f>IF((COUNTBLANK(G781)=0),Stats!$E$7,IF((COUNTBLANK(E781)=0),IF((COUNTBLANK(F781)=0),IF((COUNTBLANK(U781)=0),Stats!$E$6,Stats!$E$5),Stats!$E$4),""))</f>
        <v>Death</v>
      </c>
      <c r="C781" s="41" t="s">
        <v>3111</v>
      </c>
      <c r="D781" s="306"/>
      <c r="E781" s="89">
        <v>44411</v>
      </c>
      <c r="F781" s="89">
        <v>44425</v>
      </c>
      <c r="G781" s="327">
        <v>44861</v>
      </c>
      <c r="H781" s="313" t="s">
        <v>3139</v>
      </c>
      <c r="I781" s="52"/>
      <c r="J781" s="313" t="s">
        <v>152</v>
      </c>
      <c r="K781" s="315" t="s">
        <v>3828</v>
      </c>
      <c r="L781" s="315" t="s">
        <v>3216</v>
      </c>
      <c r="M781" s="306"/>
      <c r="N781" s="320"/>
      <c r="O781" s="313" t="s">
        <v>478</v>
      </c>
      <c r="P781" s="328" t="s">
        <v>4520</v>
      </c>
      <c r="Q781" s="328" t="s">
        <v>3709</v>
      </c>
      <c r="R781" s="313"/>
      <c r="S781" s="313"/>
      <c r="T781" s="313" t="s">
        <v>4521</v>
      </c>
      <c r="U781" s="313"/>
      <c r="V781" s="313"/>
      <c r="W781" s="313"/>
      <c r="X781" s="313"/>
      <c r="Y781" s="319" t="s">
        <v>4522</v>
      </c>
    </row>
    <row r="782" spans="1:25" s="91" customFormat="1" hidden="1" x14ac:dyDescent="0.25">
      <c r="A782" s="32" t="s">
        <v>1507</v>
      </c>
      <c r="B782" s="315" t="str">
        <f>IF((COUNTBLANK(G782)=0),Stats!$E$7,IF((COUNTBLANK(E782)=0),IF((COUNTBLANK(F782)=0),IF((COUNTBLANK(U782)=0),Stats!$E$6,Stats!$E$5),Stats!$E$4),""))</f>
        <v>Death</v>
      </c>
      <c r="C782" s="39" t="s">
        <v>3111</v>
      </c>
      <c r="D782" s="315"/>
      <c r="E782" s="88">
        <v>44413</v>
      </c>
      <c r="F782" s="316">
        <v>44424</v>
      </c>
      <c r="G782" s="316">
        <v>36893</v>
      </c>
      <c r="H782" s="317" t="s">
        <v>3139</v>
      </c>
      <c r="I782" s="317"/>
      <c r="J782" s="317" t="s">
        <v>152</v>
      </c>
      <c r="K782" s="315" t="s">
        <v>4044</v>
      </c>
      <c r="L782" s="58"/>
      <c r="M782" s="49"/>
      <c r="N782" s="320"/>
      <c r="O782" s="49" t="s">
        <v>4521</v>
      </c>
      <c r="P782" s="318" t="s">
        <v>4117</v>
      </c>
      <c r="Q782" s="318" t="s">
        <v>3709</v>
      </c>
      <c r="R782" s="49" t="s">
        <v>4523</v>
      </c>
      <c r="S782" s="49"/>
      <c r="T782" s="49" t="s">
        <v>4524</v>
      </c>
      <c r="U782" s="317"/>
      <c r="V782" s="317"/>
      <c r="W782" s="317"/>
      <c r="X782" s="317"/>
      <c r="Y782" s="319" t="s">
        <v>4506</v>
      </c>
    </row>
    <row r="783" spans="1:25" s="91" customFormat="1" hidden="1" x14ac:dyDescent="0.25">
      <c r="A783" s="32" t="s">
        <v>1508</v>
      </c>
      <c r="B783" s="315" t="str">
        <f>IF((COUNTBLANK(G783)=0),Stats!$E$7,IF((COUNTBLANK(E783)=0),IF((COUNTBLANK(F783)=0),IF((COUNTBLANK(U783)=0),Stats!$E$6,Stats!$E$5),Stats!$E$4),""))</f>
        <v>Death</v>
      </c>
      <c r="C783" s="39" t="s">
        <v>3111</v>
      </c>
      <c r="D783" s="315"/>
      <c r="E783" s="88">
        <v>44413</v>
      </c>
      <c r="F783" s="316">
        <v>44424</v>
      </c>
      <c r="G783" s="316">
        <v>36893</v>
      </c>
      <c r="H783" s="317" t="s">
        <v>3139</v>
      </c>
      <c r="I783" s="317"/>
      <c r="J783" s="317" t="s">
        <v>152</v>
      </c>
      <c r="K783" s="315" t="s">
        <v>4044</v>
      </c>
      <c r="L783" s="58"/>
      <c r="M783" s="49"/>
      <c r="N783" s="320"/>
      <c r="O783" s="49" t="s">
        <v>4521</v>
      </c>
      <c r="P783" s="318" t="s">
        <v>4117</v>
      </c>
      <c r="Q783" s="318" t="s">
        <v>3709</v>
      </c>
      <c r="R783" s="49" t="s">
        <v>3678</v>
      </c>
      <c r="S783" s="49"/>
      <c r="T783" s="317" t="s">
        <v>4525</v>
      </c>
      <c r="U783" s="317"/>
      <c r="V783" s="317"/>
      <c r="W783" s="317"/>
      <c r="X783" s="317"/>
      <c r="Y783" s="95" t="s">
        <v>4437</v>
      </c>
    </row>
    <row r="784" spans="1:25" s="91" customFormat="1" hidden="1" x14ac:dyDescent="0.25">
      <c r="A784" s="32" t="s">
        <v>1509</v>
      </c>
      <c r="B784" s="315" t="str">
        <f>IF((COUNTBLANK(G784)=0),Stats!$E$7,IF((COUNTBLANK(E784)=0),IF((COUNTBLANK(F784)=0),IF((COUNTBLANK(U784)=0),Stats!$E$6,Stats!$E$5),Stats!$E$4),""))</f>
        <v>Death</v>
      </c>
      <c r="C784" s="39" t="s">
        <v>3111</v>
      </c>
      <c r="D784" s="315"/>
      <c r="E784" s="88">
        <v>44415</v>
      </c>
      <c r="F784" s="316">
        <v>36892</v>
      </c>
      <c r="G784" s="316">
        <v>36893</v>
      </c>
      <c r="H784" s="317" t="s">
        <v>3139</v>
      </c>
      <c r="I784" s="317"/>
      <c r="J784" s="317" t="s">
        <v>152</v>
      </c>
      <c r="K784" s="315" t="s">
        <v>4044</v>
      </c>
      <c r="L784" s="58"/>
      <c r="M784" s="49"/>
      <c r="N784" s="320" t="s">
        <v>196</v>
      </c>
      <c r="O784" s="49" t="s">
        <v>4521</v>
      </c>
      <c r="P784" s="318" t="s">
        <v>4117</v>
      </c>
      <c r="Q784" s="318" t="s">
        <v>3709</v>
      </c>
      <c r="R784" s="49" t="s">
        <v>3656</v>
      </c>
      <c r="S784" s="49"/>
      <c r="T784" s="317"/>
      <c r="U784" s="317"/>
      <c r="V784" s="317"/>
      <c r="W784" s="317"/>
      <c r="X784" s="317"/>
      <c r="Y784" s="95" t="s">
        <v>4437</v>
      </c>
    </row>
    <row r="785" spans="1:25" s="91" customFormat="1" hidden="1" x14ac:dyDescent="0.25">
      <c r="A785" s="32" t="s">
        <v>1510</v>
      </c>
      <c r="B785" s="315" t="str">
        <f>IF((COUNTBLANK(G785)=0),Stats!$E$7,IF((COUNTBLANK(E785)=0),IF((COUNTBLANK(F785)=0),IF((COUNTBLANK(U785)=0),Stats!$E$6,Stats!$E$5),Stats!$E$4),""))</f>
        <v>Death</v>
      </c>
      <c r="C785" s="39" t="s">
        <v>3111</v>
      </c>
      <c r="D785" s="315"/>
      <c r="E785" s="88">
        <v>44415</v>
      </c>
      <c r="F785" s="316">
        <v>44425</v>
      </c>
      <c r="G785" s="316">
        <v>36893</v>
      </c>
      <c r="H785" s="317" t="s">
        <v>3139</v>
      </c>
      <c r="I785" s="317"/>
      <c r="J785" s="317" t="s">
        <v>152</v>
      </c>
      <c r="K785" s="315" t="s">
        <v>3828</v>
      </c>
      <c r="L785" s="60" t="s">
        <v>4518</v>
      </c>
      <c r="M785" s="55" t="s">
        <v>4044</v>
      </c>
      <c r="N785" s="320"/>
      <c r="O785" s="49" t="s">
        <v>4521</v>
      </c>
      <c r="P785" s="318" t="s">
        <v>4117</v>
      </c>
      <c r="Q785" s="318" t="s">
        <v>3709</v>
      </c>
      <c r="R785" s="49" t="s">
        <v>3655</v>
      </c>
      <c r="S785" s="49"/>
      <c r="T785" s="317" t="s">
        <v>4426</v>
      </c>
      <c r="U785" s="317"/>
      <c r="V785" s="317"/>
      <c r="W785" s="317"/>
      <c r="X785" s="317"/>
      <c r="Y785" s="319" t="s">
        <v>4526</v>
      </c>
    </row>
    <row r="786" spans="1:25" s="91" customFormat="1" hidden="1" x14ac:dyDescent="0.25">
      <c r="A786" s="32" t="s">
        <v>1511</v>
      </c>
      <c r="B786" s="315" t="str">
        <f>IF((COUNTBLANK(G786)=0),Stats!$E$7,IF((COUNTBLANK(E786)=0),IF((COUNTBLANK(F786)=0),IF((COUNTBLANK(U786)=0),Stats!$E$6,Stats!$E$5),Stats!$E$4),""))</f>
        <v>Death</v>
      </c>
      <c r="C786" s="39" t="s">
        <v>3111</v>
      </c>
      <c r="D786" s="315"/>
      <c r="E786" s="88">
        <v>44415</v>
      </c>
      <c r="F786" s="316">
        <v>44425</v>
      </c>
      <c r="G786" s="316">
        <v>36893</v>
      </c>
      <c r="H786" s="317" t="s">
        <v>3139</v>
      </c>
      <c r="I786" s="317"/>
      <c r="J786" s="49" t="s">
        <v>152</v>
      </c>
      <c r="K786" s="315" t="s">
        <v>4527</v>
      </c>
      <c r="L786" s="58"/>
      <c r="M786" s="49"/>
      <c r="N786" s="320" t="s">
        <v>196</v>
      </c>
      <c r="O786" s="49" t="s">
        <v>51</v>
      </c>
      <c r="P786" s="318" t="s">
        <v>4520</v>
      </c>
      <c r="Q786" s="318" t="s">
        <v>3709</v>
      </c>
      <c r="R786" s="49" t="s">
        <v>3659</v>
      </c>
      <c r="S786" s="49"/>
      <c r="T786" s="317" t="s">
        <v>4426</v>
      </c>
      <c r="U786" s="317"/>
      <c r="V786" s="317"/>
      <c r="W786" s="317"/>
      <c r="X786" s="317"/>
      <c r="Y786" s="319" t="s">
        <v>4526</v>
      </c>
    </row>
    <row r="787" spans="1:25" s="91" customFormat="1" hidden="1" x14ac:dyDescent="0.25">
      <c r="A787" s="32" t="s">
        <v>1512</v>
      </c>
      <c r="B787" s="315" t="str">
        <f>IF((COUNTBLANK(G787)=0),Stats!$E$7,IF((COUNTBLANK(E787)=0),IF((COUNTBLANK(F787)=0),IF((COUNTBLANK(U787)=0),Stats!$E$6,Stats!$E$5),Stats!$E$4),""))</f>
        <v>Death</v>
      </c>
      <c r="C787" s="41" t="s">
        <v>3111</v>
      </c>
      <c r="D787" s="306"/>
      <c r="E787" s="89">
        <v>44415</v>
      </c>
      <c r="F787" s="89">
        <v>44425</v>
      </c>
      <c r="G787" s="327">
        <v>44910</v>
      </c>
      <c r="H787" s="313" t="s">
        <v>3139</v>
      </c>
      <c r="I787" s="52"/>
      <c r="J787" s="55" t="s">
        <v>152</v>
      </c>
      <c r="K787" s="315" t="s">
        <v>4527</v>
      </c>
      <c r="L787" s="60"/>
      <c r="M787" s="60"/>
      <c r="N787" s="320"/>
      <c r="O787" s="55" t="s">
        <v>51</v>
      </c>
      <c r="P787" s="328" t="s">
        <v>4520</v>
      </c>
      <c r="Q787" s="328" t="s">
        <v>3709</v>
      </c>
      <c r="R787" s="55" t="s">
        <v>3678</v>
      </c>
      <c r="S787" s="55"/>
      <c r="T787" s="313" t="s">
        <v>4426</v>
      </c>
      <c r="U787" s="313"/>
      <c r="V787" s="313"/>
      <c r="W787" s="313"/>
      <c r="X787" s="313"/>
      <c r="Y787" s="319" t="s">
        <v>4526</v>
      </c>
    </row>
    <row r="788" spans="1:25" s="91" customFormat="1" hidden="1" x14ac:dyDescent="0.25">
      <c r="A788" s="32" t="s">
        <v>1513</v>
      </c>
      <c r="B788" s="315" t="str">
        <f>IF((COUNTBLANK(G788)=0),Stats!$E$7,IF((COUNTBLANK(E788)=0),IF((COUNTBLANK(F788)=0),IF((COUNTBLANK(U788)=0),Stats!$E$6,Stats!$E$5),Stats!$E$4),""))</f>
        <v>Death</v>
      </c>
      <c r="C788" s="39" t="s">
        <v>62</v>
      </c>
      <c r="D788" s="315"/>
      <c r="E788" s="88">
        <v>44417</v>
      </c>
      <c r="F788" s="316">
        <v>44424</v>
      </c>
      <c r="G788" s="316">
        <v>36893</v>
      </c>
      <c r="H788" s="317" t="s">
        <v>3154</v>
      </c>
      <c r="I788" s="317"/>
      <c r="J788" s="317" t="s">
        <v>152</v>
      </c>
      <c r="K788" s="315" t="s">
        <v>3222</v>
      </c>
      <c r="L788" s="315"/>
      <c r="M788" s="317"/>
      <c r="N788" s="320" t="s">
        <v>3365</v>
      </c>
      <c r="O788" s="317" t="s">
        <v>51</v>
      </c>
      <c r="P788" s="318">
        <v>-500</v>
      </c>
      <c r="Q788" s="318">
        <v>500</v>
      </c>
      <c r="R788" s="317" t="s">
        <v>4502</v>
      </c>
      <c r="S788" s="317"/>
      <c r="T788" s="317" t="s">
        <v>4426</v>
      </c>
      <c r="U788" s="317" t="s">
        <v>4528</v>
      </c>
      <c r="V788" s="317"/>
      <c r="W788" s="317"/>
      <c r="X788" s="317"/>
      <c r="Y788" s="319" t="s">
        <v>4501</v>
      </c>
    </row>
    <row r="789" spans="1:25" s="91" customFormat="1" hidden="1" x14ac:dyDescent="0.25">
      <c r="A789" s="32" t="s">
        <v>1514</v>
      </c>
      <c r="B789" s="315" t="str">
        <f>IF((COUNTBLANK(G789)=0),Stats!$E$7,IF((COUNTBLANK(E789)=0),IF((COUNTBLANK(F789)=0),IF((COUNTBLANK(U789)=0),Stats!$E$6,Stats!$E$5),Stats!$E$4),""))</f>
        <v>Death</v>
      </c>
      <c r="C789" s="39" t="s">
        <v>62</v>
      </c>
      <c r="D789" s="315"/>
      <c r="E789" s="88">
        <v>44417</v>
      </c>
      <c r="F789" s="316">
        <v>44431</v>
      </c>
      <c r="G789" s="316">
        <v>36893</v>
      </c>
      <c r="H789" s="317" t="s">
        <v>3154</v>
      </c>
      <c r="I789" s="317"/>
      <c r="J789" s="317" t="s">
        <v>152</v>
      </c>
      <c r="K789" s="315" t="s">
        <v>3222</v>
      </c>
      <c r="L789" s="315"/>
      <c r="M789" s="317"/>
      <c r="N789" s="320" t="s">
        <v>3365</v>
      </c>
      <c r="O789" s="317" t="s">
        <v>51</v>
      </c>
      <c r="P789" s="318">
        <v>-500</v>
      </c>
      <c r="Q789" s="318">
        <v>500</v>
      </c>
      <c r="R789" s="317" t="s">
        <v>4444</v>
      </c>
      <c r="S789" s="317"/>
      <c r="T789" s="317" t="s">
        <v>4115</v>
      </c>
      <c r="U789" s="317" t="s">
        <v>4529</v>
      </c>
      <c r="V789" s="317"/>
      <c r="W789" s="317"/>
      <c r="X789" s="317"/>
      <c r="Y789" s="319" t="s">
        <v>4475</v>
      </c>
    </row>
    <row r="790" spans="1:25" s="91" customFormat="1" hidden="1" x14ac:dyDescent="0.25">
      <c r="A790" s="32" t="s">
        <v>1515</v>
      </c>
      <c r="B790" s="315" t="str">
        <f>IF((COUNTBLANK(G790)=0),Stats!$E$7,IF((COUNTBLANK(E790)=0),IF((COUNTBLANK(F790)=0),IF((COUNTBLANK(U790)=0),Stats!$E$6,Stats!$E$5),Stats!$E$4),""))</f>
        <v>Death</v>
      </c>
      <c r="C790" s="39" t="s">
        <v>62</v>
      </c>
      <c r="D790" s="315"/>
      <c r="E790" s="88">
        <v>44417</v>
      </c>
      <c r="F790" s="316">
        <v>44431</v>
      </c>
      <c r="G790" s="316">
        <v>36893</v>
      </c>
      <c r="H790" s="317" t="s">
        <v>3154</v>
      </c>
      <c r="I790" s="317"/>
      <c r="J790" s="317" t="s">
        <v>152</v>
      </c>
      <c r="K790" s="315" t="s">
        <v>3222</v>
      </c>
      <c r="L790" s="315"/>
      <c r="M790" s="317"/>
      <c r="N790" s="320" t="s">
        <v>3365</v>
      </c>
      <c r="O790" s="317" t="s">
        <v>51</v>
      </c>
      <c r="P790" s="318">
        <v>-500</v>
      </c>
      <c r="Q790" s="318">
        <v>500</v>
      </c>
      <c r="R790" s="317" t="s">
        <v>4530</v>
      </c>
      <c r="S790" s="317"/>
      <c r="T790" s="317" t="s">
        <v>4531</v>
      </c>
      <c r="U790" s="317" t="s">
        <v>4532</v>
      </c>
      <c r="V790" s="317"/>
      <c r="W790" s="317"/>
      <c r="X790" s="317"/>
      <c r="Y790" s="319" t="s">
        <v>4475</v>
      </c>
    </row>
    <row r="791" spans="1:25" s="91" customFormat="1" hidden="1" x14ac:dyDescent="0.25">
      <c r="A791" s="32" t="s">
        <v>1516</v>
      </c>
      <c r="B791" s="315" t="str">
        <f>IF((COUNTBLANK(G791)=0),Stats!$E$7,IF((COUNTBLANK(E791)=0),IF((COUNTBLANK(F791)=0),IF((COUNTBLANK(U791)=0),Stats!$E$6,Stats!$E$5),Stats!$E$4),""))</f>
        <v>Death</v>
      </c>
      <c r="C791" s="39" t="s">
        <v>62</v>
      </c>
      <c r="D791" s="315"/>
      <c r="E791" s="88">
        <v>44417</v>
      </c>
      <c r="F791" s="316">
        <v>44425</v>
      </c>
      <c r="G791" s="316">
        <v>36893</v>
      </c>
      <c r="H791" s="317" t="s">
        <v>3154</v>
      </c>
      <c r="I791" s="317"/>
      <c r="J791" s="317" t="s">
        <v>152</v>
      </c>
      <c r="K791" s="315" t="s">
        <v>3222</v>
      </c>
      <c r="L791" s="315"/>
      <c r="M791" s="317"/>
      <c r="N791" s="320" t="s">
        <v>3365</v>
      </c>
      <c r="O791" s="317" t="s">
        <v>51</v>
      </c>
      <c r="P791" s="318">
        <v>-500</v>
      </c>
      <c r="Q791" s="318">
        <v>500</v>
      </c>
      <c r="R791" s="317" t="s">
        <v>4441</v>
      </c>
      <c r="S791" s="317"/>
      <c r="T791" s="317" t="s">
        <v>4115</v>
      </c>
      <c r="U791" s="317" t="s">
        <v>4533</v>
      </c>
      <c r="V791" s="317"/>
      <c r="W791" s="317"/>
      <c r="X791" s="317"/>
      <c r="Y791" s="319" t="s">
        <v>4475</v>
      </c>
    </row>
    <row r="792" spans="1:25" s="91" customFormat="1" hidden="1" x14ac:dyDescent="0.25">
      <c r="A792" s="32" t="s">
        <v>1517</v>
      </c>
      <c r="B792" s="315" t="str">
        <f>IF((COUNTBLANK(G792)=0),Stats!$E$7,IF((COUNTBLANK(E792)=0),IF((COUNTBLANK(F792)=0),IF((COUNTBLANK(U792)=0),Stats!$E$6,Stats!$E$5),Stats!$E$4),""))</f>
        <v>Death</v>
      </c>
      <c r="C792" s="39" t="s">
        <v>62</v>
      </c>
      <c r="D792" s="315"/>
      <c r="E792" s="88">
        <v>44417</v>
      </c>
      <c r="F792" s="316">
        <v>44431</v>
      </c>
      <c r="G792" s="316">
        <v>36893</v>
      </c>
      <c r="H792" s="317" t="s">
        <v>3154</v>
      </c>
      <c r="I792" s="317"/>
      <c r="J792" s="317" t="s">
        <v>152</v>
      </c>
      <c r="K792" s="315" t="s">
        <v>3222</v>
      </c>
      <c r="L792" s="315"/>
      <c r="M792" s="317"/>
      <c r="N792" s="320" t="s">
        <v>3365</v>
      </c>
      <c r="O792" s="317" t="s">
        <v>51</v>
      </c>
      <c r="P792" s="318">
        <v>-500</v>
      </c>
      <c r="Q792" s="318">
        <v>500</v>
      </c>
      <c r="R792" s="317" t="s">
        <v>4534</v>
      </c>
      <c r="S792" s="317"/>
      <c r="T792" s="317" t="s">
        <v>4115</v>
      </c>
      <c r="U792" s="317" t="s">
        <v>4535</v>
      </c>
      <c r="V792" s="317"/>
      <c r="W792" s="317"/>
      <c r="X792" s="317"/>
      <c r="Y792" s="319" t="s">
        <v>4475</v>
      </c>
    </row>
    <row r="793" spans="1:25" s="91" customFormat="1" hidden="1" x14ac:dyDescent="0.25">
      <c r="A793" s="32" t="s">
        <v>1518</v>
      </c>
      <c r="B793" s="315" t="str">
        <f>IF((COUNTBLANK(G793)=0),Stats!$E$7,IF((COUNTBLANK(E793)=0),IF((COUNTBLANK(F793)=0),IF((COUNTBLANK(U793)=0),Stats!$E$6,Stats!$E$5),Stats!$E$4),""))</f>
        <v>Death</v>
      </c>
      <c r="C793" s="39" t="s">
        <v>62</v>
      </c>
      <c r="D793" s="315"/>
      <c r="E793" s="88">
        <v>44419</v>
      </c>
      <c r="F793" s="316">
        <v>44440</v>
      </c>
      <c r="G793" s="316">
        <v>36893</v>
      </c>
      <c r="H793" s="317" t="s">
        <v>3154</v>
      </c>
      <c r="I793" s="317"/>
      <c r="J793" s="317" t="s">
        <v>152</v>
      </c>
      <c r="K793" s="315" t="s">
        <v>3222</v>
      </c>
      <c r="L793" s="315"/>
      <c r="M793" s="317"/>
      <c r="N793" s="320" t="s">
        <v>3365</v>
      </c>
      <c r="O793" s="317" t="s">
        <v>51</v>
      </c>
      <c r="P793" s="318">
        <v>-500</v>
      </c>
      <c r="Q793" s="318">
        <v>500</v>
      </c>
      <c r="R793" s="317" t="s">
        <v>4444</v>
      </c>
      <c r="S793" s="317"/>
      <c r="T793" s="317"/>
      <c r="U793" s="317" t="s">
        <v>4536</v>
      </c>
      <c r="V793" s="317"/>
      <c r="W793" s="317"/>
      <c r="X793" s="317"/>
      <c r="Y793" s="319" t="s">
        <v>4475</v>
      </c>
    </row>
    <row r="794" spans="1:25" s="91" customFormat="1" hidden="1" x14ac:dyDescent="0.25">
      <c r="A794" s="32" t="s">
        <v>1519</v>
      </c>
      <c r="B794" s="315" t="str">
        <f>IF((COUNTBLANK(G794)=0),Stats!$E$7,IF((COUNTBLANK(E794)=0),IF((COUNTBLANK(F794)=0),IF((COUNTBLANK(U794)=0),Stats!$E$6,Stats!$E$5),Stats!$E$4),""))</f>
        <v>Death</v>
      </c>
      <c r="C794" s="39" t="s">
        <v>62</v>
      </c>
      <c r="D794" s="315"/>
      <c r="E794" s="88">
        <v>44419</v>
      </c>
      <c r="F794" s="316">
        <v>36892</v>
      </c>
      <c r="G794" s="316">
        <v>36893</v>
      </c>
      <c r="H794" s="317" t="s">
        <v>3154</v>
      </c>
      <c r="I794" s="317"/>
      <c r="J794" s="317" t="s">
        <v>152</v>
      </c>
      <c r="K794" s="315" t="s">
        <v>3222</v>
      </c>
      <c r="L794" s="315"/>
      <c r="M794" s="317"/>
      <c r="N794" s="320" t="s">
        <v>3365</v>
      </c>
      <c r="O794" s="317" t="s">
        <v>51</v>
      </c>
      <c r="P794" s="318">
        <v>-500</v>
      </c>
      <c r="Q794" s="318">
        <v>500</v>
      </c>
      <c r="R794" s="317" t="s">
        <v>4441</v>
      </c>
      <c r="S794" s="317"/>
      <c r="T794" s="317"/>
      <c r="U794" s="317"/>
      <c r="V794" s="317"/>
      <c r="W794" s="317"/>
      <c r="X794" s="317"/>
      <c r="Y794" s="319" t="s">
        <v>4475</v>
      </c>
    </row>
    <row r="795" spans="1:25" s="91" customFormat="1" hidden="1" x14ac:dyDescent="0.25">
      <c r="A795" s="32" t="s">
        <v>1520</v>
      </c>
      <c r="B795" s="315" t="str">
        <f>IF((COUNTBLANK(G795)=0),Stats!$E$7,IF((COUNTBLANK(E795)=0),IF((COUNTBLANK(F795)=0),IF((COUNTBLANK(U795)=0),Stats!$E$6,Stats!$E$5),Stats!$E$4),""))</f>
        <v>Death</v>
      </c>
      <c r="C795" s="39" t="s">
        <v>62</v>
      </c>
      <c r="D795" s="315"/>
      <c r="E795" s="88">
        <v>44419</v>
      </c>
      <c r="F795" s="316">
        <v>44440</v>
      </c>
      <c r="G795" s="316">
        <v>36893</v>
      </c>
      <c r="H795" s="317" t="s">
        <v>98</v>
      </c>
      <c r="I795" s="317"/>
      <c r="J795" s="317" t="s">
        <v>152</v>
      </c>
      <c r="K795" s="315" t="s">
        <v>3222</v>
      </c>
      <c r="L795" s="315"/>
      <c r="M795" s="317"/>
      <c r="N795" s="320" t="s">
        <v>3365</v>
      </c>
      <c r="O795" s="317" t="s">
        <v>51</v>
      </c>
      <c r="P795" s="318">
        <v>-500</v>
      </c>
      <c r="Q795" s="318">
        <v>500</v>
      </c>
      <c r="R795" s="317" t="s">
        <v>4537</v>
      </c>
      <c r="S795" s="317"/>
      <c r="T795" s="317"/>
      <c r="U795" s="317" t="s">
        <v>4538</v>
      </c>
      <c r="V795" s="317"/>
      <c r="W795" s="317"/>
      <c r="X795" s="317"/>
      <c r="Y795" s="319" t="s">
        <v>4475</v>
      </c>
    </row>
    <row r="796" spans="1:25" s="91" customFormat="1" hidden="1" x14ac:dyDescent="0.25">
      <c r="A796" s="32" t="s">
        <v>1521</v>
      </c>
      <c r="B796" s="315" t="str">
        <f>IF((COUNTBLANK(G796)=0),Stats!$E$7,IF((COUNTBLANK(E796)=0),IF((COUNTBLANK(F796)=0),IF((COUNTBLANK(U796)=0),Stats!$E$6,Stats!$E$5),Stats!$E$4),""))</f>
        <v>Death</v>
      </c>
      <c r="C796" s="39" t="s">
        <v>62</v>
      </c>
      <c r="D796" s="315"/>
      <c r="E796" s="88">
        <v>44419</v>
      </c>
      <c r="F796" s="316">
        <v>44466</v>
      </c>
      <c r="G796" s="316">
        <v>36893</v>
      </c>
      <c r="H796" s="317" t="s">
        <v>98</v>
      </c>
      <c r="I796" s="317"/>
      <c r="J796" s="317" t="s">
        <v>152</v>
      </c>
      <c r="K796" s="315" t="s">
        <v>3222</v>
      </c>
      <c r="L796" s="315"/>
      <c r="M796" s="317"/>
      <c r="N796" s="320" t="s">
        <v>3365</v>
      </c>
      <c r="O796" s="317" t="s">
        <v>51</v>
      </c>
      <c r="P796" s="318">
        <v>-500</v>
      </c>
      <c r="Q796" s="318">
        <v>500</v>
      </c>
      <c r="R796" s="317" t="s">
        <v>4539</v>
      </c>
      <c r="S796" s="317"/>
      <c r="T796" s="317"/>
      <c r="U796" s="317"/>
      <c r="V796" s="71" t="s">
        <v>4540</v>
      </c>
      <c r="W796" s="317"/>
      <c r="X796" s="317"/>
      <c r="Y796" s="319" t="s">
        <v>4541</v>
      </c>
    </row>
    <row r="797" spans="1:25" s="91" customFormat="1" hidden="1" x14ac:dyDescent="0.25">
      <c r="A797" s="32" t="s">
        <v>1522</v>
      </c>
      <c r="B797" s="315" t="str">
        <f ca="1">IF((COUNTBLANK(G797)=0),Stats!$E$7,IF((COUNTBLANK(E797)=0),IF((COUNTBLANK(F797)=0),IF((COUNTBLANK(U797)=0),Stats!$E$6,Stats!$E$5),Stats!$E$4),""))</f>
        <v>Death</v>
      </c>
      <c r="C797" s="42" t="s">
        <v>62</v>
      </c>
      <c r="D797" s="315"/>
      <c r="E797" s="88">
        <v>44419</v>
      </c>
      <c r="F797" s="88">
        <v>44449</v>
      </c>
      <c r="G797" s="316">
        <f ca="1">TODAY()</f>
        <v>46065</v>
      </c>
      <c r="H797" s="317" t="s">
        <v>98</v>
      </c>
      <c r="I797" s="329"/>
      <c r="J797" s="329" t="s">
        <v>152</v>
      </c>
      <c r="K797" s="315" t="s">
        <v>3222</v>
      </c>
      <c r="L797" s="315"/>
      <c r="M797" s="317"/>
      <c r="N797" s="320" t="s">
        <v>3365</v>
      </c>
      <c r="O797" s="329" t="s">
        <v>51</v>
      </c>
      <c r="P797" s="330">
        <v>-500</v>
      </c>
      <c r="Q797" s="330">
        <v>500</v>
      </c>
      <c r="R797" s="329" t="s">
        <v>4542</v>
      </c>
      <c r="S797" s="329"/>
      <c r="T797" s="329"/>
      <c r="U797" s="329" t="s">
        <v>4543</v>
      </c>
      <c r="V797" s="82" t="s">
        <v>4540</v>
      </c>
      <c r="W797" s="329"/>
      <c r="X797" s="329"/>
      <c r="Y797" s="319"/>
    </row>
    <row r="798" spans="1:25" s="91" customFormat="1" hidden="1" x14ac:dyDescent="0.25">
      <c r="A798" s="32" t="s">
        <v>1523</v>
      </c>
      <c r="B798" s="315" t="str">
        <f>IF((COUNTBLANK(G798)=0),Stats!$E$7,IF((COUNTBLANK(E798)=0),IF((COUNTBLANK(F798)=0),IF((COUNTBLANK(U798)=0),Stats!$E$6,Stats!$E$5),Stats!$E$4),""))</f>
        <v>Death</v>
      </c>
      <c r="C798" s="39" t="s">
        <v>62</v>
      </c>
      <c r="D798" s="315"/>
      <c r="E798" s="88">
        <v>44419</v>
      </c>
      <c r="F798" s="316">
        <v>36892</v>
      </c>
      <c r="G798" s="316">
        <v>36893</v>
      </c>
      <c r="H798" s="317" t="s">
        <v>98</v>
      </c>
      <c r="I798" s="317"/>
      <c r="J798" s="317" t="s">
        <v>152</v>
      </c>
      <c r="K798" s="315" t="s">
        <v>3222</v>
      </c>
      <c r="L798" s="315"/>
      <c r="M798" s="317"/>
      <c r="N798" s="320" t="s">
        <v>3365</v>
      </c>
      <c r="O798" s="317" t="s">
        <v>51</v>
      </c>
      <c r="P798" s="318">
        <v>-500</v>
      </c>
      <c r="Q798" s="318">
        <v>500</v>
      </c>
      <c r="R798" s="317" t="s">
        <v>4544</v>
      </c>
      <c r="S798" s="317"/>
      <c r="T798" s="317"/>
      <c r="U798" s="317"/>
      <c r="V798" s="317"/>
      <c r="W798" s="317"/>
      <c r="X798" s="317"/>
      <c r="Y798" s="319" t="s">
        <v>4475</v>
      </c>
    </row>
    <row r="799" spans="1:25" s="91" customFormat="1" hidden="1" x14ac:dyDescent="0.25">
      <c r="A799" s="32" t="s">
        <v>1524</v>
      </c>
      <c r="B799" s="315" t="str">
        <f>IF((COUNTBLANK(G799)=0),Stats!$E$7,IF((COUNTBLANK(E799)=0),IF((COUNTBLANK(F799)=0),IF((COUNTBLANK(U799)=0),Stats!$E$6,Stats!$E$5),Stats!$E$4),""))</f>
        <v>Death</v>
      </c>
      <c r="C799" s="43" t="s">
        <v>62</v>
      </c>
      <c r="D799" s="315" t="s">
        <v>59</v>
      </c>
      <c r="E799" s="88">
        <v>44438</v>
      </c>
      <c r="F799" s="88">
        <v>44449</v>
      </c>
      <c r="G799" s="316">
        <v>44993</v>
      </c>
      <c r="H799" s="317" t="s">
        <v>3154</v>
      </c>
      <c r="I799" s="52"/>
      <c r="J799" s="329" t="s">
        <v>152</v>
      </c>
      <c r="K799" s="315" t="s">
        <v>3222</v>
      </c>
      <c r="L799" s="315"/>
      <c r="M799" s="315"/>
      <c r="N799" s="320" t="s">
        <v>3365</v>
      </c>
      <c r="O799" s="329" t="s">
        <v>51</v>
      </c>
      <c r="P799" s="330">
        <v>-500</v>
      </c>
      <c r="Q799" s="330">
        <v>500</v>
      </c>
      <c r="R799" s="329" t="s">
        <v>4545</v>
      </c>
      <c r="S799" s="329"/>
      <c r="T799" s="329"/>
      <c r="U799" s="329" t="s">
        <v>4546</v>
      </c>
      <c r="V799" s="82" t="s">
        <v>4540</v>
      </c>
      <c r="W799" s="329"/>
      <c r="X799" s="329"/>
      <c r="Y799" s="319" t="s">
        <v>4410</v>
      </c>
    </row>
    <row r="800" spans="1:25" s="91" customFormat="1" hidden="1" x14ac:dyDescent="0.25">
      <c r="A800" s="32" t="s">
        <v>1525</v>
      </c>
      <c r="B800" s="315" t="str">
        <f>IF((COUNTBLANK(G800)=0),Stats!$E$7,IF((COUNTBLANK(E800)=0),IF((COUNTBLANK(F800)=0),IF((COUNTBLANK(U800)=0),Stats!$E$6,Stats!$E$5),Stats!$E$4),""))</f>
        <v>Death</v>
      </c>
      <c r="C800" s="39" t="s">
        <v>62</v>
      </c>
      <c r="D800" s="315"/>
      <c r="E800" s="88">
        <v>44438</v>
      </c>
      <c r="F800" s="316">
        <v>36892</v>
      </c>
      <c r="G800" s="316">
        <v>36893</v>
      </c>
      <c r="H800" s="317" t="s">
        <v>3154</v>
      </c>
      <c r="I800" s="317"/>
      <c r="J800" s="317" t="s">
        <v>152</v>
      </c>
      <c r="K800" s="315" t="s">
        <v>3222</v>
      </c>
      <c r="L800" s="315"/>
      <c r="M800" s="317"/>
      <c r="N800" s="320" t="s">
        <v>3365</v>
      </c>
      <c r="O800" s="317" t="s">
        <v>51</v>
      </c>
      <c r="P800" s="318">
        <v>-500</v>
      </c>
      <c r="Q800" s="318">
        <v>500</v>
      </c>
      <c r="R800" s="317" t="s">
        <v>4547</v>
      </c>
      <c r="S800" s="317"/>
      <c r="T800" s="317"/>
      <c r="U800" s="317"/>
      <c r="V800" s="82" t="s">
        <v>4540</v>
      </c>
      <c r="W800" s="317"/>
      <c r="X800" s="317"/>
      <c r="Y800" s="319"/>
    </row>
    <row r="801" spans="1:25" s="91" customFormat="1" hidden="1" x14ac:dyDescent="0.25">
      <c r="A801" s="32" t="s">
        <v>1526</v>
      </c>
      <c r="B801" s="315" t="str">
        <f>IF((COUNTBLANK(G801)=0),Stats!$E$7,IF((COUNTBLANK(E801)=0),IF((COUNTBLANK(F801)=0),IF((COUNTBLANK(U801)=0),Stats!$E$6,Stats!$E$5),Stats!$E$4),""))</f>
        <v>Death</v>
      </c>
      <c r="C801" s="39" t="s">
        <v>62</v>
      </c>
      <c r="D801" s="315"/>
      <c r="E801" s="88">
        <v>44446</v>
      </c>
      <c r="F801" s="316">
        <v>44449</v>
      </c>
      <c r="G801" s="316">
        <v>36893</v>
      </c>
      <c r="H801" s="317" t="s">
        <v>98</v>
      </c>
      <c r="I801" s="317"/>
      <c r="J801" s="317" t="s">
        <v>152</v>
      </c>
      <c r="K801" s="315" t="s">
        <v>4048</v>
      </c>
      <c r="L801" s="315"/>
      <c r="M801" s="317"/>
      <c r="N801" s="320"/>
      <c r="O801" s="317" t="s">
        <v>51</v>
      </c>
      <c r="P801" s="318">
        <v>-500</v>
      </c>
      <c r="Q801" s="318">
        <v>500</v>
      </c>
      <c r="R801" s="317" t="s">
        <v>4548</v>
      </c>
      <c r="S801" s="317"/>
      <c r="T801" s="317"/>
      <c r="U801" s="317" t="s">
        <v>4549</v>
      </c>
      <c r="V801" s="71" t="s">
        <v>4540</v>
      </c>
      <c r="W801" s="317"/>
      <c r="X801" s="317"/>
      <c r="Y801" s="319" t="s">
        <v>4478</v>
      </c>
    </row>
    <row r="802" spans="1:25" s="91" customFormat="1" hidden="1" x14ac:dyDescent="0.25">
      <c r="A802" s="32" t="s">
        <v>1527</v>
      </c>
      <c r="B802" s="315" t="str">
        <f>IF((COUNTBLANK(G802)=0),Stats!$E$7,IF((COUNTBLANK(E802)=0),IF((COUNTBLANK(F802)=0),IF((COUNTBLANK(U802)=0),Stats!$E$6,Stats!$E$5),Stats!$E$4),""))</f>
        <v>Death</v>
      </c>
      <c r="C802" s="39" t="s">
        <v>62</v>
      </c>
      <c r="D802" s="315"/>
      <c r="E802" s="88">
        <v>44446</v>
      </c>
      <c r="F802" s="88">
        <v>44449</v>
      </c>
      <c r="G802" s="316">
        <v>36893</v>
      </c>
      <c r="H802" s="317" t="s">
        <v>98</v>
      </c>
      <c r="I802" s="317"/>
      <c r="J802" s="317" t="s">
        <v>152</v>
      </c>
      <c r="K802" s="315" t="s">
        <v>4048</v>
      </c>
      <c r="L802" s="315"/>
      <c r="M802" s="317"/>
      <c r="N802" s="320"/>
      <c r="O802" s="317" t="s">
        <v>51</v>
      </c>
      <c r="P802" s="318">
        <v>-500</v>
      </c>
      <c r="Q802" s="318">
        <v>500</v>
      </c>
      <c r="R802" s="317" t="s">
        <v>4537</v>
      </c>
      <c r="S802" s="317"/>
      <c r="T802" s="317"/>
      <c r="U802" s="317" t="s">
        <v>4550</v>
      </c>
      <c r="V802" s="71" t="s">
        <v>4540</v>
      </c>
      <c r="W802" s="317"/>
      <c r="X802" s="317"/>
      <c r="Y802" s="319" t="s">
        <v>4551</v>
      </c>
    </row>
    <row r="803" spans="1:25" s="91" customFormat="1" hidden="1" x14ac:dyDescent="0.25">
      <c r="A803" s="32" t="s">
        <v>1528</v>
      </c>
      <c r="B803" s="315" t="str">
        <f>IF((COUNTBLANK(G803)=0),Stats!$E$7,IF((COUNTBLANK(E803)=0),IF((COUNTBLANK(F803)=0),IF((COUNTBLANK(U803)=0),Stats!$E$6,Stats!$E$5),Stats!$E$4),""))</f>
        <v>Death</v>
      </c>
      <c r="C803" s="39" t="s">
        <v>284</v>
      </c>
      <c r="D803" s="315"/>
      <c r="E803" s="88">
        <v>44447</v>
      </c>
      <c r="F803" s="316">
        <v>44473</v>
      </c>
      <c r="G803" s="316">
        <v>36893</v>
      </c>
      <c r="H803" s="317" t="s">
        <v>3128</v>
      </c>
      <c r="I803" s="317"/>
      <c r="J803" s="317" t="s">
        <v>152</v>
      </c>
      <c r="K803" s="315" t="s">
        <v>3828</v>
      </c>
      <c r="L803" s="315" t="s">
        <v>4048</v>
      </c>
      <c r="M803" s="317" t="s">
        <v>3093</v>
      </c>
      <c r="N803" s="320" t="s">
        <v>4200</v>
      </c>
      <c r="O803" s="317" t="s">
        <v>51</v>
      </c>
      <c r="P803" s="318">
        <v>-500</v>
      </c>
      <c r="Q803" s="318">
        <v>600</v>
      </c>
      <c r="R803" s="317" t="s">
        <v>4552</v>
      </c>
      <c r="S803" s="317"/>
      <c r="T803" s="317"/>
      <c r="U803" s="317"/>
      <c r="V803" s="82" t="s">
        <v>4540</v>
      </c>
      <c r="W803" s="317"/>
      <c r="X803" s="317"/>
      <c r="Y803" s="319" t="s">
        <v>4489</v>
      </c>
    </row>
    <row r="804" spans="1:25" s="91" customFormat="1" hidden="1" x14ac:dyDescent="0.25">
      <c r="A804" s="32" t="s">
        <v>1529</v>
      </c>
      <c r="B804" s="315" t="str">
        <f>IF((COUNTBLANK(G804)=0),Stats!$E$7,IF((COUNTBLANK(E804)=0),IF((COUNTBLANK(F804)=0),IF((COUNTBLANK(U804)=0),Stats!$E$6,Stats!$E$5),Stats!$E$4),""))</f>
        <v>Death</v>
      </c>
      <c r="C804" s="40" t="s">
        <v>284</v>
      </c>
      <c r="D804" s="315" t="s">
        <v>325</v>
      </c>
      <c r="E804" s="88">
        <v>44447</v>
      </c>
      <c r="F804" s="88">
        <v>44468</v>
      </c>
      <c r="G804" s="316">
        <v>44872</v>
      </c>
      <c r="H804" s="317" t="s">
        <v>3128</v>
      </c>
      <c r="I804" s="52"/>
      <c r="J804" s="325" t="s">
        <v>152</v>
      </c>
      <c r="K804" s="315" t="s">
        <v>3828</v>
      </c>
      <c r="L804" s="315" t="s">
        <v>4048</v>
      </c>
      <c r="M804" s="315" t="s">
        <v>3093</v>
      </c>
      <c r="N804" s="320" t="s">
        <v>4200</v>
      </c>
      <c r="O804" s="325" t="s">
        <v>51</v>
      </c>
      <c r="P804" s="326">
        <v>-500</v>
      </c>
      <c r="Q804" s="326">
        <v>600</v>
      </c>
      <c r="R804" s="325" t="s">
        <v>4441</v>
      </c>
      <c r="S804" s="325"/>
      <c r="T804" s="325"/>
      <c r="U804" s="325" t="s">
        <v>4553</v>
      </c>
      <c r="V804" s="325" t="s">
        <v>4554</v>
      </c>
      <c r="W804" s="325"/>
      <c r="X804" s="325"/>
      <c r="Y804" s="319" t="s">
        <v>4506</v>
      </c>
    </row>
    <row r="805" spans="1:25" s="91" customFormat="1" hidden="1" x14ac:dyDescent="0.25">
      <c r="A805" s="32" t="s">
        <v>1530</v>
      </c>
      <c r="B805" s="315" t="str">
        <f>IF((COUNTBLANK(G805)=0),Stats!$E$7,IF((COUNTBLANK(E805)=0),IF((COUNTBLANK(F805)=0),IF((COUNTBLANK(U805)=0),Stats!$E$6,Stats!$E$5),Stats!$E$4),""))</f>
        <v>Death</v>
      </c>
      <c r="C805" s="39" t="s">
        <v>284</v>
      </c>
      <c r="D805" s="315"/>
      <c r="E805" s="88">
        <v>44447</v>
      </c>
      <c r="F805" s="316">
        <v>44468</v>
      </c>
      <c r="G805" s="316">
        <v>36893</v>
      </c>
      <c r="H805" s="317" t="s">
        <v>3128</v>
      </c>
      <c r="I805" s="317"/>
      <c r="J805" s="317" t="s">
        <v>152</v>
      </c>
      <c r="K805" s="315" t="s">
        <v>3828</v>
      </c>
      <c r="L805" s="315" t="s">
        <v>4048</v>
      </c>
      <c r="M805" s="317" t="s">
        <v>3093</v>
      </c>
      <c r="N805" s="320" t="s">
        <v>4200</v>
      </c>
      <c r="O805" s="317" t="s">
        <v>51</v>
      </c>
      <c r="P805" s="318">
        <v>-500</v>
      </c>
      <c r="Q805" s="318">
        <v>600</v>
      </c>
      <c r="R805" s="317" t="s">
        <v>4555</v>
      </c>
      <c r="S805" s="317"/>
      <c r="T805" s="317"/>
      <c r="U805" s="317"/>
      <c r="V805" s="317"/>
      <c r="W805" s="317"/>
      <c r="X805" s="317"/>
      <c r="Y805" s="319" t="s">
        <v>4489</v>
      </c>
    </row>
    <row r="806" spans="1:25" s="91" customFormat="1" hidden="1" x14ac:dyDescent="0.25">
      <c r="A806" s="32" t="s">
        <v>1531</v>
      </c>
      <c r="B806" s="315" t="str">
        <f>IF((COUNTBLANK(G806)=0),Stats!$E$7,IF((COUNTBLANK(E806)=0),IF((COUNTBLANK(F806)=0),IF((COUNTBLANK(U806)=0),Stats!$E$6,Stats!$E$5),Stats!$E$4),""))</f>
        <v>Death</v>
      </c>
      <c r="C806" s="39" t="s">
        <v>284</v>
      </c>
      <c r="D806" s="315"/>
      <c r="E806" s="88">
        <v>44447</v>
      </c>
      <c r="F806" s="316">
        <v>44473</v>
      </c>
      <c r="G806" s="316">
        <v>36893</v>
      </c>
      <c r="H806" s="317" t="s">
        <v>3128</v>
      </c>
      <c r="I806" s="317"/>
      <c r="J806" s="317" t="s">
        <v>152</v>
      </c>
      <c r="K806" s="315" t="s">
        <v>3828</v>
      </c>
      <c r="L806" s="315" t="s">
        <v>4048</v>
      </c>
      <c r="M806" s="317" t="s">
        <v>3093</v>
      </c>
      <c r="N806" s="320" t="s">
        <v>4200</v>
      </c>
      <c r="O806" s="317" t="s">
        <v>51</v>
      </c>
      <c r="P806" s="318">
        <v>-500</v>
      </c>
      <c r="Q806" s="318">
        <v>600</v>
      </c>
      <c r="R806" s="317" t="s">
        <v>4556</v>
      </c>
      <c r="S806" s="317"/>
      <c r="T806" s="317"/>
      <c r="U806" s="80" t="s">
        <v>4557</v>
      </c>
      <c r="V806" s="317"/>
      <c r="W806" s="317"/>
      <c r="X806" s="317"/>
      <c r="Y806" s="319" t="s">
        <v>4558</v>
      </c>
    </row>
    <row r="807" spans="1:25" s="91" customFormat="1" hidden="1" x14ac:dyDescent="0.25">
      <c r="A807" s="32" t="s">
        <v>1532</v>
      </c>
      <c r="B807" s="315" t="str">
        <f>IF((COUNTBLANK(G807)=0),Stats!$E$7,IF((COUNTBLANK(E807)=0),IF((COUNTBLANK(F807)=0),IF((COUNTBLANK(U807)=0),Stats!$E$6,Stats!$E$5),Stats!$E$4),""))</f>
        <v>Death</v>
      </c>
      <c r="C807" s="39" t="s">
        <v>284</v>
      </c>
      <c r="D807" s="315"/>
      <c r="E807" s="88">
        <v>44453</v>
      </c>
      <c r="F807" s="316">
        <v>44474</v>
      </c>
      <c r="G807" s="316">
        <v>36893</v>
      </c>
      <c r="H807" s="317" t="s">
        <v>98</v>
      </c>
      <c r="I807" s="317"/>
      <c r="J807" s="317" t="s">
        <v>152</v>
      </c>
      <c r="K807" s="315" t="s">
        <v>3828</v>
      </c>
      <c r="L807" s="315" t="s">
        <v>4048</v>
      </c>
      <c r="M807" s="317" t="s">
        <v>3093</v>
      </c>
      <c r="N807" s="320" t="s">
        <v>4200</v>
      </c>
      <c r="O807" s="317" t="s">
        <v>51</v>
      </c>
      <c r="P807" s="318">
        <v>-500</v>
      </c>
      <c r="Q807" s="318">
        <v>500</v>
      </c>
      <c r="R807" s="317" t="s">
        <v>4548</v>
      </c>
      <c r="S807" s="317"/>
      <c r="T807" s="317" t="s">
        <v>4559</v>
      </c>
      <c r="U807" s="317" t="s">
        <v>4560</v>
      </c>
      <c r="V807" s="317"/>
      <c r="W807" s="317"/>
      <c r="X807" s="317"/>
      <c r="Y807" s="319" t="s">
        <v>4506</v>
      </c>
    </row>
    <row r="808" spans="1:25" s="91" customFormat="1" hidden="1" x14ac:dyDescent="0.25">
      <c r="A808" s="32" t="s">
        <v>1533</v>
      </c>
      <c r="B808" s="315" t="str">
        <f>IF((COUNTBLANK(G808)=0),Stats!$E$7,IF((COUNTBLANK(E808)=0),IF((COUNTBLANK(F808)=0),IF((COUNTBLANK(U808)=0),Stats!$E$6,Stats!$E$5),Stats!$E$4),""))</f>
        <v>Death</v>
      </c>
      <c r="C808" s="39" t="s">
        <v>284</v>
      </c>
      <c r="D808" s="315"/>
      <c r="E808" s="88">
        <v>44453</v>
      </c>
      <c r="F808" s="316">
        <v>44474</v>
      </c>
      <c r="G808" s="316">
        <v>36893</v>
      </c>
      <c r="H808" s="317" t="s">
        <v>98</v>
      </c>
      <c r="I808" s="317"/>
      <c r="J808" s="317" t="s">
        <v>152</v>
      </c>
      <c r="K808" s="315" t="s">
        <v>3828</v>
      </c>
      <c r="L808" s="315" t="s">
        <v>4048</v>
      </c>
      <c r="M808" s="317" t="s">
        <v>3093</v>
      </c>
      <c r="N808" s="320" t="s">
        <v>4200</v>
      </c>
      <c r="O808" s="317" t="s">
        <v>51</v>
      </c>
      <c r="P808" s="318">
        <v>-500</v>
      </c>
      <c r="Q808" s="318">
        <v>500</v>
      </c>
      <c r="R808" s="317" t="s">
        <v>4561</v>
      </c>
      <c r="S808" s="317"/>
      <c r="T808" s="317" t="s">
        <v>4562</v>
      </c>
      <c r="U808" s="317"/>
      <c r="V808" s="317"/>
      <c r="W808" s="317"/>
      <c r="X808" s="317"/>
      <c r="Y808" s="319" t="s">
        <v>4506</v>
      </c>
    </row>
    <row r="809" spans="1:25" s="91" customFormat="1" hidden="1" x14ac:dyDescent="0.25">
      <c r="A809" s="32" t="s">
        <v>1534</v>
      </c>
      <c r="B809" s="315" t="str">
        <f>IF((COUNTBLANK(G809)=0),Stats!$E$7,IF((COUNTBLANK(E809)=0),IF((COUNTBLANK(F809)=0),IF((COUNTBLANK(U809)=0),Stats!$E$6,Stats!$E$5),Stats!$E$4),""))</f>
        <v>Death</v>
      </c>
      <c r="C809" s="40" t="s">
        <v>284</v>
      </c>
      <c r="D809" s="315" t="s">
        <v>407</v>
      </c>
      <c r="E809" s="88">
        <v>44453</v>
      </c>
      <c r="F809" s="88">
        <v>44474</v>
      </c>
      <c r="G809" s="316">
        <v>44993</v>
      </c>
      <c r="H809" s="317" t="s">
        <v>98</v>
      </c>
      <c r="I809" s="52"/>
      <c r="J809" s="329" t="s">
        <v>152</v>
      </c>
      <c r="K809" s="315" t="s">
        <v>3828</v>
      </c>
      <c r="L809" s="315" t="s">
        <v>4048</v>
      </c>
      <c r="M809" s="315" t="s">
        <v>3093</v>
      </c>
      <c r="N809" s="320" t="s">
        <v>4200</v>
      </c>
      <c r="O809" s="329" t="s">
        <v>51</v>
      </c>
      <c r="P809" s="330">
        <v>-500</v>
      </c>
      <c r="Q809" s="330">
        <v>500</v>
      </c>
      <c r="R809" s="329" t="s">
        <v>4563</v>
      </c>
      <c r="S809" s="329"/>
      <c r="T809" s="329" t="s">
        <v>3531</v>
      </c>
      <c r="U809" s="329" t="s">
        <v>4560</v>
      </c>
      <c r="V809" s="329"/>
      <c r="W809" s="329"/>
      <c r="X809" s="329"/>
      <c r="Y809" s="319" t="s">
        <v>4564</v>
      </c>
    </row>
    <row r="810" spans="1:25" s="91" customFormat="1" hidden="1" x14ac:dyDescent="0.25">
      <c r="A810" s="32" t="s">
        <v>1535</v>
      </c>
      <c r="B810" s="315" t="str">
        <f>IF((COUNTBLANK(G810)=0),Stats!$E$7,IF((COUNTBLANK(E810)=0),IF((COUNTBLANK(F810)=0),IF((COUNTBLANK(U810)=0),Stats!$E$6,Stats!$E$5),Stats!$E$4),""))</f>
        <v>Death</v>
      </c>
      <c r="C810" s="39" t="s">
        <v>284</v>
      </c>
      <c r="D810" s="315"/>
      <c r="E810" s="88">
        <v>44453</v>
      </c>
      <c r="F810" s="316">
        <v>36892</v>
      </c>
      <c r="G810" s="316">
        <v>36893</v>
      </c>
      <c r="H810" s="317" t="s">
        <v>98</v>
      </c>
      <c r="I810" s="317"/>
      <c r="J810" s="317" t="s">
        <v>152</v>
      </c>
      <c r="K810" s="315" t="s">
        <v>3828</v>
      </c>
      <c r="L810" s="315" t="s">
        <v>4048</v>
      </c>
      <c r="M810" s="317" t="s">
        <v>3093</v>
      </c>
      <c r="N810" s="320" t="s">
        <v>4200</v>
      </c>
      <c r="O810" s="317" t="s">
        <v>51</v>
      </c>
      <c r="P810" s="318">
        <v>-500</v>
      </c>
      <c r="Q810" s="318">
        <v>500</v>
      </c>
      <c r="R810" s="317" t="s">
        <v>4565</v>
      </c>
      <c r="S810" s="317"/>
      <c r="T810" s="317"/>
      <c r="U810" s="317"/>
      <c r="V810" s="317"/>
      <c r="W810" s="317"/>
      <c r="X810" s="317"/>
      <c r="Y810" s="319" t="s">
        <v>4506</v>
      </c>
    </row>
    <row r="811" spans="1:25" s="91" customFormat="1" hidden="1" x14ac:dyDescent="0.25">
      <c r="A811" s="32" t="s">
        <v>1536</v>
      </c>
      <c r="B811" s="315" t="str">
        <f>IF((COUNTBLANK(G811)=0),Stats!$E$7,IF((COUNTBLANK(E811)=0),IF((COUNTBLANK(F811)=0),IF((COUNTBLANK(U811)=0),Stats!$E$6,Stats!$E$5),Stats!$E$4),""))</f>
        <v>Death</v>
      </c>
      <c r="C811" s="40" t="s">
        <v>284</v>
      </c>
      <c r="D811" s="315" t="s">
        <v>59</v>
      </c>
      <c r="E811" s="88">
        <v>44460</v>
      </c>
      <c r="F811" s="88">
        <v>44473</v>
      </c>
      <c r="G811" s="316">
        <v>44841</v>
      </c>
      <c r="H811" s="317" t="s">
        <v>3128</v>
      </c>
      <c r="I811" s="52"/>
      <c r="J811" s="329" t="s">
        <v>152</v>
      </c>
      <c r="K811" s="315" t="s">
        <v>4025</v>
      </c>
      <c r="L811" s="331"/>
      <c r="M811" s="331"/>
      <c r="N811" s="320" t="s">
        <v>196</v>
      </c>
      <c r="O811" s="329" t="s">
        <v>51</v>
      </c>
      <c r="P811" s="330">
        <v>-500</v>
      </c>
      <c r="Q811" s="330">
        <v>600</v>
      </c>
      <c r="R811" s="329" t="s">
        <v>4566</v>
      </c>
      <c r="S811" s="329"/>
      <c r="T811" s="329"/>
      <c r="U811" s="329" t="s">
        <v>4567</v>
      </c>
      <c r="V811" s="329" t="s">
        <v>4568</v>
      </c>
      <c r="W811" s="329"/>
      <c r="X811" s="329"/>
      <c r="Y811" s="319" t="s">
        <v>4410</v>
      </c>
    </row>
    <row r="812" spans="1:25" s="91" customFormat="1" hidden="1" x14ac:dyDescent="0.25">
      <c r="A812" s="32" t="s">
        <v>1537</v>
      </c>
      <c r="B812" s="315" t="str">
        <f>IF((COUNTBLANK(G812)=0),Stats!$E$7,IF((COUNTBLANK(E812)=0),IF((COUNTBLANK(F812)=0),IF((COUNTBLANK(U812)=0),Stats!$E$6,Stats!$E$5),Stats!$E$4),""))</f>
        <v>Death</v>
      </c>
      <c r="C812" s="40" t="s">
        <v>284</v>
      </c>
      <c r="D812" s="315" t="s">
        <v>59</v>
      </c>
      <c r="E812" s="88">
        <v>44460</v>
      </c>
      <c r="F812" s="88">
        <v>44488</v>
      </c>
      <c r="G812" s="316">
        <v>45020</v>
      </c>
      <c r="H812" s="317" t="s">
        <v>3128</v>
      </c>
      <c r="I812" s="52"/>
      <c r="J812" s="329" t="s">
        <v>152</v>
      </c>
      <c r="K812" s="315" t="s">
        <v>4025</v>
      </c>
      <c r="L812" s="331"/>
      <c r="M812" s="331"/>
      <c r="N812" s="320" t="s">
        <v>196</v>
      </c>
      <c r="O812" s="329" t="s">
        <v>51</v>
      </c>
      <c r="P812" s="330">
        <v>-500</v>
      </c>
      <c r="Q812" s="330">
        <v>600</v>
      </c>
      <c r="R812" s="329" t="s">
        <v>4569</v>
      </c>
      <c r="S812" s="329"/>
      <c r="T812" s="329" t="s">
        <v>4570</v>
      </c>
      <c r="U812" s="329" t="s">
        <v>4571</v>
      </c>
      <c r="V812" s="329"/>
      <c r="W812" s="329"/>
      <c r="X812" s="329"/>
      <c r="Y812" s="319" t="s">
        <v>4410</v>
      </c>
    </row>
    <row r="813" spans="1:25" s="91" customFormat="1" hidden="1" x14ac:dyDescent="0.25">
      <c r="A813" s="32" t="s">
        <v>1538</v>
      </c>
      <c r="B813" s="315" t="str">
        <f>IF((COUNTBLANK(G813)=0),Stats!$E$7,IF((COUNTBLANK(E813)=0),IF((COUNTBLANK(F813)=0),IF((COUNTBLANK(U813)=0),Stats!$E$6,Stats!$E$5),Stats!$E$4),""))</f>
        <v>Death</v>
      </c>
      <c r="C813" s="39" t="s">
        <v>284</v>
      </c>
      <c r="D813" s="315"/>
      <c r="E813" s="88">
        <v>44460</v>
      </c>
      <c r="F813" s="316">
        <v>44488</v>
      </c>
      <c r="G813" s="316">
        <v>36893</v>
      </c>
      <c r="H813" s="317" t="s">
        <v>3128</v>
      </c>
      <c r="I813" s="317"/>
      <c r="J813" s="317" t="s">
        <v>152</v>
      </c>
      <c r="K813" s="315" t="s">
        <v>4025</v>
      </c>
      <c r="L813" s="331"/>
      <c r="M813" s="329"/>
      <c r="N813" s="320" t="s">
        <v>196</v>
      </c>
      <c r="O813" s="317" t="s">
        <v>51</v>
      </c>
      <c r="P813" s="318">
        <v>-500</v>
      </c>
      <c r="Q813" s="318">
        <v>600</v>
      </c>
      <c r="R813" s="317" t="s">
        <v>4572</v>
      </c>
      <c r="S813" s="317"/>
      <c r="T813" s="317" t="s">
        <v>4573</v>
      </c>
      <c r="U813" s="317" t="s">
        <v>4574</v>
      </c>
      <c r="V813" s="317" t="s">
        <v>4575</v>
      </c>
      <c r="W813" s="317"/>
      <c r="X813" s="317"/>
      <c r="Y813" s="319" t="s">
        <v>4564</v>
      </c>
    </row>
    <row r="814" spans="1:25" s="91" customFormat="1" hidden="1" x14ac:dyDescent="0.25">
      <c r="A814" s="32" t="s">
        <v>1539</v>
      </c>
      <c r="B814" s="315" t="str">
        <f>IF((COUNTBLANK(G814)=0),Stats!$E$7,IF((COUNTBLANK(E814)=0),IF((COUNTBLANK(F814)=0),IF((COUNTBLANK(U814)=0),Stats!$E$6,Stats!$E$5),Stats!$E$4),""))</f>
        <v>Death</v>
      </c>
      <c r="C814" s="40" t="s">
        <v>284</v>
      </c>
      <c r="D814" s="315" t="s">
        <v>325</v>
      </c>
      <c r="E814" s="88">
        <v>44466</v>
      </c>
      <c r="F814" s="88">
        <v>44488</v>
      </c>
      <c r="G814" s="316">
        <v>44993</v>
      </c>
      <c r="H814" s="317" t="s">
        <v>3128</v>
      </c>
      <c r="I814" s="52"/>
      <c r="J814" s="325" t="s">
        <v>152</v>
      </c>
      <c r="K814" s="315" t="s">
        <v>4025</v>
      </c>
      <c r="L814" s="331"/>
      <c r="M814" s="331"/>
      <c r="N814" s="320" t="s">
        <v>3365</v>
      </c>
      <c r="O814" s="325" t="s">
        <v>51</v>
      </c>
      <c r="P814" s="326">
        <v>-500</v>
      </c>
      <c r="Q814" s="326">
        <v>600</v>
      </c>
      <c r="R814" s="325" t="s">
        <v>4438</v>
      </c>
      <c r="S814" s="325"/>
      <c r="T814" s="325" t="s">
        <v>4576</v>
      </c>
      <c r="U814" s="325" t="s">
        <v>4577</v>
      </c>
      <c r="V814" s="325" t="s">
        <v>4578</v>
      </c>
      <c r="W814" s="325"/>
      <c r="X814" s="325"/>
      <c r="Y814" s="319" t="s">
        <v>4564</v>
      </c>
    </row>
    <row r="815" spans="1:25" s="91" customFormat="1" ht="15.75" hidden="1" customHeight="1" x14ac:dyDescent="0.25">
      <c r="A815" s="32" t="s">
        <v>1540</v>
      </c>
      <c r="B815" s="315" t="str">
        <f>IF((COUNTBLANK(G815)=0),Stats!$E$7,IF((COUNTBLANK(E815)=0),IF((COUNTBLANK(F815)=0),IF((COUNTBLANK(U815)=0),Stats!$E$6,Stats!$E$5),Stats!$E$4),""))</f>
        <v>Death</v>
      </c>
      <c r="C815" s="40" t="s">
        <v>284</v>
      </c>
      <c r="D815" s="315" t="s">
        <v>59</v>
      </c>
      <c r="E815" s="88">
        <v>44466</v>
      </c>
      <c r="F815" s="88">
        <v>44488</v>
      </c>
      <c r="G815" s="316">
        <v>44993</v>
      </c>
      <c r="H815" s="317" t="s">
        <v>3128</v>
      </c>
      <c r="I815" s="52"/>
      <c r="J815" s="329" t="s">
        <v>152</v>
      </c>
      <c r="K815" s="315" t="s">
        <v>4025</v>
      </c>
      <c r="L815" s="331"/>
      <c r="M815" s="331"/>
      <c r="N815" s="320" t="s">
        <v>3365</v>
      </c>
      <c r="O815" s="329" t="s">
        <v>51</v>
      </c>
      <c r="P815" s="330">
        <v>-500</v>
      </c>
      <c r="Q815" s="330">
        <v>600</v>
      </c>
      <c r="R815" s="329" t="s">
        <v>4579</v>
      </c>
      <c r="S815" s="329"/>
      <c r="T815" s="329" t="s">
        <v>4580</v>
      </c>
      <c r="U815" s="329" t="s">
        <v>4581</v>
      </c>
      <c r="V815" s="329" t="s">
        <v>4582</v>
      </c>
      <c r="W815" s="329"/>
      <c r="X815" s="329"/>
      <c r="Y815" s="319" t="s">
        <v>4410</v>
      </c>
    </row>
    <row r="816" spans="1:25" s="91" customFormat="1" hidden="1" x14ac:dyDescent="0.25">
      <c r="A816" s="32" t="s">
        <v>1541</v>
      </c>
      <c r="B816" s="332" t="str">
        <f>IF((COUNTBLANK(G816)=0),Stats!$E$7,IF((COUNTBLANK(E816)=0),IF((COUNTBLANK(F816)=0),IF((COUNTBLANK(U816)=0),Stats!$E$6,Stats!$E$5),Stats!$E$4),""))</f>
        <v>Death</v>
      </c>
      <c r="C816" s="40" t="s">
        <v>284</v>
      </c>
      <c r="D816" s="315" t="s">
        <v>325</v>
      </c>
      <c r="E816" s="88">
        <v>44466</v>
      </c>
      <c r="F816" s="88">
        <v>44495</v>
      </c>
      <c r="G816" s="316">
        <v>44965</v>
      </c>
      <c r="H816" s="317" t="s">
        <v>3128</v>
      </c>
      <c r="I816" s="52"/>
      <c r="J816" s="325" t="s">
        <v>152</v>
      </c>
      <c r="K816" s="315" t="s">
        <v>4025</v>
      </c>
      <c r="L816" s="331"/>
      <c r="M816" s="331"/>
      <c r="N816" s="320" t="s">
        <v>3365</v>
      </c>
      <c r="O816" s="325" t="s">
        <v>51</v>
      </c>
      <c r="P816" s="326">
        <v>-500</v>
      </c>
      <c r="Q816" s="326">
        <v>600</v>
      </c>
      <c r="R816" s="325" t="s">
        <v>4583</v>
      </c>
      <c r="S816" s="325"/>
      <c r="T816" s="325" t="s">
        <v>3531</v>
      </c>
      <c r="U816" s="325" t="s">
        <v>4584</v>
      </c>
      <c r="V816" s="325" t="s">
        <v>4585</v>
      </c>
      <c r="W816" s="325"/>
      <c r="X816" s="325"/>
      <c r="Y816" s="319" t="s">
        <v>4564</v>
      </c>
    </row>
    <row r="817" spans="1:25" s="91" customFormat="1" hidden="1" x14ac:dyDescent="0.25">
      <c r="A817" s="32" t="s">
        <v>1542</v>
      </c>
      <c r="B817" s="315" t="str">
        <f>IF((COUNTBLANK(G817)=0),Stats!$E$7,IF((COUNTBLANK(E817)=0),IF((COUNTBLANK(F817)=0),IF((COUNTBLANK(U817)=0),Stats!$E$6,Stats!$E$5),Stats!$E$4),""))</f>
        <v>Death</v>
      </c>
      <c r="C817" s="39" t="s">
        <v>284</v>
      </c>
      <c r="D817" s="315"/>
      <c r="E817" s="88">
        <v>44467</v>
      </c>
      <c r="F817" s="88">
        <v>36892</v>
      </c>
      <c r="G817" s="316">
        <v>44846</v>
      </c>
      <c r="H817" s="317" t="s">
        <v>98</v>
      </c>
      <c r="I817" s="333"/>
      <c r="J817" s="333" t="s">
        <v>152</v>
      </c>
      <c r="K817" s="315" t="s">
        <v>3828</v>
      </c>
      <c r="L817" s="315" t="s">
        <v>4048</v>
      </c>
      <c r="M817" s="317" t="s">
        <v>3093</v>
      </c>
      <c r="N817" s="320" t="s">
        <v>4200</v>
      </c>
      <c r="O817" s="333" t="s">
        <v>51</v>
      </c>
      <c r="P817" s="334">
        <v>-500</v>
      </c>
      <c r="Q817" s="334">
        <v>500</v>
      </c>
      <c r="R817" s="333" t="s">
        <v>4586</v>
      </c>
      <c r="S817" s="333"/>
      <c r="T817" s="333"/>
      <c r="U817" s="333" t="s">
        <v>4587</v>
      </c>
      <c r="V817" s="333"/>
      <c r="W817" s="333"/>
      <c r="X817" s="333"/>
      <c r="Y817" s="319" t="s">
        <v>4564</v>
      </c>
    </row>
    <row r="818" spans="1:25" s="91" customFormat="1" hidden="1" x14ac:dyDescent="0.25">
      <c r="A818" s="32" t="s">
        <v>1543</v>
      </c>
      <c r="B818" s="315" t="str">
        <f>IF((COUNTBLANK(G818)=0),Stats!$E$7,IF((COUNTBLANK(E818)=0),IF((COUNTBLANK(F818)=0),IF((COUNTBLANK(U818)=0),Stats!$E$6,Stats!$E$5),Stats!$E$4),""))</f>
        <v>Death</v>
      </c>
      <c r="C818" s="39" t="s">
        <v>284</v>
      </c>
      <c r="D818" s="315"/>
      <c r="E818" s="88">
        <v>44467</v>
      </c>
      <c r="F818" s="316">
        <v>36892</v>
      </c>
      <c r="G818" s="316">
        <v>36893</v>
      </c>
      <c r="H818" s="317" t="s">
        <v>98</v>
      </c>
      <c r="I818" s="317"/>
      <c r="J818" s="317" t="s">
        <v>152</v>
      </c>
      <c r="K818" s="315" t="s">
        <v>3828</v>
      </c>
      <c r="L818" s="315" t="s">
        <v>4048</v>
      </c>
      <c r="M818" s="317" t="s">
        <v>3093</v>
      </c>
      <c r="N818" s="320" t="s">
        <v>4200</v>
      </c>
      <c r="O818" s="317" t="s">
        <v>51</v>
      </c>
      <c r="P818" s="318">
        <v>-500</v>
      </c>
      <c r="Q818" s="318">
        <v>500</v>
      </c>
      <c r="R818" s="317" t="s">
        <v>4588</v>
      </c>
      <c r="S818" s="317"/>
      <c r="T818" s="317"/>
      <c r="U818" s="317"/>
      <c r="V818" s="317"/>
      <c r="W818" s="317"/>
      <c r="X818" s="317"/>
      <c r="Y818" s="319" t="s">
        <v>4506</v>
      </c>
    </row>
    <row r="819" spans="1:25" s="91" customFormat="1" hidden="1" x14ac:dyDescent="0.25">
      <c r="A819" s="32" t="s">
        <v>1544</v>
      </c>
      <c r="B819" s="315" t="str">
        <f>IF((COUNTBLANK(G819)=0),Stats!$E$7,IF((COUNTBLANK(E819)=0),IF((COUNTBLANK(F819)=0),IF((COUNTBLANK(U819)=0),Stats!$E$6,Stats!$E$5),Stats!$E$4),""))</f>
        <v>Death</v>
      </c>
      <c r="C819" s="39" t="s">
        <v>284</v>
      </c>
      <c r="D819" s="315"/>
      <c r="E819" s="88">
        <v>44487</v>
      </c>
      <c r="F819" s="316">
        <v>44495</v>
      </c>
      <c r="G819" s="316">
        <v>36893</v>
      </c>
      <c r="H819" s="317" t="s">
        <v>98</v>
      </c>
      <c r="I819" s="317"/>
      <c r="J819" s="317" t="s">
        <v>152</v>
      </c>
      <c r="K819" s="315" t="s">
        <v>4025</v>
      </c>
      <c r="L819" s="331"/>
      <c r="M819" s="329"/>
      <c r="N819" s="320" t="s">
        <v>196</v>
      </c>
      <c r="O819" s="317" t="s">
        <v>51</v>
      </c>
      <c r="P819" s="318">
        <v>-500</v>
      </c>
      <c r="Q819" s="318">
        <v>600</v>
      </c>
      <c r="R819" s="317" t="s">
        <v>4561</v>
      </c>
      <c r="S819" s="317"/>
      <c r="T819" s="317" t="s">
        <v>3531</v>
      </c>
      <c r="U819" s="317" t="s">
        <v>4589</v>
      </c>
      <c r="V819" s="317"/>
      <c r="W819" s="317"/>
      <c r="X819" s="317"/>
      <c r="Y819" s="319" t="s">
        <v>4564</v>
      </c>
    </row>
    <row r="820" spans="1:25" s="91" customFormat="1" hidden="1" x14ac:dyDescent="0.25">
      <c r="A820" s="32" t="s">
        <v>1545</v>
      </c>
      <c r="B820" s="315" t="str">
        <f>IF((COUNTBLANK(G820)=0),Stats!$E$7,IF((COUNTBLANK(E820)=0),IF((COUNTBLANK(F820)=0),IF((COUNTBLANK(U820)=0),Stats!$E$6,Stats!$E$5),Stats!$E$4),""))</f>
        <v>Death</v>
      </c>
      <c r="C820" s="39" t="s">
        <v>284</v>
      </c>
      <c r="D820" s="315"/>
      <c r="E820" s="88">
        <v>44487</v>
      </c>
      <c r="F820" s="316">
        <v>44495</v>
      </c>
      <c r="G820" s="316">
        <v>36893</v>
      </c>
      <c r="H820" s="317" t="s">
        <v>98</v>
      </c>
      <c r="I820" s="317"/>
      <c r="J820" s="317" t="s">
        <v>152</v>
      </c>
      <c r="K820" s="315" t="s">
        <v>4025</v>
      </c>
      <c r="L820" s="331"/>
      <c r="M820" s="329"/>
      <c r="N820" s="320" t="s">
        <v>196</v>
      </c>
      <c r="O820" s="317" t="s">
        <v>51</v>
      </c>
      <c r="P820" s="318">
        <v>-500</v>
      </c>
      <c r="Q820" s="318">
        <v>600</v>
      </c>
      <c r="R820" s="317" t="s">
        <v>4590</v>
      </c>
      <c r="S820" s="317"/>
      <c r="T820" s="317"/>
      <c r="U820" s="317" t="s">
        <v>4591</v>
      </c>
      <c r="V820" s="317"/>
      <c r="W820" s="317"/>
      <c r="X820" s="317"/>
      <c r="Y820" s="319" t="s">
        <v>4564</v>
      </c>
    </row>
    <row r="821" spans="1:25" s="91" customFormat="1" hidden="1" x14ac:dyDescent="0.25">
      <c r="A821" s="32" t="s">
        <v>1546</v>
      </c>
      <c r="B821" s="315" t="str">
        <f>IF((COUNTBLANK(G821)=0),Stats!$E$7,IF((COUNTBLANK(E821)=0),IF((COUNTBLANK(F821)=0),IF((COUNTBLANK(U821)=0),Stats!$E$6,Stats!$E$5),Stats!$E$4),""))</f>
        <v>Death</v>
      </c>
      <c r="C821" s="39" t="s">
        <v>284</v>
      </c>
      <c r="D821" s="315"/>
      <c r="E821" s="88">
        <v>44487</v>
      </c>
      <c r="F821" s="316">
        <v>44495</v>
      </c>
      <c r="G821" s="316">
        <v>36893</v>
      </c>
      <c r="H821" s="317" t="s">
        <v>98</v>
      </c>
      <c r="I821" s="317"/>
      <c r="J821" s="317" t="s">
        <v>152</v>
      </c>
      <c r="K821" s="315" t="s">
        <v>4025</v>
      </c>
      <c r="L821" s="331"/>
      <c r="M821" s="329"/>
      <c r="N821" s="320" t="s">
        <v>196</v>
      </c>
      <c r="O821" s="317" t="s">
        <v>51</v>
      </c>
      <c r="P821" s="318">
        <v>-500</v>
      </c>
      <c r="Q821" s="318">
        <v>600</v>
      </c>
      <c r="R821" s="317" t="s">
        <v>4592</v>
      </c>
      <c r="S821" s="317"/>
      <c r="T821" s="317" t="s">
        <v>4593</v>
      </c>
      <c r="U821" s="317" t="s">
        <v>4594</v>
      </c>
      <c r="V821" s="317"/>
      <c r="W821" s="317"/>
      <c r="X821" s="317"/>
      <c r="Y821" s="319" t="s">
        <v>4595</v>
      </c>
    </row>
    <row r="822" spans="1:25" s="91" customFormat="1" hidden="1" x14ac:dyDescent="0.25">
      <c r="A822" s="32" t="s">
        <v>1547</v>
      </c>
      <c r="B822" s="315" t="str">
        <f>IF((COUNTBLANK(G822)=0),Stats!$E$7,IF((COUNTBLANK(E822)=0),IF((COUNTBLANK(F822)=0),IF((COUNTBLANK(U822)=0),Stats!$E$6,Stats!$E$5),Stats!$E$4),""))</f>
        <v>Death</v>
      </c>
      <c r="C822" s="39" t="s">
        <v>284</v>
      </c>
      <c r="D822" s="315"/>
      <c r="E822" s="88">
        <v>44487</v>
      </c>
      <c r="F822" s="316">
        <v>44515</v>
      </c>
      <c r="G822" s="316">
        <v>36893</v>
      </c>
      <c r="H822" s="317" t="s">
        <v>98</v>
      </c>
      <c r="I822" s="317"/>
      <c r="J822" s="317" t="s">
        <v>152</v>
      </c>
      <c r="K822" s="315" t="s">
        <v>4025</v>
      </c>
      <c r="L822" s="331"/>
      <c r="M822" s="329"/>
      <c r="N822" s="320" t="s">
        <v>196</v>
      </c>
      <c r="O822" s="317" t="s">
        <v>51</v>
      </c>
      <c r="P822" s="318">
        <v>-500</v>
      </c>
      <c r="Q822" s="318">
        <v>600</v>
      </c>
      <c r="R822" s="317" t="s">
        <v>4596</v>
      </c>
      <c r="S822" s="317"/>
      <c r="T822" s="317"/>
      <c r="U822" s="317" t="s">
        <v>4597</v>
      </c>
      <c r="V822" s="317" t="s">
        <v>4598</v>
      </c>
      <c r="W822" s="317"/>
      <c r="X822" s="317"/>
      <c r="Y822" s="319" t="s">
        <v>4595</v>
      </c>
    </row>
    <row r="823" spans="1:25" s="91" customFormat="1" hidden="1" x14ac:dyDescent="0.25">
      <c r="A823" s="32" t="s">
        <v>1548</v>
      </c>
      <c r="B823" s="315" t="str">
        <f>IF((COUNTBLANK(G823)=0),Stats!$E$7,IF((COUNTBLANK(E823)=0),IF((COUNTBLANK(F823)=0),IF((COUNTBLANK(U823)=0),Stats!$E$6,Stats!$E$5),Stats!$E$4),""))</f>
        <v>Death</v>
      </c>
      <c r="C823" s="40" t="s">
        <v>284</v>
      </c>
      <c r="D823" s="315" t="s">
        <v>59</v>
      </c>
      <c r="E823" s="88">
        <v>44487</v>
      </c>
      <c r="F823" s="88">
        <v>44515</v>
      </c>
      <c r="G823" s="316">
        <v>44841</v>
      </c>
      <c r="H823" s="317" t="s">
        <v>3154</v>
      </c>
      <c r="I823" s="52"/>
      <c r="J823" s="335" t="s">
        <v>152</v>
      </c>
      <c r="K823" s="315" t="s">
        <v>4025</v>
      </c>
      <c r="L823" s="331"/>
      <c r="M823" s="331"/>
      <c r="N823" s="320" t="s">
        <v>196</v>
      </c>
      <c r="O823" s="335" t="s">
        <v>51</v>
      </c>
      <c r="P823" s="336">
        <v>-500</v>
      </c>
      <c r="Q823" s="336">
        <v>600</v>
      </c>
      <c r="R823" s="335" t="s">
        <v>4566</v>
      </c>
      <c r="S823" s="335"/>
      <c r="T823" s="335" t="s">
        <v>3531</v>
      </c>
      <c r="U823" s="335" t="s">
        <v>4599</v>
      </c>
      <c r="V823" s="335"/>
      <c r="W823" s="335"/>
      <c r="X823" s="335" t="s">
        <v>4600</v>
      </c>
      <c r="Y823" s="337" t="s">
        <v>4419</v>
      </c>
    </row>
    <row r="824" spans="1:25" s="91" customFormat="1" hidden="1" x14ac:dyDescent="0.25">
      <c r="A824" s="32" t="s">
        <v>1549</v>
      </c>
      <c r="B824" s="315" t="str">
        <f>IF((COUNTBLANK(G824)=0),Stats!$E$7,IF((COUNTBLANK(E824)=0),IF((COUNTBLANK(F824)=0),IF((COUNTBLANK(U824)=0),Stats!$E$6,Stats!$E$5),Stats!$E$4),""))</f>
        <v>Death</v>
      </c>
      <c r="C824" s="39" t="s">
        <v>284</v>
      </c>
      <c r="D824" s="315"/>
      <c r="E824" s="88">
        <v>44487</v>
      </c>
      <c r="F824" s="316">
        <v>36892</v>
      </c>
      <c r="G824" s="316">
        <v>36893</v>
      </c>
      <c r="H824" s="317" t="s">
        <v>3154</v>
      </c>
      <c r="I824" s="317"/>
      <c r="J824" s="317" t="s">
        <v>152</v>
      </c>
      <c r="K824" s="315" t="s">
        <v>4025</v>
      </c>
      <c r="L824" s="331"/>
      <c r="M824" s="329"/>
      <c r="N824" s="320" t="s">
        <v>196</v>
      </c>
      <c r="O824" s="317" t="s">
        <v>51</v>
      </c>
      <c r="P824" s="318">
        <v>-500</v>
      </c>
      <c r="Q824" s="318">
        <v>600</v>
      </c>
      <c r="R824" s="317" t="s">
        <v>4601</v>
      </c>
      <c r="S824" s="317"/>
      <c r="T824" s="317"/>
      <c r="U824" s="317"/>
      <c r="V824" s="317"/>
      <c r="W824" s="317"/>
      <c r="X824" s="317"/>
      <c r="Y824" s="319" t="s">
        <v>4506</v>
      </c>
    </row>
    <row r="825" spans="1:25" s="94" customFormat="1" hidden="1" x14ac:dyDescent="0.25">
      <c r="A825" s="33" t="s">
        <v>1550</v>
      </c>
      <c r="B825" s="332" t="str">
        <f>IF((COUNTBLANK(G825)=0),Stats!$E$7,IF((COUNTBLANK(E825)=0),IF((COUNTBLANK(F825)=0),IF((COUNTBLANK(U825)=0),Stats!$E$6,Stats!$E$5),Stats!$E$4),""))</f>
        <v>Death</v>
      </c>
      <c r="C825" s="44" t="s">
        <v>284</v>
      </c>
      <c r="D825" s="332" t="s">
        <v>325</v>
      </c>
      <c r="E825" s="90">
        <v>44487</v>
      </c>
      <c r="F825" s="90">
        <v>44515</v>
      </c>
      <c r="G825" s="316">
        <v>44993</v>
      </c>
      <c r="H825" s="338" t="s">
        <v>3154</v>
      </c>
      <c r="I825" s="118"/>
      <c r="J825" s="338" t="s">
        <v>152</v>
      </c>
      <c r="K825" s="332" t="s">
        <v>4025</v>
      </c>
      <c r="L825" s="332"/>
      <c r="M825" s="332"/>
      <c r="N825" s="339" t="s">
        <v>196</v>
      </c>
      <c r="O825" s="338" t="s">
        <v>51</v>
      </c>
      <c r="P825" s="340">
        <v>-500</v>
      </c>
      <c r="Q825" s="340">
        <v>600</v>
      </c>
      <c r="R825" s="338" t="s">
        <v>4602</v>
      </c>
      <c r="S825" s="338"/>
      <c r="T825" s="338" t="s">
        <v>3531</v>
      </c>
      <c r="U825" s="338" t="s">
        <v>4603</v>
      </c>
      <c r="V825" s="338" t="s">
        <v>4585</v>
      </c>
      <c r="W825" s="338"/>
      <c r="X825" s="325"/>
      <c r="Y825" s="341" t="s">
        <v>4595</v>
      </c>
    </row>
    <row r="826" spans="1:25" s="134" customFormat="1" ht="14.25" hidden="1" customHeight="1" x14ac:dyDescent="0.25">
      <c r="A826" s="125" t="s">
        <v>1551</v>
      </c>
      <c r="B826" s="126" t="str">
        <f>IF((COUNTBLANK(G826)=0),Stats!$E$7,IF((COUNTBLANK(E826)=0),IF((COUNTBLANK(F826)=0),IF((COUNTBLANK(U826)=0),Stats!$E$6,Stats!$E$5),Stats!$E$4),""))</f>
        <v>Death</v>
      </c>
      <c r="C826" s="127" t="s">
        <v>284</v>
      </c>
      <c r="D826" s="126" t="s">
        <v>59</v>
      </c>
      <c r="E826" s="128">
        <v>44494</v>
      </c>
      <c r="F826" s="128">
        <v>44515</v>
      </c>
      <c r="G826" s="129">
        <v>44979</v>
      </c>
      <c r="H826" s="127" t="s">
        <v>3154</v>
      </c>
      <c r="I826" s="130"/>
      <c r="J826" s="127" t="s">
        <v>152</v>
      </c>
      <c r="K826" s="126" t="s">
        <v>4048</v>
      </c>
      <c r="L826" s="126" t="s">
        <v>4199</v>
      </c>
      <c r="M826" s="126" t="s">
        <v>3093</v>
      </c>
      <c r="N826" s="131" t="s">
        <v>4200</v>
      </c>
      <c r="O826" s="127" t="s">
        <v>51</v>
      </c>
      <c r="P826" s="132">
        <v>-500</v>
      </c>
      <c r="Q826" s="132">
        <v>600</v>
      </c>
      <c r="R826" s="127" t="s">
        <v>4604</v>
      </c>
      <c r="S826" s="127"/>
      <c r="T826" s="127"/>
      <c r="U826" s="127" t="s">
        <v>4605</v>
      </c>
      <c r="V826" s="127" t="s">
        <v>4606</v>
      </c>
      <c r="W826" s="127"/>
      <c r="X826" s="329"/>
      <c r="Y826" s="133" t="s">
        <v>4419</v>
      </c>
    </row>
    <row r="827" spans="1:25" s="94" customFormat="1" hidden="1" x14ac:dyDescent="0.25">
      <c r="A827" s="33" t="s">
        <v>1552</v>
      </c>
      <c r="B827" s="332" t="str">
        <f>IF((COUNTBLANK(G827)=0),Stats!$E$7,IF((COUNTBLANK(E827)=0),IF((COUNTBLANK(F827)=0),IF((COUNTBLANK(U827)=0),Stats!$E$6,Stats!$E$5),Stats!$E$4),""))</f>
        <v>Death</v>
      </c>
      <c r="C827" s="44" t="s">
        <v>284</v>
      </c>
      <c r="D827" s="332" t="s">
        <v>325</v>
      </c>
      <c r="E827" s="90">
        <v>44494</v>
      </c>
      <c r="F827" s="90">
        <v>44522</v>
      </c>
      <c r="G827" s="342">
        <v>44921</v>
      </c>
      <c r="H827" s="338" t="s">
        <v>3154</v>
      </c>
      <c r="I827" s="118"/>
      <c r="J827" s="338" t="s">
        <v>152</v>
      </c>
      <c r="K827" s="332" t="s">
        <v>4048</v>
      </c>
      <c r="L827" s="332" t="s">
        <v>4199</v>
      </c>
      <c r="M827" s="332" t="s">
        <v>3093</v>
      </c>
      <c r="N827" s="339" t="s">
        <v>4200</v>
      </c>
      <c r="O827" s="338" t="s">
        <v>51</v>
      </c>
      <c r="P827" s="340">
        <v>-500</v>
      </c>
      <c r="Q827" s="340">
        <v>600</v>
      </c>
      <c r="R827" s="338" t="s">
        <v>4444</v>
      </c>
      <c r="S827" s="338"/>
      <c r="T827" s="338"/>
      <c r="U827" s="338" t="s">
        <v>4607</v>
      </c>
      <c r="V827" s="338" t="s">
        <v>4608</v>
      </c>
      <c r="W827" s="338"/>
      <c r="X827" s="325"/>
      <c r="Y827" s="341" t="s">
        <v>4595</v>
      </c>
    </row>
    <row r="828" spans="1:25" s="91" customFormat="1" hidden="1" x14ac:dyDescent="0.25">
      <c r="A828" s="32" t="s">
        <v>1553</v>
      </c>
      <c r="B828" s="315" t="str">
        <f>IF((COUNTBLANK(G828)=0),Stats!$E$7,IF((COUNTBLANK(E828)=0),IF((COUNTBLANK(F828)=0),IF((COUNTBLANK(U828)=0),Stats!$E$6,Stats!$E$5),Stats!$E$4),""))</f>
        <v>Death</v>
      </c>
      <c r="C828" s="40" t="s">
        <v>284</v>
      </c>
      <c r="D828" s="315" t="s">
        <v>59</v>
      </c>
      <c r="E828" s="88">
        <v>44494</v>
      </c>
      <c r="F828" s="88">
        <v>44522</v>
      </c>
      <c r="G828" s="316">
        <v>44993</v>
      </c>
      <c r="H828" s="317" t="s">
        <v>3154</v>
      </c>
      <c r="I828" s="52"/>
      <c r="J828" s="329" t="s">
        <v>152</v>
      </c>
      <c r="K828" s="315" t="s">
        <v>4048</v>
      </c>
      <c r="L828" s="331" t="s">
        <v>4199</v>
      </c>
      <c r="M828" s="331" t="s">
        <v>3093</v>
      </c>
      <c r="N828" s="320" t="s">
        <v>4200</v>
      </c>
      <c r="O828" s="329" t="s">
        <v>51</v>
      </c>
      <c r="P828" s="330">
        <v>-500</v>
      </c>
      <c r="Q828" s="330">
        <v>600</v>
      </c>
      <c r="R828" s="329" t="s">
        <v>4609</v>
      </c>
      <c r="S828" s="329"/>
      <c r="T828" s="329" t="s">
        <v>3531</v>
      </c>
      <c r="U828" s="329" t="s">
        <v>4610</v>
      </c>
      <c r="V828" s="329" t="s">
        <v>4606</v>
      </c>
      <c r="W828" s="329"/>
      <c r="X828" s="329"/>
      <c r="Y828" s="319" t="s">
        <v>4440</v>
      </c>
    </row>
    <row r="829" spans="1:25" s="91" customFormat="1" hidden="1" x14ac:dyDescent="0.25">
      <c r="A829" s="32" t="s">
        <v>1554</v>
      </c>
      <c r="B829" s="315" t="str">
        <f>IF((COUNTBLANK(G829)=0),Stats!$E$7,IF((COUNTBLANK(E829)=0),IF((COUNTBLANK(F829)=0),IF((COUNTBLANK(U829)=0),Stats!$E$6,Stats!$E$5),Stats!$E$4),""))</f>
        <v>Death</v>
      </c>
      <c r="C829" s="40" t="s">
        <v>284</v>
      </c>
      <c r="D829" s="315" t="s">
        <v>325</v>
      </c>
      <c r="E829" s="88">
        <v>44494</v>
      </c>
      <c r="F829" s="88">
        <v>44515</v>
      </c>
      <c r="G829" s="316">
        <v>44993</v>
      </c>
      <c r="H829" s="317" t="s">
        <v>3154</v>
      </c>
      <c r="I829" s="52"/>
      <c r="J829" s="325" t="s">
        <v>152</v>
      </c>
      <c r="K829" s="315" t="s">
        <v>4048</v>
      </c>
      <c r="L829" s="331" t="s">
        <v>4199</v>
      </c>
      <c r="M829" s="331" t="s">
        <v>3093</v>
      </c>
      <c r="N829" s="320" t="s">
        <v>4200</v>
      </c>
      <c r="O829" s="325" t="s">
        <v>51</v>
      </c>
      <c r="P829" s="326">
        <v>-500</v>
      </c>
      <c r="Q829" s="326">
        <v>600</v>
      </c>
      <c r="R829" s="325" t="s">
        <v>4441</v>
      </c>
      <c r="S829" s="325"/>
      <c r="T829" s="325"/>
      <c r="U829" s="325" t="s">
        <v>4607</v>
      </c>
      <c r="V829" s="325" t="s">
        <v>4611</v>
      </c>
      <c r="W829" s="325" t="s">
        <v>4612</v>
      </c>
      <c r="X829" s="325"/>
      <c r="Y829" s="319" t="s">
        <v>4613</v>
      </c>
    </row>
    <row r="830" spans="1:25" s="91" customFormat="1" hidden="1" x14ac:dyDescent="0.25">
      <c r="A830" s="32" t="s">
        <v>1555</v>
      </c>
      <c r="B830" s="315" t="str">
        <f>IF((COUNTBLANK(G830)=0),Stats!$E$7,IF((COUNTBLANK(E830)=0),IF((COUNTBLANK(F830)=0),IF((COUNTBLANK(U830)=0),Stats!$E$6,Stats!$E$5),Stats!$E$4),""))</f>
        <v>Death</v>
      </c>
      <c r="C830" s="40" t="s">
        <v>284</v>
      </c>
      <c r="D830" s="315" t="s">
        <v>59</v>
      </c>
      <c r="E830" s="88">
        <v>44495</v>
      </c>
      <c r="F830" s="88">
        <v>44536</v>
      </c>
      <c r="G830" s="316">
        <v>45009</v>
      </c>
      <c r="H830" s="317" t="s">
        <v>98</v>
      </c>
      <c r="I830" s="52"/>
      <c r="J830" s="329" t="s">
        <v>152</v>
      </c>
      <c r="K830" s="315" t="s">
        <v>4048</v>
      </c>
      <c r="L830" s="331" t="s">
        <v>4199</v>
      </c>
      <c r="M830" s="331" t="s">
        <v>3093</v>
      </c>
      <c r="N830" s="320" t="s">
        <v>4200</v>
      </c>
      <c r="O830" s="329" t="s">
        <v>51</v>
      </c>
      <c r="P830" s="330">
        <v>-500</v>
      </c>
      <c r="Q830" s="330">
        <v>600</v>
      </c>
      <c r="R830" s="329" t="s">
        <v>4614</v>
      </c>
      <c r="S830" s="329"/>
      <c r="T830" s="329" t="s">
        <v>4615</v>
      </c>
      <c r="U830" s="329" t="s">
        <v>4616</v>
      </c>
      <c r="V830" s="329"/>
      <c r="W830" s="329"/>
      <c r="X830" s="329"/>
      <c r="Y830" s="319" t="s">
        <v>4440</v>
      </c>
    </row>
    <row r="831" spans="1:25" s="91" customFormat="1" hidden="1" x14ac:dyDescent="0.25">
      <c r="A831" s="32" t="s">
        <v>1556</v>
      </c>
      <c r="B831" s="315" t="str">
        <f>IF((COUNTBLANK(G831)=0),Stats!$E$7,IF((COUNTBLANK(E831)=0),IF((COUNTBLANK(F831)=0),IF((COUNTBLANK(U831)=0),Stats!$E$6,Stats!$E$5),Stats!$E$4),""))</f>
        <v>Death</v>
      </c>
      <c r="C831" s="40" t="s">
        <v>284</v>
      </c>
      <c r="D831" s="315" t="s">
        <v>325</v>
      </c>
      <c r="E831" s="88">
        <v>44495</v>
      </c>
      <c r="F831" s="88">
        <v>44536</v>
      </c>
      <c r="G831" s="316">
        <v>44993</v>
      </c>
      <c r="H831" s="317" t="s">
        <v>98</v>
      </c>
      <c r="I831" s="52"/>
      <c r="J831" s="325" t="s">
        <v>152</v>
      </c>
      <c r="K831" s="315" t="s">
        <v>4048</v>
      </c>
      <c r="L831" s="331" t="s">
        <v>4199</v>
      </c>
      <c r="M831" s="331" t="s">
        <v>3093</v>
      </c>
      <c r="N831" s="320" t="s">
        <v>4200</v>
      </c>
      <c r="O831" s="325" t="s">
        <v>51</v>
      </c>
      <c r="P831" s="326">
        <v>-500</v>
      </c>
      <c r="Q831" s="326">
        <v>600</v>
      </c>
      <c r="R831" s="325" t="s">
        <v>4590</v>
      </c>
      <c r="S831" s="325"/>
      <c r="T831" s="325" t="s">
        <v>3531</v>
      </c>
      <c r="U831" s="325" t="s">
        <v>4617</v>
      </c>
      <c r="V831" s="325" t="s">
        <v>4618</v>
      </c>
      <c r="W831" s="325" t="s">
        <v>4619</v>
      </c>
      <c r="X831" s="325"/>
      <c r="Y831" s="319" t="s">
        <v>4595</v>
      </c>
    </row>
    <row r="832" spans="1:25" s="91" customFormat="1" hidden="1" x14ac:dyDescent="0.25">
      <c r="A832" s="32" t="s">
        <v>1557</v>
      </c>
      <c r="B832" s="315" t="str">
        <f>IF((COUNTBLANK(G832)=0),Stats!$E$7,IF((COUNTBLANK(E832)=0),IF((COUNTBLANK(F832)=0),IF((COUNTBLANK(U832)=0),Stats!$E$6,Stats!$E$5),Stats!$E$4),""))</f>
        <v>Death</v>
      </c>
      <c r="C832" s="40" t="s">
        <v>284</v>
      </c>
      <c r="D832" s="315" t="s">
        <v>59</v>
      </c>
      <c r="E832" s="88">
        <v>44495</v>
      </c>
      <c r="F832" s="88">
        <v>44536</v>
      </c>
      <c r="G832" s="316">
        <v>45009</v>
      </c>
      <c r="H832" s="317" t="s">
        <v>98</v>
      </c>
      <c r="I832" s="52"/>
      <c r="J832" s="329" t="s">
        <v>152</v>
      </c>
      <c r="K832" s="315" t="s">
        <v>4048</v>
      </c>
      <c r="L832" s="331" t="s">
        <v>4199</v>
      </c>
      <c r="M832" s="331" t="s">
        <v>3093</v>
      </c>
      <c r="N832" s="320" t="s">
        <v>4200</v>
      </c>
      <c r="O832" s="329" t="s">
        <v>51</v>
      </c>
      <c r="P832" s="330">
        <v>-500</v>
      </c>
      <c r="Q832" s="330">
        <v>600</v>
      </c>
      <c r="R832" s="329" t="s">
        <v>4620</v>
      </c>
      <c r="S832" s="329"/>
      <c r="T832" s="329"/>
      <c r="U832" s="329" t="s">
        <v>4621</v>
      </c>
      <c r="V832" s="329"/>
      <c r="W832" s="329"/>
      <c r="X832" s="329"/>
      <c r="Y832" s="319" t="s">
        <v>4440</v>
      </c>
    </row>
    <row r="833" spans="1:25" s="91" customFormat="1" hidden="1" x14ac:dyDescent="0.25">
      <c r="A833" s="32" t="s">
        <v>1558</v>
      </c>
      <c r="B833" s="315" t="str">
        <f>IF((COUNTBLANK(G833)=0),Stats!$E$7,IF((COUNTBLANK(E833)=0),IF((COUNTBLANK(F833)=0),IF((COUNTBLANK(U833)=0),Stats!$E$6,Stats!$E$5),Stats!$E$4),""))</f>
        <v>Death</v>
      </c>
      <c r="C833" s="40" t="s">
        <v>284</v>
      </c>
      <c r="D833" s="315" t="s">
        <v>325</v>
      </c>
      <c r="E833" s="88">
        <v>44495</v>
      </c>
      <c r="F833" s="88">
        <v>44531</v>
      </c>
      <c r="G833" s="316">
        <v>44876</v>
      </c>
      <c r="H833" s="317" t="s">
        <v>98</v>
      </c>
      <c r="I833" s="52"/>
      <c r="J833" s="325" t="s">
        <v>152</v>
      </c>
      <c r="K833" s="315" t="s">
        <v>4048</v>
      </c>
      <c r="L833" s="331" t="s">
        <v>4199</v>
      </c>
      <c r="M833" s="331" t="s">
        <v>3093</v>
      </c>
      <c r="N833" s="320" t="s">
        <v>4200</v>
      </c>
      <c r="O833" s="325" t="s">
        <v>51</v>
      </c>
      <c r="P833" s="326">
        <v>-500</v>
      </c>
      <c r="Q833" s="326">
        <v>600</v>
      </c>
      <c r="R833" s="325" t="s">
        <v>4596</v>
      </c>
      <c r="S833" s="325"/>
      <c r="T833" s="325"/>
      <c r="U833" s="325" t="s">
        <v>4622</v>
      </c>
      <c r="V833" s="325" t="s">
        <v>4623</v>
      </c>
      <c r="W833" s="325"/>
      <c r="X833" s="325"/>
      <c r="Y833" s="319" t="s">
        <v>4595</v>
      </c>
    </row>
    <row r="834" spans="1:25" s="91" customFormat="1" hidden="1" x14ac:dyDescent="0.25">
      <c r="A834" s="32" t="s">
        <v>1559</v>
      </c>
      <c r="B834" s="315" t="str">
        <f>IF((COUNTBLANK(G834)=0),Stats!$E$7,IF((COUNTBLANK(E834)=0),IF((COUNTBLANK(F834)=0),IF((COUNTBLANK(U834)=0),Stats!$E$6,Stats!$E$5),Stats!$E$4),""))</f>
        <v>Death</v>
      </c>
      <c r="C834" s="40" t="s">
        <v>284</v>
      </c>
      <c r="D834" s="315" t="s">
        <v>59</v>
      </c>
      <c r="E834" s="88">
        <v>44524</v>
      </c>
      <c r="F834" s="88">
        <v>44543</v>
      </c>
      <c r="G834" s="316">
        <v>44993</v>
      </c>
      <c r="H834" s="317" t="s">
        <v>98</v>
      </c>
      <c r="I834" s="52"/>
      <c r="J834" s="329" t="s">
        <v>152</v>
      </c>
      <c r="K834" s="315" t="s">
        <v>4230</v>
      </c>
      <c r="L834" s="331"/>
      <c r="M834" s="331"/>
      <c r="N834" s="320" t="s">
        <v>3365</v>
      </c>
      <c r="O834" s="329" t="s">
        <v>51</v>
      </c>
      <c r="P834" s="330">
        <v>-500</v>
      </c>
      <c r="Q834" s="330">
        <v>600</v>
      </c>
      <c r="R834" s="329" t="s">
        <v>4624</v>
      </c>
      <c r="S834" s="329"/>
      <c r="T834" s="74" t="s">
        <v>4625</v>
      </c>
      <c r="U834" s="329" t="s">
        <v>4626</v>
      </c>
      <c r="V834" s="329" t="s">
        <v>4627</v>
      </c>
      <c r="W834" s="329"/>
      <c r="X834" s="329"/>
      <c r="Y834" s="319" t="s">
        <v>4595</v>
      </c>
    </row>
    <row r="835" spans="1:25" s="91" customFormat="1" hidden="1" x14ac:dyDescent="0.25">
      <c r="A835" s="32" t="s">
        <v>1560</v>
      </c>
      <c r="B835" s="315" t="str">
        <f>IF((COUNTBLANK(G835)=0),Stats!$E$7,IF((COUNTBLANK(E835)=0),IF((COUNTBLANK(F835)=0),IF((COUNTBLANK(U835)=0),Stats!$E$6,Stats!$E$5),Stats!$E$4),""))</f>
        <v>Death</v>
      </c>
      <c r="C835" s="40" t="s">
        <v>284</v>
      </c>
      <c r="D835" s="315" t="s">
        <v>325</v>
      </c>
      <c r="E835" s="88">
        <v>44524</v>
      </c>
      <c r="F835" s="88">
        <v>44543</v>
      </c>
      <c r="G835" s="316">
        <v>44965</v>
      </c>
      <c r="H835" s="317" t="s">
        <v>98</v>
      </c>
      <c r="I835" s="52"/>
      <c r="J835" s="325" t="s">
        <v>152</v>
      </c>
      <c r="K835" s="315" t="s">
        <v>4230</v>
      </c>
      <c r="L835" s="331"/>
      <c r="M835" s="331"/>
      <c r="N835" s="320" t="s">
        <v>3365</v>
      </c>
      <c r="O835" s="325" t="s">
        <v>51</v>
      </c>
      <c r="P835" s="326">
        <v>-500</v>
      </c>
      <c r="Q835" s="326">
        <v>600</v>
      </c>
      <c r="R835" s="325" t="s">
        <v>4590</v>
      </c>
      <c r="S835" s="325"/>
      <c r="T835" s="75" t="s">
        <v>4625</v>
      </c>
      <c r="U835" s="325" t="s">
        <v>4628</v>
      </c>
      <c r="V835" s="325" t="s">
        <v>4629</v>
      </c>
      <c r="W835" s="325"/>
      <c r="X835" s="325"/>
      <c r="Y835" s="319" t="s">
        <v>4630</v>
      </c>
    </row>
    <row r="836" spans="1:25" s="91" customFormat="1" hidden="1" x14ac:dyDescent="0.25">
      <c r="A836" s="32" t="s">
        <v>1561</v>
      </c>
      <c r="B836" s="315" t="str">
        <f>IF((COUNTBLANK(G836)=0),Stats!$E$7,IF((COUNTBLANK(E836)=0),IF((COUNTBLANK(F836)=0),IF((COUNTBLANK(U836)=0),Stats!$E$6,Stats!$E$5),Stats!$E$4),""))</f>
        <v>Death</v>
      </c>
      <c r="C836" s="40" t="s">
        <v>284</v>
      </c>
      <c r="D836" s="315" t="s">
        <v>59</v>
      </c>
      <c r="E836" s="88">
        <v>44524</v>
      </c>
      <c r="F836" s="88">
        <v>44543</v>
      </c>
      <c r="G836" s="316">
        <v>44911</v>
      </c>
      <c r="H836" s="317" t="s">
        <v>98</v>
      </c>
      <c r="I836" s="52"/>
      <c r="J836" s="329" t="s">
        <v>152</v>
      </c>
      <c r="K836" s="315" t="s">
        <v>4230</v>
      </c>
      <c r="L836" s="331"/>
      <c r="M836" s="331"/>
      <c r="N836" s="320" t="s">
        <v>3365</v>
      </c>
      <c r="O836" s="329" t="s">
        <v>51</v>
      </c>
      <c r="P836" s="330">
        <v>-500</v>
      </c>
      <c r="Q836" s="330">
        <v>600</v>
      </c>
      <c r="R836" s="329" t="s">
        <v>4631</v>
      </c>
      <c r="S836" s="329"/>
      <c r="T836" s="74" t="s">
        <v>4625</v>
      </c>
      <c r="U836" s="329" t="s">
        <v>4632</v>
      </c>
      <c r="V836" s="329" t="s">
        <v>4633</v>
      </c>
      <c r="W836" s="329"/>
      <c r="X836" s="329"/>
      <c r="Y836" s="319" t="s">
        <v>4630</v>
      </c>
    </row>
    <row r="837" spans="1:25" s="91" customFormat="1" hidden="1" x14ac:dyDescent="0.25">
      <c r="A837" s="32" t="s">
        <v>1562</v>
      </c>
      <c r="B837" s="315" t="str">
        <f>IF((COUNTBLANK(G837)=0),Stats!$E$7,IF((COUNTBLANK(E837)=0),IF((COUNTBLANK(F837)=0),IF((COUNTBLANK(U837)=0),Stats!$E$6,Stats!$E$5),Stats!$E$4),""))</f>
        <v>Death</v>
      </c>
      <c r="C837" s="40" t="s">
        <v>284</v>
      </c>
      <c r="D837" s="315" t="s">
        <v>59</v>
      </c>
      <c r="E837" s="88">
        <v>44531</v>
      </c>
      <c r="F837" s="88">
        <v>44536</v>
      </c>
      <c r="G837" s="316">
        <v>44993</v>
      </c>
      <c r="H837" s="317" t="s">
        <v>98</v>
      </c>
      <c r="I837" s="52"/>
      <c r="J837" s="329" t="s">
        <v>152</v>
      </c>
      <c r="K837" s="315" t="s">
        <v>4230</v>
      </c>
      <c r="L837" s="331"/>
      <c r="M837" s="331"/>
      <c r="N837" s="320" t="s">
        <v>3365</v>
      </c>
      <c r="O837" s="329" t="s">
        <v>51</v>
      </c>
      <c r="P837" s="330">
        <v>-500</v>
      </c>
      <c r="Q837" s="330">
        <v>600</v>
      </c>
      <c r="R837" s="329" t="s">
        <v>4444</v>
      </c>
      <c r="S837" s="329"/>
      <c r="T837" s="74" t="s">
        <v>4625</v>
      </c>
      <c r="U837" s="329"/>
      <c r="V837" s="329" t="s">
        <v>4633</v>
      </c>
      <c r="W837" s="329"/>
      <c r="X837" s="329"/>
      <c r="Y837" s="319"/>
    </row>
    <row r="838" spans="1:25" s="91" customFormat="1" hidden="1" x14ac:dyDescent="0.25">
      <c r="A838" s="32" t="s">
        <v>1563</v>
      </c>
      <c r="B838" s="315" t="str">
        <f>IF((COUNTBLANK(G838)=0),Stats!$E$7,IF((COUNTBLANK(E838)=0),IF((COUNTBLANK(F838)=0),IF((COUNTBLANK(U838)=0),Stats!$E$6,Stats!$E$5),Stats!$E$4),""))</f>
        <v>Death</v>
      </c>
      <c r="C838" s="40" t="s">
        <v>284</v>
      </c>
      <c r="D838" s="315" t="s">
        <v>407</v>
      </c>
      <c r="E838" s="88">
        <v>44531</v>
      </c>
      <c r="F838" s="316">
        <v>44564</v>
      </c>
      <c r="G838" s="316">
        <v>44872</v>
      </c>
      <c r="H838" s="317" t="s">
        <v>98</v>
      </c>
      <c r="I838" s="317"/>
      <c r="J838" s="317" t="s">
        <v>4634</v>
      </c>
      <c r="K838" s="315" t="s">
        <v>4635</v>
      </c>
      <c r="L838" s="315"/>
      <c r="M838" s="315"/>
      <c r="N838" s="320" t="s">
        <v>105</v>
      </c>
      <c r="O838" s="317" t="s">
        <v>51</v>
      </c>
      <c r="P838" s="318">
        <v>-500</v>
      </c>
      <c r="Q838" s="318">
        <v>800</v>
      </c>
      <c r="R838" s="317" t="s">
        <v>4444</v>
      </c>
      <c r="S838" s="317"/>
      <c r="T838" s="317" t="s">
        <v>3531</v>
      </c>
      <c r="U838" s="317" t="s">
        <v>4636</v>
      </c>
      <c r="V838" s="317" t="s">
        <v>4637</v>
      </c>
      <c r="W838" s="317"/>
      <c r="X838" s="317"/>
      <c r="Y838" s="319" t="s">
        <v>4434</v>
      </c>
    </row>
    <row r="839" spans="1:25" s="91" customFormat="1" hidden="1" x14ac:dyDescent="0.25">
      <c r="A839" s="32" t="s">
        <v>1564</v>
      </c>
      <c r="B839" s="315" t="str">
        <f>IF((COUNTBLANK(G839)=0),Stats!$E$7,IF((COUNTBLANK(E839)=0),IF((COUNTBLANK(F839)=0),IF((COUNTBLANK(U839)=0),Stats!$E$6,Stats!$E$5),Stats!$E$4),""))</f>
        <v>Death</v>
      </c>
      <c r="C839" s="40" t="s">
        <v>284</v>
      </c>
      <c r="D839" s="315" t="s">
        <v>407</v>
      </c>
      <c r="E839" s="88">
        <v>44531</v>
      </c>
      <c r="F839" s="88">
        <v>44545</v>
      </c>
      <c r="G839" s="316">
        <v>44993</v>
      </c>
      <c r="H839" s="317" t="s">
        <v>98</v>
      </c>
      <c r="I839" s="52"/>
      <c r="J839" s="329" t="s">
        <v>152</v>
      </c>
      <c r="K839" s="315" t="s">
        <v>4230</v>
      </c>
      <c r="L839" s="331"/>
      <c r="M839" s="331"/>
      <c r="N839" s="320" t="s">
        <v>3365</v>
      </c>
      <c r="O839" s="329" t="s">
        <v>51</v>
      </c>
      <c r="P839" s="330">
        <v>-500</v>
      </c>
      <c r="Q839" s="330">
        <v>600</v>
      </c>
      <c r="R839" s="329" t="s">
        <v>4614</v>
      </c>
      <c r="S839" s="329"/>
      <c r="T839" s="74" t="s">
        <v>4625</v>
      </c>
      <c r="U839" s="329" t="s">
        <v>4638</v>
      </c>
      <c r="V839" s="329" t="s">
        <v>4639</v>
      </c>
      <c r="W839" s="329"/>
      <c r="X839" s="329"/>
      <c r="Y839" s="319"/>
    </row>
    <row r="840" spans="1:25" s="91" customFormat="1" hidden="1" x14ac:dyDescent="0.25">
      <c r="A840" s="32" t="s">
        <v>1565</v>
      </c>
      <c r="B840" s="315" t="str">
        <f>IF((COUNTBLANK(G840)=0),Stats!$E$7,IF((COUNTBLANK(E840)=0),IF((COUNTBLANK(F840)=0),IF((COUNTBLANK(U840)=0),Stats!$E$6,Stats!$E$5),Stats!$E$4),""))</f>
        <v>Death</v>
      </c>
      <c r="C840" s="40" t="s">
        <v>284</v>
      </c>
      <c r="D840" s="315" t="s">
        <v>407</v>
      </c>
      <c r="E840" s="88">
        <v>44531</v>
      </c>
      <c r="F840" s="88">
        <v>44545</v>
      </c>
      <c r="G840" s="316">
        <v>44993</v>
      </c>
      <c r="H840" s="317" t="s">
        <v>98</v>
      </c>
      <c r="I840" s="52"/>
      <c r="J840" s="329" t="s">
        <v>152</v>
      </c>
      <c r="K840" s="315" t="s">
        <v>4230</v>
      </c>
      <c r="L840" s="331"/>
      <c r="M840" s="331"/>
      <c r="N840" s="320" t="s">
        <v>3365</v>
      </c>
      <c r="O840" s="329" t="s">
        <v>51</v>
      </c>
      <c r="P840" s="330">
        <v>-500</v>
      </c>
      <c r="Q840" s="330">
        <v>600</v>
      </c>
      <c r="R840" s="329" t="s">
        <v>4441</v>
      </c>
      <c r="S840" s="329"/>
      <c r="T840" s="74" t="s">
        <v>4625</v>
      </c>
      <c r="U840" s="329" t="s">
        <v>4638</v>
      </c>
      <c r="V840" s="329" t="s">
        <v>4640</v>
      </c>
      <c r="W840" s="329"/>
      <c r="X840" s="329"/>
      <c r="Y840" s="96"/>
    </row>
    <row r="841" spans="1:25" s="91" customFormat="1" hidden="1" x14ac:dyDescent="0.25">
      <c r="A841" s="32" t="s">
        <v>1566</v>
      </c>
      <c r="B841" s="315" t="str">
        <f>IF((COUNTBLANK(G841)=0),Stats!$E$7,IF((COUNTBLANK(E841)=0),IF((COUNTBLANK(F841)=0),IF((COUNTBLANK(U841)=0),Stats!$E$6,Stats!$E$5),Stats!$E$4),""))</f>
        <v>Death</v>
      </c>
      <c r="C841" s="40" t="s">
        <v>284</v>
      </c>
      <c r="D841" s="315" t="s">
        <v>407</v>
      </c>
      <c r="E841" s="88">
        <v>44531</v>
      </c>
      <c r="F841" s="88">
        <v>44545</v>
      </c>
      <c r="G841" s="316">
        <v>44872</v>
      </c>
      <c r="H841" s="317" t="s">
        <v>98</v>
      </c>
      <c r="I841" s="52"/>
      <c r="J841" s="329" t="s">
        <v>152</v>
      </c>
      <c r="K841" s="315" t="s">
        <v>4230</v>
      </c>
      <c r="L841" s="331"/>
      <c r="M841" s="331"/>
      <c r="N841" s="320" t="s">
        <v>3365</v>
      </c>
      <c r="O841" s="329" t="s">
        <v>51</v>
      </c>
      <c r="P841" s="330">
        <v>-500</v>
      </c>
      <c r="Q841" s="330">
        <v>600</v>
      </c>
      <c r="R841" s="329" t="s">
        <v>4641</v>
      </c>
      <c r="S841" s="329"/>
      <c r="T841" s="74" t="s">
        <v>4625</v>
      </c>
      <c r="U841" s="329" t="s">
        <v>4638</v>
      </c>
      <c r="V841" s="329" t="s">
        <v>4642</v>
      </c>
      <c r="W841" s="329"/>
      <c r="X841" s="329"/>
      <c r="Y841" s="319" t="s">
        <v>4643</v>
      </c>
    </row>
    <row r="842" spans="1:25" s="94" customFormat="1" hidden="1" x14ac:dyDescent="0.25">
      <c r="A842" s="33" t="s">
        <v>1567</v>
      </c>
      <c r="B842" s="332" t="str">
        <f>IF((COUNTBLANK(G842)=0),Stats!$E$7,IF((COUNTBLANK(E842)=0),IF((COUNTBLANK(F842)=0),IF((COUNTBLANK(U842)=0),Stats!$E$6,Stats!$E$5),Stats!$E$4),""))</f>
        <v>Death</v>
      </c>
      <c r="C842" s="44" t="s">
        <v>3111</v>
      </c>
      <c r="D842" s="332" t="str">
        <f>IF(B842=Stats!$E$6,Stats!$E$11,"")</f>
        <v/>
      </c>
      <c r="E842" s="90">
        <v>44538</v>
      </c>
      <c r="F842" s="90">
        <v>44544</v>
      </c>
      <c r="G842" s="342">
        <v>44979</v>
      </c>
      <c r="H842" s="338" t="s">
        <v>3139</v>
      </c>
      <c r="I842" s="118"/>
      <c r="J842" s="338" t="s">
        <v>152</v>
      </c>
      <c r="K842" s="332" t="s">
        <v>4044</v>
      </c>
      <c r="L842" s="332"/>
      <c r="M842" s="332"/>
      <c r="N842" s="339" t="s">
        <v>196</v>
      </c>
      <c r="O842" s="338" t="s">
        <v>51</v>
      </c>
      <c r="P842" s="340" t="s">
        <v>4112</v>
      </c>
      <c r="Q842" s="340" t="s">
        <v>3709</v>
      </c>
      <c r="R842" s="338" t="s">
        <v>3659</v>
      </c>
      <c r="S842" s="338"/>
      <c r="T842" s="338"/>
      <c r="U842" s="338"/>
      <c r="V842" s="338"/>
      <c r="W842" s="338"/>
      <c r="X842" s="313"/>
      <c r="Y842" s="341" t="s">
        <v>4644</v>
      </c>
    </row>
    <row r="843" spans="1:25" s="91" customFormat="1" hidden="1" x14ac:dyDescent="0.25">
      <c r="A843" s="32" t="s">
        <v>1568</v>
      </c>
      <c r="B843" s="315" t="str">
        <f>IF((COUNTBLANK(G843)=0),Stats!$E$7,IF((COUNTBLANK(E843)=0),IF((COUNTBLANK(F843)=0),IF((COUNTBLANK(U843)=0),Stats!$E$6,Stats!$E$5),Stats!$E$4),""))</f>
        <v>Death</v>
      </c>
      <c r="C843" s="41" t="s">
        <v>3111</v>
      </c>
      <c r="D843" s="306" t="str">
        <f>IF(B843=Stats!$E$6,Stats!$E$11,"")</f>
        <v/>
      </c>
      <c r="E843" s="89">
        <v>44538</v>
      </c>
      <c r="F843" s="89">
        <v>44545</v>
      </c>
      <c r="G843" s="327">
        <v>45055</v>
      </c>
      <c r="H843" s="313" t="s">
        <v>3139</v>
      </c>
      <c r="I843" s="52"/>
      <c r="J843" s="313" t="s">
        <v>152</v>
      </c>
      <c r="K843" s="315" t="s">
        <v>4044</v>
      </c>
      <c r="L843" s="306"/>
      <c r="M843" s="306"/>
      <c r="N843" s="320" t="s">
        <v>196</v>
      </c>
      <c r="O843" s="313" t="s">
        <v>51</v>
      </c>
      <c r="P843" s="328" t="s">
        <v>4112</v>
      </c>
      <c r="Q843" s="328" t="s">
        <v>3709</v>
      </c>
      <c r="R843" s="313" t="s">
        <v>3655</v>
      </c>
      <c r="S843" s="313"/>
      <c r="T843" s="313"/>
      <c r="U843" s="313"/>
      <c r="V843" s="313"/>
      <c r="W843" s="313"/>
      <c r="X843" s="313"/>
      <c r="Y843" s="319" t="s">
        <v>4644</v>
      </c>
    </row>
    <row r="844" spans="1:25" s="91" customFormat="1" hidden="1" x14ac:dyDescent="0.25">
      <c r="A844" s="32" t="s">
        <v>1569</v>
      </c>
      <c r="B844" s="315" t="str">
        <f>IF((COUNTBLANK(G844)=0),Stats!$E$7,IF((COUNTBLANK(E844)=0),IF((COUNTBLANK(F844)=0),IF((COUNTBLANK(U844)=0),Stats!$E$6,Stats!$E$5),Stats!$E$4),""))</f>
        <v>Death</v>
      </c>
      <c r="C844" s="39" t="s">
        <v>3111</v>
      </c>
      <c r="D844" s="306" t="str">
        <f>IF(B844=Stats!$E$6,Stats!$E$11,"")</f>
        <v/>
      </c>
      <c r="E844" s="88">
        <v>44538</v>
      </c>
      <c r="F844" s="316">
        <v>44545</v>
      </c>
      <c r="G844" s="316">
        <v>36893</v>
      </c>
      <c r="H844" s="317" t="s">
        <v>3139</v>
      </c>
      <c r="I844" s="317"/>
      <c r="J844" s="317" t="s">
        <v>152</v>
      </c>
      <c r="K844" s="315" t="s">
        <v>4044</v>
      </c>
      <c r="L844" s="306"/>
      <c r="M844" s="313"/>
      <c r="N844" s="320" t="s">
        <v>196</v>
      </c>
      <c r="O844" s="317" t="s">
        <v>51</v>
      </c>
      <c r="P844" s="318" t="s">
        <v>4112</v>
      </c>
      <c r="Q844" s="318" t="s">
        <v>3709</v>
      </c>
      <c r="R844" s="317" t="s">
        <v>3678</v>
      </c>
      <c r="S844" s="317"/>
      <c r="T844" s="317"/>
      <c r="U844" s="317"/>
      <c r="V844" s="317"/>
      <c r="W844" s="317"/>
      <c r="X844" s="317"/>
      <c r="Y844" s="319" t="s">
        <v>4644</v>
      </c>
    </row>
    <row r="845" spans="1:25" s="91" customFormat="1" hidden="1" x14ac:dyDescent="0.25">
      <c r="A845" s="32" t="s">
        <v>1570</v>
      </c>
      <c r="B845" s="315" t="str">
        <f>IF((COUNTBLANK(G845)=0),Stats!$E$7,IF((COUNTBLANK(E845)=0),IF((COUNTBLANK(F845)=0),IF((COUNTBLANK(U845)=0),Stats!$E$6,Stats!$E$5),Stats!$E$4),""))</f>
        <v>Death</v>
      </c>
      <c r="C845" s="41" t="s">
        <v>3111</v>
      </c>
      <c r="D845" s="306" t="str">
        <f>IF(B845=Stats!$E$6,Stats!$E$11,"")</f>
        <v/>
      </c>
      <c r="E845" s="89">
        <v>44538</v>
      </c>
      <c r="F845" s="89">
        <v>44546</v>
      </c>
      <c r="G845" s="327">
        <v>44872</v>
      </c>
      <c r="H845" s="313" t="s">
        <v>3139</v>
      </c>
      <c r="I845" s="52"/>
      <c r="J845" s="313" t="s">
        <v>152</v>
      </c>
      <c r="K845" s="315" t="s">
        <v>4044</v>
      </c>
      <c r="L845" s="306"/>
      <c r="M845" s="306"/>
      <c r="N845" s="320" t="s">
        <v>196</v>
      </c>
      <c r="O845" s="313" t="s">
        <v>51</v>
      </c>
      <c r="P845" s="328" t="s">
        <v>4112</v>
      </c>
      <c r="Q845" s="328" t="s">
        <v>3709</v>
      </c>
      <c r="R845" s="313" t="s">
        <v>3656</v>
      </c>
      <c r="S845" s="313"/>
      <c r="T845" s="313"/>
      <c r="U845" s="313"/>
      <c r="V845" s="313"/>
      <c r="W845" s="313"/>
      <c r="X845" s="313"/>
      <c r="Y845" s="319" t="s">
        <v>4645</v>
      </c>
    </row>
    <row r="846" spans="1:25" s="91" customFormat="1" hidden="1" x14ac:dyDescent="0.25">
      <c r="A846" s="32" t="s">
        <v>1571</v>
      </c>
      <c r="B846" s="315" t="str">
        <f>IF((COUNTBLANK(G846)=0),Stats!$E$7,IF((COUNTBLANK(E846)=0),IF((COUNTBLANK(F846)=0),IF((COUNTBLANK(U846)=0),Stats!$E$6,Stats!$E$5),Stats!$E$4),""))</f>
        <v>Death</v>
      </c>
      <c r="C846" s="41" t="s">
        <v>3111</v>
      </c>
      <c r="D846" s="306" t="str">
        <f>IF(B846=Stats!$E$6,Stats!$E$11,"")</f>
        <v/>
      </c>
      <c r="E846" s="89">
        <v>44538</v>
      </c>
      <c r="F846" s="89">
        <v>44546</v>
      </c>
      <c r="G846" s="327">
        <v>44872</v>
      </c>
      <c r="H846" s="313" t="s">
        <v>3139</v>
      </c>
      <c r="I846" s="52"/>
      <c r="J846" s="313" t="s">
        <v>152</v>
      </c>
      <c r="K846" s="315" t="s">
        <v>4044</v>
      </c>
      <c r="L846" s="306"/>
      <c r="M846" s="306"/>
      <c r="N846" s="320" t="s">
        <v>196</v>
      </c>
      <c r="O846" s="313" t="s">
        <v>51</v>
      </c>
      <c r="P846" s="328" t="s">
        <v>4112</v>
      </c>
      <c r="Q846" s="328" t="s">
        <v>3709</v>
      </c>
      <c r="R846" s="313" t="s">
        <v>3659</v>
      </c>
      <c r="S846" s="313"/>
      <c r="T846" s="313"/>
      <c r="U846" s="313"/>
      <c r="V846" s="313"/>
      <c r="W846" s="313"/>
      <c r="X846" s="313"/>
      <c r="Y846" s="319" t="s">
        <v>4645</v>
      </c>
    </row>
    <row r="847" spans="1:25" s="91" customFormat="1" hidden="1" x14ac:dyDescent="0.25">
      <c r="A847" s="32" t="s">
        <v>1572</v>
      </c>
      <c r="B847" s="315" t="str">
        <f>IF((COUNTBLANK(G847)=0),Stats!$E$7,IF((COUNTBLANK(E847)=0),IF((COUNTBLANK(F847)=0),IF((COUNTBLANK(U847)=0),Stats!$E$6,Stats!$E$5),Stats!$E$4),""))</f>
        <v>Death</v>
      </c>
      <c r="C847" s="40" t="s">
        <v>284</v>
      </c>
      <c r="D847" s="315" t="s">
        <v>59</v>
      </c>
      <c r="E847" s="88">
        <v>44572</v>
      </c>
      <c r="F847" s="88">
        <v>44572</v>
      </c>
      <c r="G847" s="316">
        <v>45229</v>
      </c>
      <c r="H847" s="317" t="s">
        <v>98</v>
      </c>
      <c r="I847" s="52"/>
      <c r="J847" s="329" t="s">
        <v>4634</v>
      </c>
      <c r="K847" s="315" t="s">
        <v>4199</v>
      </c>
      <c r="L847" s="331"/>
      <c r="M847" s="331"/>
      <c r="N847" s="320" t="s">
        <v>196</v>
      </c>
      <c r="O847" s="329" t="s">
        <v>51</v>
      </c>
      <c r="P847" s="330">
        <v>-500</v>
      </c>
      <c r="Q847" s="330">
        <v>600</v>
      </c>
      <c r="R847" s="329" t="s">
        <v>4646</v>
      </c>
      <c r="S847" s="329"/>
      <c r="T847" s="329" t="s">
        <v>4647</v>
      </c>
      <c r="U847" s="343" t="s">
        <v>4648</v>
      </c>
      <c r="V847" s="329" t="s">
        <v>4649</v>
      </c>
      <c r="W847" s="329"/>
      <c r="X847" s="329"/>
      <c r="Y847" s="319" t="s">
        <v>4434</v>
      </c>
    </row>
    <row r="848" spans="1:25" s="91" customFormat="1" hidden="1" x14ac:dyDescent="0.25">
      <c r="A848" s="32" t="s">
        <v>1573</v>
      </c>
      <c r="B848" s="315" t="str">
        <f>IF((COUNTBLANK(G848)=0),Stats!$E$7,IF((COUNTBLANK(E848)=0),IF((COUNTBLANK(F848)=0),IF((COUNTBLANK(U848)=0),Stats!$E$6,Stats!$E$5),Stats!$E$4),""))</f>
        <v>Death</v>
      </c>
      <c r="C848" s="43" t="s">
        <v>3125</v>
      </c>
      <c r="D848" s="315" t="s">
        <v>59</v>
      </c>
      <c r="E848" s="88">
        <v>44572</v>
      </c>
      <c r="F848" s="88">
        <v>44572</v>
      </c>
      <c r="G848" s="316">
        <v>45229</v>
      </c>
      <c r="H848" s="317" t="s">
        <v>98</v>
      </c>
      <c r="I848" s="52"/>
      <c r="J848" s="329" t="s">
        <v>4650</v>
      </c>
      <c r="K848" s="315" t="s">
        <v>4199</v>
      </c>
      <c r="L848" s="331"/>
      <c r="M848" s="331"/>
      <c r="N848" s="320" t="s">
        <v>196</v>
      </c>
      <c r="O848" s="329" t="s">
        <v>51</v>
      </c>
      <c r="P848" s="330">
        <v>-500</v>
      </c>
      <c r="Q848" s="330">
        <v>600</v>
      </c>
      <c r="R848" s="329" t="s">
        <v>4651</v>
      </c>
      <c r="S848" s="329"/>
      <c r="T848" s="329" t="s">
        <v>4652</v>
      </c>
      <c r="U848" s="329" t="s">
        <v>4653</v>
      </c>
      <c r="V848" s="329" t="s">
        <v>4654</v>
      </c>
      <c r="W848" s="329"/>
      <c r="X848" s="329"/>
      <c r="Y848" s="319" t="s">
        <v>4645</v>
      </c>
    </row>
    <row r="849" spans="1:25" s="91" customFormat="1" hidden="1" x14ac:dyDescent="0.25">
      <c r="A849" s="32" t="s">
        <v>1574</v>
      </c>
      <c r="B849" s="315" t="str">
        <f>IF((COUNTBLANK(G849)=0),Stats!$E$7,IF((COUNTBLANK(E849)=0),IF((COUNTBLANK(F849)=0),IF((COUNTBLANK(U849)=0),Stats!$E$6,Stats!$E$5),Stats!$E$4),""))</f>
        <v>Death</v>
      </c>
      <c r="C849" s="43" t="s">
        <v>3125</v>
      </c>
      <c r="D849" s="315" t="s">
        <v>59</v>
      </c>
      <c r="E849" s="88">
        <v>44573</v>
      </c>
      <c r="F849" s="88">
        <v>44573</v>
      </c>
      <c r="G849" s="316">
        <v>44952</v>
      </c>
      <c r="H849" s="317" t="s">
        <v>98</v>
      </c>
      <c r="I849" s="52"/>
      <c r="J849" s="329" t="s">
        <v>4650</v>
      </c>
      <c r="K849" s="315" t="s">
        <v>4199</v>
      </c>
      <c r="L849" s="331"/>
      <c r="M849" s="331"/>
      <c r="N849" s="320" t="s">
        <v>196</v>
      </c>
      <c r="O849" s="329" t="s">
        <v>51</v>
      </c>
      <c r="P849" s="330">
        <v>-500</v>
      </c>
      <c r="Q849" s="330">
        <v>600</v>
      </c>
      <c r="R849" s="329" t="s">
        <v>4655</v>
      </c>
      <c r="S849" s="329"/>
      <c r="T849" s="329"/>
      <c r="U849" s="329" t="s">
        <v>4656</v>
      </c>
      <c r="V849" s="329" t="s">
        <v>4657</v>
      </c>
      <c r="W849" s="329"/>
      <c r="X849" s="329"/>
      <c r="Y849" s="319" t="s">
        <v>4645</v>
      </c>
    </row>
    <row r="850" spans="1:25" s="91" customFormat="1" hidden="1" x14ac:dyDescent="0.25">
      <c r="A850" s="32" t="s">
        <v>1575</v>
      </c>
      <c r="B850" s="315" t="str">
        <f>IF((COUNTBLANK(G850)=0),Stats!$E$7,IF((COUNTBLANK(E850)=0),IF((COUNTBLANK(F850)=0),IF((COUNTBLANK(U850)=0),Stats!$E$6,Stats!$E$5),Stats!$E$4),""))</f>
        <v>Death</v>
      </c>
      <c r="C850" s="40" t="s">
        <v>284</v>
      </c>
      <c r="D850" s="315" t="s">
        <v>59</v>
      </c>
      <c r="E850" s="88">
        <v>44573</v>
      </c>
      <c r="F850" s="88">
        <v>44573</v>
      </c>
      <c r="G850" s="316">
        <v>45229</v>
      </c>
      <c r="H850" s="317" t="s">
        <v>98</v>
      </c>
      <c r="I850" s="52"/>
      <c r="J850" s="329" t="s">
        <v>4650</v>
      </c>
      <c r="K850" s="315" t="s">
        <v>4199</v>
      </c>
      <c r="L850" s="331"/>
      <c r="M850" s="331"/>
      <c r="N850" s="320" t="s">
        <v>196</v>
      </c>
      <c r="O850" s="329" t="s">
        <v>51</v>
      </c>
      <c r="P850" s="330">
        <v>-500</v>
      </c>
      <c r="Q850" s="330">
        <v>600</v>
      </c>
      <c r="R850" s="329" t="s">
        <v>4658</v>
      </c>
      <c r="S850" s="329"/>
      <c r="T850" s="329"/>
      <c r="U850" s="329" t="s">
        <v>4659</v>
      </c>
      <c r="V850" s="329" t="s">
        <v>4660</v>
      </c>
      <c r="W850" s="329"/>
      <c r="X850" s="329"/>
      <c r="Y850" s="319" t="s">
        <v>4440</v>
      </c>
    </row>
    <row r="851" spans="1:25" s="91" customFormat="1" hidden="1" x14ac:dyDescent="0.25">
      <c r="A851" s="32" t="s">
        <v>1576</v>
      </c>
      <c r="B851" s="315" t="str">
        <f>IF((COUNTBLANK(G851)=0),Stats!$E$7,IF((COUNTBLANK(E851)=0),IF((COUNTBLANK(F851)=0),IF((COUNTBLANK(U851)=0),Stats!$E$6,Stats!$E$5),Stats!$E$4),""))</f>
        <v>Death</v>
      </c>
      <c r="C851" s="41" t="s">
        <v>3111</v>
      </c>
      <c r="D851" s="306" t="str">
        <f>IF(B851=Stats!$E$6,Stats!$E$11,"")</f>
        <v/>
      </c>
      <c r="E851" s="89">
        <v>44585</v>
      </c>
      <c r="F851" s="89">
        <v>44592</v>
      </c>
      <c r="G851" s="327">
        <v>44868</v>
      </c>
      <c r="H851" s="313" t="s">
        <v>3139</v>
      </c>
      <c r="I851" s="52"/>
      <c r="J851" s="313" t="s">
        <v>152</v>
      </c>
      <c r="K851" s="306" t="s">
        <v>4527</v>
      </c>
      <c r="L851" s="306"/>
      <c r="M851" s="306"/>
      <c r="N851" s="304"/>
      <c r="O851" s="313" t="s">
        <v>51</v>
      </c>
      <c r="P851" s="328">
        <v>-800</v>
      </c>
      <c r="Q851" s="328">
        <v>200</v>
      </c>
      <c r="R851" s="313" t="s">
        <v>3659</v>
      </c>
      <c r="S851" s="313"/>
      <c r="T851" s="313" t="s">
        <v>4576</v>
      </c>
      <c r="U851" s="313"/>
      <c r="V851" s="313"/>
      <c r="W851" s="313"/>
      <c r="X851" s="313"/>
      <c r="Y851" s="319" t="s">
        <v>4661</v>
      </c>
    </row>
    <row r="852" spans="1:25" s="91" customFormat="1" hidden="1" x14ac:dyDescent="0.25">
      <c r="A852" s="32" t="s">
        <v>1577</v>
      </c>
      <c r="B852" s="315" t="str">
        <f>IF((COUNTBLANK(G852)=0),Stats!$E$7,IF((COUNTBLANK(E852)=0),IF((COUNTBLANK(F852)=0),IF((COUNTBLANK(U852)=0),Stats!$E$6,Stats!$E$5),Stats!$E$4),""))</f>
        <v>Death</v>
      </c>
      <c r="C852" s="41" t="s">
        <v>3111</v>
      </c>
      <c r="D852" s="306" t="str">
        <f>IF(B852=Stats!$E$6,Stats!$E$11,"")</f>
        <v/>
      </c>
      <c r="E852" s="89">
        <v>44585</v>
      </c>
      <c r="F852" s="89">
        <v>44592</v>
      </c>
      <c r="G852" s="327">
        <v>44890</v>
      </c>
      <c r="H852" s="313" t="s">
        <v>3139</v>
      </c>
      <c r="I852" s="52"/>
      <c r="J852" s="313" t="s">
        <v>152</v>
      </c>
      <c r="K852" s="306" t="s">
        <v>4527</v>
      </c>
      <c r="L852" s="306"/>
      <c r="M852" s="306"/>
      <c r="N852" s="304"/>
      <c r="O852" s="313" t="s">
        <v>51</v>
      </c>
      <c r="P852" s="328">
        <v>-800</v>
      </c>
      <c r="Q852" s="328">
        <v>200</v>
      </c>
      <c r="R852" s="313" t="s">
        <v>3678</v>
      </c>
      <c r="S852" s="313"/>
      <c r="T852" s="313" t="s">
        <v>4576</v>
      </c>
      <c r="U852" s="313"/>
      <c r="V852" s="313"/>
      <c r="W852" s="313"/>
      <c r="X852" s="313"/>
      <c r="Y852" s="319" t="s">
        <v>4661</v>
      </c>
    </row>
    <row r="853" spans="1:25" s="91" customFormat="1" hidden="1" x14ac:dyDescent="0.25">
      <c r="A853" s="32" t="s">
        <v>1578</v>
      </c>
      <c r="B853" s="315" t="str">
        <f>IF((COUNTBLANK(G853)=0),Stats!$E$7,IF((COUNTBLANK(E853)=0),IF((COUNTBLANK(F853)=0),IF((COUNTBLANK(U853)=0),Stats!$E$6,Stats!$E$5),Stats!$E$4),""))</f>
        <v>Death</v>
      </c>
      <c r="C853" s="41" t="s">
        <v>3111</v>
      </c>
      <c r="D853" s="88" t="s">
        <v>204</v>
      </c>
      <c r="E853" s="89">
        <v>44585</v>
      </c>
      <c r="F853" s="89">
        <v>44592</v>
      </c>
      <c r="G853" s="316">
        <v>44993</v>
      </c>
      <c r="H853" s="313" t="s">
        <v>3139</v>
      </c>
      <c r="I853" s="52"/>
      <c r="J853" s="313" t="s">
        <v>152</v>
      </c>
      <c r="K853" s="306" t="s">
        <v>4527</v>
      </c>
      <c r="L853" s="306"/>
      <c r="M853" s="306"/>
      <c r="N853" s="304"/>
      <c r="O853" s="313" t="s">
        <v>51</v>
      </c>
      <c r="P853" s="328">
        <v>-800</v>
      </c>
      <c r="Q853" s="328">
        <v>300</v>
      </c>
      <c r="R853" s="313" t="s">
        <v>3656</v>
      </c>
      <c r="S853" s="313"/>
      <c r="T853" s="313"/>
      <c r="U853" s="313"/>
      <c r="V853" s="313"/>
      <c r="W853" s="313"/>
      <c r="X853" s="313"/>
      <c r="Y853" s="319" t="s">
        <v>4661</v>
      </c>
    </row>
    <row r="854" spans="1:25" s="91" customFormat="1" hidden="1" x14ac:dyDescent="0.25">
      <c r="A854" s="32" t="s">
        <v>1579</v>
      </c>
      <c r="B854" s="315" t="str">
        <f>IF((COUNTBLANK(G854)=0),Stats!$E$7,IF((COUNTBLANK(E854)=0),IF((COUNTBLANK(F854)=0),IF((COUNTBLANK(U854)=0),Stats!$E$6,Stats!$E$5),Stats!$E$4),""))</f>
        <v>Death</v>
      </c>
      <c r="C854" s="39" t="s">
        <v>3111</v>
      </c>
      <c r="D854" s="306"/>
      <c r="E854" s="88">
        <v>44585</v>
      </c>
      <c r="F854" s="316">
        <v>44593</v>
      </c>
      <c r="G854" s="316">
        <v>36893</v>
      </c>
      <c r="H854" s="317" t="s">
        <v>3139</v>
      </c>
      <c r="I854" s="317"/>
      <c r="J854" s="317" t="s">
        <v>152</v>
      </c>
      <c r="K854" s="306" t="s">
        <v>4527</v>
      </c>
      <c r="L854" s="315"/>
      <c r="M854" s="317"/>
      <c r="N854" s="320"/>
      <c r="O854" s="317" t="s">
        <v>51</v>
      </c>
      <c r="P854" s="318">
        <v>-800</v>
      </c>
      <c r="Q854" s="318">
        <v>300</v>
      </c>
      <c r="R854" s="317" t="s">
        <v>3655</v>
      </c>
      <c r="S854" s="317"/>
      <c r="T854" s="317" t="s">
        <v>4662</v>
      </c>
      <c r="U854" s="317"/>
      <c r="V854" s="317"/>
      <c r="W854" s="317"/>
      <c r="X854" s="317"/>
      <c r="Y854" s="319" t="s">
        <v>4661</v>
      </c>
    </row>
    <row r="855" spans="1:25" s="91" customFormat="1" hidden="1" x14ac:dyDescent="0.25">
      <c r="A855" s="32" t="s">
        <v>1580</v>
      </c>
      <c r="B855" s="315" t="str">
        <f>IF((COUNTBLANK(G855)=0),Stats!$E$7,IF((COUNTBLANK(E855)=0),IF((COUNTBLANK(F855)=0),IF((COUNTBLANK(U855)=0),Stats!$E$6,Stats!$E$5),Stats!$E$4),""))</f>
        <v>Death</v>
      </c>
      <c r="C855" s="39" t="s">
        <v>3111</v>
      </c>
      <c r="D855" s="315"/>
      <c r="E855" s="88">
        <v>44586</v>
      </c>
      <c r="F855" s="316">
        <v>44601</v>
      </c>
      <c r="G855" s="316">
        <v>36893</v>
      </c>
      <c r="H855" s="317" t="s">
        <v>3139</v>
      </c>
      <c r="I855" s="317"/>
      <c r="J855" s="317" t="s">
        <v>152</v>
      </c>
      <c r="K855" s="57" t="s">
        <v>4663</v>
      </c>
      <c r="L855" s="57"/>
      <c r="M855" s="56"/>
      <c r="N855" s="63"/>
      <c r="O855" s="317" t="s">
        <v>51</v>
      </c>
      <c r="P855" s="318" t="s">
        <v>4112</v>
      </c>
      <c r="Q855" s="318" t="s">
        <v>3709</v>
      </c>
      <c r="R855" s="317" t="s">
        <v>3659</v>
      </c>
      <c r="S855" s="317"/>
      <c r="T855" s="317"/>
      <c r="U855" s="317"/>
      <c r="V855" s="317"/>
      <c r="W855" s="317"/>
      <c r="X855" s="317"/>
      <c r="Y855" s="319" t="s">
        <v>4664</v>
      </c>
    </row>
    <row r="856" spans="1:25" s="91" customFormat="1" hidden="1" x14ac:dyDescent="0.25">
      <c r="A856" s="32" t="s">
        <v>1581</v>
      </c>
      <c r="B856" s="315" t="str">
        <f>IF((COUNTBLANK(G856)=0),Stats!$E$7,IF((COUNTBLANK(E856)=0),IF((COUNTBLANK(F856)=0),IF((COUNTBLANK(U856)=0),Stats!$E$6,Stats!$E$5),Stats!$E$4),""))</f>
        <v>Death</v>
      </c>
      <c r="C856" s="39" t="s">
        <v>3111</v>
      </c>
      <c r="D856" s="315"/>
      <c r="E856" s="88">
        <v>44586</v>
      </c>
      <c r="F856" s="316">
        <v>44601</v>
      </c>
      <c r="G856" s="316">
        <v>36893</v>
      </c>
      <c r="H856" s="317" t="s">
        <v>3139</v>
      </c>
      <c r="I856" s="317"/>
      <c r="J856" s="317" t="s">
        <v>152</v>
      </c>
      <c r="K856" s="57" t="s">
        <v>4663</v>
      </c>
      <c r="L856" s="57"/>
      <c r="M856" s="56"/>
      <c r="N856" s="63"/>
      <c r="O856" s="317" t="s">
        <v>51</v>
      </c>
      <c r="P856" s="318" t="s">
        <v>4112</v>
      </c>
      <c r="Q856" s="318" t="s">
        <v>3709</v>
      </c>
      <c r="R856" s="317" t="s">
        <v>4665</v>
      </c>
      <c r="S856" s="317"/>
      <c r="T856" s="317"/>
      <c r="U856" s="317"/>
      <c r="V856" s="317"/>
      <c r="W856" s="317"/>
      <c r="X856" s="317"/>
      <c r="Y856" s="319" t="s">
        <v>4664</v>
      </c>
    </row>
    <row r="857" spans="1:25" s="91" customFormat="1" hidden="1" x14ac:dyDescent="0.25">
      <c r="A857" s="32" t="s">
        <v>1582</v>
      </c>
      <c r="B857" s="315" t="str">
        <f>IF((COUNTBLANK(G857)=0),Stats!$E$7,IF((COUNTBLANK(E857)=0),IF((COUNTBLANK(F857)=0),IF((COUNTBLANK(U857)=0),Stats!$E$6,Stats!$E$5),Stats!$E$4),""))</f>
        <v>Death</v>
      </c>
      <c r="C857" s="41" t="s">
        <v>3111</v>
      </c>
      <c r="D857" s="306" t="str">
        <f>IF(B857=Stats!$E$6,Stats!$E$11,"")</f>
        <v/>
      </c>
      <c r="E857" s="89">
        <v>44586</v>
      </c>
      <c r="F857" s="89">
        <v>44601</v>
      </c>
      <c r="G857" s="316">
        <v>44993</v>
      </c>
      <c r="H857" s="313" t="s">
        <v>3139</v>
      </c>
      <c r="I857" s="52"/>
      <c r="J857" s="313" t="s">
        <v>152</v>
      </c>
      <c r="K857" s="57" t="s">
        <v>4663</v>
      </c>
      <c r="L857" s="61"/>
      <c r="M857" s="61"/>
      <c r="N857" s="64"/>
      <c r="O857" s="313" t="s">
        <v>51</v>
      </c>
      <c r="P857" s="328" t="s">
        <v>4112</v>
      </c>
      <c r="Q857" s="328" t="s">
        <v>3709</v>
      </c>
      <c r="R857" s="313" t="s">
        <v>3656</v>
      </c>
      <c r="S857" s="313"/>
      <c r="T857" s="313"/>
      <c r="U857" s="313"/>
      <c r="V857" s="313"/>
      <c r="W857" s="313"/>
      <c r="X857" s="313"/>
      <c r="Y857" s="319" t="s">
        <v>4664</v>
      </c>
    </row>
    <row r="858" spans="1:25" s="91" customFormat="1" hidden="1" x14ac:dyDescent="0.25">
      <c r="A858" s="32" t="s">
        <v>1583</v>
      </c>
      <c r="B858" s="315" t="str">
        <f>IF((COUNTBLANK(G858)=0),Stats!$E$7,IF((COUNTBLANK(E858)=0),IF((COUNTBLANK(F858)=0),IF((COUNTBLANK(U858)=0),Stats!$E$6,Stats!$E$5),Stats!$E$4),""))</f>
        <v>Death</v>
      </c>
      <c r="C858" s="39" t="s">
        <v>3111</v>
      </c>
      <c r="D858" s="315"/>
      <c r="E858" s="88">
        <v>44586</v>
      </c>
      <c r="F858" s="316">
        <v>44594</v>
      </c>
      <c r="G858" s="316">
        <v>36893</v>
      </c>
      <c r="H858" s="317" t="s">
        <v>3139</v>
      </c>
      <c r="I858" s="317"/>
      <c r="J858" s="317" t="s">
        <v>152</v>
      </c>
      <c r="K858" s="57" t="s">
        <v>4663</v>
      </c>
      <c r="L858" s="57"/>
      <c r="M858" s="56"/>
      <c r="N858" s="63"/>
      <c r="O858" s="317" t="s">
        <v>51</v>
      </c>
      <c r="P858" s="318" t="s">
        <v>4112</v>
      </c>
      <c r="Q858" s="318" t="s">
        <v>3709</v>
      </c>
      <c r="R858" s="317" t="s">
        <v>4666</v>
      </c>
      <c r="S858" s="317"/>
      <c r="T858" s="317"/>
      <c r="U858" s="317"/>
      <c r="V858" s="317"/>
      <c r="W858" s="317"/>
      <c r="X858" s="317"/>
      <c r="Y858" s="319" t="s">
        <v>4664</v>
      </c>
    </row>
    <row r="859" spans="1:25" s="92" customFormat="1" hidden="1" x14ac:dyDescent="0.25">
      <c r="A859" s="32" t="s">
        <v>1584</v>
      </c>
      <c r="B859" s="315" t="str">
        <f>IF((COUNTBLANK(G859)=0),Stats!$E$7,IF((COUNTBLANK(E859)=0),IF((COUNTBLANK(F859)=0),IF((COUNTBLANK(U859)=0),Stats!$E$6,Stats!$E$5),Stats!$E$4),""))</f>
        <v>Death</v>
      </c>
      <c r="C859" s="39" t="s">
        <v>3111</v>
      </c>
      <c r="D859" s="315"/>
      <c r="E859" s="88">
        <v>44587</v>
      </c>
      <c r="F859" s="88">
        <v>44593</v>
      </c>
      <c r="G859" s="316">
        <v>36893</v>
      </c>
      <c r="H859" s="317" t="s">
        <v>3139</v>
      </c>
      <c r="I859" s="49"/>
      <c r="J859" s="49" t="s">
        <v>152</v>
      </c>
      <c r="K859" s="58" t="s">
        <v>4199</v>
      </c>
      <c r="L859" s="58" t="s">
        <v>4044</v>
      </c>
      <c r="M859" s="49" t="s">
        <v>3093</v>
      </c>
      <c r="N859" s="62" t="s">
        <v>4200</v>
      </c>
      <c r="O859" s="49" t="s">
        <v>51</v>
      </c>
      <c r="P859" s="67" t="s">
        <v>4112</v>
      </c>
      <c r="Q859" s="67" t="s">
        <v>3709</v>
      </c>
      <c r="R859" s="49" t="s">
        <v>3659</v>
      </c>
      <c r="S859" s="49"/>
      <c r="T859" s="49"/>
      <c r="U859" s="49"/>
      <c r="V859" s="49"/>
      <c r="W859" s="49"/>
      <c r="X859" s="58" t="s">
        <v>4667</v>
      </c>
      <c r="Y859" s="95" t="s">
        <v>4668</v>
      </c>
    </row>
    <row r="860" spans="1:25" s="91" customFormat="1" hidden="1" x14ac:dyDescent="0.25">
      <c r="A860" s="32" t="s">
        <v>1585</v>
      </c>
      <c r="B860" s="315" t="str">
        <f>IF((COUNTBLANK(G860)=0),Stats!$E$7,IF((COUNTBLANK(E860)=0),IF((COUNTBLANK(F860)=0),IF((COUNTBLANK(U860)=0),Stats!$E$6,Stats!$E$5),Stats!$E$4),""))</f>
        <v>Death</v>
      </c>
      <c r="C860" s="39" t="s">
        <v>3111</v>
      </c>
      <c r="D860" s="315"/>
      <c r="E860" s="88">
        <v>44587</v>
      </c>
      <c r="F860" s="316">
        <v>44594</v>
      </c>
      <c r="G860" s="316">
        <v>36893</v>
      </c>
      <c r="H860" s="317" t="s">
        <v>3139</v>
      </c>
      <c r="I860" s="317"/>
      <c r="J860" s="317" t="s">
        <v>152</v>
      </c>
      <c r="K860" s="58" t="s">
        <v>4199</v>
      </c>
      <c r="L860" s="58" t="s">
        <v>4044</v>
      </c>
      <c r="M860" s="49" t="s">
        <v>3093</v>
      </c>
      <c r="N860" s="62" t="s">
        <v>4200</v>
      </c>
      <c r="O860" s="317" t="s">
        <v>51</v>
      </c>
      <c r="P860" s="318" t="s">
        <v>4112</v>
      </c>
      <c r="Q860" s="318" t="s">
        <v>3709</v>
      </c>
      <c r="R860" s="317" t="s">
        <v>3678</v>
      </c>
      <c r="S860" s="317"/>
      <c r="T860" s="317"/>
      <c r="U860" s="317"/>
      <c r="V860" s="317"/>
      <c r="W860" s="317"/>
      <c r="X860" s="317"/>
      <c r="Y860" s="319" t="s">
        <v>4668</v>
      </c>
    </row>
    <row r="861" spans="1:25" s="91" customFormat="1" hidden="1" x14ac:dyDescent="0.25">
      <c r="A861" s="32" t="s">
        <v>1586</v>
      </c>
      <c r="B861" s="315" t="str">
        <f>IF((COUNTBLANK(G861)=0),Stats!$E$7,IF((COUNTBLANK(E861)=0),IF((COUNTBLANK(F861)=0),IF((COUNTBLANK(U861)=0),Stats!$E$6,Stats!$E$5),Stats!$E$4),""))</f>
        <v>Death</v>
      </c>
      <c r="C861" s="41" t="s">
        <v>3111</v>
      </c>
      <c r="D861" s="306" t="str">
        <f>IF(B861=Stats!$E$6,Stats!$E$11,"")</f>
        <v/>
      </c>
      <c r="E861" s="89">
        <v>44587</v>
      </c>
      <c r="F861" s="89">
        <v>44593</v>
      </c>
      <c r="G861" s="316">
        <v>44993</v>
      </c>
      <c r="H861" s="313" t="s">
        <v>3139</v>
      </c>
      <c r="I861" s="52"/>
      <c r="J861" s="313" t="s">
        <v>152</v>
      </c>
      <c r="K861" s="58" t="s">
        <v>4199</v>
      </c>
      <c r="L861" s="58" t="s">
        <v>4044</v>
      </c>
      <c r="M861" s="58" t="s">
        <v>3093</v>
      </c>
      <c r="N861" s="62" t="s">
        <v>4200</v>
      </c>
      <c r="O861" s="313" t="s">
        <v>51</v>
      </c>
      <c r="P861" s="328" t="s">
        <v>4112</v>
      </c>
      <c r="Q861" s="328" t="s">
        <v>3709</v>
      </c>
      <c r="R861" s="313" t="s">
        <v>3656</v>
      </c>
      <c r="S861" s="313"/>
      <c r="T861" s="313"/>
      <c r="U861" s="313"/>
      <c r="V861" s="313"/>
      <c r="W861" s="313"/>
      <c r="X861" s="313"/>
      <c r="Y861" s="319" t="s">
        <v>4668</v>
      </c>
    </row>
    <row r="862" spans="1:25" s="91" customFormat="1" hidden="1" x14ac:dyDescent="0.25">
      <c r="A862" s="32" t="s">
        <v>1587</v>
      </c>
      <c r="B862" s="315" t="str">
        <f>IF((COUNTBLANK(G862)=0),Stats!$E$7,IF((COUNTBLANK(E862)=0),IF((COUNTBLANK(F862)=0),IF((COUNTBLANK(U862)=0),Stats!$E$6,Stats!$E$5),Stats!$E$4),""))</f>
        <v>Death</v>
      </c>
      <c r="C862" s="41" t="s">
        <v>3111</v>
      </c>
      <c r="D862" s="306" t="str">
        <f>IF(B862=Stats!$E$6,Stats!$E$11,"")</f>
        <v/>
      </c>
      <c r="E862" s="89">
        <v>44587</v>
      </c>
      <c r="F862" s="89">
        <v>44594</v>
      </c>
      <c r="G862" s="316">
        <v>44993</v>
      </c>
      <c r="H862" s="313" t="s">
        <v>3139</v>
      </c>
      <c r="I862" s="313"/>
      <c r="J862" s="313" t="s">
        <v>152</v>
      </c>
      <c r="K862" s="58" t="s">
        <v>4199</v>
      </c>
      <c r="L862" s="58" t="s">
        <v>4044</v>
      </c>
      <c r="M862" s="58" t="s">
        <v>3093</v>
      </c>
      <c r="N862" s="62" t="s">
        <v>4200</v>
      </c>
      <c r="O862" s="313" t="s">
        <v>51</v>
      </c>
      <c r="P862" s="328" t="s">
        <v>4112</v>
      </c>
      <c r="Q862" s="328" t="s">
        <v>3709</v>
      </c>
      <c r="R862" s="313" t="s">
        <v>3659</v>
      </c>
      <c r="S862" s="313"/>
      <c r="T862" s="313"/>
      <c r="U862" s="313"/>
      <c r="V862" s="313"/>
      <c r="W862" s="313"/>
      <c r="X862" s="313"/>
      <c r="Y862" s="319" t="s">
        <v>4669</v>
      </c>
    </row>
    <row r="863" spans="1:25" s="91" customFormat="1" hidden="1" x14ac:dyDescent="0.25">
      <c r="A863" s="32" t="s">
        <v>1588</v>
      </c>
      <c r="B863" s="306" t="str">
        <f>IF((COUNTBLANK(G863)=0),Stats!$E$7,IF((COUNTBLANK(E863)=0),IF((COUNTBLANK(F863)=0),IF((COUNTBLANK(U863)=0),Stats!$E$6,Stats!$E$5),Stats!$E$4),""))</f>
        <v>Death</v>
      </c>
      <c r="C863" s="41" t="s">
        <v>284</v>
      </c>
      <c r="D863" s="306" t="str">
        <f>IF(B863=Stats!$E$6,Stats!$E$11,"")</f>
        <v/>
      </c>
      <c r="E863" s="89">
        <v>44599</v>
      </c>
      <c r="F863" s="89">
        <v>44608</v>
      </c>
      <c r="G863" s="327">
        <v>45156</v>
      </c>
      <c r="H863" s="313" t="s">
        <v>98</v>
      </c>
      <c r="I863" s="313"/>
      <c r="J863" s="313" t="s">
        <v>152</v>
      </c>
      <c r="K863" s="306" t="s">
        <v>4635</v>
      </c>
      <c r="L863" s="306"/>
      <c r="M863" s="306"/>
      <c r="N863" s="304" t="s">
        <v>196</v>
      </c>
      <c r="O863" s="313" t="s">
        <v>51</v>
      </c>
      <c r="P863" s="328">
        <v>-500</v>
      </c>
      <c r="Q863" s="328">
        <v>600</v>
      </c>
      <c r="R863" s="313" t="s">
        <v>4651</v>
      </c>
      <c r="S863" s="313"/>
      <c r="T863" s="313"/>
      <c r="U863" s="313" t="s">
        <v>4670</v>
      </c>
      <c r="V863" s="83" t="s">
        <v>4671</v>
      </c>
      <c r="W863" s="313"/>
      <c r="X863" s="313"/>
      <c r="Y863" s="319" t="s">
        <v>4669</v>
      </c>
    </row>
    <row r="864" spans="1:25" s="91" customFormat="1" hidden="1" x14ac:dyDescent="0.25">
      <c r="A864" s="32" t="s">
        <v>1589</v>
      </c>
      <c r="B864" s="315" t="str">
        <f>IF((COUNTBLANK(G864)=0),Stats!$E$7,IF((COUNTBLANK(E864)=0),IF((COUNTBLANK(F864)=0),IF((COUNTBLANK(U864)=0),Stats!$E$6,Stats!$E$5),Stats!$E$4),""))</f>
        <v>Death</v>
      </c>
      <c r="C864" s="39" t="s">
        <v>284</v>
      </c>
      <c r="D864" s="315"/>
      <c r="E864" s="88">
        <v>44599</v>
      </c>
      <c r="F864" s="316">
        <v>36892</v>
      </c>
      <c r="G864" s="316">
        <v>36893</v>
      </c>
      <c r="H864" s="317" t="s">
        <v>98</v>
      </c>
      <c r="I864" s="313"/>
      <c r="J864" s="317" t="s">
        <v>152</v>
      </c>
      <c r="K864" s="306" t="s">
        <v>4635</v>
      </c>
      <c r="L864" s="306"/>
      <c r="M864" s="313"/>
      <c r="N864" s="304" t="s">
        <v>196</v>
      </c>
      <c r="O864" s="317" t="s">
        <v>51</v>
      </c>
      <c r="P864" s="318">
        <v>-500</v>
      </c>
      <c r="Q864" s="318">
        <v>600</v>
      </c>
      <c r="R864" s="317" t="s">
        <v>4655</v>
      </c>
      <c r="S864" s="317"/>
      <c r="T864" s="317"/>
      <c r="U864" s="317"/>
      <c r="V864" s="317"/>
      <c r="W864" s="317"/>
      <c r="X864" s="317"/>
      <c r="Y864" s="319" t="s">
        <v>4668</v>
      </c>
    </row>
    <row r="865" spans="1:25" s="91" customFormat="1" hidden="1" x14ac:dyDescent="0.25">
      <c r="A865" s="32" t="s">
        <v>1590</v>
      </c>
      <c r="B865" s="306" t="str">
        <f>IF((COUNTBLANK(G865)=0),Stats!$E$7,IF((COUNTBLANK(E865)=0),IF((COUNTBLANK(F865)=0),IF((COUNTBLANK(U865)=0),Stats!$E$6,Stats!$E$5),Stats!$E$4),""))</f>
        <v>Death</v>
      </c>
      <c r="C865" s="41" t="s">
        <v>284</v>
      </c>
      <c r="D865" s="306" t="str">
        <f>IF(B865=Stats!$E$6,Stats!$E$11,"")</f>
        <v/>
      </c>
      <c r="E865" s="89">
        <v>44599</v>
      </c>
      <c r="F865" s="89">
        <v>44608</v>
      </c>
      <c r="G865" s="327">
        <v>44872</v>
      </c>
      <c r="H865" s="313" t="s">
        <v>98</v>
      </c>
      <c r="I865" s="313"/>
      <c r="J865" s="313" t="s">
        <v>152</v>
      </c>
      <c r="K865" s="306" t="s">
        <v>4635</v>
      </c>
      <c r="L865" s="306"/>
      <c r="M865" s="306"/>
      <c r="N865" s="304" t="s">
        <v>4672</v>
      </c>
      <c r="O865" s="313" t="s">
        <v>51</v>
      </c>
      <c r="P865" s="328">
        <v>-500</v>
      </c>
      <c r="Q865" s="328">
        <v>600</v>
      </c>
      <c r="R865" s="344" t="s">
        <v>4666</v>
      </c>
      <c r="S865" s="313"/>
      <c r="T865" s="313"/>
      <c r="U865" s="313" t="s">
        <v>4673</v>
      </c>
      <c r="V865" s="83" t="s">
        <v>4674</v>
      </c>
      <c r="W865" s="313"/>
      <c r="X865" s="313"/>
      <c r="Y865" s="319" t="s">
        <v>4675</v>
      </c>
    </row>
    <row r="866" spans="1:25" s="91" customFormat="1" hidden="1" x14ac:dyDescent="0.25">
      <c r="A866" s="32" t="s">
        <v>1591</v>
      </c>
      <c r="B866" s="36" t="str">
        <f>IF((COUNTBLANK(G866)=0),Stats!$E$7,IF((COUNTBLANK(E866)=0),IF((COUNTBLANK(F866)=0),IF((COUNTBLANK(U866)=0),Stats!$E$6,Stats!$E$5),Stats!$E$4),""))</f>
        <v>Death</v>
      </c>
      <c r="C866" s="41" t="s">
        <v>284</v>
      </c>
      <c r="D866" s="36" t="str">
        <f>IF(B866=Stats!$E$6,Stats!$E$11,"")</f>
        <v/>
      </c>
      <c r="E866" s="89">
        <v>44599</v>
      </c>
      <c r="F866" s="89">
        <v>44608</v>
      </c>
      <c r="G866" s="316">
        <v>44993</v>
      </c>
      <c r="H866" s="34" t="s">
        <v>98</v>
      </c>
      <c r="I866" s="34"/>
      <c r="J866" s="34" t="s">
        <v>152</v>
      </c>
      <c r="K866" s="36" t="s">
        <v>4635</v>
      </c>
      <c r="L866" s="36"/>
      <c r="M866" s="36"/>
      <c r="N866" s="65" t="s">
        <v>4672</v>
      </c>
      <c r="O866" s="34" t="s">
        <v>51</v>
      </c>
      <c r="P866" s="68">
        <v>-500</v>
      </c>
      <c r="Q866" s="70">
        <v>600</v>
      </c>
      <c r="R866" s="34" t="s">
        <v>4676</v>
      </c>
      <c r="S866" s="34"/>
      <c r="T866" s="34"/>
      <c r="U866" s="34" t="s">
        <v>4677</v>
      </c>
      <c r="V866" s="83" t="s">
        <v>4674</v>
      </c>
      <c r="W866" s="34"/>
      <c r="X866" s="34"/>
      <c r="Y866" t="s">
        <v>4675</v>
      </c>
    </row>
    <row r="867" spans="1:25" s="91" customFormat="1" hidden="1" x14ac:dyDescent="0.25">
      <c r="A867" s="32" t="s">
        <v>1592</v>
      </c>
      <c r="B867" s="306" t="str">
        <f>IF((COUNTBLANK(G867)=0),Stats!$E$7,IF((COUNTBLANK(E867)=0),IF((COUNTBLANK(F867)=0),IF((COUNTBLANK(U867)=0),Stats!$E$6,Stats!$E$5),Stats!$E$4),""))</f>
        <v>Death</v>
      </c>
      <c r="C867" s="41" t="s">
        <v>284</v>
      </c>
      <c r="D867" s="306" t="s">
        <v>407</v>
      </c>
      <c r="E867" s="89">
        <v>44600</v>
      </c>
      <c r="F867" s="89">
        <v>44608</v>
      </c>
      <c r="G867" s="316">
        <v>44993</v>
      </c>
      <c r="H867" s="313" t="s">
        <v>3154</v>
      </c>
      <c r="I867" s="313"/>
      <c r="J867" s="313" t="s">
        <v>152</v>
      </c>
      <c r="K867" s="306" t="s">
        <v>4678</v>
      </c>
      <c r="L867" s="306"/>
      <c r="M867" s="306"/>
      <c r="N867" s="304" t="s">
        <v>196</v>
      </c>
      <c r="O867" s="313" t="s">
        <v>51</v>
      </c>
      <c r="P867" s="328">
        <v>-450</v>
      </c>
      <c r="Q867" s="328">
        <v>500</v>
      </c>
      <c r="R867" s="313" t="s">
        <v>4444</v>
      </c>
      <c r="S867" s="313"/>
      <c r="T867" s="55" t="s">
        <v>3531</v>
      </c>
      <c r="U867" s="313" t="s">
        <v>4679</v>
      </c>
      <c r="V867" s="83" t="s">
        <v>4680</v>
      </c>
      <c r="W867" s="313"/>
      <c r="X867" s="313"/>
      <c r="Y867" s="319" t="s">
        <v>4675</v>
      </c>
    </row>
    <row r="868" spans="1:25" s="91" customFormat="1" hidden="1" x14ac:dyDescent="0.25">
      <c r="A868" s="32" t="s">
        <v>1593</v>
      </c>
      <c r="B868" s="306" t="str">
        <f>IF((COUNTBLANK(G868)=0),Stats!$E$7,IF((COUNTBLANK(E868)=0),IF((COUNTBLANK(F868)=0),IF((COUNTBLANK(U868)=0),Stats!$E$6,Stats!$E$5),Stats!$E$4),""))</f>
        <v>Death</v>
      </c>
      <c r="C868" s="41" t="s">
        <v>284</v>
      </c>
      <c r="D868" s="306" t="s">
        <v>407</v>
      </c>
      <c r="E868" s="89">
        <v>44600</v>
      </c>
      <c r="F868" s="89">
        <v>44608</v>
      </c>
      <c r="G868" s="316">
        <v>44993</v>
      </c>
      <c r="H868" s="313" t="s">
        <v>3154</v>
      </c>
      <c r="I868" s="313"/>
      <c r="J868" s="313" t="s">
        <v>152</v>
      </c>
      <c r="K868" s="306" t="s">
        <v>4678</v>
      </c>
      <c r="L868" s="306"/>
      <c r="M868" s="306"/>
      <c r="N868" s="304" t="s">
        <v>196</v>
      </c>
      <c r="O868" s="313" t="s">
        <v>51</v>
      </c>
      <c r="P868" s="328">
        <v>-450</v>
      </c>
      <c r="Q868" s="328">
        <v>500</v>
      </c>
      <c r="R868" s="313" t="s">
        <v>4502</v>
      </c>
      <c r="S868" s="313"/>
      <c r="T868" s="313"/>
      <c r="U868" s="313" t="s">
        <v>4681</v>
      </c>
      <c r="V868" s="83" t="s">
        <v>4680</v>
      </c>
      <c r="W868" s="313"/>
      <c r="X868" s="313"/>
      <c r="Y868" s="319" t="s">
        <v>4675</v>
      </c>
    </row>
    <row r="869" spans="1:25" s="91" customFormat="1" hidden="1" x14ac:dyDescent="0.25">
      <c r="A869" s="32" t="s">
        <v>1594</v>
      </c>
      <c r="B869" s="315" t="str">
        <f>IF((COUNTBLANK(G869)=0),Stats!$E$7,IF((COUNTBLANK(E869)=0),IF((COUNTBLANK(F869)=0),IF((COUNTBLANK(U869)=0),Stats!$E$6,Stats!$E$5),Stats!$E$4),""))</f>
        <v>Death</v>
      </c>
      <c r="C869" s="39" t="s">
        <v>284</v>
      </c>
      <c r="D869" s="315"/>
      <c r="E869" s="88">
        <v>44606</v>
      </c>
      <c r="F869" s="316">
        <v>36892</v>
      </c>
      <c r="G869" s="316">
        <v>36893</v>
      </c>
      <c r="H869" s="317" t="s">
        <v>98</v>
      </c>
      <c r="I869" s="52"/>
      <c r="J869" s="317" t="s">
        <v>152</v>
      </c>
      <c r="K869" s="306" t="s">
        <v>4635</v>
      </c>
      <c r="L869" s="306"/>
      <c r="M869" s="313"/>
      <c r="N869" s="304" t="s">
        <v>196</v>
      </c>
      <c r="O869" s="317" t="s">
        <v>51</v>
      </c>
      <c r="P869" s="318">
        <v>-500</v>
      </c>
      <c r="Q869" s="318">
        <v>600</v>
      </c>
      <c r="R869" s="317" t="s">
        <v>4682</v>
      </c>
      <c r="S869" s="317"/>
      <c r="T869" s="317"/>
      <c r="U869" s="317"/>
      <c r="V869" s="317"/>
      <c r="W869" s="317"/>
      <c r="X869" s="317"/>
      <c r="Y869" s="319" t="s">
        <v>4668</v>
      </c>
    </row>
    <row r="870" spans="1:25" s="91" customFormat="1" hidden="1" x14ac:dyDescent="0.25">
      <c r="A870" s="32" t="s">
        <v>1595</v>
      </c>
      <c r="B870" s="315" t="str">
        <f>IF((COUNTBLANK(G870)=0),Stats!$E$7,IF((COUNTBLANK(E870)=0),IF((COUNTBLANK(F870)=0),IF((COUNTBLANK(U870)=0),Stats!$E$6,Stats!$E$5),Stats!$E$4),""))</f>
        <v>Death</v>
      </c>
      <c r="C870" s="40" t="s">
        <v>284</v>
      </c>
      <c r="D870" s="315" t="s">
        <v>59</v>
      </c>
      <c r="E870" s="88">
        <v>44606</v>
      </c>
      <c r="F870" s="88">
        <v>44613</v>
      </c>
      <c r="G870" s="316">
        <v>44993</v>
      </c>
      <c r="H870" s="317" t="s">
        <v>98</v>
      </c>
      <c r="I870" s="52"/>
      <c r="J870" s="329" t="s">
        <v>152</v>
      </c>
      <c r="K870" s="331" t="s">
        <v>4025</v>
      </c>
      <c r="L870" s="331"/>
      <c r="M870" s="331"/>
      <c r="N870" s="345" t="s">
        <v>196</v>
      </c>
      <c r="O870" s="329" t="s">
        <v>51</v>
      </c>
      <c r="P870" s="330">
        <v>-500</v>
      </c>
      <c r="Q870" s="330">
        <v>600</v>
      </c>
      <c r="R870" s="329" t="s">
        <v>4683</v>
      </c>
      <c r="S870" s="329"/>
      <c r="T870" s="329"/>
      <c r="U870" s="329" t="s">
        <v>4684</v>
      </c>
      <c r="V870" s="329" t="s">
        <v>4685</v>
      </c>
      <c r="W870" s="329"/>
      <c r="X870" s="329"/>
      <c r="Y870" s="319" t="s">
        <v>4440</v>
      </c>
    </row>
    <row r="871" spans="1:25" s="91" customFormat="1" hidden="1" x14ac:dyDescent="0.25">
      <c r="A871" s="32" t="s">
        <v>1596</v>
      </c>
      <c r="B871" s="315" t="str">
        <f>IF((COUNTBLANK(G871)=0),Stats!$E$7,IF((COUNTBLANK(E871)=0),IF((COUNTBLANK(F871)=0),IF((COUNTBLANK(U871)=0),Stats!$E$6,Stats!$E$5),Stats!$E$4),""))</f>
        <v>Death</v>
      </c>
      <c r="C871" s="40" t="s">
        <v>284</v>
      </c>
      <c r="D871" s="315" t="s">
        <v>59</v>
      </c>
      <c r="E871" s="88">
        <v>44606</v>
      </c>
      <c r="F871" s="88">
        <v>44613</v>
      </c>
      <c r="G871" s="316">
        <v>44876</v>
      </c>
      <c r="H871" s="317" t="s">
        <v>98</v>
      </c>
      <c r="I871" s="52"/>
      <c r="J871" s="329" t="s">
        <v>152</v>
      </c>
      <c r="K871" s="331" t="s">
        <v>4025</v>
      </c>
      <c r="L871" s="331"/>
      <c r="M871" s="331"/>
      <c r="N871" s="345" t="s">
        <v>196</v>
      </c>
      <c r="O871" s="329" t="s">
        <v>51</v>
      </c>
      <c r="P871" s="330">
        <v>-500</v>
      </c>
      <c r="Q871" s="330">
        <v>600</v>
      </c>
      <c r="R871" s="329" t="s">
        <v>4686</v>
      </c>
      <c r="S871" s="329"/>
      <c r="T871" s="329"/>
      <c r="U871" s="329" t="s">
        <v>4687</v>
      </c>
      <c r="V871" s="329" t="s">
        <v>4688</v>
      </c>
      <c r="W871" s="329"/>
      <c r="X871" s="329"/>
      <c r="Y871" s="319" t="s">
        <v>4467</v>
      </c>
    </row>
    <row r="872" spans="1:25" s="91" customFormat="1" hidden="1" x14ac:dyDescent="0.25">
      <c r="A872" s="32" t="s">
        <v>1597</v>
      </c>
      <c r="B872" s="315" t="str">
        <f>IF((COUNTBLANK(G872)=0),Stats!$E$7,IF((COUNTBLANK(E872)=0),IF((COUNTBLANK(F872)=0),IF((COUNTBLANK(U872)=0),Stats!$E$6,Stats!$E$5),Stats!$E$4),""))</f>
        <v>Death</v>
      </c>
      <c r="C872" s="40" t="s">
        <v>284</v>
      </c>
      <c r="D872" s="315" t="s">
        <v>59</v>
      </c>
      <c r="E872" s="88">
        <v>44606</v>
      </c>
      <c r="F872" s="88">
        <v>44613</v>
      </c>
      <c r="G872" s="316">
        <v>44911</v>
      </c>
      <c r="H872" s="317" t="s">
        <v>3154</v>
      </c>
      <c r="I872" s="52"/>
      <c r="J872" s="329" t="s">
        <v>152</v>
      </c>
      <c r="K872" s="331" t="s">
        <v>4025</v>
      </c>
      <c r="L872" s="331"/>
      <c r="M872" s="331"/>
      <c r="N872" s="345" t="s">
        <v>196</v>
      </c>
      <c r="O872" s="329" t="s">
        <v>51</v>
      </c>
      <c r="P872" s="330">
        <v>-500</v>
      </c>
      <c r="Q872" s="330">
        <v>600</v>
      </c>
      <c r="R872" s="329" t="s">
        <v>4689</v>
      </c>
      <c r="S872" s="329"/>
      <c r="T872" s="329"/>
      <c r="U872" s="329" t="s">
        <v>4684</v>
      </c>
      <c r="V872" s="329" t="s">
        <v>4685</v>
      </c>
      <c r="W872" s="329"/>
      <c r="X872" s="329"/>
      <c r="Y872" s="319" t="s">
        <v>4471</v>
      </c>
    </row>
    <row r="873" spans="1:25" s="91" customFormat="1" hidden="1" x14ac:dyDescent="0.25">
      <c r="A873" s="32" t="s">
        <v>1598</v>
      </c>
      <c r="B873" s="315" t="str">
        <f>IF((COUNTBLANK(G873)=0),Stats!$E$7,IF((COUNTBLANK(E873)=0),IF((COUNTBLANK(F873)=0),IF((COUNTBLANK(U873)=0),Stats!$E$6,Stats!$E$5),Stats!$E$4),""))</f>
        <v>Death</v>
      </c>
      <c r="C873" s="40" t="s">
        <v>284</v>
      </c>
      <c r="D873" s="315" t="s">
        <v>59</v>
      </c>
      <c r="E873" s="88">
        <v>44606</v>
      </c>
      <c r="F873" s="88">
        <v>44614</v>
      </c>
      <c r="G873" s="316">
        <v>44979</v>
      </c>
      <c r="H873" s="317" t="s">
        <v>3154</v>
      </c>
      <c r="I873" s="52"/>
      <c r="J873" s="329" t="s">
        <v>152</v>
      </c>
      <c r="K873" s="331" t="s">
        <v>4025</v>
      </c>
      <c r="L873" s="331"/>
      <c r="M873" s="331"/>
      <c r="N873" s="345" t="s">
        <v>196</v>
      </c>
      <c r="O873" s="329" t="s">
        <v>51</v>
      </c>
      <c r="P873" s="330">
        <v>-500</v>
      </c>
      <c r="Q873" s="330">
        <v>600</v>
      </c>
      <c r="R873" s="329" t="s">
        <v>4690</v>
      </c>
      <c r="S873" s="329"/>
      <c r="T873" s="329"/>
      <c r="U873" s="329" t="s">
        <v>4691</v>
      </c>
      <c r="V873" s="329" t="s">
        <v>4692</v>
      </c>
      <c r="W873" s="329"/>
      <c r="X873" s="329"/>
      <c r="Y873" s="319" t="s">
        <v>4471</v>
      </c>
    </row>
    <row r="874" spans="1:25" s="91" customFormat="1" hidden="1" x14ac:dyDescent="0.25">
      <c r="A874" s="32" t="s">
        <v>1599</v>
      </c>
      <c r="B874" s="315" t="str">
        <f>IF((COUNTBLANK(G874)=0),Stats!$E$7,IF((COUNTBLANK(E874)=0),IF((COUNTBLANK(F874)=0),IF((COUNTBLANK(U874)=0),Stats!$E$6,Stats!$E$5),Stats!$E$4),""))</f>
        <v>Death</v>
      </c>
      <c r="C874" s="40" t="s">
        <v>284</v>
      </c>
      <c r="D874" s="315" t="s">
        <v>325</v>
      </c>
      <c r="E874" s="88">
        <v>44606</v>
      </c>
      <c r="F874" s="88">
        <v>44620</v>
      </c>
      <c r="G874" s="316">
        <v>44876</v>
      </c>
      <c r="H874" s="317" t="s">
        <v>3154</v>
      </c>
      <c r="I874" s="52"/>
      <c r="J874" s="325" t="s">
        <v>152</v>
      </c>
      <c r="K874" s="331" t="s">
        <v>4025</v>
      </c>
      <c r="L874" s="331"/>
      <c r="M874" s="331"/>
      <c r="N874" s="345" t="s">
        <v>196</v>
      </c>
      <c r="O874" s="325" t="s">
        <v>51</v>
      </c>
      <c r="P874" s="326">
        <v>-500</v>
      </c>
      <c r="Q874" s="326">
        <v>600</v>
      </c>
      <c r="R874" s="325" t="s">
        <v>4693</v>
      </c>
      <c r="S874" s="325"/>
      <c r="T874" s="325"/>
      <c r="U874" s="325" t="s">
        <v>4694</v>
      </c>
      <c r="V874" s="325" t="s">
        <v>4688</v>
      </c>
      <c r="W874" s="325" t="s">
        <v>4695</v>
      </c>
      <c r="X874" s="325"/>
      <c r="Y874" s="319" t="s">
        <v>4675</v>
      </c>
    </row>
    <row r="875" spans="1:25" s="91" customFormat="1" hidden="1" x14ac:dyDescent="0.25">
      <c r="A875" s="32" t="s">
        <v>1600</v>
      </c>
      <c r="B875" s="315" t="str">
        <f>IF((COUNTBLANK(G875)=0),Stats!$E$7,IF((COUNTBLANK(E875)=0),IF((COUNTBLANK(F875)=0),IF((COUNTBLANK(U875)=0),Stats!$E$6,Stats!$E$5),Stats!$E$4),""))</f>
        <v>Death</v>
      </c>
      <c r="C875" s="40" t="s">
        <v>284</v>
      </c>
      <c r="D875" s="315" t="s">
        <v>59</v>
      </c>
      <c r="E875" s="88">
        <v>44606</v>
      </c>
      <c r="F875" s="88">
        <v>44614</v>
      </c>
      <c r="G875" s="316">
        <v>44872</v>
      </c>
      <c r="H875" s="317" t="s">
        <v>3154</v>
      </c>
      <c r="I875" s="52"/>
      <c r="J875" s="329" t="s">
        <v>152</v>
      </c>
      <c r="K875" s="331" t="s">
        <v>4025</v>
      </c>
      <c r="L875" s="331"/>
      <c r="M875" s="331"/>
      <c r="N875" s="345" t="s">
        <v>196</v>
      </c>
      <c r="O875" s="329" t="s">
        <v>51</v>
      </c>
      <c r="P875" s="330">
        <v>-500</v>
      </c>
      <c r="Q875" s="330">
        <v>600</v>
      </c>
      <c r="R875" s="329" t="s">
        <v>249</v>
      </c>
      <c r="S875" s="329"/>
      <c r="T875" s="329"/>
      <c r="U875" s="329" t="s">
        <v>4696</v>
      </c>
      <c r="V875" s="329" t="s">
        <v>4697</v>
      </c>
      <c r="W875" s="329" t="s">
        <v>4698</v>
      </c>
      <c r="X875" s="329"/>
      <c r="Y875" s="319" t="s">
        <v>4675</v>
      </c>
    </row>
    <row r="876" spans="1:25" s="91" customFormat="1" hidden="1" x14ac:dyDescent="0.25">
      <c r="A876" s="32" t="s">
        <v>1601</v>
      </c>
      <c r="B876" s="315" t="str">
        <f>IF((COUNTBLANK(G876)=0),Stats!$E$7,IF((COUNTBLANK(E876)=0),IF((COUNTBLANK(F876)=0),IF((COUNTBLANK(U876)=0),Stats!$E$6,Stats!$E$5),Stats!$E$4),""))</f>
        <v>Death</v>
      </c>
      <c r="C876" s="39" t="s">
        <v>284</v>
      </c>
      <c r="D876" s="315"/>
      <c r="E876" s="88">
        <v>44606</v>
      </c>
      <c r="F876" s="316">
        <v>44614</v>
      </c>
      <c r="G876" s="316">
        <v>36893</v>
      </c>
      <c r="H876" s="317" t="s">
        <v>3154</v>
      </c>
      <c r="I876" s="52"/>
      <c r="J876" s="317" t="s">
        <v>152</v>
      </c>
      <c r="K876" s="331" t="s">
        <v>4025</v>
      </c>
      <c r="L876" s="331"/>
      <c r="M876" s="329"/>
      <c r="N876" s="345" t="s">
        <v>196</v>
      </c>
      <c r="O876" s="317" t="s">
        <v>51</v>
      </c>
      <c r="P876" s="318">
        <v>-500</v>
      </c>
      <c r="Q876" s="318">
        <v>600</v>
      </c>
      <c r="R876" s="317" t="s">
        <v>291</v>
      </c>
      <c r="S876" s="317"/>
      <c r="T876" s="317"/>
      <c r="U876" s="317" t="s">
        <v>4699</v>
      </c>
      <c r="V876" s="317" t="s">
        <v>4700</v>
      </c>
      <c r="W876" s="317"/>
      <c r="X876" s="317"/>
      <c r="Y876" s="319" t="s">
        <v>4675</v>
      </c>
    </row>
    <row r="877" spans="1:25" s="91" customFormat="1" hidden="1" x14ac:dyDescent="0.25">
      <c r="A877" s="32" t="s">
        <v>1602</v>
      </c>
      <c r="B877" s="315" t="str">
        <f>IF((COUNTBLANK(G877)=0),Stats!$E$7,IF((COUNTBLANK(E877)=0),IF((COUNTBLANK(F877)=0),IF((COUNTBLANK(U877)=0),Stats!$E$6,Stats!$E$5),Stats!$E$4),""))</f>
        <v>Death</v>
      </c>
      <c r="C877" s="39" t="s">
        <v>284</v>
      </c>
      <c r="D877" s="315"/>
      <c r="E877" s="88">
        <v>44615</v>
      </c>
      <c r="F877" s="316">
        <v>44620</v>
      </c>
      <c r="G877" s="316">
        <v>36893</v>
      </c>
      <c r="H877" s="317" t="s">
        <v>98</v>
      </c>
      <c r="I877" s="52"/>
      <c r="J877" s="317" t="s">
        <v>152</v>
      </c>
      <c r="K877" s="306" t="s">
        <v>4635</v>
      </c>
      <c r="L877" s="306"/>
      <c r="M877" s="313"/>
      <c r="N877" s="304" t="s">
        <v>196</v>
      </c>
      <c r="O877" s="317" t="s">
        <v>51</v>
      </c>
      <c r="P877" s="318">
        <v>-500</v>
      </c>
      <c r="Q877" s="318">
        <v>600</v>
      </c>
      <c r="R877" s="317" t="s">
        <v>3659</v>
      </c>
      <c r="S877" s="317"/>
      <c r="T877" s="317"/>
      <c r="U877" s="317" t="s">
        <v>4701</v>
      </c>
      <c r="V877" s="81" t="s">
        <v>4671</v>
      </c>
      <c r="W877" s="317"/>
      <c r="X877" s="317"/>
      <c r="Y877" s="319"/>
    </row>
    <row r="878" spans="1:25" s="91" customFormat="1" hidden="1" x14ac:dyDescent="0.25">
      <c r="A878" s="32" t="s">
        <v>1603</v>
      </c>
      <c r="B878" s="315" t="str">
        <f>IF((COUNTBLANK(G878)=0),Stats!$E$7,IF((COUNTBLANK(E878)=0),IF((COUNTBLANK(F878)=0),IF((COUNTBLANK(U878)=0),Stats!$E$6,Stats!$E$5),Stats!$E$4),""))</f>
        <v>Death</v>
      </c>
      <c r="C878" s="39" t="s">
        <v>284</v>
      </c>
      <c r="D878" s="315"/>
      <c r="E878" s="88">
        <v>44615</v>
      </c>
      <c r="F878" s="316">
        <v>36892</v>
      </c>
      <c r="G878" s="316">
        <v>36893</v>
      </c>
      <c r="H878" s="317" t="s">
        <v>98</v>
      </c>
      <c r="I878" s="52"/>
      <c r="J878" s="317" t="s">
        <v>152</v>
      </c>
      <c r="K878" s="315" t="s">
        <v>4635</v>
      </c>
      <c r="L878" s="315" t="s">
        <v>4048</v>
      </c>
      <c r="M878" s="317" t="s">
        <v>3093</v>
      </c>
      <c r="N878" s="320" t="s">
        <v>4200</v>
      </c>
      <c r="O878" s="317" t="s">
        <v>51</v>
      </c>
      <c r="P878" s="318">
        <v>-500</v>
      </c>
      <c r="Q878" s="318">
        <v>600</v>
      </c>
      <c r="R878" s="317" t="s">
        <v>4702</v>
      </c>
      <c r="S878" s="317"/>
      <c r="T878" s="317"/>
      <c r="U878" s="317"/>
      <c r="V878" s="317"/>
      <c r="W878" s="317"/>
      <c r="X878" s="317"/>
      <c r="Y878" s="319"/>
    </row>
    <row r="879" spans="1:25" s="91" customFormat="1" hidden="1" x14ac:dyDescent="0.25">
      <c r="A879" s="32" t="s">
        <v>1604</v>
      </c>
      <c r="B879" s="315" t="str">
        <f>IF((COUNTBLANK(G879)=0),Stats!$E$7,IF((COUNTBLANK(E879)=0),IF((COUNTBLANK(F879)=0),IF((COUNTBLANK(U879)=0),Stats!$E$6,Stats!$E$5),Stats!$E$4),""))</f>
        <v>Death</v>
      </c>
      <c r="C879" s="40" t="s">
        <v>284</v>
      </c>
      <c r="D879" s="315" t="s">
        <v>325</v>
      </c>
      <c r="E879" s="88">
        <v>44615</v>
      </c>
      <c r="F879" s="88">
        <v>44620</v>
      </c>
      <c r="G879" s="316">
        <v>45009</v>
      </c>
      <c r="H879" s="317" t="s">
        <v>98</v>
      </c>
      <c r="I879" s="313"/>
      <c r="J879" s="325" t="s">
        <v>152</v>
      </c>
      <c r="K879" s="315" t="s">
        <v>4635</v>
      </c>
      <c r="L879" s="315" t="s">
        <v>4048</v>
      </c>
      <c r="M879" s="315" t="s">
        <v>3093</v>
      </c>
      <c r="N879" s="320" t="s">
        <v>4200</v>
      </c>
      <c r="O879" s="325" t="s">
        <v>51</v>
      </c>
      <c r="P879" s="326">
        <v>-500</v>
      </c>
      <c r="Q879" s="326">
        <v>600</v>
      </c>
      <c r="R879" s="325" t="s">
        <v>4703</v>
      </c>
      <c r="S879" s="325"/>
      <c r="T879" s="325"/>
      <c r="U879" s="325" t="s">
        <v>4704</v>
      </c>
      <c r="V879" s="75" t="s">
        <v>4705</v>
      </c>
      <c r="W879" s="325"/>
      <c r="X879" s="325"/>
      <c r="Y879" s="319"/>
    </row>
    <row r="880" spans="1:25" s="91" customFormat="1" hidden="1" x14ac:dyDescent="0.25">
      <c r="A880" s="32" t="s">
        <v>1605</v>
      </c>
      <c r="B880" s="315" t="str">
        <f>IF((COUNTBLANK(G880)=0),Stats!$E$7,IF((COUNTBLANK(E880)=0),IF((COUNTBLANK(F880)=0),IF((COUNTBLANK(U880)=0),Stats!$E$6,Stats!$E$5),Stats!$E$4),""))</f>
        <v>Death</v>
      </c>
      <c r="C880" s="40" t="s">
        <v>284</v>
      </c>
      <c r="D880" s="315" t="s">
        <v>59</v>
      </c>
      <c r="E880" s="88">
        <v>44615</v>
      </c>
      <c r="F880" s="88">
        <v>44620</v>
      </c>
      <c r="G880" s="316">
        <v>45101</v>
      </c>
      <c r="H880" s="317" t="s">
        <v>98</v>
      </c>
      <c r="I880" s="313"/>
      <c r="J880" s="346" t="s">
        <v>152</v>
      </c>
      <c r="K880" s="315" t="s">
        <v>4635</v>
      </c>
      <c r="L880" s="315" t="s">
        <v>4048</v>
      </c>
      <c r="M880" s="315" t="s">
        <v>3093</v>
      </c>
      <c r="N880" s="320" t="s">
        <v>4200</v>
      </c>
      <c r="O880" s="346" t="s">
        <v>51</v>
      </c>
      <c r="P880" s="347">
        <v>-500</v>
      </c>
      <c r="Q880" s="347">
        <v>600</v>
      </c>
      <c r="R880" s="346" t="s">
        <v>3659</v>
      </c>
      <c r="S880" s="346"/>
      <c r="T880" s="346"/>
      <c r="U880" s="346" t="s">
        <v>4701</v>
      </c>
      <c r="V880" s="84" t="s">
        <v>4706</v>
      </c>
      <c r="W880" s="346"/>
      <c r="X880" s="346"/>
      <c r="Y880" s="319"/>
    </row>
    <row r="881" spans="1:25" s="91" customFormat="1" hidden="1" x14ac:dyDescent="0.25">
      <c r="A881" s="32" t="s">
        <v>1606</v>
      </c>
      <c r="B881" s="306" t="str">
        <f>IF((COUNTBLANK(G881)=0),Stats!$E$7,IF((COUNTBLANK(E881)=0),IF((COUNTBLANK(F881)=0),IF((COUNTBLANK(U881)=0),Stats!$E$6,Stats!$E$5),Stats!$E$4),""))</f>
        <v>Death</v>
      </c>
      <c r="C881" s="41" t="s">
        <v>284</v>
      </c>
      <c r="D881" s="306" t="str">
        <f>IF(B881=Stats!$E$6,Stats!$E$11,Stats!$E$14)</f>
        <v>Culling</v>
      </c>
      <c r="E881" s="89">
        <v>44623</v>
      </c>
      <c r="F881" s="89">
        <v>44636</v>
      </c>
      <c r="G881" s="327">
        <v>45067</v>
      </c>
      <c r="H881" s="313" t="s">
        <v>98</v>
      </c>
      <c r="I881" s="313"/>
      <c r="J881" s="313" t="s">
        <v>4650</v>
      </c>
      <c r="K881" s="306" t="s">
        <v>4678</v>
      </c>
      <c r="L881" s="306"/>
      <c r="M881" s="306"/>
      <c r="N881" s="304" t="s">
        <v>105</v>
      </c>
      <c r="O881" s="313" t="s">
        <v>51</v>
      </c>
      <c r="P881" s="328">
        <v>-500</v>
      </c>
      <c r="Q881" s="328">
        <v>600</v>
      </c>
      <c r="R881" s="313" t="s">
        <v>3678</v>
      </c>
      <c r="S881" s="313"/>
      <c r="T881" s="313"/>
      <c r="U881" s="313" t="s">
        <v>4707</v>
      </c>
      <c r="V881" s="83" t="s">
        <v>4708</v>
      </c>
      <c r="W881" s="313"/>
      <c r="X881" s="313"/>
      <c r="Y881" s="319"/>
    </row>
    <row r="882" spans="1:25" s="91" customFormat="1" hidden="1" x14ac:dyDescent="0.25">
      <c r="A882" s="32" t="s">
        <v>1607</v>
      </c>
      <c r="B882" s="315" t="str">
        <f>IF((COUNTBLANK(G882)=0),Stats!$E$7,IF((COUNTBLANK(E882)=0),IF((COUNTBLANK(F882)=0),IF((COUNTBLANK(U882)=0),Stats!$E$6,Stats!$E$5),Stats!$E$4),""))</f>
        <v>Death</v>
      </c>
      <c r="C882" s="40" t="s">
        <v>284</v>
      </c>
      <c r="D882" s="306" t="str">
        <f>IF(B882=Stats!$E$6,Stats!$E$11,"")</f>
        <v/>
      </c>
      <c r="E882" s="88">
        <v>44623</v>
      </c>
      <c r="F882" s="88">
        <v>44636</v>
      </c>
      <c r="G882" s="316">
        <v>45229</v>
      </c>
      <c r="H882" s="317" t="s">
        <v>98</v>
      </c>
      <c r="I882" s="313"/>
      <c r="J882" s="325" t="s">
        <v>4650</v>
      </c>
      <c r="K882" s="306" t="s">
        <v>4678</v>
      </c>
      <c r="L882" s="306"/>
      <c r="M882" s="306"/>
      <c r="N882" s="304" t="s">
        <v>105</v>
      </c>
      <c r="O882" s="325" t="s">
        <v>51</v>
      </c>
      <c r="P882" s="326">
        <v>-500</v>
      </c>
      <c r="Q882" s="326">
        <v>600</v>
      </c>
      <c r="R882" s="325" t="s">
        <v>3656</v>
      </c>
      <c r="S882" s="325"/>
      <c r="T882" s="325"/>
      <c r="U882" s="325"/>
      <c r="V882" s="75" t="s">
        <v>4709</v>
      </c>
      <c r="W882" s="325"/>
      <c r="X882" s="325"/>
      <c r="Y882" s="319"/>
    </row>
    <row r="883" spans="1:25" s="91" customFormat="1" hidden="1" x14ac:dyDescent="0.25">
      <c r="A883" s="32" t="s">
        <v>1608</v>
      </c>
      <c r="B883" s="315" t="str">
        <f>IF((COUNTBLANK(G883)=0),Stats!$E$7,IF((COUNTBLANK(E883)=0),IF((COUNTBLANK(F883)=0),IF((COUNTBLANK(U883)=0),Stats!$E$6,Stats!$E$5),Stats!$E$4),""))</f>
        <v>Death</v>
      </c>
      <c r="C883" s="40" t="s">
        <v>284</v>
      </c>
      <c r="D883" s="315" t="s">
        <v>325</v>
      </c>
      <c r="E883" s="88">
        <v>44623</v>
      </c>
      <c r="F883" s="88">
        <v>44636</v>
      </c>
      <c r="G883" s="316">
        <v>45161</v>
      </c>
      <c r="H883" s="317" t="s">
        <v>98</v>
      </c>
      <c r="I883" s="313"/>
      <c r="J883" s="325" t="s">
        <v>4650</v>
      </c>
      <c r="K883" s="306" t="s">
        <v>4678</v>
      </c>
      <c r="L883" s="306"/>
      <c r="M883" s="306"/>
      <c r="N883" s="304" t="s">
        <v>105</v>
      </c>
      <c r="O883" s="325" t="s">
        <v>51</v>
      </c>
      <c r="P883" s="326">
        <v>-500</v>
      </c>
      <c r="Q883" s="326">
        <v>600</v>
      </c>
      <c r="R883" s="325" t="s">
        <v>3655</v>
      </c>
      <c r="S883" s="325"/>
      <c r="T883" s="325"/>
      <c r="U883" s="325" t="s">
        <v>4710</v>
      </c>
      <c r="V883" s="85" t="s">
        <v>4711</v>
      </c>
      <c r="W883" s="348"/>
      <c r="X883" s="348"/>
      <c r="Y883" s="319"/>
    </row>
    <row r="884" spans="1:25" s="91" customFormat="1" hidden="1" x14ac:dyDescent="0.25">
      <c r="A884" s="32" t="s">
        <v>1609</v>
      </c>
      <c r="B884" s="315" t="str">
        <f>IF((COUNTBLANK(G884)=0),Stats!$E$7,IF((COUNTBLANK(E884)=0),IF((COUNTBLANK(F884)=0),IF((COUNTBLANK(U884)=0),Stats!$E$6,Stats!$E$5),Stats!$E$4),""))</f>
        <v>Death</v>
      </c>
      <c r="C884" s="40" t="s">
        <v>284</v>
      </c>
      <c r="D884" s="315" t="s">
        <v>325</v>
      </c>
      <c r="E884" s="88">
        <v>44623</v>
      </c>
      <c r="F884" s="88">
        <v>44629</v>
      </c>
      <c r="G884" s="316">
        <v>45161</v>
      </c>
      <c r="H884" s="317" t="s">
        <v>98</v>
      </c>
      <c r="I884" s="313"/>
      <c r="J884" s="325" t="s">
        <v>4650</v>
      </c>
      <c r="K884" s="306" t="s">
        <v>4678</v>
      </c>
      <c r="L884" s="306"/>
      <c r="M884" s="306"/>
      <c r="N884" s="304" t="s">
        <v>105</v>
      </c>
      <c r="O884" s="325" t="s">
        <v>51</v>
      </c>
      <c r="P884" s="326">
        <v>-500</v>
      </c>
      <c r="Q884" s="326">
        <v>600</v>
      </c>
      <c r="R884" s="325" t="s">
        <v>4712</v>
      </c>
      <c r="S884" s="325"/>
      <c r="T884" s="325"/>
      <c r="U884" s="325" t="s">
        <v>4713</v>
      </c>
      <c r="V884" s="75" t="s">
        <v>4714</v>
      </c>
      <c r="W884" s="325"/>
      <c r="X884" s="325"/>
      <c r="Y884" s="319"/>
    </row>
    <row r="885" spans="1:25" s="91" customFormat="1" hidden="1" x14ac:dyDescent="0.25">
      <c r="A885" s="32" t="s">
        <v>1610</v>
      </c>
      <c r="B885" s="315" t="str">
        <f>IF((COUNTBLANK(G885)=0),Stats!$E$7,IF((COUNTBLANK(E885)=0),IF((COUNTBLANK(F885)=0),IF((COUNTBLANK(U885)=0),Stats!$E$6,Stats!$E$5),Stats!$E$4),""))</f>
        <v>Death</v>
      </c>
      <c r="C885" s="39" t="s">
        <v>284</v>
      </c>
      <c r="D885" s="315"/>
      <c r="E885" s="88">
        <v>44623</v>
      </c>
      <c r="F885" s="316">
        <v>36892</v>
      </c>
      <c r="G885" s="316">
        <v>36893</v>
      </c>
      <c r="H885" s="317" t="s">
        <v>98</v>
      </c>
      <c r="I885" s="313"/>
      <c r="J885" s="317" t="s">
        <v>4650</v>
      </c>
      <c r="K885" s="306" t="s">
        <v>4678</v>
      </c>
      <c r="L885" s="306"/>
      <c r="M885" s="313"/>
      <c r="N885" s="304" t="s">
        <v>105</v>
      </c>
      <c r="O885" s="317" t="s">
        <v>51</v>
      </c>
      <c r="P885" s="318">
        <v>-500</v>
      </c>
      <c r="Q885" s="318">
        <v>600</v>
      </c>
      <c r="R885" s="317"/>
      <c r="S885" s="317"/>
      <c r="T885" s="317"/>
      <c r="U885" s="317"/>
      <c r="V885" s="317"/>
      <c r="W885" s="317"/>
      <c r="X885" s="317"/>
      <c r="Y885" s="319"/>
    </row>
    <row r="886" spans="1:25" s="91" customFormat="1" hidden="1" x14ac:dyDescent="0.25">
      <c r="A886" s="32" t="s">
        <v>1611</v>
      </c>
      <c r="B886" s="315" t="str">
        <f>IF((COUNTBLANK(G886)=0),Stats!$E$7,IF((COUNTBLANK(E886)=0),IF((COUNTBLANK(F886)=0),IF((COUNTBLANK(U886)=0),Stats!$E$6,Stats!$E$5),Stats!$E$4),""))</f>
        <v>Death</v>
      </c>
      <c r="C886" s="40" t="s">
        <v>284</v>
      </c>
      <c r="D886" s="306" t="str">
        <f>IF(B886=Stats!$E$6,Stats!$E$11,"")</f>
        <v/>
      </c>
      <c r="E886" s="89">
        <v>44627</v>
      </c>
      <c r="F886" s="89">
        <v>44641</v>
      </c>
      <c r="G886" s="327">
        <v>45032</v>
      </c>
      <c r="H886" s="313" t="s">
        <v>3154</v>
      </c>
      <c r="I886" s="313"/>
      <c r="J886" s="313" t="s">
        <v>152</v>
      </c>
      <c r="K886" s="306" t="s">
        <v>4678</v>
      </c>
      <c r="L886" s="306"/>
      <c r="M886" s="306"/>
      <c r="N886" s="304" t="s">
        <v>105</v>
      </c>
      <c r="O886" s="313" t="s">
        <v>51</v>
      </c>
      <c r="P886" s="328">
        <v>-500</v>
      </c>
      <c r="Q886" s="328">
        <v>400</v>
      </c>
      <c r="R886" s="313" t="s">
        <v>4715</v>
      </c>
      <c r="S886" s="313"/>
      <c r="T886" s="313"/>
      <c r="U886" s="313"/>
      <c r="V886" s="83" t="s">
        <v>4716</v>
      </c>
      <c r="W886" s="313"/>
      <c r="X886" s="313"/>
      <c r="Y886" s="319"/>
    </row>
    <row r="887" spans="1:25" s="91" customFormat="1" hidden="1" x14ac:dyDescent="0.25">
      <c r="A887" s="32" t="s">
        <v>1612</v>
      </c>
      <c r="B887" s="315" t="str">
        <f>IF((COUNTBLANK(G887)=0),Stats!$E$7,IF((COUNTBLANK(E887)=0),IF((COUNTBLANK(F887)=0),IF((COUNTBLANK(U887)=0),Stats!$E$6,Stats!$E$5),Stats!$E$4),""))</f>
        <v>Death</v>
      </c>
      <c r="C887" s="40" t="s">
        <v>284</v>
      </c>
      <c r="D887" s="306" t="str">
        <f>IF(B887=Stats!$E$6,Stats!$E$11,"")</f>
        <v/>
      </c>
      <c r="E887" s="89">
        <v>44627</v>
      </c>
      <c r="F887" s="89">
        <v>44641</v>
      </c>
      <c r="G887" s="327">
        <v>45039</v>
      </c>
      <c r="H887" s="313" t="s">
        <v>3154</v>
      </c>
      <c r="I887" s="313"/>
      <c r="J887" s="313" t="s">
        <v>152</v>
      </c>
      <c r="K887" s="306" t="s">
        <v>4678</v>
      </c>
      <c r="L887" s="306"/>
      <c r="M887" s="306"/>
      <c r="N887" s="304" t="s">
        <v>105</v>
      </c>
      <c r="O887" s="313" t="s">
        <v>51</v>
      </c>
      <c r="P887" s="328">
        <v>-500</v>
      </c>
      <c r="Q887" s="328">
        <v>800</v>
      </c>
      <c r="R887" s="313" t="s">
        <v>249</v>
      </c>
      <c r="S887" s="313"/>
      <c r="T887" s="313"/>
      <c r="U887" s="313"/>
      <c r="V887" s="83" t="s">
        <v>4716</v>
      </c>
      <c r="W887" s="313"/>
      <c r="X887" s="313"/>
      <c r="Y887" s="319"/>
    </row>
    <row r="888" spans="1:25" s="91" customFormat="1" hidden="1" x14ac:dyDescent="0.25">
      <c r="A888" s="32" t="s">
        <v>1613</v>
      </c>
      <c r="B888" s="315" t="str">
        <f>IF((COUNTBLANK(G888)=0),Stats!$E$7,IF((COUNTBLANK(E888)=0),IF((COUNTBLANK(F888)=0),IF((COUNTBLANK(U888)=0),Stats!$E$6,Stats!$E$5),Stats!$E$4),""))</f>
        <v>Death</v>
      </c>
      <c r="C888" s="39" t="s">
        <v>284</v>
      </c>
      <c r="D888" s="306"/>
      <c r="E888" s="88">
        <v>44627</v>
      </c>
      <c r="F888" s="316">
        <v>36892</v>
      </c>
      <c r="G888" s="316">
        <v>36893</v>
      </c>
      <c r="H888" s="317" t="s">
        <v>3154</v>
      </c>
      <c r="I888" s="313"/>
      <c r="J888" s="317" t="s">
        <v>152</v>
      </c>
      <c r="K888" s="315" t="s">
        <v>4635</v>
      </c>
      <c r="L888" s="315"/>
      <c r="M888" s="317"/>
      <c r="N888" s="320" t="s">
        <v>68</v>
      </c>
      <c r="O888" s="317" t="s">
        <v>51</v>
      </c>
      <c r="P888" s="318">
        <v>-500</v>
      </c>
      <c r="Q888" s="318">
        <v>400</v>
      </c>
      <c r="R888" s="317" t="s">
        <v>279</v>
      </c>
      <c r="S888" s="317"/>
      <c r="T888" s="317"/>
      <c r="U888" s="317"/>
      <c r="V888" s="317"/>
      <c r="W888" s="317"/>
      <c r="X888" s="317"/>
      <c r="Y888" s="319"/>
    </row>
    <row r="889" spans="1:25" s="91" customFormat="1" hidden="1" x14ac:dyDescent="0.25">
      <c r="A889" s="32" t="s">
        <v>1614</v>
      </c>
      <c r="B889" s="315" t="str">
        <f>IF((COUNTBLANK(G889)=0),Stats!$E$7,IF((COUNTBLANK(E889)=0),IF((COUNTBLANK(F889)=0),IF((COUNTBLANK(U889)=0),Stats!$E$6,Stats!$E$5),Stats!$E$4),""))</f>
        <v>Death</v>
      </c>
      <c r="C889" s="39" t="s">
        <v>284</v>
      </c>
      <c r="D889" s="306"/>
      <c r="E889" s="88">
        <v>44627</v>
      </c>
      <c r="F889" s="316">
        <v>44641</v>
      </c>
      <c r="G889" s="316">
        <v>36893</v>
      </c>
      <c r="H889" s="317" t="s">
        <v>3154</v>
      </c>
      <c r="I889" s="313"/>
      <c r="J889" s="317" t="s">
        <v>152</v>
      </c>
      <c r="K889" s="315" t="s">
        <v>4635</v>
      </c>
      <c r="L889" s="315"/>
      <c r="M889" s="317"/>
      <c r="N889" s="320" t="s">
        <v>68</v>
      </c>
      <c r="O889" s="317" t="s">
        <v>51</v>
      </c>
      <c r="P889" s="318">
        <v>-500</v>
      </c>
      <c r="Q889" s="318">
        <v>400</v>
      </c>
      <c r="R889" s="317" t="s">
        <v>4717</v>
      </c>
      <c r="S889" s="317"/>
      <c r="T889" s="317"/>
      <c r="U889" s="317" t="s">
        <v>4718</v>
      </c>
      <c r="V889" s="81"/>
      <c r="W889" s="317"/>
      <c r="X889" s="317"/>
      <c r="Y889" s="319"/>
    </row>
    <row r="890" spans="1:25" s="91" customFormat="1" hidden="1" x14ac:dyDescent="0.25">
      <c r="A890" s="32" t="s">
        <v>1615</v>
      </c>
      <c r="B890" s="315" t="str">
        <f>IF((COUNTBLANK(G890)=0),Stats!$E$7,IF((COUNTBLANK(E890)=0),IF((COUNTBLANK(F890)=0),IF((COUNTBLANK(U890)=0),Stats!$E$6,Stats!$E$5),Stats!$E$4),""))</f>
        <v>Death</v>
      </c>
      <c r="C890" s="39" t="s">
        <v>284</v>
      </c>
      <c r="D890" s="315"/>
      <c r="E890" s="88">
        <v>44627</v>
      </c>
      <c r="F890" s="316">
        <v>44642</v>
      </c>
      <c r="G890" s="316">
        <v>36893</v>
      </c>
      <c r="H890" s="317" t="s">
        <v>3154</v>
      </c>
      <c r="I890" s="313"/>
      <c r="J890" s="317" t="s">
        <v>152</v>
      </c>
      <c r="K890" s="315" t="s">
        <v>4635</v>
      </c>
      <c r="L890" s="315"/>
      <c r="M890" s="317"/>
      <c r="N890" s="320" t="s">
        <v>68</v>
      </c>
      <c r="O890" s="317" t="s">
        <v>51</v>
      </c>
      <c r="P890" s="318">
        <v>-500</v>
      </c>
      <c r="Q890" s="318">
        <v>800</v>
      </c>
      <c r="R890" s="317" t="s">
        <v>279</v>
      </c>
      <c r="S890" s="317"/>
      <c r="T890" s="49" t="s">
        <v>3531</v>
      </c>
      <c r="U890" s="317"/>
      <c r="V890" s="81" t="s">
        <v>4719</v>
      </c>
      <c r="W890" s="317"/>
      <c r="X890" s="317"/>
      <c r="Y890" s="319"/>
    </row>
    <row r="891" spans="1:25" s="91" customFormat="1" hidden="1" x14ac:dyDescent="0.25">
      <c r="A891" s="32" t="s">
        <v>1616</v>
      </c>
      <c r="B891" s="315" t="str">
        <f>IF((COUNTBLANK(G891)=0),Stats!$E$7,IF((COUNTBLANK(E891)=0),IF((COUNTBLANK(F891)=0),IF((COUNTBLANK(U891)=0),Stats!$E$6,Stats!$E$5),Stats!$E$4),""))</f>
        <v>Death</v>
      </c>
      <c r="C891" s="39" t="s">
        <v>284</v>
      </c>
      <c r="D891" s="315"/>
      <c r="E891" s="88">
        <v>44628</v>
      </c>
      <c r="F891" s="88">
        <v>44641</v>
      </c>
      <c r="G891" s="316">
        <v>36893</v>
      </c>
      <c r="H891" s="317" t="s">
        <v>98</v>
      </c>
      <c r="I891" s="313"/>
      <c r="J891" s="313" t="s">
        <v>152</v>
      </c>
      <c r="K891" s="315" t="s">
        <v>4635</v>
      </c>
      <c r="L891" s="315"/>
      <c r="M891" s="317"/>
      <c r="N891" s="320" t="s">
        <v>68</v>
      </c>
      <c r="O891" s="313" t="s">
        <v>51</v>
      </c>
      <c r="P891" s="328">
        <v>-500</v>
      </c>
      <c r="Q891" s="328">
        <v>800</v>
      </c>
      <c r="R891" s="313"/>
      <c r="S891" s="313"/>
      <c r="T891" s="313"/>
      <c r="U891" s="313" t="s">
        <v>4720</v>
      </c>
      <c r="V891" s="85" t="s">
        <v>4719</v>
      </c>
      <c r="W891" s="313"/>
      <c r="X891" s="313"/>
      <c r="Y891" s="319"/>
    </row>
    <row r="892" spans="1:25" s="91" customFormat="1" hidden="1" x14ac:dyDescent="0.25">
      <c r="A892" s="32" t="s">
        <v>1617</v>
      </c>
      <c r="B892" s="315" t="str">
        <f>IF((COUNTBLANK(G892)=0),Stats!$E$7,IF((COUNTBLANK(E892)=0),IF((COUNTBLANK(F892)=0),IF((COUNTBLANK(U892)=0),Stats!$E$6,Stats!$E$5),Stats!$E$4),""))</f>
        <v>Death</v>
      </c>
      <c r="C892" s="39" t="s">
        <v>284</v>
      </c>
      <c r="D892" s="315"/>
      <c r="E892" s="88">
        <v>44628</v>
      </c>
      <c r="F892" s="316">
        <v>36892</v>
      </c>
      <c r="G892" s="316">
        <v>36893</v>
      </c>
      <c r="H892" s="317" t="s">
        <v>98</v>
      </c>
      <c r="I892" s="313"/>
      <c r="J892" s="317" t="s">
        <v>152</v>
      </c>
      <c r="K892" s="315" t="s">
        <v>4635</v>
      </c>
      <c r="L892" s="315"/>
      <c r="M892" s="317"/>
      <c r="N892" s="320" t="s">
        <v>105</v>
      </c>
      <c r="O892" s="317" t="s">
        <v>51</v>
      </c>
      <c r="P892" s="318">
        <v>-500</v>
      </c>
      <c r="Q892" s="318">
        <v>400</v>
      </c>
      <c r="R892" s="317"/>
      <c r="S892" s="317"/>
      <c r="T892" s="317"/>
      <c r="U892" s="317"/>
      <c r="V892" s="317"/>
      <c r="W892" s="317"/>
      <c r="X892" s="317"/>
      <c r="Y892" s="319"/>
    </row>
    <row r="893" spans="1:25" s="91" customFormat="1" hidden="1" x14ac:dyDescent="0.25">
      <c r="A893" s="32" t="s">
        <v>1618</v>
      </c>
      <c r="B893" s="315" t="str">
        <f>IF((COUNTBLANK(G893)=0),Stats!$E$7,IF((COUNTBLANK(E893)=0),IF((COUNTBLANK(F893)=0),IF((COUNTBLANK(U893)=0),Stats!$E$6,Stats!$E$5),Stats!$E$4),""))</f>
        <v>Death</v>
      </c>
      <c r="C893" s="39" t="s">
        <v>284</v>
      </c>
      <c r="D893" s="315"/>
      <c r="E893" s="88">
        <v>44628</v>
      </c>
      <c r="F893" s="316">
        <v>44642</v>
      </c>
      <c r="G893" s="316">
        <v>36893</v>
      </c>
      <c r="H893" s="317" t="s">
        <v>98</v>
      </c>
      <c r="I893" s="313"/>
      <c r="J893" s="317" t="s">
        <v>152</v>
      </c>
      <c r="K893" s="315" t="s">
        <v>4635</v>
      </c>
      <c r="L893" s="315"/>
      <c r="M893" s="317"/>
      <c r="N893" s="320" t="s">
        <v>105</v>
      </c>
      <c r="O893" s="317" t="s">
        <v>51</v>
      </c>
      <c r="P893" s="318">
        <v>-500</v>
      </c>
      <c r="Q893" s="318">
        <v>400</v>
      </c>
      <c r="R893" s="317"/>
      <c r="S893" s="317"/>
      <c r="T893" s="317"/>
      <c r="U893" s="317" t="s">
        <v>4718</v>
      </c>
      <c r="V893" s="81"/>
      <c r="W893" s="317"/>
      <c r="X893" s="317"/>
      <c r="Y893" s="319"/>
    </row>
    <row r="894" spans="1:25" s="91" customFormat="1" hidden="1" x14ac:dyDescent="0.25">
      <c r="A894" s="32" t="s">
        <v>1619</v>
      </c>
      <c r="B894" s="315" t="str">
        <f>IF((COUNTBLANK(G894)=0),Stats!$E$7,IF((COUNTBLANK(E894)=0),IF((COUNTBLANK(F894)=0),IF((COUNTBLANK(U894)=0),Stats!$E$6,Stats!$E$5),Stats!$E$4),""))</f>
        <v>Death</v>
      </c>
      <c r="C894" s="40" t="s">
        <v>284</v>
      </c>
      <c r="D894" s="306" t="str">
        <f>IF(B894=Stats!$E$6,Stats!$E$11,"")</f>
        <v/>
      </c>
      <c r="E894" s="89">
        <v>44628</v>
      </c>
      <c r="F894" s="89">
        <v>44643</v>
      </c>
      <c r="G894" s="316">
        <v>44993</v>
      </c>
      <c r="H894" s="313" t="s">
        <v>98</v>
      </c>
      <c r="I894" s="313"/>
      <c r="J894" s="313" t="s">
        <v>152</v>
      </c>
      <c r="K894" s="315" t="s">
        <v>4635</v>
      </c>
      <c r="L894" s="315"/>
      <c r="M894" s="315"/>
      <c r="N894" s="320" t="s">
        <v>105</v>
      </c>
      <c r="O894" s="313" t="s">
        <v>51</v>
      </c>
      <c r="P894" s="328">
        <v>-500</v>
      </c>
      <c r="Q894" s="328">
        <v>800</v>
      </c>
      <c r="R894" s="313"/>
      <c r="S894" s="313"/>
      <c r="T894" s="55" t="s">
        <v>3531</v>
      </c>
      <c r="U894" s="313"/>
      <c r="V894" s="83" t="s">
        <v>4721</v>
      </c>
      <c r="W894" s="313"/>
      <c r="X894" s="313"/>
      <c r="Y894" s="319" t="e">
        <f>COUNTBLANK(#REF!)</f>
        <v>#REF!</v>
      </c>
    </row>
    <row r="895" spans="1:25" s="91" customFormat="1" hidden="1" x14ac:dyDescent="0.25">
      <c r="A895" s="32" t="s">
        <v>1620</v>
      </c>
      <c r="B895" s="315" t="str">
        <f>IF((COUNTBLANK(G895)=0),Stats!$E$7,IF((COUNTBLANK(E895)=0),IF((COUNTBLANK(F895)=0),IF((COUNTBLANK(U895)=0),Stats!$E$6,Stats!$E$5),Stats!$E$4),""))</f>
        <v>Death</v>
      </c>
      <c r="C895" s="40" t="s">
        <v>284</v>
      </c>
      <c r="D895" s="306" t="str">
        <f>IF(B895=Stats!$E$6,Stats!$E$11,"")</f>
        <v/>
      </c>
      <c r="E895" s="89">
        <v>44628</v>
      </c>
      <c r="F895" s="89">
        <v>44643</v>
      </c>
      <c r="G895" s="316">
        <v>44993</v>
      </c>
      <c r="H895" s="313" t="s">
        <v>98</v>
      </c>
      <c r="I895" s="313"/>
      <c r="J895" s="313" t="s">
        <v>152</v>
      </c>
      <c r="K895" s="315" t="s">
        <v>4635</v>
      </c>
      <c r="L895" s="315"/>
      <c r="M895" s="315"/>
      <c r="N895" s="320" t="s">
        <v>105</v>
      </c>
      <c r="O895" s="313" t="s">
        <v>51</v>
      </c>
      <c r="P895" s="328">
        <v>-500</v>
      </c>
      <c r="Q895" s="328">
        <v>800</v>
      </c>
      <c r="R895" s="313"/>
      <c r="S895" s="313"/>
      <c r="T895" s="55" t="s">
        <v>3531</v>
      </c>
      <c r="U895" s="313"/>
      <c r="V895" s="83" t="s">
        <v>4721</v>
      </c>
      <c r="W895" s="313"/>
      <c r="X895" s="313"/>
      <c r="Y895" s="319"/>
    </row>
    <row r="896" spans="1:25" s="91" customFormat="1" hidden="1" x14ac:dyDescent="0.25">
      <c r="A896" s="32" t="s">
        <v>1621</v>
      </c>
      <c r="B896" s="315" t="str">
        <f>IF((COUNTBLANK(G896)=0),Stats!$E$7,IF((COUNTBLANK(E896)=0),IF((COUNTBLANK(F896)=0),IF((COUNTBLANK(U896)=0),Stats!$E$6,Stats!$E$5),Stats!$E$4),""))</f>
        <v>Death</v>
      </c>
      <c r="C896" s="39" t="s">
        <v>284</v>
      </c>
      <c r="D896" s="315"/>
      <c r="E896" s="88">
        <v>44628</v>
      </c>
      <c r="F896" s="316">
        <v>36892</v>
      </c>
      <c r="G896" s="316">
        <v>36893</v>
      </c>
      <c r="H896" s="317" t="s">
        <v>98</v>
      </c>
      <c r="I896" s="313"/>
      <c r="J896" s="317" t="s">
        <v>152</v>
      </c>
      <c r="K896" s="315" t="s">
        <v>4635</v>
      </c>
      <c r="L896" s="315"/>
      <c r="M896" s="317"/>
      <c r="N896" s="320" t="s">
        <v>3749</v>
      </c>
      <c r="O896" s="317" t="s">
        <v>51</v>
      </c>
      <c r="P896" s="318">
        <v>-500</v>
      </c>
      <c r="Q896" s="318">
        <v>400</v>
      </c>
      <c r="R896" s="317"/>
      <c r="S896" s="317"/>
      <c r="T896" s="317"/>
      <c r="U896" s="317"/>
      <c r="V896" s="317"/>
      <c r="W896" s="317"/>
      <c r="X896" s="317"/>
      <c r="Y896" s="319"/>
    </row>
    <row r="897" spans="1:25" s="91" customFormat="1" hidden="1" x14ac:dyDescent="0.25">
      <c r="A897" s="32" t="s">
        <v>1622</v>
      </c>
      <c r="B897" s="315" t="str">
        <f>IF((COUNTBLANK(G897)=0),Stats!$E$7,IF((COUNTBLANK(E897)=0),IF((COUNTBLANK(F897)=0),IF((COUNTBLANK(U897)=0),Stats!$E$6,Stats!$E$5),Stats!$E$4),""))</f>
        <v>Death</v>
      </c>
      <c r="C897" s="40" t="s">
        <v>284</v>
      </c>
      <c r="D897" s="306" t="str">
        <f>IF(B897=Stats!$E$6,Stats!$E$11,"")</f>
        <v/>
      </c>
      <c r="E897" s="89">
        <v>44628</v>
      </c>
      <c r="F897" s="89">
        <v>44643</v>
      </c>
      <c r="G897" s="316">
        <v>45229</v>
      </c>
      <c r="H897" s="313" t="s">
        <v>98</v>
      </c>
      <c r="I897" s="313"/>
      <c r="J897" s="313" t="s">
        <v>152</v>
      </c>
      <c r="K897" s="315" t="s">
        <v>4635</v>
      </c>
      <c r="L897" s="315"/>
      <c r="M897" s="315"/>
      <c r="N897" s="320" t="s">
        <v>3749</v>
      </c>
      <c r="O897" s="313" t="s">
        <v>51</v>
      </c>
      <c r="P897" s="328">
        <v>-500</v>
      </c>
      <c r="Q897" s="328">
        <v>400</v>
      </c>
      <c r="R897" s="313"/>
      <c r="S897" s="313"/>
      <c r="T897" s="55" t="s">
        <v>3531</v>
      </c>
      <c r="U897" s="313"/>
      <c r="V897" s="83" t="s">
        <v>4722</v>
      </c>
      <c r="W897" s="313"/>
      <c r="X897" s="313"/>
      <c r="Y897" s="319"/>
    </row>
    <row r="898" spans="1:25" s="91" customFormat="1" hidden="1" x14ac:dyDescent="0.25">
      <c r="A898" s="32" t="s">
        <v>1623</v>
      </c>
      <c r="B898" s="315" t="str">
        <f>IF((COUNTBLANK(G898)=0),Stats!$E$7,IF((COUNTBLANK(E898)=0),IF((COUNTBLANK(F898)=0),IF((COUNTBLANK(U898)=0),Stats!$E$6,Stats!$E$5),Stats!$E$4),""))</f>
        <v>Death</v>
      </c>
      <c r="C898" s="40" t="s">
        <v>284</v>
      </c>
      <c r="D898" s="306" t="str">
        <f>IF(B898=Stats!$E$6,Stats!$E$11,"")</f>
        <v/>
      </c>
      <c r="E898" s="89">
        <v>44629</v>
      </c>
      <c r="F898" s="89">
        <v>36892</v>
      </c>
      <c r="G898" s="327">
        <v>45002</v>
      </c>
      <c r="H898" s="313" t="s">
        <v>98</v>
      </c>
      <c r="I898" s="313"/>
      <c r="J898" s="313" t="s">
        <v>152</v>
      </c>
      <c r="K898" s="315" t="s">
        <v>4635</v>
      </c>
      <c r="L898" s="315"/>
      <c r="M898" s="315"/>
      <c r="N898" s="320" t="s">
        <v>3749</v>
      </c>
      <c r="O898" s="313" t="s">
        <v>51</v>
      </c>
      <c r="P898" s="328">
        <v>-500</v>
      </c>
      <c r="Q898" s="328">
        <v>800</v>
      </c>
      <c r="R898" s="313"/>
      <c r="S898" s="313"/>
      <c r="T898" s="313"/>
      <c r="U898" s="313"/>
      <c r="V898" s="83" t="s">
        <v>4722</v>
      </c>
      <c r="W898" s="313"/>
      <c r="X898" s="313"/>
      <c r="Y898" s="319"/>
    </row>
    <row r="899" spans="1:25" s="94" customFormat="1" hidden="1" x14ac:dyDescent="0.25">
      <c r="A899" s="33" t="s">
        <v>1624</v>
      </c>
      <c r="B899" s="332" t="str">
        <f>IF((COUNTBLANK(G899)=0),Stats!$E$7,IF((COUNTBLANK(E899)=0),IF((COUNTBLANK(F899)=0),IF((COUNTBLANK(U899)=0),Stats!$E$6,Stats!$E$5),Stats!$E$4),""))</f>
        <v>Death</v>
      </c>
      <c r="C899" s="44" t="s">
        <v>284</v>
      </c>
      <c r="D899" s="332" t="str">
        <f>IF(B899=Stats!$E$6,Stats!$E$11,"")</f>
        <v/>
      </c>
      <c r="E899" s="90">
        <v>44629</v>
      </c>
      <c r="F899" s="90">
        <v>44643</v>
      </c>
      <c r="G899" s="342">
        <v>45002</v>
      </c>
      <c r="H899" s="338" t="s">
        <v>98</v>
      </c>
      <c r="I899" s="338"/>
      <c r="J899" s="338" t="s">
        <v>152</v>
      </c>
      <c r="K899" s="332" t="s">
        <v>4635</v>
      </c>
      <c r="L899" s="332"/>
      <c r="M899" s="332"/>
      <c r="N899" s="339" t="s">
        <v>3749</v>
      </c>
      <c r="O899" s="338" t="s">
        <v>51</v>
      </c>
      <c r="P899" s="340">
        <v>-500</v>
      </c>
      <c r="Q899" s="340">
        <v>800</v>
      </c>
      <c r="R899" s="338"/>
      <c r="S899" s="338"/>
      <c r="T899" s="338"/>
      <c r="U899" s="338"/>
      <c r="V899" s="143" t="s">
        <v>4722</v>
      </c>
      <c r="W899" s="338"/>
      <c r="X899" s="313"/>
      <c r="Y899" s="341"/>
    </row>
    <row r="900" spans="1:25" s="91" customFormat="1" ht="15" hidden="1" customHeight="1" x14ac:dyDescent="0.25">
      <c r="A900" s="32" t="s">
        <v>1625</v>
      </c>
      <c r="B900" s="315" t="str">
        <f>IF((COUNTBLANK(G900)=0),Stats!$E$7,IF((COUNTBLANK(E900)=0),IF((COUNTBLANK(F900)=0),IF((COUNTBLANK(U900)=0),Stats!$E$6,Stats!$E$5),Stats!$E$4),""))</f>
        <v>Death</v>
      </c>
      <c r="C900" s="39" t="s">
        <v>284</v>
      </c>
      <c r="D900" s="315"/>
      <c r="E900" s="88">
        <v>44648</v>
      </c>
      <c r="F900" s="316">
        <v>44674</v>
      </c>
      <c r="G900" s="316">
        <v>36893</v>
      </c>
      <c r="H900" s="317" t="s">
        <v>3154</v>
      </c>
      <c r="I900" s="313"/>
      <c r="J900" s="317" t="s">
        <v>152</v>
      </c>
      <c r="K900" s="331" t="s">
        <v>4025</v>
      </c>
      <c r="L900" s="331"/>
      <c r="M900" s="329"/>
      <c r="N900" s="345" t="s">
        <v>196</v>
      </c>
      <c r="O900" s="317" t="s">
        <v>51</v>
      </c>
      <c r="P900" s="318" t="s">
        <v>4723</v>
      </c>
      <c r="Q900" s="318">
        <v>800</v>
      </c>
      <c r="R900" s="317" t="s">
        <v>279</v>
      </c>
      <c r="S900" s="317"/>
      <c r="T900" s="317"/>
      <c r="U900" s="317" t="s">
        <v>4724</v>
      </c>
      <c r="V900" s="86" t="s">
        <v>4725</v>
      </c>
      <c r="W900" s="317"/>
      <c r="X900" s="317"/>
      <c r="Y900" s="319"/>
    </row>
    <row r="901" spans="1:25" s="91" customFormat="1" hidden="1" x14ac:dyDescent="0.25">
      <c r="A901" s="32" t="s">
        <v>1626</v>
      </c>
      <c r="B901" s="315" t="str">
        <f>IF((COUNTBLANK(G901)=0),Stats!$E$7,IF((COUNTBLANK(E901)=0),IF((COUNTBLANK(F901)=0),IF((COUNTBLANK(U901)=0),Stats!$E$6,Stats!$E$5),Stats!$E$4),""))</f>
        <v>Death</v>
      </c>
      <c r="C901" s="40" t="s">
        <v>284</v>
      </c>
      <c r="D901" s="315" t="s">
        <v>325</v>
      </c>
      <c r="E901" s="88">
        <v>44648</v>
      </c>
      <c r="F901" s="88">
        <v>44674</v>
      </c>
      <c r="G901" s="316">
        <v>45101</v>
      </c>
      <c r="H901" s="317" t="s">
        <v>3154</v>
      </c>
      <c r="I901" s="313"/>
      <c r="J901" s="325" t="s">
        <v>152</v>
      </c>
      <c r="K901" s="331" t="s">
        <v>4025</v>
      </c>
      <c r="L901" s="331"/>
      <c r="M901" s="331"/>
      <c r="N901" s="345" t="s">
        <v>196</v>
      </c>
      <c r="O901" s="325" t="s">
        <v>51</v>
      </c>
      <c r="P901" s="326" t="s">
        <v>4723</v>
      </c>
      <c r="Q901" s="326">
        <v>800</v>
      </c>
      <c r="R901" s="325" t="s">
        <v>243</v>
      </c>
      <c r="S901" s="325"/>
      <c r="T901" s="325"/>
      <c r="U901" s="325" t="s">
        <v>4724</v>
      </c>
      <c r="V901" s="75" t="s">
        <v>4726</v>
      </c>
      <c r="W901" s="325"/>
      <c r="X901" s="325"/>
      <c r="Y901" s="319"/>
    </row>
    <row r="902" spans="1:25" s="91" customFormat="1" hidden="1" x14ac:dyDescent="0.25">
      <c r="A902" s="32" t="s">
        <v>1627</v>
      </c>
      <c r="B902" s="315" t="str">
        <f>IF((COUNTBLANK(G902)=0),Stats!$E$7,IF((COUNTBLANK(E902)=0),IF((COUNTBLANK(F902)=0),IF((COUNTBLANK(U902)=0),Stats!$E$6,Stats!$E$5),Stats!$E$4),""))</f>
        <v>Death</v>
      </c>
      <c r="C902" s="40" t="s">
        <v>284</v>
      </c>
      <c r="D902" s="315" t="s">
        <v>325</v>
      </c>
      <c r="E902" s="88">
        <v>44648</v>
      </c>
      <c r="F902" s="88">
        <v>44674</v>
      </c>
      <c r="G902" s="316">
        <v>45114</v>
      </c>
      <c r="H902" s="317" t="s">
        <v>3154</v>
      </c>
      <c r="I902" s="313"/>
      <c r="J902" s="325" t="s">
        <v>152</v>
      </c>
      <c r="K902" s="331" t="s">
        <v>4025</v>
      </c>
      <c r="L902" s="331"/>
      <c r="M902" s="331"/>
      <c r="N902" s="345" t="s">
        <v>196</v>
      </c>
      <c r="O902" s="325" t="s">
        <v>51</v>
      </c>
      <c r="P902" s="326" t="s">
        <v>4723</v>
      </c>
      <c r="Q902" s="326">
        <v>800</v>
      </c>
      <c r="R902" s="325" t="s">
        <v>4717</v>
      </c>
      <c r="S902" s="325"/>
      <c r="T902" s="325"/>
      <c r="U902" s="325" t="s">
        <v>4724</v>
      </c>
      <c r="V902" s="75" t="s">
        <v>4727</v>
      </c>
      <c r="W902" s="325"/>
      <c r="X902" s="325"/>
      <c r="Y902" s="319"/>
    </row>
    <row r="903" spans="1:25" s="91" customFormat="1" hidden="1" x14ac:dyDescent="0.25">
      <c r="A903" s="32" t="s">
        <v>1628</v>
      </c>
      <c r="B903" s="315" t="str">
        <f>IF((COUNTBLANK(G903)=0),Stats!$E$7,IF((COUNTBLANK(E903)=0),IF((COUNTBLANK(F903)=0),IF((COUNTBLANK(U903)=0),Stats!$E$6,Stats!$E$5),Stats!$E$4),""))</f>
        <v>Death</v>
      </c>
      <c r="C903" s="40" t="s">
        <v>284</v>
      </c>
      <c r="D903" s="306" t="str">
        <f>IF(B903=Stats!$E$6,Stats!$E$11,"")</f>
        <v/>
      </c>
      <c r="E903" s="88">
        <v>44648</v>
      </c>
      <c r="F903" s="88">
        <v>44678</v>
      </c>
      <c r="G903" s="316">
        <v>45085</v>
      </c>
      <c r="H903" s="317" t="s">
        <v>3154</v>
      </c>
      <c r="I903" s="313"/>
      <c r="J903" s="325" t="s">
        <v>152</v>
      </c>
      <c r="K903" s="331" t="s">
        <v>4025</v>
      </c>
      <c r="L903" s="331"/>
      <c r="M903" s="331"/>
      <c r="N903" s="345" t="s">
        <v>196</v>
      </c>
      <c r="O903" s="325" t="s">
        <v>51</v>
      </c>
      <c r="P903" s="326" t="s">
        <v>4723</v>
      </c>
      <c r="Q903" s="326">
        <v>800</v>
      </c>
      <c r="R903" s="325" t="s">
        <v>279</v>
      </c>
      <c r="S903" s="325"/>
      <c r="T903" s="325"/>
      <c r="U903" s="325"/>
      <c r="V903" s="75" t="s">
        <v>4728</v>
      </c>
      <c r="W903" s="325"/>
      <c r="X903" s="325"/>
      <c r="Y903" s="319"/>
    </row>
    <row r="904" spans="1:25" s="91" customFormat="1" hidden="1" x14ac:dyDescent="0.25">
      <c r="A904" s="32" t="s">
        <v>1629</v>
      </c>
      <c r="B904" s="315" t="str">
        <f>IF((COUNTBLANK(G904)=0),Stats!$E$7,IF((COUNTBLANK(E904)=0),IF((COUNTBLANK(F904)=0),IF((COUNTBLANK(U904)=0),Stats!$E$6,Stats!$E$5),Stats!$E$4),""))</f>
        <v>Death</v>
      </c>
      <c r="C904" s="40" t="s">
        <v>284</v>
      </c>
      <c r="D904" s="306" t="str">
        <f>IF(B904=Stats!$E$6,Stats!$E$11,"")</f>
        <v/>
      </c>
      <c r="E904" s="88">
        <v>44649</v>
      </c>
      <c r="F904" s="88">
        <v>44678</v>
      </c>
      <c r="G904" s="316">
        <v>45101</v>
      </c>
      <c r="H904" s="317" t="s">
        <v>98</v>
      </c>
      <c r="I904" s="313"/>
      <c r="J904" s="325" t="s">
        <v>152</v>
      </c>
      <c r="K904" s="331" t="s">
        <v>4025</v>
      </c>
      <c r="L904" s="331"/>
      <c r="M904" s="331"/>
      <c r="N904" s="345" t="s">
        <v>196</v>
      </c>
      <c r="O904" s="325" t="s">
        <v>51</v>
      </c>
      <c r="P904" s="326" t="s">
        <v>4723</v>
      </c>
      <c r="Q904" s="326">
        <v>800</v>
      </c>
      <c r="R904" s="325" t="s">
        <v>249</v>
      </c>
      <c r="S904" s="325"/>
      <c r="T904" s="54" t="s">
        <v>3531</v>
      </c>
      <c r="U904" s="325"/>
      <c r="V904" s="75" t="s">
        <v>4729</v>
      </c>
      <c r="W904" s="325"/>
      <c r="X904" s="325"/>
      <c r="Y904" s="319"/>
    </row>
    <row r="905" spans="1:25" s="91" customFormat="1" hidden="1" x14ac:dyDescent="0.25">
      <c r="A905" s="32" t="s">
        <v>1630</v>
      </c>
      <c r="B905" s="315" t="str">
        <f>IF((COUNTBLANK(G905)=0),Stats!$E$7,IF((COUNTBLANK(E905)=0),IF((COUNTBLANK(F905)=0),IF((COUNTBLANK(U905)=0),Stats!$E$6,Stats!$E$5),Stats!$E$4),""))</f>
        <v>Death</v>
      </c>
      <c r="C905" s="39" t="s">
        <v>284</v>
      </c>
      <c r="D905" s="315"/>
      <c r="E905" s="88">
        <v>44649</v>
      </c>
      <c r="F905" s="316">
        <v>44678</v>
      </c>
      <c r="G905" s="316">
        <v>36893</v>
      </c>
      <c r="H905" s="317" t="s">
        <v>98</v>
      </c>
      <c r="I905" s="313"/>
      <c r="J905" s="317" t="s">
        <v>152</v>
      </c>
      <c r="K905" s="331" t="s">
        <v>4025</v>
      </c>
      <c r="L905" s="331"/>
      <c r="M905" s="329"/>
      <c r="N905" s="345" t="s">
        <v>196</v>
      </c>
      <c r="O905" s="317" t="s">
        <v>51</v>
      </c>
      <c r="P905" s="318" t="s">
        <v>4723</v>
      </c>
      <c r="Q905" s="318">
        <v>800</v>
      </c>
      <c r="R905" s="317" t="s">
        <v>243</v>
      </c>
      <c r="S905" s="317"/>
      <c r="T905" s="317"/>
      <c r="U905" s="317"/>
      <c r="V905" s="81"/>
      <c r="W905" s="317"/>
      <c r="X905" s="317"/>
      <c r="Y905" s="319"/>
    </row>
    <row r="906" spans="1:25" s="91" customFormat="1" hidden="1" x14ac:dyDescent="0.25">
      <c r="A906" s="32" t="s">
        <v>1631</v>
      </c>
      <c r="B906" s="306" t="str">
        <f>IF((COUNTBLANK(G906)=0),Stats!$E$7,IF((COUNTBLANK(E906)=0),IF((COUNTBLANK(F906)=0),IF((COUNTBLANK(U906)=0),Stats!$E$6,Stats!$E$5),Stats!$E$4),""))</f>
        <v>Death</v>
      </c>
      <c r="C906" s="41" t="s">
        <v>413</v>
      </c>
      <c r="D906" s="306" t="str">
        <f>IF(B906=Stats!$E$6,Stats!$E$11,"")</f>
        <v/>
      </c>
      <c r="E906" s="89">
        <v>44656</v>
      </c>
      <c r="F906" s="89"/>
      <c r="G906" s="327">
        <v>44872</v>
      </c>
      <c r="H906" s="313" t="s">
        <v>3139</v>
      </c>
      <c r="I906" s="313"/>
      <c r="J906" s="313" t="s">
        <v>152</v>
      </c>
      <c r="K906" s="306" t="s">
        <v>4730</v>
      </c>
      <c r="L906" s="306"/>
      <c r="M906" s="306"/>
      <c r="N906" s="304"/>
      <c r="O906" s="313" t="s">
        <v>4731</v>
      </c>
      <c r="P906" s="328" t="s">
        <v>4732</v>
      </c>
      <c r="Q906" s="328" t="s">
        <v>4733</v>
      </c>
      <c r="R906" s="313" t="s">
        <v>279</v>
      </c>
      <c r="S906" s="313"/>
      <c r="T906" s="313"/>
      <c r="U906" s="313"/>
      <c r="V906" s="313"/>
      <c r="W906" s="313"/>
      <c r="X906" s="313"/>
      <c r="Y906" s="319"/>
    </row>
    <row r="907" spans="1:25" s="91" customFormat="1" hidden="1" x14ac:dyDescent="0.25">
      <c r="A907" s="32" t="s">
        <v>1632</v>
      </c>
      <c r="B907" s="306" t="str">
        <f>IF((COUNTBLANK(G907)=0),Stats!$E$7,IF((COUNTBLANK(E907)=0),IF((COUNTBLANK(F907)=0),IF((COUNTBLANK(U907)=0),Stats!$E$6,Stats!$E$5),Stats!$E$4),""))</f>
        <v>Death</v>
      </c>
      <c r="C907" s="41" t="s">
        <v>413</v>
      </c>
      <c r="D907" s="306" t="str">
        <f>IF(B907=Stats!$E$6,Stats!$E$11,"")</f>
        <v/>
      </c>
      <c r="E907" s="89">
        <v>44656</v>
      </c>
      <c r="F907" s="89"/>
      <c r="G907" s="327">
        <v>44872</v>
      </c>
      <c r="H907" s="313" t="s">
        <v>3139</v>
      </c>
      <c r="I907" s="313"/>
      <c r="J907" s="313" t="s">
        <v>152</v>
      </c>
      <c r="K907" s="306" t="s">
        <v>4730</v>
      </c>
      <c r="L907" s="306"/>
      <c r="M907" s="306"/>
      <c r="N907" s="304"/>
      <c r="O907" s="313" t="s">
        <v>4731</v>
      </c>
      <c r="P907" s="328" t="s">
        <v>4732</v>
      </c>
      <c r="Q907" s="328" t="s">
        <v>4733</v>
      </c>
      <c r="R907" s="313" t="s">
        <v>249</v>
      </c>
      <c r="S907" s="313"/>
      <c r="T907" s="313" t="s">
        <v>4734</v>
      </c>
      <c r="U907" s="313"/>
      <c r="V907" s="313"/>
      <c r="W907" s="313"/>
      <c r="X907" s="313"/>
      <c r="Y907" s="319"/>
    </row>
    <row r="908" spans="1:25" s="91" customFormat="1" hidden="1" x14ac:dyDescent="0.25">
      <c r="A908" s="32" t="s">
        <v>1633</v>
      </c>
      <c r="B908" s="306" t="str">
        <f>IF((COUNTBLANK(G908)=0),Stats!$E$7,IF((COUNTBLANK(E908)=0),IF((COUNTBLANK(F908)=0),IF((COUNTBLANK(U908)=0),Stats!$E$6,Stats!$E$5),Stats!$E$4),""))</f>
        <v>Death</v>
      </c>
      <c r="C908" s="41" t="s">
        <v>413</v>
      </c>
      <c r="D908" s="306" t="str">
        <f>IF(B908=Stats!$E$6,Stats!$E$11,"")</f>
        <v/>
      </c>
      <c r="E908" s="89">
        <v>44657</v>
      </c>
      <c r="F908" s="89"/>
      <c r="G908" s="327">
        <v>44872</v>
      </c>
      <c r="H908" s="313" t="s">
        <v>3139</v>
      </c>
      <c r="I908" s="313"/>
      <c r="J908" s="313" t="s">
        <v>152</v>
      </c>
      <c r="K908" s="306" t="s">
        <v>4735</v>
      </c>
      <c r="L908" s="306"/>
      <c r="M908" s="306"/>
      <c r="N908" s="304"/>
      <c r="O908" s="313" t="s">
        <v>4731</v>
      </c>
      <c r="P908" s="328" t="s">
        <v>4732</v>
      </c>
      <c r="Q908" s="328" t="s">
        <v>4733</v>
      </c>
      <c r="R908" s="313" t="s">
        <v>243</v>
      </c>
      <c r="S908" s="313"/>
      <c r="T908" s="313" t="s">
        <v>4734</v>
      </c>
      <c r="U908" s="313"/>
      <c r="V908" s="313"/>
      <c r="W908" s="313"/>
      <c r="X908" s="313"/>
      <c r="Y908" s="319"/>
    </row>
    <row r="909" spans="1:25" s="91" customFormat="1" hidden="1" x14ac:dyDescent="0.25">
      <c r="A909" s="32" t="s">
        <v>1634</v>
      </c>
      <c r="B909" s="306" t="str">
        <f>IF((COUNTBLANK(G909)=0),Stats!$E$7,IF((COUNTBLANK(E909)=0),IF((COUNTBLANK(F909)=0),IF((COUNTBLANK(U909)=0),Stats!$E$6,Stats!$E$5),Stats!$E$4),""))</f>
        <v>Death</v>
      </c>
      <c r="C909" s="41" t="s">
        <v>413</v>
      </c>
      <c r="D909" s="306" t="str">
        <f>IF(B909=Stats!$E$6,Stats!$E$11,"")</f>
        <v/>
      </c>
      <c r="E909" s="89">
        <v>44657</v>
      </c>
      <c r="F909" s="89">
        <v>44677</v>
      </c>
      <c r="G909" s="327">
        <v>44872</v>
      </c>
      <c r="H909" s="313" t="s">
        <v>3139</v>
      </c>
      <c r="I909" s="313"/>
      <c r="J909" s="313" t="s">
        <v>152</v>
      </c>
      <c r="K909" s="306" t="s">
        <v>4735</v>
      </c>
      <c r="L909" s="306"/>
      <c r="M909" s="306"/>
      <c r="N909" s="304"/>
      <c r="O909" s="313" t="s">
        <v>4731</v>
      </c>
      <c r="P909" s="328" t="s">
        <v>4732</v>
      </c>
      <c r="Q909" s="328" t="s">
        <v>4733</v>
      </c>
      <c r="R909" s="313" t="s">
        <v>312</v>
      </c>
      <c r="S909" s="313"/>
      <c r="T909" s="313" t="s">
        <v>4736</v>
      </c>
      <c r="U909" s="313"/>
      <c r="V909" s="313"/>
      <c r="W909" s="313"/>
      <c r="X909" s="313"/>
      <c r="Y909" s="319"/>
    </row>
    <row r="910" spans="1:25" s="91" customFormat="1" hidden="1" x14ac:dyDescent="0.25">
      <c r="A910" s="32" t="s">
        <v>1635</v>
      </c>
      <c r="B910" s="306" t="str">
        <f>IF((COUNTBLANK(G910)=0),Stats!$E$7,IF((COUNTBLANK(E910)=0),IF((COUNTBLANK(F910)=0),IF((COUNTBLANK(U910)=0),Stats!$E$6,Stats!$E$5),Stats!$E$4),""))</f>
        <v>Death</v>
      </c>
      <c r="C910" s="41" t="s">
        <v>413</v>
      </c>
      <c r="D910" s="306" t="str">
        <f>IF(B910=Stats!$E$6,Stats!$E$11,"")</f>
        <v/>
      </c>
      <c r="E910" s="89">
        <v>44658</v>
      </c>
      <c r="F910" s="316"/>
      <c r="G910" s="316">
        <v>44993</v>
      </c>
      <c r="H910" s="313" t="s">
        <v>3139</v>
      </c>
      <c r="I910" s="313"/>
      <c r="J910" s="313" t="s">
        <v>152</v>
      </c>
      <c r="K910" s="306" t="s">
        <v>4735</v>
      </c>
      <c r="L910" s="61"/>
      <c r="M910" s="61"/>
      <c r="N910" s="64"/>
      <c r="O910" s="313"/>
      <c r="P910" s="328" t="s">
        <v>4732</v>
      </c>
      <c r="Q910" s="328" t="s">
        <v>4733</v>
      </c>
      <c r="R910" s="313" t="s">
        <v>249</v>
      </c>
      <c r="S910" s="313"/>
      <c r="T910" s="313"/>
      <c r="U910" s="313"/>
      <c r="V910" s="313"/>
      <c r="W910" s="313"/>
      <c r="X910" s="313"/>
      <c r="Y910" s="319"/>
    </row>
    <row r="911" spans="1:25" s="91" customFormat="1" hidden="1" x14ac:dyDescent="0.25">
      <c r="A911" s="32" t="s">
        <v>1636</v>
      </c>
      <c r="B911" s="306" t="str">
        <f>IF((COUNTBLANK(G911)=0),Stats!$E$7,IF((COUNTBLANK(E911)=0),IF((COUNTBLANK(F911)=0),IF((COUNTBLANK(U911)=0),Stats!$E$6,Stats!$E$5),Stats!$E$4),""))</f>
        <v>Death</v>
      </c>
      <c r="C911" s="41" t="s">
        <v>413</v>
      </c>
      <c r="D911" s="306" t="str">
        <f>IF(B911=Stats!$E$6,Stats!$E$11,"")</f>
        <v/>
      </c>
      <c r="E911" s="89">
        <v>44658</v>
      </c>
      <c r="F911" s="89"/>
      <c r="G911" s="327">
        <v>44872</v>
      </c>
      <c r="H911" s="313" t="s">
        <v>3139</v>
      </c>
      <c r="I911" s="313"/>
      <c r="J911" s="313" t="s">
        <v>152</v>
      </c>
      <c r="K911" s="306" t="s">
        <v>4735</v>
      </c>
      <c r="L911" s="61"/>
      <c r="M911" s="61"/>
      <c r="N911" s="64"/>
      <c r="O911" s="313"/>
      <c r="P911" s="328" t="s">
        <v>4732</v>
      </c>
      <c r="Q911" s="328" t="s">
        <v>4733</v>
      </c>
      <c r="R911" s="313" t="s">
        <v>243</v>
      </c>
      <c r="S911" s="313"/>
      <c r="T911" s="313"/>
      <c r="U911" s="313"/>
      <c r="V911" s="313"/>
      <c r="W911" s="313"/>
      <c r="X911" s="313"/>
      <c r="Y911" s="319"/>
    </row>
    <row r="912" spans="1:25" s="91" customFormat="1" hidden="1" x14ac:dyDescent="0.25">
      <c r="A912" s="32" t="s">
        <v>1637</v>
      </c>
      <c r="B912" s="306" t="str">
        <f>IF((COUNTBLANK(G912)=0),Stats!$E$7,IF((COUNTBLANK(E912)=0),IF((COUNTBLANK(F912)=0),IF((COUNTBLANK(U912)=0),Stats!$E$6,Stats!$E$5),Stats!$E$4),""))</f>
        <v>Death</v>
      </c>
      <c r="C912" s="41" t="s">
        <v>413</v>
      </c>
      <c r="D912" s="306" t="str">
        <f>IF(B912=Stats!$E$6,Stats!$E$11,"")</f>
        <v/>
      </c>
      <c r="E912" s="89">
        <v>44671</v>
      </c>
      <c r="F912" s="89">
        <v>44680</v>
      </c>
      <c r="G912" s="316">
        <v>44993</v>
      </c>
      <c r="H912" s="313" t="s">
        <v>3139</v>
      </c>
      <c r="I912" s="313"/>
      <c r="J912" s="313" t="s">
        <v>152</v>
      </c>
      <c r="K912" s="306" t="s">
        <v>4735</v>
      </c>
      <c r="L912" s="61"/>
      <c r="M912" s="61"/>
      <c r="N912" s="64"/>
      <c r="O912" s="313" t="s">
        <v>4521</v>
      </c>
      <c r="P912" s="328" t="s">
        <v>4117</v>
      </c>
      <c r="Q912" s="328" t="s">
        <v>4733</v>
      </c>
      <c r="R912" s="313" t="s">
        <v>291</v>
      </c>
      <c r="S912" s="313"/>
      <c r="T912" s="313"/>
      <c r="U912" s="313"/>
      <c r="V912" s="313"/>
      <c r="W912" s="313"/>
      <c r="X912" s="313"/>
      <c r="Y912" s="319"/>
    </row>
    <row r="913" spans="1:25" s="91" customFormat="1" hidden="1" x14ac:dyDescent="0.25">
      <c r="A913" s="32" t="s">
        <v>1638</v>
      </c>
      <c r="B913" s="306" t="str">
        <f>IF((COUNTBLANK(G913)=0),Stats!$E$7,IF((COUNTBLANK(E913)=0),IF((COUNTBLANK(F913)=0),IF((COUNTBLANK(U913)=0),Stats!$E$6,Stats!$E$5),Stats!$E$4),""))</f>
        <v>Death</v>
      </c>
      <c r="C913" s="41" t="s">
        <v>413</v>
      </c>
      <c r="D913" s="306" t="str">
        <f>IF(B913=Stats!$E$6,Stats!$E$11,"")</f>
        <v/>
      </c>
      <c r="E913" s="89">
        <v>44671</v>
      </c>
      <c r="F913" s="89"/>
      <c r="G913" s="327">
        <v>44872</v>
      </c>
      <c r="H913" s="313" t="s">
        <v>3139</v>
      </c>
      <c r="I913" s="313"/>
      <c r="J913" s="313" t="s">
        <v>152</v>
      </c>
      <c r="K913" s="306" t="s">
        <v>4735</v>
      </c>
      <c r="L913" s="61"/>
      <c r="M913" s="61"/>
      <c r="N913" s="64"/>
      <c r="O913" s="313" t="s">
        <v>4521</v>
      </c>
      <c r="P913" s="328" t="s">
        <v>4117</v>
      </c>
      <c r="Q913" s="328" t="s">
        <v>4733</v>
      </c>
      <c r="R913" s="313" t="s">
        <v>252</v>
      </c>
      <c r="S913" s="313"/>
      <c r="T913" s="313"/>
      <c r="U913" s="313"/>
      <c r="V913" s="313"/>
      <c r="W913" s="313"/>
      <c r="X913" s="313"/>
      <c r="Y913" s="319"/>
    </row>
    <row r="914" spans="1:25" s="91" customFormat="1" hidden="1" x14ac:dyDescent="0.25">
      <c r="A914" s="32" t="s">
        <v>1639</v>
      </c>
      <c r="B914" s="306" t="str">
        <f>IF((COUNTBLANK(G914)=0),Stats!$E$7,IF((COUNTBLANK(E914)=0),IF((COUNTBLANK(F914)=0),IF((COUNTBLANK(U914)=0),Stats!$E$6,Stats!$E$5),Stats!$E$4),""))</f>
        <v>Death</v>
      </c>
      <c r="C914" s="41" t="s">
        <v>413</v>
      </c>
      <c r="D914" s="306" t="str">
        <f>IF(B914=Stats!$E$6,Stats!$E$11,"")</f>
        <v/>
      </c>
      <c r="E914" s="89">
        <v>44671</v>
      </c>
      <c r="F914" s="89"/>
      <c r="G914" s="327">
        <v>44872</v>
      </c>
      <c r="H914" s="313" t="s">
        <v>3139</v>
      </c>
      <c r="I914" s="313"/>
      <c r="J914" s="313" t="s">
        <v>152</v>
      </c>
      <c r="K914" s="306" t="s">
        <v>4735</v>
      </c>
      <c r="L914" s="61"/>
      <c r="M914" s="61"/>
      <c r="N914" s="64"/>
      <c r="O914" s="313" t="s">
        <v>4737</v>
      </c>
      <c r="P914" s="328" t="s">
        <v>4738</v>
      </c>
      <c r="Q914" s="328" t="s">
        <v>4733</v>
      </c>
      <c r="R914" s="313" t="s">
        <v>279</v>
      </c>
      <c r="S914" s="313"/>
      <c r="T914" s="313" t="s">
        <v>4739</v>
      </c>
      <c r="U914" s="313"/>
      <c r="V914" s="313"/>
      <c r="W914" s="313"/>
      <c r="X914" s="313"/>
      <c r="Y914" s="319"/>
    </row>
    <row r="915" spans="1:25" s="91" customFormat="1" hidden="1" x14ac:dyDescent="0.25">
      <c r="A915" s="32" t="s">
        <v>1640</v>
      </c>
      <c r="B915" s="306" t="str">
        <f>IF((COUNTBLANK(G915)=0),Stats!$E$7,IF((COUNTBLANK(E915)=0),IF((COUNTBLANK(F915)=0),IF((COUNTBLANK(U915)=0),Stats!$E$6,Stats!$E$5),Stats!$E$4),""))</f>
        <v>Death</v>
      </c>
      <c r="C915" s="41" t="s">
        <v>413</v>
      </c>
      <c r="D915" s="306" t="str">
        <f>IF(B915=Stats!$E$6,Stats!$E$11,"")</f>
        <v/>
      </c>
      <c r="E915" s="89">
        <v>44673</v>
      </c>
      <c r="F915" s="89"/>
      <c r="G915" s="327">
        <v>44872</v>
      </c>
      <c r="H915" s="313" t="s">
        <v>3139</v>
      </c>
      <c r="I915" s="313"/>
      <c r="J915" s="313" t="s">
        <v>152</v>
      </c>
      <c r="K915" s="306" t="s">
        <v>4735</v>
      </c>
      <c r="L915" s="306"/>
      <c r="M915" s="306"/>
      <c r="N915" s="304"/>
      <c r="O915" s="313" t="s">
        <v>4737</v>
      </c>
      <c r="P915" s="328" t="s">
        <v>4732</v>
      </c>
      <c r="Q915" s="328" t="s">
        <v>4733</v>
      </c>
      <c r="R915" s="313" t="s">
        <v>279</v>
      </c>
      <c r="S915" s="313"/>
      <c r="T915" s="313"/>
      <c r="U915" s="313"/>
      <c r="V915" s="313"/>
      <c r="W915" s="313"/>
      <c r="X915" s="313"/>
      <c r="Y915" s="319"/>
    </row>
    <row r="916" spans="1:25" s="91" customFormat="1" hidden="1" x14ac:dyDescent="0.25">
      <c r="A916" s="32" t="s">
        <v>1641</v>
      </c>
      <c r="B916" s="315" t="str">
        <f>IF((COUNTBLANK(G916)=0),Stats!$E$7,IF((COUNTBLANK(E916)=0),IF((COUNTBLANK(F916)=0),IF((COUNTBLANK(U916)=0),Stats!$E$6,Stats!$E$5),Stats!$E$4),""))</f>
        <v>Death</v>
      </c>
      <c r="C916" s="40" t="s">
        <v>284</v>
      </c>
      <c r="D916" s="315" t="s">
        <v>325</v>
      </c>
      <c r="E916" s="88">
        <v>44685</v>
      </c>
      <c r="F916" s="88">
        <v>44692</v>
      </c>
      <c r="G916" s="316">
        <v>44993</v>
      </c>
      <c r="H916" s="317" t="s">
        <v>98</v>
      </c>
      <c r="I916" s="313"/>
      <c r="J916" s="325" t="s">
        <v>152</v>
      </c>
      <c r="K916" s="349" t="s">
        <v>4740</v>
      </c>
      <c r="L916" s="349"/>
      <c r="M916" s="349"/>
      <c r="N916" s="350"/>
      <c r="O916" s="325" t="s">
        <v>51</v>
      </c>
      <c r="P916" s="326">
        <v>-500</v>
      </c>
      <c r="Q916" s="326">
        <v>500</v>
      </c>
      <c r="R916" s="325" t="s">
        <v>249</v>
      </c>
      <c r="S916" s="325"/>
      <c r="T916" s="325"/>
      <c r="U916" s="325" t="s">
        <v>4741</v>
      </c>
      <c r="V916" s="75" t="s">
        <v>4742</v>
      </c>
      <c r="W916" s="325"/>
      <c r="X916" s="325"/>
      <c r="Y916" s="319"/>
    </row>
    <row r="917" spans="1:25" s="92" customFormat="1" hidden="1" x14ac:dyDescent="0.25">
      <c r="A917" s="32" t="s">
        <v>1642</v>
      </c>
      <c r="B917" s="315" t="str">
        <f>IF((COUNTBLANK(G917)=0),Stats!$E$7,IF((COUNTBLANK(E917)=0),IF((COUNTBLANK(F917)=0),IF((COUNTBLANK(U917)=0),Stats!$E$6,Stats!$E$5),Stats!$E$4),""))</f>
        <v>Death</v>
      </c>
      <c r="C917" s="39" t="s">
        <v>284</v>
      </c>
      <c r="D917" s="315"/>
      <c r="E917" s="88">
        <v>44685</v>
      </c>
      <c r="F917" s="88">
        <v>44692</v>
      </c>
      <c r="G917" s="316">
        <v>36893</v>
      </c>
      <c r="H917" s="317" t="s">
        <v>98</v>
      </c>
      <c r="I917" s="313"/>
      <c r="J917" s="49" t="s">
        <v>152</v>
      </c>
      <c r="K917" s="349" t="s">
        <v>4740</v>
      </c>
      <c r="L917" s="58"/>
      <c r="M917" s="49"/>
      <c r="N917" s="62"/>
      <c r="O917" s="49" t="s">
        <v>51</v>
      </c>
      <c r="P917" s="67">
        <v>-500</v>
      </c>
      <c r="Q917" s="67">
        <v>500</v>
      </c>
      <c r="R917" s="49" t="s">
        <v>243</v>
      </c>
      <c r="S917" s="49"/>
      <c r="T917" s="40"/>
      <c r="U917" s="49" t="s">
        <v>4743</v>
      </c>
      <c r="V917" s="87" t="s">
        <v>4742</v>
      </c>
      <c r="W917" s="49"/>
      <c r="X917" s="49"/>
      <c r="Y917" s="95"/>
    </row>
    <row r="918" spans="1:25" s="91" customFormat="1" hidden="1" x14ac:dyDescent="0.25">
      <c r="A918" s="32" t="s">
        <v>1643</v>
      </c>
      <c r="B918" s="315" t="str">
        <f>IF((COUNTBLANK(G918)=0),Stats!$E$7,IF((COUNTBLANK(E918)=0),IF((COUNTBLANK(F918)=0),IF((COUNTBLANK(U918)=0),Stats!$E$6,Stats!$E$5),Stats!$E$4),""))</f>
        <v>Death</v>
      </c>
      <c r="C918" s="40" t="s">
        <v>284</v>
      </c>
      <c r="D918" s="315" t="s">
        <v>325</v>
      </c>
      <c r="E918" s="88">
        <v>44685</v>
      </c>
      <c r="F918" s="88">
        <v>44692</v>
      </c>
      <c r="G918" s="316">
        <v>44993</v>
      </c>
      <c r="H918" s="317" t="s">
        <v>98</v>
      </c>
      <c r="I918" s="313"/>
      <c r="J918" s="325" t="s">
        <v>152</v>
      </c>
      <c r="K918" s="349" t="s">
        <v>4740</v>
      </c>
      <c r="L918" s="349"/>
      <c r="M918" s="349"/>
      <c r="N918" s="350"/>
      <c r="O918" s="325" t="s">
        <v>51</v>
      </c>
      <c r="P918" s="326">
        <v>-500</v>
      </c>
      <c r="Q918" s="326">
        <v>500</v>
      </c>
      <c r="R918" s="325" t="s">
        <v>279</v>
      </c>
      <c r="S918" s="325"/>
      <c r="T918" s="325"/>
      <c r="U918" s="325" t="s">
        <v>4744</v>
      </c>
      <c r="V918" s="75" t="s">
        <v>4742</v>
      </c>
      <c r="W918" s="325"/>
      <c r="X918" s="325"/>
      <c r="Y918" s="319"/>
    </row>
    <row r="919" spans="1:25" s="91" customFormat="1" hidden="1" x14ac:dyDescent="0.25">
      <c r="A919" s="32" t="s">
        <v>1644</v>
      </c>
      <c r="B919" s="315" t="str">
        <f>IF((COUNTBLANK(G919)=0),Stats!$E$7,IF((COUNTBLANK(E919)=0),IF((COUNTBLANK(F919)=0),IF((COUNTBLANK(U919)=0),Stats!$E$6,Stats!$E$5),Stats!$E$4),""))</f>
        <v>Death</v>
      </c>
      <c r="C919" s="40" t="s">
        <v>284</v>
      </c>
      <c r="D919" s="315" t="s">
        <v>325</v>
      </c>
      <c r="E919" s="88">
        <v>44685</v>
      </c>
      <c r="F919" s="88">
        <v>44692</v>
      </c>
      <c r="G919" s="316">
        <v>45082</v>
      </c>
      <c r="H919" s="317" t="s">
        <v>98</v>
      </c>
      <c r="I919" s="313"/>
      <c r="J919" s="325" t="s">
        <v>152</v>
      </c>
      <c r="K919" s="349" t="s">
        <v>4740</v>
      </c>
      <c r="L919" s="349"/>
      <c r="M919" s="349"/>
      <c r="N919" s="350"/>
      <c r="O919" s="325" t="s">
        <v>51</v>
      </c>
      <c r="P919" s="326">
        <v>-500</v>
      </c>
      <c r="Q919" s="326">
        <v>500</v>
      </c>
      <c r="R919" s="325" t="s">
        <v>291</v>
      </c>
      <c r="S919" s="325"/>
      <c r="T919" s="325" t="s">
        <v>3531</v>
      </c>
      <c r="U919" s="325" t="s">
        <v>4744</v>
      </c>
      <c r="V919" s="75" t="s">
        <v>4742</v>
      </c>
      <c r="W919" s="325"/>
      <c r="X919" s="325"/>
      <c r="Y919" s="319"/>
    </row>
    <row r="920" spans="1:25" s="91" customFormat="1" ht="12" hidden="1" customHeight="1" x14ac:dyDescent="0.25">
      <c r="A920" s="32" t="s">
        <v>1645</v>
      </c>
      <c r="B920" s="315" t="str">
        <f>IF((COUNTBLANK(G920)=0),Stats!$E$7,IF((COUNTBLANK(E920)=0),IF((COUNTBLANK(F920)=0),IF((COUNTBLANK(U920)=0),Stats!$E$6,Stats!$E$5),Stats!$E$4),""))</f>
        <v>Death</v>
      </c>
      <c r="C920" s="39" t="s">
        <v>3111</v>
      </c>
      <c r="D920" s="315"/>
      <c r="E920" s="88">
        <v>44720</v>
      </c>
      <c r="F920" s="316">
        <v>44755</v>
      </c>
      <c r="G920" s="316">
        <v>36893</v>
      </c>
      <c r="H920" s="317" t="s">
        <v>3139</v>
      </c>
      <c r="I920" s="313"/>
      <c r="J920" s="317" t="s">
        <v>152</v>
      </c>
      <c r="K920" s="315" t="s">
        <v>3199</v>
      </c>
      <c r="L920" s="315"/>
      <c r="M920" s="317"/>
      <c r="N920" s="320"/>
      <c r="O920" s="317" t="s">
        <v>51</v>
      </c>
      <c r="P920" s="318" t="s">
        <v>4112</v>
      </c>
      <c r="Q920" s="318" t="s">
        <v>4733</v>
      </c>
      <c r="R920" s="317" t="s">
        <v>279</v>
      </c>
      <c r="S920" s="317"/>
      <c r="T920" s="317" t="s">
        <v>4745</v>
      </c>
      <c r="U920" s="317"/>
      <c r="V920" s="317"/>
      <c r="W920" s="317"/>
      <c r="X920" s="317"/>
      <c r="Y920" s="319"/>
    </row>
    <row r="921" spans="1:25" s="91" customFormat="1" ht="16.5" hidden="1" customHeight="1" x14ac:dyDescent="0.25">
      <c r="A921" s="32" t="s">
        <v>1646</v>
      </c>
      <c r="B921" s="315" t="str">
        <f>IF((COUNTBLANK(G921)=0),Stats!$E$7,IF((COUNTBLANK(E921)=0),IF((COUNTBLANK(F921)=0),IF((COUNTBLANK(U921)=0),Stats!$E$6,Stats!$E$5),Stats!$E$4),""))</f>
        <v>Death</v>
      </c>
      <c r="C921" s="39" t="s">
        <v>3111</v>
      </c>
      <c r="D921" s="315"/>
      <c r="E921" s="88">
        <v>44720</v>
      </c>
      <c r="F921" s="316">
        <v>44755</v>
      </c>
      <c r="G921" s="316">
        <v>36893</v>
      </c>
      <c r="H921" s="317" t="s">
        <v>3139</v>
      </c>
      <c r="I921" s="313"/>
      <c r="J921" s="317" t="s">
        <v>152</v>
      </c>
      <c r="K921" s="315" t="s">
        <v>3199</v>
      </c>
      <c r="L921" s="315"/>
      <c r="M921" s="317"/>
      <c r="N921" s="320"/>
      <c r="O921" s="317" t="s">
        <v>51</v>
      </c>
      <c r="P921" s="318" t="s">
        <v>4112</v>
      </c>
      <c r="Q921" s="318" t="s">
        <v>4733</v>
      </c>
      <c r="R921" s="317" t="s">
        <v>249</v>
      </c>
      <c r="S921" s="317"/>
      <c r="T921" s="317" t="s">
        <v>4745</v>
      </c>
      <c r="U921" s="317"/>
      <c r="V921" s="317"/>
      <c r="W921" s="317"/>
      <c r="X921" s="317"/>
      <c r="Y921" s="319"/>
    </row>
    <row r="922" spans="1:25" s="91" customFormat="1" ht="15.75" hidden="1" customHeight="1" x14ac:dyDescent="0.25">
      <c r="A922" s="32" t="s">
        <v>1647</v>
      </c>
      <c r="B922" s="315" t="str">
        <f>IF((COUNTBLANK(G922)=0),Stats!$E$7,IF((COUNTBLANK(E922)=0),IF((COUNTBLANK(F922)=0),IF((COUNTBLANK(U922)=0),Stats!$E$6,Stats!$E$5),Stats!$E$4),""))</f>
        <v>Death</v>
      </c>
      <c r="C922" s="39" t="s">
        <v>3111</v>
      </c>
      <c r="D922" s="315"/>
      <c r="E922" s="88">
        <v>44720</v>
      </c>
      <c r="F922" s="316">
        <v>44756</v>
      </c>
      <c r="G922" s="316">
        <v>36893</v>
      </c>
      <c r="H922" s="317" t="s">
        <v>3139</v>
      </c>
      <c r="I922" s="313"/>
      <c r="J922" s="317" t="s">
        <v>152</v>
      </c>
      <c r="K922" s="315" t="s">
        <v>3199</v>
      </c>
      <c r="L922" s="315"/>
      <c r="M922" s="317"/>
      <c r="N922" s="320"/>
      <c r="O922" s="317" t="s">
        <v>51</v>
      </c>
      <c r="P922" s="318" t="s">
        <v>4112</v>
      </c>
      <c r="Q922" s="318" t="s">
        <v>4733</v>
      </c>
      <c r="R922" s="317" t="s">
        <v>243</v>
      </c>
      <c r="S922" s="317"/>
      <c r="T922" s="317" t="s">
        <v>4745</v>
      </c>
      <c r="U922" s="317"/>
      <c r="V922" s="317"/>
      <c r="W922" s="317"/>
      <c r="X922" s="317"/>
      <c r="Y922" s="319"/>
    </row>
    <row r="923" spans="1:25" s="91" customFormat="1" ht="15" hidden="1" customHeight="1" x14ac:dyDescent="0.25">
      <c r="A923" s="32" t="s">
        <v>1648</v>
      </c>
      <c r="B923" s="315" t="str">
        <f>IF((COUNTBLANK(G923)=0),Stats!$E$7,IF((COUNTBLANK(E923)=0),IF((COUNTBLANK(F923)=0),IF((COUNTBLANK(U923)=0),Stats!$E$6,Stats!$E$5),Stats!$E$4),""))</f>
        <v>Death</v>
      </c>
      <c r="C923" s="39" t="s">
        <v>3111</v>
      </c>
      <c r="D923" s="315"/>
      <c r="E923" s="88">
        <v>44720</v>
      </c>
      <c r="F923" s="316">
        <v>44757</v>
      </c>
      <c r="G923" s="316">
        <v>36893</v>
      </c>
      <c r="H923" s="317" t="s">
        <v>3139</v>
      </c>
      <c r="I923" s="313"/>
      <c r="J923" s="317" t="s">
        <v>152</v>
      </c>
      <c r="K923" s="315" t="s">
        <v>3199</v>
      </c>
      <c r="L923" s="315"/>
      <c r="M923" s="317"/>
      <c r="N923" s="320"/>
      <c r="O923" s="317" t="s">
        <v>51</v>
      </c>
      <c r="P923" s="318" t="s">
        <v>4112</v>
      </c>
      <c r="Q923" s="318" t="s">
        <v>4733</v>
      </c>
      <c r="R923" s="317" t="s">
        <v>291</v>
      </c>
      <c r="S923" s="317"/>
      <c r="T923" s="317" t="s">
        <v>4745</v>
      </c>
      <c r="U923" s="317"/>
      <c r="V923" s="317"/>
      <c r="W923" s="317"/>
      <c r="X923" s="317"/>
      <c r="Y923" s="319"/>
    </row>
    <row r="924" spans="1:25" s="91" customFormat="1" ht="15.75" hidden="1" customHeight="1" x14ac:dyDescent="0.25">
      <c r="A924" s="32" t="s">
        <v>1649</v>
      </c>
      <c r="B924" s="306" t="str">
        <f>IF((COUNTBLANK(G924)=0),Stats!$E$7,IF((COUNTBLANK(E924)=0),IF((COUNTBLANK(F924)=0),IF((COUNTBLANK(U924)=0),Stats!$E$6,Stats!$E$5),Stats!$E$4),""))</f>
        <v>Death</v>
      </c>
      <c r="C924" s="41" t="s">
        <v>3111</v>
      </c>
      <c r="D924" s="306" t="str">
        <f>IF(B924=Stats!$E$6,Stats!$E$11,"")</f>
        <v/>
      </c>
      <c r="E924" s="89">
        <v>44720</v>
      </c>
      <c r="F924" s="89">
        <v>44740</v>
      </c>
      <c r="G924" s="316">
        <v>45229</v>
      </c>
      <c r="H924" s="313" t="s">
        <v>3139</v>
      </c>
      <c r="I924" s="313"/>
      <c r="J924" s="313" t="s">
        <v>152</v>
      </c>
      <c r="K924" s="306" t="s">
        <v>4044</v>
      </c>
      <c r="L924" s="306"/>
      <c r="M924" s="306"/>
      <c r="N924" s="304"/>
      <c r="O924" s="313" t="s">
        <v>51</v>
      </c>
      <c r="P924" s="328" t="s">
        <v>4112</v>
      </c>
      <c r="Q924" s="328" t="s">
        <v>4733</v>
      </c>
      <c r="R924" s="313" t="s">
        <v>279</v>
      </c>
      <c r="S924" s="313"/>
      <c r="T924" s="313"/>
      <c r="U924" s="313"/>
      <c r="V924" s="313"/>
      <c r="W924" s="313"/>
      <c r="X924" s="313"/>
      <c r="Y924" s="319"/>
    </row>
    <row r="925" spans="1:25" s="91" customFormat="1" ht="17.25" hidden="1" customHeight="1" x14ac:dyDescent="0.25">
      <c r="A925" s="32" t="s">
        <v>1650</v>
      </c>
      <c r="B925" s="315" t="str">
        <f>IF((COUNTBLANK(G925)=0),Stats!$E$7,IF((COUNTBLANK(E925)=0),IF((COUNTBLANK(F925)=0),IF((COUNTBLANK(U925)=0),Stats!$E$6,Stats!$E$5),Stats!$E$4),""))</f>
        <v>Death</v>
      </c>
      <c r="C925" s="39" t="s">
        <v>3111</v>
      </c>
      <c r="D925" s="306"/>
      <c r="E925" s="88">
        <v>44720</v>
      </c>
      <c r="F925" s="316">
        <v>36892</v>
      </c>
      <c r="G925" s="316">
        <v>36893</v>
      </c>
      <c r="H925" s="317" t="s">
        <v>3139</v>
      </c>
      <c r="I925" s="52"/>
      <c r="J925" s="317" t="s">
        <v>152</v>
      </c>
      <c r="K925" s="306" t="s">
        <v>4044</v>
      </c>
      <c r="L925" s="315"/>
      <c r="M925" s="317"/>
      <c r="N925" s="320"/>
      <c r="O925" s="317" t="s">
        <v>51</v>
      </c>
      <c r="P925" s="318" t="s">
        <v>4112</v>
      </c>
      <c r="Q925" s="318" t="s">
        <v>4733</v>
      </c>
      <c r="R925" s="317" t="s">
        <v>249</v>
      </c>
      <c r="S925" s="317"/>
      <c r="T925" s="317"/>
      <c r="U925" s="317"/>
      <c r="V925" s="317"/>
      <c r="W925" s="317"/>
      <c r="X925" s="317"/>
      <c r="Y925" s="319"/>
    </row>
    <row r="926" spans="1:25" s="91" customFormat="1" hidden="1" x14ac:dyDescent="0.25">
      <c r="A926" s="32" t="s">
        <v>1651</v>
      </c>
      <c r="B926" s="306" t="str">
        <f>IF((COUNTBLANK(G926)=0),Stats!$E$7,IF((COUNTBLANK(E926)=0),IF((COUNTBLANK(F926)=0),IF((COUNTBLANK(U926)=0),Stats!$E$6,Stats!$E$5),Stats!$E$4),""))</f>
        <v>Death</v>
      </c>
      <c r="C926" s="41" t="s">
        <v>3111</v>
      </c>
      <c r="D926" s="306" t="str">
        <f>IF(B926=Stats!$E$6,Stats!$E$11,"")</f>
        <v/>
      </c>
      <c r="E926" s="89">
        <v>44721</v>
      </c>
      <c r="F926" s="89">
        <v>44741</v>
      </c>
      <c r="G926" s="327">
        <v>45170</v>
      </c>
      <c r="H926" s="313" t="s">
        <v>3139</v>
      </c>
      <c r="I926" s="34"/>
      <c r="J926" s="313" t="s">
        <v>152</v>
      </c>
      <c r="K926" s="306" t="s">
        <v>4746</v>
      </c>
      <c r="L926" s="306" t="s">
        <v>4747</v>
      </c>
      <c r="M926" s="306"/>
      <c r="N926" s="304" t="s">
        <v>3960</v>
      </c>
      <c r="O926" s="313" t="s">
        <v>51</v>
      </c>
      <c r="P926" s="328" t="s">
        <v>4112</v>
      </c>
      <c r="Q926" s="328" t="s">
        <v>4733</v>
      </c>
      <c r="R926" s="313" t="s">
        <v>279</v>
      </c>
      <c r="S926" s="313"/>
      <c r="T926" s="313"/>
      <c r="U926" s="313"/>
      <c r="V926" s="313"/>
      <c r="W926" s="313"/>
      <c r="X926" s="313"/>
      <c r="Y926" s="319"/>
    </row>
    <row r="927" spans="1:25" s="91" customFormat="1" hidden="1" x14ac:dyDescent="0.25">
      <c r="A927" s="32" t="s">
        <v>1652</v>
      </c>
      <c r="B927" s="306" t="str">
        <f>IF((COUNTBLANK(G927)=0),Stats!$E$7,IF((COUNTBLANK(E927)=0),IF((COUNTBLANK(F927)=0),IF((COUNTBLANK(U927)=0),Stats!$E$6,Stats!$E$5),Stats!$E$4),""))</f>
        <v>Death</v>
      </c>
      <c r="C927" s="41" t="s">
        <v>3111</v>
      </c>
      <c r="D927" s="306" t="str">
        <f>IF(B927=Stats!$E$6,Stats!$E$11,"")</f>
        <v/>
      </c>
      <c r="E927" s="89">
        <v>44721</v>
      </c>
      <c r="F927" s="89">
        <v>44741</v>
      </c>
      <c r="G927" s="316">
        <v>44993</v>
      </c>
      <c r="H927" s="313" t="s">
        <v>3139</v>
      </c>
      <c r="I927" s="34"/>
      <c r="J927" s="313" t="s">
        <v>152</v>
      </c>
      <c r="K927" s="306" t="s">
        <v>4746</v>
      </c>
      <c r="L927" s="306" t="s">
        <v>4747</v>
      </c>
      <c r="M927" s="306"/>
      <c r="N927" s="304" t="s">
        <v>3960</v>
      </c>
      <c r="O927" s="313" t="s">
        <v>51</v>
      </c>
      <c r="P927" s="328" t="s">
        <v>4112</v>
      </c>
      <c r="Q927" s="328" t="s">
        <v>4733</v>
      </c>
      <c r="R927" s="313" t="s">
        <v>249</v>
      </c>
      <c r="S927" s="313"/>
      <c r="T927" s="313" t="s">
        <v>3531</v>
      </c>
      <c r="U927" s="313"/>
      <c r="V927" s="313"/>
      <c r="W927" s="313"/>
      <c r="X927" s="313"/>
      <c r="Y927" s="319"/>
    </row>
    <row r="928" spans="1:25" s="91" customFormat="1" ht="13.5" hidden="1" customHeight="1" x14ac:dyDescent="0.25">
      <c r="A928" s="32" t="s">
        <v>1653</v>
      </c>
      <c r="B928" s="306" t="str">
        <f>IF((COUNTBLANK(G928)=0),Stats!$E$7,IF((COUNTBLANK(E928)=0),IF((COUNTBLANK(F928)=0),IF((COUNTBLANK(U928)=0),Stats!$E$6,Stats!$E$5),Stats!$E$4),""))</f>
        <v>Death</v>
      </c>
      <c r="C928" s="41" t="s">
        <v>3111</v>
      </c>
      <c r="D928" s="306" t="str">
        <f>IF(B928=Stats!$E$6,Stats!$E$11,"")</f>
        <v/>
      </c>
      <c r="E928" s="89">
        <v>44721</v>
      </c>
      <c r="F928" s="89">
        <v>44741</v>
      </c>
      <c r="G928" s="327">
        <v>45163</v>
      </c>
      <c r="H928" s="313" t="s">
        <v>3139</v>
      </c>
      <c r="I928" s="34"/>
      <c r="J928" s="313" t="s">
        <v>152</v>
      </c>
      <c r="K928" s="306" t="s">
        <v>4746</v>
      </c>
      <c r="L928" s="306" t="s">
        <v>4747</v>
      </c>
      <c r="M928" s="306"/>
      <c r="N928" s="304" t="s">
        <v>3960</v>
      </c>
      <c r="O928" s="313" t="s">
        <v>51</v>
      </c>
      <c r="P928" s="328" t="s">
        <v>4112</v>
      </c>
      <c r="Q928" s="328" t="s">
        <v>4733</v>
      </c>
      <c r="R928" s="313" t="s">
        <v>243</v>
      </c>
      <c r="S928" s="313"/>
      <c r="T928" s="313"/>
      <c r="U928" s="313"/>
      <c r="V928" s="313"/>
      <c r="W928" s="313"/>
      <c r="X928" s="313"/>
      <c r="Y928" s="319"/>
    </row>
    <row r="929" spans="1:25" s="91" customFormat="1" hidden="1" x14ac:dyDescent="0.25">
      <c r="A929" s="32" t="s">
        <v>1654</v>
      </c>
      <c r="B929" s="306" t="str">
        <f>IF((COUNTBLANK(G929)=0),Stats!$E$7,IF((COUNTBLANK(E929)=0),IF((COUNTBLANK(F929)=0),IF((COUNTBLANK(U929)=0),Stats!$E$6,Stats!$E$5),Stats!$E$4),""))</f>
        <v>Death</v>
      </c>
      <c r="C929" s="41" t="s">
        <v>3111</v>
      </c>
      <c r="D929" s="306" t="str">
        <f>IF(B929=Stats!$E$6,Stats!$E$11,"")</f>
        <v/>
      </c>
      <c r="E929" s="89">
        <v>44721</v>
      </c>
      <c r="F929" s="89">
        <v>44741</v>
      </c>
      <c r="G929" s="316">
        <v>44993</v>
      </c>
      <c r="H929" s="313" t="s">
        <v>3139</v>
      </c>
      <c r="I929" s="313"/>
      <c r="J929" s="313" t="s">
        <v>152</v>
      </c>
      <c r="K929" s="306" t="s">
        <v>4746</v>
      </c>
      <c r="L929" s="306" t="s">
        <v>4747</v>
      </c>
      <c r="M929" s="306"/>
      <c r="N929" s="304" t="s">
        <v>3960</v>
      </c>
      <c r="O929" s="313" t="s">
        <v>51</v>
      </c>
      <c r="P929" s="328" t="s">
        <v>4112</v>
      </c>
      <c r="Q929" s="328" t="s">
        <v>4733</v>
      </c>
      <c r="R929" s="313" t="s">
        <v>291</v>
      </c>
      <c r="S929" s="313"/>
      <c r="T929" s="313"/>
      <c r="U929" s="313"/>
      <c r="V929" s="313"/>
      <c r="W929" s="313"/>
      <c r="X929" s="313"/>
      <c r="Y929" s="319"/>
    </row>
    <row r="930" spans="1:25" s="91" customFormat="1" hidden="1" x14ac:dyDescent="0.25">
      <c r="A930" s="32" t="s">
        <v>1655</v>
      </c>
      <c r="B930" s="315" t="str">
        <f>IF((COUNTBLANK(G930)=0),Stats!$E$7,IF((COUNTBLANK(E930)=0),IF((COUNTBLANK(F930)=0),IF((COUNTBLANK(U930)=0),Stats!$E$6,Stats!$E$5),Stats!$E$4),""))</f>
        <v>Death</v>
      </c>
      <c r="C930" s="39" t="s">
        <v>284</v>
      </c>
      <c r="D930" s="315"/>
      <c r="E930" s="88">
        <v>44733</v>
      </c>
      <c r="F930" s="316">
        <v>44746</v>
      </c>
      <c r="G930" s="316">
        <v>36893</v>
      </c>
      <c r="H930" s="317" t="s">
        <v>98</v>
      </c>
      <c r="I930" s="313"/>
      <c r="J930" s="317" t="s">
        <v>152</v>
      </c>
      <c r="K930" s="315" t="s">
        <v>4748</v>
      </c>
      <c r="L930" s="315"/>
      <c r="M930" s="317"/>
      <c r="N930" s="320" t="s">
        <v>196</v>
      </c>
      <c r="O930" s="317" t="s">
        <v>51</v>
      </c>
      <c r="P930" s="318">
        <v>400</v>
      </c>
      <c r="Q930" s="318">
        <v>500</v>
      </c>
      <c r="R930" s="317" t="s">
        <v>249</v>
      </c>
      <c r="S930" s="317"/>
      <c r="T930" s="317"/>
      <c r="U930" s="317"/>
      <c r="V930" s="81" t="s">
        <v>4749</v>
      </c>
      <c r="W930" s="317"/>
      <c r="X930" s="317"/>
      <c r="Y930" s="319"/>
    </row>
    <row r="931" spans="1:25" s="91" customFormat="1" hidden="1" x14ac:dyDescent="0.25">
      <c r="A931" s="32" t="s">
        <v>1656</v>
      </c>
      <c r="B931" s="315" t="str">
        <f>IF((COUNTBLANK(G931)=0),Stats!$E$7,IF((COUNTBLANK(E931)=0),IF((COUNTBLANK(F931)=0),IF((COUNTBLANK(U931)=0),Stats!$E$6,Stats!$E$5),Stats!$E$4),""))</f>
        <v>Death</v>
      </c>
      <c r="C931" s="39" t="s">
        <v>284</v>
      </c>
      <c r="D931" s="315"/>
      <c r="E931" s="88">
        <v>44733</v>
      </c>
      <c r="F931" s="316">
        <v>44746</v>
      </c>
      <c r="G931" s="316">
        <v>36893</v>
      </c>
      <c r="H931" s="317" t="s">
        <v>98</v>
      </c>
      <c r="I931" s="313"/>
      <c r="J931" s="317" t="s">
        <v>152</v>
      </c>
      <c r="K931" s="315" t="s">
        <v>4748</v>
      </c>
      <c r="L931" s="315"/>
      <c r="M931" s="317"/>
      <c r="N931" s="320" t="s">
        <v>196</v>
      </c>
      <c r="O931" s="317" t="s">
        <v>51</v>
      </c>
      <c r="P931" s="318">
        <v>400</v>
      </c>
      <c r="Q931" s="318">
        <v>500</v>
      </c>
      <c r="R931" s="317" t="s">
        <v>243</v>
      </c>
      <c r="S931" s="317"/>
      <c r="T931" s="317"/>
      <c r="U931" s="317"/>
      <c r="V931" s="81" t="s">
        <v>4750</v>
      </c>
      <c r="W931" s="317"/>
      <c r="X931" s="317"/>
      <c r="Y931" s="319"/>
    </row>
    <row r="932" spans="1:25" s="91" customFormat="1" hidden="1" x14ac:dyDescent="0.25">
      <c r="A932" s="32" t="s">
        <v>1657</v>
      </c>
      <c r="B932" s="315" t="str">
        <f>IF((COUNTBLANK(G932)=0),Stats!$E$7,IF((COUNTBLANK(E932)=0),IF((COUNTBLANK(F932)=0),IF((COUNTBLANK(U932)=0),Stats!$E$6,Stats!$E$5),Stats!$E$4),""))</f>
        <v>Death</v>
      </c>
      <c r="C932" s="39" t="s">
        <v>284</v>
      </c>
      <c r="D932" s="315"/>
      <c r="E932" s="88">
        <v>44733</v>
      </c>
      <c r="F932" s="316">
        <v>44746</v>
      </c>
      <c r="G932" s="316">
        <v>36893</v>
      </c>
      <c r="H932" s="317" t="s">
        <v>98</v>
      </c>
      <c r="I932" s="313"/>
      <c r="J932" s="317" t="s">
        <v>152</v>
      </c>
      <c r="K932" s="315" t="s">
        <v>4748</v>
      </c>
      <c r="L932" s="315"/>
      <c r="M932" s="317"/>
      <c r="N932" s="320" t="s">
        <v>4672</v>
      </c>
      <c r="O932" s="317" t="s">
        <v>51</v>
      </c>
      <c r="P932" s="318">
        <v>400</v>
      </c>
      <c r="Q932" s="318">
        <v>500</v>
      </c>
      <c r="R932" s="317" t="s">
        <v>291</v>
      </c>
      <c r="S932" s="317"/>
      <c r="T932" s="317"/>
      <c r="U932" s="317"/>
      <c r="V932" s="81" t="s">
        <v>4750</v>
      </c>
      <c r="W932" s="317"/>
      <c r="X932" s="317"/>
      <c r="Y932" s="319"/>
    </row>
    <row r="933" spans="1:25" s="91" customFormat="1" hidden="1" x14ac:dyDescent="0.25">
      <c r="A933" s="32" t="s">
        <v>1658</v>
      </c>
      <c r="B933" s="315" t="str">
        <f>IF((COUNTBLANK(G933)=0),Stats!$E$7,IF((COUNTBLANK(E933)=0),IF((COUNTBLANK(F933)=0),IF((COUNTBLANK(U933)=0),Stats!$E$6,Stats!$E$5),Stats!$E$4),""))</f>
        <v>Death</v>
      </c>
      <c r="C933" s="40" t="s">
        <v>284</v>
      </c>
      <c r="D933" s="306" t="str">
        <f>IF(B933=Stats!$E$6,Stats!$E$11,"")</f>
        <v/>
      </c>
      <c r="E933" s="88">
        <v>44733</v>
      </c>
      <c r="F933" s="88">
        <v>44746</v>
      </c>
      <c r="G933" s="316">
        <v>45128</v>
      </c>
      <c r="H933" s="317" t="s">
        <v>98</v>
      </c>
      <c r="I933" s="313"/>
      <c r="J933" s="325" t="s">
        <v>152</v>
      </c>
      <c r="K933" s="315" t="s">
        <v>4748</v>
      </c>
      <c r="L933" s="315"/>
      <c r="M933" s="315"/>
      <c r="N933" s="320" t="s">
        <v>4672</v>
      </c>
      <c r="O933" s="325" t="s">
        <v>51</v>
      </c>
      <c r="P933" s="326">
        <v>400</v>
      </c>
      <c r="Q933" s="326">
        <v>500</v>
      </c>
      <c r="R933" s="325" t="s">
        <v>312</v>
      </c>
      <c r="S933" s="325"/>
      <c r="T933" s="325"/>
      <c r="U933" s="325"/>
      <c r="V933" s="75" t="s">
        <v>4751</v>
      </c>
      <c r="W933" s="325"/>
      <c r="X933" s="325"/>
      <c r="Y933" s="319"/>
    </row>
    <row r="934" spans="1:25" s="91" customFormat="1" hidden="1" x14ac:dyDescent="0.25">
      <c r="A934" s="32" t="s">
        <v>1659</v>
      </c>
      <c r="B934" s="306" t="str">
        <f>IF((COUNTBLANK(G934)=0),Stats!$E$7,IF((COUNTBLANK(E934)=0),IF((COUNTBLANK(F934)=0),IF((COUNTBLANK(U934)=0),Stats!$E$6,Stats!$E$5),Stats!$E$4),""))</f>
        <v>Death</v>
      </c>
      <c r="C934" s="41" t="s">
        <v>284</v>
      </c>
      <c r="D934" s="306" t="str">
        <f>IF(B934=Stats!$E$6,Stats!$E$11,"")</f>
        <v/>
      </c>
      <c r="E934" s="89">
        <v>44736</v>
      </c>
      <c r="F934" s="89"/>
      <c r="G934" s="89">
        <v>45190</v>
      </c>
      <c r="H934" s="313" t="s">
        <v>3140</v>
      </c>
      <c r="I934" s="313"/>
      <c r="J934" s="313" t="s">
        <v>152</v>
      </c>
      <c r="K934" s="306" t="s">
        <v>4747</v>
      </c>
      <c r="L934" s="306"/>
      <c r="M934" s="306"/>
      <c r="N934" s="304"/>
      <c r="O934" s="313" t="s">
        <v>51</v>
      </c>
      <c r="P934" s="328" t="s">
        <v>4112</v>
      </c>
      <c r="Q934" s="328" t="s">
        <v>3709</v>
      </c>
      <c r="R934" s="313" t="s">
        <v>4752</v>
      </c>
      <c r="S934" s="313"/>
      <c r="T934" s="313"/>
      <c r="U934" s="313"/>
      <c r="V934" s="313"/>
      <c r="W934" s="313"/>
      <c r="X934" s="313"/>
      <c r="Y934" s="319"/>
    </row>
    <row r="935" spans="1:25" s="91" customFormat="1" hidden="1" x14ac:dyDescent="0.25">
      <c r="A935" s="32" t="s">
        <v>1660</v>
      </c>
      <c r="B935" s="306" t="str">
        <f>IF((COUNTBLANK(G935)=0),Stats!$E$7,IF((COUNTBLANK(E935)=0),IF((COUNTBLANK(F935)=0),IF((COUNTBLANK(U935)=0),Stats!$E$6,Stats!$E$5),Stats!$E$4),""))</f>
        <v>Death</v>
      </c>
      <c r="C935" s="41" t="s">
        <v>284</v>
      </c>
      <c r="D935" s="306" t="str">
        <f>IF(B935=Stats!$E$6,Stats!$E$11,"")</f>
        <v/>
      </c>
      <c r="E935" s="89">
        <v>44736</v>
      </c>
      <c r="F935" s="89"/>
      <c r="G935" s="327">
        <v>45190</v>
      </c>
      <c r="H935" s="313" t="s">
        <v>3140</v>
      </c>
      <c r="I935" s="313"/>
      <c r="J935" s="313" t="s">
        <v>152</v>
      </c>
      <c r="K935" s="306" t="s">
        <v>4747</v>
      </c>
      <c r="L935" s="306"/>
      <c r="M935" s="306"/>
      <c r="N935" s="304"/>
      <c r="O935" s="313" t="s">
        <v>51</v>
      </c>
      <c r="P935" s="328" t="s">
        <v>4112</v>
      </c>
      <c r="Q935" s="328" t="s">
        <v>3709</v>
      </c>
      <c r="R935" s="313" t="s">
        <v>4752</v>
      </c>
      <c r="S935" s="313"/>
      <c r="T935" s="313"/>
      <c r="U935" s="313"/>
      <c r="V935" s="313"/>
      <c r="W935" s="313"/>
      <c r="X935" s="313"/>
      <c r="Y935" s="319"/>
    </row>
    <row r="936" spans="1:25" s="91" customFormat="1" hidden="1" x14ac:dyDescent="0.25">
      <c r="A936" s="32" t="s">
        <v>1661</v>
      </c>
      <c r="B936" s="306" t="str">
        <f>IF((COUNTBLANK(G936)=0),Stats!$E$7,IF((COUNTBLANK(E936)=0),IF((COUNTBLANK(F936)=0),IF((COUNTBLANK(U936)=0),Stats!$E$6,Stats!$E$5),Stats!$E$4),""))</f>
        <v>Death</v>
      </c>
      <c r="C936" s="41" t="s">
        <v>284</v>
      </c>
      <c r="D936" s="306" t="str">
        <f>IF(B936=Stats!$E$6,Stats!$E$11,"")</f>
        <v/>
      </c>
      <c r="E936" s="89">
        <v>44736</v>
      </c>
      <c r="F936" s="89"/>
      <c r="G936" s="89">
        <v>45232</v>
      </c>
      <c r="H936" s="313" t="s">
        <v>3140</v>
      </c>
      <c r="I936" s="313"/>
      <c r="J936" s="313" t="s">
        <v>152</v>
      </c>
      <c r="K936" s="306" t="s">
        <v>4747</v>
      </c>
      <c r="L936" s="306"/>
      <c r="M936" s="306"/>
      <c r="N936" s="304"/>
      <c r="O936" s="313" t="s">
        <v>51</v>
      </c>
      <c r="P936" s="328" t="s">
        <v>4112</v>
      </c>
      <c r="Q936" s="328" t="s">
        <v>3709</v>
      </c>
      <c r="R936" s="313" t="s">
        <v>4752</v>
      </c>
      <c r="S936" s="313"/>
      <c r="T936" s="313"/>
      <c r="U936" s="313"/>
      <c r="V936" s="313"/>
      <c r="W936" s="313"/>
      <c r="X936" s="313"/>
      <c r="Y936" s="319"/>
    </row>
    <row r="937" spans="1:25" s="91" customFormat="1" hidden="1" x14ac:dyDescent="0.25">
      <c r="A937" s="32" t="s">
        <v>1662</v>
      </c>
      <c r="B937" s="306" t="str">
        <f>IF((COUNTBLANK(G937)=0),Stats!$E$7,IF((COUNTBLANK(E937)=0),IF((COUNTBLANK(F937)=0),IF((COUNTBLANK(U937)=0),Stats!$E$6,Stats!$E$5),Stats!$E$4),""))</f>
        <v>Death</v>
      </c>
      <c r="C937" s="41" t="s">
        <v>284</v>
      </c>
      <c r="D937" s="306" t="str">
        <f>IF(B937=Stats!$E$6,Stats!$E$11,"")</f>
        <v/>
      </c>
      <c r="E937" s="89">
        <v>44736</v>
      </c>
      <c r="F937" s="89"/>
      <c r="G937" s="89">
        <v>45232</v>
      </c>
      <c r="H937" s="313" t="s">
        <v>3140</v>
      </c>
      <c r="I937" s="313"/>
      <c r="J937" s="313" t="s">
        <v>152</v>
      </c>
      <c r="K937" s="306" t="s">
        <v>4747</v>
      </c>
      <c r="L937" s="306"/>
      <c r="M937" s="306"/>
      <c r="N937" s="304"/>
      <c r="O937" s="313" t="s">
        <v>51</v>
      </c>
      <c r="P937" s="328" t="s">
        <v>4112</v>
      </c>
      <c r="Q937" s="328" t="s">
        <v>3709</v>
      </c>
      <c r="R937" s="313" t="s">
        <v>4752</v>
      </c>
      <c r="S937" s="313"/>
      <c r="T937" s="313"/>
      <c r="U937" s="313"/>
      <c r="V937" s="313"/>
      <c r="W937" s="313"/>
      <c r="X937" s="313"/>
      <c r="Y937" s="319"/>
    </row>
    <row r="938" spans="1:25" s="91" customFormat="1" hidden="1" x14ac:dyDescent="0.25">
      <c r="A938" s="32" t="s">
        <v>1663</v>
      </c>
      <c r="B938" s="306" t="str">
        <f>IF((COUNTBLANK(G938)=0),Stats!$E$7,IF((COUNTBLANK(E938)=0),IF((COUNTBLANK(F938)=0),IF((COUNTBLANK(U938)=0),Stats!$E$6,Stats!$E$5),Stats!$E$4),""))</f>
        <v>Death</v>
      </c>
      <c r="C938" s="41" t="s">
        <v>284</v>
      </c>
      <c r="D938" s="306" t="str">
        <f>IF(B938=Stats!$E$6,Stats!$E$11,"")</f>
        <v/>
      </c>
      <c r="E938" s="89">
        <v>44736</v>
      </c>
      <c r="F938" s="89"/>
      <c r="G938" s="89">
        <v>45232</v>
      </c>
      <c r="H938" s="313" t="s">
        <v>3140</v>
      </c>
      <c r="I938" s="313"/>
      <c r="J938" s="313" t="s">
        <v>152</v>
      </c>
      <c r="K938" s="306" t="s">
        <v>4747</v>
      </c>
      <c r="L938" s="306"/>
      <c r="M938" s="306"/>
      <c r="N938" s="304"/>
      <c r="O938" s="313" t="s">
        <v>51</v>
      </c>
      <c r="P938" s="328" t="s">
        <v>4112</v>
      </c>
      <c r="Q938" s="328" t="s">
        <v>3709</v>
      </c>
      <c r="R938" s="313" t="s">
        <v>4752</v>
      </c>
      <c r="S938" s="313"/>
      <c r="T938" s="313"/>
      <c r="U938" s="313"/>
      <c r="V938" s="313"/>
      <c r="W938" s="313"/>
      <c r="X938" s="313"/>
      <c r="Y938" s="319"/>
    </row>
    <row r="939" spans="1:25" s="91" customFormat="1" hidden="1" x14ac:dyDescent="0.25">
      <c r="A939" s="32" t="s">
        <v>1664</v>
      </c>
      <c r="B939" s="306" t="str">
        <f>IF((COUNTBLANK(G939)=0),Stats!$E$7,IF((COUNTBLANK(E939)=0),IF((COUNTBLANK(F939)=0),IF((COUNTBLANK(U939)=0),Stats!$E$6,Stats!$E$5),Stats!$E$4),""))</f>
        <v>Death</v>
      </c>
      <c r="C939" s="41" t="s">
        <v>284</v>
      </c>
      <c r="D939" s="306" t="str">
        <f>IF(B939=Stats!$E$6,Stats!$E$11,"")</f>
        <v/>
      </c>
      <c r="E939" s="89">
        <v>44761</v>
      </c>
      <c r="F939" s="89"/>
      <c r="G939" s="327">
        <v>44607</v>
      </c>
      <c r="H939" s="313" t="s">
        <v>3139</v>
      </c>
      <c r="I939" s="313"/>
      <c r="J939" s="313" t="s">
        <v>152</v>
      </c>
      <c r="K939" s="306" t="s">
        <v>4747</v>
      </c>
      <c r="L939" s="306"/>
      <c r="M939" s="306"/>
      <c r="N939" s="304"/>
      <c r="O939" s="313" t="s">
        <v>51</v>
      </c>
      <c r="P939" s="328" t="s">
        <v>4112</v>
      </c>
      <c r="Q939" s="328" t="s">
        <v>4753</v>
      </c>
      <c r="R939" s="313" t="s">
        <v>4754</v>
      </c>
      <c r="S939" s="313"/>
      <c r="T939" s="313"/>
      <c r="U939" s="313"/>
      <c r="V939" s="313"/>
      <c r="W939" s="313"/>
      <c r="X939" s="313"/>
      <c r="Y939" s="319"/>
    </row>
    <row r="940" spans="1:25" s="91" customFormat="1" hidden="1" x14ac:dyDescent="0.25">
      <c r="A940" s="32" t="s">
        <v>1665</v>
      </c>
      <c r="B940" s="306" t="str">
        <f>IF((COUNTBLANK(G940)=0),Stats!$E$7,IF((COUNTBLANK(E940)=0),IF((COUNTBLANK(F940)=0),IF((COUNTBLANK(U940)=0),Stats!$E$6,Stats!$E$5),Stats!$E$4),""))</f>
        <v>Death</v>
      </c>
      <c r="C940" s="41" t="s">
        <v>284</v>
      </c>
      <c r="D940" s="306" t="str">
        <f>IF(B940=Stats!$E$6,Stats!$E$11,"")</f>
        <v/>
      </c>
      <c r="E940" s="89">
        <v>44761</v>
      </c>
      <c r="F940" s="89"/>
      <c r="G940" s="327">
        <v>44993</v>
      </c>
      <c r="H940" s="313" t="s">
        <v>3139</v>
      </c>
      <c r="I940" s="313"/>
      <c r="J940" s="313" t="s">
        <v>152</v>
      </c>
      <c r="K940" s="306" t="s">
        <v>4747</v>
      </c>
      <c r="L940" s="306"/>
      <c r="M940" s="306"/>
      <c r="N940" s="304"/>
      <c r="O940" s="313" t="s">
        <v>51</v>
      </c>
      <c r="P940" s="328" t="s">
        <v>4112</v>
      </c>
      <c r="Q940" s="328" t="s">
        <v>4753</v>
      </c>
      <c r="R940" s="313" t="s">
        <v>3659</v>
      </c>
      <c r="S940" s="313"/>
      <c r="T940" s="313"/>
      <c r="U940" s="313"/>
      <c r="V940" s="313"/>
      <c r="W940" s="313"/>
      <c r="X940" s="313"/>
      <c r="Y940" s="319"/>
    </row>
    <row r="941" spans="1:25" s="91" customFormat="1" hidden="1" x14ac:dyDescent="0.25">
      <c r="A941" s="32" t="s">
        <v>1666</v>
      </c>
      <c r="B941" s="306" t="str">
        <f>IF((COUNTBLANK(G941)=0),Stats!$E$7,IF((COUNTBLANK(E941)=0),IF((COUNTBLANK(F941)=0),IF((COUNTBLANK(U941)=0),Stats!$E$6,Stats!$E$5),Stats!$E$4),""))</f>
        <v>Death</v>
      </c>
      <c r="C941" s="41" t="s">
        <v>284</v>
      </c>
      <c r="D941" s="306" t="str">
        <f>IF(B941=Stats!$E$6,Stats!$E$11,"")</f>
        <v/>
      </c>
      <c r="E941" s="89">
        <v>44761</v>
      </c>
      <c r="F941" s="89"/>
      <c r="G941" s="327">
        <v>44993</v>
      </c>
      <c r="H941" s="313" t="s">
        <v>3139</v>
      </c>
      <c r="I941" s="313"/>
      <c r="J941" s="313" t="s">
        <v>152</v>
      </c>
      <c r="K941" s="306" t="s">
        <v>4747</v>
      </c>
      <c r="L941" s="306"/>
      <c r="M941" s="306"/>
      <c r="N941" s="304"/>
      <c r="O941" s="313" t="s">
        <v>51</v>
      </c>
      <c r="P941" s="328" t="s">
        <v>4112</v>
      </c>
      <c r="Q941" s="328" t="s">
        <v>4753</v>
      </c>
      <c r="R941" s="313" t="s">
        <v>3659</v>
      </c>
      <c r="S941" s="313"/>
      <c r="T941" s="313"/>
      <c r="U941" s="313"/>
      <c r="V941" s="313"/>
      <c r="W941" s="313"/>
      <c r="X941" s="313"/>
      <c r="Y941" s="319"/>
    </row>
    <row r="942" spans="1:25" s="91" customFormat="1" hidden="1" x14ac:dyDescent="0.25">
      <c r="A942" s="32" t="s">
        <v>1667</v>
      </c>
      <c r="B942" s="306" t="str">
        <f>IF((COUNTBLANK(G942)=0),Stats!$E$7,IF((COUNTBLANK(E942)=0),IF((COUNTBLANK(F942)=0),IF((COUNTBLANK(U942)=0),Stats!$E$6,Stats!$E$5),Stats!$E$4),""))</f>
        <v>Death</v>
      </c>
      <c r="C942" s="41" t="s">
        <v>284</v>
      </c>
      <c r="D942" s="306" t="str">
        <f>IF(B942=Stats!$E$6,Stats!$E$11,"")</f>
        <v/>
      </c>
      <c r="E942" s="89">
        <v>44761</v>
      </c>
      <c r="F942" s="89"/>
      <c r="G942" s="327">
        <v>44993</v>
      </c>
      <c r="H942" s="313" t="s">
        <v>3139</v>
      </c>
      <c r="I942" s="313"/>
      <c r="J942" s="313" t="s">
        <v>152</v>
      </c>
      <c r="K942" s="306" t="s">
        <v>4747</v>
      </c>
      <c r="L942" s="306"/>
      <c r="M942" s="306"/>
      <c r="N942" s="304"/>
      <c r="O942" s="313" t="s">
        <v>51</v>
      </c>
      <c r="P942" s="328" t="s">
        <v>4112</v>
      </c>
      <c r="Q942" s="328" t="s">
        <v>4753</v>
      </c>
      <c r="R942" s="313" t="s">
        <v>3678</v>
      </c>
      <c r="S942" s="313"/>
      <c r="T942" s="313"/>
      <c r="U942" s="313"/>
      <c r="V942" s="313"/>
      <c r="W942" s="313"/>
      <c r="X942" s="313"/>
      <c r="Y942" s="319"/>
    </row>
    <row r="943" spans="1:25" s="91" customFormat="1" hidden="1" x14ac:dyDescent="0.25">
      <c r="A943" s="32" t="s">
        <v>1668</v>
      </c>
      <c r="B943" s="315" t="str">
        <f>IF((COUNTBLANK(G943)=0),Stats!$E$7,IF((COUNTBLANK(E943)=0),IF((COUNTBLANK(F943)=0),IF((COUNTBLANK(U943)=0),Stats!$E$6,Stats!$E$5),Stats!$E$4),""))</f>
        <v>Death</v>
      </c>
      <c r="C943" s="39" t="s">
        <v>413</v>
      </c>
      <c r="D943" s="315"/>
      <c r="E943" s="88">
        <v>44768</v>
      </c>
      <c r="F943" s="316"/>
      <c r="G943" s="316">
        <v>36893</v>
      </c>
      <c r="H943" s="317" t="s">
        <v>3139</v>
      </c>
      <c r="I943" s="313"/>
      <c r="J943" s="317" t="s">
        <v>152</v>
      </c>
      <c r="K943" s="36" t="s">
        <v>4730</v>
      </c>
      <c r="L943" s="315"/>
      <c r="M943" s="317"/>
      <c r="N943" s="320"/>
      <c r="O943" s="317" t="s">
        <v>51</v>
      </c>
      <c r="P943" s="318" t="s">
        <v>4755</v>
      </c>
      <c r="Q943" s="318" t="s">
        <v>4753</v>
      </c>
      <c r="R943" s="317" t="s">
        <v>249</v>
      </c>
      <c r="S943" s="317"/>
      <c r="T943" s="317"/>
      <c r="U943" s="317"/>
      <c r="V943" s="317"/>
      <c r="W943" s="317"/>
      <c r="X943" s="317" t="s">
        <v>4756</v>
      </c>
      <c r="Y943" s="319"/>
    </row>
    <row r="944" spans="1:25" s="91" customFormat="1" hidden="1" x14ac:dyDescent="0.25">
      <c r="A944" s="32" t="s">
        <v>1669</v>
      </c>
      <c r="B944" s="306" t="str">
        <f>IF((COUNTBLANK(G944)=0),Stats!$E$7,IF((COUNTBLANK(E944)=0),IF((COUNTBLANK(F944)=0),IF((COUNTBLANK(U944)=0),Stats!$E$6,Stats!$E$5),Stats!$E$4),""))</f>
        <v>Death</v>
      </c>
      <c r="C944" s="41" t="s">
        <v>413</v>
      </c>
      <c r="D944" s="306" t="str">
        <f>IF(B944=Stats!$E$6,Stats!$E$11,"")</f>
        <v/>
      </c>
      <c r="E944" s="89">
        <v>44768</v>
      </c>
      <c r="F944" s="89"/>
      <c r="G944" s="327">
        <v>44993</v>
      </c>
      <c r="H944" s="313" t="s">
        <v>3139</v>
      </c>
      <c r="I944" s="313"/>
      <c r="J944" s="313" t="s">
        <v>152</v>
      </c>
      <c r="K944" s="36" t="s">
        <v>4730</v>
      </c>
      <c r="L944" s="306"/>
      <c r="M944" s="306"/>
      <c r="N944" s="304"/>
      <c r="O944" s="313" t="s">
        <v>51</v>
      </c>
      <c r="P944" s="328" t="s">
        <v>4755</v>
      </c>
      <c r="Q944" s="328" t="s">
        <v>4753</v>
      </c>
      <c r="R944" s="313" t="s">
        <v>243</v>
      </c>
      <c r="S944" s="313"/>
      <c r="T944" s="313"/>
      <c r="U944" s="313"/>
      <c r="V944" s="313"/>
      <c r="W944" s="313"/>
      <c r="X944" s="313"/>
      <c r="Y944" s="319"/>
    </row>
    <row r="945" spans="1:25" s="91" customFormat="1" hidden="1" x14ac:dyDescent="0.25">
      <c r="A945" s="32" t="s">
        <v>1670</v>
      </c>
      <c r="B945" s="315" t="str">
        <f>IF((COUNTBLANK(G945)=0),Stats!$E$7,IF((COUNTBLANK(E945)=0),IF((COUNTBLANK(F945)=0),IF((COUNTBLANK(U945)=0),Stats!$E$6,Stats!$E$5),Stats!$E$4),""))</f>
        <v>Death</v>
      </c>
      <c r="C945" s="39" t="s">
        <v>413</v>
      </c>
      <c r="D945" s="315"/>
      <c r="E945" s="88">
        <v>44768</v>
      </c>
      <c r="F945" s="316"/>
      <c r="G945" s="316">
        <v>36893</v>
      </c>
      <c r="H945" s="317" t="s">
        <v>3139</v>
      </c>
      <c r="I945" s="313"/>
      <c r="J945" s="317" t="s">
        <v>152</v>
      </c>
      <c r="K945" s="36" t="s">
        <v>4730</v>
      </c>
      <c r="L945" s="315"/>
      <c r="M945" s="317"/>
      <c r="N945" s="320"/>
      <c r="O945" s="317" t="s">
        <v>51</v>
      </c>
      <c r="P945" s="318" t="s">
        <v>4755</v>
      </c>
      <c r="Q945" s="318" t="s">
        <v>4753</v>
      </c>
      <c r="R945" s="317" t="s">
        <v>291</v>
      </c>
      <c r="S945" s="317"/>
      <c r="T945" s="317"/>
      <c r="U945" s="317"/>
      <c r="V945" s="317"/>
      <c r="W945" s="317"/>
      <c r="X945" s="317" t="s">
        <v>4756</v>
      </c>
      <c r="Y945" s="319"/>
    </row>
    <row r="946" spans="1:25" s="91" customFormat="1" hidden="1" x14ac:dyDescent="0.25">
      <c r="A946" s="32" t="s">
        <v>1671</v>
      </c>
      <c r="B946" s="306" t="str">
        <f>IF((COUNTBLANK(G946)=0),Stats!$E$7,IF((COUNTBLANK(E946)=0),IF((COUNTBLANK(F946)=0),IF((COUNTBLANK(U946)=0),Stats!$E$6,Stats!$E$5),Stats!$E$4),""))</f>
        <v>Death</v>
      </c>
      <c r="C946" s="41" t="s">
        <v>413</v>
      </c>
      <c r="D946" s="306" t="str">
        <f>IF(B946=Stats!$E$6,Stats!$E$11,"")</f>
        <v/>
      </c>
      <c r="E946" s="89">
        <v>44768</v>
      </c>
      <c r="F946" s="89"/>
      <c r="G946" s="327">
        <v>44993</v>
      </c>
      <c r="H946" s="313" t="s">
        <v>3139</v>
      </c>
      <c r="I946" s="313"/>
      <c r="J946" s="313" t="s">
        <v>152</v>
      </c>
      <c r="K946" s="36" t="s">
        <v>4730</v>
      </c>
      <c r="L946" s="306"/>
      <c r="M946" s="306"/>
      <c r="N946" s="304"/>
      <c r="O946" s="313" t="s">
        <v>51</v>
      </c>
      <c r="P946" s="328" t="s">
        <v>4755</v>
      </c>
      <c r="Q946" s="328" t="s">
        <v>4753</v>
      </c>
      <c r="R946" s="313" t="s">
        <v>279</v>
      </c>
      <c r="S946" s="313"/>
      <c r="T946" s="313"/>
      <c r="U946" s="313"/>
      <c r="V946" s="313"/>
      <c r="W946" s="313"/>
      <c r="X946" s="313"/>
      <c r="Y946" s="319"/>
    </row>
    <row r="947" spans="1:25" s="91" customFormat="1" hidden="1" x14ac:dyDescent="0.25">
      <c r="A947" s="32" t="s">
        <v>1672</v>
      </c>
      <c r="B947" s="315" t="str">
        <f>IF((COUNTBLANK(G947)=0),Stats!$E$7,IF((COUNTBLANK(E947)=0),IF((COUNTBLANK(F947)=0),IF((COUNTBLANK(U947)=0),Stats!$E$6,Stats!$E$5),Stats!$E$4),""))</f>
        <v>Death</v>
      </c>
      <c r="C947" s="39" t="s">
        <v>413</v>
      </c>
      <c r="D947" s="315"/>
      <c r="E947" s="88">
        <v>44769</v>
      </c>
      <c r="F947" s="316"/>
      <c r="G947" s="316">
        <v>36893</v>
      </c>
      <c r="H947" s="317" t="s">
        <v>3139</v>
      </c>
      <c r="I947" s="313"/>
      <c r="J947" s="317" t="s">
        <v>152</v>
      </c>
      <c r="K947" s="36" t="s">
        <v>4730</v>
      </c>
      <c r="L947" s="315"/>
      <c r="M947" s="317"/>
      <c r="N947" s="320"/>
      <c r="O947" s="317" t="s">
        <v>51</v>
      </c>
      <c r="P947" s="318" t="s">
        <v>4755</v>
      </c>
      <c r="Q947" s="318" t="s">
        <v>4753</v>
      </c>
      <c r="R947" s="317" t="s">
        <v>249</v>
      </c>
      <c r="S947" s="317"/>
      <c r="T947" s="317"/>
      <c r="U947" s="317"/>
      <c r="V947" s="317"/>
      <c r="W947" s="317"/>
      <c r="X947" s="317"/>
      <c r="Y947" s="319"/>
    </row>
    <row r="948" spans="1:25" s="91" customFormat="1" hidden="1" x14ac:dyDescent="0.25">
      <c r="A948" s="32" t="s">
        <v>1673</v>
      </c>
      <c r="B948" s="315" t="str">
        <f>IF((COUNTBLANK(G948)=0),Stats!$E$7,IF((COUNTBLANK(E948)=0),IF((COUNTBLANK(F948)=0),IF((COUNTBLANK(U948)=0),Stats!$E$6,Stats!$E$5),Stats!$E$4),""))</f>
        <v>Death</v>
      </c>
      <c r="C948" s="39" t="s">
        <v>413</v>
      </c>
      <c r="D948" s="315"/>
      <c r="E948" s="88">
        <v>44769</v>
      </c>
      <c r="F948" s="316"/>
      <c r="G948" s="316">
        <v>36893</v>
      </c>
      <c r="H948" s="317" t="s">
        <v>3139</v>
      </c>
      <c r="I948" s="313"/>
      <c r="J948" s="317" t="s">
        <v>152</v>
      </c>
      <c r="K948" s="36" t="s">
        <v>4730</v>
      </c>
      <c r="L948" s="315"/>
      <c r="M948" s="317"/>
      <c r="N948" s="320"/>
      <c r="O948" s="317" t="s">
        <v>51</v>
      </c>
      <c r="P948" s="318" t="s">
        <v>4755</v>
      </c>
      <c r="Q948" s="318" t="s">
        <v>4753</v>
      </c>
      <c r="R948" s="317" t="s">
        <v>243</v>
      </c>
      <c r="S948" s="317"/>
      <c r="T948" s="317"/>
      <c r="U948" s="317"/>
      <c r="V948" s="317"/>
      <c r="W948" s="317"/>
      <c r="X948" s="317"/>
      <c r="Y948" s="319"/>
    </row>
    <row r="949" spans="1:25" s="91" customFormat="1" hidden="1" x14ac:dyDescent="0.25">
      <c r="A949" s="32" t="s">
        <v>1674</v>
      </c>
      <c r="B949" s="315" t="str">
        <f>IF((COUNTBLANK(G949)=0),Stats!$E$7,IF((COUNTBLANK(E949)=0),IF((COUNTBLANK(F949)=0),IF((COUNTBLANK(U949)=0),Stats!$E$6,Stats!$E$5),Stats!$E$4),""))</f>
        <v>Death</v>
      </c>
      <c r="C949" s="39" t="s">
        <v>413</v>
      </c>
      <c r="D949" s="315"/>
      <c r="E949" s="88">
        <v>44769</v>
      </c>
      <c r="F949" s="316"/>
      <c r="G949" s="316">
        <v>36893</v>
      </c>
      <c r="H949" s="317" t="s">
        <v>3139</v>
      </c>
      <c r="I949" s="313"/>
      <c r="J949" s="317" t="s">
        <v>152</v>
      </c>
      <c r="K949" s="36" t="s">
        <v>4730</v>
      </c>
      <c r="L949" s="315"/>
      <c r="M949" s="317"/>
      <c r="N949" s="320"/>
      <c r="O949" s="317" t="s">
        <v>51</v>
      </c>
      <c r="P949" s="318" t="s">
        <v>4755</v>
      </c>
      <c r="Q949" s="318" t="s">
        <v>4753</v>
      </c>
      <c r="R949" s="317" t="s">
        <v>291</v>
      </c>
      <c r="S949" s="317"/>
      <c r="T949" s="317"/>
      <c r="U949" s="317"/>
      <c r="V949" s="317"/>
      <c r="W949" s="317"/>
      <c r="X949" s="317"/>
      <c r="Y949" s="319"/>
    </row>
    <row r="950" spans="1:25" s="91" customFormat="1" ht="15" hidden="1" customHeight="1" x14ac:dyDescent="0.25">
      <c r="A950" s="32" t="s">
        <v>1675</v>
      </c>
      <c r="B950" s="315" t="str">
        <f>IF((COUNTBLANK(G950)=0),Stats!$E$7,IF((COUNTBLANK(E950)=0),IF((COUNTBLANK(F950)=0),IF((COUNTBLANK(U950)=0),Stats!$E$6,Stats!$E$5),Stats!$E$4),""))</f>
        <v>Death</v>
      </c>
      <c r="C950" s="39" t="s">
        <v>413</v>
      </c>
      <c r="D950" s="315"/>
      <c r="E950" s="88">
        <v>44769</v>
      </c>
      <c r="F950" s="316"/>
      <c r="G950" s="316">
        <v>36893</v>
      </c>
      <c r="H950" s="317" t="s">
        <v>3118</v>
      </c>
      <c r="I950" s="313"/>
      <c r="J950" s="317" t="s">
        <v>152</v>
      </c>
      <c r="K950" s="36" t="s">
        <v>4730</v>
      </c>
      <c r="L950" s="315"/>
      <c r="M950" s="317"/>
      <c r="N950" s="320"/>
      <c r="O950" s="317" t="s">
        <v>51</v>
      </c>
      <c r="P950" s="318" t="s">
        <v>4755</v>
      </c>
      <c r="Q950" s="318" t="s">
        <v>4753</v>
      </c>
      <c r="R950" s="317" t="s">
        <v>279</v>
      </c>
      <c r="S950" s="317"/>
      <c r="T950" s="317"/>
      <c r="U950" s="317"/>
      <c r="V950" s="317"/>
      <c r="W950" s="317"/>
      <c r="X950" s="317"/>
      <c r="Y950" s="319"/>
    </row>
    <row r="951" spans="1:25" s="91" customFormat="1" hidden="1" x14ac:dyDescent="0.25">
      <c r="A951" s="32" t="s">
        <v>1676</v>
      </c>
      <c r="B951" s="306" t="str">
        <f>IF((COUNTBLANK(G951)=0),Stats!$E$7,IF((COUNTBLANK(E951)=0),IF((COUNTBLANK(F951)=0),IF((COUNTBLANK(U951)=0),Stats!$E$6,Stats!$E$5),Stats!$E$4),""))</f>
        <v>Death</v>
      </c>
      <c r="C951" s="41" t="s">
        <v>413</v>
      </c>
      <c r="D951" s="306" t="str">
        <f>IF(B951=Stats!$E$6,Stats!$E$11,"")</f>
        <v/>
      </c>
      <c r="E951" s="89">
        <v>44770</v>
      </c>
      <c r="F951" s="89">
        <v>44958</v>
      </c>
      <c r="G951" s="316">
        <v>45229</v>
      </c>
      <c r="H951" s="313" t="s">
        <v>3139</v>
      </c>
      <c r="I951" s="313"/>
      <c r="J951" s="313" t="s">
        <v>152</v>
      </c>
      <c r="K951" s="36" t="s">
        <v>4730</v>
      </c>
      <c r="L951" s="306"/>
      <c r="M951" s="306"/>
      <c r="N951" s="304"/>
      <c r="O951" s="313" t="s">
        <v>51</v>
      </c>
      <c r="P951" s="328" t="s">
        <v>4755</v>
      </c>
      <c r="Q951" s="328" t="s">
        <v>4753</v>
      </c>
      <c r="R951" s="313" t="s">
        <v>279</v>
      </c>
      <c r="S951" s="313"/>
      <c r="T951" s="313"/>
      <c r="U951" s="313"/>
      <c r="V951" s="313"/>
      <c r="W951" s="313"/>
      <c r="X951" s="313"/>
      <c r="Y951" s="319"/>
    </row>
    <row r="952" spans="1:25" s="91" customFormat="1" hidden="1" x14ac:dyDescent="0.25">
      <c r="A952" s="32" t="s">
        <v>1677</v>
      </c>
      <c r="B952" s="306" t="str">
        <f>IF((COUNTBLANK(G952)=0),Stats!$E$7,IF((COUNTBLANK(E952)=0),IF((COUNTBLANK(F952)=0),IF((COUNTBLANK(U952)=0),Stats!$E$6,Stats!$E$5),Stats!$E$4),""))</f>
        <v>Death</v>
      </c>
      <c r="C952" s="41" t="s">
        <v>413</v>
      </c>
      <c r="D952" s="306" t="str">
        <f>IF(B952=Stats!$E$6,Stats!$E$11,"")</f>
        <v/>
      </c>
      <c r="E952" s="89">
        <v>44770</v>
      </c>
      <c r="F952" s="89"/>
      <c r="G952" s="327">
        <v>45101</v>
      </c>
      <c r="H952" s="313" t="s">
        <v>3139</v>
      </c>
      <c r="I952" s="313"/>
      <c r="J952" s="313" t="s">
        <v>152</v>
      </c>
      <c r="K952" s="36" t="s">
        <v>4730</v>
      </c>
      <c r="L952" s="306"/>
      <c r="M952" s="306"/>
      <c r="N952" s="304"/>
      <c r="O952" s="313" t="s">
        <v>51</v>
      </c>
      <c r="P952" s="328" t="s">
        <v>4755</v>
      </c>
      <c r="Q952" s="328" t="s">
        <v>4753</v>
      </c>
      <c r="R952" s="313" t="s">
        <v>249</v>
      </c>
      <c r="S952" s="313"/>
      <c r="T952" s="313"/>
      <c r="U952" s="313"/>
      <c r="V952" s="313"/>
      <c r="W952" s="313"/>
      <c r="X952" s="313"/>
      <c r="Y952" s="319"/>
    </row>
    <row r="953" spans="1:25" s="91" customFormat="1" hidden="1" x14ac:dyDescent="0.25">
      <c r="A953" s="32" t="s">
        <v>1678</v>
      </c>
      <c r="B953" s="306" t="str">
        <f>IF((COUNTBLANK(G953)=0),Stats!$E$7,IF((COUNTBLANK(E953)=0),IF((COUNTBLANK(F953)=0),IF((COUNTBLANK(U953)=0),Stats!$E$6,Stats!$E$5),Stats!$E$4),""))</f>
        <v>Death</v>
      </c>
      <c r="C953" s="41" t="s">
        <v>413</v>
      </c>
      <c r="D953" s="306" t="str">
        <f>IF(B953=Stats!$E$6,Stats!$E$11,"")</f>
        <v/>
      </c>
      <c r="E953" s="89">
        <v>44770</v>
      </c>
      <c r="F953" s="89">
        <v>44958</v>
      </c>
      <c r="G953" s="327">
        <v>45299</v>
      </c>
      <c r="H953" s="313" t="s">
        <v>3139</v>
      </c>
      <c r="I953" s="313"/>
      <c r="J953" s="313" t="s">
        <v>152</v>
      </c>
      <c r="K953" s="36" t="s">
        <v>4730</v>
      </c>
      <c r="L953" s="306"/>
      <c r="M953" s="306"/>
      <c r="N953" s="304"/>
      <c r="O953" s="313" t="s">
        <v>51</v>
      </c>
      <c r="P953" s="328" t="s">
        <v>4755</v>
      </c>
      <c r="Q953" s="328" t="s">
        <v>4753</v>
      </c>
      <c r="R953" s="313" t="s">
        <v>243</v>
      </c>
      <c r="S953" s="313"/>
      <c r="T953" s="313"/>
      <c r="U953" s="313"/>
      <c r="V953" s="313"/>
      <c r="W953" s="313"/>
      <c r="X953" s="313"/>
      <c r="Y953" s="319"/>
    </row>
    <row r="954" spans="1:25" s="91" customFormat="1" hidden="1" x14ac:dyDescent="0.25">
      <c r="A954" s="32" t="s">
        <v>1679</v>
      </c>
      <c r="B954" s="306" t="str">
        <f>IF((COUNTBLANK(G954)=0),Stats!$E$7,IF((COUNTBLANK(E954)=0),IF((COUNTBLANK(F954)=0),IF((COUNTBLANK(U954)=0),Stats!$E$6,Stats!$E$5),Stats!$E$4),""))</f>
        <v>Death</v>
      </c>
      <c r="C954" s="41" t="s">
        <v>413</v>
      </c>
      <c r="D954" s="306" t="str">
        <f>IF(B954=Stats!$E$6,Stats!$E$11,"")</f>
        <v/>
      </c>
      <c r="E954" s="89">
        <v>44770</v>
      </c>
      <c r="F954" s="89">
        <v>44965</v>
      </c>
      <c r="G954" s="316">
        <v>45229</v>
      </c>
      <c r="H954" s="313" t="s">
        <v>3139</v>
      </c>
      <c r="I954" s="313"/>
      <c r="J954" s="313" t="s">
        <v>152</v>
      </c>
      <c r="K954" s="36" t="s">
        <v>4730</v>
      </c>
      <c r="L954" s="306"/>
      <c r="M954" s="306"/>
      <c r="N954" s="304"/>
      <c r="O954" s="313" t="s">
        <v>51</v>
      </c>
      <c r="P954" s="328" t="s">
        <v>4755</v>
      </c>
      <c r="Q954" s="328" t="s">
        <v>4753</v>
      </c>
      <c r="R954" s="313" t="s">
        <v>291</v>
      </c>
      <c r="S954" s="313"/>
      <c r="T954" s="313"/>
      <c r="U954" s="313"/>
      <c r="V954" s="313"/>
      <c r="W954" s="313"/>
      <c r="X954" s="313"/>
      <c r="Y954" s="319"/>
    </row>
    <row r="955" spans="1:25" s="91" customFormat="1" hidden="1" x14ac:dyDescent="0.25">
      <c r="A955" s="32" t="s">
        <v>1680</v>
      </c>
      <c r="B955" s="315" t="str">
        <f>IF((COUNTBLANK(G955)=0),Stats!$E$7,IF((COUNTBLANK(E955)=0),IF((COUNTBLANK(F955)=0),IF((COUNTBLANK(U955)=0),Stats!$E$6,Stats!$E$5),Stats!$E$4),""))</f>
        <v>Death</v>
      </c>
      <c r="C955" s="39" t="s">
        <v>413</v>
      </c>
      <c r="D955" s="315"/>
      <c r="E955" s="88">
        <v>44768</v>
      </c>
      <c r="F955" s="316"/>
      <c r="G955" s="316">
        <v>36893</v>
      </c>
      <c r="H955" s="317" t="s">
        <v>3118</v>
      </c>
      <c r="I955" s="313"/>
      <c r="J955" s="317" t="s">
        <v>152</v>
      </c>
      <c r="K955" s="36" t="s">
        <v>4730</v>
      </c>
      <c r="L955" s="315"/>
      <c r="M955" s="317"/>
      <c r="N955" s="320"/>
      <c r="O955" s="317" t="s">
        <v>51</v>
      </c>
      <c r="P955" s="318" t="s">
        <v>4755</v>
      </c>
      <c r="Q955" s="318" t="s">
        <v>4757</v>
      </c>
      <c r="R955" s="317" t="s">
        <v>243</v>
      </c>
      <c r="S955" s="317"/>
      <c r="T955" s="317"/>
      <c r="U955" s="317"/>
      <c r="V955" s="317"/>
      <c r="W955" s="317"/>
      <c r="X955" s="317" t="s">
        <v>4756</v>
      </c>
      <c r="Y955" s="319"/>
    </row>
    <row r="956" spans="1:25" s="91" customFormat="1" hidden="1" x14ac:dyDescent="0.25">
      <c r="A956" s="32" t="s">
        <v>1681</v>
      </c>
      <c r="B956" s="315" t="str">
        <f>IF((COUNTBLANK(G956)=0),Stats!$E$7,IF((COUNTBLANK(E956)=0),IF((COUNTBLANK(F956)=0),IF((COUNTBLANK(U956)=0),Stats!$E$6,Stats!$E$5),Stats!$E$4),""))</f>
        <v>Death</v>
      </c>
      <c r="C956" s="39" t="s">
        <v>413</v>
      </c>
      <c r="D956" s="315"/>
      <c r="E956" s="88">
        <v>44768</v>
      </c>
      <c r="F956" s="316"/>
      <c r="G956" s="316">
        <v>36893</v>
      </c>
      <c r="H956" s="317" t="s">
        <v>3118</v>
      </c>
      <c r="I956" s="313"/>
      <c r="J956" s="317" t="s">
        <v>152</v>
      </c>
      <c r="K956" s="36" t="s">
        <v>4730</v>
      </c>
      <c r="L956" s="315"/>
      <c r="M956" s="317"/>
      <c r="N956" s="320"/>
      <c r="O956" s="317" t="s">
        <v>51</v>
      </c>
      <c r="P956" s="318" t="s">
        <v>4755</v>
      </c>
      <c r="Q956" s="318" t="s">
        <v>4757</v>
      </c>
      <c r="R956" s="317" t="s">
        <v>249</v>
      </c>
      <c r="S956" s="317"/>
      <c r="T956" s="317"/>
      <c r="U956" s="317"/>
      <c r="V956" s="317"/>
      <c r="W956" s="317"/>
      <c r="X956" s="317" t="s">
        <v>4756</v>
      </c>
      <c r="Y956" s="319"/>
    </row>
    <row r="957" spans="1:25" s="91" customFormat="1" hidden="1" x14ac:dyDescent="0.25">
      <c r="A957" s="32" t="s">
        <v>1682</v>
      </c>
      <c r="B957" s="315" t="str">
        <f>IF((COUNTBLANK(G957)=0),Stats!$E$7,IF((COUNTBLANK(E957)=0),IF((COUNTBLANK(F957)=0),IF((COUNTBLANK(U957)=0),Stats!$E$6,Stats!$E$5),Stats!$E$4),""))</f>
        <v>Death</v>
      </c>
      <c r="C957" s="39" t="s">
        <v>413</v>
      </c>
      <c r="D957" s="315"/>
      <c r="E957" s="88">
        <v>44769</v>
      </c>
      <c r="F957" s="316"/>
      <c r="G957" s="316">
        <v>36893</v>
      </c>
      <c r="H957" s="317" t="s">
        <v>3118</v>
      </c>
      <c r="I957" s="313"/>
      <c r="J957" s="317" t="s">
        <v>152</v>
      </c>
      <c r="K957" s="36" t="s">
        <v>4730</v>
      </c>
      <c r="L957" s="315"/>
      <c r="M957" s="317"/>
      <c r="N957" s="320"/>
      <c r="O957" s="317" t="s">
        <v>51</v>
      </c>
      <c r="P957" s="318" t="s">
        <v>4755</v>
      </c>
      <c r="Q957" s="318" t="s">
        <v>4753</v>
      </c>
      <c r="R957" s="317" t="s">
        <v>291</v>
      </c>
      <c r="S957" s="317"/>
      <c r="T957" s="317"/>
      <c r="U957" s="317"/>
      <c r="V957" s="317"/>
      <c r="W957" s="317"/>
      <c r="X957" s="317"/>
      <c r="Y957" s="319"/>
    </row>
    <row r="958" spans="1:25" s="91" customFormat="1" hidden="1" x14ac:dyDescent="0.25">
      <c r="A958" s="32" t="s">
        <v>1683</v>
      </c>
      <c r="B958" s="315" t="str">
        <f>IF((COUNTBLANK(G958)=0),Stats!$E$7,IF((COUNTBLANK(E958)=0),IF((COUNTBLANK(F958)=0),IF((COUNTBLANK(U958)=0),Stats!$E$6,Stats!$E$5),Stats!$E$4),""))</f>
        <v>Death</v>
      </c>
      <c r="C958" s="39" t="s">
        <v>413</v>
      </c>
      <c r="D958" s="315"/>
      <c r="E958" s="88">
        <v>44769</v>
      </c>
      <c r="F958" s="316"/>
      <c r="G958" s="316">
        <v>36893</v>
      </c>
      <c r="H958" s="317" t="s">
        <v>3118</v>
      </c>
      <c r="I958" s="313"/>
      <c r="J958" s="317" t="s">
        <v>152</v>
      </c>
      <c r="K958" s="36" t="s">
        <v>4730</v>
      </c>
      <c r="L958" s="315"/>
      <c r="M958" s="317"/>
      <c r="N958" s="320"/>
      <c r="O958" s="317" t="s">
        <v>51</v>
      </c>
      <c r="P958" s="318" t="s">
        <v>4755</v>
      </c>
      <c r="Q958" s="318" t="s">
        <v>4753</v>
      </c>
      <c r="R958" s="317" t="s">
        <v>279</v>
      </c>
      <c r="S958" s="317"/>
      <c r="T958" s="317"/>
      <c r="U958" s="317"/>
      <c r="V958" s="317"/>
      <c r="W958" s="317"/>
      <c r="X958" s="317"/>
      <c r="Y958" s="319"/>
    </row>
    <row r="959" spans="1:25" s="91" customFormat="1" hidden="1" x14ac:dyDescent="0.25">
      <c r="A959" s="32" t="s">
        <v>1684</v>
      </c>
      <c r="B959" s="306" t="str">
        <f>IF((COUNTBLANK(G959)=0),Stats!$E$7,IF((COUNTBLANK(E959)=0),IF((COUNTBLANK(F959)=0),IF((COUNTBLANK(U959)=0),Stats!$E$6,Stats!$E$5),Stats!$E$4),""))</f>
        <v>Death</v>
      </c>
      <c r="C959" s="41" t="s">
        <v>413</v>
      </c>
      <c r="D959" s="306" t="str">
        <f>IF(B959=Stats!$E$6,Stats!$E$11,"")</f>
        <v/>
      </c>
      <c r="E959" s="89">
        <v>44770</v>
      </c>
      <c r="F959" s="89"/>
      <c r="G959" s="327">
        <v>44993</v>
      </c>
      <c r="H959" s="313" t="s">
        <v>3118</v>
      </c>
      <c r="I959" s="313"/>
      <c r="J959" s="313" t="s">
        <v>152</v>
      </c>
      <c r="K959" s="36" t="s">
        <v>4730</v>
      </c>
      <c r="L959" s="306"/>
      <c r="M959" s="306"/>
      <c r="N959" s="304"/>
      <c r="O959" s="313" t="s">
        <v>51</v>
      </c>
      <c r="P959" s="328" t="s">
        <v>4755</v>
      </c>
      <c r="Q959" s="328" t="s">
        <v>4753</v>
      </c>
      <c r="R959" s="313" t="s">
        <v>279</v>
      </c>
      <c r="S959" s="313"/>
      <c r="T959" s="313"/>
      <c r="U959" s="313"/>
      <c r="V959" s="313"/>
      <c r="W959" s="313"/>
      <c r="X959" s="313"/>
      <c r="Y959" s="319"/>
    </row>
    <row r="960" spans="1:25" s="91" customFormat="1" hidden="1" x14ac:dyDescent="0.25">
      <c r="A960" s="32" t="s">
        <v>1685</v>
      </c>
      <c r="B960" s="315" t="str">
        <f>IF((COUNTBLANK(G960)=0),Stats!$E$7,IF((COUNTBLANK(E960)=0),IF((COUNTBLANK(F960)=0),IF((COUNTBLANK(U960)=0),Stats!$E$6,Stats!$E$5),Stats!$E$4),""))</f>
        <v>Death</v>
      </c>
      <c r="C960" s="39" t="s">
        <v>413</v>
      </c>
      <c r="D960" s="315"/>
      <c r="E960" s="88">
        <v>44770</v>
      </c>
      <c r="F960" s="316"/>
      <c r="G960" s="316">
        <v>36893</v>
      </c>
      <c r="H960" s="317" t="s">
        <v>3118</v>
      </c>
      <c r="I960" s="313"/>
      <c r="J960" s="317" t="s">
        <v>152</v>
      </c>
      <c r="K960" s="36" t="s">
        <v>4730</v>
      </c>
      <c r="L960" s="315"/>
      <c r="M960" s="317"/>
      <c r="N960" s="320"/>
      <c r="O960" s="317" t="s">
        <v>51</v>
      </c>
      <c r="P960" s="318" t="s">
        <v>4755</v>
      </c>
      <c r="Q960" s="318" t="s">
        <v>4753</v>
      </c>
      <c r="R960" s="317" t="s">
        <v>243</v>
      </c>
      <c r="S960" s="317"/>
      <c r="T960" s="317"/>
      <c r="U960" s="317"/>
      <c r="V960" s="317"/>
      <c r="W960" s="317"/>
      <c r="X960" s="317"/>
      <c r="Y960" s="319"/>
    </row>
    <row r="961" spans="1:25" s="94" customFormat="1" hidden="1" x14ac:dyDescent="0.25">
      <c r="A961" s="33" t="s">
        <v>1686</v>
      </c>
      <c r="B961" s="332" t="s">
        <v>3056</v>
      </c>
      <c r="C961" s="44" t="s">
        <v>413</v>
      </c>
      <c r="D961" s="332" t="str">
        <f>IF(B961=Stats!$E$6,Stats!$E$11,"")</f>
        <v/>
      </c>
      <c r="E961" s="90">
        <v>44770</v>
      </c>
      <c r="F961" s="90"/>
      <c r="G961" s="342">
        <v>45639</v>
      </c>
      <c r="H961" s="338" t="s">
        <v>3118</v>
      </c>
      <c r="I961" s="338"/>
      <c r="J961" s="338" t="s">
        <v>152</v>
      </c>
      <c r="K961" s="59" t="s">
        <v>4730</v>
      </c>
      <c r="L961" s="332"/>
      <c r="M961" s="332"/>
      <c r="N961" s="339"/>
      <c r="O961" s="338" t="s">
        <v>51</v>
      </c>
      <c r="P961" s="340" t="s">
        <v>4755</v>
      </c>
      <c r="Q961" s="340" t="s">
        <v>4753</v>
      </c>
      <c r="R961" s="338" t="s">
        <v>249</v>
      </c>
      <c r="S961" s="338"/>
      <c r="T961" s="338"/>
      <c r="U961" s="338"/>
      <c r="V961" s="338"/>
      <c r="W961" s="338"/>
      <c r="X961" s="338"/>
      <c r="Y961" s="341"/>
    </row>
    <row r="962" spans="1:25" s="91" customFormat="1" hidden="1" x14ac:dyDescent="0.25">
      <c r="A962" s="32" t="s">
        <v>1687</v>
      </c>
      <c r="B962" s="306" t="str">
        <f>IF((COUNTBLANK(G962)=0),Stats!$E$7,IF((COUNTBLANK(E962)=0),IF((COUNTBLANK(F962)=0),IF((COUNTBLANK(U962)=0),Stats!$E$6,Stats!$E$5),Stats!$E$4),""))</f>
        <v>Death</v>
      </c>
      <c r="C962" s="41" t="s">
        <v>413</v>
      </c>
      <c r="D962" s="306" t="str">
        <f>IF(B962=Stats!$E$6,Stats!$E$11,"")</f>
        <v/>
      </c>
      <c r="E962" s="89">
        <v>44770</v>
      </c>
      <c r="F962" s="89"/>
      <c r="G962" s="327">
        <v>44993</v>
      </c>
      <c r="H962" s="313" t="s">
        <v>3118</v>
      </c>
      <c r="I962" s="313"/>
      <c r="J962" s="313" t="s">
        <v>152</v>
      </c>
      <c r="K962" s="36" t="s">
        <v>4730</v>
      </c>
      <c r="L962" s="306"/>
      <c r="M962" s="306"/>
      <c r="N962" s="304"/>
      <c r="O962" s="313" t="s">
        <v>51</v>
      </c>
      <c r="P962" s="328" t="s">
        <v>4755</v>
      </c>
      <c r="Q962" s="328" t="s">
        <v>4753</v>
      </c>
      <c r="R962" s="313" t="s">
        <v>291</v>
      </c>
      <c r="S962" s="313"/>
      <c r="T962" s="313"/>
      <c r="U962" s="313"/>
      <c r="V962" s="313"/>
      <c r="W962" s="313"/>
      <c r="X962" s="313"/>
      <c r="Y962" s="319"/>
    </row>
    <row r="963" spans="1:25" s="91" customFormat="1" hidden="1" x14ac:dyDescent="0.25">
      <c r="A963" s="32" t="s">
        <v>1688</v>
      </c>
      <c r="B963" s="315" t="str">
        <f>IF((COUNTBLANK(G963)=0),Stats!$E$7,IF((COUNTBLANK(E963)=0),IF((COUNTBLANK(F963)=0),IF((COUNTBLANK(U963)=0),Stats!$E$6,Stats!$E$5),Stats!$E$4),""))</f>
        <v>Death</v>
      </c>
      <c r="C963" s="40" t="s">
        <v>284</v>
      </c>
      <c r="D963" s="306" t="s">
        <v>325</v>
      </c>
      <c r="E963" s="88">
        <v>44774</v>
      </c>
      <c r="F963" s="88">
        <v>44781</v>
      </c>
      <c r="G963" s="316">
        <v>44869</v>
      </c>
      <c r="H963" s="317" t="s">
        <v>98</v>
      </c>
      <c r="I963" s="313"/>
      <c r="J963" s="325" t="s">
        <v>152</v>
      </c>
      <c r="K963" s="36" t="s">
        <v>4758</v>
      </c>
      <c r="L963" s="349"/>
      <c r="M963" s="349"/>
      <c r="N963" s="350"/>
      <c r="O963" s="325" t="s">
        <v>51</v>
      </c>
      <c r="P963" s="326">
        <v>450</v>
      </c>
      <c r="Q963" s="326">
        <v>500</v>
      </c>
      <c r="R963" s="325" t="s">
        <v>249</v>
      </c>
      <c r="S963" s="325"/>
      <c r="T963" s="325"/>
      <c r="U963" s="97" t="s">
        <v>4759</v>
      </c>
      <c r="V963" s="325"/>
      <c r="W963" s="325"/>
      <c r="X963" s="351">
        <v>20221104</v>
      </c>
      <c r="Y963" s="319"/>
    </row>
    <row r="964" spans="1:25" s="91" customFormat="1" hidden="1" x14ac:dyDescent="0.25">
      <c r="A964" s="32" t="s">
        <v>1689</v>
      </c>
      <c r="B964" s="315" t="str">
        <f>IF((COUNTBLANK(G964)=0),Stats!$E$7,IF((COUNTBLANK(E964)=0),IF((COUNTBLANK(F964)=0),IF((COUNTBLANK(U964)=0),Stats!$E$6,Stats!$E$5),Stats!$E$4),""))</f>
        <v>Death</v>
      </c>
      <c r="C964" s="40" t="s">
        <v>284</v>
      </c>
      <c r="D964" s="306" t="s">
        <v>325</v>
      </c>
      <c r="E964" s="88">
        <v>44774</v>
      </c>
      <c r="F964" s="88">
        <v>44782</v>
      </c>
      <c r="G964" s="316">
        <v>45161</v>
      </c>
      <c r="H964" s="317" t="s">
        <v>98</v>
      </c>
      <c r="I964" s="313"/>
      <c r="J964" s="325" t="s">
        <v>152</v>
      </c>
      <c r="K964" s="36" t="s">
        <v>4758</v>
      </c>
      <c r="L964" s="349"/>
      <c r="M964" s="349"/>
      <c r="N964" s="350"/>
      <c r="O964" s="325" t="s">
        <v>51</v>
      </c>
      <c r="P964" s="326">
        <v>450</v>
      </c>
      <c r="Q964" s="326">
        <v>500</v>
      </c>
      <c r="R964" s="325" t="s">
        <v>243</v>
      </c>
      <c r="S964" s="325"/>
      <c r="T964" s="325"/>
      <c r="U964" s="97" t="s">
        <v>4760</v>
      </c>
      <c r="V964" s="325"/>
      <c r="W964" s="325"/>
      <c r="X964" s="325"/>
      <c r="Y964" s="319"/>
    </row>
    <row r="965" spans="1:25" s="91" customFormat="1" hidden="1" x14ac:dyDescent="0.25">
      <c r="A965" s="32" t="s">
        <v>1690</v>
      </c>
      <c r="B965" s="315" t="str">
        <f>IF((COUNTBLANK(G965)=0),Stats!$E$7,IF((COUNTBLANK(E965)=0),IF((COUNTBLANK(F965)=0),IF((COUNTBLANK(U965)=0),Stats!$E$6,Stats!$E$5),Stats!$E$4),""))</f>
        <v>Death</v>
      </c>
      <c r="C965" s="40" t="s">
        <v>284</v>
      </c>
      <c r="D965" s="306" t="s">
        <v>325</v>
      </c>
      <c r="E965" s="88">
        <v>44774</v>
      </c>
      <c r="F965" s="88">
        <v>44782</v>
      </c>
      <c r="G965" s="316">
        <v>44869</v>
      </c>
      <c r="H965" s="317" t="s">
        <v>98</v>
      </c>
      <c r="I965" s="313"/>
      <c r="J965" s="325" t="s">
        <v>152</v>
      </c>
      <c r="K965" s="36" t="s">
        <v>4758</v>
      </c>
      <c r="L965" s="349"/>
      <c r="M965" s="349"/>
      <c r="N965" s="350"/>
      <c r="O965" s="325" t="s">
        <v>51</v>
      </c>
      <c r="P965" s="326">
        <v>450</v>
      </c>
      <c r="Q965" s="326">
        <v>500</v>
      </c>
      <c r="R965" s="325" t="s">
        <v>291</v>
      </c>
      <c r="S965" s="325"/>
      <c r="T965" s="325"/>
      <c r="U965" s="97" t="s">
        <v>4761</v>
      </c>
      <c r="V965" s="325"/>
      <c r="W965" s="325"/>
      <c r="X965" s="325">
        <v>20221104</v>
      </c>
      <c r="Y965" s="319"/>
    </row>
    <row r="966" spans="1:25" s="91" customFormat="1" hidden="1" x14ac:dyDescent="0.25">
      <c r="A966" s="32" t="s">
        <v>1691</v>
      </c>
      <c r="B966" s="315" t="str">
        <f>IF((COUNTBLANK(G966)=0),Stats!$E$7,IF((COUNTBLANK(E966)=0),IF((COUNTBLANK(F966)=0),IF((COUNTBLANK(U966)=0),Stats!$E$6,Stats!$E$5),Stats!$E$4),""))</f>
        <v>Death</v>
      </c>
      <c r="C966" s="40" t="s">
        <v>284</v>
      </c>
      <c r="D966" s="315" t="s">
        <v>59</v>
      </c>
      <c r="E966" s="88">
        <v>44774</v>
      </c>
      <c r="F966" s="88">
        <v>44781</v>
      </c>
      <c r="G966" s="316">
        <v>45163</v>
      </c>
      <c r="H966" s="317" t="s">
        <v>3099</v>
      </c>
      <c r="I966" s="313"/>
      <c r="J966" s="329" t="s">
        <v>152</v>
      </c>
      <c r="K966" s="349" t="s">
        <v>4758</v>
      </c>
      <c r="L966" s="331"/>
      <c r="M966" s="331"/>
      <c r="N966" s="345"/>
      <c r="O966" s="329" t="s">
        <v>51</v>
      </c>
      <c r="P966" s="330">
        <v>450</v>
      </c>
      <c r="Q966" s="330">
        <v>500</v>
      </c>
      <c r="R966" s="329" t="s">
        <v>312</v>
      </c>
      <c r="S966" s="329"/>
      <c r="T966" s="329"/>
      <c r="U966" s="98" t="s">
        <v>4762</v>
      </c>
      <c r="V966" s="329"/>
      <c r="W966" s="329"/>
      <c r="X966" s="329"/>
      <c r="Y966" s="319"/>
    </row>
    <row r="967" spans="1:25" s="91" customFormat="1" hidden="1" x14ac:dyDescent="0.25">
      <c r="A967" s="32" t="s">
        <v>1692</v>
      </c>
      <c r="B967" s="315" t="str">
        <f>IF((COUNTBLANK(G967)=0),Stats!$E$7,IF((COUNTBLANK(E967)=0),IF((COUNTBLANK(F967)=0),IF((COUNTBLANK(U967)=0),Stats!$E$6,Stats!$E$5),Stats!$E$4),""))</f>
        <v>Death</v>
      </c>
      <c r="C967" s="40" t="s">
        <v>284</v>
      </c>
      <c r="D967" s="315" t="s">
        <v>59</v>
      </c>
      <c r="E967" s="88">
        <v>44776</v>
      </c>
      <c r="F967" s="88">
        <v>44788</v>
      </c>
      <c r="G967" s="316">
        <v>45108</v>
      </c>
      <c r="H967" s="317" t="s">
        <v>3099</v>
      </c>
      <c r="I967" s="313"/>
      <c r="J967" s="329" t="s">
        <v>152</v>
      </c>
      <c r="K967" s="349" t="s">
        <v>4758</v>
      </c>
      <c r="L967" s="331"/>
      <c r="M967" s="331"/>
      <c r="N967" s="345"/>
      <c r="O967" s="329" t="s">
        <v>51</v>
      </c>
      <c r="P967" s="330">
        <v>450</v>
      </c>
      <c r="Q967" s="330">
        <v>500</v>
      </c>
      <c r="R967" s="329" t="s">
        <v>279</v>
      </c>
      <c r="S967" s="329"/>
      <c r="T967" s="329"/>
      <c r="U967" s="98" t="s">
        <v>4761</v>
      </c>
      <c r="V967" s="329"/>
      <c r="W967" s="329" t="s">
        <v>4763</v>
      </c>
      <c r="X967" s="329"/>
      <c r="Y967" s="319"/>
    </row>
    <row r="968" spans="1:25" s="91" customFormat="1" hidden="1" x14ac:dyDescent="0.25">
      <c r="A968" s="32" t="s">
        <v>1693</v>
      </c>
      <c r="B968" s="306" t="str">
        <f>IF((COUNTBLANK(G968)=0),Stats!$E$7,IF((COUNTBLANK(E968)=0),IF((COUNTBLANK(F968)=0),IF((COUNTBLANK(U968)=0),Stats!$E$6,Stats!$E$5),Stats!$E$4),""))</f>
        <v>Death</v>
      </c>
      <c r="C968" s="41" t="s">
        <v>3127</v>
      </c>
      <c r="D968" s="306" t="str">
        <f>IF(B968=Stats!$E$6,Stats!$E$11,"")</f>
        <v/>
      </c>
      <c r="E968" s="89">
        <v>44775</v>
      </c>
      <c r="F968" s="89"/>
      <c r="G968" s="327">
        <v>45190</v>
      </c>
      <c r="H968" s="313" t="s">
        <v>3118</v>
      </c>
      <c r="I968" s="313"/>
      <c r="J968" s="313" t="s">
        <v>3085</v>
      </c>
      <c r="K968" s="306" t="s">
        <v>4747</v>
      </c>
      <c r="L968" s="306"/>
      <c r="M968" s="306"/>
      <c r="N968" s="304"/>
      <c r="O968" s="313" t="s">
        <v>51</v>
      </c>
      <c r="P968" s="328" t="s">
        <v>4764</v>
      </c>
      <c r="Q968" s="328" t="s">
        <v>4765</v>
      </c>
      <c r="R968" s="313" t="s">
        <v>279</v>
      </c>
      <c r="S968" s="313"/>
      <c r="T968" s="313"/>
      <c r="U968" s="313"/>
      <c r="V968" s="313"/>
      <c r="W968" s="313"/>
      <c r="X968" s="313"/>
      <c r="Y968" s="319"/>
    </row>
    <row r="969" spans="1:25" s="91" customFormat="1" hidden="1" x14ac:dyDescent="0.25">
      <c r="A969" s="32" t="s">
        <v>1694</v>
      </c>
      <c r="B969" s="306" t="str">
        <f>IF((COUNTBLANK(G969)=0),Stats!$E$7,IF((COUNTBLANK(E969)=0),IF((COUNTBLANK(F969)=0),IF((COUNTBLANK(U969)=0),Stats!$E$6,Stats!$E$5),Stats!$E$4),""))</f>
        <v>Death</v>
      </c>
      <c r="C969" s="41" t="s">
        <v>3127</v>
      </c>
      <c r="D969" s="306" t="str">
        <f>IF(B969=Stats!$E$6,Stats!$E$11,"")</f>
        <v/>
      </c>
      <c r="E969" s="89">
        <v>44775</v>
      </c>
      <c r="F969" s="89"/>
      <c r="G969" s="89">
        <v>45254</v>
      </c>
      <c r="H969" s="313" t="s">
        <v>3118</v>
      </c>
      <c r="I969" s="313"/>
      <c r="J969" s="313" t="s">
        <v>3085</v>
      </c>
      <c r="K969" s="306" t="s">
        <v>4747</v>
      </c>
      <c r="L969" s="306"/>
      <c r="M969" s="306"/>
      <c r="N969" s="304"/>
      <c r="O969" s="313" t="s">
        <v>51</v>
      </c>
      <c r="P969" s="328" t="s">
        <v>4764</v>
      </c>
      <c r="Q969" s="328" t="s">
        <v>4765</v>
      </c>
      <c r="R969" s="313" t="s">
        <v>243</v>
      </c>
      <c r="S969" s="313"/>
      <c r="T969" s="313"/>
      <c r="U969" s="313"/>
      <c r="V969" s="313"/>
      <c r="W969" s="313"/>
      <c r="X969" s="313"/>
      <c r="Y969" s="319"/>
    </row>
    <row r="970" spans="1:25" s="91" customFormat="1" hidden="1" x14ac:dyDescent="0.25">
      <c r="A970" s="32" t="s">
        <v>1695</v>
      </c>
      <c r="B970" s="306" t="str">
        <f>IF((COUNTBLANK(G970)=0),Stats!$E$7,IF((COUNTBLANK(E970)=0),IF((COUNTBLANK(F970)=0),IF((COUNTBLANK(U970)=0),Stats!$E$6,Stats!$E$5),Stats!$E$4),""))</f>
        <v>Death</v>
      </c>
      <c r="C970" s="41" t="s">
        <v>3127</v>
      </c>
      <c r="D970" s="306" t="str">
        <f>IF(B970=Stats!$E$6,Stats!$E$11,"")</f>
        <v/>
      </c>
      <c r="E970" s="89">
        <v>44775</v>
      </c>
      <c r="F970" s="89"/>
      <c r="G970" s="327">
        <v>44993</v>
      </c>
      <c r="H970" s="313" t="s">
        <v>3118</v>
      </c>
      <c r="I970" s="313"/>
      <c r="J970" s="313" t="s">
        <v>3085</v>
      </c>
      <c r="K970" s="306" t="s">
        <v>4747</v>
      </c>
      <c r="L970" s="306"/>
      <c r="M970" s="306"/>
      <c r="N970" s="304"/>
      <c r="O970" s="313" t="s">
        <v>51</v>
      </c>
      <c r="P970" s="328" t="s">
        <v>4764</v>
      </c>
      <c r="Q970" s="328" t="s">
        <v>4765</v>
      </c>
      <c r="R970" s="313" t="s">
        <v>249</v>
      </c>
      <c r="S970" s="313"/>
      <c r="T970" s="313"/>
      <c r="U970" s="313"/>
      <c r="V970" s="313"/>
      <c r="W970" s="313"/>
      <c r="X970" s="313"/>
      <c r="Y970" s="319"/>
    </row>
    <row r="971" spans="1:25" s="91" customFormat="1" hidden="1" x14ac:dyDescent="0.25">
      <c r="A971" s="32" t="s">
        <v>1696</v>
      </c>
      <c r="B971" s="306" t="str">
        <f>IF((COUNTBLANK(G971)=0),Stats!$E$7,IF((COUNTBLANK(E971)=0),IF((COUNTBLANK(F971)=0),IF((COUNTBLANK(U971)=0),Stats!$E$6,Stats!$E$5),Stats!$E$4),""))</f>
        <v>Death</v>
      </c>
      <c r="C971" s="41" t="s">
        <v>3127</v>
      </c>
      <c r="D971" s="306" t="str">
        <f>IF(B971=Stats!$E$6,Stats!$E$11,"")</f>
        <v/>
      </c>
      <c r="E971" s="89">
        <v>44775</v>
      </c>
      <c r="F971" s="89"/>
      <c r="G971" s="327">
        <v>44993</v>
      </c>
      <c r="H971" s="313" t="s">
        <v>3118</v>
      </c>
      <c r="I971" s="313"/>
      <c r="J971" s="313" t="s">
        <v>3085</v>
      </c>
      <c r="K971" s="306" t="s">
        <v>4747</v>
      </c>
      <c r="L971" s="306"/>
      <c r="M971" s="306"/>
      <c r="N971" s="304"/>
      <c r="O971" s="313" t="s">
        <v>51</v>
      </c>
      <c r="P971" s="328" t="s">
        <v>4764</v>
      </c>
      <c r="Q971" s="328" t="s">
        <v>4765</v>
      </c>
      <c r="R971" s="313" t="s">
        <v>291</v>
      </c>
      <c r="S971" s="313"/>
      <c r="T971" s="313"/>
      <c r="U971" s="313"/>
      <c r="V971" s="313"/>
      <c r="W971" s="313"/>
      <c r="X971" s="313"/>
      <c r="Y971" s="319"/>
    </row>
    <row r="972" spans="1:25" s="91" customFormat="1" hidden="1" x14ac:dyDescent="0.25">
      <c r="A972" s="32" t="s">
        <v>1697</v>
      </c>
      <c r="B972" s="306" t="str">
        <f>IF((COUNTBLANK(G972)=0),Stats!$E$7,IF((COUNTBLANK(E972)=0),IF((COUNTBLANK(F972)=0),IF((COUNTBLANK(U972)=0),Stats!$E$6,Stats!$E$5),Stats!$E$4),""))</f>
        <v>Death</v>
      </c>
      <c r="C972" s="41" t="s">
        <v>3127</v>
      </c>
      <c r="D972" s="306" t="str">
        <f>IF(B972=Stats!$E$6,Stats!$E$11,"")</f>
        <v/>
      </c>
      <c r="E972" s="89">
        <v>44775</v>
      </c>
      <c r="F972" s="89"/>
      <c r="G972" s="327">
        <v>44993</v>
      </c>
      <c r="H972" s="313" t="s">
        <v>3118</v>
      </c>
      <c r="I972" s="313"/>
      <c r="J972" s="313" t="s">
        <v>3085</v>
      </c>
      <c r="K972" s="306" t="s">
        <v>4747</v>
      </c>
      <c r="L972" s="306"/>
      <c r="M972" s="306"/>
      <c r="N972" s="304"/>
      <c r="O972" s="313" t="s">
        <v>51</v>
      </c>
      <c r="P972" s="328" t="s">
        <v>4764</v>
      </c>
      <c r="Q972" s="328" t="s">
        <v>4765</v>
      </c>
      <c r="R972" s="313" t="s">
        <v>252</v>
      </c>
      <c r="S972" s="313"/>
      <c r="T972" s="313"/>
      <c r="U972" s="313"/>
      <c r="V972" s="313"/>
      <c r="W972" s="313"/>
      <c r="X972" s="313"/>
      <c r="Y972" s="319"/>
    </row>
    <row r="973" spans="1:25" s="91" customFormat="1" hidden="1" x14ac:dyDescent="0.25">
      <c r="A973" s="32" t="s">
        <v>1698</v>
      </c>
      <c r="B973" s="315" t="str">
        <f>IF((COUNTBLANK(G973)=0),Stats!$E$7,IF((COUNTBLANK(E973)=0),IF((COUNTBLANK(F973)=0),IF((COUNTBLANK(U973)=0),Stats!$E$6,Stats!$E$5),Stats!$E$4),""))</f>
        <v>Death</v>
      </c>
      <c r="C973" s="40" t="s">
        <v>284</v>
      </c>
      <c r="D973" s="315" t="s">
        <v>59</v>
      </c>
      <c r="E973" s="88">
        <v>44776</v>
      </c>
      <c r="F973" s="88">
        <v>44788</v>
      </c>
      <c r="G973" s="316">
        <v>45023</v>
      </c>
      <c r="H973" s="317" t="s">
        <v>3099</v>
      </c>
      <c r="I973" s="313"/>
      <c r="J973" s="329" t="s">
        <v>4766</v>
      </c>
      <c r="K973" s="331" t="s">
        <v>4230</v>
      </c>
      <c r="L973" s="331" t="s">
        <v>3223</v>
      </c>
      <c r="M973" s="331"/>
      <c r="N973" s="345" t="s">
        <v>3917</v>
      </c>
      <c r="O973" s="329" t="s">
        <v>51</v>
      </c>
      <c r="P973" s="330">
        <v>450</v>
      </c>
      <c r="Q973" s="330">
        <v>500</v>
      </c>
      <c r="R973" s="329" t="s">
        <v>249</v>
      </c>
      <c r="S973" s="329"/>
      <c r="T973" s="329"/>
      <c r="U973" s="329" t="s">
        <v>4767</v>
      </c>
      <c r="V973" s="74" t="s">
        <v>4768</v>
      </c>
      <c r="W973" s="329"/>
      <c r="X973" s="329"/>
      <c r="Y973" s="319"/>
    </row>
    <row r="974" spans="1:25" s="91" customFormat="1" hidden="1" x14ac:dyDescent="0.25">
      <c r="A974" s="32" t="s">
        <v>1699</v>
      </c>
      <c r="B974" s="315" t="str">
        <f>IF((COUNTBLANK(G974)=0),Stats!$E$7,IF((COUNTBLANK(E974)=0),IF((COUNTBLANK(F974)=0),IF((COUNTBLANK(U974)=0),Stats!$E$6,Stats!$E$5),Stats!$E$4),""))</f>
        <v>Death</v>
      </c>
      <c r="C974" s="40" t="s">
        <v>284</v>
      </c>
      <c r="D974" s="315" t="s">
        <v>59</v>
      </c>
      <c r="E974" s="88">
        <v>44776</v>
      </c>
      <c r="F974" s="88">
        <v>44789</v>
      </c>
      <c r="G974" s="316">
        <v>45190</v>
      </c>
      <c r="H974" s="317" t="s">
        <v>3099</v>
      </c>
      <c r="I974" s="313"/>
      <c r="J974" s="329" t="s">
        <v>4766</v>
      </c>
      <c r="K974" s="331" t="s">
        <v>4230</v>
      </c>
      <c r="L974" s="331" t="s">
        <v>3223</v>
      </c>
      <c r="M974" s="331"/>
      <c r="N974" s="345" t="s">
        <v>3917</v>
      </c>
      <c r="O974" s="329" t="s">
        <v>51</v>
      </c>
      <c r="P974" s="330">
        <v>450</v>
      </c>
      <c r="Q974" s="330">
        <v>500</v>
      </c>
      <c r="R974" s="329" t="s">
        <v>243</v>
      </c>
      <c r="S974" s="329"/>
      <c r="T974" s="329"/>
      <c r="U974" s="329" t="s">
        <v>4767</v>
      </c>
      <c r="V974" s="74" t="s">
        <v>4768</v>
      </c>
      <c r="W974" s="329"/>
      <c r="X974" s="329"/>
      <c r="Y974" s="319"/>
    </row>
    <row r="975" spans="1:25" s="91" customFormat="1" hidden="1" x14ac:dyDescent="0.25">
      <c r="A975" s="32" t="s">
        <v>1700</v>
      </c>
      <c r="B975" s="315" t="str">
        <f>IF((COUNTBLANK(G975)=0),Stats!$E$7,IF((COUNTBLANK(E975)=0),IF((COUNTBLANK(F975)=0),IF((COUNTBLANK(U975)=0),Stats!$E$6,Stats!$E$5),Stats!$E$4),""))</f>
        <v>Death</v>
      </c>
      <c r="C975" s="40" t="s">
        <v>284</v>
      </c>
      <c r="D975" s="315" t="s">
        <v>59</v>
      </c>
      <c r="E975" s="88">
        <v>44783</v>
      </c>
      <c r="F975" s="88">
        <v>44788</v>
      </c>
      <c r="G975" s="316">
        <v>45229</v>
      </c>
      <c r="H975" s="317" t="s">
        <v>3099</v>
      </c>
      <c r="I975" s="313"/>
      <c r="J975" s="329" t="s">
        <v>4766</v>
      </c>
      <c r="K975" s="331" t="s">
        <v>4230</v>
      </c>
      <c r="L975" s="331" t="s">
        <v>3223</v>
      </c>
      <c r="M975" s="331"/>
      <c r="N975" s="345" t="s">
        <v>3917</v>
      </c>
      <c r="O975" s="329" t="s">
        <v>51</v>
      </c>
      <c r="P975" s="330">
        <v>450</v>
      </c>
      <c r="Q975" s="330">
        <v>500</v>
      </c>
      <c r="R975" s="329" t="s">
        <v>291</v>
      </c>
      <c r="S975" s="329"/>
      <c r="T975" s="329"/>
      <c r="U975" s="329" t="s">
        <v>4767</v>
      </c>
      <c r="V975" s="74" t="s">
        <v>4768</v>
      </c>
      <c r="W975" s="329"/>
      <c r="X975" s="329"/>
      <c r="Y975" s="319"/>
    </row>
    <row r="976" spans="1:25" s="91" customFormat="1" hidden="1" x14ac:dyDescent="0.25">
      <c r="A976" s="32" t="s">
        <v>1701</v>
      </c>
      <c r="B976" s="315" t="str">
        <f>IF((COUNTBLANK(G976)=0),Stats!$E$7,IF((COUNTBLANK(E976)=0),IF((COUNTBLANK(F976)=0),IF((COUNTBLANK(U976)=0),Stats!$E$6,Stats!$E$5),Stats!$E$4),""))</f>
        <v>Death</v>
      </c>
      <c r="C976" s="40" t="s">
        <v>284</v>
      </c>
      <c r="D976" s="315" t="s">
        <v>59</v>
      </c>
      <c r="E976" s="88">
        <v>44783</v>
      </c>
      <c r="F976" s="88">
        <v>44789</v>
      </c>
      <c r="G976" s="316">
        <v>45145</v>
      </c>
      <c r="H976" s="317" t="s">
        <v>3099</v>
      </c>
      <c r="I976" s="313"/>
      <c r="J976" s="329" t="s">
        <v>4766</v>
      </c>
      <c r="K976" s="331" t="s">
        <v>4230</v>
      </c>
      <c r="L976" s="331" t="s">
        <v>3223</v>
      </c>
      <c r="M976" s="331"/>
      <c r="N976" s="345" t="s">
        <v>3917</v>
      </c>
      <c r="O976" s="329" t="s">
        <v>51</v>
      </c>
      <c r="P976" s="330">
        <v>500</v>
      </c>
      <c r="Q976" s="330">
        <v>500</v>
      </c>
      <c r="R976" s="329" t="s">
        <v>312</v>
      </c>
      <c r="S976" s="329"/>
      <c r="T976" s="329"/>
      <c r="U976" s="329" t="s">
        <v>4767</v>
      </c>
      <c r="V976" s="74" t="s">
        <v>4768</v>
      </c>
      <c r="W976" s="329"/>
      <c r="X976" s="329"/>
      <c r="Y976" s="319"/>
    </row>
    <row r="977" spans="1:25" s="91" customFormat="1" hidden="1" x14ac:dyDescent="0.25">
      <c r="A977" s="32" t="s">
        <v>1702</v>
      </c>
      <c r="B977" s="315" t="str">
        <f>IF((COUNTBLANK(G977)=0),Stats!$E$7,IF((COUNTBLANK(E977)=0),IF((COUNTBLANK(F977)=0),IF((COUNTBLANK(U977)=0),Stats!$E$6,Stats!$E$5),Stats!$E$4),""))</f>
        <v>Death</v>
      </c>
      <c r="C977" s="40" t="s">
        <v>284</v>
      </c>
      <c r="D977" s="315" t="s">
        <v>59</v>
      </c>
      <c r="E977" s="88">
        <v>44783</v>
      </c>
      <c r="F977" s="88">
        <v>44790</v>
      </c>
      <c r="G977" s="316">
        <v>45092</v>
      </c>
      <c r="H977" s="317" t="s">
        <v>3099</v>
      </c>
      <c r="I977" s="313"/>
      <c r="J977" s="329" t="s">
        <v>4766</v>
      </c>
      <c r="K977" s="331" t="s">
        <v>4230</v>
      </c>
      <c r="L977" s="331" t="s">
        <v>3223</v>
      </c>
      <c r="M977" s="331"/>
      <c r="N977" s="345" t="s">
        <v>3917</v>
      </c>
      <c r="O977" s="329" t="s">
        <v>51</v>
      </c>
      <c r="P977" s="330">
        <v>450</v>
      </c>
      <c r="Q977" s="330">
        <v>500</v>
      </c>
      <c r="R977" s="329" t="s">
        <v>279</v>
      </c>
      <c r="S977" s="329"/>
      <c r="T977" s="329"/>
      <c r="U977" s="329" t="s">
        <v>4767</v>
      </c>
      <c r="V977" s="74" t="s">
        <v>4768</v>
      </c>
      <c r="W977" s="329"/>
      <c r="X977" s="329"/>
      <c r="Y977" s="319"/>
    </row>
    <row r="978" spans="1:25" s="94" customFormat="1" ht="15" hidden="1" customHeight="1" x14ac:dyDescent="0.25">
      <c r="A978" s="33" t="s">
        <v>1703</v>
      </c>
      <c r="B978" s="332" t="str">
        <f>IF((COUNTBLANK(G978)=0),Stats!$E$7,IF((COUNTBLANK(E978)=0),IF((COUNTBLANK(F978)=0),IF((COUNTBLANK(U978)=0),Stats!$E$6,Stats!$E$5),Stats!$E$4),""))</f>
        <v>Death</v>
      </c>
      <c r="C978" s="44" t="s">
        <v>413</v>
      </c>
      <c r="D978" s="332" t="str">
        <f>IF(B978=Stats!$E$6,Stats!$E$11,"")</f>
        <v/>
      </c>
      <c r="E978" s="90">
        <v>44788</v>
      </c>
      <c r="F978" s="90">
        <v>44817</v>
      </c>
      <c r="G978" s="342">
        <v>45051</v>
      </c>
      <c r="H978" s="338" t="s">
        <v>3139</v>
      </c>
      <c r="I978" s="338"/>
      <c r="J978" s="338" t="s">
        <v>152</v>
      </c>
      <c r="K978" s="332"/>
      <c r="L978" s="332"/>
      <c r="M978" s="332"/>
      <c r="N978" s="339"/>
      <c r="O978" s="338"/>
      <c r="P978" s="340" t="s">
        <v>4112</v>
      </c>
      <c r="Q978" s="340" t="s">
        <v>3709</v>
      </c>
      <c r="R978" s="338" t="s">
        <v>279</v>
      </c>
      <c r="S978" s="338"/>
      <c r="T978" s="338"/>
      <c r="U978" s="338"/>
      <c r="V978" s="338"/>
      <c r="W978" s="338"/>
      <c r="X978" s="313"/>
      <c r="Y978" s="341"/>
    </row>
    <row r="979" spans="1:25" s="91" customFormat="1" ht="15" hidden="1" customHeight="1" x14ac:dyDescent="0.25">
      <c r="A979" s="32" t="s">
        <v>1704</v>
      </c>
      <c r="B979" s="315" t="str">
        <f>IF((COUNTBLANK(G979)=0),Stats!$E$7,IF((COUNTBLANK(E979)=0),IF((COUNTBLANK(F979)=0),IF((COUNTBLANK(U979)=0),Stats!$E$6,Stats!$E$5),Stats!$E$4),""))</f>
        <v>Death</v>
      </c>
      <c r="C979" s="39" t="s">
        <v>413</v>
      </c>
      <c r="D979" s="306" t="str">
        <f>IF(B979=Stats!$E$6,Stats!$E$11,"")</f>
        <v/>
      </c>
      <c r="E979" s="88">
        <v>44788</v>
      </c>
      <c r="F979" s="316">
        <v>36892</v>
      </c>
      <c r="G979" s="316">
        <v>36893</v>
      </c>
      <c r="H979" s="317" t="s">
        <v>3139</v>
      </c>
      <c r="I979" s="313"/>
      <c r="J979" s="317" t="s">
        <v>152</v>
      </c>
      <c r="K979" s="315"/>
      <c r="L979" s="315"/>
      <c r="M979" s="317"/>
      <c r="N979" s="320"/>
      <c r="O979" s="317"/>
      <c r="P979" s="318" t="s">
        <v>4112</v>
      </c>
      <c r="Q979" s="318" t="s">
        <v>3709</v>
      </c>
      <c r="R979" s="317" t="s">
        <v>249</v>
      </c>
      <c r="S979" s="317"/>
      <c r="T979" s="317"/>
      <c r="U979" s="317"/>
      <c r="V979" s="317"/>
      <c r="W979" s="317"/>
      <c r="X979" s="317"/>
      <c r="Y979" s="319"/>
    </row>
    <row r="980" spans="1:25" s="91" customFormat="1" hidden="1" x14ac:dyDescent="0.25">
      <c r="A980" s="32" t="s">
        <v>1705</v>
      </c>
      <c r="B980" s="306" t="str">
        <f>IF((COUNTBLANK(G980)=0),Stats!$E$7,IF((COUNTBLANK(E980)=0),IF((COUNTBLANK(F980)=0),IF((COUNTBLANK(U980)=0),Stats!$E$6,Stats!$E$5),Stats!$E$4),""))</f>
        <v>Death</v>
      </c>
      <c r="C980" s="41" t="s">
        <v>413</v>
      </c>
      <c r="D980" s="306" t="str">
        <f>IF(B980=Stats!$E$6,Stats!$E$11,"")</f>
        <v/>
      </c>
      <c r="E980" s="89">
        <v>44788</v>
      </c>
      <c r="F980" s="89">
        <v>44817</v>
      </c>
      <c r="G980" s="316">
        <v>45229</v>
      </c>
      <c r="H980" s="313" t="s">
        <v>3139</v>
      </c>
      <c r="I980" s="313"/>
      <c r="J980" s="313" t="s">
        <v>152</v>
      </c>
      <c r="K980" s="306"/>
      <c r="L980" s="306"/>
      <c r="M980" s="306"/>
      <c r="N980" s="304"/>
      <c r="O980" s="313"/>
      <c r="P980" s="328" t="s">
        <v>4112</v>
      </c>
      <c r="Q980" s="328" t="s">
        <v>3709</v>
      </c>
      <c r="R980" s="313" t="s">
        <v>243</v>
      </c>
      <c r="S980" s="313"/>
      <c r="T980" s="313"/>
      <c r="U980" s="313"/>
      <c r="V980" s="313"/>
      <c r="W980" s="313"/>
      <c r="X980" s="313"/>
      <c r="Y980" s="319"/>
    </row>
    <row r="981" spans="1:25" s="91" customFormat="1" hidden="1" x14ac:dyDescent="0.25">
      <c r="A981" s="32" t="s">
        <v>1706</v>
      </c>
      <c r="B981" s="306" t="str">
        <f>IF((COUNTBLANK(G981)=0),Stats!$E$7,IF((COUNTBLANK(E981)=0),IF((COUNTBLANK(F981)=0),IF((COUNTBLANK(U981)=0),Stats!$E$6,Stats!$E$5),Stats!$E$4),""))</f>
        <v>Death</v>
      </c>
      <c r="C981" s="41" t="s">
        <v>413</v>
      </c>
      <c r="D981" s="306" t="str">
        <f>IF(B981=Stats!$E$6,Stats!$E$11,"")</f>
        <v/>
      </c>
      <c r="E981" s="89">
        <v>44788</v>
      </c>
      <c r="F981" s="89">
        <v>44817</v>
      </c>
      <c r="G981" s="327">
        <v>45051</v>
      </c>
      <c r="H981" s="313" t="s">
        <v>3139</v>
      </c>
      <c r="I981" s="313"/>
      <c r="J981" s="313" t="s">
        <v>152</v>
      </c>
      <c r="K981" s="306"/>
      <c r="L981" s="306"/>
      <c r="M981" s="306"/>
      <c r="N981" s="304"/>
      <c r="O981" s="313"/>
      <c r="P981" s="328" t="s">
        <v>4112</v>
      </c>
      <c r="Q981" s="328" t="s">
        <v>3709</v>
      </c>
      <c r="R981" s="313" t="s">
        <v>291</v>
      </c>
      <c r="S981" s="313"/>
      <c r="T981" s="313"/>
      <c r="U981" s="313"/>
      <c r="V981" s="313"/>
      <c r="W981" s="313"/>
      <c r="X981" s="313"/>
      <c r="Y981" s="319"/>
    </row>
    <row r="982" spans="1:25" s="124" customFormat="1" ht="15" hidden="1" customHeight="1" x14ac:dyDescent="0.25">
      <c r="A982" s="120" t="s">
        <v>1707</v>
      </c>
      <c r="B982" s="352" t="str">
        <f>IF((COUNTBLANK(G982)=0),Stats!$E$7,IF((COUNTBLANK(E982)=0),IF((COUNTBLANK(F982)=0),IF((COUNTBLANK(U982)=0),Stats!$E$6,Stats!$E$5),Stats!$E$4),""))</f>
        <v>Death</v>
      </c>
      <c r="C982" s="121" t="s">
        <v>413</v>
      </c>
      <c r="D982" s="352" t="str">
        <f>IF(B982=Stats!$E$6,Stats!$E$11,"")</f>
        <v/>
      </c>
      <c r="E982" s="122">
        <v>44788</v>
      </c>
      <c r="F982" s="122">
        <v>44817</v>
      </c>
      <c r="G982" s="327">
        <v>44993</v>
      </c>
      <c r="H982" s="353" t="s">
        <v>3139</v>
      </c>
      <c r="I982" s="123"/>
      <c r="J982" s="353" t="s">
        <v>152</v>
      </c>
      <c r="K982" s="352"/>
      <c r="L982" s="352"/>
      <c r="M982" s="352"/>
      <c r="N982" s="354"/>
      <c r="O982" s="353"/>
      <c r="P982" s="355" t="s">
        <v>4112</v>
      </c>
      <c r="Q982" s="355" t="s">
        <v>3709</v>
      </c>
      <c r="R982" s="353" t="s">
        <v>252</v>
      </c>
      <c r="S982" s="353"/>
      <c r="T982" s="353"/>
      <c r="U982" s="353"/>
      <c r="V982" s="353"/>
      <c r="W982" s="353"/>
      <c r="X982" s="313"/>
      <c r="Y982" s="356"/>
    </row>
    <row r="983" spans="1:25" s="91" customFormat="1" hidden="1" x14ac:dyDescent="0.25">
      <c r="A983" s="32" t="s">
        <v>1708</v>
      </c>
      <c r="B983" s="306" t="str">
        <f>IF((COUNTBLANK(G983)=0),Stats!$E$7,IF((COUNTBLANK(E983)=0),IF((COUNTBLANK(F983)=0),IF((COUNTBLANK(U983)=0),Stats!$E$6,Stats!$E$5),Stats!$E$4),""))</f>
        <v>Death</v>
      </c>
      <c r="C983" s="41" t="s">
        <v>413</v>
      </c>
      <c r="D983" s="306" t="str">
        <f>IF(B983=Stats!$E$6,Stats!$E$11,"")</f>
        <v/>
      </c>
      <c r="E983" s="89">
        <v>44788</v>
      </c>
      <c r="F983" s="89">
        <v>44817</v>
      </c>
      <c r="G983" s="327">
        <v>45299</v>
      </c>
      <c r="H983" s="313" t="s">
        <v>3139</v>
      </c>
      <c r="I983" s="34"/>
      <c r="J983" s="313" t="s">
        <v>152</v>
      </c>
      <c r="K983" s="306"/>
      <c r="L983" s="306"/>
      <c r="M983" s="306"/>
      <c r="N983" s="304"/>
      <c r="O983" s="313"/>
      <c r="P983" s="328" t="s">
        <v>4112</v>
      </c>
      <c r="Q983" s="328" t="s">
        <v>3709</v>
      </c>
      <c r="R983" s="313" t="s">
        <v>312</v>
      </c>
      <c r="S983" s="313"/>
      <c r="T983" s="313"/>
      <c r="U983" s="313"/>
      <c r="V983" s="313"/>
      <c r="W983" s="313"/>
      <c r="X983" s="313"/>
      <c r="Y983" s="319"/>
    </row>
    <row r="984" spans="1:25" s="91" customFormat="1" hidden="1" x14ac:dyDescent="0.25">
      <c r="A984" s="32" t="s">
        <v>1709</v>
      </c>
      <c r="B984" s="306" t="str">
        <f>IF((COUNTBLANK(G984)=0),Stats!$E$7,IF((COUNTBLANK(E984)=0),IF((COUNTBLANK(F984)=0),IF((COUNTBLANK(U984)=0),Stats!$E$6,Stats!$E$5),Stats!$E$4),""))</f>
        <v>Death</v>
      </c>
      <c r="C984" s="41" t="s">
        <v>413</v>
      </c>
      <c r="D984" s="306" t="str">
        <f>IF(B984=Stats!$E$6,Stats!$E$11,"")</f>
        <v/>
      </c>
      <c r="E984" s="89">
        <v>44789</v>
      </c>
      <c r="F984" s="89">
        <v>44809</v>
      </c>
      <c r="G984" s="327">
        <v>45135</v>
      </c>
      <c r="H984" s="313" t="s">
        <v>3139</v>
      </c>
      <c r="I984" s="34"/>
      <c r="J984" s="313" t="s">
        <v>152</v>
      </c>
      <c r="K984" s="306"/>
      <c r="L984" s="306"/>
      <c r="M984" s="306"/>
      <c r="N984" s="304"/>
      <c r="O984" s="313"/>
      <c r="P984" s="328" t="s">
        <v>4112</v>
      </c>
      <c r="Q984" s="328" t="s">
        <v>3709</v>
      </c>
      <c r="R984" s="313" t="s">
        <v>279</v>
      </c>
      <c r="S984" s="313"/>
      <c r="T984" s="313"/>
      <c r="U984" s="313"/>
      <c r="V984" s="313"/>
      <c r="W984" s="313"/>
      <c r="X984" s="313"/>
      <c r="Y984" s="319"/>
    </row>
    <row r="985" spans="1:25" s="91" customFormat="1" hidden="1" x14ac:dyDescent="0.25">
      <c r="A985" s="32" t="s">
        <v>1710</v>
      </c>
      <c r="B985" s="306" t="str">
        <f>IF((COUNTBLANK(G985)=0),Stats!$E$7,IF((COUNTBLANK(E985)=0),IF((COUNTBLANK(F985)=0),IF((COUNTBLANK(U985)=0),Stats!$E$6,Stats!$E$5),Stats!$E$4),""))</f>
        <v>Death</v>
      </c>
      <c r="C985" s="41" t="s">
        <v>413</v>
      </c>
      <c r="D985" s="306" t="str">
        <f>IF(B985=Stats!$E$6,Stats!$E$11,"")</f>
        <v/>
      </c>
      <c r="E985" s="89">
        <v>44789</v>
      </c>
      <c r="F985" s="89">
        <v>44809</v>
      </c>
      <c r="G985" s="327">
        <v>44911</v>
      </c>
      <c r="H985" s="313" t="s">
        <v>3139</v>
      </c>
      <c r="I985" s="313"/>
      <c r="J985" s="313" t="s">
        <v>152</v>
      </c>
      <c r="K985" s="306"/>
      <c r="L985" s="306"/>
      <c r="M985" s="306"/>
      <c r="N985" s="304"/>
      <c r="O985" s="313"/>
      <c r="P985" s="328" t="s">
        <v>4112</v>
      </c>
      <c r="Q985" s="328" t="s">
        <v>3709</v>
      </c>
      <c r="R985" s="313" t="s">
        <v>249</v>
      </c>
      <c r="S985" s="313"/>
      <c r="T985" s="313"/>
      <c r="U985" s="313"/>
      <c r="V985" s="313"/>
      <c r="W985" s="313"/>
      <c r="X985" s="313"/>
      <c r="Y985" s="319"/>
    </row>
    <row r="986" spans="1:25" hidden="1" x14ac:dyDescent="0.25">
      <c r="A986" s="32" t="s">
        <v>1711</v>
      </c>
      <c r="B986" s="306" t="str">
        <f>IF((COUNTBLANK(G986)=0),Stats!$E$7,IF((COUNTBLANK(E986)=0),IF((COUNTBLANK(F986)=0),IF((COUNTBLANK(U986)=0),Stats!$E$6,Stats!$E$5),Stats!$E$4),""))</f>
        <v>Death</v>
      </c>
      <c r="C986" s="41" t="s">
        <v>413</v>
      </c>
      <c r="D986" s="306" t="str">
        <f>IF(B986=Stats!$E$6,Stats!$E$11,"")</f>
        <v/>
      </c>
      <c r="E986" s="89">
        <v>44789</v>
      </c>
      <c r="F986" s="89">
        <v>44811</v>
      </c>
      <c r="G986" s="342">
        <v>45639</v>
      </c>
      <c r="H986" s="313" t="s">
        <v>3139</v>
      </c>
      <c r="I986" s="313"/>
      <c r="J986" s="313" t="s">
        <v>152</v>
      </c>
      <c r="K986" s="306"/>
      <c r="L986" s="306"/>
      <c r="M986" s="306"/>
      <c r="N986" s="304"/>
      <c r="O986" s="313"/>
      <c r="P986" s="328" t="s">
        <v>4112</v>
      </c>
      <c r="Q986" s="328" t="s">
        <v>3709</v>
      </c>
      <c r="R986" s="313" t="s">
        <v>279</v>
      </c>
      <c r="S986" s="313"/>
      <c r="T986" s="313"/>
      <c r="U986" s="313"/>
      <c r="V986" s="313"/>
      <c r="W986" s="313"/>
      <c r="X986" s="313"/>
      <c r="Y986" s="319"/>
    </row>
    <row r="987" spans="1:25" s="91" customFormat="1" hidden="1" x14ac:dyDescent="0.25">
      <c r="A987" s="32" t="s">
        <v>1712</v>
      </c>
      <c r="B987" s="306" t="str">
        <f>IF((COUNTBLANK(G987)=0),Stats!$E$7,IF((COUNTBLANK(E987)=0),IF((COUNTBLANK(F987)=0),IF((COUNTBLANK(U987)=0),Stats!$E$6,Stats!$E$5),Stats!$E$4),""))</f>
        <v>Death</v>
      </c>
      <c r="C987" s="41" t="s">
        <v>413</v>
      </c>
      <c r="D987" s="306" t="str">
        <f>IF(B987=Stats!$E$6,Stats!$E$11,"")</f>
        <v/>
      </c>
      <c r="E987" s="89">
        <v>44789</v>
      </c>
      <c r="F987" s="89">
        <v>44811</v>
      </c>
      <c r="G987" s="327">
        <v>45101</v>
      </c>
      <c r="H987" s="313" t="s">
        <v>3139</v>
      </c>
      <c r="I987" s="313"/>
      <c r="J987" s="313" t="s">
        <v>152</v>
      </c>
      <c r="K987" s="306"/>
      <c r="L987" s="306"/>
      <c r="M987" s="306"/>
      <c r="N987" s="304"/>
      <c r="O987" s="313"/>
      <c r="P987" s="328" t="s">
        <v>4112</v>
      </c>
      <c r="Q987" s="328" t="s">
        <v>3709</v>
      </c>
      <c r="R987" s="313" t="s">
        <v>249</v>
      </c>
      <c r="S987" s="313"/>
      <c r="T987" s="313"/>
      <c r="U987" s="313"/>
      <c r="V987" s="313"/>
      <c r="W987" s="313"/>
      <c r="X987" s="313"/>
      <c r="Y987" s="319"/>
    </row>
    <row r="988" spans="1:25" s="91" customFormat="1" hidden="1" x14ac:dyDescent="0.25">
      <c r="A988" s="32" t="s">
        <v>1713</v>
      </c>
      <c r="B988" s="306" t="str">
        <f>IF((COUNTBLANK(G988)=0),Stats!$E$7,IF((COUNTBLANK(E988)=0),IF((COUNTBLANK(F988)=0),IF((COUNTBLANK(U988)=0),Stats!$E$6,Stats!$E$5),Stats!$E$4),""))</f>
        <v>Death</v>
      </c>
      <c r="C988" s="41" t="s">
        <v>413</v>
      </c>
      <c r="D988" s="306" t="str">
        <f>IF(B988=Stats!$E$6,Stats!$E$11,"")</f>
        <v/>
      </c>
      <c r="E988" s="89">
        <v>44789</v>
      </c>
      <c r="F988" s="89">
        <v>44812</v>
      </c>
      <c r="G988" s="316">
        <v>45229</v>
      </c>
      <c r="H988" s="313" t="s">
        <v>3139</v>
      </c>
      <c r="I988" s="313"/>
      <c r="J988" s="313" t="s">
        <v>152</v>
      </c>
      <c r="K988" s="306"/>
      <c r="L988" s="306"/>
      <c r="M988" s="306"/>
      <c r="N988" s="304"/>
      <c r="O988" s="313"/>
      <c r="P988" s="328" t="s">
        <v>4112</v>
      </c>
      <c r="Q988" s="328" t="s">
        <v>3709</v>
      </c>
      <c r="R988" s="313" t="s">
        <v>243</v>
      </c>
      <c r="S988" s="313"/>
      <c r="T988" s="313"/>
      <c r="U988" s="313"/>
      <c r="V988" s="313"/>
      <c r="W988" s="313"/>
      <c r="X988" s="313"/>
      <c r="Y988" s="319"/>
    </row>
    <row r="989" spans="1:25" s="91" customFormat="1" hidden="1" x14ac:dyDescent="0.25">
      <c r="A989" s="32" t="s">
        <v>1714</v>
      </c>
      <c r="B989" s="306" t="str">
        <f>IF((COUNTBLANK(G989)=0),Stats!$E$7,IF((COUNTBLANK(E989)=0),IF((COUNTBLANK(F989)=0),IF((COUNTBLANK(U989)=0),Stats!$E$6,Stats!$E$5),Stats!$E$4),""))</f>
        <v>Death</v>
      </c>
      <c r="C989" s="41" t="s">
        <v>413</v>
      </c>
      <c r="D989" s="306" t="str">
        <f>IF(B989=Stats!$E$6,Stats!$E$11,"")</f>
        <v/>
      </c>
      <c r="E989" s="89">
        <v>44789</v>
      </c>
      <c r="F989" s="89">
        <v>44812</v>
      </c>
      <c r="G989" s="316">
        <v>45229</v>
      </c>
      <c r="H989" s="313" t="s">
        <v>3139</v>
      </c>
      <c r="I989" s="313"/>
      <c r="J989" s="313" t="s">
        <v>152</v>
      </c>
      <c r="K989" s="306"/>
      <c r="L989" s="306"/>
      <c r="M989" s="306"/>
      <c r="N989" s="304"/>
      <c r="O989" s="313"/>
      <c r="P989" s="328" t="s">
        <v>4112</v>
      </c>
      <c r="Q989" s="328" t="s">
        <v>3709</v>
      </c>
      <c r="R989" s="313" t="s">
        <v>291</v>
      </c>
      <c r="S989" s="313"/>
      <c r="T989" s="313"/>
      <c r="U989" s="313"/>
      <c r="V989" s="313"/>
      <c r="W989" s="313"/>
      <c r="X989" s="313"/>
      <c r="Y989" s="319"/>
    </row>
    <row r="990" spans="1:25" s="91" customFormat="1" hidden="1" x14ac:dyDescent="0.25">
      <c r="A990" s="32" t="s">
        <v>1715</v>
      </c>
      <c r="B990" s="315" t="str">
        <f>IF((COUNTBLANK(G990)=0),Stats!$E$7,IF((COUNTBLANK(E990)=0),IF((COUNTBLANK(F990)=0),IF((COUNTBLANK(U990)=0),Stats!$E$6,Stats!$E$5),Stats!$E$4),""))</f>
        <v>Death</v>
      </c>
      <c r="C990" s="39" t="s">
        <v>284</v>
      </c>
      <c r="D990" s="315"/>
      <c r="E990" s="88">
        <v>44810</v>
      </c>
      <c r="F990" s="316">
        <v>44822</v>
      </c>
      <c r="G990" s="316">
        <v>36893</v>
      </c>
      <c r="H990" s="317" t="s">
        <v>3099</v>
      </c>
      <c r="I990" s="313"/>
      <c r="J990" s="317" t="s">
        <v>4650</v>
      </c>
      <c r="K990" s="315" t="s">
        <v>4678</v>
      </c>
      <c r="L990" s="315"/>
      <c r="M990" s="317"/>
      <c r="N990" s="320" t="s">
        <v>3365</v>
      </c>
      <c r="O990" s="317" t="s">
        <v>51</v>
      </c>
      <c r="P990" s="318">
        <v>450</v>
      </c>
      <c r="Q990" s="318">
        <v>500</v>
      </c>
      <c r="R990" s="317" t="s">
        <v>243</v>
      </c>
      <c r="S990" s="317"/>
      <c r="T990" s="317"/>
      <c r="U990" s="317"/>
      <c r="V990" s="317"/>
      <c r="W990" s="317"/>
      <c r="X990" s="317"/>
      <c r="Y990" s="319"/>
    </row>
    <row r="991" spans="1:25" s="91" customFormat="1" hidden="1" x14ac:dyDescent="0.25">
      <c r="A991" s="99" t="s">
        <v>1716</v>
      </c>
      <c r="B991" s="357" t="str">
        <f>IF((COUNTBLANK(G991)=0),Stats!$E$7,IF((COUNTBLANK(E991)=0),IF((COUNTBLANK(F991)=0),IF((COUNTBLANK(U991)=0),Stats!$E$6,Stats!$E$5),Stats!$E$4),""))</f>
        <v>Death</v>
      </c>
      <c r="C991" s="100" t="s">
        <v>284</v>
      </c>
      <c r="D991" s="357" t="s">
        <v>59</v>
      </c>
      <c r="E991" s="101">
        <v>44810</v>
      </c>
      <c r="F991" s="101">
        <v>44825</v>
      </c>
      <c r="G991" s="358">
        <v>45122</v>
      </c>
      <c r="H991" s="359" t="s">
        <v>98</v>
      </c>
      <c r="I991" s="359"/>
      <c r="J991" s="359" t="s">
        <v>4650</v>
      </c>
      <c r="K991" s="357" t="s">
        <v>4678</v>
      </c>
      <c r="L991" s="357"/>
      <c r="M991" s="357"/>
      <c r="N991" s="360" t="s">
        <v>3365</v>
      </c>
      <c r="O991" s="359" t="s">
        <v>51</v>
      </c>
      <c r="P991" s="361">
        <v>450</v>
      </c>
      <c r="Q991" s="361">
        <v>500</v>
      </c>
      <c r="R991" s="359" t="s">
        <v>249</v>
      </c>
      <c r="S991" s="359"/>
      <c r="T991" s="359"/>
      <c r="U991" s="359" t="s">
        <v>4769</v>
      </c>
      <c r="V991" s="359"/>
      <c r="W991" s="359"/>
      <c r="X991" s="359"/>
      <c r="Y991" s="362"/>
    </row>
    <row r="992" spans="1:25" s="91" customFormat="1" hidden="1" x14ac:dyDescent="0.25">
      <c r="A992" s="99" t="s">
        <v>1717</v>
      </c>
      <c r="B992" s="357" t="str">
        <f>IF((COUNTBLANK(G992)=0),Stats!$E$7,IF((COUNTBLANK(E992)=0),IF((COUNTBLANK(F992)=0),IF((COUNTBLANK(U992)=0),Stats!$E$6,Stats!$E$5),Stats!$E$4),""))</f>
        <v>Death</v>
      </c>
      <c r="C992" s="100" t="s">
        <v>284</v>
      </c>
      <c r="D992" s="357" t="s">
        <v>59</v>
      </c>
      <c r="E992" s="101">
        <v>44810</v>
      </c>
      <c r="F992" s="101">
        <v>44825</v>
      </c>
      <c r="G992" s="358">
        <v>45156</v>
      </c>
      <c r="H992" s="359" t="s">
        <v>98</v>
      </c>
      <c r="I992" s="359"/>
      <c r="J992" s="359" t="s">
        <v>4650</v>
      </c>
      <c r="K992" s="357" t="s">
        <v>4678</v>
      </c>
      <c r="L992" s="357"/>
      <c r="M992" s="357"/>
      <c r="N992" s="360" t="s">
        <v>3365</v>
      </c>
      <c r="O992" s="359" t="s">
        <v>51</v>
      </c>
      <c r="P992" s="361">
        <v>450</v>
      </c>
      <c r="Q992" s="361">
        <v>500</v>
      </c>
      <c r="R992" s="359" t="s">
        <v>279</v>
      </c>
      <c r="S992" s="359"/>
      <c r="T992" s="359"/>
      <c r="U992" s="359" t="s">
        <v>4770</v>
      </c>
      <c r="V992" s="359"/>
      <c r="W992" s="359"/>
      <c r="X992" s="359"/>
      <c r="Y992" s="362"/>
    </row>
    <row r="993" spans="1:25" s="91" customFormat="1" hidden="1" x14ac:dyDescent="0.25">
      <c r="A993" s="32" t="s">
        <v>1718</v>
      </c>
      <c r="B993" s="315" t="str">
        <f>IF((COUNTBLANK(G993)=0),Stats!$E$7,IF((COUNTBLANK(E993)=0),IF((COUNTBLANK(F993)=0),IF((COUNTBLANK(U993)=0),Stats!$E$6,Stats!$E$5),Stats!$E$4),""))</f>
        <v>Death</v>
      </c>
      <c r="C993" s="39" t="s">
        <v>3113</v>
      </c>
      <c r="D993" s="315"/>
      <c r="E993" s="88">
        <v>44811</v>
      </c>
      <c r="F993" s="316">
        <v>44811</v>
      </c>
      <c r="G993" s="316">
        <v>36893</v>
      </c>
      <c r="H993" s="317" t="s">
        <v>98</v>
      </c>
      <c r="I993" s="313"/>
      <c r="J993" s="317" t="s">
        <v>152</v>
      </c>
      <c r="K993" s="315" t="s">
        <v>4748</v>
      </c>
      <c r="L993" s="315"/>
      <c r="M993" s="317"/>
      <c r="N993" s="320"/>
      <c r="O993" s="317" t="s">
        <v>4771</v>
      </c>
      <c r="P993" s="318">
        <v>450</v>
      </c>
      <c r="Q993" s="318" t="s">
        <v>4772</v>
      </c>
      <c r="R993" s="317" t="s">
        <v>249</v>
      </c>
      <c r="S993" s="317"/>
      <c r="T993" s="317"/>
      <c r="U993" s="317"/>
      <c r="V993" s="317"/>
      <c r="W993" s="317"/>
      <c r="X993" s="317"/>
      <c r="Y993" s="319"/>
    </row>
    <row r="994" spans="1:25" s="91" customFormat="1" hidden="1" x14ac:dyDescent="0.25">
      <c r="A994" s="32" t="s">
        <v>1719</v>
      </c>
      <c r="B994" s="315" t="str">
        <f>IF((COUNTBLANK(G994)=0),Stats!$E$7,IF((COUNTBLANK(E994)=0),IF((COUNTBLANK(F994)=0),IF((COUNTBLANK(U994)=0),Stats!$E$6,Stats!$E$5),Stats!$E$4),""))</f>
        <v>Death</v>
      </c>
      <c r="C994" s="39" t="s">
        <v>3113</v>
      </c>
      <c r="D994" s="315"/>
      <c r="E994" s="88">
        <v>44811</v>
      </c>
      <c r="F994" s="316">
        <v>44811</v>
      </c>
      <c r="G994" s="316">
        <v>36893</v>
      </c>
      <c r="H994" s="317" t="s">
        <v>3099</v>
      </c>
      <c r="I994" s="313"/>
      <c r="J994" s="317" t="s">
        <v>152</v>
      </c>
      <c r="K994" s="315" t="s">
        <v>4748</v>
      </c>
      <c r="L994" s="315"/>
      <c r="M994" s="317"/>
      <c r="N994" s="320"/>
      <c r="O994" s="317" t="s">
        <v>4771</v>
      </c>
      <c r="P994" s="318">
        <v>450</v>
      </c>
      <c r="Q994" s="318" t="s">
        <v>4772</v>
      </c>
      <c r="R994" s="317" t="s">
        <v>291</v>
      </c>
      <c r="S994" s="317"/>
      <c r="T994" s="317"/>
      <c r="U994" s="317"/>
      <c r="V994" s="317"/>
      <c r="W994" s="317"/>
      <c r="X994" s="317"/>
      <c r="Y994" s="319"/>
    </row>
    <row r="995" spans="1:25" s="91" customFormat="1" hidden="1" x14ac:dyDescent="0.25">
      <c r="A995" s="32" t="s">
        <v>1720</v>
      </c>
      <c r="B995" s="306" t="str">
        <f>IF((COUNTBLANK(G995)=0),Stats!$E$7,IF((COUNTBLANK(E995)=0),IF((COUNTBLANK(F995)=0),IF((COUNTBLANK(U995)=0),Stats!$E$6,Stats!$E$5),Stats!$E$4),""))</f>
        <v>Death</v>
      </c>
      <c r="C995" s="41" t="s">
        <v>413</v>
      </c>
      <c r="D995" s="306" t="str">
        <f>IF(B995=Stats!$E$6,Stats!$E$11,"")</f>
        <v/>
      </c>
      <c r="E995" s="89">
        <v>44813</v>
      </c>
      <c r="F995" s="89"/>
      <c r="G995" s="316">
        <v>45229</v>
      </c>
      <c r="H995" s="313" t="s">
        <v>3118</v>
      </c>
      <c r="I995" s="313"/>
      <c r="J995" s="313" t="s">
        <v>3186</v>
      </c>
      <c r="K995" s="306" t="s">
        <v>4773</v>
      </c>
      <c r="L995" s="306" t="s">
        <v>471</v>
      </c>
      <c r="M995" s="306"/>
      <c r="N995" s="304" t="s">
        <v>3273</v>
      </c>
      <c r="O995" s="313" t="s">
        <v>4774</v>
      </c>
      <c r="P995" s="328" t="s">
        <v>4775</v>
      </c>
      <c r="Q995" s="328" t="s">
        <v>4776</v>
      </c>
      <c r="R995" s="313" t="s">
        <v>279</v>
      </c>
      <c r="S995" s="313"/>
      <c r="T995" s="313"/>
      <c r="U995" s="313"/>
      <c r="V995" s="313"/>
      <c r="W995" s="313"/>
      <c r="X995" s="313"/>
      <c r="Y995" s="319"/>
    </row>
    <row r="996" spans="1:25" s="91" customFormat="1" hidden="1" x14ac:dyDescent="0.25">
      <c r="A996" s="135" t="s">
        <v>1721</v>
      </c>
      <c r="B996" s="363" t="str">
        <f>IF((COUNTBLANK(G996)=0),Stats!$E$7,IF((COUNTBLANK(E996)=0),IF((COUNTBLANK(F996)=0),IF((COUNTBLANK(U996)=0),Stats!$E$6,Stats!$E$5),Stats!$E$4),""))</f>
        <v>Death</v>
      </c>
      <c r="C996" s="136" t="s">
        <v>413</v>
      </c>
      <c r="D996" s="363" t="str">
        <f>IF(B996=Stats!$E$6,Stats!$E$11,"")</f>
        <v/>
      </c>
      <c r="E996" s="137">
        <v>44813</v>
      </c>
      <c r="F996" s="137"/>
      <c r="G996" s="364">
        <v>44927</v>
      </c>
      <c r="H996" s="365" t="s">
        <v>3118</v>
      </c>
      <c r="I996" s="365"/>
      <c r="J996" s="365" t="s">
        <v>3186</v>
      </c>
      <c r="K996" s="363" t="s">
        <v>4773</v>
      </c>
      <c r="L996" s="363" t="s">
        <v>471</v>
      </c>
      <c r="M996" s="363"/>
      <c r="N996" s="366" t="s">
        <v>3273</v>
      </c>
      <c r="O996" s="365" t="s">
        <v>4774</v>
      </c>
      <c r="P996" s="367" t="s">
        <v>4775</v>
      </c>
      <c r="Q996" s="367" t="s">
        <v>4776</v>
      </c>
      <c r="R996" s="365" t="s">
        <v>279</v>
      </c>
      <c r="S996" s="365"/>
      <c r="T996" s="365"/>
      <c r="U996" s="365"/>
      <c r="V996" s="365"/>
      <c r="W996" s="365"/>
      <c r="X996" s="313"/>
      <c r="Y996" s="368"/>
    </row>
    <row r="997" spans="1:25" s="91" customFormat="1" hidden="1" x14ac:dyDescent="0.25">
      <c r="A997" s="135" t="s">
        <v>1722</v>
      </c>
      <c r="B997" s="363" t="str">
        <f>IF((COUNTBLANK(G997)=0),Stats!$E$7,IF((COUNTBLANK(E997)=0),IF((COUNTBLANK(F997)=0),IF((COUNTBLANK(U997)=0),Stats!$E$6,Stats!$E$5),Stats!$E$4),""))</f>
        <v>Death</v>
      </c>
      <c r="C997" s="136" t="s">
        <v>413</v>
      </c>
      <c r="D997" s="363" t="str">
        <f>IF(B997=Stats!$E$6,Stats!$E$11,"")</f>
        <v/>
      </c>
      <c r="E997" s="137">
        <v>44817</v>
      </c>
      <c r="F997" s="137"/>
      <c r="G997" s="364">
        <v>44927</v>
      </c>
      <c r="H997" s="365" t="s">
        <v>3118</v>
      </c>
      <c r="I997" s="365"/>
      <c r="J997" s="365" t="s">
        <v>3186</v>
      </c>
      <c r="K997" s="363" t="s">
        <v>4773</v>
      </c>
      <c r="L997" s="363" t="s">
        <v>471</v>
      </c>
      <c r="M997" s="363"/>
      <c r="N997" s="366" t="s">
        <v>3815</v>
      </c>
      <c r="O997" s="365" t="s">
        <v>4774</v>
      </c>
      <c r="P997" s="367" t="s">
        <v>4775</v>
      </c>
      <c r="Q997" s="367" t="s">
        <v>4776</v>
      </c>
      <c r="R997" s="365" t="s">
        <v>291</v>
      </c>
      <c r="S997" s="365"/>
      <c r="T997" s="365"/>
      <c r="U997" s="365"/>
      <c r="V997" s="365"/>
      <c r="W997" s="365"/>
      <c r="X997" s="313"/>
      <c r="Y997" s="368"/>
    </row>
    <row r="998" spans="1:25" s="91" customFormat="1" hidden="1" x14ac:dyDescent="0.25">
      <c r="A998" s="32" t="s">
        <v>1723</v>
      </c>
      <c r="B998" s="306" t="str">
        <f>IF((COUNTBLANK(G998)=0),Stats!$E$7,IF((COUNTBLANK(E998)=0),IF((COUNTBLANK(F998)=0),IF((COUNTBLANK(U998)=0),Stats!$E$6,Stats!$E$5),Stats!$E$4),""))</f>
        <v>Death</v>
      </c>
      <c r="C998" s="41" t="s">
        <v>413</v>
      </c>
      <c r="D998" s="306" t="str">
        <f>IF(B998=Stats!$E$6,Stats!$E$11,"")</f>
        <v/>
      </c>
      <c r="E998" s="89">
        <v>44817</v>
      </c>
      <c r="F998" s="89"/>
      <c r="G998" s="327">
        <v>45108</v>
      </c>
      <c r="H998" s="313" t="s">
        <v>3118</v>
      </c>
      <c r="I998" s="313"/>
      <c r="J998" s="313" t="s">
        <v>3186</v>
      </c>
      <c r="K998" s="306" t="s">
        <v>4773</v>
      </c>
      <c r="L998" s="306" t="s">
        <v>471</v>
      </c>
      <c r="M998" s="306"/>
      <c r="N998" s="304" t="s">
        <v>3815</v>
      </c>
      <c r="O998" s="313" t="s">
        <v>4774</v>
      </c>
      <c r="P998" s="328" t="s">
        <v>4775</v>
      </c>
      <c r="Q998" s="328" t="s">
        <v>4776</v>
      </c>
      <c r="R998" s="313" t="s">
        <v>291</v>
      </c>
      <c r="S998" s="313"/>
      <c r="T998" s="313"/>
      <c r="U998" s="313"/>
      <c r="V998" s="313"/>
      <c r="W998" s="313"/>
      <c r="X998" s="313"/>
      <c r="Y998" s="319"/>
    </row>
    <row r="999" spans="1:25" s="91" customFormat="1" hidden="1" x14ac:dyDescent="0.25">
      <c r="A999" s="32" t="s">
        <v>1724</v>
      </c>
      <c r="B999" s="306" t="str">
        <f>IF((COUNTBLANK(G999)=0),Stats!$E$7,IF((COUNTBLANK(E999)=0),IF((COUNTBLANK(F999)=0),IF((COUNTBLANK(U999)=0),Stats!$E$6,Stats!$E$5),Stats!$E$4),""))</f>
        <v>Death</v>
      </c>
      <c r="C999" s="41" t="s">
        <v>413</v>
      </c>
      <c r="D999" s="306" t="str">
        <f>IF(B999=Stats!$E$6,Stats!$E$11,"")</f>
        <v/>
      </c>
      <c r="E999" s="89">
        <v>44818</v>
      </c>
      <c r="F999" s="89"/>
      <c r="G999" s="316">
        <v>45229</v>
      </c>
      <c r="H999" s="313" t="s">
        <v>3118</v>
      </c>
      <c r="I999" s="313"/>
      <c r="J999" s="313" t="s">
        <v>3186</v>
      </c>
      <c r="K999" s="306" t="s">
        <v>4773</v>
      </c>
      <c r="L999" s="306" t="s">
        <v>471</v>
      </c>
      <c r="M999" s="306"/>
      <c r="N999" s="304" t="s">
        <v>4777</v>
      </c>
      <c r="O999" s="313" t="s">
        <v>4774</v>
      </c>
      <c r="P999" s="328" t="s">
        <v>4775</v>
      </c>
      <c r="Q999" s="328" t="s">
        <v>4776</v>
      </c>
      <c r="R999" s="313" t="s">
        <v>279</v>
      </c>
      <c r="S999" s="313"/>
      <c r="T999" s="313"/>
      <c r="U999" s="313"/>
      <c r="V999" s="313"/>
      <c r="W999" s="313"/>
      <c r="X999" s="313"/>
      <c r="Y999" s="319"/>
    </row>
    <row r="1000" spans="1:25" s="91" customFormat="1" hidden="1" x14ac:dyDescent="0.25">
      <c r="A1000" s="135" t="s">
        <v>1725</v>
      </c>
      <c r="B1000" s="363" t="str">
        <f>IF((COUNTBLANK(G1000)=0),Stats!$E$7,IF((COUNTBLANK(E1000)=0),IF((COUNTBLANK(F1000)=0),IF((COUNTBLANK(U1000)=0),Stats!$E$6,Stats!$E$5),Stats!$E$4),""))</f>
        <v>Death</v>
      </c>
      <c r="C1000" s="136" t="s">
        <v>413</v>
      </c>
      <c r="D1000" s="363" t="str">
        <f>IF(B1000=Stats!$E$6,Stats!$E$11,"")</f>
        <v/>
      </c>
      <c r="E1000" s="137">
        <v>44818</v>
      </c>
      <c r="F1000" s="137"/>
      <c r="G1000" s="364">
        <v>44927</v>
      </c>
      <c r="H1000" s="365" t="s">
        <v>3118</v>
      </c>
      <c r="I1000" s="365"/>
      <c r="J1000" s="365" t="s">
        <v>3186</v>
      </c>
      <c r="K1000" s="363" t="s">
        <v>4773</v>
      </c>
      <c r="L1000" s="363" t="s">
        <v>471</v>
      </c>
      <c r="M1000" s="363"/>
      <c r="N1000" s="366" t="s">
        <v>4777</v>
      </c>
      <c r="O1000" s="365" t="s">
        <v>4774</v>
      </c>
      <c r="P1000" s="367" t="s">
        <v>4775</v>
      </c>
      <c r="Q1000" s="367" t="s">
        <v>4776</v>
      </c>
      <c r="R1000" s="365" t="s">
        <v>279</v>
      </c>
      <c r="S1000" s="365"/>
      <c r="T1000" s="365"/>
      <c r="U1000" s="365"/>
      <c r="V1000" s="365"/>
      <c r="W1000" s="365"/>
      <c r="X1000" s="313"/>
      <c r="Y1000" s="368"/>
    </row>
    <row r="1001" spans="1:25" s="91" customFormat="1" hidden="1" x14ac:dyDescent="0.25">
      <c r="A1001" s="99" t="s">
        <v>1726</v>
      </c>
      <c r="B1001" s="357" t="str">
        <f>IF((COUNTBLANK(G1001)=0),Stats!$E$7,IF((COUNTBLANK(E1001)=0),IF((COUNTBLANK(F1001)=0),IF((COUNTBLANK(U1001)=0),Stats!$E$6,Stats!$E$5),Stats!$E$4),""))</f>
        <v>Death</v>
      </c>
      <c r="C1001" s="100" t="s">
        <v>3113</v>
      </c>
      <c r="D1001" s="357" t="str">
        <f>IF(B1001=Stats!$E$6,Stats!$E$11,"")</f>
        <v/>
      </c>
      <c r="E1001" s="101">
        <v>44816</v>
      </c>
      <c r="F1001" s="101">
        <v>44816</v>
      </c>
      <c r="G1001" s="316">
        <v>45229</v>
      </c>
      <c r="H1001" s="359" t="s">
        <v>98</v>
      </c>
      <c r="I1001" s="359"/>
      <c r="J1001" s="359" t="s">
        <v>152</v>
      </c>
      <c r="K1001" s="357" t="s">
        <v>4748</v>
      </c>
      <c r="L1001" s="357"/>
      <c r="M1001" s="357"/>
      <c r="N1001" s="360"/>
      <c r="O1001" s="359" t="s">
        <v>4778</v>
      </c>
      <c r="P1001" s="361">
        <v>450</v>
      </c>
      <c r="Q1001" s="361">
        <v>500</v>
      </c>
      <c r="R1001" s="359" t="s">
        <v>279</v>
      </c>
      <c r="S1001" s="359"/>
      <c r="T1001" s="359"/>
      <c r="U1001" s="359"/>
      <c r="V1001" s="359"/>
      <c r="W1001" s="359"/>
      <c r="X1001" s="359"/>
      <c r="Y1001" s="362"/>
    </row>
    <row r="1002" spans="1:25" s="91" customFormat="1" hidden="1" x14ac:dyDescent="0.25">
      <c r="A1002" s="99" t="s">
        <v>1727</v>
      </c>
      <c r="B1002" s="357" t="str">
        <f>IF((COUNTBLANK(G1002)=0),Stats!$E$7,IF((COUNTBLANK(E1002)=0),IF((COUNTBLANK(F1002)=0),IF((COUNTBLANK(U1002)=0),Stats!$E$6,Stats!$E$5),Stats!$E$4),""))</f>
        <v>Death</v>
      </c>
      <c r="C1002" s="100" t="s">
        <v>3113</v>
      </c>
      <c r="D1002" s="357" t="str">
        <f>IF(B1002=Stats!$E$6,Stats!$E$11,"")</f>
        <v/>
      </c>
      <c r="E1002" s="101">
        <v>44816</v>
      </c>
      <c r="F1002" s="101">
        <v>44816</v>
      </c>
      <c r="G1002" s="327">
        <v>44993</v>
      </c>
      <c r="H1002" s="359" t="s">
        <v>98</v>
      </c>
      <c r="I1002" s="359"/>
      <c r="J1002" s="359" t="s">
        <v>152</v>
      </c>
      <c r="K1002" s="357" t="s">
        <v>4748</v>
      </c>
      <c r="L1002" s="357"/>
      <c r="M1002" s="357"/>
      <c r="N1002" s="360"/>
      <c r="O1002" s="359" t="s">
        <v>4778</v>
      </c>
      <c r="P1002" s="361">
        <v>450</v>
      </c>
      <c r="Q1002" s="361">
        <v>500</v>
      </c>
      <c r="R1002" s="359" t="s">
        <v>243</v>
      </c>
      <c r="S1002" s="359"/>
      <c r="T1002" s="359"/>
      <c r="U1002" s="359"/>
      <c r="V1002" s="359"/>
      <c r="W1002" s="359"/>
      <c r="X1002" s="359"/>
      <c r="Y1002" s="362"/>
    </row>
    <row r="1003" spans="1:25" s="91" customFormat="1" hidden="1" x14ac:dyDescent="0.25">
      <c r="A1003" s="102" t="s">
        <v>1728</v>
      </c>
      <c r="B1003" s="369" t="str">
        <f>IF((COUNTBLANK(G1003)=0),Stats!$E$7,IF((COUNTBLANK(E1003)=0),IF((COUNTBLANK(F1003)=0),IF((COUNTBLANK(U1003)=0),Stats!$E$6,Stats!$E$5),Stats!$E$4),""))</f>
        <v>Death</v>
      </c>
      <c r="C1003" s="103" t="s">
        <v>284</v>
      </c>
      <c r="D1003" s="369" t="s">
        <v>325</v>
      </c>
      <c r="E1003" s="104">
        <v>44832</v>
      </c>
      <c r="F1003" s="104">
        <v>44832</v>
      </c>
      <c r="G1003" s="316">
        <v>45229</v>
      </c>
      <c r="H1003" s="370" t="s">
        <v>98</v>
      </c>
      <c r="I1003" s="370"/>
      <c r="J1003" s="370" t="s">
        <v>152</v>
      </c>
      <c r="K1003" s="369" t="s">
        <v>493</v>
      </c>
      <c r="L1003" s="369"/>
      <c r="M1003" s="369"/>
      <c r="N1003" s="371"/>
      <c r="O1003" s="370" t="s">
        <v>51</v>
      </c>
      <c r="P1003" s="372">
        <v>450</v>
      </c>
      <c r="Q1003" s="372">
        <v>500</v>
      </c>
      <c r="R1003" s="370"/>
      <c r="S1003" s="370"/>
      <c r="T1003" s="370"/>
      <c r="U1003" s="370" t="s">
        <v>4779</v>
      </c>
      <c r="V1003" s="370"/>
      <c r="W1003" s="370"/>
      <c r="X1003" s="370"/>
      <c r="Y1003" s="373"/>
    </row>
    <row r="1004" spans="1:25" s="91" customFormat="1" hidden="1" x14ac:dyDescent="0.25">
      <c r="A1004" s="102" t="s">
        <v>1729</v>
      </c>
      <c r="B1004" s="369" t="str">
        <f>IF((COUNTBLANK(G1004)=0),Stats!$E$7,IF((COUNTBLANK(E1004)=0),IF((COUNTBLANK(F1004)=0),IF((COUNTBLANK(U1004)=0),Stats!$E$6,Stats!$E$5),Stats!$E$4),""))</f>
        <v>Death</v>
      </c>
      <c r="C1004" s="103" t="s">
        <v>284</v>
      </c>
      <c r="D1004" s="369" t="s">
        <v>325</v>
      </c>
      <c r="E1004" s="104">
        <v>44832</v>
      </c>
      <c r="F1004" s="104">
        <v>44838</v>
      </c>
      <c r="G1004" s="374">
        <v>44993</v>
      </c>
      <c r="H1004" s="370" t="s">
        <v>3099</v>
      </c>
      <c r="I1004" s="370"/>
      <c r="J1004" s="370" t="s">
        <v>152</v>
      </c>
      <c r="K1004" s="369" t="s">
        <v>493</v>
      </c>
      <c r="L1004" s="369"/>
      <c r="M1004" s="369"/>
      <c r="N1004" s="371"/>
      <c r="O1004" s="370" t="s">
        <v>51</v>
      </c>
      <c r="P1004" s="372">
        <v>450</v>
      </c>
      <c r="Q1004" s="372">
        <v>500</v>
      </c>
      <c r="R1004" s="370" t="s">
        <v>279</v>
      </c>
      <c r="S1004" s="370"/>
      <c r="T1004" s="370"/>
      <c r="U1004" s="105" t="s">
        <v>4779</v>
      </c>
      <c r="V1004" s="370"/>
      <c r="W1004" s="370"/>
      <c r="X1004" s="370"/>
      <c r="Y1004" s="373"/>
    </row>
    <row r="1005" spans="1:25" s="91" customFormat="1" hidden="1" x14ac:dyDescent="0.25">
      <c r="A1005" s="32" t="s">
        <v>1730</v>
      </c>
      <c r="B1005" s="315" t="str">
        <f>IF((COUNTBLANK(G1005)=0),Stats!$E$7,IF((COUNTBLANK(E1005)=0),IF((COUNTBLANK(F1005)=0),IF((COUNTBLANK(U1005)=0),Stats!$E$6,Stats!$E$5),Stats!$E$4),""))</f>
        <v>Death</v>
      </c>
      <c r="C1005" s="40" t="s">
        <v>284</v>
      </c>
      <c r="D1005" s="306" t="s">
        <v>325</v>
      </c>
      <c r="E1005" s="89">
        <v>44832</v>
      </c>
      <c r="F1005" s="89">
        <v>44838</v>
      </c>
      <c r="G1005" s="327">
        <v>45190</v>
      </c>
      <c r="H1005" s="313" t="s">
        <v>3099</v>
      </c>
      <c r="I1005" s="313"/>
      <c r="J1005" s="313" t="s">
        <v>152</v>
      </c>
      <c r="K1005" s="306" t="s">
        <v>493</v>
      </c>
      <c r="L1005" s="306"/>
      <c r="M1005" s="306"/>
      <c r="N1005" s="304"/>
      <c r="O1005" s="313" t="s">
        <v>51</v>
      </c>
      <c r="P1005" s="328">
        <v>450</v>
      </c>
      <c r="Q1005" s="328">
        <v>500</v>
      </c>
      <c r="R1005" s="313" t="s">
        <v>279</v>
      </c>
      <c r="S1005" s="313"/>
      <c r="T1005" s="313"/>
      <c r="U1005" s="105" t="s">
        <v>4780</v>
      </c>
      <c r="V1005" s="313"/>
      <c r="W1005" s="313"/>
      <c r="X1005" s="313"/>
      <c r="Y1005" s="319"/>
    </row>
    <row r="1006" spans="1:25" s="91" customFormat="1" hidden="1" x14ac:dyDescent="0.25">
      <c r="A1006" s="32" t="s">
        <v>1731</v>
      </c>
      <c r="B1006" s="315" t="str">
        <f>IF((COUNTBLANK(G1006)=0),Stats!$E$7,IF((COUNTBLANK(E1006)=0),IF((COUNTBLANK(F1006)=0),IF((COUNTBLANK(U1006)=0),Stats!$E$6,Stats!$E$5),Stats!$E$4),""))</f>
        <v>Death</v>
      </c>
      <c r="C1006" s="40" t="s">
        <v>284</v>
      </c>
      <c r="D1006" s="306" t="s">
        <v>325</v>
      </c>
      <c r="E1006" s="89">
        <v>44832</v>
      </c>
      <c r="F1006" s="89">
        <v>44838</v>
      </c>
      <c r="G1006" s="327">
        <v>45145</v>
      </c>
      <c r="H1006" s="313" t="s">
        <v>98</v>
      </c>
      <c r="I1006" s="313"/>
      <c r="J1006" s="313" t="s">
        <v>152</v>
      </c>
      <c r="K1006" s="306" t="s">
        <v>493</v>
      </c>
      <c r="L1006" s="306"/>
      <c r="M1006" s="306"/>
      <c r="N1006" s="304"/>
      <c r="O1006" s="313" t="s">
        <v>51</v>
      </c>
      <c r="P1006" s="328">
        <v>450</v>
      </c>
      <c r="Q1006" s="328">
        <v>500</v>
      </c>
      <c r="R1006" s="313" t="s">
        <v>249</v>
      </c>
      <c r="S1006" s="313"/>
      <c r="T1006" s="313"/>
      <c r="U1006" s="105" t="s">
        <v>4780</v>
      </c>
      <c r="V1006" s="313"/>
      <c r="W1006" s="313"/>
      <c r="X1006" s="313"/>
      <c r="Y1006" s="319"/>
    </row>
    <row r="1007" spans="1:25" s="91" customFormat="1" hidden="1" x14ac:dyDescent="0.25">
      <c r="A1007" s="32" t="s">
        <v>1732</v>
      </c>
      <c r="B1007" s="306" t="str">
        <f>IF((COUNTBLANK(G1007)=0),Stats!$E$7,IF((COUNTBLANK(E1007)=0),IF((COUNTBLANK(F1007)=0),IF((COUNTBLANK(U1007)=0),Stats!$E$6,Stats!$E$5),Stats!$E$4),""))</f>
        <v>Death</v>
      </c>
      <c r="C1007" s="41" t="s">
        <v>284</v>
      </c>
      <c r="D1007" s="306" t="str">
        <f>IF(B1007=Stats!$E$6,Stats!$E$11,"")</f>
        <v/>
      </c>
      <c r="E1007" s="89">
        <v>44846</v>
      </c>
      <c r="F1007" s="89"/>
      <c r="G1007" s="89">
        <v>44848</v>
      </c>
      <c r="H1007" s="34" t="s">
        <v>3099</v>
      </c>
      <c r="I1007" s="313"/>
      <c r="J1007" s="34"/>
      <c r="K1007" s="36" t="s">
        <v>4758</v>
      </c>
      <c r="L1007" s="36" t="s">
        <v>4781</v>
      </c>
      <c r="M1007" s="36"/>
      <c r="N1007" s="65" t="s">
        <v>3917</v>
      </c>
      <c r="O1007" s="34" t="s">
        <v>51</v>
      </c>
      <c r="P1007" s="68">
        <v>450</v>
      </c>
      <c r="Q1007" s="68">
        <v>500</v>
      </c>
      <c r="R1007" s="34" t="s">
        <v>243</v>
      </c>
      <c r="S1007" s="34"/>
      <c r="T1007" s="34"/>
      <c r="U1007" s="34"/>
      <c r="V1007" s="34"/>
      <c r="W1007" s="34"/>
      <c r="X1007" s="34"/>
      <c r="Y1007"/>
    </row>
    <row r="1008" spans="1:25" s="91" customFormat="1" hidden="1" x14ac:dyDescent="0.25">
      <c r="A1008" s="32" t="s">
        <v>1733</v>
      </c>
      <c r="B1008" s="306" t="str">
        <f>IF((COUNTBLANK(G1008)=0),Stats!$E$7,IF((COUNTBLANK(E1008)=0),IF((COUNTBLANK(F1008)=0),IF((COUNTBLANK(U1008)=0),Stats!$E$6,Stats!$E$5),Stats!$E$4),""))</f>
        <v>Death</v>
      </c>
      <c r="C1008" s="41" t="s">
        <v>413</v>
      </c>
      <c r="D1008" s="306" t="str">
        <f>IF(B1008=Stats!$E$6,Stats!$E$11,"")</f>
        <v/>
      </c>
      <c r="E1008" s="89">
        <v>44845</v>
      </c>
      <c r="F1008" s="89"/>
      <c r="G1008" s="327">
        <v>44993</v>
      </c>
      <c r="H1008" s="34" t="s">
        <v>3139</v>
      </c>
      <c r="I1008" s="313"/>
      <c r="J1008" s="34" t="s">
        <v>152</v>
      </c>
      <c r="K1008" s="36" t="s">
        <v>4782</v>
      </c>
      <c r="L1008" s="36" t="s">
        <v>4783</v>
      </c>
      <c r="M1008" s="36"/>
      <c r="N1008" s="65" t="s">
        <v>4200</v>
      </c>
      <c r="O1008" s="34" t="s">
        <v>51</v>
      </c>
      <c r="P1008" s="68" t="s">
        <v>4784</v>
      </c>
      <c r="Q1008" s="68" t="s">
        <v>3709</v>
      </c>
      <c r="R1008" s="34" t="s">
        <v>279</v>
      </c>
      <c r="S1008" s="34"/>
      <c r="T1008" s="34"/>
      <c r="U1008" s="34"/>
      <c r="V1008" s="34"/>
      <c r="W1008" s="34"/>
      <c r="X1008" s="34"/>
      <c r="Y1008"/>
    </row>
    <row r="1009" spans="1:25" s="91" customFormat="1" hidden="1" x14ac:dyDescent="0.25">
      <c r="A1009" s="32" t="s">
        <v>1734</v>
      </c>
      <c r="B1009" s="306" t="str">
        <f>IF((COUNTBLANK(G1009)=0),Stats!$E$7,IF((COUNTBLANK(E1009)=0),IF((COUNTBLANK(F1009)=0),IF((COUNTBLANK(U1009)=0),Stats!$E$6,Stats!$E$5),Stats!$E$4),""))</f>
        <v>Death</v>
      </c>
      <c r="C1009" s="41" t="s">
        <v>413</v>
      </c>
      <c r="D1009" s="306" t="str">
        <f>IF(B1009=Stats!$E$6,Stats!$E$11,"")</f>
        <v/>
      </c>
      <c r="E1009" s="89">
        <v>44845</v>
      </c>
      <c r="F1009" s="89"/>
      <c r="G1009" s="327">
        <v>44993</v>
      </c>
      <c r="H1009" s="34" t="s">
        <v>3139</v>
      </c>
      <c r="I1009" s="313"/>
      <c r="J1009" s="34" t="s">
        <v>152</v>
      </c>
      <c r="K1009" s="36" t="s">
        <v>4782</v>
      </c>
      <c r="L1009" s="36" t="s">
        <v>4783</v>
      </c>
      <c r="M1009" s="36"/>
      <c r="N1009" s="65" t="s">
        <v>4200</v>
      </c>
      <c r="O1009" s="34" t="s">
        <v>51</v>
      </c>
      <c r="P1009" s="68" t="s">
        <v>4784</v>
      </c>
      <c r="Q1009" s="68" t="s">
        <v>3709</v>
      </c>
      <c r="R1009" s="34" t="s">
        <v>249</v>
      </c>
      <c r="S1009" s="34"/>
      <c r="T1009" s="34"/>
      <c r="U1009" s="34"/>
      <c r="V1009" s="34"/>
      <c r="W1009" s="34"/>
      <c r="X1009" s="34"/>
      <c r="Y1009"/>
    </row>
    <row r="1010" spans="1:25" s="91" customFormat="1" hidden="1" x14ac:dyDescent="0.25">
      <c r="A1010" s="32" t="s">
        <v>1735</v>
      </c>
      <c r="B1010" s="306" t="str">
        <f>IF((COUNTBLANK(G1010)=0),Stats!$E$7,IF((COUNTBLANK(E1010)=0),IF((COUNTBLANK(F1010)=0),IF((COUNTBLANK(U1010)=0),Stats!$E$6,Stats!$E$5),Stats!$E$4),""))</f>
        <v>Death</v>
      </c>
      <c r="C1010" s="41" t="s">
        <v>413</v>
      </c>
      <c r="D1010" s="306" t="str">
        <f>IF(B1010=Stats!$E$6,Stats!$E$11,"")</f>
        <v/>
      </c>
      <c r="E1010" s="89">
        <v>44845</v>
      </c>
      <c r="F1010" s="89"/>
      <c r="G1010" s="327">
        <v>44993</v>
      </c>
      <c r="H1010" s="34" t="s">
        <v>3139</v>
      </c>
      <c r="I1010" s="313"/>
      <c r="J1010" s="34" t="s">
        <v>152</v>
      </c>
      <c r="K1010" s="36" t="s">
        <v>4747</v>
      </c>
      <c r="L1010" s="36" t="s">
        <v>4783</v>
      </c>
      <c r="M1010" s="36"/>
      <c r="N1010" s="65" t="s">
        <v>4200</v>
      </c>
      <c r="O1010" s="34" t="s">
        <v>51</v>
      </c>
      <c r="P1010" s="68" t="s">
        <v>4784</v>
      </c>
      <c r="Q1010" s="68" t="s">
        <v>3709</v>
      </c>
      <c r="R1010" s="34" t="s">
        <v>243</v>
      </c>
      <c r="S1010" s="34"/>
      <c r="T1010" s="34"/>
      <c r="U1010" s="34"/>
      <c r="V1010" s="34"/>
      <c r="W1010" s="34"/>
      <c r="X1010" s="34"/>
      <c r="Y1010"/>
    </row>
    <row r="1011" spans="1:25" s="91" customFormat="1" hidden="1" x14ac:dyDescent="0.25">
      <c r="A1011" s="32" t="s">
        <v>1736</v>
      </c>
      <c r="B1011" s="306" t="str">
        <f>IF((COUNTBLANK(G1011)=0),Stats!$E$7,IF((COUNTBLANK(E1011)=0),IF((COUNTBLANK(F1011)=0),IF((COUNTBLANK(U1011)=0),Stats!$E$6,Stats!$E$5),Stats!$E$4),""))</f>
        <v>Death</v>
      </c>
      <c r="C1011" s="41" t="s">
        <v>413</v>
      </c>
      <c r="D1011" s="306" t="str">
        <f>IF(B1011=Stats!$E$6,Stats!$E$11,"")</f>
        <v/>
      </c>
      <c r="E1011" s="89">
        <v>44845</v>
      </c>
      <c r="F1011" s="89"/>
      <c r="G1011" s="89">
        <v>45352</v>
      </c>
      <c r="H1011" s="34" t="s">
        <v>3139</v>
      </c>
      <c r="I1011" s="313"/>
      <c r="J1011" s="34" t="s">
        <v>152</v>
      </c>
      <c r="K1011" s="36" t="s">
        <v>4747</v>
      </c>
      <c r="L1011" s="36" t="s">
        <v>4783</v>
      </c>
      <c r="M1011" s="36"/>
      <c r="N1011" s="65" t="s">
        <v>4200</v>
      </c>
      <c r="O1011" s="34" t="s">
        <v>51</v>
      </c>
      <c r="P1011" s="68" t="s">
        <v>4784</v>
      </c>
      <c r="Q1011" s="68" t="s">
        <v>3709</v>
      </c>
      <c r="R1011" s="34" t="s">
        <v>291</v>
      </c>
      <c r="S1011" s="34"/>
      <c r="T1011" s="34"/>
      <c r="U1011" s="34"/>
      <c r="V1011" s="34"/>
      <c r="W1011" s="34"/>
      <c r="X1011" s="34"/>
      <c r="Y1011"/>
    </row>
    <row r="1012" spans="1:25" s="91" customFormat="1" hidden="1" x14ac:dyDescent="0.25">
      <c r="A1012" s="102" t="s">
        <v>1737</v>
      </c>
      <c r="B1012" s="369" t="str">
        <f>IF((COUNTBLANK(G1012)=0),Stats!$E$7,IF((COUNTBLANK(E1012)=0),IF((COUNTBLANK(F1012)=0),IF((COUNTBLANK(U1012)=0),Stats!$E$6,Stats!$E$5),Stats!$E$4),""))</f>
        <v>Death</v>
      </c>
      <c r="C1012" s="103" t="s">
        <v>284</v>
      </c>
      <c r="D1012" s="369" t="s">
        <v>325</v>
      </c>
      <c r="E1012" s="104">
        <v>44846</v>
      </c>
      <c r="F1012" s="104">
        <v>44853</v>
      </c>
      <c r="G1012" s="104">
        <v>44859</v>
      </c>
      <c r="H1012" s="105" t="s">
        <v>3099</v>
      </c>
      <c r="I1012" s="370"/>
      <c r="J1012" s="105"/>
      <c r="K1012" s="106" t="s">
        <v>4758</v>
      </c>
      <c r="L1012" s="106" t="s">
        <v>4781</v>
      </c>
      <c r="M1012" s="106"/>
      <c r="N1012" s="107" t="s">
        <v>3917</v>
      </c>
      <c r="O1012" s="105" t="s">
        <v>51</v>
      </c>
      <c r="P1012" s="108">
        <v>450</v>
      </c>
      <c r="Q1012" s="108">
        <v>450</v>
      </c>
      <c r="R1012" s="105" t="s">
        <v>249</v>
      </c>
      <c r="S1012" s="105"/>
      <c r="T1012" s="105"/>
      <c r="U1012" s="105" t="s">
        <v>4785</v>
      </c>
      <c r="V1012" s="105"/>
      <c r="W1012" s="105"/>
      <c r="X1012" s="105"/>
      <c r="Y1012" s="109"/>
    </row>
    <row r="1013" spans="1:25" s="91" customFormat="1" ht="13.5" hidden="1" customHeight="1" x14ac:dyDescent="0.25">
      <c r="A1013" s="32" t="s">
        <v>1738</v>
      </c>
      <c r="B1013" s="306" t="str">
        <f>IF((COUNTBLANK(G1013)=0),Stats!$E$7,IF((COUNTBLANK(E1013)=0),IF((COUNTBLANK(F1013)=0),IF((COUNTBLANK(U1013)=0),Stats!$E$6,Stats!$E$5),Stats!$E$4),""))</f>
        <v>Death</v>
      </c>
      <c r="C1013" s="41" t="s">
        <v>284</v>
      </c>
      <c r="D1013" s="306" t="str">
        <f>IF(B1013=Stats!$E$6,Stats!$E$11,"")</f>
        <v/>
      </c>
      <c r="E1013" s="89">
        <v>44847</v>
      </c>
      <c r="F1013" s="89">
        <v>44848</v>
      </c>
      <c r="G1013" s="89">
        <v>44849</v>
      </c>
      <c r="H1013" s="34" t="s">
        <v>98</v>
      </c>
      <c r="I1013" s="313"/>
      <c r="J1013" s="34"/>
      <c r="K1013" s="36" t="s">
        <v>4758</v>
      </c>
      <c r="L1013" s="36" t="s">
        <v>4781</v>
      </c>
      <c r="M1013" s="36"/>
      <c r="N1013" s="65" t="s">
        <v>3917</v>
      </c>
      <c r="O1013" s="34" t="s">
        <v>51</v>
      </c>
      <c r="P1013" s="68">
        <v>450</v>
      </c>
      <c r="Q1013" s="68">
        <v>450</v>
      </c>
      <c r="R1013" s="34" t="s">
        <v>279</v>
      </c>
      <c r="S1013" s="34"/>
      <c r="T1013" s="34"/>
      <c r="U1013" s="34"/>
      <c r="V1013" s="34"/>
      <c r="W1013" s="34"/>
      <c r="X1013" s="34"/>
      <c r="Y1013"/>
    </row>
    <row r="1014" spans="1:25" s="91" customFormat="1" hidden="1" x14ac:dyDescent="0.25">
      <c r="A1014" s="110" t="s">
        <v>1739</v>
      </c>
      <c r="B1014" s="375" t="str">
        <f>IF((COUNTBLANK(G1014)=0),Stats!$E$7,IF((COUNTBLANK(E1014)=0),IF((COUNTBLANK(F1014)=0),IF((COUNTBLANK(U1014)=0),Stats!$E$6,Stats!$E$5),Stats!$E$4),""))</f>
        <v>Death</v>
      </c>
      <c r="C1014" s="111" t="s">
        <v>284</v>
      </c>
      <c r="D1014" s="375" t="s">
        <v>59</v>
      </c>
      <c r="E1014" s="112">
        <v>44847</v>
      </c>
      <c r="F1014" s="112">
        <v>44853</v>
      </c>
      <c r="G1014" s="112">
        <v>45145</v>
      </c>
      <c r="H1014" s="113" t="s">
        <v>98</v>
      </c>
      <c r="I1014" s="376"/>
      <c r="J1014" s="113"/>
      <c r="K1014" s="114" t="s">
        <v>4758</v>
      </c>
      <c r="L1014" s="114" t="s">
        <v>4781</v>
      </c>
      <c r="M1014" s="114"/>
      <c r="N1014" s="115" t="s">
        <v>3917</v>
      </c>
      <c r="O1014" s="113" t="s">
        <v>51</v>
      </c>
      <c r="P1014" s="116">
        <v>450</v>
      </c>
      <c r="Q1014" s="116">
        <v>450</v>
      </c>
      <c r="R1014" s="113" t="s">
        <v>279</v>
      </c>
      <c r="S1014" s="113"/>
      <c r="T1014" s="113"/>
      <c r="U1014" s="113" t="s">
        <v>4786</v>
      </c>
      <c r="V1014" s="113"/>
      <c r="W1014" s="113"/>
      <c r="X1014" s="113"/>
      <c r="Y1014" s="117"/>
    </row>
    <row r="1015" spans="1:25" s="91" customFormat="1" hidden="1" x14ac:dyDescent="0.25">
      <c r="A1015" s="32" t="s">
        <v>1740</v>
      </c>
      <c r="B1015" s="306" t="str">
        <f>IF((COUNTBLANK(G1015)=0),Stats!$E$7,IF((COUNTBLANK(E1015)=0),IF((COUNTBLANK(F1015)=0),IF((COUNTBLANK(U1015)=0),Stats!$E$6,Stats!$E$5),Stats!$E$4),""))</f>
        <v>Death</v>
      </c>
      <c r="C1015" s="41" t="s">
        <v>284</v>
      </c>
      <c r="D1015" s="306" t="str">
        <f>IF(B1015=Stats!$E$6,Stats!$E$11,"")</f>
        <v/>
      </c>
      <c r="E1015" s="89">
        <v>44848</v>
      </c>
      <c r="F1015" s="89"/>
      <c r="G1015" s="316">
        <v>45229</v>
      </c>
      <c r="H1015" s="34" t="s">
        <v>3139</v>
      </c>
      <c r="I1015" s="313"/>
      <c r="J1015" s="34" t="s">
        <v>152</v>
      </c>
      <c r="K1015" s="36" t="s">
        <v>4199</v>
      </c>
      <c r="L1015" s="36" t="s">
        <v>4787</v>
      </c>
      <c r="M1015" s="36"/>
      <c r="N1015" s="65" t="s">
        <v>4200</v>
      </c>
      <c r="O1015" s="34" t="s">
        <v>51</v>
      </c>
      <c r="P1015" s="68" t="s">
        <v>4784</v>
      </c>
      <c r="Q1015" s="68" t="s">
        <v>3709</v>
      </c>
      <c r="R1015" s="34" t="s">
        <v>279</v>
      </c>
      <c r="S1015" s="34"/>
      <c r="T1015" s="34"/>
      <c r="U1015" s="34"/>
      <c r="V1015" s="34"/>
      <c r="W1015" s="34"/>
      <c r="X1015" s="34"/>
      <c r="Y1015"/>
    </row>
    <row r="1016" spans="1:25" s="91" customFormat="1" hidden="1" x14ac:dyDescent="0.25">
      <c r="A1016" s="32" t="s">
        <v>1741</v>
      </c>
      <c r="B1016" s="306" t="str">
        <f>IF((COUNTBLANK(G1016)=0),Stats!$E$7,IF((COUNTBLANK(E1016)=0),IF((COUNTBLANK(F1016)=0),IF((COUNTBLANK(U1016)=0),Stats!$E$6,Stats!$E$5),Stats!$E$4),""))</f>
        <v>Death</v>
      </c>
      <c r="C1016" s="41" t="s">
        <v>284</v>
      </c>
      <c r="D1016" s="306" t="str">
        <f>IF(B1016=Stats!$E$6,Stats!$E$11,"")</f>
        <v/>
      </c>
      <c r="E1016" s="89">
        <v>44848</v>
      </c>
      <c r="F1016" s="89"/>
      <c r="G1016" s="89">
        <v>45299</v>
      </c>
      <c r="H1016" s="34" t="s">
        <v>3139</v>
      </c>
      <c r="I1016" s="313"/>
      <c r="J1016" s="34" t="s">
        <v>152</v>
      </c>
      <c r="K1016" s="36" t="s">
        <v>4199</v>
      </c>
      <c r="L1016" s="36" t="s">
        <v>4787</v>
      </c>
      <c r="M1016" s="36"/>
      <c r="N1016" s="65" t="s">
        <v>4200</v>
      </c>
      <c r="O1016" s="34" t="s">
        <v>51</v>
      </c>
      <c r="P1016" s="68" t="s">
        <v>4784</v>
      </c>
      <c r="Q1016" s="68" t="s">
        <v>3709</v>
      </c>
      <c r="R1016" s="34" t="s">
        <v>249</v>
      </c>
      <c r="S1016" s="34"/>
      <c r="T1016" s="34"/>
      <c r="U1016" s="34"/>
      <c r="V1016" s="34"/>
      <c r="W1016" s="34"/>
      <c r="X1016" s="34"/>
      <c r="Y1016"/>
    </row>
    <row r="1017" spans="1:25" s="91" customFormat="1" hidden="1" x14ac:dyDescent="0.25">
      <c r="A1017" s="32" t="s">
        <v>1742</v>
      </c>
      <c r="B1017" s="306" t="str">
        <f>IF((COUNTBLANK(G1017)=0),Stats!$E$7,IF((COUNTBLANK(E1017)=0),IF((COUNTBLANK(F1017)=0),IF((COUNTBLANK(U1017)=0),Stats!$E$6,Stats!$E$5),Stats!$E$4),""))</f>
        <v>Death</v>
      </c>
      <c r="C1017" s="41" t="s">
        <v>284</v>
      </c>
      <c r="D1017" s="306" t="str">
        <f>IF(B1017=Stats!$E$6,Stats!$E$11,"")</f>
        <v/>
      </c>
      <c r="E1017" s="89">
        <v>44848</v>
      </c>
      <c r="F1017" s="89"/>
      <c r="G1017" s="316">
        <v>45229</v>
      </c>
      <c r="H1017" s="34" t="s">
        <v>3139</v>
      </c>
      <c r="I1017" s="313"/>
      <c r="J1017" s="34" t="s">
        <v>152</v>
      </c>
      <c r="K1017" s="36" t="s">
        <v>4199</v>
      </c>
      <c r="L1017" s="36" t="s">
        <v>4787</v>
      </c>
      <c r="M1017" s="36"/>
      <c r="N1017" s="65" t="s">
        <v>4200</v>
      </c>
      <c r="O1017" s="34" t="s">
        <v>51</v>
      </c>
      <c r="P1017" s="68" t="s">
        <v>4784</v>
      </c>
      <c r="Q1017" s="68" t="s">
        <v>3709</v>
      </c>
      <c r="R1017" s="34" t="s">
        <v>243</v>
      </c>
      <c r="S1017" s="34"/>
      <c r="T1017" s="34"/>
      <c r="U1017" s="34"/>
      <c r="V1017" s="34"/>
      <c r="W1017" s="34"/>
      <c r="X1017" s="34"/>
      <c r="Y1017"/>
    </row>
    <row r="1018" spans="1:25" s="91" customFormat="1" hidden="1" x14ac:dyDescent="0.25">
      <c r="A1018" s="32" t="s">
        <v>1743</v>
      </c>
      <c r="B1018" s="306" t="str">
        <f>IF((COUNTBLANK(G1018)=0),Stats!$E$7,IF((COUNTBLANK(E1018)=0),IF((COUNTBLANK(F1018)=0),IF((COUNTBLANK(U1018)=0),Stats!$E$6,Stats!$E$5),Stats!$E$4),""))</f>
        <v>Death</v>
      </c>
      <c r="C1018" s="41" t="s">
        <v>413</v>
      </c>
      <c r="D1018" s="306" t="str">
        <f>IF(B1018=Stats!$E$6,Stats!$E$11,"")</f>
        <v/>
      </c>
      <c r="E1018" s="89">
        <v>44867</v>
      </c>
      <c r="F1018" s="327"/>
      <c r="G1018" s="327">
        <v>44993</v>
      </c>
      <c r="H1018" s="34" t="s">
        <v>3139</v>
      </c>
      <c r="I1018" s="313"/>
      <c r="J1018" s="34" t="s">
        <v>152</v>
      </c>
      <c r="K1018" s="36" t="s">
        <v>4747</v>
      </c>
      <c r="L1018" s="36" t="s">
        <v>4783</v>
      </c>
      <c r="M1018" s="36"/>
      <c r="N1018" s="65" t="s">
        <v>4200</v>
      </c>
      <c r="O1018" s="34" t="s">
        <v>51</v>
      </c>
      <c r="P1018" s="68" t="s">
        <v>4788</v>
      </c>
      <c r="Q1018" s="68" t="s">
        <v>3709</v>
      </c>
      <c r="R1018" s="34" t="s">
        <v>279</v>
      </c>
      <c r="S1018" s="34"/>
      <c r="T1018" s="34"/>
      <c r="U1018" s="34"/>
      <c r="V1018" s="34"/>
      <c r="W1018" s="34"/>
      <c r="X1018" s="34"/>
      <c r="Y1018"/>
    </row>
    <row r="1019" spans="1:25" s="91" customFormat="1" hidden="1" x14ac:dyDescent="0.25">
      <c r="A1019" s="32" t="s">
        <v>1744</v>
      </c>
      <c r="B1019" s="306" t="str">
        <f>IF((COUNTBLANK(G1019)=0),Stats!$E$7,IF((COUNTBLANK(E1019)=0),IF((COUNTBLANK(F1019)=0),IF((COUNTBLANK(U1019)=0),Stats!$E$6,Stats!$E$5),Stats!$E$4),""))</f>
        <v>Death</v>
      </c>
      <c r="C1019" s="41" t="s">
        <v>284</v>
      </c>
      <c r="D1019" s="306" t="s">
        <v>325</v>
      </c>
      <c r="E1019" s="89">
        <v>44874</v>
      </c>
      <c r="F1019" s="89">
        <v>44880</v>
      </c>
      <c r="G1019" s="89">
        <v>45065</v>
      </c>
      <c r="H1019" s="34" t="s">
        <v>3099</v>
      </c>
      <c r="I1019" s="34"/>
      <c r="J1019" s="34" t="s">
        <v>152</v>
      </c>
      <c r="K1019" s="36" t="s">
        <v>493</v>
      </c>
      <c r="L1019" s="36"/>
      <c r="M1019" s="36"/>
      <c r="N1019" s="65"/>
      <c r="O1019" s="34" t="s">
        <v>478</v>
      </c>
      <c r="P1019" s="68">
        <v>450</v>
      </c>
      <c r="Q1019" s="68">
        <v>500</v>
      </c>
      <c r="R1019" s="34" t="s">
        <v>279</v>
      </c>
      <c r="S1019" s="34"/>
      <c r="T1019" s="34"/>
      <c r="U1019" s="34" t="s">
        <v>4789</v>
      </c>
      <c r="V1019" s="34"/>
      <c r="W1019" s="34"/>
      <c r="X1019" s="34"/>
      <c r="Y1019"/>
    </row>
    <row r="1020" spans="1:25" s="91" customFormat="1" hidden="1" x14ac:dyDescent="0.25">
      <c r="A1020" s="32" t="s">
        <v>1745</v>
      </c>
      <c r="B1020" s="306" t="str">
        <f>IF((COUNTBLANK(G1020)=0),Stats!$E$7,IF((COUNTBLANK(E1020)=0),IF((COUNTBLANK(F1020)=0),IF((COUNTBLANK(U1020)=0),Stats!$E$6,Stats!$E$5),Stats!$E$4),""))</f>
        <v>Death</v>
      </c>
      <c r="C1020" s="41" t="s">
        <v>284</v>
      </c>
      <c r="D1020" s="306" t="s">
        <v>325</v>
      </c>
      <c r="E1020" s="89">
        <v>44874</v>
      </c>
      <c r="F1020" s="89">
        <v>44881</v>
      </c>
      <c r="G1020" s="89">
        <v>45145</v>
      </c>
      <c r="H1020" s="34" t="s">
        <v>3099</v>
      </c>
      <c r="I1020" s="34"/>
      <c r="J1020" s="34" t="s">
        <v>152</v>
      </c>
      <c r="K1020" s="36" t="s">
        <v>493</v>
      </c>
      <c r="L1020" s="36"/>
      <c r="M1020" s="36"/>
      <c r="N1020" s="65"/>
      <c r="O1020" s="34" t="s">
        <v>478</v>
      </c>
      <c r="P1020" s="68">
        <v>450</v>
      </c>
      <c r="Q1020" s="68">
        <v>500</v>
      </c>
      <c r="R1020" s="34" t="s">
        <v>279</v>
      </c>
      <c r="S1020" s="34"/>
      <c r="T1020" s="34"/>
      <c r="U1020" s="34" t="s">
        <v>4790</v>
      </c>
      <c r="V1020" s="34"/>
      <c r="W1020" s="34"/>
      <c r="X1020" s="34"/>
      <c r="Y1020"/>
    </row>
    <row r="1021" spans="1:25" s="91" customFormat="1" hidden="1" x14ac:dyDescent="0.25">
      <c r="A1021" s="32" t="s">
        <v>1746</v>
      </c>
      <c r="B1021" s="306" t="str">
        <f>IF((COUNTBLANK(G1021)=0),Stats!$E$7,IF((COUNTBLANK(E1021)=0),IF((COUNTBLANK(F1021)=0),IF((COUNTBLANK(U1021)=0),Stats!$E$6,Stats!$E$5),Stats!$E$4),""))</f>
        <v>Death</v>
      </c>
      <c r="C1021" s="41" t="s">
        <v>284</v>
      </c>
      <c r="D1021" s="306" t="s">
        <v>204</v>
      </c>
      <c r="E1021" s="89">
        <v>44874</v>
      </c>
      <c r="F1021" s="89">
        <v>44880</v>
      </c>
      <c r="G1021" s="316">
        <v>45229</v>
      </c>
      <c r="H1021" s="34" t="s">
        <v>98</v>
      </c>
      <c r="I1021" s="34"/>
      <c r="J1021" s="34" t="s">
        <v>152</v>
      </c>
      <c r="K1021" s="36" t="s">
        <v>493</v>
      </c>
      <c r="L1021" s="36"/>
      <c r="M1021" s="36"/>
      <c r="N1021" s="65"/>
      <c r="O1021" s="34" t="s">
        <v>478</v>
      </c>
      <c r="P1021" s="68">
        <v>450</v>
      </c>
      <c r="Q1021" s="68">
        <v>500</v>
      </c>
      <c r="R1021" s="34" t="s">
        <v>249</v>
      </c>
      <c r="S1021" s="34"/>
      <c r="T1021" s="34"/>
      <c r="U1021" s="34" t="s">
        <v>4791</v>
      </c>
      <c r="V1021" s="34"/>
      <c r="W1021" s="34"/>
      <c r="X1021" s="34"/>
      <c r="Y1021"/>
    </row>
    <row r="1022" spans="1:25" s="91" customFormat="1" hidden="1" x14ac:dyDescent="0.25">
      <c r="A1022" s="32" t="s">
        <v>1747</v>
      </c>
      <c r="B1022" s="306" t="str">
        <f>IF((COUNTBLANK(G1022)=0),Stats!$E$7,IF((COUNTBLANK(E1022)=0),IF((COUNTBLANK(F1022)=0),IF((COUNTBLANK(U1022)=0),Stats!$E$6,Stats!$E$5),Stats!$E$4),""))</f>
        <v>Death</v>
      </c>
      <c r="C1022" s="41" t="s">
        <v>284</v>
      </c>
      <c r="D1022" s="306" t="s">
        <v>325</v>
      </c>
      <c r="E1022" s="89">
        <v>44874</v>
      </c>
      <c r="F1022" s="89">
        <v>44880</v>
      </c>
      <c r="G1022" s="89">
        <v>45156</v>
      </c>
      <c r="H1022" s="34" t="s">
        <v>98</v>
      </c>
      <c r="I1022" s="34"/>
      <c r="J1022" s="34" t="s">
        <v>152</v>
      </c>
      <c r="K1022" s="36" t="s">
        <v>493</v>
      </c>
      <c r="L1022" s="36"/>
      <c r="M1022" s="36"/>
      <c r="N1022" s="65"/>
      <c r="O1022" s="34" t="s">
        <v>478</v>
      </c>
      <c r="P1022" s="68">
        <v>450</v>
      </c>
      <c r="Q1022" s="68">
        <v>500</v>
      </c>
      <c r="R1022" s="34" t="s">
        <v>4792</v>
      </c>
      <c r="S1022" s="34"/>
      <c r="T1022" s="34"/>
      <c r="U1022" s="34" t="s">
        <v>4793</v>
      </c>
      <c r="V1022" s="34"/>
      <c r="W1022" s="34"/>
      <c r="X1022" s="34"/>
      <c r="Y1022"/>
    </row>
    <row r="1023" spans="1:25" s="91" customFormat="1" hidden="1" x14ac:dyDescent="0.25">
      <c r="A1023" s="32" t="s">
        <v>1748</v>
      </c>
      <c r="B1023" s="306" t="str">
        <f>IF((COUNTBLANK(G1023)=0),Stats!$E$7,IF((COUNTBLANK(E1023)=0),IF((COUNTBLANK(F1023)=0),IF((COUNTBLANK(U1023)=0),Stats!$E$6,Stats!$E$5),Stats!$E$4),""))</f>
        <v>Death</v>
      </c>
      <c r="C1023" s="41" t="s">
        <v>284</v>
      </c>
      <c r="D1023" s="306" t="str">
        <f>IF(B1023=Stats!$E$6,Stats!$E$11,"")</f>
        <v/>
      </c>
      <c r="E1023" s="89">
        <v>44874</v>
      </c>
      <c r="F1023" s="89">
        <v>44881</v>
      </c>
      <c r="G1023" s="89">
        <v>44883</v>
      </c>
      <c r="H1023" s="34" t="s">
        <v>98</v>
      </c>
      <c r="I1023" s="34"/>
      <c r="J1023" s="34" t="s">
        <v>152</v>
      </c>
      <c r="K1023" s="36" t="s">
        <v>493</v>
      </c>
      <c r="L1023" s="36"/>
      <c r="M1023" s="36"/>
      <c r="N1023" s="65"/>
      <c r="O1023" s="34" t="s">
        <v>478</v>
      </c>
      <c r="P1023" s="68">
        <v>450</v>
      </c>
      <c r="Q1023" s="68">
        <v>500</v>
      </c>
      <c r="R1023" s="34" t="s">
        <v>279</v>
      </c>
      <c r="S1023" s="34"/>
      <c r="T1023" s="34"/>
      <c r="U1023" s="34"/>
      <c r="V1023" s="34"/>
      <c r="W1023" s="34"/>
      <c r="X1023" s="34"/>
      <c r="Y1023"/>
    </row>
    <row r="1024" spans="1:25" s="91" customFormat="1" hidden="1" x14ac:dyDescent="0.25">
      <c r="A1024" s="32" t="s">
        <v>1749</v>
      </c>
      <c r="B1024" s="306" t="str">
        <f>IF((COUNTBLANK(G1024)=0),Stats!$E$7,IF((COUNTBLANK(E1024)=0),IF((COUNTBLANK(F1024)=0),IF((COUNTBLANK(U1024)=0),Stats!$E$6,Stats!$E$5),Stats!$E$4),""))</f>
        <v>Death</v>
      </c>
      <c r="C1024" s="41" t="s">
        <v>284</v>
      </c>
      <c r="D1024" s="306" t="s">
        <v>325</v>
      </c>
      <c r="E1024" s="89">
        <v>44901</v>
      </c>
      <c r="F1024" s="89">
        <v>44914</v>
      </c>
      <c r="G1024" s="316">
        <v>45229</v>
      </c>
      <c r="H1024" s="34" t="s">
        <v>98</v>
      </c>
      <c r="I1024" s="34"/>
      <c r="J1024" s="34" t="s">
        <v>152</v>
      </c>
      <c r="K1024" s="36" t="s">
        <v>493</v>
      </c>
      <c r="L1024" s="36"/>
      <c r="M1024" s="36"/>
      <c r="N1024" s="65" t="s">
        <v>105</v>
      </c>
      <c r="O1024" s="34" t="s">
        <v>478</v>
      </c>
      <c r="P1024" s="68">
        <v>450</v>
      </c>
      <c r="Q1024" s="68">
        <v>500</v>
      </c>
      <c r="R1024" s="34" t="s">
        <v>249</v>
      </c>
      <c r="S1024" s="34"/>
      <c r="T1024" s="34"/>
      <c r="U1024" s="34" t="s">
        <v>4794</v>
      </c>
      <c r="V1024" s="34"/>
      <c r="W1024" s="34"/>
      <c r="X1024" s="34"/>
      <c r="Y1024"/>
    </row>
    <row r="1025" spans="1:25" s="91" customFormat="1" hidden="1" x14ac:dyDescent="0.25">
      <c r="A1025" s="32" t="s">
        <v>1750</v>
      </c>
      <c r="B1025" s="306" t="str">
        <f>IF((COUNTBLANK(G1025)=0),Stats!$E$7,IF((COUNTBLANK(E1025)=0),IF((COUNTBLANK(F1025)=0),IF((COUNTBLANK(U1025)=0),Stats!$E$6,Stats!$E$5),Stats!$E$4),""))</f>
        <v>Death</v>
      </c>
      <c r="C1025" s="41" t="s">
        <v>284</v>
      </c>
      <c r="D1025" s="306" t="s">
        <v>407</v>
      </c>
      <c r="E1025" s="89">
        <v>44908</v>
      </c>
      <c r="F1025" s="89">
        <v>44914</v>
      </c>
      <c r="G1025" s="89">
        <v>45358</v>
      </c>
      <c r="H1025" s="34" t="s">
        <v>98</v>
      </c>
      <c r="I1025" s="34"/>
      <c r="J1025" s="34" t="s">
        <v>152</v>
      </c>
      <c r="K1025" s="36" t="s">
        <v>493</v>
      </c>
      <c r="L1025" s="36"/>
      <c r="M1025" s="36"/>
      <c r="N1025" s="65" t="s">
        <v>105</v>
      </c>
      <c r="O1025" s="34" t="s">
        <v>478</v>
      </c>
      <c r="P1025" s="68">
        <v>450</v>
      </c>
      <c r="Q1025" s="68">
        <v>500</v>
      </c>
      <c r="R1025" s="34" t="s">
        <v>243</v>
      </c>
      <c r="S1025" s="34"/>
      <c r="T1025" s="34" t="s">
        <v>4795</v>
      </c>
      <c r="U1025" s="34" t="s">
        <v>4796</v>
      </c>
      <c r="V1025" s="34"/>
      <c r="W1025" s="34"/>
      <c r="X1025" s="34"/>
      <c r="Y1025"/>
    </row>
    <row r="1026" spans="1:25" s="91" customFormat="1" ht="12.75" hidden="1" customHeight="1" x14ac:dyDescent="0.25">
      <c r="A1026" s="32" t="s">
        <v>1751</v>
      </c>
      <c r="B1026" s="306" t="str">
        <f>IF((COUNTBLANK(G1026)=0),Stats!$E$7,IF((COUNTBLANK(E1026)=0),IF((COUNTBLANK(F1026)=0),IF((COUNTBLANK(U1026)=0),Stats!$E$6,Stats!$E$5),Stats!$E$4),""))</f>
        <v>Death</v>
      </c>
      <c r="C1026" s="41" t="s">
        <v>284</v>
      </c>
      <c r="D1026" s="306" t="s">
        <v>407</v>
      </c>
      <c r="E1026" s="89">
        <v>44908</v>
      </c>
      <c r="F1026" s="89">
        <v>44914</v>
      </c>
      <c r="G1026" s="89">
        <v>45108</v>
      </c>
      <c r="H1026" s="34" t="s">
        <v>3073</v>
      </c>
      <c r="I1026" s="34"/>
      <c r="J1026" s="34" t="s">
        <v>152</v>
      </c>
      <c r="K1026" s="36" t="s">
        <v>493</v>
      </c>
      <c r="L1026" s="36"/>
      <c r="M1026" s="36"/>
      <c r="N1026" s="65" t="s">
        <v>105</v>
      </c>
      <c r="O1026" s="34" t="s">
        <v>478</v>
      </c>
      <c r="P1026" s="68">
        <v>450</v>
      </c>
      <c r="Q1026" s="68">
        <v>500</v>
      </c>
      <c r="R1026" s="34" t="s">
        <v>279</v>
      </c>
      <c r="S1026" s="34"/>
      <c r="T1026" s="34"/>
      <c r="U1026" s="34" t="s">
        <v>4797</v>
      </c>
      <c r="V1026" s="34"/>
      <c r="W1026" s="34"/>
      <c r="X1026" s="34"/>
      <c r="Y1026"/>
    </row>
    <row r="1027" spans="1:25" s="91" customFormat="1" hidden="1" x14ac:dyDescent="0.25">
      <c r="A1027" s="32" t="s">
        <v>1752</v>
      </c>
      <c r="B1027" s="306" t="str">
        <f>IF((COUNTBLANK(G1027)=0),Stats!$E$7,IF((COUNTBLANK(E1027)=0),IF((COUNTBLANK(F1027)=0),IF((COUNTBLANK(U1027)=0),Stats!$E$6,Stats!$E$5),Stats!$E$4),""))</f>
        <v>Death</v>
      </c>
      <c r="C1027" s="41" t="s">
        <v>413</v>
      </c>
      <c r="D1027" s="306" t="str">
        <f>IF(B1027=Stats!$E$6,Stats!$E$11,"")</f>
        <v/>
      </c>
      <c r="E1027" s="89">
        <v>44911</v>
      </c>
      <c r="F1027" s="89">
        <v>44939</v>
      </c>
      <c r="G1027" s="327">
        <v>44993</v>
      </c>
      <c r="H1027" s="34" t="s">
        <v>3139</v>
      </c>
      <c r="I1027" s="34"/>
      <c r="J1027" s="34" t="s">
        <v>152</v>
      </c>
      <c r="K1027" s="36"/>
      <c r="L1027" s="36" t="s">
        <v>4747</v>
      </c>
      <c r="M1027" s="36"/>
      <c r="N1027" s="65" t="s">
        <v>196</v>
      </c>
      <c r="O1027" s="34" t="s">
        <v>478</v>
      </c>
      <c r="P1027" s="119">
        <v>500300</v>
      </c>
      <c r="Q1027" s="68" t="s">
        <v>3709</v>
      </c>
      <c r="R1027" s="34" t="s">
        <v>279</v>
      </c>
      <c r="S1027" s="34"/>
      <c r="T1027" s="34" t="s">
        <v>4798</v>
      </c>
      <c r="U1027" s="34"/>
      <c r="V1027" s="34"/>
      <c r="W1027" s="34"/>
      <c r="X1027" s="34"/>
      <c r="Y1027"/>
    </row>
    <row r="1028" spans="1:25" s="91" customFormat="1" hidden="1" x14ac:dyDescent="0.25">
      <c r="A1028" s="32" t="s">
        <v>1753</v>
      </c>
      <c r="B1028" s="306" t="str">
        <f>IF((COUNTBLANK(G1028)=0),Stats!$E$7,IF((COUNTBLANK(E1028)=0),IF((COUNTBLANK(F1028)=0),IF((COUNTBLANK(U1028)=0),Stats!$E$6,Stats!$E$5),Stats!$E$4),""))</f>
        <v>Death</v>
      </c>
      <c r="C1028" s="41" t="s">
        <v>413</v>
      </c>
      <c r="D1028" s="306" t="str">
        <f>IF(B1028=Stats!$E$6,Stats!$E$11,"")</f>
        <v/>
      </c>
      <c r="E1028" s="89">
        <v>44911</v>
      </c>
      <c r="F1028" s="89">
        <v>44943</v>
      </c>
      <c r="G1028" s="327">
        <v>44993</v>
      </c>
      <c r="H1028" s="34" t="s">
        <v>3139</v>
      </c>
      <c r="I1028" s="34"/>
      <c r="J1028" s="34" t="s">
        <v>152</v>
      </c>
      <c r="K1028" s="36"/>
      <c r="L1028" s="36" t="s">
        <v>4747</v>
      </c>
      <c r="M1028" s="36"/>
      <c r="N1028" s="65" t="s">
        <v>196</v>
      </c>
      <c r="O1028" s="34" t="s">
        <v>478</v>
      </c>
      <c r="P1028" s="119">
        <v>500300</v>
      </c>
      <c r="Q1028" s="68" t="s">
        <v>3709</v>
      </c>
      <c r="R1028" s="34" t="s">
        <v>279</v>
      </c>
      <c r="S1028" s="34"/>
      <c r="T1028" s="34" t="s">
        <v>4798</v>
      </c>
      <c r="U1028" s="34"/>
      <c r="V1028" s="34"/>
      <c r="W1028" s="34"/>
      <c r="X1028" s="34"/>
      <c r="Y1028"/>
    </row>
    <row r="1029" spans="1:25" s="91" customFormat="1" hidden="1" x14ac:dyDescent="0.25">
      <c r="A1029" s="32" t="s">
        <v>1754</v>
      </c>
      <c r="B1029" s="306" t="str">
        <f>IF((COUNTBLANK(G1029)=0),Stats!$E$7,IF((COUNTBLANK(E1029)=0),IF((COUNTBLANK(F1029)=0),IF((COUNTBLANK(U1029)=0),Stats!$E$6,Stats!$E$5),Stats!$E$4),""))</f>
        <v>Death</v>
      </c>
      <c r="C1029" s="41" t="s">
        <v>413</v>
      </c>
      <c r="D1029" s="306" t="str">
        <f>IF(B1029=Stats!$E$6,Stats!$E$11,"")</f>
        <v/>
      </c>
      <c r="E1029" s="89">
        <v>44911</v>
      </c>
      <c r="F1029" s="89">
        <v>44944</v>
      </c>
      <c r="G1029" s="316">
        <v>45229</v>
      </c>
      <c r="H1029" s="34" t="s">
        <v>3139</v>
      </c>
      <c r="I1029" s="34"/>
      <c r="J1029" s="34" t="s">
        <v>152</v>
      </c>
      <c r="K1029" s="36"/>
      <c r="L1029" s="36" t="s">
        <v>4747</v>
      </c>
      <c r="M1029" s="36"/>
      <c r="N1029" s="65" t="s">
        <v>196</v>
      </c>
      <c r="O1029" s="34" t="s">
        <v>478</v>
      </c>
      <c r="P1029" s="119">
        <v>500300</v>
      </c>
      <c r="Q1029" s="68" t="s">
        <v>3709</v>
      </c>
      <c r="R1029" s="34" t="s">
        <v>249</v>
      </c>
      <c r="S1029" s="34"/>
      <c r="T1029" s="34" t="s">
        <v>4798</v>
      </c>
      <c r="U1029" s="34"/>
      <c r="V1029" s="34"/>
      <c r="W1029" s="34"/>
      <c r="X1029" s="34"/>
      <c r="Y1029"/>
    </row>
    <row r="1030" spans="1:25" s="91" customFormat="1" hidden="1" x14ac:dyDescent="0.25">
      <c r="A1030" s="32" t="s">
        <v>1755</v>
      </c>
      <c r="B1030" s="306" t="str">
        <f>IF((COUNTBLANK(G1030)=0),Stats!$E$7,IF((COUNTBLANK(E1030)=0),IF((COUNTBLANK(F1030)=0),IF((COUNTBLANK(U1030)=0),Stats!$E$6,Stats!$E$5),Stats!$E$4),""))</f>
        <v>Death</v>
      </c>
      <c r="C1030" s="41" t="s">
        <v>413</v>
      </c>
      <c r="D1030" s="306" t="str">
        <f>IF(B1030=Stats!$E$6,Stats!$E$11,"")</f>
        <v/>
      </c>
      <c r="E1030" s="89">
        <v>44937</v>
      </c>
      <c r="F1030" s="89">
        <v>44937</v>
      </c>
      <c r="G1030" s="327">
        <v>44993</v>
      </c>
      <c r="H1030" s="34" t="s">
        <v>3139</v>
      </c>
      <c r="I1030" s="34"/>
      <c r="J1030" s="34" t="s">
        <v>4799</v>
      </c>
      <c r="K1030" s="36"/>
      <c r="L1030" s="36"/>
      <c r="M1030" s="36"/>
      <c r="N1030" s="65" t="s">
        <v>4800</v>
      </c>
      <c r="O1030" s="34" t="s">
        <v>478</v>
      </c>
      <c r="P1030" s="68" t="s">
        <v>4801</v>
      </c>
      <c r="Q1030" s="68" t="s">
        <v>4802</v>
      </c>
      <c r="R1030" s="34" t="s">
        <v>279</v>
      </c>
      <c r="S1030" s="34"/>
      <c r="T1030" s="34" t="s">
        <v>4803</v>
      </c>
      <c r="U1030" s="34"/>
      <c r="V1030" s="34"/>
      <c r="W1030" s="34"/>
      <c r="X1030" s="34"/>
      <c r="Y1030"/>
    </row>
    <row r="1031" spans="1:25" s="91" customFormat="1" hidden="1" x14ac:dyDescent="0.25">
      <c r="A1031" s="32" t="s">
        <v>1756</v>
      </c>
      <c r="B1031" s="306" t="str">
        <f>IF((COUNTBLANK(G1031)=0),Stats!$E$7,IF((COUNTBLANK(E1031)=0),IF((COUNTBLANK(F1031)=0),IF((COUNTBLANK(U1031)=0),Stats!$E$6,Stats!$E$5),Stats!$E$4),""))</f>
        <v>Death</v>
      </c>
      <c r="C1031" s="41" t="s">
        <v>413</v>
      </c>
      <c r="D1031" s="306" t="str">
        <f>IF(B1031=Stats!$E$6,Stats!$E$11,"")</f>
        <v/>
      </c>
      <c r="E1031" s="89">
        <v>44939</v>
      </c>
      <c r="F1031" s="89">
        <v>44939</v>
      </c>
      <c r="G1031" s="89">
        <v>45264</v>
      </c>
      <c r="H1031" s="34" t="s">
        <v>3139</v>
      </c>
      <c r="I1031" s="34"/>
      <c r="J1031" s="34" t="s">
        <v>4799</v>
      </c>
      <c r="K1031" s="36"/>
      <c r="L1031" s="36"/>
      <c r="M1031" s="36"/>
      <c r="N1031" s="65" t="s">
        <v>4800</v>
      </c>
      <c r="O1031" s="34" t="s">
        <v>478</v>
      </c>
      <c r="P1031" s="68" t="s">
        <v>4801</v>
      </c>
      <c r="Q1031" s="68" t="s">
        <v>3409</v>
      </c>
      <c r="R1031" s="34" t="s">
        <v>249</v>
      </c>
      <c r="S1031" s="34"/>
      <c r="T1031" s="34" t="s">
        <v>4804</v>
      </c>
      <c r="U1031" s="34"/>
      <c r="V1031" s="34"/>
      <c r="W1031" s="34"/>
      <c r="X1031" s="34"/>
      <c r="Y1031"/>
    </row>
    <row r="1032" spans="1:25" s="91" customFormat="1" hidden="1" x14ac:dyDescent="0.25">
      <c r="A1032" s="32" t="s">
        <v>1757</v>
      </c>
      <c r="B1032" s="306" t="str">
        <f>IF((COUNTBLANK(G1032)=0),Stats!$E$7,IF((COUNTBLANK(E1032)=0),IF((COUNTBLANK(F1032)=0),IF((COUNTBLANK(U1032)=0),Stats!$E$6,Stats!$E$5),Stats!$E$4),""))</f>
        <v>Death</v>
      </c>
      <c r="C1032" s="41" t="s">
        <v>413</v>
      </c>
      <c r="D1032" s="306" t="str">
        <f>IF(B1032=Stats!$E$6,Stats!$E$11,"")</f>
        <v/>
      </c>
      <c r="E1032" s="89">
        <v>44897</v>
      </c>
      <c r="F1032" s="89">
        <v>44965</v>
      </c>
      <c r="G1032" s="327">
        <v>44993</v>
      </c>
      <c r="H1032" s="34" t="s">
        <v>3118</v>
      </c>
      <c r="I1032" s="34"/>
      <c r="J1032" s="313" t="s">
        <v>3186</v>
      </c>
      <c r="K1032" s="36" t="s">
        <v>4805</v>
      </c>
      <c r="L1032" s="36"/>
      <c r="M1032" s="36"/>
      <c r="N1032" s="65" t="s">
        <v>68</v>
      </c>
      <c r="O1032" s="34" t="s">
        <v>478</v>
      </c>
      <c r="P1032" s="68" t="s">
        <v>4784</v>
      </c>
      <c r="Q1032" s="68" t="s">
        <v>3398</v>
      </c>
      <c r="R1032" s="34" t="s">
        <v>279</v>
      </c>
      <c r="S1032" s="34"/>
      <c r="T1032" s="34"/>
      <c r="U1032" s="34"/>
      <c r="V1032" s="34"/>
      <c r="W1032" s="34"/>
      <c r="X1032" s="34"/>
      <c r="Y1032"/>
    </row>
    <row r="1033" spans="1:25" s="91" customFormat="1" hidden="1" x14ac:dyDescent="0.25">
      <c r="A1033" s="135" t="s">
        <v>1758</v>
      </c>
      <c r="B1033" s="363" t="str">
        <f>IF((COUNTBLANK(G1033)=0),Stats!$E$7,IF((COUNTBLANK(E1033)=0),IF((COUNTBLANK(F1033)=0),IF((COUNTBLANK(U1033)=0),Stats!$E$6,Stats!$E$5),Stats!$E$4),""))</f>
        <v>Death</v>
      </c>
      <c r="C1033" s="136" t="s">
        <v>413</v>
      </c>
      <c r="D1033" s="363" t="str">
        <f>IF(B1033=Stats!$E$6,Stats!$E$11,"")</f>
        <v/>
      </c>
      <c r="E1033" s="137">
        <v>44897</v>
      </c>
      <c r="F1033" s="137"/>
      <c r="G1033" s="137">
        <v>44927</v>
      </c>
      <c r="H1033" s="138" t="s">
        <v>3118</v>
      </c>
      <c r="I1033" s="138"/>
      <c r="J1033" s="365" t="s">
        <v>3186</v>
      </c>
      <c r="K1033" s="139" t="s">
        <v>4805</v>
      </c>
      <c r="L1033" s="139"/>
      <c r="M1033" s="139"/>
      <c r="N1033" s="140" t="s">
        <v>68</v>
      </c>
      <c r="O1033" s="138" t="s">
        <v>478</v>
      </c>
      <c r="P1033" s="141" t="s">
        <v>4784</v>
      </c>
      <c r="Q1033" s="141" t="s">
        <v>3398</v>
      </c>
      <c r="R1033" s="138" t="s">
        <v>243</v>
      </c>
      <c r="S1033" s="138"/>
      <c r="T1033" s="138" t="s">
        <v>4806</v>
      </c>
      <c r="U1033" s="138"/>
      <c r="V1033" s="138"/>
      <c r="W1033" s="138"/>
      <c r="X1033" s="34"/>
      <c r="Y1033" s="142"/>
    </row>
    <row r="1034" spans="1:25" s="91" customFormat="1" hidden="1" x14ac:dyDescent="0.25">
      <c r="A1034" s="32" t="s">
        <v>1759</v>
      </c>
      <c r="B1034" s="306" t="str">
        <f>IF((COUNTBLANK(G1034)=0),Stats!$E$7,IF((COUNTBLANK(E1034)=0),IF((COUNTBLANK(F1034)=0),IF((COUNTBLANK(U1034)=0),Stats!$E$6,Stats!$E$5),Stats!$E$4),""))</f>
        <v>Death</v>
      </c>
      <c r="C1034" s="41" t="s">
        <v>413</v>
      </c>
      <c r="D1034" s="306" t="str">
        <f>IF(B1034=Stats!$E$6,Stats!$E$11,"")</f>
        <v/>
      </c>
      <c r="E1034" s="89">
        <v>44897</v>
      </c>
      <c r="F1034" s="89">
        <v>44966</v>
      </c>
      <c r="G1034" s="316">
        <v>45229</v>
      </c>
      <c r="H1034" s="34" t="s">
        <v>3118</v>
      </c>
      <c r="I1034" s="34"/>
      <c r="J1034" s="313" t="s">
        <v>3186</v>
      </c>
      <c r="K1034" s="36" t="s">
        <v>4805</v>
      </c>
      <c r="L1034" s="36"/>
      <c r="M1034" s="36"/>
      <c r="N1034" s="65" t="s">
        <v>105</v>
      </c>
      <c r="O1034" s="34" t="s">
        <v>478</v>
      </c>
      <c r="P1034" s="68" t="s">
        <v>4784</v>
      </c>
      <c r="Q1034" s="68" t="s">
        <v>3398</v>
      </c>
      <c r="R1034" s="34" t="s">
        <v>279</v>
      </c>
      <c r="S1034" s="34"/>
      <c r="T1034" s="34"/>
      <c r="U1034" s="34"/>
      <c r="V1034" s="34"/>
      <c r="W1034" s="34"/>
      <c r="X1034" s="34"/>
      <c r="Y1034"/>
    </row>
    <row r="1035" spans="1:25" s="91" customFormat="1" hidden="1" x14ac:dyDescent="0.25">
      <c r="A1035" s="32" t="s">
        <v>1760</v>
      </c>
      <c r="B1035" s="306" t="str">
        <f>IF((COUNTBLANK(G1035)=0),Stats!$E$7,IF((COUNTBLANK(E1035)=0),IF((COUNTBLANK(F1035)=0),IF((COUNTBLANK(U1035)=0),Stats!$E$6,Stats!$E$5),Stats!$E$4),""))</f>
        <v>Death</v>
      </c>
      <c r="C1035" s="41" t="s">
        <v>413</v>
      </c>
      <c r="D1035" s="306" t="str">
        <f>IF(B1035=Stats!$E$6,Stats!$E$11,"")</f>
        <v/>
      </c>
      <c r="E1035" s="89">
        <v>44897</v>
      </c>
      <c r="F1035" s="89">
        <v>44966</v>
      </c>
      <c r="G1035" s="89">
        <v>45101</v>
      </c>
      <c r="H1035" s="34" t="s">
        <v>3118</v>
      </c>
      <c r="I1035" s="34"/>
      <c r="J1035" s="313" t="s">
        <v>3186</v>
      </c>
      <c r="K1035" s="36" t="s">
        <v>4805</v>
      </c>
      <c r="L1035" s="36"/>
      <c r="M1035" s="36"/>
      <c r="N1035" s="65" t="s">
        <v>105</v>
      </c>
      <c r="O1035" s="34" t="s">
        <v>478</v>
      </c>
      <c r="P1035" s="68" t="s">
        <v>4784</v>
      </c>
      <c r="Q1035" s="68" t="s">
        <v>3398</v>
      </c>
      <c r="R1035" s="34" t="s">
        <v>243</v>
      </c>
      <c r="S1035" s="34"/>
      <c r="T1035" s="34"/>
      <c r="U1035" s="34"/>
      <c r="V1035" s="34"/>
      <c r="W1035" s="34"/>
      <c r="X1035" s="34"/>
      <c r="Y1035"/>
    </row>
    <row r="1036" spans="1:25" s="91" customFormat="1" hidden="1" x14ac:dyDescent="0.25">
      <c r="A1036" s="135" t="s">
        <v>1761</v>
      </c>
      <c r="B1036" s="363" t="str">
        <f>IF((COUNTBLANK(G1036)=0),Stats!$E$7,IF((COUNTBLANK(E1036)=0),IF((COUNTBLANK(F1036)=0),IF((COUNTBLANK(U1036)=0),Stats!$E$6,Stats!$E$5),Stats!$E$4),""))</f>
        <v>Death</v>
      </c>
      <c r="C1036" s="136" t="s">
        <v>413</v>
      </c>
      <c r="D1036" s="363" t="str">
        <f>IF(B1036=Stats!$E$6,Stats!$E$11,"")</f>
        <v/>
      </c>
      <c r="E1036" s="137">
        <v>44904</v>
      </c>
      <c r="F1036" s="137"/>
      <c r="G1036" s="137">
        <v>44927</v>
      </c>
      <c r="H1036" s="138" t="s">
        <v>3118</v>
      </c>
      <c r="I1036" s="138"/>
      <c r="J1036" s="365" t="s">
        <v>3186</v>
      </c>
      <c r="K1036" s="139" t="s">
        <v>4773</v>
      </c>
      <c r="L1036" s="139"/>
      <c r="M1036" s="139"/>
      <c r="N1036" s="140"/>
      <c r="O1036" s="138" t="s">
        <v>478</v>
      </c>
      <c r="P1036" s="141" t="s">
        <v>4784</v>
      </c>
      <c r="Q1036" s="141" t="s">
        <v>3709</v>
      </c>
      <c r="R1036" s="138" t="s">
        <v>279</v>
      </c>
      <c r="S1036" s="138"/>
      <c r="T1036" s="138" t="s">
        <v>4806</v>
      </c>
      <c r="U1036" s="138"/>
      <c r="V1036" s="138"/>
      <c r="W1036" s="138"/>
      <c r="X1036" s="34"/>
      <c r="Y1036" s="142"/>
    </row>
    <row r="1037" spans="1:25" s="91" customFormat="1" hidden="1" x14ac:dyDescent="0.25">
      <c r="A1037" s="32" t="s">
        <v>1762</v>
      </c>
      <c r="B1037" s="306" t="str">
        <f>IF((COUNTBLANK(G1037)=0),Stats!$E$7,IF((COUNTBLANK(E1037)=0),IF((COUNTBLANK(F1037)=0),IF((COUNTBLANK(U1037)=0),Stats!$E$6,Stats!$E$5),Stats!$E$4),""))</f>
        <v>Death</v>
      </c>
      <c r="C1037" s="41" t="s">
        <v>413</v>
      </c>
      <c r="D1037" s="306" t="str">
        <f>IF(B1037=Stats!$E$6,Stats!$E$11,"")</f>
        <v/>
      </c>
      <c r="E1037" s="89">
        <v>44904</v>
      </c>
      <c r="F1037" s="89"/>
      <c r="G1037" s="316">
        <v>45229</v>
      </c>
      <c r="H1037" s="34" t="s">
        <v>3118</v>
      </c>
      <c r="I1037" s="34"/>
      <c r="J1037" s="313" t="s">
        <v>3186</v>
      </c>
      <c r="K1037" s="36" t="s">
        <v>4773</v>
      </c>
      <c r="L1037" s="36"/>
      <c r="M1037" s="36"/>
      <c r="N1037" s="65"/>
      <c r="O1037" s="34" t="s">
        <v>478</v>
      </c>
      <c r="P1037" s="68" t="s">
        <v>4784</v>
      </c>
      <c r="Q1037" s="68" t="s">
        <v>3709</v>
      </c>
      <c r="R1037" s="34" t="s">
        <v>243</v>
      </c>
      <c r="S1037" s="34"/>
      <c r="T1037" s="34"/>
      <c r="U1037" s="34"/>
      <c r="V1037" s="34"/>
      <c r="W1037" s="34"/>
      <c r="X1037" s="34"/>
      <c r="Y1037"/>
    </row>
    <row r="1038" spans="1:25" s="91" customFormat="1" hidden="1" x14ac:dyDescent="0.25">
      <c r="A1038" s="32" t="s">
        <v>1763</v>
      </c>
      <c r="B1038" s="306" t="str">
        <f>IF((COUNTBLANK(G1038)=0),Stats!$E$7,IF((COUNTBLANK(E1038)=0),IF((COUNTBLANK(F1038)=0),IF((COUNTBLANK(U1038)=0),Stats!$E$6,Stats!$E$5),Stats!$E$4),""))</f>
        <v>Death</v>
      </c>
      <c r="C1038" s="41" t="s">
        <v>413</v>
      </c>
      <c r="D1038" s="306" t="str">
        <f>IF(B1038=Stats!$E$6,Stats!$E$11,"")</f>
        <v/>
      </c>
      <c r="E1038" s="89">
        <v>44904</v>
      </c>
      <c r="F1038" s="89"/>
      <c r="G1038" s="316">
        <v>45229</v>
      </c>
      <c r="H1038" s="34" t="s">
        <v>3118</v>
      </c>
      <c r="I1038" s="34"/>
      <c r="J1038" s="313" t="s">
        <v>3186</v>
      </c>
      <c r="K1038" s="36" t="s">
        <v>4773</v>
      </c>
      <c r="L1038" s="36"/>
      <c r="M1038" s="36"/>
      <c r="N1038" s="65"/>
      <c r="O1038" s="34" t="s">
        <v>478</v>
      </c>
      <c r="P1038" s="68" t="s">
        <v>4784</v>
      </c>
      <c r="Q1038" s="68" t="s">
        <v>3709</v>
      </c>
      <c r="R1038" s="34" t="s">
        <v>279</v>
      </c>
      <c r="S1038" s="34"/>
      <c r="T1038" s="34"/>
      <c r="U1038" s="34"/>
      <c r="V1038" s="34"/>
      <c r="W1038" s="34"/>
      <c r="X1038" s="34"/>
      <c r="Y1038"/>
    </row>
    <row r="1039" spans="1:25" s="91" customFormat="1" hidden="1" x14ac:dyDescent="0.25">
      <c r="A1039" s="32" t="s">
        <v>1764</v>
      </c>
      <c r="B1039" s="306" t="str">
        <f>IF((COUNTBLANK(G1039)=0),Stats!$E$7,IF((COUNTBLANK(E1039)=0),IF((COUNTBLANK(F1039)=0),IF((COUNTBLANK(U1039)=0),Stats!$E$6,Stats!$E$5),Stats!$E$4),""))</f>
        <v>Death</v>
      </c>
      <c r="C1039" s="41" t="s">
        <v>413</v>
      </c>
      <c r="D1039" s="306" t="str">
        <f>IF(B1039=Stats!$E$6,Stats!$E$11,"")</f>
        <v/>
      </c>
      <c r="E1039" s="89">
        <v>44904</v>
      </c>
      <c r="F1039" s="89"/>
      <c r="G1039" s="316">
        <v>45229</v>
      </c>
      <c r="H1039" s="34" t="s">
        <v>3118</v>
      </c>
      <c r="I1039" s="34"/>
      <c r="J1039" s="313" t="s">
        <v>3186</v>
      </c>
      <c r="K1039" s="36" t="s">
        <v>4773</v>
      </c>
      <c r="L1039" s="36"/>
      <c r="M1039" s="36"/>
      <c r="N1039" s="65"/>
      <c r="O1039" s="34" t="s">
        <v>478</v>
      </c>
      <c r="P1039" s="68" t="s">
        <v>4784</v>
      </c>
      <c r="Q1039" s="68" t="s">
        <v>3709</v>
      </c>
      <c r="R1039" s="34" t="s">
        <v>249</v>
      </c>
      <c r="S1039" s="34"/>
      <c r="T1039" s="34"/>
      <c r="U1039" s="34"/>
      <c r="V1039" s="34"/>
      <c r="W1039" s="34"/>
      <c r="X1039" s="34"/>
      <c r="Y1039"/>
    </row>
    <row r="1040" spans="1:25" s="91" customFormat="1" hidden="1" x14ac:dyDescent="0.25">
      <c r="A1040" s="32" t="s">
        <v>1765</v>
      </c>
      <c r="B1040" s="306" t="str">
        <f>IF((COUNTBLANK(G1040)=0),Stats!$E$7,IF((COUNTBLANK(E1040)=0),IF((COUNTBLANK(F1040)=0),IF((COUNTBLANK(U1040)=0),Stats!$E$6,Stats!$E$5),Stats!$E$4),""))</f>
        <v>Death</v>
      </c>
      <c r="C1040" s="41" t="s">
        <v>284</v>
      </c>
      <c r="D1040" s="306" t="str">
        <f>IF(B1040=Stats!$E$6,Stats!$E$11,"")</f>
        <v/>
      </c>
      <c r="E1040" s="89">
        <v>44943</v>
      </c>
      <c r="F1040" s="89"/>
      <c r="G1040" s="89">
        <v>44958</v>
      </c>
      <c r="H1040" s="34" t="s">
        <v>4807</v>
      </c>
      <c r="I1040" s="34"/>
      <c r="J1040" s="34" t="s">
        <v>152</v>
      </c>
      <c r="K1040" s="36" t="s">
        <v>493</v>
      </c>
      <c r="L1040" s="36"/>
      <c r="M1040" s="36"/>
      <c r="N1040" s="65" t="s">
        <v>105</v>
      </c>
      <c r="O1040" s="34" t="s">
        <v>478</v>
      </c>
      <c r="P1040" s="68">
        <v>-450</v>
      </c>
      <c r="Q1040" s="68">
        <v>500</v>
      </c>
      <c r="R1040" s="34" t="s">
        <v>249</v>
      </c>
      <c r="S1040" s="34"/>
      <c r="T1040" s="34"/>
      <c r="U1040" s="34"/>
      <c r="V1040" s="34"/>
      <c r="W1040" s="34"/>
      <c r="X1040" s="34"/>
      <c r="Y1040"/>
    </row>
    <row r="1041" spans="1:25" s="91" customFormat="1" hidden="1" x14ac:dyDescent="0.25">
      <c r="A1041" s="32" t="s">
        <v>1766</v>
      </c>
      <c r="B1041" s="306" t="str">
        <f>IF((COUNTBLANK(G1041)=0),Stats!$E$7,IF((COUNTBLANK(E1041)=0),IF((COUNTBLANK(F1041)=0),IF((COUNTBLANK(U1041)=0),Stats!$E$6,Stats!$E$5),Stats!$E$4),""))</f>
        <v>Death</v>
      </c>
      <c r="C1041" s="41" t="s">
        <v>284</v>
      </c>
      <c r="D1041" s="306" t="s">
        <v>325</v>
      </c>
      <c r="E1041" s="89">
        <v>44943</v>
      </c>
      <c r="F1041" s="89">
        <v>44970</v>
      </c>
      <c r="G1041" s="316">
        <v>45229</v>
      </c>
      <c r="H1041" s="34" t="s">
        <v>4807</v>
      </c>
      <c r="I1041" s="34"/>
      <c r="J1041" s="34" t="s">
        <v>152</v>
      </c>
      <c r="K1041" s="36" t="s">
        <v>493</v>
      </c>
      <c r="L1041" s="36"/>
      <c r="M1041" s="36"/>
      <c r="N1041" s="65" t="s">
        <v>105</v>
      </c>
      <c r="O1041" s="34" t="s">
        <v>478</v>
      </c>
      <c r="P1041" s="68">
        <v>-450</v>
      </c>
      <c r="Q1041" s="68">
        <v>500</v>
      </c>
      <c r="R1041" s="34" t="s">
        <v>243</v>
      </c>
      <c r="S1041" s="34"/>
      <c r="T1041" s="34"/>
      <c r="U1041" s="34" t="s">
        <v>4808</v>
      </c>
      <c r="V1041" s="34"/>
      <c r="W1041" s="34"/>
      <c r="X1041" s="34"/>
      <c r="Y1041"/>
    </row>
    <row r="1042" spans="1:25" s="91" customFormat="1" hidden="1" x14ac:dyDescent="0.25">
      <c r="A1042" s="32" t="s">
        <v>1767</v>
      </c>
      <c r="B1042" s="306" t="str">
        <f>IF((COUNTBLANK(G1042)=0),Stats!$E$7,IF((COUNTBLANK(E1042)=0),IF((COUNTBLANK(F1042)=0),IF((COUNTBLANK(U1042)=0),Stats!$E$6,Stats!$E$5),Stats!$E$4),""))</f>
        <v>Death</v>
      </c>
      <c r="C1042" s="41" t="s">
        <v>284</v>
      </c>
      <c r="D1042" s="306" t="s">
        <v>325</v>
      </c>
      <c r="E1042" s="89">
        <v>44943</v>
      </c>
      <c r="F1042" s="89">
        <v>44958</v>
      </c>
      <c r="G1042" s="89">
        <v>45254</v>
      </c>
      <c r="H1042" s="34" t="s">
        <v>3073</v>
      </c>
      <c r="I1042" s="34"/>
      <c r="J1042" s="34" t="s">
        <v>152</v>
      </c>
      <c r="K1042" s="36" t="s">
        <v>493</v>
      </c>
      <c r="L1042" s="36"/>
      <c r="M1042" s="36"/>
      <c r="N1042" s="65" t="s">
        <v>105</v>
      </c>
      <c r="O1042" s="34" t="s">
        <v>478</v>
      </c>
      <c r="P1042" s="68">
        <v>-450</v>
      </c>
      <c r="Q1042" s="68">
        <v>500</v>
      </c>
      <c r="R1042" s="34" t="s">
        <v>279</v>
      </c>
      <c r="S1042" s="34"/>
      <c r="T1042" s="34"/>
      <c r="U1042" s="34" t="s">
        <v>4809</v>
      </c>
      <c r="V1042" s="34"/>
      <c r="W1042" s="34"/>
      <c r="X1042" s="34"/>
      <c r="Y1042"/>
    </row>
    <row r="1043" spans="1:25" s="91" customFormat="1" ht="14.25" hidden="1" customHeight="1" x14ac:dyDescent="0.25">
      <c r="A1043" s="32" t="s">
        <v>1768</v>
      </c>
      <c r="B1043" s="306" t="str">
        <f>IF((COUNTBLANK(G1043)=0),Stats!$E$7,IF((COUNTBLANK(E1043)=0),IF((COUNTBLANK(F1043)=0),IF((COUNTBLANK(U1043)=0),Stats!$E$6,Stats!$E$5),Stats!$E$4),""))</f>
        <v>Death</v>
      </c>
      <c r="C1043" s="41" t="s">
        <v>3127</v>
      </c>
      <c r="D1043" s="306" t="str">
        <f>IF(B1043=Stats!$E$6,Stats!$E$11,"")</f>
        <v/>
      </c>
      <c r="E1043" s="89">
        <v>44749</v>
      </c>
      <c r="F1043" s="89"/>
      <c r="G1043" s="89">
        <v>45145</v>
      </c>
      <c r="H1043" s="34" t="s">
        <v>3118</v>
      </c>
      <c r="I1043" s="34"/>
      <c r="J1043" s="34" t="s">
        <v>152</v>
      </c>
      <c r="K1043" s="36" t="s">
        <v>4810</v>
      </c>
      <c r="L1043" s="36" t="s">
        <v>4199</v>
      </c>
      <c r="M1043" s="36"/>
      <c r="N1043" s="65"/>
      <c r="O1043" s="34" t="s">
        <v>4811</v>
      </c>
      <c r="P1043" s="68">
        <v>-300</v>
      </c>
      <c r="Q1043" s="68">
        <v>200</v>
      </c>
      <c r="R1043" s="34" t="s">
        <v>279</v>
      </c>
      <c r="S1043" s="34"/>
      <c r="T1043" s="34"/>
      <c r="U1043" s="34"/>
      <c r="V1043" s="34"/>
      <c r="W1043" s="34"/>
      <c r="X1043" s="34"/>
      <c r="Y1043"/>
    </row>
    <row r="1044" spans="1:25" hidden="1" x14ac:dyDescent="0.25">
      <c r="A1044" s="32" t="s">
        <v>1769</v>
      </c>
      <c r="B1044" s="306" t="str">
        <f>IF((COUNTBLANK(G1044)=0),Stats!$E$7,IF((COUNTBLANK(E1044)=0),IF((COUNTBLANK(F1044)=0),IF((COUNTBLANK(U1044)=0),Stats!$E$6,Stats!$E$5),Stats!$E$4),""))</f>
        <v>Death</v>
      </c>
      <c r="C1044" s="41" t="s">
        <v>3127</v>
      </c>
      <c r="D1044" s="306" t="str">
        <f>IF(B1044=Stats!$E$6,Stats!$E$11,"")</f>
        <v/>
      </c>
      <c r="E1044" s="89">
        <v>44749</v>
      </c>
      <c r="G1044" s="342">
        <v>45639</v>
      </c>
      <c r="H1044" s="34" t="s">
        <v>3118</v>
      </c>
      <c r="J1044" s="34" t="s">
        <v>152</v>
      </c>
      <c r="K1044" s="36" t="s">
        <v>4810</v>
      </c>
      <c r="L1044" s="36" t="s">
        <v>4199</v>
      </c>
      <c r="O1044" s="34" t="s">
        <v>4811</v>
      </c>
      <c r="P1044" s="68">
        <v>-300</v>
      </c>
      <c r="Q1044" s="68">
        <v>200</v>
      </c>
      <c r="R1044" s="34" t="s">
        <v>243</v>
      </c>
    </row>
    <row r="1045" spans="1:25" hidden="1" x14ac:dyDescent="0.25">
      <c r="A1045" s="32" t="s">
        <v>1770</v>
      </c>
      <c r="B1045" s="306" t="str">
        <f>IF((COUNTBLANK(G1045)=0),Stats!$E$7,IF((COUNTBLANK(E1045)=0),IF((COUNTBLANK(F1045)=0),IF((COUNTBLANK(U1045)=0),Stats!$E$6,Stats!$E$5),Stats!$E$4),""))</f>
        <v>Death</v>
      </c>
      <c r="C1045" s="41" t="s">
        <v>3127</v>
      </c>
      <c r="D1045" s="306" t="str">
        <f>IF(B1045=Stats!$E$6,Stats!$E$11,"")</f>
        <v/>
      </c>
      <c r="E1045" s="89">
        <v>44749</v>
      </c>
      <c r="G1045" s="342">
        <v>45639</v>
      </c>
      <c r="H1045" s="34" t="s">
        <v>3118</v>
      </c>
      <c r="J1045" s="34" t="s">
        <v>152</v>
      </c>
      <c r="K1045" s="36" t="s">
        <v>4810</v>
      </c>
      <c r="L1045" s="36" t="s">
        <v>4199</v>
      </c>
      <c r="O1045" s="34" t="s">
        <v>4811</v>
      </c>
      <c r="P1045" s="68">
        <v>-300</v>
      </c>
      <c r="Q1045" s="68">
        <v>200</v>
      </c>
      <c r="R1045" s="34" t="s">
        <v>249</v>
      </c>
    </row>
    <row r="1046" spans="1:25" s="91" customFormat="1" hidden="1" x14ac:dyDescent="0.25">
      <c r="A1046" s="32" t="s">
        <v>1771</v>
      </c>
      <c r="B1046" s="306" t="str">
        <f>IF((COUNTBLANK(G1046)=0),Stats!$E$7,IF((COUNTBLANK(E1046)=0),IF((COUNTBLANK(F1046)=0),IF((COUNTBLANK(U1046)=0),Stats!$E$6,Stats!$E$5),Stats!$E$4),""))</f>
        <v>Death</v>
      </c>
      <c r="C1046" s="41" t="s">
        <v>284</v>
      </c>
      <c r="D1046" s="306" t="s">
        <v>59</v>
      </c>
      <c r="E1046" s="89">
        <v>44945</v>
      </c>
      <c r="F1046" s="89">
        <v>44958</v>
      </c>
      <c r="G1046" s="89">
        <v>44619</v>
      </c>
      <c r="H1046" s="34" t="s">
        <v>3073</v>
      </c>
      <c r="I1046" s="34"/>
      <c r="J1046" s="34" t="s">
        <v>152</v>
      </c>
      <c r="K1046" s="36" t="s">
        <v>493</v>
      </c>
      <c r="L1046" s="36"/>
      <c r="M1046" s="36"/>
      <c r="N1046" s="65" t="s">
        <v>105</v>
      </c>
      <c r="O1046" s="34" t="s">
        <v>478</v>
      </c>
      <c r="P1046" s="68">
        <v>-450</v>
      </c>
      <c r="Q1046" s="68">
        <v>500</v>
      </c>
      <c r="R1046" s="34" t="s">
        <v>243</v>
      </c>
      <c r="S1046" s="34"/>
      <c r="T1046" s="34"/>
      <c r="U1046" s="34" t="s">
        <v>4812</v>
      </c>
      <c r="V1046" s="34"/>
      <c r="W1046" s="34"/>
      <c r="X1046" s="34"/>
      <c r="Y1046"/>
    </row>
    <row r="1047" spans="1:25" hidden="1" x14ac:dyDescent="0.25">
      <c r="A1047" s="32" t="s">
        <v>1772</v>
      </c>
      <c r="B1047" s="306" t="str">
        <f>IF((COUNTBLANK(G1047)=0),Stats!$E$7,IF((COUNTBLANK(E1047)=0),IF((COUNTBLANK(F1047)=0),IF((COUNTBLANK(U1047)=0),Stats!$E$6,Stats!$E$5),Stats!$E$4),""))</f>
        <v>Death</v>
      </c>
      <c r="C1047" s="41" t="s">
        <v>207</v>
      </c>
      <c r="D1047" s="306" t="str">
        <f>IF(B1047=Stats!$E$6,Stats!$E$11,"")</f>
        <v/>
      </c>
      <c r="E1047" s="89">
        <v>44951</v>
      </c>
      <c r="F1047" s="89">
        <v>44993</v>
      </c>
      <c r="G1047" s="342">
        <v>45639</v>
      </c>
      <c r="H1047" s="34" t="s">
        <v>3139</v>
      </c>
      <c r="K1047" s="36" t="s">
        <v>4813</v>
      </c>
      <c r="N1047" s="65" t="s">
        <v>196</v>
      </c>
      <c r="O1047" s="34" t="s">
        <v>51</v>
      </c>
      <c r="P1047" s="68" t="s">
        <v>4784</v>
      </c>
      <c r="Q1047" s="68" t="s">
        <v>3709</v>
      </c>
      <c r="R1047" s="34" t="s">
        <v>279</v>
      </c>
      <c r="T1047" s="34" t="s">
        <v>4814</v>
      </c>
    </row>
    <row r="1048" spans="1:25" hidden="1" x14ac:dyDescent="0.25">
      <c r="A1048" s="32" t="s">
        <v>1773</v>
      </c>
      <c r="B1048" s="306" t="str">
        <f>IF((COUNTBLANK(G1048)=0),Stats!$E$7,IF((COUNTBLANK(E1048)=0),IF((COUNTBLANK(F1048)=0),IF((COUNTBLANK(U1048)=0),Stats!$E$6,Stats!$E$5),Stats!$E$4),""))</f>
        <v>Death</v>
      </c>
      <c r="C1048" s="41" t="s">
        <v>207</v>
      </c>
      <c r="D1048" s="306" t="str">
        <f>IF(B1048=Stats!$E$6,Stats!$E$11,"")</f>
        <v/>
      </c>
      <c r="E1048" s="89">
        <v>44951</v>
      </c>
      <c r="F1048" s="89">
        <v>45201</v>
      </c>
      <c r="G1048" s="342">
        <v>45639</v>
      </c>
      <c r="H1048" s="34" t="s">
        <v>3139</v>
      </c>
      <c r="K1048" s="36" t="s">
        <v>4813</v>
      </c>
      <c r="N1048" s="65" t="s">
        <v>196</v>
      </c>
      <c r="O1048" s="34" t="s">
        <v>51</v>
      </c>
      <c r="P1048" s="68" t="s">
        <v>4784</v>
      </c>
      <c r="Q1048" s="68" t="s">
        <v>3709</v>
      </c>
      <c r="R1048" s="34" t="s">
        <v>249</v>
      </c>
    </row>
    <row r="1049" spans="1:25" hidden="1" x14ac:dyDescent="0.25">
      <c r="A1049" s="32" t="s">
        <v>1774</v>
      </c>
      <c r="B1049" s="306" t="str">
        <f>IF((COUNTBLANK(G1049)=0),Stats!$E$7,IF((COUNTBLANK(E1049)=0),IF((COUNTBLANK(F1049)=0),IF((COUNTBLANK(U1049)=0),Stats!$E$6,Stats!$E$5),Stats!$E$4),""))</f>
        <v>Death</v>
      </c>
      <c r="C1049" s="41" t="s">
        <v>207</v>
      </c>
      <c r="D1049" s="306" t="str">
        <f>IF(B1049=Stats!$E$6,Stats!$E$11,"")</f>
        <v/>
      </c>
      <c r="E1049" s="89">
        <v>44951</v>
      </c>
      <c r="G1049" s="342">
        <v>45639</v>
      </c>
      <c r="H1049" s="34" t="s">
        <v>3139</v>
      </c>
      <c r="K1049" s="36" t="s">
        <v>4813</v>
      </c>
      <c r="N1049" s="65" t="s">
        <v>196</v>
      </c>
      <c r="O1049" s="34" t="s">
        <v>51</v>
      </c>
      <c r="P1049" s="68" t="s">
        <v>4784</v>
      </c>
      <c r="Q1049" s="68" t="s">
        <v>3709</v>
      </c>
      <c r="R1049" s="34" t="s">
        <v>243</v>
      </c>
    </row>
    <row r="1050" spans="1:25" hidden="1" x14ac:dyDescent="0.25">
      <c r="A1050" s="32" t="s">
        <v>1775</v>
      </c>
      <c r="B1050" s="306" t="str">
        <f>IF((COUNTBLANK(G1050)=0),Stats!$E$7,IF((COUNTBLANK(E1050)=0),IF((COUNTBLANK(F1050)=0),IF((COUNTBLANK(U1050)=0),Stats!$E$6,Stats!$E$5),Stats!$E$4),""))</f>
        <v>Death</v>
      </c>
      <c r="C1050" s="41" t="s">
        <v>207</v>
      </c>
      <c r="D1050" s="306" t="str">
        <f>IF(B1050=Stats!$E$6,Stats!$E$11,"")</f>
        <v/>
      </c>
      <c r="E1050" s="89">
        <v>44951</v>
      </c>
      <c r="F1050" s="89">
        <v>44992</v>
      </c>
      <c r="G1050" s="342">
        <v>45639</v>
      </c>
      <c r="H1050" s="34" t="s">
        <v>3139</v>
      </c>
      <c r="K1050" s="36" t="s">
        <v>4813</v>
      </c>
      <c r="N1050" s="65" t="s">
        <v>196</v>
      </c>
      <c r="O1050" s="34" t="s">
        <v>51</v>
      </c>
      <c r="P1050" s="68" t="s">
        <v>4784</v>
      </c>
      <c r="Q1050" s="68" t="s">
        <v>3709</v>
      </c>
      <c r="R1050" s="34" t="s">
        <v>291</v>
      </c>
      <c r="T1050" s="34" t="s">
        <v>4814</v>
      </c>
    </row>
    <row r="1051" spans="1:25" s="91" customFormat="1" hidden="1" x14ac:dyDescent="0.25">
      <c r="A1051" s="32" t="s">
        <v>1776</v>
      </c>
      <c r="B1051" s="306" t="str">
        <f>IF((COUNTBLANK(G1051)=0),Stats!$E$7,IF((COUNTBLANK(E1051)=0),IF((COUNTBLANK(F1051)=0),IF((COUNTBLANK(U1051)=0),Stats!$E$6,Stats!$E$5),Stats!$E$4),""))</f>
        <v>Death</v>
      </c>
      <c r="C1051" s="41" t="s">
        <v>3111</v>
      </c>
      <c r="D1051" s="306" t="str">
        <f>IF(B1051=Stats!$E$6,Stats!$E$11,"")</f>
        <v/>
      </c>
      <c r="E1051" s="89">
        <v>44952</v>
      </c>
      <c r="F1051" s="89"/>
      <c r="G1051" s="89">
        <v>45299</v>
      </c>
      <c r="H1051" s="34" t="s">
        <v>3139</v>
      </c>
      <c r="I1051" s="34"/>
      <c r="J1051" s="34"/>
      <c r="K1051" s="36" t="s">
        <v>4813</v>
      </c>
      <c r="L1051" s="36"/>
      <c r="M1051" s="36"/>
      <c r="N1051" s="65" t="s">
        <v>196</v>
      </c>
      <c r="O1051" s="34" t="s">
        <v>4521</v>
      </c>
      <c r="P1051" s="68" t="s">
        <v>4815</v>
      </c>
      <c r="Q1051" s="68" t="s">
        <v>3709</v>
      </c>
      <c r="R1051" s="34" t="s">
        <v>279</v>
      </c>
      <c r="S1051" s="34"/>
      <c r="T1051" s="34" t="s">
        <v>4816</v>
      </c>
      <c r="U1051" s="34"/>
      <c r="V1051" s="34"/>
      <c r="W1051" s="34"/>
      <c r="X1051" s="34"/>
      <c r="Y1051"/>
    </row>
    <row r="1052" spans="1:25" s="91" customFormat="1" hidden="1" x14ac:dyDescent="0.25">
      <c r="A1052" s="32" t="s">
        <v>1777</v>
      </c>
      <c r="B1052" s="306" t="str">
        <f>IF((COUNTBLANK(G1052)=0),Stats!$E$7,IF((COUNTBLANK(E1052)=0),IF((COUNTBLANK(F1052)=0),IF((COUNTBLANK(U1052)=0),Stats!$E$6,Stats!$E$5),Stats!$E$4),""))</f>
        <v>Death</v>
      </c>
      <c r="C1052" s="41" t="s">
        <v>3111</v>
      </c>
      <c r="D1052" s="306" t="str">
        <f>IF(B1052=Stats!$E$6,Stats!$E$11,"")</f>
        <v/>
      </c>
      <c r="E1052" s="89">
        <v>44952</v>
      </c>
      <c r="F1052" s="89">
        <v>44998</v>
      </c>
      <c r="G1052" s="89">
        <v>45299</v>
      </c>
      <c r="H1052" s="34" t="s">
        <v>3139</v>
      </c>
      <c r="I1052" s="34"/>
      <c r="J1052" s="34"/>
      <c r="K1052" s="36" t="s">
        <v>4813</v>
      </c>
      <c r="L1052" s="36"/>
      <c r="M1052" s="36"/>
      <c r="N1052" s="65" t="s">
        <v>196</v>
      </c>
      <c r="O1052" s="34" t="s">
        <v>51</v>
      </c>
      <c r="P1052" s="68" t="s">
        <v>4817</v>
      </c>
      <c r="Q1052" s="68" t="s">
        <v>3709</v>
      </c>
      <c r="R1052" s="34" t="s">
        <v>249</v>
      </c>
      <c r="S1052" s="34"/>
      <c r="T1052" s="34" t="s">
        <v>4816</v>
      </c>
      <c r="U1052" s="34"/>
      <c r="V1052" s="34"/>
      <c r="W1052" s="34"/>
      <c r="X1052" s="34"/>
      <c r="Y1052"/>
    </row>
    <row r="1053" spans="1:25" s="91" customFormat="1" hidden="1" x14ac:dyDescent="0.25">
      <c r="A1053" s="32" t="s">
        <v>1778</v>
      </c>
      <c r="B1053" s="306" t="str">
        <f>IF((COUNTBLANK(G1053)=0),Stats!$E$7,IF((COUNTBLANK(E1053)=0),IF((COUNTBLANK(F1053)=0),IF((COUNTBLANK(U1053)=0),Stats!$E$6,Stats!$E$5),Stats!$E$4),""))</f>
        <v>Death</v>
      </c>
      <c r="C1053" s="41" t="s">
        <v>3111</v>
      </c>
      <c r="D1053" s="306" t="str">
        <f>IF(B1053=Stats!$E$6,Stats!$E$11,"")</f>
        <v/>
      </c>
      <c r="E1053" s="89">
        <v>44952</v>
      </c>
      <c r="F1053" s="89">
        <v>45001</v>
      </c>
      <c r="G1053" s="89">
        <v>45156</v>
      </c>
      <c r="H1053" s="34" t="s">
        <v>3139</v>
      </c>
      <c r="I1053" s="34"/>
      <c r="J1053" s="34"/>
      <c r="K1053" s="36" t="s">
        <v>4813</v>
      </c>
      <c r="L1053" s="36"/>
      <c r="M1053" s="36"/>
      <c r="N1053" s="65" t="s">
        <v>196</v>
      </c>
      <c r="O1053" s="34" t="s">
        <v>51</v>
      </c>
      <c r="P1053" s="68" t="s">
        <v>4817</v>
      </c>
      <c r="Q1053" s="68" t="s">
        <v>3709</v>
      </c>
      <c r="R1053" s="34" t="s">
        <v>243</v>
      </c>
      <c r="S1053" s="34"/>
      <c r="T1053" s="34" t="s">
        <v>4816</v>
      </c>
      <c r="U1053" s="34"/>
      <c r="V1053" s="34"/>
      <c r="W1053" s="34"/>
      <c r="X1053" s="34"/>
      <c r="Y1053"/>
    </row>
    <row r="1054" spans="1:25" hidden="1" x14ac:dyDescent="0.25">
      <c r="A1054" s="32" t="s">
        <v>1779</v>
      </c>
      <c r="B1054" s="306" t="str">
        <f>IF((COUNTBLANK(G1054)=0),Stats!$E$7,IF((COUNTBLANK(E1054)=0),IF((COUNTBLANK(F1054)=0),IF((COUNTBLANK(U1054)=0),Stats!$E$6,Stats!$E$5),Stats!$E$4),""))</f>
        <v>Death</v>
      </c>
      <c r="C1054" s="41" t="s">
        <v>284</v>
      </c>
      <c r="D1054" s="306" t="s">
        <v>325</v>
      </c>
      <c r="E1054" s="89">
        <v>44952</v>
      </c>
      <c r="F1054" s="89">
        <v>44971</v>
      </c>
      <c r="G1054" s="342">
        <v>45639</v>
      </c>
      <c r="H1054" s="34" t="s">
        <v>3135</v>
      </c>
      <c r="K1054" s="36" t="s">
        <v>493</v>
      </c>
      <c r="N1054" s="65" t="s">
        <v>105</v>
      </c>
      <c r="O1054" s="34" t="s">
        <v>51</v>
      </c>
      <c r="P1054" s="68">
        <v>-450</v>
      </c>
      <c r="Q1054" s="68">
        <v>500</v>
      </c>
      <c r="R1054" s="34" t="s">
        <v>249</v>
      </c>
      <c r="S1054" s="158"/>
      <c r="U1054" s="34" t="s">
        <v>4818</v>
      </c>
    </row>
    <row r="1055" spans="1:25" s="91" customFormat="1" hidden="1" x14ac:dyDescent="0.25">
      <c r="A1055" s="32" t="s">
        <v>1780</v>
      </c>
      <c r="B1055" s="306" t="str">
        <f>IF((COUNTBLANK(G1055)=0),Stats!$E$7,IF((COUNTBLANK(E1055)=0),IF((COUNTBLANK(F1055)=0),IF((COUNTBLANK(U1055)=0),Stats!$E$6,Stats!$E$5),Stats!$E$4),""))</f>
        <v>Death</v>
      </c>
      <c r="C1055" s="41" t="s">
        <v>3111</v>
      </c>
      <c r="D1055" s="306" t="str">
        <f>IF(B1055=Stats!$E$6,Stats!$E$11,"")</f>
        <v/>
      </c>
      <c r="E1055" s="89">
        <v>44953</v>
      </c>
      <c r="F1055" s="89"/>
      <c r="G1055" s="89">
        <v>45190</v>
      </c>
      <c r="H1055" s="34" t="s">
        <v>3139</v>
      </c>
      <c r="I1055" s="34"/>
      <c r="J1055" s="34"/>
      <c r="K1055" s="36" t="s">
        <v>4813</v>
      </c>
      <c r="L1055" s="36"/>
      <c r="M1055" s="36"/>
      <c r="N1055" s="65" t="s">
        <v>196</v>
      </c>
      <c r="O1055" s="34" t="s">
        <v>4521</v>
      </c>
      <c r="P1055" s="68" t="s">
        <v>4281</v>
      </c>
      <c r="Q1055" s="68" t="s">
        <v>3709</v>
      </c>
      <c r="R1055" s="34" t="s">
        <v>279</v>
      </c>
      <c r="S1055" s="34"/>
      <c r="T1055" s="34"/>
      <c r="U1055" s="34"/>
      <c r="V1055" s="34"/>
      <c r="W1055" s="34"/>
      <c r="X1055" s="34"/>
      <c r="Y1055"/>
    </row>
    <row r="1056" spans="1:25" s="91" customFormat="1" hidden="1" x14ac:dyDescent="0.25">
      <c r="A1056" s="32" t="s">
        <v>1781</v>
      </c>
      <c r="B1056" s="306" t="str">
        <f>IF((COUNTBLANK(G1056)=0),Stats!$E$7,IF((COUNTBLANK(E1056)=0),IF((COUNTBLANK(F1056)=0),IF((COUNTBLANK(U1056)=0),Stats!$E$6,Stats!$E$5),Stats!$E$4),""))</f>
        <v>Death</v>
      </c>
      <c r="C1056" s="41" t="s">
        <v>3111</v>
      </c>
      <c r="D1056" s="306" t="str">
        <f>IF(B1056=Stats!$E$6,Stats!$E$11,"")</f>
        <v/>
      </c>
      <c r="E1056" s="89">
        <v>44953</v>
      </c>
      <c r="F1056" s="89"/>
      <c r="G1056" s="89">
        <v>44979</v>
      </c>
      <c r="H1056" s="34" t="s">
        <v>3139</v>
      </c>
      <c r="I1056" s="34"/>
      <c r="J1056" s="34"/>
      <c r="K1056" s="36" t="s">
        <v>4813</v>
      </c>
      <c r="L1056" s="36"/>
      <c r="M1056" s="36"/>
      <c r="N1056" s="65" t="s">
        <v>196</v>
      </c>
      <c r="O1056" s="34" t="s">
        <v>4521</v>
      </c>
      <c r="P1056" s="68" t="s">
        <v>4281</v>
      </c>
      <c r="Q1056" s="68" t="s">
        <v>3709</v>
      </c>
      <c r="R1056" s="34" t="s">
        <v>249</v>
      </c>
      <c r="S1056" s="34"/>
      <c r="T1056" s="34"/>
      <c r="U1056" s="34"/>
      <c r="V1056" s="34"/>
      <c r="W1056" s="34"/>
      <c r="X1056" s="34"/>
      <c r="Y1056"/>
    </row>
    <row r="1057" spans="1:25" hidden="1" x14ac:dyDescent="0.25">
      <c r="A1057" s="32" t="s">
        <v>1782</v>
      </c>
      <c r="B1057" s="306" t="str">
        <f>IF((COUNTBLANK(G1057)=0),Stats!$E$7,IF((COUNTBLANK(E1057)=0),IF((COUNTBLANK(F1057)=0),IF((COUNTBLANK(U1057)=0),Stats!$E$6,Stats!$E$5),Stats!$E$4),""))</f>
        <v>Death</v>
      </c>
      <c r="C1057" s="41" t="s">
        <v>3111</v>
      </c>
      <c r="D1057" s="306" t="str">
        <f>IF(B1057=Stats!$E$6,Stats!$E$11,"")</f>
        <v/>
      </c>
      <c r="E1057" s="89">
        <v>44953</v>
      </c>
      <c r="G1057" s="342">
        <v>45639</v>
      </c>
      <c r="H1057" s="34" t="s">
        <v>3139</v>
      </c>
      <c r="K1057" s="36" t="s">
        <v>4813</v>
      </c>
      <c r="N1057" s="65" t="s">
        <v>196</v>
      </c>
      <c r="O1057" s="34" t="s">
        <v>4521</v>
      </c>
      <c r="P1057" s="68" t="s">
        <v>4281</v>
      </c>
      <c r="Q1057" s="68" t="s">
        <v>3709</v>
      </c>
      <c r="R1057" s="34" t="s">
        <v>243</v>
      </c>
    </row>
    <row r="1058" spans="1:25" s="91" customFormat="1" hidden="1" x14ac:dyDescent="0.25">
      <c r="A1058" s="32" t="s">
        <v>1783</v>
      </c>
      <c r="B1058" s="306" t="str">
        <f>IF((COUNTBLANK(G1058)=0),Stats!$E$7,IF((COUNTBLANK(E1058)=0),IF((COUNTBLANK(F1058)=0),IF((COUNTBLANK(U1058)=0),Stats!$E$6,Stats!$E$5),Stats!$E$4),""))</f>
        <v>Death</v>
      </c>
      <c r="C1058" s="41" t="s">
        <v>3111</v>
      </c>
      <c r="D1058" s="306" t="s">
        <v>325</v>
      </c>
      <c r="E1058" s="89">
        <v>44953</v>
      </c>
      <c r="F1058" s="89">
        <v>44971</v>
      </c>
      <c r="G1058" s="89">
        <v>45300</v>
      </c>
      <c r="H1058" s="34" t="s">
        <v>3073</v>
      </c>
      <c r="I1058" s="34"/>
      <c r="J1058" s="34" t="s">
        <v>152</v>
      </c>
      <c r="K1058" s="36" t="s">
        <v>493</v>
      </c>
      <c r="L1058" s="36"/>
      <c r="M1058" s="36"/>
      <c r="N1058" s="65" t="s">
        <v>105</v>
      </c>
      <c r="O1058" s="34" t="s">
        <v>51</v>
      </c>
      <c r="P1058" s="68">
        <v>-450</v>
      </c>
      <c r="Q1058" s="68">
        <v>420</v>
      </c>
      <c r="R1058" s="34" t="s">
        <v>279</v>
      </c>
      <c r="S1058" s="158"/>
      <c r="T1058" s="34"/>
      <c r="U1058" s="34" t="s">
        <v>4819</v>
      </c>
      <c r="V1058" s="34"/>
      <c r="W1058" s="34"/>
      <c r="X1058" s="34"/>
      <c r="Y1058"/>
    </row>
    <row r="1059" spans="1:25" s="91" customFormat="1" hidden="1" x14ac:dyDescent="0.25">
      <c r="A1059" s="32" t="s">
        <v>1784</v>
      </c>
      <c r="B1059" s="306" t="str">
        <f>IF((COUNTBLANK(G1059)=0),Stats!$E$7,IF((COUNTBLANK(E1059)=0),IF((COUNTBLANK(F1059)=0),IF((COUNTBLANK(U1059)=0),Stats!$E$6,Stats!$E$5),Stats!$E$4),""))</f>
        <v>Death</v>
      </c>
      <c r="C1059" s="41" t="s">
        <v>284</v>
      </c>
      <c r="D1059" s="306" t="s">
        <v>325</v>
      </c>
      <c r="E1059" s="89">
        <v>44964</v>
      </c>
      <c r="F1059" s="89">
        <v>44971</v>
      </c>
      <c r="G1059" s="89">
        <v>45300</v>
      </c>
      <c r="H1059" s="34" t="s">
        <v>3073</v>
      </c>
      <c r="I1059" s="34"/>
      <c r="J1059" s="34" t="s">
        <v>152</v>
      </c>
      <c r="K1059" s="36" t="s">
        <v>493</v>
      </c>
      <c r="L1059" s="36"/>
      <c r="M1059" s="36"/>
      <c r="N1059" s="65" t="s">
        <v>105</v>
      </c>
      <c r="O1059" s="34" t="s">
        <v>51</v>
      </c>
      <c r="P1059" s="68">
        <v>-450</v>
      </c>
      <c r="Q1059" s="68">
        <v>500</v>
      </c>
      <c r="R1059" s="34" t="s">
        <v>279</v>
      </c>
      <c r="S1059" s="158"/>
      <c r="T1059" s="34"/>
      <c r="U1059" s="34" t="s">
        <v>4820</v>
      </c>
      <c r="V1059" s="34"/>
      <c r="W1059" s="34"/>
      <c r="X1059" s="34"/>
      <c r="Y1059"/>
    </row>
    <row r="1060" spans="1:25" s="91" customFormat="1" hidden="1" x14ac:dyDescent="0.25">
      <c r="A1060" s="32" t="s">
        <v>1785</v>
      </c>
      <c r="B1060" s="306" t="str">
        <f>IF((COUNTBLANK(G1060)=0),Stats!$E$7,IF((COUNTBLANK(E1060)=0),IF((COUNTBLANK(F1060)=0),IF((COUNTBLANK(U1060)=0),Stats!$E$6,Stats!$E$5),Stats!$E$4),""))</f>
        <v>Death</v>
      </c>
      <c r="C1060" s="41" t="s">
        <v>284</v>
      </c>
      <c r="D1060" s="306" t="str">
        <f>IF(B1060=Stats!$E$6,Stats!$E$11,"")</f>
        <v/>
      </c>
      <c r="E1060" s="89">
        <v>44964</v>
      </c>
      <c r="F1060" s="89"/>
      <c r="G1060" s="89">
        <v>44964</v>
      </c>
      <c r="H1060" s="34" t="s">
        <v>4807</v>
      </c>
      <c r="I1060" s="34"/>
      <c r="J1060" s="34" t="s">
        <v>152</v>
      </c>
      <c r="K1060" s="36" t="s">
        <v>493</v>
      </c>
      <c r="L1060" s="36"/>
      <c r="M1060" s="36"/>
      <c r="N1060" s="65" t="s">
        <v>105</v>
      </c>
      <c r="O1060" s="34" t="s">
        <v>51</v>
      </c>
      <c r="P1060" s="68">
        <v>-450</v>
      </c>
      <c r="Q1060" s="68">
        <v>500</v>
      </c>
      <c r="R1060" s="34" t="s">
        <v>243</v>
      </c>
      <c r="S1060" s="34"/>
      <c r="T1060" s="34"/>
      <c r="U1060" s="34"/>
      <c r="V1060" s="34"/>
      <c r="W1060" s="34"/>
      <c r="X1060" s="34"/>
      <c r="Y1060"/>
    </row>
    <row r="1061" spans="1:25" hidden="1" x14ac:dyDescent="0.25">
      <c r="A1061" s="32" t="s">
        <v>1786</v>
      </c>
      <c r="B1061" s="306" t="str">
        <f>IF((COUNTBLANK(G1061)=0),Stats!$E$7,IF((COUNTBLANK(E1061)=0),IF((COUNTBLANK(F1061)=0),IF((COUNTBLANK(U1061)=0),Stats!$E$6,Stats!$E$5),Stats!$E$4),""))</f>
        <v>Death</v>
      </c>
      <c r="C1061" s="41" t="s">
        <v>413</v>
      </c>
      <c r="D1061" s="306" t="str">
        <f>IF(B1061=Stats!$E$6,Stats!$E$11,"")</f>
        <v/>
      </c>
      <c r="E1061" s="89">
        <v>44979</v>
      </c>
      <c r="G1061" s="342">
        <v>45639</v>
      </c>
      <c r="H1061" s="34" t="s">
        <v>3118</v>
      </c>
      <c r="J1061" s="313" t="s">
        <v>3186</v>
      </c>
      <c r="L1061" s="36" t="s">
        <v>181</v>
      </c>
      <c r="N1061" s="65" t="s">
        <v>4821</v>
      </c>
      <c r="O1061" s="34" t="s">
        <v>51</v>
      </c>
      <c r="P1061" s="68">
        <v>-300</v>
      </c>
      <c r="Q1061" s="68">
        <v>200</v>
      </c>
      <c r="R1061" s="34" t="s">
        <v>279</v>
      </c>
      <c r="T1061" s="34" t="s">
        <v>4822</v>
      </c>
      <c r="U1061" s="34" t="s">
        <v>4823</v>
      </c>
    </row>
    <row r="1062" spans="1:25" hidden="1" x14ac:dyDescent="0.25">
      <c r="A1062" s="32" t="s">
        <v>1787</v>
      </c>
      <c r="B1062" s="306" t="str">
        <f>IF((COUNTBLANK(G1062)=0),Stats!$E$7,IF((COUNTBLANK(E1062)=0),IF((COUNTBLANK(F1062)=0),IF((COUNTBLANK(U1062)=0),Stats!$E$6,Stats!$E$5),Stats!$E$4),""))</f>
        <v>Death</v>
      </c>
      <c r="C1062" s="41" t="s">
        <v>413</v>
      </c>
      <c r="D1062" s="306" t="str">
        <f>IF(B1062=Stats!$E$6,Stats!$E$11,"")</f>
        <v/>
      </c>
      <c r="E1062" s="89">
        <v>44979</v>
      </c>
      <c r="G1062" s="342">
        <v>45639</v>
      </c>
      <c r="H1062" s="34" t="s">
        <v>3118</v>
      </c>
      <c r="J1062" s="313" t="s">
        <v>3186</v>
      </c>
      <c r="L1062" s="36" t="s">
        <v>181</v>
      </c>
      <c r="N1062" s="65" t="s">
        <v>4821</v>
      </c>
      <c r="O1062" s="34" t="s">
        <v>51</v>
      </c>
      <c r="P1062" s="68">
        <v>-300</v>
      </c>
      <c r="Q1062" s="68">
        <v>200</v>
      </c>
      <c r="R1062" s="34" t="s">
        <v>243</v>
      </c>
      <c r="T1062" s="34" t="s">
        <v>190</v>
      </c>
    </row>
    <row r="1063" spans="1:25" s="91" customFormat="1" hidden="1" x14ac:dyDescent="0.25">
      <c r="A1063" s="32" t="s">
        <v>1788</v>
      </c>
      <c r="B1063" s="306" t="str">
        <f>IF((COUNTBLANK(G1063)=0),Stats!$E$7,IF((COUNTBLANK(E1063)=0),IF((COUNTBLANK(F1063)=0),IF((COUNTBLANK(U1063)=0),Stats!$E$6,Stats!$E$5),Stats!$E$4),""))</f>
        <v>Death</v>
      </c>
      <c r="C1063" s="41" t="s">
        <v>413</v>
      </c>
      <c r="D1063" s="306" t="str">
        <f>IF(B1063=Stats!$E$6,Stats!$E$11,"")</f>
        <v/>
      </c>
      <c r="E1063" s="89">
        <v>44979</v>
      </c>
      <c r="F1063" s="89"/>
      <c r="G1063" s="89">
        <v>45261</v>
      </c>
      <c r="H1063" s="34" t="s">
        <v>3118</v>
      </c>
      <c r="I1063" s="34"/>
      <c r="J1063" s="313" t="s">
        <v>3186</v>
      </c>
      <c r="K1063" s="36"/>
      <c r="L1063" s="36" t="s">
        <v>181</v>
      </c>
      <c r="M1063" s="36"/>
      <c r="N1063" s="65" t="s">
        <v>4821</v>
      </c>
      <c r="O1063" s="34" t="s">
        <v>51</v>
      </c>
      <c r="P1063" s="68">
        <v>-300</v>
      </c>
      <c r="Q1063" s="68">
        <v>200</v>
      </c>
      <c r="R1063" s="34" t="s">
        <v>279</v>
      </c>
      <c r="S1063" s="34"/>
      <c r="T1063" s="34" t="s">
        <v>190</v>
      </c>
      <c r="U1063" s="34"/>
      <c r="V1063" s="34"/>
      <c r="W1063" s="34"/>
      <c r="X1063" s="34"/>
      <c r="Y1063"/>
    </row>
    <row r="1064" spans="1:25" s="91" customFormat="1" hidden="1" x14ac:dyDescent="0.25">
      <c r="A1064" s="32" t="s">
        <v>1789</v>
      </c>
      <c r="B1064" s="306" t="str">
        <f>IF((COUNTBLANK(G1064)=0),Stats!$E$7,IF((COUNTBLANK(E1064)=0),IF((COUNTBLANK(F1064)=0),IF((COUNTBLANK(U1064)=0),Stats!$E$6,Stats!$E$5),Stats!$E$4),""))</f>
        <v>Death</v>
      </c>
      <c r="C1064" s="41" t="s">
        <v>413</v>
      </c>
      <c r="D1064" s="306" t="str">
        <f>IF(B1064=Stats!$E$6,Stats!$E$11,"")</f>
        <v/>
      </c>
      <c r="E1064" s="89">
        <v>44980</v>
      </c>
      <c r="F1064" s="89"/>
      <c r="G1064" s="316">
        <v>45229</v>
      </c>
      <c r="H1064" s="34" t="s">
        <v>3118</v>
      </c>
      <c r="I1064" s="34"/>
      <c r="J1064" s="34" t="s">
        <v>3186</v>
      </c>
      <c r="K1064" s="36"/>
      <c r="L1064" s="36" t="s">
        <v>181</v>
      </c>
      <c r="M1064" s="36"/>
      <c r="N1064" s="65" t="s">
        <v>4821</v>
      </c>
      <c r="O1064" s="34" t="s">
        <v>51</v>
      </c>
      <c r="P1064" s="68">
        <v>-300</v>
      </c>
      <c r="Q1064" s="68">
        <v>600</v>
      </c>
      <c r="R1064" s="34" t="s">
        <v>243</v>
      </c>
      <c r="S1064" s="34"/>
      <c r="T1064" s="34" t="s">
        <v>190</v>
      </c>
      <c r="U1064" s="34"/>
      <c r="V1064" s="34"/>
      <c r="W1064" s="34"/>
      <c r="X1064" s="34"/>
      <c r="Y1064"/>
    </row>
    <row r="1065" spans="1:25" s="91" customFormat="1" hidden="1" x14ac:dyDescent="0.25">
      <c r="A1065" s="32" t="s">
        <v>1790</v>
      </c>
      <c r="B1065" s="306" t="str">
        <f>IF((COUNTBLANK(G1065)=0),Stats!$E$7,IF((COUNTBLANK(E1065)=0),IF((COUNTBLANK(F1065)=0),IF((COUNTBLANK(U1065)=0),Stats!$E$6,Stats!$E$5),Stats!$E$4),""))</f>
        <v>Death</v>
      </c>
      <c r="C1065" s="41" t="s">
        <v>413</v>
      </c>
      <c r="D1065" s="306" t="str">
        <f>IF(B1065=Stats!$E$6,Stats!$E$11,"")</f>
        <v/>
      </c>
      <c r="E1065" s="89">
        <v>44980</v>
      </c>
      <c r="F1065" s="89"/>
      <c r="G1065" s="316">
        <v>45229</v>
      </c>
      <c r="H1065" s="34" t="s">
        <v>3118</v>
      </c>
      <c r="I1065" s="34"/>
      <c r="J1065" s="34" t="s">
        <v>3186</v>
      </c>
      <c r="K1065" s="36"/>
      <c r="L1065" s="36" t="s">
        <v>181</v>
      </c>
      <c r="M1065" s="36"/>
      <c r="N1065" s="65" t="s">
        <v>4821</v>
      </c>
      <c r="O1065" s="34" t="s">
        <v>51</v>
      </c>
      <c r="P1065" s="68">
        <v>-300</v>
      </c>
      <c r="Q1065" s="68">
        <v>600</v>
      </c>
      <c r="R1065" s="34" t="s">
        <v>249</v>
      </c>
      <c r="S1065" s="34"/>
      <c r="T1065" s="34" t="s">
        <v>190</v>
      </c>
      <c r="U1065" s="34"/>
      <c r="V1065" s="34"/>
      <c r="W1065" s="34"/>
      <c r="X1065" s="34"/>
      <c r="Y1065"/>
    </row>
    <row r="1066" spans="1:25" s="91" customFormat="1" hidden="1" x14ac:dyDescent="0.25">
      <c r="A1066" s="32" t="s">
        <v>1791</v>
      </c>
      <c r="B1066" s="306" t="str">
        <f>IF((COUNTBLANK(G1066)=0),Stats!$E$7,IF((COUNTBLANK(E1066)=0),IF((COUNTBLANK(F1066)=0),IF((COUNTBLANK(U1066)=0),Stats!$E$6,Stats!$E$5),Stats!$E$4),""))</f>
        <v>Death</v>
      </c>
      <c r="C1066" s="41" t="s">
        <v>413</v>
      </c>
      <c r="D1066" s="306" t="str">
        <f>IF(B1066=Stats!$E$6,Stats!$E$11,"")</f>
        <v/>
      </c>
      <c r="E1066" s="89">
        <v>44980</v>
      </c>
      <c r="F1066" s="89"/>
      <c r="G1066" s="316">
        <v>45229</v>
      </c>
      <c r="H1066" s="34" t="s">
        <v>3118</v>
      </c>
      <c r="I1066" s="34"/>
      <c r="J1066" s="34" t="s">
        <v>3186</v>
      </c>
      <c r="K1066" s="36"/>
      <c r="L1066" s="36" t="s">
        <v>181</v>
      </c>
      <c r="M1066" s="36"/>
      <c r="N1066" s="65" t="s">
        <v>4821</v>
      </c>
      <c r="O1066" s="34" t="s">
        <v>51</v>
      </c>
      <c r="P1066" s="68">
        <v>-300</v>
      </c>
      <c r="Q1066" s="68">
        <v>600</v>
      </c>
      <c r="R1066" s="34" t="s">
        <v>291</v>
      </c>
      <c r="S1066" s="34"/>
      <c r="T1066" s="34" t="s">
        <v>190</v>
      </c>
      <c r="U1066" s="34"/>
      <c r="V1066" s="34"/>
      <c r="W1066" s="34"/>
      <c r="X1066" s="34"/>
      <c r="Y1066"/>
    </row>
    <row r="1067" spans="1:25" s="91" customFormat="1" hidden="1" x14ac:dyDescent="0.25">
      <c r="A1067" s="32" t="s">
        <v>1792</v>
      </c>
      <c r="B1067" s="306" t="str">
        <f>IF((COUNTBLANK(G1067)=0),Stats!$E$7,IF((COUNTBLANK(E1067)=0),IF((COUNTBLANK(F1067)=0),IF((COUNTBLANK(U1067)=0),Stats!$E$6,Stats!$E$5),Stats!$E$4),""))</f>
        <v>Death</v>
      </c>
      <c r="C1067" s="41" t="s">
        <v>284</v>
      </c>
      <c r="D1067" s="306" t="s">
        <v>325</v>
      </c>
      <c r="E1067" s="89">
        <v>44988</v>
      </c>
      <c r="F1067" s="89">
        <v>45006</v>
      </c>
      <c r="G1067" s="89">
        <v>45299</v>
      </c>
      <c r="H1067" s="34" t="s">
        <v>3073</v>
      </c>
      <c r="I1067" s="34"/>
      <c r="J1067" s="34" t="s">
        <v>152</v>
      </c>
      <c r="K1067" s="36" t="s">
        <v>493</v>
      </c>
      <c r="L1067" s="65"/>
      <c r="M1067" s="34"/>
      <c r="N1067" s="68" t="s">
        <v>105</v>
      </c>
      <c r="O1067" s="68" t="s">
        <v>51</v>
      </c>
      <c r="P1067" s="68">
        <v>-450</v>
      </c>
      <c r="Q1067" s="68">
        <v>500</v>
      </c>
      <c r="R1067" s="34" t="s">
        <v>279</v>
      </c>
      <c r="S1067" s="158"/>
      <c r="T1067" s="34"/>
      <c r="U1067" s="34" t="s">
        <v>4824</v>
      </c>
      <c r="V1067" s="34"/>
      <c r="W1067" s="34"/>
      <c r="X1067" s="34"/>
      <c r="Y1067"/>
    </row>
    <row r="1068" spans="1:25" hidden="1" x14ac:dyDescent="0.25">
      <c r="A1068" s="32" t="s">
        <v>1793</v>
      </c>
      <c r="B1068" s="306" t="str">
        <f>IF((COUNTBLANK(G1068)=0),Stats!$E$7,IF((COUNTBLANK(E1068)=0),IF((COUNTBLANK(F1068)=0),IF((COUNTBLANK(U1068)=0),Stats!$E$6,Stats!$E$5),Stats!$E$4),""))</f>
        <v>Death</v>
      </c>
      <c r="C1068" s="41" t="s">
        <v>284</v>
      </c>
      <c r="D1068" s="306" t="s">
        <v>59</v>
      </c>
      <c r="E1068" s="89">
        <v>44994</v>
      </c>
      <c r="F1068" s="89">
        <v>45006</v>
      </c>
      <c r="G1068" s="342">
        <v>45639</v>
      </c>
      <c r="H1068" s="34" t="s">
        <v>3073</v>
      </c>
      <c r="J1068" s="34" t="s">
        <v>152</v>
      </c>
      <c r="K1068" s="36" t="s">
        <v>493</v>
      </c>
      <c r="L1068" s="65"/>
      <c r="M1068" s="34"/>
      <c r="N1068" s="36" t="s">
        <v>105</v>
      </c>
      <c r="O1068" s="68" t="s">
        <v>51</v>
      </c>
      <c r="P1068" s="68">
        <v>-450</v>
      </c>
      <c r="Q1068" s="68">
        <v>500</v>
      </c>
      <c r="R1068" s="34" t="s">
        <v>279</v>
      </c>
      <c r="S1068" s="158"/>
      <c r="T1068" s="34" t="s">
        <v>4573</v>
      </c>
      <c r="U1068" s="34" t="s">
        <v>4825</v>
      </c>
    </row>
    <row r="1069" spans="1:25" s="91" customFormat="1" hidden="1" x14ac:dyDescent="0.25">
      <c r="A1069" s="32" t="s">
        <v>1794</v>
      </c>
      <c r="B1069" s="306" t="str">
        <f>IF((COUNTBLANK(G1069)=0),Stats!$E$7,IF((COUNTBLANK(E1069)=0),IF((COUNTBLANK(F1069)=0),IF((COUNTBLANK(U1069)=0),Stats!$E$6,Stats!$E$5),Stats!$E$4),""))</f>
        <v>Death</v>
      </c>
      <c r="C1069" s="41" t="s">
        <v>284</v>
      </c>
      <c r="D1069" s="306" t="s">
        <v>325</v>
      </c>
      <c r="E1069" s="89">
        <v>44994</v>
      </c>
      <c r="F1069" s="89">
        <v>45007</v>
      </c>
      <c r="G1069" s="89">
        <v>45299</v>
      </c>
      <c r="H1069" s="34" t="s">
        <v>3073</v>
      </c>
      <c r="I1069" s="34"/>
      <c r="J1069" s="34" t="s">
        <v>152</v>
      </c>
      <c r="K1069" s="36" t="s">
        <v>493</v>
      </c>
      <c r="L1069" s="65"/>
      <c r="M1069" s="34"/>
      <c r="N1069" s="68" t="s">
        <v>105</v>
      </c>
      <c r="O1069" s="68" t="s">
        <v>51</v>
      </c>
      <c r="P1069" s="68">
        <v>-450</v>
      </c>
      <c r="Q1069" s="68">
        <v>500</v>
      </c>
      <c r="R1069" s="34" t="s">
        <v>279</v>
      </c>
      <c r="S1069" s="158"/>
      <c r="T1069" s="34"/>
      <c r="U1069" s="34" t="s">
        <v>4826</v>
      </c>
      <c r="V1069" s="34"/>
      <c r="W1069" s="34"/>
      <c r="X1069" s="34"/>
      <c r="Y1069"/>
    </row>
    <row r="1070" spans="1:25" hidden="1" x14ac:dyDescent="0.25">
      <c r="A1070" s="32" t="s">
        <v>1795</v>
      </c>
      <c r="B1070" s="306" t="str">
        <f>IF((COUNTBLANK(G1070)=0),Stats!$E$7,IF((COUNTBLANK(E1070)=0),IF((COUNTBLANK(F1070)=0),IF((COUNTBLANK(U1070)=0),Stats!$E$6,Stats!$E$5),Stats!$E$4),""))</f>
        <v>Death</v>
      </c>
      <c r="C1070" s="41" t="s">
        <v>284</v>
      </c>
      <c r="D1070" s="306" t="s">
        <v>325</v>
      </c>
      <c r="E1070" s="89">
        <v>44995</v>
      </c>
      <c r="F1070" s="89">
        <v>45007</v>
      </c>
      <c r="G1070" s="342">
        <v>45639</v>
      </c>
      <c r="H1070" s="34" t="s">
        <v>3135</v>
      </c>
      <c r="J1070" s="34" t="s">
        <v>152</v>
      </c>
      <c r="K1070" s="36" t="s">
        <v>493</v>
      </c>
      <c r="N1070" s="36" t="s">
        <v>105</v>
      </c>
      <c r="O1070" s="68" t="s">
        <v>51</v>
      </c>
      <c r="P1070" s="68">
        <v>-450</v>
      </c>
      <c r="Q1070" s="68">
        <v>500</v>
      </c>
      <c r="R1070" s="34" t="s">
        <v>279</v>
      </c>
      <c r="S1070" s="158"/>
      <c r="U1070" s="34" t="s">
        <v>4827</v>
      </c>
    </row>
    <row r="1071" spans="1:25" s="91" customFormat="1" hidden="1" x14ac:dyDescent="0.25">
      <c r="A1071" s="32" t="s">
        <v>1796</v>
      </c>
      <c r="B1071" s="306" t="str">
        <f>IF((COUNTBLANK(G1071)=0),Stats!$E$7,IF((COUNTBLANK(E1071)=0),IF((COUNTBLANK(F1071)=0),IF((COUNTBLANK(U1071)=0),Stats!$E$6,Stats!$E$5),Stats!$E$4),""))</f>
        <v>Death</v>
      </c>
      <c r="C1071" s="41" t="s">
        <v>284</v>
      </c>
      <c r="D1071" s="306" t="s">
        <v>325</v>
      </c>
      <c r="E1071" s="89">
        <v>45000</v>
      </c>
      <c r="F1071" s="89">
        <v>45006</v>
      </c>
      <c r="G1071" s="89">
        <v>45299</v>
      </c>
      <c r="H1071" s="34" t="s">
        <v>4807</v>
      </c>
      <c r="I1071" s="34"/>
      <c r="J1071" s="34" t="s">
        <v>152</v>
      </c>
      <c r="K1071" s="36" t="s">
        <v>493</v>
      </c>
      <c r="L1071" s="36"/>
      <c r="M1071" s="36"/>
      <c r="N1071" s="68" t="s">
        <v>105</v>
      </c>
      <c r="O1071" s="68" t="s">
        <v>51</v>
      </c>
      <c r="P1071" s="68">
        <v>-450</v>
      </c>
      <c r="Q1071" s="68">
        <v>500</v>
      </c>
      <c r="R1071" s="34" t="s">
        <v>249</v>
      </c>
      <c r="S1071" s="158"/>
      <c r="T1071" s="34"/>
      <c r="U1071" s="34" t="s">
        <v>4828</v>
      </c>
      <c r="V1071" s="34"/>
      <c r="W1071" s="34"/>
      <c r="X1071" s="34"/>
      <c r="Y1071"/>
    </row>
    <row r="1072" spans="1:25" hidden="1" x14ac:dyDescent="0.25">
      <c r="A1072" s="32" t="s">
        <v>1797</v>
      </c>
      <c r="B1072" s="306" t="str">
        <f>IF((COUNTBLANK(G1072)=0),Stats!$E$7,IF((COUNTBLANK(E1072)=0),IF((COUNTBLANK(F1072)=0),IF((COUNTBLANK(U1072)=0),Stats!$E$6,Stats!$E$5),Stats!$E$4),""))</f>
        <v>Death</v>
      </c>
      <c r="C1072" s="41" t="s">
        <v>413</v>
      </c>
      <c r="D1072" s="306" t="str">
        <f>IF(B1072=Stats!$E$6,Stats!$E$11,"")</f>
        <v/>
      </c>
      <c r="E1072" s="89">
        <v>45005</v>
      </c>
      <c r="G1072" s="342">
        <v>45639</v>
      </c>
      <c r="H1072" s="34" t="s">
        <v>3139</v>
      </c>
      <c r="J1072" s="34" t="s">
        <v>152</v>
      </c>
      <c r="L1072" s="36" t="s">
        <v>4747</v>
      </c>
      <c r="N1072" s="65" t="s">
        <v>196</v>
      </c>
      <c r="O1072" s="68" t="s">
        <v>51</v>
      </c>
      <c r="P1072" s="68" t="s">
        <v>4784</v>
      </c>
      <c r="Q1072" s="68" t="s">
        <v>3709</v>
      </c>
      <c r="R1072" s="34" t="s">
        <v>279</v>
      </c>
    </row>
    <row r="1073" spans="1:25" hidden="1" x14ac:dyDescent="0.25">
      <c r="A1073" s="32" t="s">
        <v>1798</v>
      </c>
      <c r="B1073" s="306" t="str">
        <f>IF((COUNTBLANK(G1073)=0),Stats!$E$7,IF((COUNTBLANK(E1073)=0),IF((COUNTBLANK(F1073)=0),IF((COUNTBLANK(U1073)=0),Stats!$E$6,Stats!$E$5),Stats!$E$4),""))</f>
        <v>Death</v>
      </c>
      <c r="C1073" s="41" t="s">
        <v>413</v>
      </c>
      <c r="D1073" s="306" t="str">
        <f>IF(B1073=Stats!$E$6,Stats!$E$11,"")</f>
        <v/>
      </c>
      <c r="E1073" s="89">
        <v>45005</v>
      </c>
      <c r="G1073" s="342">
        <v>45639</v>
      </c>
      <c r="H1073" s="34" t="s">
        <v>3139</v>
      </c>
      <c r="J1073" s="34" t="s">
        <v>152</v>
      </c>
      <c r="L1073" s="36" t="s">
        <v>4747</v>
      </c>
      <c r="N1073" s="65" t="s">
        <v>196</v>
      </c>
      <c r="O1073" s="68" t="s">
        <v>51</v>
      </c>
      <c r="P1073" s="68" t="s">
        <v>4784</v>
      </c>
      <c r="Q1073" s="68" t="s">
        <v>3709</v>
      </c>
      <c r="R1073" s="34" t="s">
        <v>243</v>
      </c>
    </row>
    <row r="1074" spans="1:25" hidden="1" x14ac:dyDescent="0.25">
      <c r="A1074" s="32" t="s">
        <v>1799</v>
      </c>
      <c r="B1074" s="306" t="str">
        <f>IF((COUNTBLANK(G1074)=0),Stats!$E$7,IF((COUNTBLANK(E1074)=0),IF((COUNTBLANK(F1074)=0),IF((COUNTBLANK(U1074)=0),Stats!$E$6,Stats!$E$5),Stats!$E$4),""))</f>
        <v>Death</v>
      </c>
      <c r="C1074" s="41" t="s">
        <v>413</v>
      </c>
      <c r="D1074" s="306" t="str">
        <f>IF(B1074=Stats!$E$6,Stats!$E$11,"")</f>
        <v/>
      </c>
      <c r="E1074" s="89">
        <v>45005</v>
      </c>
      <c r="G1074" s="342">
        <v>45639</v>
      </c>
      <c r="H1074" s="34" t="s">
        <v>3139</v>
      </c>
      <c r="J1074" s="34" t="s">
        <v>152</v>
      </c>
      <c r="L1074" s="36" t="s">
        <v>4747</v>
      </c>
      <c r="N1074" s="65" t="s">
        <v>196</v>
      </c>
      <c r="O1074" s="68" t="s">
        <v>51</v>
      </c>
      <c r="P1074" s="68" t="s">
        <v>4784</v>
      </c>
      <c r="Q1074" s="68" t="s">
        <v>3709</v>
      </c>
      <c r="R1074" s="34" t="s">
        <v>279</v>
      </c>
    </row>
    <row r="1075" spans="1:25" s="91" customFormat="1" hidden="1" x14ac:dyDescent="0.25">
      <c r="A1075" s="32" t="s">
        <v>1800</v>
      </c>
      <c r="B1075" s="306" t="str">
        <f>IF((COUNTBLANK(G1075)=0),Stats!$E$7,IF((COUNTBLANK(E1075)=0),IF((COUNTBLANK(F1075)=0),IF((COUNTBLANK(U1075)=0),Stats!$E$6,Stats!$E$5),Stats!$E$4),""))</f>
        <v>Death</v>
      </c>
      <c r="C1075" s="41" t="s">
        <v>62</v>
      </c>
      <c r="D1075" s="306" t="str">
        <f>IF(B1075=Stats!$E$6,Stats!$E$11,"")</f>
        <v/>
      </c>
      <c r="E1075" s="89">
        <v>45007</v>
      </c>
      <c r="F1075" s="89"/>
      <c r="G1075" s="316">
        <v>45229</v>
      </c>
      <c r="H1075" s="34" t="s">
        <v>3104</v>
      </c>
      <c r="I1075" s="34"/>
      <c r="J1075" s="34" t="s">
        <v>3186</v>
      </c>
      <c r="K1075" s="36" t="s">
        <v>48</v>
      </c>
      <c r="L1075" s="36"/>
      <c r="M1075" s="36"/>
      <c r="N1075" s="65"/>
      <c r="O1075" s="68" t="s">
        <v>51</v>
      </c>
      <c r="P1075" s="68" t="s">
        <v>4829</v>
      </c>
      <c r="Q1075" s="68" t="s">
        <v>4830</v>
      </c>
      <c r="R1075" s="34"/>
      <c r="S1075" s="34"/>
      <c r="T1075" s="34"/>
      <c r="U1075" s="34"/>
      <c r="V1075" s="34"/>
      <c r="W1075" s="34"/>
      <c r="X1075" s="34"/>
      <c r="Y1075"/>
    </row>
    <row r="1076" spans="1:25" s="91" customFormat="1" hidden="1" x14ac:dyDescent="0.25">
      <c r="A1076" s="32" t="s">
        <v>1801</v>
      </c>
      <c r="B1076" s="306" t="str">
        <f>IF((COUNTBLANK(G1076)=0),Stats!$E$7,IF((COUNTBLANK(E1076)=0),IF((COUNTBLANK(F1076)=0),IF((COUNTBLANK(U1076)=0),Stats!$E$6,Stats!$E$5),Stats!$E$4),""))</f>
        <v>Death</v>
      </c>
      <c r="C1076" s="41" t="s">
        <v>62</v>
      </c>
      <c r="D1076" s="306" t="str">
        <f>IF(B1076=Stats!$E$6,Stats!$E$11,"")</f>
        <v/>
      </c>
      <c r="E1076" s="89">
        <v>45007</v>
      </c>
      <c r="F1076" s="89"/>
      <c r="G1076" s="316">
        <v>45229</v>
      </c>
      <c r="H1076" s="34" t="s">
        <v>3104</v>
      </c>
      <c r="I1076" s="34"/>
      <c r="J1076" s="34" t="s">
        <v>3186</v>
      </c>
      <c r="K1076" s="36" t="s">
        <v>48</v>
      </c>
      <c r="L1076" s="36"/>
      <c r="M1076" s="36"/>
      <c r="N1076" s="65"/>
      <c r="O1076" s="68" t="s">
        <v>51</v>
      </c>
      <c r="P1076" s="68" t="s">
        <v>4829</v>
      </c>
      <c r="Q1076" s="68" t="s">
        <v>4830</v>
      </c>
      <c r="R1076" s="34"/>
      <c r="S1076" s="34"/>
      <c r="T1076" s="34"/>
      <c r="U1076" s="34"/>
      <c r="V1076" s="34"/>
      <c r="W1076" s="34"/>
      <c r="X1076" s="34"/>
      <c r="Y1076"/>
    </row>
    <row r="1077" spans="1:25" s="91" customFormat="1" hidden="1" x14ac:dyDescent="0.25">
      <c r="A1077" s="32" t="s">
        <v>1802</v>
      </c>
      <c r="B1077" s="306" t="str">
        <f>IF((COUNTBLANK(G1077)=0),Stats!$E$7,IF((COUNTBLANK(E1077)=0),IF((COUNTBLANK(F1077)=0),IF((COUNTBLANK(U1077)=0),Stats!$E$6,Stats!$E$5),Stats!$E$4),""))</f>
        <v>Death</v>
      </c>
      <c r="C1077" s="41" t="s">
        <v>62</v>
      </c>
      <c r="D1077" s="306" t="str">
        <f>IF(B1077=Stats!$E$6,Stats!$E$11,"")</f>
        <v/>
      </c>
      <c r="E1077" s="89">
        <v>45007</v>
      </c>
      <c r="F1077" s="89"/>
      <c r="G1077" s="316">
        <v>45229</v>
      </c>
      <c r="H1077" s="34" t="s">
        <v>3104</v>
      </c>
      <c r="I1077" s="34"/>
      <c r="J1077" s="34" t="s">
        <v>3186</v>
      </c>
      <c r="K1077" s="36" t="s">
        <v>48</v>
      </c>
      <c r="L1077" s="36"/>
      <c r="M1077" s="36"/>
      <c r="N1077" s="65"/>
      <c r="O1077" s="68" t="s">
        <v>51</v>
      </c>
      <c r="P1077" s="68" t="s">
        <v>4829</v>
      </c>
      <c r="Q1077" s="68" t="s">
        <v>4830</v>
      </c>
      <c r="R1077" s="34"/>
      <c r="S1077" s="34"/>
      <c r="T1077" s="34"/>
      <c r="U1077" s="34"/>
      <c r="V1077" s="34"/>
      <c r="W1077" s="34"/>
      <c r="X1077" s="34"/>
      <c r="Y1077"/>
    </row>
    <row r="1078" spans="1:25" hidden="1" x14ac:dyDescent="0.25">
      <c r="A1078" s="32" t="s">
        <v>1803</v>
      </c>
      <c r="B1078" s="306" t="str">
        <f>IF((COUNTBLANK(G1078)=0),Stats!$E$7,IF((COUNTBLANK(E1078)=0),IF((COUNTBLANK(F1078)=0),IF((COUNTBLANK(U1078)=0),Stats!$E$6,Stats!$E$5),Stats!$E$4),""))</f>
        <v>Death</v>
      </c>
      <c r="C1078" s="41" t="s">
        <v>207</v>
      </c>
      <c r="D1078" s="306" t="str">
        <f>IF(B1078=Stats!$E$6,Stats!$E$11,"")</f>
        <v/>
      </c>
      <c r="E1078" s="89">
        <v>45013</v>
      </c>
      <c r="G1078" s="342">
        <v>45639</v>
      </c>
      <c r="H1078" s="34" t="s">
        <v>3139</v>
      </c>
      <c r="J1078" s="34" t="s">
        <v>3186</v>
      </c>
      <c r="K1078" s="36" t="s">
        <v>4813</v>
      </c>
      <c r="L1078" s="36" t="s">
        <v>181</v>
      </c>
      <c r="N1078" s="65" t="s">
        <v>4831</v>
      </c>
      <c r="O1078" s="34" t="s">
        <v>51</v>
      </c>
      <c r="P1078" s="68" t="s">
        <v>4784</v>
      </c>
      <c r="Q1078" s="68" t="s">
        <v>3709</v>
      </c>
      <c r="R1078" s="34" t="s">
        <v>279</v>
      </c>
    </row>
    <row r="1079" spans="1:25" hidden="1" x14ac:dyDescent="0.25">
      <c r="A1079" s="32" t="s">
        <v>1804</v>
      </c>
      <c r="B1079" s="306" t="str">
        <f>IF((COUNTBLANK(G1079)=0),Stats!$E$7,IF((COUNTBLANK(E1079)=0),IF((COUNTBLANK(F1079)=0),IF((COUNTBLANK(U1079)=0),Stats!$E$6,Stats!$E$5),Stats!$E$4),""))</f>
        <v>Death</v>
      </c>
      <c r="C1079" s="41" t="s">
        <v>207</v>
      </c>
      <c r="D1079" s="306" t="str">
        <f>IF(B1079=Stats!$E$6,Stats!$E$11,"")</f>
        <v/>
      </c>
      <c r="E1079" s="89">
        <v>45013</v>
      </c>
      <c r="G1079" s="342">
        <v>45639</v>
      </c>
      <c r="H1079" s="34" t="s">
        <v>3139</v>
      </c>
      <c r="J1079" s="34" t="s">
        <v>3186</v>
      </c>
      <c r="K1079" s="36" t="s">
        <v>4813</v>
      </c>
      <c r="L1079" s="36" t="s">
        <v>181</v>
      </c>
      <c r="N1079" s="65" t="s">
        <v>4831</v>
      </c>
      <c r="O1079" s="34" t="s">
        <v>51</v>
      </c>
      <c r="P1079" s="68" t="s">
        <v>4784</v>
      </c>
      <c r="Q1079" s="68" t="s">
        <v>3709</v>
      </c>
      <c r="R1079" s="34" t="s">
        <v>249</v>
      </c>
    </row>
    <row r="1080" spans="1:25" s="91" customFormat="1" hidden="1" x14ac:dyDescent="0.25">
      <c r="A1080" s="32" t="s">
        <v>1805</v>
      </c>
      <c r="B1080" s="306" t="str">
        <f>IF((COUNTBLANK(G1080)=0),Stats!$E$7,IF((COUNTBLANK(E1080)=0),IF((COUNTBLANK(F1080)=0),IF((COUNTBLANK(U1080)=0),Stats!$E$6,Stats!$E$5),Stats!$E$4),""))</f>
        <v>Death</v>
      </c>
      <c r="C1080" s="41" t="s">
        <v>207</v>
      </c>
      <c r="D1080" s="306" t="str">
        <f>IF(B1080=Stats!$E$6,Stats!$E$11,"")</f>
        <v/>
      </c>
      <c r="E1080" s="89">
        <v>45013</v>
      </c>
      <c r="F1080" s="89"/>
      <c r="G1080" s="89">
        <v>45299</v>
      </c>
      <c r="H1080" s="34" t="s">
        <v>3139</v>
      </c>
      <c r="I1080" s="34"/>
      <c r="J1080" s="34" t="s">
        <v>3186</v>
      </c>
      <c r="K1080" s="36" t="s">
        <v>4813</v>
      </c>
      <c r="L1080" s="36" t="s">
        <v>181</v>
      </c>
      <c r="M1080" s="36"/>
      <c r="N1080" s="65" t="s">
        <v>4831</v>
      </c>
      <c r="O1080" s="34" t="s">
        <v>51</v>
      </c>
      <c r="P1080" s="68" t="s">
        <v>4784</v>
      </c>
      <c r="Q1080" s="68" t="s">
        <v>3709</v>
      </c>
      <c r="R1080" s="34" t="s">
        <v>243</v>
      </c>
      <c r="S1080" s="34"/>
      <c r="T1080" s="34"/>
      <c r="U1080" s="34"/>
      <c r="V1080" s="34"/>
      <c r="W1080" s="34"/>
      <c r="X1080" s="34"/>
      <c r="Y1080"/>
    </row>
    <row r="1081" spans="1:25" s="91" customFormat="1" hidden="1" x14ac:dyDescent="0.25">
      <c r="A1081" s="32" t="s">
        <v>1806</v>
      </c>
      <c r="B1081" s="306" t="str">
        <f>IF((COUNTBLANK(G1081)=0),Stats!$E$7,IF((COUNTBLANK(E1081)=0),IF((COUNTBLANK(F1081)=0),IF((COUNTBLANK(U1081)=0),Stats!$E$6,Stats!$E$5),Stats!$E$4),""))</f>
        <v>Death</v>
      </c>
      <c r="C1081" s="41" t="s">
        <v>62</v>
      </c>
      <c r="D1081" s="306" t="str">
        <f>IF(B1081=Stats!$E$6,Stats!$E$11,"")</f>
        <v/>
      </c>
      <c r="E1081" s="89">
        <v>45014</v>
      </c>
      <c r="F1081" s="89"/>
      <c r="G1081" s="89">
        <v>45229</v>
      </c>
      <c r="H1081" s="34" t="s">
        <v>3104</v>
      </c>
      <c r="I1081" s="34"/>
      <c r="J1081" s="34" t="s">
        <v>3186</v>
      </c>
      <c r="K1081" s="36" t="s">
        <v>48</v>
      </c>
      <c r="L1081" s="36"/>
      <c r="M1081" s="36"/>
      <c r="N1081" s="65"/>
      <c r="O1081" s="34" t="s">
        <v>51</v>
      </c>
      <c r="P1081" s="68" t="s">
        <v>4784</v>
      </c>
      <c r="Q1081" s="68"/>
      <c r="R1081" s="68" t="s">
        <v>4832</v>
      </c>
      <c r="S1081" s="68"/>
      <c r="T1081" s="34"/>
      <c r="U1081" s="34"/>
      <c r="V1081" s="34"/>
      <c r="W1081" s="34"/>
      <c r="X1081" s="34"/>
      <c r="Y1081"/>
    </row>
    <row r="1082" spans="1:25" s="91" customFormat="1" hidden="1" x14ac:dyDescent="0.25">
      <c r="A1082" s="32" t="s">
        <v>1807</v>
      </c>
      <c r="B1082" s="306" t="str">
        <f>IF((COUNTBLANK(G1082)=0),Stats!$E$7,IF((COUNTBLANK(E1082)=0),IF((COUNTBLANK(F1082)=0),IF((COUNTBLANK(U1082)=0),Stats!$E$6,Stats!$E$5),Stats!$E$4),""))</f>
        <v>Death</v>
      </c>
      <c r="C1082" s="41" t="s">
        <v>62</v>
      </c>
      <c r="D1082" s="306" t="str">
        <f>IF(B1082=Stats!$E$6,Stats!$E$11,"")</f>
        <v/>
      </c>
      <c r="E1082" s="89">
        <v>45014</v>
      </c>
      <c r="F1082" s="89"/>
      <c r="G1082" s="89">
        <v>45229</v>
      </c>
      <c r="H1082" s="34" t="s">
        <v>3104</v>
      </c>
      <c r="I1082" s="34"/>
      <c r="J1082" s="34" t="s">
        <v>3186</v>
      </c>
      <c r="K1082" s="36" t="s">
        <v>48</v>
      </c>
      <c r="L1082" s="36"/>
      <c r="M1082" s="36"/>
      <c r="N1082" s="65"/>
      <c r="O1082" s="34" t="s">
        <v>51</v>
      </c>
      <c r="P1082" s="68" t="s">
        <v>4784</v>
      </c>
      <c r="Q1082" s="68"/>
      <c r="R1082" s="68" t="s">
        <v>4833</v>
      </c>
      <c r="S1082" s="68"/>
      <c r="T1082" s="34"/>
      <c r="U1082" s="34"/>
      <c r="V1082" s="34"/>
      <c r="W1082" s="34"/>
      <c r="X1082" s="34"/>
      <c r="Y1082"/>
    </row>
    <row r="1083" spans="1:25" s="91" customFormat="1" hidden="1" x14ac:dyDescent="0.25">
      <c r="A1083" s="32" t="s">
        <v>1808</v>
      </c>
      <c r="B1083" s="306" t="str">
        <f>IF((COUNTBLANK(G1083)=0),Stats!$E$7,IF((COUNTBLANK(E1083)=0),IF((COUNTBLANK(F1083)=0),IF((COUNTBLANK(U1083)=0),Stats!$E$6,Stats!$E$5),Stats!$E$4),""))</f>
        <v>Death</v>
      </c>
      <c r="C1083" s="41" t="s">
        <v>62</v>
      </c>
      <c r="D1083" s="306" t="str">
        <f>IF(B1083=Stats!$E$6,Stats!$E$11,"")</f>
        <v/>
      </c>
      <c r="E1083" s="89">
        <v>45014</v>
      </c>
      <c r="F1083" s="89"/>
      <c r="G1083" s="89">
        <v>45229</v>
      </c>
      <c r="H1083" s="34" t="s">
        <v>3104</v>
      </c>
      <c r="I1083" s="34"/>
      <c r="J1083" s="34" t="s">
        <v>3186</v>
      </c>
      <c r="K1083" s="36" t="s">
        <v>48</v>
      </c>
      <c r="L1083" s="36"/>
      <c r="M1083" s="36"/>
      <c r="N1083" s="65"/>
      <c r="O1083" s="34" t="s">
        <v>51</v>
      </c>
      <c r="P1083" s="68" t="s">
        <v>4784</v>
      </c>
      <c r="Q1083" s="68"/>
      <c r="R1083" s="68" t="s">
        <v>4834</v>
      </c>
      <c r="S1083" s="68"/>
      <c r="T1083" s="34"/>
      <c r="U1083" s="34"/>
      <c r="V1083" s="34"/>
      <c r="W1083" s="34"/>
      <c r="X1083" s="34"/>
      <c r="Y1083"/>
    </row>
    <row r="1084" spans="1:25" s="91" customFormat="1" hidden="1" x14ac:dyDescent="0.25">
      <c r="A1084" s="32" t="s">
        <v>1809</v>
      </c>
      <c r="B1084" s="306" t="str">
        <f>IF((COUNTBLANK(G1084)=0),Stats!$E$7,IF((COUNTBLANK(E1084)=0),IF((COUNTBLANK(F1084)=0),IF((COUNTBLANK(U1084)=0),Stats!$E$6,Stats!$E$5),Stats!$E$4),""))</f>
        <v>Death</v>
      </c>
      <c r="C1084" s="41" t="s">
        <v>62</v>
      </c>
      <c r="D1084" s="306" t="str">
        <f>IF(B1084=Stats!$E$6,Stats!$E$11,"")</f>
        <v/>
      </c>
      <c r="E1084" s="89">
        <v>45014</v>
      </c>
      <c r="F1084" s="89"/>
      <c r="G1084" s="89">
        <v>45229</v>
      </c>
      <c r="H1084" s="34" t="s">
        <v>3104</v>
      </c>
      <c r="I1084" s="34"/>
      <c r="J1084" s="34" t="s">
        <v>3186</v>
      </c>
      <c r="K1084" s="36" t="s">
        <v>48</v>
      </c>
      <c r="L1084" s="36"/>
      <c r="M1084" s="36"/>
      <c r="N1084" s="65"/>
      <c r="O1084" s="34" t="s">
        <v>51</v>
      </c>
      <c r="P1084" s="68" t="s">
        <v>4784</v>
      </c>
      <c r="Q1084" s="68"/>
      <c r="R1084" s="68" t="s">
        <v>4835</v>
      </c>
      <c r="S1084" s="68"/>
      <c r="T1084" s="34"/>
      <c r="U1084" s="34"/>
      <c r="V1084" s="34"/>
      <c r="W1084" s="34"/>
      <c r="X1084" s="34"/>
      <c r="Y1084"/>
    </row>
    <row r="1085" spans="1:25" s="91" customFormat="1" hidden="1" x14ac:dyDescent="0.25">
      <c r="A1085" s="32" t="s">
        <v>1810</v>
      </c>
      <c r="B1085" s="306" t="str">
        <f>IF((COUNTBLANK(G1085)=0),Stats!$E$7,IF((COUNTBLANK(E1085)=0),IF((COUNTBLANK(F1085)=0),IF((COUNTBLANK(U1085)=0),Stats!$E$6,Stats!$E$5),Stats!$E$4),""))</f>
        <v>Death</v>
      </c>
      <c r="C1085" s="41" t="s">
        <v>62</v>
      </c>
      <c r="D1085" s="306" t="str">
        <f>IF(B1085=Stats!$E$6,Stats!$E$11,"")</f>
        <v/>
      </c>
      <c r="E1085" s="89">
        <v>45014</v>
      </c>
      <c r="F1085" s="89"/>
      <c r="G1085" s="89">
        <v>45229</v>
      </c>
      <c r="H1085" s="34" t="s">
        <v>3104</v>
      </c>
      <c r="I1085" s="34"/>
      <c r="J1085" s="34" t="s">
        <v>3186</v>
      </c>
      <c r="K1085" s="36" t="s">
        <v>48</v>
      </c>
      <c r="L1085" s="36"/>
      <c r="M1085" s="36"/>
      <c r="N1085" s="65"/>
      <c r="O1085" s="34" t="s">
        <v>51</v>
      </c>
      <c r="P1085" s="68" t="s">
        <v>4784</v>
      </c>
      <c r="Q1085" s="68"/>
      <c r="R1085" s="68" t="s">
        <v>4836</v>
      </c>
      <c r="S1085" s="68"/>
      <c r="T1085" s="34"/>
      <c r="U1085" s="34"/>
      <c r="V1085" s="34"/>
      <c r="W1085" s="34"/>
      <c r="X1085" s="34"/>
      <c r="Y1085"/>
    </row>
    <row r="1086" spans="1:25" s="91" customFormat="1" hidden="1" x14ac:dyDescent="0.25">
      <c r="A1086" s="32" t="s">
        <v>1811</v>
      </c>
      <c r="B1086" s="306" t="str">
        <f>IF((COUNTBLANK(G1086)=0),Stats!$E$7,IF((COUNTBLANK(E1086)=0),IF((COUNTBLANK(F1086)=0),IF((COUNTBLANK(U1086)=0),Stats!$E$6,Stats!$E$5),Stats!$E$4),""))</f>
        <v>Death</v>
      </c>
      <c r="C1086" s="41" t="s">
        <v>413</v>
      </c>
      <c r="D1086" s="306" t="str">
        <f>IF(B1086=Stats!$E$6,Stats!$E$11,"")</f>
        <v/>
      </c>
      <c r="E1086" s="89">
        <v>45016</v>
      </c>
      <c r="F1086" s="89"/>
      <c r="G1086" s="316">
        <v>45229</v>
      </c>
      <c r="H1086" s="34" t="s">
        <v>3118</v>
      </c>
      <c r="I1086" s="34"/>
      <c r="J1086" s="34" t="s">
        <v>4837</v>
      </c>
      <c r="K1086" s="36"/>
      <c r="L1086" s="36"/>
      <c r="M1086" s="36"/>
      <c r="N1086" s="65" t="s">
        <v>68</v>
      </c>
      <c r="O1086" s="34" t="s">
        <v>4838</v>
      </c>
      <c r="P1086" s="68" t="s">
        <v>4784</v>
      </c>
      <c r="Q1086" s="68" t="s">
        <v>3709</v>
      </c>
      <c r="R1086" s="34" t="s">
        <v>279</v>
      </c>
      <c r="S1086" s="34"/>
      <c r="T1086" s="34" t="s">
        <v>190</v>
      </c>
      <c r="U1086" s="144"/>
      <c r="V1086" s="34"/>
      <c r="W1086" s="34"/>
      <c r="X1086" s="34"/>
      <c r="Y1086"/>
    </row>
    <row r="1087" spans="1:25" s="91" customFormat="1" hidden="1" x14ac:dyDescent="0.25">
      <c r="A1087" s="32" t="s">
        <v>1812</v>
      </c>
      <c r="B1087" s="306" t="str">
        <f>IF((COUNTBLANK(G1087)=0),Stats!$E$7,IF((COUNTBLANK(E1087)=0),IF((COUNTBLANK(F1087)=0),IF((COUNTBLANK(U1087)=0),Stats!$E$6,Stats!$E$5),Stats!$E$4),""))</f>
        <v>Death</v>
      </c>
      <c r="C1087" s="41" t="s">
        <v>413</v>
      </c>
      <c r="D1087" s="306" t="str">
        <f>IF(B1087=Stats!$E$6,Stats!$E$11,"")</f>
        <v/>
      </c>
      <c r="E1087" s="89">
        <v>45016</v>
      </c>
      <c r="F1087" s="89"/>
      <c r="G1087" s="316">
        <v>45229</v>
      </c>
      <c r="H1087" s="34" t="s">
        <v>3118</v>
      </c>
      <c r="I1087" s="34"/>
      <c r="J1087" s="34" t="s">
        <v>4837</v>
      </c>
      <c r="K1087" s="36"/>
      <c r="L1087" s="36"/>
      <c r="M1087" s="36"/>
      <c r="N1087" s="65" t="s">
        <v>68</v>
      </c>
      <c r="O1087" s="34" t="s">
        <v>4838</v>
      </c>
      <c r="P1087" s="68" t="s">
        <v>4784</v>
      </c>
      <c r="Q1087" s="68" t="s">
        <v>3709</v>
      </c>
      <c r="R1087" s="34" t="s">
        <v>243</v>
      </c>
      <c r="S1087" s="34"/>
      <c r="T1087" s="34" t="s">
        <v>190</v>
      </c>
      <c r="U1087" s="34"/>
      <c r="V1087" s="34"/>
      <c r="W1087" s="34"/>
      <c r="X1087" s="34"/>
      <c r="Y1087"/>
    </row>
    <row r="1088" spans="1:25" s="91" customFormat="1" hidden="1" x14ac:dyDescent="0.25">
      <c r="A1088" s="32" t="s">
        <v>1813</v>
      </c>
      <c r="B1088" s="306" t="str">
        <f>IF((COUNTBLANK(G1088)=0),Stats!$E$7,IF((COUNTBLANK(E1088)=0),IF((COUNTBLANK(F1088)=0),IF((COUNTBLANK(U1088)=0),Stats!$E$6,Stats!$E$5),Stats!$E$4),""))</f>
        <v>Death</v>
      </c>
      <c r="C1088" s="41" t="s">
        <v>413</v>
      </c>
      <c r="D1088" s="306" t="str">
        <f>IF(B1088=Stats!$E$6,Stats!$E$11,"")</f>
        <v/>
      </c>
      <c r="E1088" s="89">
        <v>45016</v>
      </c>
      <c r="F1088" s="89"/>
      <c r="G1088" s="316">
        <v>45229</v>
      </c>
      <c r="H1088" s="34" t="s">
        <v>3118</v>
      </c>
      <c r="I1088" s="34"/>
      <c r="J1088" s="34" t="s">
        <v>4837</v>
      </c>
      <c r="K1088" s="36"/>
      <c r="L1088" s="36"/>
      <c r="M1088" s="36"/>
      <c r="N1088" s="65" t="s">
        <v>68</v>
      </c>
      <c r="O1088" s="34" t="s">
        <v>4838</v>
      </c>
      <c r="P1088" s="68" t="s">
        <v>4784</v>
      </c>
      <c r="Q1088" s="68" t="s">
        <v>3709</v>
      </c>
      <c r="R1088" s="34" t="s">
        <v>249</v>
      </c>
      <c r="S1088" s="34"/>
      <c r="T1088" s="34" t="s">
        <v>190</v>
      </c>
      <c r="U1088" s="34"/>
      <c r="V1088" s="34"/>
      <c r="W1088" s="34"/>
      <c r="X1088" s="34"/>
      <c r="Y1088"/>
    </row>
    <row r="1089" spans="1:25" hidden="1" x14ac:dyDescent="0.25">
      <c r="A1089" s="32" t="s">
        <v>1814</v>
      </c>
      <c r="B1089" s="306" t="str">
        <f>IF((COUNTBLANK(G1089)=0),Stats!$E$7,IF((COUNTBLANK(E1089)=0),IF((COUNTBLANK(F1089)=0),IF((COUNTBLANK(U1089)=0),Stats!$E$6,Stats!$E$5),Stats!$E$4),""))</f>
        <v>Death</v>
      </c>
      <c r="C1089" s="41" t="s">
        <v>413</v>
      </c>
      <c r="D1089" s="306" t="str">
        <f>IF(B1089=Stats!$E$6,Stats!$E$11,"")</f>
        <v/>
      </c>
      <c r="E1089" s="89">
        <v>45021</v>
      </c>
      <c r="F1089" s="89">
        <v>45055</v>
      </c>
      <c r="G1089" s="342">
        <v>45639</v>
      </c>
      <c r="H1089" s="34" t="s">
        <v>3118</v>
      </c>
      <c r="J1089" s="34" t="s">
        <v>4839</v>
      </c>
      <c r="K1089" s="36" t="s">
        <v>4805</v>
      </c>
      <c r="N1089" s="65" t="s">
        <v>68</v>
      </c>
      <c r="O1089" s="34" t="s">
        <v>4840</v>
      </c>
      <c r="P1089" s="68" t="s">
        <v>4784</v>
      </c>
      <c r="Q1089" s="68" t="s">
        <v>3709</v>
      </c>
      <c r="R1089" s="34" t="s">
        <v>279</v>
      </c>
    </row>
    <row r="1090" spans="1:25" s="91" customFormat="1" hidden="1" x14ac:dyDescent="0.25">
      <c r="A1090" s="32" t="s">
        <v>1815</v>
      </c>
      <c r="B1090" s="306" t="str">
        <f>IF((COUNTBLANK(G1090)=0),Stats!$E$7,IF((COUNTBLANK(E1090)=0),IF((COUNTBLANK(F1090)=0),IF((COUNTBLANK(U1090)=0),Stats!$E$6,Stats!$E$5),Stats!$E$4),""))</f>
        <v>Death</v>
      </c>
      <c r="C1090" s="41" t="s">
        <v>413</v>
      </c>
      <c r="D1090" s="306" t="str">
        <f>IF(B1090=Stats!$E$6,Stats!$E$11,"")</f>
        <v/>
      </c>
      <c r="E1090" s="89">
        <v>45021</v>
      </c>
      <c r="F1090" s="89">
        <v>45055</v>
      </c>
      <c r="G1090" s="316">
        <v>45229</v>
      </c>
      <c r="H1090" s="34" t="s">
        <v>3118</v>
      </c>
      <c r="I1090" s="34"/>
      <c r="J1090" s="34" t="s">
        <v>4839</v>
      </c>
      <c r="K1090" s="36" t="s">
        <v>4805</v>
      </c>
      <c r="L1090" s="36"/>
      <c r="M1090" s="36"/>
      <c r="N1090" s="65" t="s">
        <v>68</v>
      </c>
      <c r="O1090" s="34" t="s">
        <v>4840</v>
      </c>
      <c r="P1090" s="68" t="s">
        <v>4784</v>
      </c>
      <c r="Q1090" s="68" t="s">
        <v>3398</v>
      </c>
      <c r="R1090" s="34" t="s">
        <v>243</v>
      </c>
      <c r="S1090" s="34"/>
      <c r="T1090" s="34"/>
      <c r="U1090" s="34"/>
      <c r="V1090" s="34"/>
      <c r="W1090" s="34"/>
      <c r="X1090" s="34"/>
      <c r="Y1090"/>
    </row>
    <row r="1091" spans="1:25" s="91" customFormat="1" hidden="1" x14ac:dyDescent="0.25">
      <c r="A1091" s="32" t="s">
        <v>1816</v>
      </c>
      <c r="B1091" s="306" t="str">
        <f>IF((COUNTBLANK(G1091)=0),Stats!$E$7,IF((COUNTBLANK(E1091)=0),IF((COUNTBLANK(F1091)=0),IF((COUNTBLANK(U1091)=0),Stats!$E$6,Stats!$E$5),Stats!$E$4),""))</f>
        <v>Death</v>
      </c>
      <c r="C1091" s="41" t="s">
        <v>413</v>
      </c>
      <c r="D1091" s="306" t="str">
        <f>IF(B1091=Stats!$E$6,Stats!$E$11,"")</f>
        <v/>
      </c>
      <c r="E1091" s="89">
        <v>45021</v>
      </c>
      <c r="F1091" s="89">
        <v>45055</v>
      </c>
      <c r="G1091" s="316">
        <v>45229</v>
      </c>
      <c r="H1091" s="34" t="s">
        <v>3118</v>
      </c>
      <c r="I1091" s="34"/>
      <c r="J1091" s="34" t="s">
        <v>4839</v>
      </c>
      <c r="K1091" s="36" t="s">
        <v>4805</v>
      </c>
      <c r="L1091" s="36"/>
      <c r="M1091" s="36"/>
      <c r="N1091" s="65" t="s">
        <v>68</v>
      </c>
      <c r="O1091" s="34" t="s">
        <v>4840</v>
      </c>
      <c r="P1091" s="68" t="s">
        <v>4784</v>
      </c>
      <c r="Q1091" s="68" t="s">
        <v>3398</v>
      </c>
      <c r="R1091" s="34" t="s">
        <v>249</v>
      </c>
      <c r="S1091" s="34"/>
      <c r="T1091" s="34"/>
      <c r="U1091" s="34"/>
      <c r="V1091" s="34"/>
      <c r="W1091" s="34"/>
      <c r="X1091" s="34"/>
      <c r="Y1091"/>
    </row>
    <row r="1092" spans="1:25" s="91" customFormat="1" hidden="1" x14ac:dyDescent="0.25">
      <c r="A1092" s="32" t="s">
        <v>1817</v>
      </c>
      <c r="B1092" s="306" t="str">
        <f>IF((COUNTBLANK(G1092)=0),Stats!$E$7,IF((COUNTBLANK(E1092)=0),IF((COUNTBLANK(F1092)=0),IF((COUNTBLANK(U1092)=0),Stats!$E$6,Stats!$E$5),Stats!$E$4),""))</f>
        <v>Death</v>
      </c>
      <c r="C1092" s="41" t="s">
        <v>413</v>
      </c>
      <c r="D1092" s="306" t="str">
        <f>IF(B1092=Stats!$E$6,Stats!$E$11,"")</f>
        <v/>
      </c>
      <c r="E1092" s="89">
        <v>45028</v>
      </c>
      <c r="F1092" s="89">
        <v>45055</v>
      </c>
      <c r="G1092" s="316">
        <v>45229</v>
      </c>
      <c r="H1092" s="34" t="s">
        <v>3118</v>
      </c>
      <c r="I1092" s="34"/>
      <c r="J1092" s="34" t="s">
        <v>3186</v>
      </c>
      <c r="K1092" s="36"/>
      <c r="L1092" s="36" t="s">
        <v>181</v>
      </c>
      <c r="M1092" s="36"/>
      <c r="N1092" s="65" t="s">
        <v>4841</v>
      </c>
      <c r="O1092" s="34" t="s">
        <v>4838</v>
      </c>
      <c r="P1092" s="68">
        <v>-300</v>
      </c>
      <c r="Q1092" s="68" t="s">
        <v>4842</v>
      </c>
      <c r="R1092" s="34" t="s">
        <v>243</v>
      </c>
      <c r="S1092" s="34"/>
      <c r="T1092" s="34" t="s">
        <v>190</v>
      </c>
      <c r="U1092" s="34"/>
      <c r="V1092" s="34"/>
      <c r="W1092" s="34"/>
      <c r="X1092" s="34"/>
      <c r="Y1092"/>
    </row>
    <row r="1093" spans="1:25" s="91" customFormat="1" hidden="1" x14ac:dyDescent="0.25">
      <c r="A1093" s="32" t="s">
        <v>1818</v>
      </c>
      <c r="B1093" s="306" t="str">
        <f>IF((COUNTBLANK(G1093)=0),Stats!$E$7,IF((COUNTBLANK(E1093)=0),IF((COUNTBLANK(F1093)=0),IF((COUNTBLANK(U1093)=0),Stats!$E$6,Stats!$E$5),Stats!$E$4),""))</f>
        <v>Death</v>
      </c>
      <c r="C1093" s="41" t="s">
        <v>413</v>
      </c>
      <c r="D1093" s="306" t="str">
        <f>IF(B1093=Stats!$E$6,Stats!$E$11,"")</f>
        <v/>
      </c>
      <c r="E1093" s="89">
        <v>45028</v>
      </c>
      <c r="F1093" s="89"/>
      <c r="G1093" s="89">
        <v>45055</v>
      </c>
      <c r="H1093" s="34" t="s">
        <v>3118</v>
      </c>
      <c r="I1093" s="34"/>
      <c r="J1093" s="34" t="s">
        <v>3186</v>
      </c>
      <c r="K1093" s="36"/>
      <c r="L1093" s="36" t="s">
        <v>181</v>
      </c>
      <c r="M1093" s="36"/>
      <c r="N1093" s="65" t="s">
        <v>4841</v>
      </c>
      <c r="O1093" s="34" t="s">
        <v>4838</v>
      </c>
      <c r="P1093" s="68">
        <v>-300</v>
      </c>
      <c r="Q1093" s="68" t="s">
        <v>4842</v>
      </c>
      <c r="R1093" s="34" t="s">
        <v>249</v>
      </c>
      <c r="S1093" s="34"/>
      <c r="T1093" s="34" t="s">
        <v>190</v>
      </c>
      <c r="U1093" s="34"/>
      <c r="V1093" s="34"/>
      <c r="W1093" s="34"/>
      <c r="X1093" s="34"/>
      <c r="Y1093"/>
    </row>
    <row r="1094" spans="1:25" s="91" customFormat="1" hidden="1" x14ac:dyDescent="0.25">
      <c r="A1094" s="32" t="s">
        <v>1819</v>
      </c>
      <c r="B1094" s="306" t="str">
        <f>IF((COUNTBLANK(G1094)=0),Stats!$E$7,IF((COUNTBLANK(E1094)=0),IF((COUNTBLANK(F1094)=0),IF((COUNTBLANK(U1094)=0),Stats!$E$6,Stats!$E$5),Stats!$E$4),""))</f>
        <v>Death</v>
      </c>
      <c r="C1094" s="41" t="s">
        <v>413</v>
      </c>
      <c r="D1094" s="306" t="str">
        <f>IF(B1094=Stats!$E$6,Stats!$E$11,"")</f>
        <v/>
      </c>
      <c r="E1094" s="89">
        <v>45028</v>
      </c>
      <c r="F1094" s="89"/>
      <c r="G1094" s="89">
        <v>45055</v>
      </c>
      <c r="H1094" s="34" t="s">
        <v>3118</v>
      </c>
      <c r="I1094" s="34"/>
      <c r="J1094" s="34" t="s">
        <v>3186</v>
      </c>
      <c r="K1094" s="36"/>
      <c r="L1094" s="36" t="s">
        <v>181</v>
      </c>
      <c r="M1094" s="36"/>
      <c r="N1094" s="65" t="s">
        <v>4841</v>
      </c>
      <c r="O1094" s="34" t="s">
        <v>4838</v>
      </c>
      <c r="P1094" s="68">
        <v>-300</v>
      </c>
      <c r="Q1094" s="68" t="s">
        <v>4842</v>
      </c>
      <c r="R1094" s="34" t="s">
        <v>291</v>
      </c>
      <c r="S1094" s="34"/>
      <c r="T1094" s="34" t="s">
        <v>190</v>
      </c>
      <c r="U1094" s="34"/>
      <c r="V1094" s="34"/>
      <c r="W1094" s="34"/>
      <c r="X1094" s="34"/>
      <c r="Y1094"/>
    </row>
    <row r="1095" spans="1:25" s="91" customFormat="1" hidden="1" x14ac:dyDescent="0.25">
      <c r="A1095" s="32" t="s">
        <v>1820</v>
      </c>
      <c r="B1095" s="306" t="str">
        <f>IF((COUNTBLANK(G1095)=0),Stats!$E$7,IF((COUNTBLANK(E1095)=0),IF((COUNTBLANK(F1095)=0),IF((COUNTBLANK(U1095)=0),Stats!$E$6,Stats!$E$5),Stats!$E$4),""))</f>
        <v>Death</v>
      </c>
      <c r="C1095" s="41" t="s">
        <v>413</v>
      </c>
      <c r="D1095" s="306" t="str">
        <f>IF(B1095=Stats!$E$6,Stats!$E$11,"")</f>
        <v/>
      </c>
      <c r="E1095" s="89">
        <v>45044</v>
      </c>
      <c r="F1095" s="89">
        <v>45077</v>
      </c>
      <c r="G1095" s="89">
        <v>45273</v>
      </c>
      <c r="H1095" s="34" t="s">
        <v>3139</v>
      </c>
      <c r="I1095" s="34"/>
      <c r="J1095" s="34"/>
      <c r="K1095" s="36"/>
      <c r="L1095" s="36" t="s">
        <v>181</v>
      </c>
      <c r="M1095" s="36"/>
      <c r="N1095" s="65" t="s">
        <v>4843</v>
      </c>
      <c r="O1095" s="68" t="s">
        <v>51</v>
      </c>
      <c r="P1095" s="68" t="s">
        <v>4784</v>
      </c>
      <c r="Q1095" s="68" t="s">
        <v>3709</v>
      </c>
      <c r="R1095" s="34" t="s">
        <v>279</v>
      </c>
      <c r="S1095" s="34"/>
      <c r="T1095" s="34" t="s">
        <v>4844</v>
      </c>
      <c r="U1095" s="34"/>
      <c r="V1095" s="34"/>
      <c r="W1095" s="34"/>
      <c r="X1095" s="34"/>
      <c r="Y1095"/>
    </row>
    <row r="1096" spans="1:25" hidden="1" x14ac:dyDescent="0.25">
      <c r="A1096" s="32" t="s">
        <v>1821</v>
      </c>
      <c r="B1096" s="306" t="str">
        <f>IF((COUNTBLANK(G1096)=0),Stats!$E$7,IF((COUNTBLANK(E1096)=0),IF((COUNTBLANK(F1096)=0),IF((COUNTBLANK(U1096)=0),Stats!$E$6,Stats!$E$5),Stats!$E$4),""))</f>
        <v>Death</v>
      </c>
      <c r="C1096" s="41" t="s">
        <v>413</v>
      </c>
      <c r="D1096" s="306" t="str">
        <f>IF(B1096=Stats!$E$6,Stats!$E$11,"")</f>
        <v/>
      </c>
      <c r="E1096" s="89">
        <v>45044</v>
      </c>
      <c r="F1096" s="89">
        <v>45077</v>
      </c>
      <c r="G1096" s="342">
        <v>45639</v>
      </c>
      <c r="H1096" s="34" t="s">
        <v>3139</v>
      </c>
      <c r="L1096" s="36" t="s">
        <v>181</v>
      </c>
      <c r="N1096" s="65" t="s">
        <v>4843</v>
      </c>
      <c r="O1096" s="68" t="s">
        <v>51</v>
      </c>
      <c r="P1096" s="68" t="s">
        <v>4784</v>
      </c>
      <c r="Q1096" s="68" t="s">
        <v>3709</v>
      </c>
      <c r="R1096" s="34" t="s">
        <v>249</v>
      </c>
      <c r="T1096" s="34" t="s">
        <v>4844</v>
      </c>
    </row>
    <row r="1097" spans="1:25" s="91" customFormat="1" hidden="1" x14ac:dyDescent="0.25">
      <c r="A1097" s="32" t="s">
        <v>1822</v>
      </c>
      <c r="B1097" s="306" t="str">
        <f>IF((COUNTBLANK(G1097)=0),Stats!$E$7,IF((COUNTBLANK(E1097)=0),IF((COUNTBLANK(F1097)=0),IF((COUNTBLANK(U1097)=0),Stats!$E$6,Stats!$E$5),Stats!$E$4),""))</f>
        <v>Death</v>
      </c>
      <c r="C1097" s="41" t="s">
        <v>284</v>
      </c>
      <c r="D1097" s="306" t="s">
        <v>325</v>
      </c>
      <c r="E1097" s="89">
        <v>45048</v>
      </c>
      <c r="F1097" s="89">
        <v>45054</v>
      </c>
      <c r="G1097" s="89">
        <v>45483</v>
      </c>
      <c r="H1097" s="34" t="s">
        <v>4807</v>
      </c>
      <c r="I1097" s="34"/>
      <c r="J1097" s="313" t="s">
        <v>4650</v>
      </c>
      <c r="K1097" s="36" t="s">
        <v>4678</v>
      </c>
      <c r="L1097" s="36"/>
      <c r="M1097" s="36"/>
      <c r="N1097" s="65" t="s">
        <v>196</v>
      </c>
      <c r="O1097" s="34" t="s">
        <v>51</v>
      </c>
      <c r="P1097" s="68">
        <v>-450</v>
      </c>
      <c r="Q1097" s="68">
        <v>500</v>
      </c>
      <c r="R1097" s="34" t="s">
        <v>249</v>
      </c>
      <c r="S1097" s="158"/>
      <c r="T1097" s="34"/>
      <c r="U1097" s="34" t="s">
        <v>4845</v>
      </c>
      <c r="V1097" s="34"/>
      <c r="W1097" s="34"/>
      <c r="X1097" s="34"/>
      <c r="Y1097"/>
    </row>
    <row r="1098" spans="1:25" s="91" customFormat="1" hidden="1" x14ac:dyDescent="0.25">
      <c r="A1098" s="32" t="s">
        <v>1823</v>
      </c>
      <c r="B1098" s="306" t="str">
        <f>IF((COUNTBLANK(G1098)=0),Stats!$E$7,IF((COUNTBLANK(E1098)=0),IF((COUNTBLANK(F1098)=0),IF((COUNTBLANK(U1098)=0),Stats!$E$6,Stats!$E$5),Stats!$E$4),""))</f>
        <v>Death</v>
      </c>
      <c r="C1098" s="41" t="s">
        <v>284</v>
      </c>
      <c r="D1098" s="306" t="s">
        <v>59</v>
      </c>
      <c r="E1098" s="89">
        <v>45048</v>
      </c>
      <c r="F1098" s="89">
        <v>45054</v>
      </c>
      <c r="G1098" s="89">
        <v>45299</v>
      </c>
      <c r="H1098" s="34" t="s">
        <v>4807</v>
      </c>
      <c r="I1098" s="34"/>
      <c r="J1098" s="313" t="s">
        <v>4650</v>
      </c>
      <c r="K1098" s="36" t="s">
        <v>4678</v>
      </c>
      <c r="L1098" s="36"/>
      <c r="M1098" s="36"/>
      <c r="N1098" s="65" t="s">
        <v>196</v>
      </c>
      <c r="O1098" s="34" t="s">
        <v>51</v>
      </c>
      <c r="P1098" s="68">
        <v>-450</v>
      </c>
      <c r="Q1098" s="68">
        <v>500</v>
      </c>
      <c r="R1098" s="34" t="s">
        <v>291</v>
      </c>
      <c r="S1098" s="158"/>
      <c r="T1098" s="34" t="s">
        <v>4576</v>
      </c>
      <c r="U1098" s="34" t="s">
        <v>4846</v>
      </c>
      <c r="V1098" s="34"/>
      <c r="W1098" s="34"/>
      <c r="X1098" s="34"/>
      <c r="Y1098"/>
    </row>
    <row r="1099" spans="1:25" hidden="1" x14ac:dyDescent="0.25">
      <c r="A1099" s="32" t="s">
        <v>1824</v>
      </c>
      <c r="B1099" s="306" t="str">
        <f>IF((COUNTBLANK(G1099)=0),Stats!$E$7,IF((COUNTBLANK(E1099)=0),IF((COUNTBLANK(F1099)=0),IF((COUNTBLANK(U1099)=0),Stats!$E$6,Stats!$E$5),Stats!$E$4),""))</f>
        <v>Death</v>
      </c>
      <c r="C1099" s="41" t="s">
        <v>284</v>
      </c>
      <c r="D1099" s="306" t="s">
        <v>325</v>
      </c>
      <c r="E1099" s="89">
        <v>45048</v>
      </c>
      <c r="F1099" s="89">
        <v>45054</v>
      </c>
      <c r="G1099" s="342">
        <v>45639</v>
      </c>
      <c r="H1099" s="34" t="s">
        <v>4807</v>
      </c>
      <c r="J1099" s="313" t="s">
        <v>4650</v>
      </c>
      <c r="K1099" s="36" t="s">
        <v>4678</v>
      </c>
      <c r="N1099" s="65" t="s">
        <v>196</v>
      </c>
      <c r="O1099" s="34" t="s">
        <v>51</v>
      </c>
      <c r="P1099" s="68">
        <v>-450</v>
      </c>
      <c r="Q1099" s="68">
        <v>500</v>
      </c>
      <c r="R1099" s="34" t="s">
        <v>279</v>
      </c>
      <c r="S1099" s="158"/>
      <c r="U1099" s="34" t="s">
        <v>4845</v>
      </c>
    </row>
    <row r="1100" spans="1:25" hidden="1" x14ac:dyDescent="0.25">
      <c r="A1100" s="32" t="s">
        <v>1825</v>
      </c>
      <c r="B1100" s="306" t="str">
        <f>IF((COUNTBLANK(G1100)=0),Stats!$E$7,IF((COUNTBLANK(E1100)=0),IF((COUNTBLANK(F1100)=0),IF((COUNTBLANK(U1100)=0),Stats!$E$6,Stats!$E$5),Stats!$E$4),""))</f>
        <v>Death</v>
      </c>
      <c r="C1100" s="41" t="s">
        <v>284</v>
      </c>
      <c r="D1100" s="306" t="s">
        <v>325</v>
      </c>
      <c r="E1100" s="89">
        <v>45048</v>
      </c>
      <c r="F1100" s="89">
        <v>45055</v>
      </c>
      <c r="G1100" s="342">
        <v>45639</v>
      </c>
      <c r="H1100" s="34" t="s">
        <v>4807</v>
      </c>
      <c r="J1100" s="313" t="s">
        <v>4650</v>
      </c>
      <c r="K1100" s="36" t="s">
        <v>4678</v>
      </c>
      <c r="N1100" s="65" t="s">
        <v>196</v>
      </c>
      <c r="O1100" s="34" t="s">
        <v>51</v>
      </c>
      <c r="P1100" s="68">
        <v>-450</v>
      </c>
      <c r="Q1100" s="68">
        <v>500</v>
      </c>
      <c r="R1100" s="34" t="s">
        <v>279</v>
      </c>
      <c r="S1100" s="158"/>
      <c r="U1100" s="34" t="s">
        <v>4847</v>
      </c>
    </row>
    <row r="1101" spans="1:25" s="91" customFormat="1" hidden="1" x14ac:dyDescent="0.25">
      <c r="A1101" s="32" t="s">
        <v>1826</v>
      </c>
      <c r="B1101" s="306" t="str">
        <f>IF((COUNTBLANK(G1101)=0),Stats!$E$7,IF((COUNTBLANK(E1101)=0),IF((COUNTBLANK(F1101)=0),IF((COUNTBLANK(U1101)=0),Stats!$E$6,Stats!$E$5),Stats!$E$4),""))</f>
        <v>Death</v>
      </c>
      <c r="C1101" s="41" t="s">
        <v>284</v>
      </c>
      <c r="D1101" s="306" t="s">
        <v>325</v>
      </c>
      <c r="E1101" s="89">
        <v>45051</v>
      </c>
      <c r="F1101" s="89">
        <v>45055</v>
      </c>
      <c r="G1101" s="89">
        <v>45516</v>
      </c>
      <c r="H1101" s="34" t="s">
        <v>3135</v>
      </c>
      <c r="I1101" s="34"/>
      <c r="J1101" s="34" t="s">
        <v>4839</v>
      </c>
      <c r="K1101" s="36" t="s">
        <v>493</v>
      </c>
      <c r="L1101" s="36"/>
      <c r="M1101" s="36"/>
      <c r="N1101" s="65" t="s">
        <v>196</v>
      </c>
      <c r="O1101" s="34" t="s">
        <v>51</v>
      </c>
      <c r="P1101" s="68">
        <v>-450</v>
      </c>
      <c r="Q1101" s="68">
        <v>500</v>
      </c>
      <c r="R1101" s="34" t="s">
        <v>291</v>
      </c>
      <c r="S1101" s="158"/>
      <c r="T1101" s="34" t="s">
        <v>4848</v>
      </c>
      <c r="U1101" s="34" t="s">
        <v>4849</v>
      </c>
      <c r="V1101" s="34"/>
      <c r="W1101" s="34"/>
      <c r="X1101" s="34"/>
      <c r="Y1101"/>
    </row>
    <row r="1102" spans="1:25" s="91" customFormat="1" hidden="1" x14ac:dyDescent="0.25">
      <c r="A1102" s="32" t="s">
        <v>1827</v>
      </c>
      <c r="B1102" s="306" t="str">
        <f>IF((COUNTBLANK(G1102)=0),Stats!$E$7,IF((COUNTBLANK(E1102)=0),IF((COUNTBLANK(F1102)=0),IF((COUNTBLANK(U1102)=0),Stats!$E$6,Stats!$E$5),Stats!$E$4),""))</f>
        <v>Death</v>
      </c>
      <c r="C1102" s="41" t="s">
        <v>413</v>
      </c>
      <c r="D1102" s="306" t="str">
        <f>IF(B1102=Stats!$E$6,Stats!$E$11,"")</f>
        <v/>
      </c>
      <c r="E1102" s="89">
        <v>45055</v>
      </c>
      <c r="F1102" s="89">
        <v>45055</v>
      </c>
      <c r="G1102" s="316">
        <v>45229</v>
      </c>
      <c r="H1102" s="34" t="s">
        <v>3118</v>
      </c>
      <c r="I1102" s="34"/>
      <c r="J1102" s="34" t="s">
        <v>3186</v>
      </c>
      <c r="K1102" s="36"/>
      <c r="L1102" s="36" t="s">
        <v>181</v>
      </c>
      <c r="M1102" s="36"/>
      <c r="N1102" s="65" t="s">
        <v>4841</v>
      </c>
      <c r="O1102" s="34" t="s">
        <v>51</v>
      </c>
      <c r="P1102" s="68">
        <v>-300</v>
      </c>
      <c r="Q1102" s="68">
        <v>200</v>
      </c>
      <c r="R1102" s="34" t="s">
        <v>279</v>
      </c>
      <c r="S1102" s="34"/>
      <c r="T1102" s="34" t="s">
        <v>4850</v>
      </c>
      <c r="U1102" s="34"/>
      <c r="V1102" s="34"/>
      <c r="W1102" s="34"/>
      <c r="X1102" s="34"/>
      <c r="Y1102"/>
    </row>
    <row r="1103" spans="1:25" s="91" customFormat="1" hidden="1" x14ac:dyDescent="0.25">
      <c r="A1103" s="32" t="s">
        <v>1828</v>
      </c>
      <c r="B1103" s="306" t="str">
        <f>IF((COUNTBLANK(G1103)=0),Stats!$E$7,IF((COUNTBLANK(E1103)=0),IF((COUNTBLANK(F1103)=0),IF((COUNTBLANK(U1103)=0),Stats!$E$6,Stats!$E$5),Stats!$E$4),""))</f>
        <v>Death</v>
      </c>
      <c r="C1103" s="41" t="s">
        <v>413</v>
      </c>
      <c r="D1103" s="306" t="str">
        <f>IF(B1103=Stats!$E$6,Stats!$E$11,"")</f>
        <v/>
      </c>
      <c r="E1103" s="89">
        <v>45055</v>
      </c>
      <c r="F1103" s="89">
        <v>45055</v>
      </c>
      <c r="G1103" s="316">
        <v>45229</v>
      </c>
      <c r="H1103" s="34" t="s">
        <v>3118</v>
      </c>
      <c r="I1103" s="34"/>
      <c r="J1103" s="34" t="s">
        <v>3186</v>
      </c>
      <c r="K1103" s="36"/>
      <c r="L1103" s="36" t="s">
        <v>181</v>
      </c>
      <c r="M1103" s="36"/>
      <c r="N1103" s="65" t="s">
        <v>4841</v>
      </c>
      <c r="O1103" s="34" t="s">
        <v>51</v>
      </c>
      <c r="P1103" s="68">
        <v>-300</v>
      </c>
      <c r="Q1103" s="68">
        <v>200</v>
      </c>
      <c r="R1103" s="34" t="s">
        <v>243</v>
      </c>
      <c r="S1103" s="34"/>
      <c r="T1103" s="34" t="s">
        <v>4851</v>
      </c>
      <c r="U1103" s="34"/>
      <c r="V1103" s="34"/>
      <c r="W1103" s="34"/>
      <c r="X1103" s="34"/>
      <c r="Y1103"/>
    </row>
    <row r="1104" spans="1:25" s="91" customFormat="1" hidden="1" x14ac:dyDescent="0.25">
      <c r="A1104" s="32" t="s">
        <v>1829</v>
      </c>
      <c r="B1104" s="306" t="str">
        <f>IF((COUNTBLANK(G1104)=0),Stats!$E$7,IF((COUNTBLANK(E1104)=0),IF((COUNTBLANK(F1104)=0),IF((COUNTBLANK(U1104)=0),Stats!$E$6,Stats!$E$5),Stats!$E$4),""))</f>
        <v>Death</v>
      </c>
      <c r="C1104" s="41" t="s">
        <v>284</v>
      </c>
      <c r="D1104" s="306" t="s">
        <v>325</v>
      </c>
      <c r="E1104" s="89">
        <v>45056</v>
      </c>
      <c r="F1104" s="89">
        <v>45070</v>
      </c>
      <c r="G1104" s="89">
        <v>45300</v>
      </c>
      <c r="H1104" s="34" t="s">
        <v>3135</v>
      </c>
      <c r="I1104" s="34"/>
      <c r="J1104" s="34" t="s">
        <v>4839</v>
      </c>
      <c r="K1104" s="36" t="s">
        <v>493</v>
      </c>
      <c r="L1104" s="36"/>
      <c r="M1104" s="36"/>
      <c r="N1104" s="65" t="s">
        <v>196</v>
      </c>
      <c r="O1104" s="34" t="s">
        <v>51</v>
      </c>
      <c r="P1104" s="68">
        <v>-450</v>
      </c>
      <c r="Q1104" s="68">
        <v>500</v>
      </c>
      <c r="R1104" s="34" t="s">
        <v>279</v>
      </c>
      <c r="S1104" s="158"/>
      <c r="T1104" s="34" t="s">
        <v>4848</v>
      </c>
      <c r="U1104" s="34" t="s">
        <v>4852</v>
      </c>
      <c r="V1104" s="34"/>
      <c r="W1104" s="34"/>
      <c r="X1104" s="34"/>
      <c r="Y1104"/>
    </row>
    <row r="1105" spans="1:25" hidden="1" x14ac:dyDescent="0.25">
      <c r="A1105" s="32" t="s">
        <v>1830</v>
      </c>
      <c r="B1105" s="306" t="str">
        <f>IF((COUNTBLANK(G1105)=0),Stats!$E$7,IF((COUNTBLANK(E1105)=0),IF((COUNTBLANK(F1105)=0),IF((COUNTBLANK(U1105)=0),Stats!$E$6,Stats!$E$5),Stats!$E$4),""))</f>
        <v>Death</v>
      </c>
      <c r="C1105" s="41" t="s">
        <v>284</v>
      </c>
      <c r="D1105" s="306" t="s">
        <v>325</v>
      </c>
      <c r="E1105" s="89">
        <v>45058</v>
      </c>
      <c r="F1105" s="89">
        <v>45070</v>
      </c>
      <c r="G1105" s="342">
        <v>45639</v>
      </c>
      <c r="H1105" s="34" t="s">
        <v>3073</v>
      </c>
      <c r="J1105" s="34" t="s">
        <v>4839</v>
      </c>
      <c r="K1105" s="36" t="s">
        <v>493</v>
      </c>
      <c r="N1105" s="65" t="s">
        <v>105</v>
      </c>
      <c r="O1105" s="34" t="s">
        <v>51</v>
      </c>
      <c r="P1105" s="68">
        <v>-450</v>
      </c>
      <c r="Q1105" s="68">
        <v>500</v>
      </c>
      <c r="R1105" s="34" t="s">
        <v>249</v>
      </c>
      <c r="S1105" s="158"/>
      <c r="U1105" s="34" t="s">
        <v>4853</v>
      </c>
    </row>
    <row r="1106" spans="1:25" hidden="1" x14ac:dyDescent="0.25">
      <c r="A1106" s="32" t="s">
        <v>1831</v>
      </c>
      <c r="B1106" s="306" t="str">
        <f>IF((COUNTBLANK(G1106)=0),Stats!$E$7,IF((COUNTBLANK(E1106)=0),IF((COUNTBLANK(F1106)=0),IF((COUNTBLANK(U1106)=0),Stats!$E$6,Stats!$E$5),Stats!$E$4),""))</f>
        <v>Death</v>
      </c>
      <c r="C1106" s="41" t="s">
        <v>284</v>
      </c>
      <c r="D1106" s="306" t="s">
        <v>325</v>
      </c>
      <c r="E1106" s="89">
        <v>45058</v>
      </c>
      <c r="F1106" s="89">
        <v>45070</v>
      </c>
      <c r="G1106" s="342">
        <v>45639</v>
      </c>
      <c r="H1106" s="34" t="s">
        <v>3073</v>
      </c>
      <c r="J1106" s="34" t="s">
        <v>4839</v>
      </c>
      <c r="K1106" s="36" t="s">
        <v>493</v>
      </c>
      <c r="N1106" s="65" t="s">
        <v>105</v>
      </c>
      <c r="O1106" s="34" t="s">
        <v>51</v>
      </c>
      <c r="P1106" s="68">
        <v>-450</v>
      </c>
      <c r="Q1106" s="68">
        <v>500</v>
      </c>
      <c r="R1106" s="34" t="s">
        <v>243</v>
      </c>
      <c r="S1106" s="158"/>
      <c r="U1106" s="34" t="s">
        <v>4853</v>
      </c>
    </row>
    <row r="1107" spans="1:25" hidden="1" x14ac:dyDescent="0.25">
      <c r="A1107" s="32" t="s">
        <v>1832</v>
      </c>
      <c r="B1107" s="306" t="str">
        <f>IF((COUNTBLANK(G1107)=0),Stats!$E$7,IF((COUNTBLANK(E1107)=0),IF((COUNTBLANK(F1107)=0),IF((COUNTBLANK(U1107)=0),Stats!$E$6,Stats!$E$5),Stats!$E$4),""))</f>
        <v>Death</v>
      </c>
      <c r="C1107" s="41" t="s">
        <v>3111</v>
      </c>
      <c r="D1107" s="306" t="str">
        <f>IF(B1107=Stats!$E$6,Stats!$E$11,"")</f>
        <v/>
      </c>
      <c r="E1107" s="89">
        <v>45076</v>
      </c>
      <c r="F1107" s="89">
        <v>45125</v>
      </c>
      <c r="G1107" s="342">
        <v>45639</v>
      </c>
      <c r="H1107" s="34" t="s">
        <v>3139</v>
      </c>
      <c r="J1107" s="34" t="s">
        <v>4839</v>
      </c>
      <c r="K1107" s="36" t="s">
        <v>4199</v>
      </c>
      <c r="L1107" s="36" t="s">
        <v>4813</v>
      </c>
      <c r="N1107" s="65" t="s">
        <v>196</v>
      </c>
      <c r="O1107" s="34" t="s">
        <v>51</v>
      </c>
      <c r="P1107" s="68">
        <v>-300</v>
      </c>
      <c r="Q1107" s="68">
        <v>-500</v>
      </c>
      <c r="R1107" s="34" t="s">
        <v>279</v>
      </c>
      <c r="S1107" s="158"/>
    </row>
    <row r="1108" spans="1:25" hidden="1" x14ac:dyDescent="0.25">
      <c r="A1108" s="32" t="s">
        <v>1833</v>
      </c>
      <c r="B1108" s="306" t="str">
        <f>IF((COUNTBLANK(G1108)=0),Stats!$E$7,IF((COUNTBLANK(E1108)=0),IF((COUNTBLANK(F1108)=0),IF((COUNTBLANK(U1108)=0),Stats!$E$6,Stats!$E$5),Stats!$E$4),""))</f>
        <v>Death</v>
      </c>
      <c r="C1108" s="41" t="s">
        <v>3111</v>
      </c>
      <c r="D1108" s="306" t="str">
        <f>IF(B1108=Stats!$E$6,Stats!$E$11,"")</f>
        <v/>
      </c>
      <c r="E1108" s="89">
        <v>45076</v>
      </c>
      <c r="F1108" s="89">
        <v>45125</v>
      </c>
      <c r="G1108" s="342">
        <v>45639</v>
      </c>
      <c r="H1108" s="34" t="s">
        <v>3139</v>
      </c>
      <c r="J1108" s="34" t="s">
        <v>4839</v>
      </c>
      <c r="K1108" s="36" t="s">
        <v>4199</v>
      </c>
      <c r="L1108" s="36" t="s">
        <v>4813</v>
      </c>
      <c r="N1108" s="65" t="s">
        <v>196</v>
      </c>
      <c r="O1108" s="34" t="s">
        <v>51</v>
      </c>
      <c r="P1108" s="68">
        <v>-300</v>
      </c>
      <c r="Q1108" s="68">
        <v>-500</v>
      </c>
      <c r="R1108" s="34" t="s">
        <v>249</v>
      </c>
      <c r="S1108" s="158"/>
    </row>
    <row r="1109" spans="1:25" hidden="1" x14ac:dyDescent="0.25">
      <c r="A1109" s="32" t="s">
        <v>1834</v>
      </c>
      <c r="B1109" s="306" t="str">
        <f>IF((COUNTBLANK(G1109)=0),Stats!$E$7,IF((COUNTBLANK(E1109)=0),IF((COUNTBLANK(F1109)=0),IF((COUNTBLANK(U1109)=0),Stats!$E$6,Stats!$E$5),Stats!$E$4),""))</f>
        <v>Death</v>
      </c>
      <c r="C1109" s="41" t="s">
        <v>3111</v>
      </c>
      <c r="D1109" s="306" t="str">
        <f>IF(B1109=Stats!$E$6,Stats!$E$11,"")</f>
        <v/>
      </c>
      <c r="E1109" s="89">
        <v>45076</v>
      </c>
      <c r="F1109" s="89">
        <v>45124</v>
      </c>
      <c r="G1109" s="342">
        <v>45639</v>
      </c>
      <c r="H1109" s="34" t="s">
        <v>3139</v>
      </c>
      <c r="J1109" s="34" t="s">
        <v>4839</v>
      </c>
      <c r="K1109" s="36" t="s">
        <v>4199</v>
      </c>
      <c r="L1109" s="36" t="s">
        <v>4813</v>
      </c>
      <c r="N1109" s="65" t="s">
        <v>196</v>
      </c>
      <c r="O1109" s="34" t="s">
        <v>51</v>
      </c>
      <c r="P1109" s="68">
        <v>-300</v>
      </c>
      <c r="Q1109" s="68">
        <v>-500</v>
      </c>
      <c r="R1109" s="34" t="s">
        <v>243</v>
      </c>
      <c r="S1109" s="158"/>
      <c r="T1109" s="34" t="s">
        <v>4848</v>
      </c>
    </row>
    <row r="1110" spans="1:25" hidden="1" x14ac:dyDescent="0.25">
      <c r="A1110" s="32" t="s">
        <v>1835</v>
      </c>
      <c r="B1110" s="306" t="str">
        <f>IF((COUNTBLANK(G1110)=0),Stats!$E$7,IF((COUNTBLANK(E1110)=0),IF((COUNTBLANK(F1110)=0),IF((COUNTBLANK(U1110)=0),Stats!$E$6,Stats!$E$5),Stats!$E$4),""))</f>
        <v>Death</v>
      </c>
      <c r="C1110" s="41" t="s">
        <v>3111</v>
      </c>
      <c r="D1110" s="36"/>
      <c r="E1110" s="89">
        <v>45076</v>
      </c>
      <c r="F1110" s="89">
        <v>45125</v>
      </c>
      <c r="G1110" s="342">
        <v>45639</v>
      </c>
      <c r="H1110" s="34" t="s">
        <v>3139</v>
      </c>
      <c r="J1110" s="34" t="s">
        <v>4839</v>
      </c>
      <c r="K1110" s="36" t="s">
        <v>4199</v>
      </c>
      <c r="L1110" s="36" t="s">
        <v>4813</v>
      </c>
      <c r="N1110" s="65" t="s">
        <v>196</v>
      </c>
      <c r="O1110" s="34" t="s">
        <v>51</v>
      </c>
      <c r="P1110" s="68">
        <v>-300</v>
      </c>
      <c r="Q1110" s="68">
        <v>-500</v>
      </c>
      <c r="R1110" s="34" t="s">
        <v>291</v>
      </c>
      <c r="S1110" s="158"/>
    </row>
    <row r="1111" spans="1:25" hidden="1" x14ac:dyDescent="0.25">
      <c r="A1111" s="32" t="s">
        <v>1836</v>
      </c>
      <c r="B1111" s="306" t="str">
        <f>IF((COUNTBLANK(G1111)=0),Stats!$E$7,IF((COUNTBLANK(E1111)=0),IF((COUNTBLANK(F1111)=0),IF((COUNTBLANK(U1111)=0),Stats!$E$6,Stats!$E$5),Stats!$E$4),""))</f>
        <v>Death</v>
      </c>
      <c r="C1111" s="41" t="s">
        <v>284</v>
      </c>
      <c r="D1111" s="36" t="s">
        <v>325</v>
      </c>
      <c r="E1111" s="89">
        <v>45097</v>
      </c>
      <c r="F1111" s="89">
        <v>45105</v>
      </c>
      <c r="G1111" s="89">
        <v>45625</v>
      </c>
      <c r="H1111" s="34" t="s">
        <v>3073</v>
      </c>
      <c r="J1111" s="34" t="s">
        <v>4839</v>
      </c>
      <c r="K1111" s="36" t="s">
        <v>493</v>
      </c>
      <c r="N1111" s="65" t="s">
        <v>4854</v>
      </c>
      <c r="O1111" s="34" t="s">
        <v>51</v>
      </c>
      <c r="P1111" s="68">
        <v>-450</v>
      </c>
      <c r="Q1111" s="68">
        <v>500</v>
      </c>
      <c r="R1111" t="s">
        <v>243</v>
      </c>
      <c r="S1111" s="166" t="s">
        <v>4855</v>
      </c>
      <c r="T1111" s="158" t="s">
        <v>4856</v>
      </c>
      <c r="U1111" s="34" t="s">
        <v>4857</v>
      </c>
    </row>
    <row r="1112" spans="1:25" s="91" customFormat="1" hidden="1" x14ac:dyDescent="0.25">
      <c r="A1112" s="33" t="s">
        <v>1837</v>
      </c>
      <c r="B1112" s="332" t="str">
        <f>IF((COUNTBLANK(G1112)=0),Stats!$E$7,IF((COUNTBLANK(E1112)=0),IF((COUNTBLANK(F1112)=0),IF((COUNTBLANK(U1112)=0),Stats!$E$6,Stats!$E$5),Stats!$E$4),""))</f>
        <v>Death</v>
      </c>
      <c r="C1112" s="44" t="s">
        <v>284</v>
      </c>
      <c r="D1112" s="332" t="s">
        <v>325</v>
      </c>
      <c r="E1112" s="90">
        <v>45097</v>
      </c>
      <c r="F1112" s="90">
        <v>45105</v>
      </c>
      <c r="G1112" s="90">
        <v>45299</v>
      </c>
      <c r="H1112" s="118" t="s">
        <v>3073</v>
      </c>
      <c r="I1112" s="118"/>
      <c r="J1112" s="118" t="s">
        <v>4839</v>
      </c>
      <c r="K1112" s="59" t="s">
        <v>493</v>
      </c>
      <c r="L1112" s="59"/>
      <c r="M1112" s="59"/>
      <c r="N1112" s="155" t="s">
        <v>4854</v>
      </c>
      <c r="O1112" s="118" t="s">
        <v>51</v>
      </c>
      <c r="P1112" s="156">
        <v>-450</v>
      </c>
      <c r="Q1112" s="156">
        <v>500</v>
      </c>
      <c r="R1112" s="157" t="s">
        <v>279</v>
      </c>
      <c r="S1112" s="160"/>
      <c r="T1112" s="118"/>
      <c r="U1112" s="118" t="s">
        <v>4858</v>
      </c>
      <c r="V1112" s="118"/>
      <c r="W1112" s="118"/>
      <c r="X1112" s="118"/>
      <c r="Y1112" s="157"/>
    </row>
    <row r="1113" spans="1:25" hidden="1" x14ac:dyDescent="0.25">
      <c r="A1113" s="32" t="s">
        <v>1838</v>
      </c>
      <c r="B1113" s="306" t="str">
        <f>IF((COUNTBLANK(G1113)=0),Stats!$E$7,IF((COUNTBLANK(E1113)=0),IF((COUNTBLANK(F1113)=0),IF((COUNTBLANK(U1113)=0),Stats!$E$6,Stats!$E$5),Stats!$E$4),""))</f>
        <v>Death</v>
      </c>
      <c r="C1113" s="41" t="s">
        <v>284</v>
      </c>
      <c r="D1113" s="36" t="s">
        <v>325</v>
      </c>
      <c r="E1113" s="89">
        <v>45097</v>
      </c>
      <c r="F1113" s="89">
        <v>45105</v>
      </c>
      <c r="G1113" s="89">
        <v>45625</v>
      </c>
      <c r="H1113" s="34" t="s">
        <v>3073</v>
      </c>
      <c r="J1113" s="34" t="s">
        <v>4839</v>
      </c>
      <c r="K1113" s="36" t="s">
        <v>493</v>
      </c>
      <c r="N1113" s="65" t="s">
        <v>4859</v>
      </c>
      <c r="O1113" s="34" t="s">
        <v>51</v>
      </c>
      <c r="P1113" s="68">
        <v>-450</v>
      </c>
      <c r="Q1113" s="68">
        <v>500</v>
      </c>
      <c r="R1113" t="s">
        <v>249</v>
      </c>
      <c r="S1113" s="166" t="s">
        <v>4855</v>
      </c>
      <c r="T1113" s="158" t="s">
        <v>4856</v>
      </c>
      <c r="U1113" s="34" t="s">
        <v>4860</v>
      </c>
    </row>
    <row r="1114" spans="1:25" s="91" customFormat="1" hidden="1" x14ac:dyDescent="0.25">
      <c r="A1114" s="32" t="s">
        <v>1839</v>
      </c>
      <c r="B1114" s="306" t="str">
        <f>IF((COUNTBLANK(G1114)=0),Stats!$E$7,IF((COUNTBLANK(E1114)=0),IF((COUNTBLANK(F1114)=0),IF((COUNTBLANK(U1114)=0),Stats!$E$6,Stats!$E$5),Stats!$E$4),""))</f>
        <v>Death</v>
      </c>
      <c r="C1114" s="41" t="s">
        <v>284</v>
      </c>
      <c r="D1114" s="306" t="s">
        <v>325</v>
      </c>
      <c r="E1114" s="89">
        <v>45097</v>
      </c>
      <c r="F1114" s="89">
        <v>45105</v>
      </c>
      <c r="G1114" s="89">
        <v>45176</v>
      </c>
      <c r="H1114" s="34" t="s">
        <v>3073</v>
      </c>
      <c r="I1114" s="34"/>
      <c r="J1114" s="34" t="s">
        <v>4839</v>
      </c>
      <c r="K1114" s="36" t="s">
        <v>493</v>
      </c>
      <c r="L1114" s="36"/>
      <c r="M1114" s="36"/>
      <c r="N1114" s="65" t="s">
        <v>4859</v>
      </c>
      <c r="O1114" s="34" t="s">
        <v>51</v>
      </c>
      <c r="P1114" s="68">
        <v>-450</v>
      </c>
      <c r="Q1114" s="68">
        <v>500</v>
      </c>
      <c r="R1114" t="s">
        <v>291</v>
      </c>
      <c r="S1114" s="159"/>
      <c r="T1114" s="34"/>
      <c r="U1114" s="34" t="s">
        <v>4861</v>
      </c>
      <c r="V1114" s="34"/>
      <c r="W1114" s="34"/>
      <c r="X1114" s="34"/>
      <c r="Y1114"/>
    </row>
    <row r="1115" spans="1:25" hidden="1" x14ac:dyDescent="0.25">
      <c r="A1115" s="32" t="s">
        <v>1840</v>
      </c>
      <c r="B1115" s="306" t="str">
        <f>IF((COUNTBLANK(G1115)=0),Stats!$E$7,IF((COUNTBLANK(E1115)=0),IF((COUNTBLANK(F1115)=0),IF((COUNTBLANK(U1115)=0),Stats!$E$6,Stats!$E$5),Stats!$E$4),""))</f>
        <v>Death</v>
      </c>
      <c r="C1115" s="41" t="s">
        <v>413</v>
      </c>
      <c r="D1115" s="306" t="str">
        <f>IF(B1115=Stats!$E$6,Stats!$E$11,"")</f>
        <v/>
      </c>
      <c r="E1115" s="89">
        <v>45111</v>
      </c>
      <c r="G1115" s="342">
        <v>45639</v>
      </c>
      <c r="H1115" s="34" t="s">
        <v>3118</v>
      </c>
      <c r="J1115" s="34" t="s">
        <v>3186</v>
      </c>
      <c r="L1115" s="36" t="s">
        <v>4862</v>
      </c>
      <c r="M1115" s="36" t="s">
        <v>181</v>
      </c>
      <c r="N1115" s="65" t="s">
        <v>4863</v>
      </c>
      <c r="O1115" s="34" t="s">
        <v>51</v>
      </c>
      <c r="P1115" s="68" t="s">
        <v>989</v>
      </c>
      <c r="Q1115" s="68" t="s">
        <v>3438</v>
      </c>
      <c r="R1115" s="34" t="s">
        <v>279</v>
      </c>
      <c r="T1115" s="34" t="s">
        <v>4864</v>
      </c>
    </row>
    <row r="1116" spans="1:25" s="91" customFormat="1" hidden="1" x14ac:dyDescent="0.25">
      <c r="A1116" s="32" t="s">
        <v>1841</v>
      </c>
      <c r="B1116" s="306" t="str">
        <f>IF((COUNTBLANK(G1116)=0),Stats!$E$7,IF((COUNTBLANK(E1116)=0),IF((COUNTBLANK(F1116)=0),IF((COUNTBLANK(U1116)=0),Stats!$E$6,Stats!$E$5),Stats!$E$4),""))</f>
        <v>Death</v>
      </c>
      <c r="C1116" s="41" t="s">
        <v>413</v>
      </c>
      <c r="D1116" s="306" t="str">
        <f>IF(B1116=Stats!$E$6,Stats!$E$11,"")</f>
        <v/>
      </c>
      <c r="E1116" s="89">
        <v>45111</v>
      </c>
      <c r="F1116" s="89"/>
      <c r="G1116" s="89">
        <v>45121</v>
      </c>
      <c r="H1116" s="34" t="s">
        <v>3118</v>
      </c>
      <c r="I1116" s="34"/>
      <c r="J1116" s="34" t="s">
        <v>3186</v>
      </c>
      <c r="K1116" s="36"/>
      <c r="L1116" s="36" t="s">
        <v>4862</v>
      </c>
      <c r="M1116" s="36" t="s">
        <v>181</v>
      </c>
      <c r="N1116" s="65" t="s">
        <v>4863</v>
      </c>
      <c r="O1116" s="34" t="s">
        <v>51</v>
      </c>
      <c r="P1116" s="68" t="s">
        <v>989</v>
      </c>
      <c r="Q1116" s="68" t="s">
        <v>3438</v>
      </c>
      <c r="R1116" s="34" t="s">
        <v>243</v>
      </c>
      <c r="S1116" s="34"/>
      <c r="T1116" s="34" t="s">
        <v>4864</v>
      </c>
      <c r="U1116" s="34"/>
      <c r="V1116" s="34"/>
      <c r="W1116" s="34"/>
      <c r="X1116" s="34"/>
      <c r="Y1116"/>
    </row>
    <row r="1117" spans="1:25" hidden="1" x14ac:dyDescent="0.25">
      <c r="A1117" s="32" t="s">
        <v>1842</v>
      </c>
      <c r="B1117" s="306" t="str">
        <f>IF((COUNTBLANK(G1117)=0),Stats!$E$7,IF((COUNTBLANK(E1117)=0),IF((COUNTBLANK(F1117)=0),IF((COUNTBLANK(U1117)=0),Stats!$E$6,Stats!$E$5),Stats!$E$4),""))</f>
        <v>Death</v>
      </c>
      <c r="C1117" s="41" t="s">
        <v>413</v>
      </c>
      <c r="D1117" s="306" t="str">
        <f>IF(B1117=Stats!$E$6,Stats!$E$11,"")</f>
        <v/>
      </c>
      <c r="E1117" s="89">
        <v>45111</v>
      </c>
      <c r="G1117" s="342">
        <v>45639</v>
      </c>
      <c r="H1117" s="34" t="s">
        <v>3118</v>
      </c>
      <c r="J1117" s="34" t="s">
        <v>3186</v>
      </c>
      <c r="L1117" s="36" t="s">
        <v>4862</v>
      </c>
      <c r="M1117" s="36" t="s">
        <v>181</v>
      </c>
      <c r="N1117" s="65" t="s">
        <v>4863</v>
      </c>
      <c r="O1117" s="34" t="s">
        <v>51</v>
      </c>
      <c r="P1117" s="68" t="s">
        <v>989</v>
      </c>
      <c r="Q1117" s="68" t="s">
        <v>3438</v>
      </c>
      <c r="R1117" s="34" t="s">
        <v>249</v>
      </c>
      <c r="T1117" s="34" t="s">
        <v>4864</v>
      </c>
    </row>
    <row r="1118" spans="1:25" s="91" customFormat="1" hidden="1" x14ac:dyDescent="0.25">
      <c r="A1118" s="32" t="s">
        <v>1843</v>
      </c>
      <c r="B1118" s="306" t="str">
        <f>IF((COUNTBLANK(G1118)=0),Stats!$E$7,IF((COUNTBLANK(E1118)=0),IF((COUNTBLANK(F1118)=0),IF((COUNTBLANK(U1118)=0),Stats!$E$6,Stats!$E$5),Stats!$E$4),""))</f>
        <v>Death</v>
      </c>
      <c r="C1118" s="41" t="s">
        <v>413</v>
      </c>
      <c r="D1118" s="306" t="str">
        <f>IF(B1118=Stats!$E$6,Stats!$E$11,"")</f>
        <v/>
      </c>
      <c r="E1118" s="89">
        <v>45112</v>
      </c>
      <c r="F1118" s="89"/>
      <c r="G1118" s="316">
        <v>45229</v>
      </c>
      <c r="H1118" s="34" t="s">
        <v>3118</v>
      </c>
      <c r="I1118" s="34"/>
      <c r="J1118" s="34" t="s">
        <v>3186</v>
      </c>
      <c r="K1118" s="36"/>
      <c r="L1118" s="36" t="s">
        <v>4862</v>
      </c>
      <c r="M1118" s="36" t="s">
        <v>4865</v>
      </c>
      <c r="N1118" s="65" t="s">
        <v>4866</v>
      </c>
      <c r="O1118" s="34" t="s">
        <v>51</v>
      </c>
      <c r="P1118" s="68" t="s">
        <v>989</v>
      </c>
      <c r="Q1118" s="68" t="s">
        <v>3438</v>
      </c>
      <c r="R1118" s="34" t="s">
        <v>279</v>
      </c>
      <c r="S1118" s="34"/>
      <c r="T1118" s="34" t="s">
        <v>4864</v>
      </c>
      <c r="U1118" s="34"/>
      <c r="V1118" s="34"/>
      <c r="W1118" s="34"/>
      <c r="X1118" s="34"/>
      <c r="Y1118"/>
    </row>
    <row r="1119" spans="1:25" s="91" customFormat="1" hidden="1" x14ac:dyDescent="0.25">
      <c r="A1119" s="32" t="s">
        <v>1844</v>
      </c>
      <c r="B1119" s="306" t="str">
        <f>IF((COUNTBLANK(G1119)=0),Stats!$E$7,IF((COUNTBLANK(E1119)=0),IF((COUNTBLANK(F1119)=0),IF((COUNTBLANK(U1119)=0),Stats!$E$6,Stats!$E$5),Stats!$E$4),""))</f>
        <v>Death</v>
      </c>
      <c r="C1119" s="41" t="s">
        <v>413</v>
      </c>
      <c r="D1119" s="306" t="str">
        <f>IF(B1119=Stats!$E$6,Stats!$E$11,"")</f>
        <v/>
      </c>
      <c r="E1119" s="89">
        <v>45112</v>
      </c>
      <c r="F1119" s="89"/>
      <c r="G1119" s="316">
        <v>45229</v>
      </c>
      <c r="H1119" s="34" t="s">
        <v>3118</v>
      </c>
      <c r="I1119" s="34"/>
      <c r="J1119" s="34" t="s">
        <v>3186</v>
      </c>
      <c r="K1119" s="36"/>
      <c r="L1119" s="36" t="s">
        <v>4862</v>
      </c>
      <c r="M1119" s="36" t="s">
        <v>4865</v>
      </c>
      <c r="N1119" s="65" t="s">
        <v>4866</v>
      </c>
      <c r="O1119" s="34" t="s">
        <v>51</v>
      </c>
      <c r="P1119" s="68" t="s">
        <v>989</v>
      </c>
      <c r="Q1119" s="68" t="s">
        <v>3438</v>
      </c>
      <c r="R1119" s="34" t="s">
        <v>243</v>
      </c>
      <c r="S1119" s="34"/>
      <c r="T1119" s="34" t="s">
        <v>4864</v>
      </c>
      <c r="U1119" s="34"/>
      <c r="V1119" s="34"/>
      <c r="W1119" s="34"/>
      <c r="X1119" s="34"/>
      <c r="Y1119"/>
    </row>
    <row r="1120" spans="1:25" s="91" customFormat="1" hidden="1" x14ac:dyDescent="0.25">
      <c r="A1120" s="32" t="s">
        <v>1845</v>
      </c>
      <c r="B1120" s="306" t="str">
        <f>IF((COUNTBLANK(G1120)=0),Stats!$E$7,IF((COUNTBLANK(E1120)=0),IF((COUNTBLANK(F1120)=0),IF((COUNTBLANK(U1120)=0),Stats!$E$6,Stats!$E$5),Stats!$E$4),""))</f>
        <v>Death</v>
      </c>
      <c r="C1120" s="41" t="s">
        <v>413</v>
      </c>
      <c r="D1120" s="306" t="str">
        <f>IF(B1120=Stats!$E$6,Stats!$E$11,"")</f>
        <v/>
      </c>
      <c r="E1120" s="89">
        <v>45112</v>
      </c>
      <c r="F1120" s="89"/>
      <c r="G1120" s="316">
        <v>45229</v>
      </c>
      <c r="H1120" s="34" t="s">
        <v>3118</v>
      </c>
      <c r="I1120" s="34"/>
      <c r="J1120" s="34" t="s">
        <v>3186</v>
      </c>
      <c r="K1120" s="36"/>
      <c r="L1120" s="36" t="s">
        <v>4862</v>
      </c>
      <c r="M1120" s="36" t="s">
        <v>4865</v>
      </c>
      <c r="N1120" s="65" t="s">
        <v>4866</v>
      </c>
      <c r="O1120" s="34" t="s">
        <v>51</v>
      </c>
      <c r="P1120" s="68" t="s">
        <v>989</v>
      </c>
      <c r="Q1120" s="68" t="s">
        <v>3438</v>
      </c>
      <c r="R1120" s="34" t="s">
        <v>249</v>
      </c>
      <c r="S1120" s="34"/>
      <c r="T1120" s="34" t="s">
        <v>4864</v>
      </c>
      <c r="U1120" s="34"/>
      <c r="V1120" s="34"/>
      <c r="W1120" s="34"/>
      <c r="X1120" s="34"/>
      <c r="Y1120"/>
    </row>
    <row r="1121" spans="1:25" s="91" customFormat="1" hidden="1" x14ac:dyDescent="0.25">
      <c r="A1121" s="32" t="s">
        <v>1846</v>
      </c>
      <c r="B1121" s="306" t="str">
        <f>IF((COUNTBLANK(G1121)=0),Stats!$E$7,IF((COUNTBLANK(E1121)=0),IF((COUNTBLANK(F1121)=0),IF((COUNTBLANK(U1121)=0),Stats!$E$6,Stats!$E$5),Stats!$E$4),""))</f>
        <v>Death</v>
      </c>
      <c r="C1121" s="41" t="s">
        <v>413</v>
      </c>
      <c r="D1121" s="306" t="str">
        <f>IF(B1121=Stats!$E$6,Stats!$E$11,"")</f>
        <v/>
      </c>
      <c r="E1121" s="89">
        <v>45114</v>
      </c>
      <c r="F1121" s="89"/>
      <c r="G1121" s="316">
        <v>45229</v>
      </c>
      <c r="H1121" s="34" t="s">
        <v>3118</v>
      </c>
      <c r="I1121" s="34"/>
      <c r="J1121" s="34" t="s">
        <v>3186</v>
      </c>
      <c r="K1121" s="36"/>
      <c r="L1121" s="36" t="s">
        <v>4865</v>
      </c>
      <c r="M1121" s="36"/>
      <c r="N1121" s="65" t="s">
        <v>4867</v>
      </c>
      <c r="O1121" s="34" t="s">
        <v>4840</v>
      </c>
      <c r="P1121" s="68" t="s">
        <v>989</v>
      </c>
      <c r="Q1121" s="68" t="s">
        <v>3438</v>
      </c>
      <c r="R1121" s="34" t="s">
        <v>279</v>
      </c>
      <c r="S1121" s="34"/>
      <c r="T1121" s="34" t="s">
        <v>4868</v>
      </c>
      <c r="U1121" s="34"/>
      <c r="V1121" s="34"/>
      <c r="W1121" s="34"/>
      <c r="X1121" s="34"/>
      <c r="Y1121"/>
    </row>
    <row r="1122" spans="1:25" hidden="1" x14ac:dyDescent="0.25">
      <c r="A1122" s="32" t="s">
        <v>1847</v>
      </c>
      <c r="B1122" s="306" t="str">
        <f>IF((COUNTBLANK(G1122)=0),Stats!$E$7,IF((COUNTBLANK(E1122)=0),IF((COUNTBLANK(F1122)=0),IF((COUNTBLANK(U1122)=0),Stats!$E$6,Stats!$E$5),Stats!$E$4),""))</f>
        <v>Death</v>
      </c>
      <c r="C1122" s="41" t="s">
        <v>413</v>
      </c>
      <c r="D1122" s="306" t="str">
        <f>IF(B1122=Stats!$E$6,Stats!$E$11,"")</f>
        <v/>
      </c>
      <c r="E1122" s="89">
        <v>45114</v>
      </c>
      <c r="G1122" s="342">
        <v>45639</v>
      </c>
      <c r="H1122" s="34" t="s">
        <v>3118</v>
      </c>
      <c r="J1122" s="34" t="s">
        <v>3186</v>
      </c>
      <c r="L1122" s="36" t="s">
        <v>4865</v>
      </c>
      <c r="N1122" s="65" t="s">
        <v>4867</v>
      </c>
      <c r="O1122" s="34" t="s">
        <v>4840</v>
      </c>
      <c r="P1122" s="68" t="s">
        <v>989</v>
      </c>
      <c r="Q1122" s="68" t="s">
        <v>3438</v>
      </c>
      <c r="R1122" s="34" t="s">
        <v>243</v>
      </c>
      <c r="T1122" s="34" t="s">
        <v>4868</v>
      </c>
    </row>
    <row r="1123" spans="1:25" hidden="1" x14ac:dyDescent="0.25">
      <c r="A1123" s="32" t="s">
        <v>1848</v>
      </c>
      <c r="B1123" s="306" t="str">
        <f>IF((COUNTBLANK(G1123)=0),Stats!$E$7,IF((COUNTBLANK(E1123)=0),IF((COUNTBLANK(F1123)=0),IF((COUNTBLANK(U1123)=0),Stats!$E$6,Stats!$E$5),Stats!$E$4),""))</f>
        <v>Death</v>
      </c>
      <c r="C1123" s="41" t="s">
        <v>284</v>
      </c>
      <c r="D1123" s="36" t="s">
        <v>407</v>
      </c>
      <c r="E1123" s="89">
        <v>45119</v>
      </c>
      <c r="F1123" s="89">
        <v>45181</v>
      </c>
      <c r="G1123" s="89">
        <v>45617</v>
      </c>
      <c r="H1123" s="34" t="s">
        <v>4807</v>
      </c>
      <c r="J1123" s="313" t="s">
        <v>4650</v>
      </c>
      <c r="K1123" s="36" t="s">
        <v>4678</v>
      </c>
      <c r="N1123" s="65" t="s">
        <v>196</v>
      </c>
      <c r="O1123" s="34" t="s">
        <v>51</v>
      </c>
      <c r="P1123" s="68">
        <v>-450</v>
      </c>
      <c r="Q1123" s="68">
        <v>500</v>
      </c>
      <c r="R1123" s="34" t="s">
        <v>249</v>
      </c>
      <c r="S1123" s="166" t="s">
        <v>4855</v>
      </c>
      <c r="U1123" s="34" t="s">
        <v>4869</v>
      </c>
      <c r="V1123" s="34" t="s">
        <v>4870</v>
      </c>
    </row>
    <row r="1124" spans="1:25" hidden="1" x14ac:dyDescent="0.25">
      <c r="A1124" s="32" t="s">
        <v>1849</v>
      </c>
      <c r="B1124" s="306" t="str">
        <f>IF((COUNTBLANK(G1124)=0),Stats!$E$7,IF((COUNTBLANK(E1124)=0),IF((COUNTBLANK(F1124)=0),IF((COUNTBLANK(U1124)=0),Stats!$E$6,Stats!$E$5),Stats!$E$4),""))</f>
        <v>Death</v>
      </c>
      <c r="C1124" s="41" t="s">
        <v>284</v>
      </c>
      <c r="D1124" s="36" t="s">
        <v>407</v>
      </c>
      <c r="E1124" s="89">
        <v>45119</v>
      </c>
      <c r="F1124" s="89">
        <v>45181</v>
      </c>
      <c r="G1124" s="89">
        <v>45615</v>
      </c>
      <c r="H1124" s="34" t="s">
        <v>4807</v>
      </c>
      <c r="J1124" s="313" t="s">
        <v>4650</v>
      </c>
      <c r="K1124" s="36" t="s">
        <v>4678</v>
      </c>
      <c r="N1124" s="65" t="s">
        <v>196</v>
      </c>
      <c r="O1124" s="34" t="s">
        <v>51</v>
      </c>
      <c r="P1124" s="68">
        <v>-450</v>
      </c>
      <c r="Q1124" s="68">
        <v>500</v>
      </c>
      <c r="R1124" s="34" t="s">
        <v>279</v>
      </c>
      <c r="S1124" s="166" t="s">
        <v>4855</v>
      </c>
      <c r="U1124" s="34" t="s">
        <v>4869</v>
      </c>
      <c r="V1124" s="34" t="s">
        <v>4870</v>
      </c>
    </row>
    <row r="1125" spans="1:25" hidden="1" x14ac:dyDescent="0.25">
      <c r="A1125" s="32" t="s">
        <v>1850</v>
      </c>
      <c r="B1125" s="306" t="str">
        <f>IF((COUNTBLANK(G1125)=0),Stats!$E$7,IF((COUNTBLANK(E1125)=0),IF((COUNTBLANK(F1125)=0),IF((COUNTBLANK(U1125)=0),Stats!$E$6,Stats!$E$5),Stats!$E$4),""))</f>
        <v>Death</v>
      </c>
      <c r="C1125" s="41" t="s">
        <v>284</v>
      </c>
      <c r="D1125" s="36" t="s">
        <v>407</v>
      </c>
      <c r="E1125" s="89">
        <v>45119</v>
      </c>
      <c r="F1125" s="89">
        <v>45208</v>
      </c>
      <c r="G1125" s="342">
        <v>45639</v>
      </c>
      <c r="H1125" s="34" t="s">
        <v>4807</v>
      </c>
      <c r="J1125" s="313" t="s">
        <v>4650</v>
      </c>
      <c r="K1125" s="36" t="s">
        <v>4678</v>
      </c>
      <c r="N1125" s="65" t="s">
        <v>196</v>
      </c>
      <c r="O1125" s="34" t="s">
        <v>51</v>
      </c>
      <c r="P1125" s="68">
        <v>-450</v>
      </c>
      <c r="Q1125" s="68">
        <v>500</v>
      </c>
      <c r="R1125" s="34" t="s">
        <v>249</v>
      </c>
      <c r="S1125" s="166" t="s">
        <v>4855</v>
      </c>
      <c r="U1125" s="34" t="s">
        <v>4871</v>
      </c>
    </row>
    <row r="1126" spans="1:25" s="91" customFormat="1" hidden="1" x14ac:dyDescent="0.25">
      <c r="A1126" s="32" t="s">
        <v>1851</v>
      </c>
      <c r="B1126" s="306" t="str">
        <f>IF((COUNTBLANK(G1126)=0),Stats!$E$7,IF((COUNTBLANK(E1126)=0),IF((COUNTBLANK(F1126)=0),IF((COUNTBLANK(U1126)=0),Stats!$E$6,Stats!$E$5),Stats!$E$4),""))</f>
        <v>Death</v>
      </c>
      <c r="C1126" s="41" t="s">
        <v>284</v>
      </c>
      <c r="D1126" s="306" t="str">
        <f>IF(B1126=Stats!$E$6,Stats!$E$11,"")</f>
        <v/>
      </c>
      <c r="E1126" s="89">
        <v>45119</v>
      </c>
      <c r="F1126" s="89"/>
      <c r="G1126" s="89">
        <v>45129</v>
      </c>
      <c r="H1126" s="34" t="s">
        <v>4807</v>
      </c>
      <c r="I1126" s="34"/>
      <c r="J1126" s="313" t="s">
        <v>4650</v>
      </c>
      <c r="K1126" s="36" t="s">
        <v>4678</v>
      </c>
      <c r="L1126" s="36"/>
      <c r="M1126" s="36"/>
      <c r="N1126" s="65" t="s">
        <v>196</v>
      </c>
      <c r="O1126" s="34" t="s">
        <v>51</v>
      </c>
      <c r="P1126" s="68">
        <v>-450</v>
      </c>
      <c r="Q1126" s="68">
        <v>500</v>
      </c>
      <c r="R1126" s="34" t="s">
        <v>279</v>
      </c>
      <c r="S1126" s="158"/>
      <c r="T1126" s="34"/>
      <c r="U1126" s="34"/>
      <c r="V1126" s="34"/>
      <c r="W1126" s="34"/>
      <c r="X1126" s="34"/>
      <c r="Y1126"/>
    </row>
    <row r="1127" spans="1:25" hidden="1" x14ac:dyDescent="0.25">
      <c r="A1127" s="102" t="s">
        <v>1852</v>
      </c>
      <c r="B1127" s="369" t="str">
        <f>IF((COUNTBLANK(G1127)=0),Stats!$E$7,IF((COUNTBLANK(E1127)=0),IF((COUNTBLANK(F1127)=0),IF((COUNTBLANK(U1127)=0),Stats!$E$6,Stats!$E$5),Stats!$E$4),""))</f>
        <v>Death</v>
      </c>
      <c r="C1127" s="103" t="s">
        <v>284</v>
      </c>
      <c r="D1127" s="36" t="s">
        <v>407</v>
      </c>
      <c r="E1127" s="104">
        <v>45126</v>
      </c>
      <c r="F1127" s="104">
        <v>45161</v>
      </c>
      <c r="G1127" s="342">
        <v>45639</v>
      </c>
      <c r="H1127" s="105" t="s">
        <v>3073</v>
      </c>
      <c r="I1127" s="105"/>
      <c r="J1127" s="105" t="s">
        <v>4839</v>
      </c>
      <c r="K1127" s="106" t="s">
        <v>493</v>
      </c>
      <c r="L1127" s="106"/>
      <c r="M1127" s="106"/>
      <c r="N1127" s="107" t="s">
        <v>105</v>
      </c>
      <c r="O1127" s="105" t="s">
        <v>51</v>
      </c>
      <c r="P1127" s="108">
        <v>-450</v>
      </c>
      <c r="Q1127" s="108">
        <v>500</v>
      </c>
      <c r="R1127" s="109" t="s">
        <v>249</v>
      </c>
      <c r="S1127" s="166" t="s">
        <v>4855</v>
      </c>
      <c r="T1127" s="105"/>
      <c r="U1127" s="105" t="s">
        <v>4872</v>
      </c>
      <c r="V1127" s="105"/>
      <c r="W1127" s="105"/>
      <c r="Y1127" s="109"/>
    </row>
    <row r="1128" spans="1:25" s="91" customFormat="1" hidden="1" x14ac:dyDescent="0.25">
      <c r="A1128" s="32" t="s">
        <v>1853</v>
      </c>
      <c r="B1128" s="306" t="str">
        <f>IF((COUNTBLANK(G1128)=0),Stats!$E$7,IF((COUNTBLANK(E1128)=0),IF((COUNTBLANK(F1128)=0),IF((COUNTBLANK(U1128)=0),Stats!$E$6,Stats!$E$5),Stats!$E$4),""))</f>
        <v>Death</v>
      </c>
      <c r="C1128" s="41" t="s">
        <v>284</v>
      </c>
      <c r="D1128" s="306" t="s">
        <v>325</v>
      </c>
      <c r="E1128" s="89">
        <v>45126</v>
      </c>
      <c r="F1128" s="89">
        <v>45161</v>
      </c>
      <c r="G1128" s="89">
        <v>45344</v>
      </c>
      <c r="H1128" s="34" t="s">
        <v>3073</v>
      </c>
      <c r="I1128" s="34"/>
      <c r="J1128" s="34" t="s">
        <v>4839</v>
      </c>
      <c r="K1128" s="36" t="s">
        <v>493</v>
      </c>
      <c r="L1128" s="36"/>
      <c r="M1128" s="36"/>
      <c r="N1128" s="65" t="s">
        <v>105</v>
      </c>
      <c r="O1128" s="34" t="s">
        <v>51</v>
      </c>
      <c r="P1128" s="68">
        <v>-450</v>
      </c>
      <c r="Q1128" s="68">
        <v>500</v>
      </c>
      <c r="R1128" t="s">
        <v>243</v>
      </c>
      <c r="S1128" s="166" t="s">
        <v>4855</v>
      </c>
      <c r="T1128" s="34"/>
      <c r="U1128" s="34" t="s">
        <v>4873</v>
      </c>
      <c r="V1128" s="34" t="s">
        <v>4874</v>
      </c>
      <c r="W1128" s="34"/>
      <c r="X1128" s="34"/>
      <c r="Y1128"/>
    </row>
    <row r="1129" spans="1:25" s="91" customFormat="1" hidden="1" x14ac:dyDescent="0.25">
      <c r="A1129" s="102" t="s">
        <v>1854</v>
      </c>
      <c r="B1129" s="369" t="str">
        <f>IF((COUNTBLANK(G1129)=0),Stats!$E$7,IF((COUNTBLANK(E1129)=0),IF((COUNTBLANK(F1129)=0),IF((COUNTBLANK(U1129)=0),Stats!$E$6,Stats!$E$5),Stats!$E$4),""))</f>
        <v>Death</v>
      </c>
      <c r="C1129" s="103" t="s">
        <v>284</v>
      </c>
      <c r="D1129" s="369" t="s">
        <v>325</v>
      </c>
      <c r="E1129" s="104">
        <v>45126</v>
      </c>
      <c r="F1129" s="104">
        <v>45161</v>
      </c>
      <c r="G1129" s="104">
        <v>45344</v>
      </c>
      <c r="H1129" s="105" t="s">
        <v>3073</v>
      </c>
      <c r="I1129" s="105"/>
      <c r="J1129" s="105" t="s">
        <v>4839</v>
      </c>
      <c r="K1129" s="106" t="s">
        <v>493</v>
      </c>
      <c r="L1129" s="106"/>
      <c r="M1129" s="106"/>
      <c r="N1129" s="107" t="s">
        <v>105</v>
      </c>
      <c r="O1129" s="105" t="s">
        <v>51</v>
      </c>
      <c r="P1129" s="108">
        <v>-450</v>
      </c>
      <c r="Q1129" s="108">
        <v>500</v>
      </c>
      <c r="R1129" s="109" t="s">
        <v>279</v>
      </c>
      <c r="S1129" s="166" t="s">
        <v>4855</v>
      </c>
      <c r="T1129" s="105" t="s">
        <v>3531</v>
      </c>
      <c r="U1129" s="105" t="s">
        <v>4875</v>
      </c>
      <c r="V1129" s="105" t="s">
        <v>4874</v>
      </c>
      <c r="W1129" s="105"/>
      <c r="X1129" s="34"/>
      <c r="Y1129" s="109"/>
    </row>
    <row r="1130" spans="1:25" s="91" customFormat="1" hidden="1" x14ac:dyDescent="0.25">
      <c r="A1130" s="32" t="s">
        <v>1855</v>
      </c>
      <c r="B1130" s="306" t="str">
        <f>IF((COUNTBLANK(G1130)=0),Stats!$E$7,IF((COUNTBLANK(E1130)=0),IF((COUNTBLANK(F1130)=0),IF((COUNTBLANK(U1130)=0),Stats!$E$6,Stats!$E$5),Stats!$E$4),""))</f>
        <v>Death</v>
      </c>
      <c r="C1130" s="41" t="s">
        <v>413</v>
      </c>
      <c r="D1130" s="306" t="str">
        <f>IF(B1130=Stats!$E$6,Stats!$E$11,"")</f>
        <v/>
      </c>
      <c r="E1130" s="89">
        <v>45133</v>
      </c>
      <c r="F1130" s="89"/>
      <c r="G1130" s="316">
        <v>45229</v>
      </c>
      <c r="H1130" s="34" t="s">
        <v>3118</v>
      </c>
      <c r="I1130" s="34"/>
      <c r="J1130" s="34" t="s">
        <v>3186</v>
      </c>
      <c r="K1130" s="36"/>
      <c r="L1130" s="36"/>
      <c r="M1130" s="36"/>
      <c r="N1130" s="65" t="s">
        <v>68</v>
      </c>
      <c r="O1130" s="34" t="s">
        <v>4876</v>
      </c>
      <c r="P1130" s="68" t="s">
        <v>989</v>
      </c>
      <c r="Q1130" s="68" t="s">
        <v>3438</v>
      </c>
      <c r="R1130" s="34" t="s">
        <v>243</v>
      </c>
      <c r="S1130" s="34"/>
      <c r="T1130" s="34" t="s">
        <v>4877</v>
      </c>
      <c r="U1130" s="34"/>
      <c r="V1130" s="34"/>
      <c r="W1130" s="34"/>
      <c r="X1130" s="34"/>
      <c r="Y1130"/>
    </row>
    <row r="1131" spans="1:25" s="91" customFormat="1" ht="12.75" hidden="1" customHeight="1" x14ac:dyDescent="0.25">
      <c r="A1131" s="32" t="s">
        <v>1856</v>
      </c>
      <c r="B1131" s="306" t="str">
        <f>IF((COUNTBLANK(G1131)=0),Stats!$E$7,IF((COUNTBLANK(E1131)=0),IF((COUNTBLANK(F1131)=0),IF((COUNTBLANK(U1131)=0),Stats!$E$6,Stats!$E$5),Stats!$E$4),""))</f>
        <v>Death</v>
      </c>
      <c r="C1131" s="41" t="s">
        <v>413</v>
      </c>
      <c r="D1131" s="306" t="str">
        <f>IF(B1131=Stats!$E$6,Stats!$E$11,"")</f>
        <v/>
      </c>
      <c r="E1131" s="89">
        <v>45133</v>
      </c>
      <c r="F1131" s="89"/>
      <c r="G1131" s="316">
        <v>45229</v>
      </c>
      <c r="H1131" s="34" t="s">
        <v>3118</v>
      </c>
      <c r="I1131" s="34"/>
      <c r="J1131" s="34" t="s">
        <v>3186</v>
      </c>
      <c r="K1131" s="36"/>
      <c r="L1131" s="36" t="s">
        <v>181</v>
      </c>
      <c r="M1131" s="36"/>
      <c r="N1131" s="65" t="s">
        <v>68</v>
      </c>
      <c r="O1131" s="34" t="s">
        <v>4876</v>
      </c>
      <c r="P1131" s="68" t="s">
        <v>989</v>
      </c>
      <c r="Q1131" s="68" t="s">
        <v>3438</v>
      </c>
      <c r="R1131" s="34" t="s">
        <v>249</v>
      </c>
      <c r="S1131" s="34"/>
      <c r="T1131" s="34" t="s">
        <v>4877</v>
      </c>
      <c r="U1131" s="34"/>
      <c r="V1131" s="34"/>
      <c r="W1131" s="34"/>
      <c r="X1131" s="34"/>
      <c r="Y1131"/>
    </row>
    <row r="1132" spans="1:25" s="91" customFormat="1" ht="15" hidden="1" customHeight="1" x14ac:dyDescent="0.25">
      <c r="A1132" s="32" t="s">
        <v>1857</v>
      </c>
      <c r="B1132" s="306" t="str">
        <f>IF((COUNTBLANK(G1132)=0),Stats!$E$7,IF((COUNTBLANK(E1132)=0),IF((COUNTBLANK(F1132)=0),IF((COUNTBLANK(U1132)=0),Stats!$E$6,Stats!$E$5),Stats!$E$4),""))</f>
        <v>Death</v>
      </c>
      <c r="C1132" s="41" t="s">
        <v>413</v>
      </c>
      <c r="D1132" s="306" t="str">
        <f>IF(B1132=Stats!$E$6,Stats!$E$11,"")</f>
        <v/>
      </c>
      <c r="E1132" s="89">
        <v>45145</v>
      </c>
      <c r="F1132" s="89">
        <v>45160</v>
      </c>
      <c r="G1132" s="89">
        <v>45178</v>
      </c>
      <c r="H1132" s="34" t="s">
        <v>3139</v>
      </c>
      <c r="I1132" s="34"/>
      <c r="J1132" s="34" t="s">
        <v>3186</v>
      </c>
      <c r="K1132" s="36"/>
      <c r="L1132" s="36" t="s">
        <v>181</v>
      </c>
      <c r="M1132" s="36"/>
      <c r="N1132" s="65" t="s">
        <v>4878</v>
      </c>
      <c r="O1132" s="34" t="s">
        <v>4879</v>
      </c>
      <c r="P1132" s="68" t="s">
        <v>989</v>
      </c>
      <c r="Q1132" s="68" t="s">
        <v>3709</v>
      </c>
      <c r="R1132" s="34" t="s">
        <v>279</v>
      </c>
      <c r="S1132" s="34"/>
      <c r="T1132" s="34" t="s">
        <v>4864</v>
      </c>
      <c r="U1132" s="34"/>
      <c r="V1132" s="34"/>
      <c r="W1132" s="34"/>
      <c r="X1132" s="34"/>
      <c r="Y1132"/>
    </row>
    <row r="1133" spans="1:25" hidden="1" x14ac:dyDescent="0.25">
      <c r="A1133" s="32" t="s">
        <v>1858</v>
      </c>
      <c r="B1133" s="306" t="str">
        <f>IF((COUNTBLANK(G1133)=0),Stats!$E$7,IF((COUNTBLANK(E1133)=0),IF((COUNTBLANK(F1133)=0),IF((COUNTBLANK(U1133)=0),Stats!$E$6,Stats!$E$5),Stats!$E$4),""))</f>
        <v>Death</v>
      </c>
      <c r="C1133" s="41" t="s">
        <v>413</v>
      </c>
      <c r="D1133" s="306" t="str">
        <f>IF(B1133=Stats!$E$6,Stats!$E$11,"")</f>
        <v/>
      </c>
      <c r="E1133" s="89">
        <v>45145</v>
      </c>
      <c r="F1133" s="89">
        <v>45160</v>
      </c>
      <c r="G1133" s="342">
        <v>45639</v>
      </c>
      <c r="H1133" s="34" t="s">
        <v>3139</v>
      </c>
      <c r="J1133" s="34" t="s">
        <v>3186</v>
      </c>
      <c r="L1133" s="36" t="s">
        <v>181</v>
      </c>
      <c r="N1133" s="65" t="s">
        <v>4878</v>
      </c>
      <c r="O1133" s="34" t="s">
        <v>4879</v>
      </c>
      <c r="P1133" s="68" t="s">
        <v>989</v>
      </c>
      <c r="Q1133" s="68" t="s">
        <v>3709</v>
      </c>
      <c r="R1133" t="s">
        <v>249</v>
      </c>
      <c r="S1133"/>
      <c r="T1133" s="34" t="s">
        <v>4864</v>
      </c>
    </row>
    <row r="1134" spans="1:25" hidden="1" x14ac:dyDescent="0.25">
      <c r="A1134" s="32" t="s">
        <v>1859</v>
      </c>
      <c r="B1134" s="306" t="str">
        <f>IF((COUNTBLANK(G1134)=0),Stats!$E$7,IF((COUNTBLANK(E1134)=0),IF((COUNTBLANK(F1134)=0),IF((COUNTBLANK(U1134)=0),Stats!$E$6,Stats!$E$5),Stats!$E$4),""))</f>
        <v>Death</v>
      </c>
      <c r="C1134" s="41" t="s">
        <v>413</v>
      </c>
      <c r="D1134" s="306" t="str">
        <f>IF(B1134=Stats!$E$6,Stats!$E$11,"")</f>
        <v/>
      </c>
      <c r="E1134" s="89">
        <v>45145</v>
      </c>
      <c r="F1134" s="89">
        <v>45168</v>
      </c>
      <c r="G1134" s="342">
        <v>45639</v>
      </c>
      <c r="H1134" s="34" t="s">
        <v>3139</v>
      </c>
      <c r="J1134" s="34" t="s">
        <v>3186</v>
      </c>
      <c r="L1134" s="36" t="s">
        <v>181</v>
      </c>
      <c r="N1134" s="65" t="s">
        <v>4880</v>
      </c>
      <c r="O1134" s="34" t="s">
        <v>4881</v>
      </c>
      <c r="P1134" s="68" t="s">
        <v>4882</v>
      </c>
      <c r="Q1134" s="68" t="s">
        <v>3709</v>
      </c>
      <c r="R1134" t="s">
        <v>243</v>
      </c>
      <c r="S1134"/>
      <c r="T1134" s="34" t="s">
        <v>4864</v>
      </c>
    </row>
    <row r="1135" spans="1:25" hidden="1" x14ac:dyDescent="0.25">
      <c r="A1135" s="32" t="s">
        <v>1860</v>
      </c>
      <c r="B1135" s="306" t="str">
        <f>IF((COUNTBLANK(G1135)=0),Stats!$E$7,IF((COUNTBLANK(E1135)=0),IF((COUNTBLANK(F1135)=0),IF((COUNTBLANK(U1135)=0),Stats!$E$6,Stats!$E$5),Stats!$E$4),""))</f>
        <v>Death</v>
      </c>
      <c r="C1135" s="41" t="s">
        <v>413</v>
      </c>
      <c r="D1135" s="306" t="str">
        <f>IF(B1135=Stats!$E$6,Stats!$E$11,"")</f>
        <v/>
      </c>
      <c r="E1135" s="89">
        <v>45145</v>
      </c>
      <c r="F1135" s="89">
        <v>45168</v>
      </c>
      <c r="G1135" s="342">
        <v>45639</v>
      </c>
      <c r="H1135" s="34" t="s">
        <v>3139</v>
      </c>
      <c r="J1135" s="34" t="s">
        <v>3186</v>
      </c>
      <c r="L1135" s="36" t="s">
        <v>181</v>
      </c>
      <c r="N1135" s="65" t="s">
        <v>4880</v>
      </c>
      <c r="O1135" s="34" t="s">
        <v>4881</v>
      </c>
      <c r="P1135" s="68" t="s">
        <v>4882</v>
      </c>
      <c r="Q1135" s="68" t="s">
        <v>3709</v>
      </c>
      <c r="R1135" s="34" t="s">
        <v>279</v>
      </c>
      <c r="T1135" s="34" t="s">
        <v>4864</v>
      </c>
    </row>
    <row r="1136" spans="1:25" s="91" customFormat="1" hidden="1" x14ac:dyDescent="0.25">
      <c r="A1136" s="32" t="s">
        <v>1861</v>
      </c>
      <c r="B1136" s="306" t="str">
        <f>IF((COUNTBLANK(G1136)=0),Stats!$E$7,IF((COUNTBLANK(E1136)=0),IF((COUNTBLANK(F1136)=0),IF((COUNTBLANK(U1136)=0),Stats!$E$6,Stats!$E$5),Stats!$E$4),""))</f>
        <v>Death</v>
      </c>
      <c r="C1136" s="41" t="s">
        <v>284</v>
      </c>
      <c r="D1136" s="306" t="str">
        <f>IF(B1136=Stats!$E$6,Stats!$E$11,"")</f>
        <v/>
      </c>
      <c r="E1136" s="89">
        <v>45146</v>
      </c>
      <c r="F1136" s="89">
        <v>45160</v>
      </c>
      <c r="G1136" s="316">
        <v>45229</v>
      </c>
      <c r="H1136" s="34" t="s">
        <v>3139</v>
      </c>
      <c r="I1136" s="34"/>
      <c r="J1136" s="34" t="s">
        <v>4883</v>
      </c>
      <c r="K1136" s="36" t="s">
        <v>493</v>
      </c>
      <c r="L1136" s="36"/>
      <c r="M1136" s="36"/>
      <c r="N1136" s="65" t="s">
        <v>988</v>
      </c>
      <c r="O1136" s="34" t="s">
        <v>4879</v>
      </c>
      <c r="P1136" s="68" t="s">
        <v>989</v>
      </c>
      <c r="Q1136" s="68" t="s">
        <v>3709</v>
      </c>
      <c r="R1136" s="34" t="s">
        <v>279</v>
      </c>
      <c r="S1136" s="158"/>
      <c r="T1136" s="34"/>
      <c r="U1136" s="34"/>
      <c r="V1136" s="34"/>
      <c r="W1136" s="34"/>
      <c r="X1136" s="34"/>
      <c r="Y1136"/>
    </row>
    <row r="1137" spans="1:25" s="91" customFormat="1" hidden="1" x14ac:dyDescent="0.25">
      <c r="A1137" s="32" t="s">
        <v>1862</v>
      </c>
      <c r="B1137" s="306" t="str">
        <f>IF((COUNTBLANK(G1137)=0),Stats!$E$7,IF((COUNTBLANK(E1137)=0),IF((COUNTBLANK(F1137)=0),IF((COUNTBLANK(U1137)=0),Stats!$E$6,Stats!$E$5),Stats!$E$4),""))</f>
        <v>Death</v>
      </c>
      <c r="C1137" s="41" t="s">
        <v>284</v>
      </c>
      <c r="D1137" s="306" t="str">
        <f>IF(B1137=Stats!$E$6,Stats!$E$11,"")</f>
        <v/>
      </c>
      <c r="E1137" s="89">
        <v>45146</v>
      </c>
      <c r="F1137" s="89">
        <v>45160</v>
      </c>
      <c r="G1137" s="316">
        <v>45229</v>
      </c>
      <c r="H1137" s="34" t="s">
        <v>3139</v>
      </c>
      <c r="I1137" s="34"/>
      <c r="J1137" s="34" t="s">
        <v>4883</v>
      </c>
      <c r="K1137" s="36" t="s">
        <v>493</v>
      </c>
      <c r="L1137" s="36"/>
      <c r="M1137" s="36"/>
      <c r="N1137" s="65" t="s">
        <v>988</v>
      </c>
      <c r="O1137" s="34" t="s">
        <v>4879</v>
      </c>
      <c r="P1137" s="68" t="s">
        <v>989</v>
      </c>
      <c r="Q1137" s="68" t="s">
        <v>3709</v>
      </c>
      <c r="R1137" t="s">
        <v>249</v>
      </c>
      <c r="S1137" s="159"/>
      <c r="T1137" s="34"/>
      <c r="U1137" s="34"/>
      <c r="V1137" s="34"/>
      <c r="W1137" s="34"/>
      <c r="X1137" s="34"/>
      <c r="Y1137"/>
    </row>
    <row r="1138" spans="1:25" s="91" customFormat="1" hidden="1" x14ac:dyDescent="0.25">
      <c r="A1138" s="32" t="s">
        <v>1863</v>
      </c>
      <c r="B1138" s="306" t="str">
        <f>IF((COUNTBLANK(G1138)=0),Stats!$E$7,IF((COUNTBLANK(E1138)=0),IF((COUNTBLANK(F1138)=0),IF((COUNTBLANK(U1138)=0),Stats!$E$6,Stats!$E$5),Stats!$E$4),""))</f>
        <v>Death</v>
      </c>
      <c r="C1138" s="41" t="s">
        <v>284</v>
      </c>
      <c r="D1138" s="306" t="str">
        <f>IF(B1138=Stats!$E$6,Stats!$E$11,"")</f>
        <v/>
      </c>
      <c r="E1138" s="89">
        <v>45146</v>
      </c>
      <c r="F1138" s="89">
        <v>45159</v>
      </c>
      <c r="G1138" s="316">
        <v>45229</v>
      </c>
      <c r="H1138" s="34" t="s">
        <v>3139</v>
      </c>
      <c r="I1138" s="34"/>
      <c r="J1138" s="34" t="s">
        <v>4883</v>
      </c>
      <c r="K1138" s="36" t="s">
        <v>493</v>
      </c>
      <c r="L1138" s="36"/>
      <c r="M1138" s="36"/>
      <c r="N1138" s="65" t="s">
        <v>988</v>
      </c>
      <c r="O1138" s="34" t="s">
        <v>4879</v>
      </c>
      <c r="P1138" s="68" t="s">
        <v>989</v>
      </c>
      <c r="Q1138" s="68" t="s">
        <v>3709</v>
      </c>
      <c r="R1138" t="s">
        <v>243</v>
      </c>
      <c r="S1138" s="159"/>
      <c r="T1138" s="34"/>
      <c r="U1138" s="34"/>
      <c r="V1138" s="34"/>
      <c r="W1138" s="34"/>
      <c r="X1138" s="34"/>
      <c r="Y1138"/>
    </row>
    <row r="1139" spans="1:25" s="91" customFormat="1" hidden="1" x14ac:dyDescent="0.25">
      <c r="A1139" s="32" t="s">
        <v>1864</v>
      </c>
      <c r="B1139" s="306" t="str">
        <f>IF((COUNTBLANK(G1139)=0),Stats!$E$7,IF((COUNTBLANK(E1139)=0),IF((COUNTBLANK(F1139)=0),IF((COUNTBLANK(U1139)=0),Stats!$E$6,Stats!$E$5),Stats!$E$4),""))</f>
        <v>Death</v>
      </c>
      <c r="C1139" s="41" t="s">
        <v>284</v>
      </c>
      <c r="D1139" s="306" t="str">
        <f>IF(B1139=Stats!$E$6,Stats!$E$11,"")</f>
        <v/>
      </c>
      <c r="E1139" s="89">
        <v>45146</v>
      </c>
      <c r="F1139" s="89">
        <v>45159</v>
      </c>
      <c r="G1139" s="316">
        <v>45229</v>
      </c>
      <c r="H1139" s="34" t="s">
        <v>3139</v>
      </c>
      <c r="I1139" s="34"/>
      <c r="J1139" s="34" t="s">
        <v>4883</v>
      </c>
      <c r="K1139" s="36" t="s">
        <v>493</v>
      </c>
      <c r="L1139" s="36"/>
      <c r="M1139" s="36"/>
      <c r="N1139" s="65" t="s">
        <v>988</v>
      </c>
      <c r="O1139" s="34" t="s">
        <v>4879</v>
      </c>
      <c r="P1139" s="68" t="s">
        <v>989</v>
      </c>
      <c r="Q1139" s="68" t="s">
        <v>3709</v>
      </c>
      <c r="R1139" s="34" t="s">
        <v>291</v>
      </c>
      <c r="S1139" s="158"/>
      <c r="T1139" s="34"/>
      <c r="U1139" s="34"/>
      <c r="V1139" s="34"/>
      <c r="W1139" s="34"/>
      <c r="X1139" s="34"/>
      <c r="Y1139"/>
    </row>
    <row r="1140" spans="1:25" s="91" customFormat="1" hidden="1" x14ac:dyDescent="0.25">
      <c r="A1140" s="32" t="s">
        <v>1865</v>
      </c>
      <c r="B1140" s="306" t="str">
        <f>IF((COUNTBLANK(G1140)=0),Stats!$E$7,IF((COUNTBLANK(E1140)=0),IF((COUNTBLANK(F1140)=0),IF((COUNTBLANK(U1140)=0),Stats!$E$6,Stats!$E$5),Stats!$E$4),""))</f>
        <v>Death</v>
      </c>
      <c r="C1140" s="41" t="s">
        <v>413</v>
      </c>
      <c r="D1140" s="306" t="str">
        <f>IF(B1140=Stats!$E$6,Stats!$E$11,"")</f>
        <v/>
      </c>
      <c r="E1140" s="89">
        <v>45194</v>
      </c>
      <c r="F1140" s="89"/>
      <c r="G1140" s="316">
        <v>45229</v>
      </c>
      <c r="H1140" s="34" t="s">
        <v>3156</v>
      </c>
      <c r="I1140" s="34"/>
      <c r="J1140" s="34" t="s">
        <v>3186</v>
      </c>
      <c r="K1140" s="36"/>
      <c r="L1140" s="36" t="s">
        <v>181</v>
      </c>
      <c r="M1140" s="36"/>
      <c r="N1140" s="65" t="s">
        <v>4821</v>
      </c>
      <c r="O1140" s="34" t="s">
        <v>4884</v>
      </c>
      <c r="P1140" s="68" t="s">
        <v>4885</v>
      </c>
      <c r="Q1140" s="68" t="s">
        <v>3709</v>
      </c>
      <c r="R1140" s="34" t="s">
        <v>279</v>
      </c>
      <c r="S1140" s="34"/>
      <c r="T1140" s="34" t="s">
        <v>4886</v>
      </c>
      <c r="U1140" s="34"/>
      <c r="V1140" s="34"/>
      <c r="W1140" s="34"/>
      <c r="X1140" s="34"/>
      <c r="Y1140"/>
    </row>
    <row r="1141" spans="1:25" hidden="1" x14ac:dyDescent="0.25">
      <c r="A1141" s="32" t="s">
        <v>1866</v>
      </c>
      <c r="B1141" s="306" t="str">
        <f>IF((COUNTBLANK(G1141)=0),Stats!$E$7,IF((COUNTBLANK(E1141)=0),IF((COUNTBLANK(F1141)=0),IF((COUNTBLANK(U1141)=0),Stats!$E$6,Stats!$E$5),Stats!$E$4),""))</f>
        <v>Death</v>
      </c>
      <c r="C1141" s="41" t="s">
        <v>413</v>
      </c>
      <c r="D1141" s="306" t="str">
        <f>IF(B1141=Stats!$E$6,Stats!$E$11,"")</f>
        <v/>
      </c>
      <c r="E1141" s="89">
        <v>45194</v>
      </c>
      <c r="G1141" s="342">
        <v>45639</v>
      </c>
      <c r="H1141" s="34" t="s">
        <v>3156</v>
      </c>
      <c r="J1141" s="34" t="s">
        <v>3186</v>
      </c>
      <c r="L1141" s="36" t="s">
        <v>181</v>
      </c>
      <c r="N1141" s="65" t="s">
        <v>4821</v>
      </c>
      <c r="O1141" s="34" t="s">
        <v>4884</v>
      </c>
      <c r="P1141" s="68" t="s">
        <v>4885</v>
      </c>
      <c r="Q1141" s="68" t="s">
        <v>3709</v>
      </c>
      <c r="R1141" s="34" t="s">
        <v>249</v>
      </c>
      <c r="T1141" s="34" t="s">
        <v>4886</v>
      </c>
    </row>
    <row r="1142" spans="1:25" hidden="1" x14ac:dyDescent="0.25">
      <c r="A1142" s="32" t="s">
        <v>1867</v>
      </c>
      <c r="B1142" s="306" t="str">
        <f>IF((COUNTBLANK(G1142)=0),Stats!$E$7,IF((COUNTBLANK(E1142)=0),IF((COUNTBLANK(F1142)=0),IF((COUNTBLANK(U1142)=0),Stats!$E$6,Stats!$E$5),Stats!$E$4),""))</f>
        <v>Death</v>
      </c>
      <c r="C1142" s="41" t="s">
        <v>413</v>
      </c>
      <c r="D1142" s="306" t="str">
        <f>IF(B1142=Stats!$E$6,Stats!$E$11,"")</f>
        <v/>
      </c>
      <c r="E1142" s="89">
        <v>45195</v>
      </c>
      <c r="G1142" s="342">
        <v>45639</v>
      </c>
      <c r="H1142" s="34" t="s">
        <v>3156</v>
      </c>
      <c r="J1142" s="34" t="s">
        <v>3186</v>
      </c>
      <c r="L1142" s="36" t="s">
        <v>181</v>
      </c>
      <c r="N1142" s="65" t="s">
        <v>4887</v>
      </c>
      <c r="O1142" s="34" t="s">
        <v>4884</v>
      </c>
      <c r="P1142" s="68" t="s">
        <v>4885</v>
      </c>
      <c r="Q1142" s="68" t="s">
        <v>3709</v>
      </c>
      <c r="R1142" s="34" t="s">
        <v>279</v>
      </c>
      <c r="T1142" s="34" t="s">
        <v>4886</v>
      </c>
    </row>
    <row r="1143" spans="1:25" hidden="1" x14ac:dyDescent="0.25">
      <c r="A1143" s="32" t="s">
        <v>1868</v>
      </c>
      <c r="B1143" s="306" t="str">
        <f>IF((COUNTBLANK(G1143)=0),Stats!$E$7,IF((COUNTBLANK(E1143)=0),IF((COUNTBLANK(F1143)=0),IF((COUNTBLANK(U1143)=0),Stats!$E$6,Stats!$E$5),Stats!$E$4),""))</f>
        <v>Death</v>
      </c>
      <c r="C1143" s="41" t="s">
        <v>413</v>
      </c>
      <c r="D1143" s="306" t="str">
        <f>IF(B1143=Stats!$E$6,Stats!$E$11,"")</f>
        <v/>
      </c>
      <c r="E1143" s="89">
        <v>45195</v>
      </c>
      <c r="G1143" s="342">
        <v>45639</v>
      </c>
      <c r="H1143" s="34" t="s">
        <v>3156</v>
      </c>
      <c r="J1143" s="34" t="s">
        <v>3186</v>
      </c>
      <c r="L1143" s="36" t="s">
        <v>181</v>
      </c>
      <c r="N1143" s="65" t="s">
        <v>4821</v>
      </c>
      <c r="O1143" s="34" t="s">
        <v>4884</v>
      </c>
      <c r="P1143" s="68" t="s">
        <v>4885</v>
      </c>
      <c r="Q1143" s="68" t="s">
        <v>3709</v>
      </c>
      <c r="R1143" s="34" t="s">
        <v>279</v>
      </c>
      <c r="T1143" s="34" t="s">
        <v>4886</v>
      </c>
    </row>
    <row r="1144" spans="1:25" hidden="1" x14ac:dyDescent="0.25">
      <c r="A1144" s="32" t="s">
        <v>1869</v>
      </c>
      <c r="B1144" s="306" t="str">
        <f>IF((COUNTBLANK(G1144)=0),Stats!$E$7,IF((COUNTBLANK(E1144)=0),IF((COUNTBLANK(F1144)=0),IF((COUNTBLANK(U1144)=0),Stats!$E$6,Stats!$E$5),Stats!$E$4),""))</f>
        <v>Death</v>
      </c>
      <c r="C1144" s="41" t="s">
        <v>413</v>
      </c>
      <c r="D1144" s="306" t="str">
        <f>IF(B1144=Stats!$E$6,Stats!$E$11,"")</f>
        <v/>
      </c>
      <c r="E1144" s="89">
        <v>45195</v>
      </c>
      <c r="G1144" s="342">
        <v>45639</v>
      </c>
      <c r="H1144" s="34" t="s">
        <v>3156</v>
      </c>
      <c r="J1144" s="34" t="s">
        <v>3186</v>
      </c>
      <c r="L1144" s="36" t="s">
        <v>181</v>
      </c>
      <c r="N1144" s="65" t="s">
        <v>4821</v>
      </c>
      <c r="O1144" s="34" t="s">
        <v>4884</v>
      </c>
      <c r="P1144" s="68" t="s">
        <v>4885</v>
      </c>
      <c r="Q1144" s="68" t="s">
        <v>3709</v>
      </c>
      <c r="R1144" s="34" t="s">
        <v>249</v>
      </c>
      <c r="T1144" s="34" t="s">
        <v>4886</v>
      </c>
    </row>
    <row r="1145" spans="1:25" hidden="1" x14ac:dyDescent="0.25">
      <c r="A1145" s="147" t="s">
        <v>1870</v>
      </c>
      <c r="B1145" s="377" t="str">
        <f>IF((COUNTBLANK(G1145)=0),Stats!$E$7,IF((COUNTBLANK(E1145)=0),IF((COUNTBLANK(F1145)=0),IF((COUNTBLANK(U1145)=0),Stats!$E$6,Stats!$E$5),Stats!$E$4),""))</f>
        <v>Death</v>
      </c>
      <c r="C1145" s="148" t="s">
        <v>284</v>
      </c>
      <c r="D1145" s="377" t="s">
        <v>325</v>
      </c>
      <c r="E1145" s="149">
        <v>45204</v>
      </c>
      <c r="F1145" s="149">
        <v>45217</v>
      </c>
      <c r="G1145" s="149">
        <v>45531</v>
      </c>
      <c r="H1145" s="150" t="s">
        <v>3073</v>
      </c>
      <c r="I1145" s="150"/>
      <c r="J1145" s="150" t="s">
        <v>4883</v>
      </c>
      <c r="K1145" s="151" t="s">
        <v>493</v>
      </c>
      <c r="L1145" s="151"/>
      <c r="M1145" s="151"/>
      <c r="N1145" s="152" t="s">
        <v>105</v>
      </c>
      <c r="O1145" s="150" t="s">
        <v>4884</v>
      </c>
      <c r="P1145" s="153">
        <v>-450</v>
      </c>
      <c r="Q1145" s="153">
        <v>500</v>
      </c>
      <c r="R1145" s="150" t="s">
        <v>249</v>
      </c>
      <c r="S1145" s="166" t="s">
        <v>4855</v>
      </c>
      <c r="T1145" s="150"/>
      <c r="U1145" s="150" t="s">
        <v>4888</v>
      </c>
      <c r="V1145" s="150"/>
      <c r="W1145" s="150"/>
      <c r="X1145" s="150"/>
      <c r="Y1145" s="154"/>
    </row>
    <row r="1146" spans="1:25" hidden="1" x14ac:dyDescent="0.25">
      <c r="A1146" s="147" t="s">
        <v>1871</v>
      </c>
      <c r="B1146" s="377" t="str">
        <f>IF((COUNTBLANK(G1146)=0),Stats!$E$7,IF((COUNTBLANK(E1146)=0),IF((COUNTBLANK(F1146)=0),IF((COUNTBLANK(U1146)=0),Stats!$E$6,Stats!$E$5),Stats!$E$4),""))</f>
        <v>Death</v>
      </c>
      <c r="C1146" s="148" t="s">
        <v>284</v>
      </c>
      <c r="D1146" s="377" t="s">
        <v>325</v>
      </c>
      <c r="E1146" s="149">
        <v>45204</v>
      </c>
      <c r="F1146" s="149">
        <v>45217</v>
      </c>
      <c r="G1146" s="149">
        <v>45531</v>
      </c>
      <c r="H1146" s="150" t="s">
        <v>3073</v>
      </c>
      <c r="I1146" s="150"/>
      <c r="J1146" s="150" t="s">
        <v>4883</v>
      </c>
      <c r="K1146" s="151" t="s">
        <v>493</v>
      </c>
      <c r="L1146" s="151"/>
      <c r="M1146" s="151"/>
      <c r="N1146" s="152" t="s">
        <v>105</v>
      </c>
      <c r="O1146" s="150" t="s">
        <v>4884</v>
      </c>
      <c r="P1146" s="153">
        <v>-450</v>
      </c>
      <c r="Q1146" s="153">
        <v>500</v>
      </c>
      <c r="R1146" s="150" t="s">
        <v>243</v>
      </c>
      <c r="S1146" s="166" t="s">
        <v>4855</v>
      </c>
      <c r="T1146" s="150"/>
      <c r="U1146" s="150" t="s">
        <v>4888</v>
      </c>
      <c r="V1146" s="150"/>
      <c r="W1146" s="150"/>
      <c r="X1146" s="150"/>
      <c r="Y1146" s="154"/>
    </row>
    <row r="1147" spans="1:25" hidden="1" x14ac:dyDescent="0.25">
      <c r="A1147" s="147" t="s">
        <v>1872</v>
      </c>
      <c r="B1147" s="377" t="str">
        <f>IF((COUNTBLANK(G1147)=0),Stats!$E$7,IF((COUNTBLANK(E1147)=0),IF((COUNTBLANK(F1147)=0),IF((COUNTBLANK(U1147)=0),Stats!$E$6,Stats!$E$5),Stats!$E$4),""))</f>
        <v>Death</v>
      </c>
      <c r="C1147" s="148" t="s">
        <v>284</v>
      </c>
      <c r="D1147" s="377" t="s">
        <v>325</v>
      </c>
      <c r="E1147" s="149">
        <v>45204</v>
      </c>
      <c r="F1147" s="149">
        <v>45216</v>
      </c>
      <c r="G1147" s="149">
        <v>45455</v>
      </c>
      <c r="H1147" s="150" t="s">
        <v>3073</v>
      </c>
      <c r="I1147" s="150"/>
      <c r="J1147" s="150" t="s">
        <v>4883</v>
      </c>
      <c r="K1147" s="151" t="s">
        <v>493</v>
      </c>
      <c r="L1147" s="151"/>
      <c r="M1147" s="151"/>
      <c r="N1147" s="152" t="s">
        <v>105</v>
      </c>
      <c r="O1147" s="150" t="s">
        <v>4884</v>
      </c>
      <c r="P1147" s="153">
        <v>-450</v>
      </c>
      <c r="Q1147" s="153">
        <v>500</v>
      </c>
      <c r="R1147" s="150" t="s">
        <v>291</v>
      </c>
      <c r="S1147" s="166" t="s">
        <v>4855</v>
      </c>
      <c r="T1147" s="150"/>
      <c r="U1147" s="150" t="s">
        <v>4888</v>
      </c>
      <c r="V1147" s="150"/>
      <c r="W1147" s="150"/>
      <c r="X1147" s="150"/>
      <c r="Y1147" s="154"/>
    </row>
    <row r="1148" spans="1:25" hidden="1" x14ac:dyDescent="0.25">
      <c r="A1148" s="147" t="s">
        <v>1873</v>
      </c>
      <c r="B1148" s="377" t="str">
        <f>IF((COUNTBLANK(G1148)=0),Stats!$E$7,IF((COUNTBLANK(E1148)=0),IF((COUNTBLANK(F1148)=0),IF((COUNTBLANK(U1148)=0),Stats!$E$6,Stats!$E$5),Stats!$E$4),""))</f>
        <v>Death</v>
      </c>
      <c r="C1148" s="148" t="s">
        <v>284</v>
      </c>
      <c r="D1148" s="377" t="s">
        <v>325</v>
      </c>
      <c r="E1148" s="149">
        <v>45204</v>
      </c>
      <c r="F1148" s="149">
        <v>45216</v>
      </c>
      <c r="G1148" s="149">
        <v>45498</v>
      </c>
      <c r="H1148" s="150" t="s">
        <v>3073</v>
      </c>
      <c r="I1148" s="150"/>
      <c r="J1148" s="150" t="s">
        <v>4883</v>
      </c>
      <c r="K1148" s="151" t="s">
        <v>493</v>
      </c>
      <c r="L1148" s="151"/>
      <c r="M1148" s="151"/>
      <c r="N1148" s="152" t="s">
        <v>105</v>
      </c>
      <c r="O1148" s="150" t="s">
        <v>4884</v>
      </c>
      <c r="P1148" s="153">
        <v>-450</v>
      </c>
      <c r="Q1148" s="153">
        <v>500</v>
      </c>
      <c r="R1148" s="150" t="s">
        <v>279</v>
      </c>
      <c r="S1148" s="166" t="s">
        <v>4855</v>
      </c>
      <c r="T1148" s="150"/>
      <c r="U1148" s="150" t="s">
        <v>4888</v>
      </c>
      <c r="V1148" s="150"/>
      <c r="W1148" s="150"/>
      <c r="X1148" s="150"/>
      <c r="Y1148" s="154"/>
    </row>
    <row r="1149" spans="1:25" hidden="1" x14ac:dyDescent="0.25">
      <c r="A1149" s="32" t="s">
        <v>1874</v>
      </c>
      <c r="B1149" s="306" t="str">
        <f>IF((COUNTBLANK(G1149)=0),Stats!$E$7,IF((COUNTBLANK(E1149)=0),IF((COUNTBLANK(F1149)=0),IF((COUNTBLANK(U1149)=0),Stats!$E$6,Stats!$E$5),Stats!$E$4),""))</f>
        <v>Death</v>
      </c>
      <c r="C1149" s="41" t="s">
        <v>284</v>
      </c>
      <c r="D1149" s="36" t="s">
        <v>407</v>
      </c>
      <c r="E1149" s="89">
        <v>45209</v>
      </c>
      <c r="F1149" s="89">
        <v>45223</v>
      </c>
      <c r="G1149" s="89">
        <v>45622</v>
      </c>
      <c r="H1149" s="34" t="s">
        <v>4807</v>
      </c>
      <c r="J1149" s="313" t="s">
        <v>4650</v>
      </c>
      <c r="K1149" s="36" t="s">
        <v>4678</v>
      </c>
      <c r="N1149" s="65" t="s">
        <v>196</v>
      </c>
      <c r="O1149" s="34" t="s">
        <v>51</v>
      </c>
      <c r="P1149" s="68">
        <v>-450</v>
      </c>
      <c r="Q1149" s="68">
        <v>500</v>
      </c>
      <c r="R1149" s="34" t="s">
        <v>279</v>
      </c>
      <c r="S1149" s="161" t="s">
        <v>4889</v>
      </c>
      <c r="T1149" s="34" t="s">
        <v>4890</v>
      </c>
      <c r="U1149" s="34" t="s">
        <v>4891</v>
      </c>
    </row>
    <row r="1150" spans="1:25" ht="15" hidden="1" customHeight="1" x14ac:dyDescent="0.25">
      <c r="A1150" s="32" t="s">
        <v>1875</v>
      </c>
      <c r="B1150" s="306" t="str">
        <f>IF((COUNTBLANK(G1150)=0),Stats!$E$7,IF((COUNTBLANK(E1150)=0),IF((COUNTBLANK(F1150)=0),IF((COUNTBLANK(U1150)=0),Stats!$E$6,Stats!$E$5),Stats!$E$4),""))</f>
        <v>Death</v>
      </c>
      <c r="C1150" s="41" t="s">
        <v>284</v>
      </c>
      <c r="D1150" s="36" t="s">
        <v>407</v>
      </c>
      <c r="E1150" s="89">
        <v>45209</v>
      </c>
      <c r="F1150" s="89">
        <v>45224</v>
      </c>
      <c r="G1150" s="342">
        <v>45639</v>
      </c>
      <c r="H1150" s="34" t="s">
        <v>4807</v>
      </c>
      <c r="J1150" s="313" t="s">
        <v>4650</v>
      </c>
      <c r="K1150" s="36" t="s">
        <v>4678</v>
      </c>
      <c r="N1150" s="65" t="s">
        <v>196</v>
      </c>
      <c r="O1150" s="34" t="s">
        <v>51</v>
      </c>
      <c r="P1150" s="68">
        <v>-450</v>
      </c>
      <c r="Q1150" s="68">
        <v>500</v>
      </c>
      <c r="R1150" s="34" t="s">
        <v>291</v>
      </c>
      <c r="S1150" s="162" t="s">
        <v>4889</v>
      </c>
      <c r="T1150" s="34" t="s">
        <v>4890</v>
      </c>
      <c r="U1150" s="34" t="s">
        <v>4891</v>
      </c>
    </row>
    <row r="1151" spans="1:25" ht="15" hidden="1" customHeight="1" x14ac:dyDescent="0.25">
      <c r="A1151" s="32" t="s">
        <v>1876</v>
      </c>
      <c r="B1151" s="306" t="str">
        <f>IF((COUNTBLANK(G1151)=0),Stats!$E$7,IF((COUNTBLANK(E1151)=0),IF((COUNTBLANK(F1151)=0),IF((COUNTBLANK(U1151)=0),Stats!$E$6,Stats!$E$5),Stats!$E$4),""))</f>
        <v>Death</v>
      </c>
      <c r="C1151" s="41" t="s">
        <v>284</v>
      </c>
      <c r="D1151" s="36" t="s">
        <v>407</v>
      </c>
      <c r="E1151" s="89">
        <v>45210</v>
      </c>
      <c r="F1151" s="89">
        <v>45223</v>
      </c>
      <c r="G1151" s="342">
        <v>45639</v>
      </c>
      <c r="H1151" s="34" t="s">
        <v>4807</v>
      </c>
      <c r="J1151" s="313" t="s">
        <v>4650</v>
      </c>
      <c r="K1151" s="36" t="s">
        <v>4678</v>
      </c>
      <c r="N1151" s="65" t="s">
        <v>196</v>
      </c>
      <c r="O1151" s="34" t="s">
        <v>51</v>
      </c>
      <c r="P1151" s="68">
        <v>-450</v>
      </c>
      <c r="Q1151" s="68">
        <v>500</v>
      </c>
      <c r="R1151" s="34" t="s">
        <v>249</v>
      </c>
      <c r="S1151" s="165" t="s">
        <v>4892</v>
      </c>
      <c r="T1151" s="34" t="s">
        <v>4893</v>
      </c>
      <c r="U1151" s="34" t="s">
        <v>4891</v>
      </c>
    </row>
    <row r="1152" spans="1:25" s="91" customFormat="1" ht="15" hidden="1" customHeight="1" x14ac:dyDescent="0.25">
      <c r="A1152" s="32" t="s">
        <v>1877</v>
      </c>
      <c r="B1152" s="306" t="str">
        <f>IF((COUNTBLANK(G1152)=0),Stats!$E$7,IF((COUNTBLANK(E1152)=0),IF((COUNTBLANK(F1152)=0),IF((COUNTBLANK(U1152)=0),Stats!$E$6,Stats!$E$5),Stats!$E$4),""))</f>
        <v>Death</v>
      </c>
      <c r="C1152" s="41" t="s">
        <v>284</v>
      </c>
      <c r="D1152" s="306" t="s">
        <v>325</v>
      </c>
      <c r="E1152" s="89">
        <v>45216</v>
      </c>
      <c r="F1152" s="89">
        <v>45223</v>
      </c>
      <c r="G1152" s="89">
        <v>44945</v>
      </c>
      <c r="H1152" s="34" t="s">
        <v>3110</v>
      </c>
      <c r="I1152" s="34"/>
      <c r="J1152" s="313" t="s">
        <v>4650</v>
      </c>
      <c r="K1152" s="36" t="s">
        <v>4678</v>
      </c>
      <c r="L1152" s="36"/>
      <c r="M1152" s="36"/>
      <c r="N1152" s="65" t="s">
        <v>196</v>
      </c>
      <c r="O1152" s="34" t="s">
        <v>51</v>
      </c>
      <c r="P1152" s="68">
        <v>-450</v>
      </c>
      <c r="Q1152" s="68">
        <v>500</v>
      </c>
      <c r="R1152" t="s">
        <v>243</v>
      </c>
      <c r="S1152" s="164" t="s">
        <v>4894</v>
      </c>
      <c r="T1152" s="34" t="s">
        <v>4895</v>
      </c>
      <c r="U1152" s="34" t="s">
        <v>4896</v>
      </c>
      <c r="V1152" s="34"/>
      <c r="W1152" s="34"/>
      <c r="X1152" s="34"/>
      <c r="Y1152"/>
    </row>
    <row r="1153" spans="1:25" ht="15" hidden="1" customHeight="1" x14ac:dyDescent="0.25">
      <c r="A1153" s="32" t="s">
        <v>1878</v>
      </c>
      <c r="B1153" s="306" t="str">
        <f>IF((COUNTBLANK(G1153)=0),Stats!$E$7,IF((COUNTBLANK(E1153)=0),IF((COUNTBLANK(F1153)=0),IF((COUNTBLANK(U1153)=0),Stats!$E$6,Stats!$E$5),Stats!$E$4),""))</f>
        <v>Death</v>
      </c>
      <c r="C1153" s="41" t="s">
        <v>284</v>
      </c>
      <c r="D1153" s="306" t="s">
        <v>407</v>
      </c>
      <c r="E1153" s="89">
        <v>45226</v>
      </c>
      <c r="F1153" s="89">
        <v>45237</v>
      </c>
      <c r="G1153" s="89">
        <v>45625</v>
      </c>
      <c r="H1153" s="34" t="s">
        <v>3073</v>
      </c>
      <c r="J1153" s="34" t="s">
        <v>4883</v>
      </c>
      <c r="K1153" s="36" t="s">
        <v>493</v>
      </c>
      <c r="N1153" s="65" t="s">
        <v>105</v>
      </c>
      <c r="O1153" s="34" t="s">
        <v>51</v>
      </c>
      <c r="P1153" s="68">
        <v>-450</v>
      </c>
      <c r="Q1153" s="68">
        <v>500</v>
      </c>
      <c r="R1153" s="34" t="s">
        <v>279</v>
      </c>
      <c r="S1153" s="158" t="s">
        <v>4856</v>
      </c>
      <c r="U1153" s="34" t="s">
        <v>4897</v>
      </c>
    </row>
    <row r="1154" spans="1:25" ht="15" hidden="1" customHeight="1" x14ac:dyDescent="0.25">
      <c r="A1154" s="32" t="s">
        <v>1879</v>
      </c>
      <c r="B1154" s="306" t="str">
        <f>IF((COUNTBLANK(G1154)=0),Stats!$E$7,IF((COUNTBLANK(E1154)=0),IF((COUNTBLANK(F1154)=0),IF((COUNTBLANK(U1154)=0),Stats!$E$6,Stats!$E$5),Stats!$E$4),""))</f>
        <v>Death</v>
      </c>
      <c r="C1154" s="41" t="s">
        <v>284</v>
      </c>
      <c r="D1154" s="306" t="s">
        <v>407</v>
      </c>
      <c r="E1154" s="89">
        <v>45226</v>
      </c>
      <c r="F1154" s="89">
        <v>45237</v>
      </c>
      <c r="G1154" s="89">
        <v>45625</v>
      </c>
      <c r="H1154" s="34" t="s">
        <v>3073</v>
      </c>
      <c r="J1154" s="34" t="s">
        <v>4883</v>
      </c>
      <c r="K1154" s="36" t="s">
        <v>493</v>
      </c>
      <c r="N1154" s="65" t="s">
        <v>105</v>
      </c>
      <c r="O1154" s="34" t="s">
        <v>51</v>
      </c>
      <c r="P1154" s="68">
        <v>-450</v>
      </c>
      <c r="Q1154" s="68">
        <v>500</v>
      </c>
      <c r="R1154" s="34" t="s">
        <v>249</v>
      </c>
      <c r="S1154" s="158" t="s">
        <v>4856</v>
      </c>
      <c r="U1154" s="34" t="s">
        <v>4897</v>
      </c>
    </row>
    <row r="1155" spans="1:25" ht="15" hidden="1" customHeight="1" x14ac:dyDescent="0.25">
      <c r="A1155" s="32" t="s">
        <v>1880</v>
      </c>
      <c r="B1155" s="306" t="str">
        <f>IF((COUNTBLANK(G1155)=0),Stats!$E$7,IF((COUNTBLANK(E1155)=0),IF((COUNTBLANK(F1155)=0),IF((COUNTBLANK(U1155)=0),Stats!$E$6,Stats!$E$5),Stats!$E$4),""))</f>
        <v>Death</v>
      </c>
      <c r="C1155" s="41" t="s">
        <v>413</v>
      </c>
      <c r="D1155" s="306" t="str">
        <f>IF(B1155=Stats!$E$6,Stats!$E$11,"")</f>
        <v/>
      </c>
      <c r="E1155" s="89">
        <v>45217</v>
      </c>
      <c r="F1155" s="89">
        <v>45244</v>
      </c>
      <c r="G1155" s="342">
        <v>45639</v>
      </c>
      <c r="H1155" s="34" t="s">
        <v>3156</v>
      </c>
      <c r="J1155" s="34" t="s">
        <v>3186</v>
      </c>
      <c r="L1155" s="36" t="s">
        <v>181</v>
      </c>
      <c r="N1155" s="65" t="s">
        <v>4821</v>
      </c>
      <c r="O1155" s="34" t="s">
        <v>4884</v>
      </c>
      <c r="P1155" s="68" t="s">
        <v>4885</v>
      </c>
      <c r="Q1155" s="68" t="s">
        <v>3709</v>
      </c>
      <c r="T1155" s="34" t="s">
        <v>190</v>
      </c>
      <c r="U1155" s="34" t="s">
        <v>4898</v>
      </c>
    </row>
    <row r="1156" spans="1:25" ht="15" hidden="1" customHeight="1" x14ac:dyDescent="0.25">
      <c r="A1156" s="32" t="s">
        <v>1881</v>
      </c>
      <c r="B1156" s="306" t="str">
        <f>IF((COUNTBLANK(G1156)=0),Stats!$E$7,IF((COUNTBLANK(E1156)=0),IF((COUNTBLANK(F1156)=0),IF((COUNTBLANK(U1156)=0),Stats!$E$6,Stats!$E$5),Stats!$E$4),""))</f>
        <v>Death</v>
      </c>
      <c r="C1156" s="41" t="s">
        <v>413</v>
      </c>
      <c r="D1156" s="306" t="str">
        <f>IF(B1156=Stats!$E$6,Stats!$E$11,"")</f>
        <v/>
      </c>
      <c r="E1156" s="89">
        <v>45217</v>
      </c>
      <c r="F1156" s="89">
        <v>45244</v>
      </c>
      <c r="G1156" s="342">
        <v>45639</v>
      </c>
      <c r="H1156" s="34" t="s">
        <v>3156</v>
      </c>
      <c r="J1156" s="34" t="s">
        <v>3186</v>
      </c>
      <c r="L1156" s="36" t="s">
        <v>181</v>
      </c>
      <c r="N1156" s="65" t="s">
        <v>4821</v>
      </c>
      <c r="O1156" s="34" t="s">
        <v>4884</v>
      </c>
      <c r="P1156" s="68" t="s">
        <v>4885</v>
      </c>
      <c r="Q1156" s="68" t="s">
        <v>3709</v>
      </c>
      <c r="T1156" s="34" t="s">
        <v>190</v>
      </c>
    </row>
    <row r="1157" spans="1:25" ht="15" hidden="1" customHeight="1" x14ac:dyDescent="0.25">
      <c r="A1157" s="32" t="s">
        <v>1882</v>
      </c>
      <c r="B1157" s="306" t="str">
        <f>IF((COUNTBLANK(G1157)=0),Stats!$E$7,IF((COUNTBLANK(E1157)=0),IF((COUNTBLANK(F1157)=0),IF((COUNTBLANK(U1157)=0),Stats!$E$6,Stats!$E$5),Stats!$E$4),""))</f>
        <v>Death</v>
      </c>
      <c r="C1157" s="41" t="s">
        <v>413</v>
      </c>
      <c r="D1157" s="306" t="str">
        <f>IF(B1157=Stats!$E$6,Stats!$E$11,"")</f>
        <v/>
      </c>
      <c r="E1157" s="89">
        <v>45217</v>
      </c>
      <c r="F1157" s="89">
        <v>45244</v>
      </c>
      <c r="G1157" s="342">
        <v>45639</v>
      </c>
      <c r="H1157" s="34" t="s">
        <v>3130</v>
      </c>
      <c r="J1157" s="34" t="s">
        <v>3186</v>
      </c>
      <c r="L1157" s="36" t="s">
        <v>181</v>
      </c>
      <c r="N1157" s="65" t="s">
        <v>4821</v>
      </c>
      <c r="O1157" s="34" t="s">
        <v>4884</v>
      </c>
      <c r="P1157" s="68" t="s">
        <v>4885</v>
      </c>
      <c r="Q1157" s="68" t="s">
        <v>3709</v>
      </c>
      <c r="T1157" s="34" t="s">
        <v>4899</v>
      </c>
    </row>
    <row r="1158" spans="1:25" ht="15" hidden="1" customHeight="1" x14ac:dyDescent="0.25">
      <c r="A1158" s="32" t="s">
        <v>1883</v>
      </c>
      <c r="B1158" s="306" t="str">
        <f>IF((COUNTBLANK(G1158)=0),Stats!$E$7,IF((COUNTBLANK(E1158)=0),IF((COUNTBLANK(F1158)=0),IF((COUNTBLANK(U1158)=0),Stats!$E$6,Stats!$E$5),Stats!$E$4),""))</f>
        <v>Death</v>
      </c>
      <c r="C1158" s="41" t="s">
        <v>413</v>
      </c>
      <c r="D1158" s="306" t="str">
        <f>IF(B1158=Stats!$E$6,Stats!$E$11,"")</f>
        <v/>
      </c>
      <c r="E1158" s="89">
        <v>45217</v>
      </c>
      <c r="F1158" s="89">
        <v>45244</v>
      </c>
      <c r="G1158" s="342">
        <v>45639</v>
      </c>
      <c r="H1158" s="34" t="s">
        <v>3130</v>
      </c>
      <c r="J1158" s="34" t="s">
        <v>3186</v>
      </c>
      <c r="L1158" s="36" t="s">
        <v>181</v>
      </c>
      <c r="N1158" s="65" t="s">
        <v>4821</v>
      </c>
      <c r="O1158" s="34" t="s">
        <v>4884</v>
      </c>
      <c r="P1158" s="68" t="s">
        <v>4885</v>
      </c>
      <c r="Q1158" s="68" t="s">
        <v>3709</v>
      </c>
      <c r="T1158" s="34" t="s">
        <v>4899</v>
      </c>
    </row>
    <row r="1159" spans="1:25" ht="15" hidden="1" customHeight="1" x14ac:dyDescent="0.25">
      <c r="A1159" s="32" t="s">
        <v>1884</v>
      </c>
      <c r="B1159" s="306" t="str">
        <f>IF((COUNTBLANK(G1159)=0),Stats!$E$7,IF((COUNTBLANK(E1159)=0),IF((COUNTBLANK(F1159)=0),IF((COUNTBLANK(U1159)=0),Stats!$E$6,Stats!$E$5),Stats!$E$4),""))</f>
        <v>Death</v>
      </c>
      <c r="C1159" s="41" t="s">
        <v>284</v>
      </c>
      <c r="D1159" s="306" t="s">
        <v>407</v>
      </c>
      <c r="E1159" s="89">
        <v>45236</v>
      </c>
      <c r="F1159" s="89">
        <v>45243</v>
      </c>
      <c r="G1159" s="89">
        <v>45628</v>
      </c>
      <c r="H1159" s="34" t="s">
        <v>3073</v>
      </c>
      <c r="J1159" s="34" t="s">
        <v>152</v>
      </c>
      <c r="K1159" s="36" t="s">
        <v>493</v>
      </c>
      <c r="N1159" s="65" t="s">
        <v>988</v>
      </c>
      <c r="O1159" s="34" t="s">
        <v>4884</v>
      </c>
      <c r="P1159" s="68">
        <v>-450</v>
      </c>
      <c r="Q1159" s="68">
        <v>500</v>
      </c>
      <c r="R1159" s="34" t="s">
        <v>279</v>
      </c>
      <c r="S1159" s="158" t="s">
        <v>4900</v>
      </c>
      <c r="U1159" s="34" t="s">
        <v>4901</v>
      </c>
    </row>
    <row r="1160" spans="1:25" ht="15" hidden="1" customHeight="1" x14ac:dyDescent="0.25">
      <c r="A1160" s="32" t="s">
        <v>1885</v>
      </c>
      <c r="B1160" s="306" t="str">
        <f>IF((COUNTBLANK(G1160)=0),Stats!$E$7,IF((COUNTBLANK(E1160)=0),IF((COUNTBLANK(F1160)=0),IF((COUNTBLANK(U1160)=0),Stats!$E$6,Stats!$E$5),Stats!$E$4),""))</f>
        <v>Death</v>
      </c>
      <c r="C1160" s="41" t="s">
        <v>284</v>
      </c>
      <c r="D1160" s="306" t="s">
        <v>325</v>
      </c>
      <c r="E1160" s="89">
        <v>45236</v>
      </c>
      <c r="F1160" s="89">
        <v>45243</v>
      </c>
      <c r="G1160" s="89">
        <v>45625</v>
      </c>
      <c r="H1160" s="34" t="s">
        <v>3073</v>
      </c>
      <c r="J1160" s="34" t="s">
        <v>152</v>
      </c>
      <c r="K1160" s="36" t="s">
        <v>493</v>
      </c>
      <c r="N1160" s="65" t="s">
        <v>988</v>
      </c>
      <c r="O1160" s="34" t="s">
        <v>4884</v>
      </c>
      <c r="P1160" s="68">
        <v>-450</v>
      </c>
      <c r="Q1160" s="68">
        <v>500</v>
      </c>
      <c r="R1160" s="34" t="s">
        <v>249</v>
      </c>
      <c r="S1160" s="158" t="s">
        <v>4902</v>
      </c>
      <c r="U1160" s="34" t="s">
        <v>4901</v>
      </c>
    </row>
    <row r="1161" spans="1:25" s="91" customFormat="1" ht="15" hidden="1" customHeight="1" x14ac:dyDescent="0.25">
      <c r="A1161" s="32" t="s">
        <v>1886</v>
      </c>
      <c r="B1161" s="306" t="str">
        <f>IF((COUNTBLANK(G1161)=0),Stats!$E$7,IF((COUNTBLANK(E1161)=0),IF((COUNTBLANK(F1161)=0),IF((COUNTBLANK(U1161)=0),Stats!$E$6,Stats!$E$5),Stats!$E$4),""))</f>
        <v>Death</v>
      </c>
      <c r="C1161" s="41" t="s">
        <v>284</v>
      </c>
      <c r="D1161" s="306" t="s">
        <v>325</v>
      </c>
      <c r="E1161" s="89">
        <v>45243</v>
      </c>
      <c r="F1161" s="89">
        <v>45275</v>
      </c>
      <c r="G1161" s="89">
        <v>44945</v>
      </c>
      <c r="H1161" s="34" t="s">
        <v>4807</v>
      </c>
      <c r="I1161" s="34"/>
      <c r="J1161" s="34" t="s">
        <v>4650</v>
      </c>
      <c r="K1161" s="36" t="s">
        <v>4678</v>
      </c>
      <c r="L1161" s="36"/>
      <c r="M1161" s="36"/>
      <c r="N1161" s="65" t="s">
        <v>196</v>
      </c>
      <c r="O1161" s="34" t="s">
        <v>4884</v>
      </c>
      <c r="P1161" s="68">
        <v>-450</v>
      </c>
      <c r="Q1161" s="68">
        <v>500</v>
      </c>
      <c r="R1161" s="34" t="s">
        <v>249</v>
      </c>
      <c r="S1161" s="163" t="s">
        <v>4903</v>
      </c>
      <c r="T1161" s="34" t="s">
        <v>4895</v>
      </c>
      <c r="U1161" s="34" t="s">
        <v>4904</v>
      </c>
      <c r="V1161" s="34"/>
      <c r="W1161" s="34"/>
      <c r="X1161" s="34"/>
      <c r="Y1161"/>
    </row>
    <row r="1162" spans="1:25" ht="15" hidden="1" customHeight="1" x14ac:dyDescent="0.25">
      <c r="A1162" s="32" t="s">
        <v>1887</v>
      </c>
      <c r="B1162" s="306" t="str">
        <f>IF((COUNTBLANK(G1162)=0),Stats!$E$7,IF((COUNTBLANK(E1162)=0),IF((COUNTBLANK(F1162)=0),IF((COUNTBLANK(U1162)=0),Stats!$E$6,Stats!$E$5),Stats!$E$4),""))</f>
        <v>Death</v>
      </c>
      <c r="C1162" s="41" t="s">
        <v>284</v>
      </c>
      <c r="D1162" s="306" t="s">
        <v>325</v>
      </c>
      <c r="E1162" s="89">
        <v>45243</v>
      </c>
      <c r="F1162" s="89">
        <v>45275</v>
      </c>
      <c r="G1162" s="89">
        <v>45622</v>
      </c>
      <c r="H1162" s="34" t="s">
        <v>4807</v>
      </c>
      <c r="J1162" s="34" t="s">
        <v>4650</v>
      </c>
      <c r="K1162" s="36" t="s">
        <v>4678</v>
      </c>
      <c r="N1162" s="65" t="s">
        <v>196</v>
      </c>
      <c r="O1162" s="34" t="s">
        <v>4884</v>
      </c>
      <c r="P1162" s="68">
        <v>-450</v>
      </c>
      <c r="Q1162" s="68">
        <v>500</v>
      </c>
      <c r="R1162" t="s">
        <v>243</v>
      </c>
      <c r="S1162" s="162" t="s">
        <v>4889</v>
      </c>
      <c r="T1162" s="34" t="s">
        <v>4890</v>
      </c>
      <c r="U1162" s="34" t="s">
        <v>4905</v>
      </c>
    </row>
    <row r="1163" spans="1:25" s="91" customFormat="1" ht="15" hidden="1" customHeight="1" x14ac:dyDescent="0.25">
      <c r="A1163" s="32" t="s">
        <v>1888</v>
      </c>
      <c r="B1163" s="306" t="str">
        <f>IF((COUNTBLANK(G1163)=0),Stats!$E$7,IF((COUNTBLANK(E1163)=0),IF((COUNTBLANK(F1163)=0),IF((COUNTBLANK(U1163)=0),Stats!$E$6,Stats!$E$5),Stats!$E$4),""))</f>
        <v>Death</v>
      </c>
      <c r="C1163" s="41" t="s">
        <v>413</v>
      </c>
      <c r="D1163" s="306" t="str">
        <f>IF(B1163=Stats!$E$6,Stats!$E$11,"")</f>
        <v/>
      </c>
      <c r="E1163" s="89">
        <v>45244</v>
      </c>
      <c r="F1163" s="89">
        <v>45264</v>
      </c>
      <c r="G1163" s="89">
        <v>45296</v>
      </c>
      <c r="H1163" s="34" t="s">
        <v>3130</v>
      </c>
      <c r="I1163" s="34"/>
      <c r="J1163" s="34" t="s">
        <v>3186</v>
      </c>
      <c r="K1163" s="36"/>
      <c r="L1163" s="36" t="s">
        <v>181</v>
      </c>
      <c r="M1163" s="36"/>
      <c r="N1163" s="65" t="s">
        <v>4821</v>
      </c>
      <c r="O1163" s="34" t="s">
        <v>4884</v>
      </c>
      <c r="P1163" s="68" t="s">
        <v>4906</v>
      </c>
      <c r="Q1163" s="68" t="s">
        <v>3709</v>
      </c>
      <c r="R1163" s="34" t="s">
        <v>4907</v>
      </c>
      <c r="S1163" s="34"/>
      <c r="T1163" s="34"/>
      <c r="U1163" s="34"/>
      <c r="V1163" s="34"/>
      <c r="W1163" s="34"/>
      <c r="X1163" s="34"/>
      <c r="Y1163"/>
    </row>
    <row r="1164" spans="1:25" s="91" customFormat="1" ht="15" hidden="1" customHeight="1" x14ac:dyDescent="0.25">
      <c r="A1164" s="32" t="s">
        <v>1889</v>
      </c>
      <c r="B1164" s="306" t="str">
        <f>IF((COUNTBLANK(G1164)=0),Stats!$E$7,IF((COUNTBLANK(E1164)=0),IF((COUNTBLANK(F1164)=0),IF((COUNTBLANK(U1164)=0),Stats!$E$6,Stats!$E$5),Stats!$E$4),""))</f>
        <v>Death</v>
      </c>
      <c r="C1164" s="41" t="s">
        <v>413</v>
      </c>
      <c r="D1164" s="306" t="str">
        <f>IF(B1164=Stats!$E$6,Stats!$E$11,"")</f>
        <v/>
      </c>
      <c r="E1164" s="89">
        <v>45244</v>
      </c>
      <c r="F1164" s="89"/>
      <c r="G1164" s="89">
        <v>45250</v>
      </c>
      <c r="H1164" s="34" t="s">
        <v>3130</v>
      </c>
      <c r="I1164" s="34"/>
      <c r="J1164" s="34" t="s">
        <v>3186</v>
      </c>
      <c r="K1164" s="36"/>
      <c r="L1164" s="36" t="s">
        <v>181</v>
      </c>
      <c r="M1164" s="36"/>
      <c r="N1164" s="65" t="s">
        <v>4821</v>
      </c>
      <c r="O1164" s="34" t="s">
        <v>4884</v>
      </c>
      <c r="P1164" s="68" t="s">
        <v>4906</v>
      </c>
      <c r="Q1164" s="68" t="s">
        <v>3709</v>
      </c>
      <c r="R1164" s="34" t="s">
        <v>4908</v>
      </c>
      <c r="S1164" s="34"/>
      <c r="T1164" s="34"/>
      <c r="U1164" s="34"/>
      <c r="V1164" s="34"/>
      <c r="W1164" s="34"/>
      <c r="X1164" s="34"/>
      <c r="Y1164"/>
    </row>
    <row r="1165" spans="1:25" ht="15" hidden="1" customHeight="1" x14ac:dyDescent="0.25">
      <c r="A1165" s="32" t="s">
        <v>1890</v>
      </c>
      <c r="B1165" s="306" t="str">
        <f>IF((COUNTBLANK(G1165)=0),Stats!$E$7,IF((COUNTBLANK(E1165)=0),IF((COUNTBLANK(F1165)=0),IF((COUNTBLANK(U1165)=0),Stats!$E$6,Stats!$E$5),Stats!$E$4),""))</f>
        <v>Death</v>
      </c>
      <c r="C1165" s="41" t="s">
        <v>413</v>
      </c>
      <c r="D1165" s="306" t="str">
        <f>IF(B1165=Stats!$E$6,Stats!$E$11,"")</f>
        <v/>
      </c>
      <c r="E1165" s="89">
        <v>45244</v>
      </c>
      <c r="F1165" s="89">
        <v>45259</v>
      </c>
      <c r="G1165" s="342">
        <v>45639</v>
      </c>
      <c r="H1165" s="34" t="s">
        <v>3130</v>
      </c>
      <c r="J1165" s="34" t="s">
        <v>3186</v>
      </c>
      <c r="L1165" s="36" t="s">
        <v>181</v>
      </c>
      <c r="N1165" s="65" t="s">
        <v>4821</v>
      </c>
      <c r="O1165" s="34" t="s">
        <v>4884</v>
      </c>
      <c r="P1165" s="68" t="s">
        <v>4906</v>
      </c>
      <c r="Q1165" s="68" t="s">
        <v>3709</v>
      </c>
      <c r="R1165" s="34" t="s">
        <v>4909</v>
      </c>
    </row>
    <row r="1166" spans="1:25" ht="15" hidden="1" customHeight="1" x14ac:dyDescent="0.25">
      <c r="A1166" s="32" t="s">
        <v>1891</v>
      </c>
      <c r="B1166" s="306" t="str">
        <f>IF((COUNTBLANK(G1166)=0),Stats!$E$7,IF((COUNTBLANK(E1166)=0),IF((COUNTBLANK(F1166)=0),IF((COUNTBLANK(U1166)=0),Stats!$E$6,Stats!$E$5),Stats!$E$4),""))</f>
        <v>Death</v>
      </c>
      <c r="C1166" s="41" t="s">
        <v>413</v>
      </c>
      <c r="D1166" s="306" t="str">
        <f>IF(B1166=Stats!$E$6,Stats!$E$11,"")</f>
        <v/>
      </c>
      <c r="E1166" s="89">
        <v>45245</v>
      </c>
      <c r="F1166" s="89">
        <v>45259</v>
      </c>
      <c r="G1166" s="342">
        <v>45640</v>
      </c>
      <c r="H1166" s="34" t="s">
        <v>3130</v>
      </c>
      <c r="J1166" s="34" t="s">
        <v>3186</v>
      </c>
      <c r="K1166" s="36" t="s">
        <v>4910</v>
      </c>
      <c r="L1166" s="36" t="s">
        <v>181</v>
      </c>
      <c r="N1166" s="65" t="s">
        <v>4821</v>
      </c>
      <c r="O1166" s="34" t="s">
        <v>4884</v>
      </c>
      <c r="P1166" s="68" t="s">
        <v>4906</v>
      </c>
      <c r="Q1166" s="68" t="s">
        <v>3709</v>
      </c>
      <c r="R1166" s="34" t="s">
        <v>4911</v>
      </c>
      <c r="U1166" s="144" t="s">
        <v>4912</v>
      </c>
    </row>
    <row r="1167" spans="1:25" s="91" customFormat="1" ht="15" hidden="1" customHeight="1" x14ac:dyDescent="0.25">
      <c r="A1167" s="32" t="s">
        <v>1892</v>
      </c>
      <c r="B1167" s="306" t="str">
        <f>IF((COUNTBLANK(G1167)=0),Stats!$E$7,IF((COUNTBLANK(E1167)=0),IF((COUNTBLANK(F1167)=0),IF((COUNTBLANK(U1167)=0),Stats!$E$6,Stats!$E$5),Stats!$E$4),""))</f>
        <v>Death</v>
      </c>
      <c r="C1167" s="41" t="s">
        <v>413</v>
      </c>
      <c r="D1167" s="306" t="str">
        <f>IF(B1167=Stats!$E$6,Stats!$E$11,"")</f>
        <v/>
      </c>
      <c r="E1167" s="89">
        <v>45245</v>
      </c>
      <c r="F1167" s="89">
        <v>45259</v>
      </c>
      <c r="G1167" s="89">
        <v>45256</v>
      </c>
      <c r="H1167" s="34" t="s">
        <v>3130</v>
      </c>
      <c r="I1167" s="34"/>
      <c r="J1167" s="34" t="s">
        <v>3186</v>
      </c>
      <c r="K1167" s="36" t="s">
        <v>4910</v>
      </c>
      <c r="L1167" s="36" t="s">
        <v>181</v>
      </c>
      <c r="M1167" s="36"/>
      <c r="N1167" s="65" t="s">
        <v>4821</v>
      </c>
      <c r="O1167" s="34" t="s">
        <v>4884</v>
      </c>
      <c r="P1167" s="68" t="s">
        <v>4906</v>
      </c>
      <c r="Q1167" s="68" t="s">
        <v>3709</v>
      </c>
      <c r="R1167" s="34" t="s">
        <v>4913</v>
      </c>
      <c r="S1167" s="34"/>
      <c r="T1167" s="34"/>
      <c r="U1167" s="34"/>
      <c r="V1167" s="34"/>
      <c r="W1167" s="34"/>
      <c r="X1167" s="34"/>
      <c r="Y1167"/>
    </row>
    <row r="1168" spans="1:25" ht="15" hidden="1" customHeight="1" x14ac:dyDescent="0.25">
      <c r="A1168" s="32" t="s">
        <v>1893</v>
      </c>
      <c r="B1168" s="306" t="str">
        <f>IF((COUNTBLANK(G1168)=0),Stats!$E$7,IF((COUNTBLANK(E1168)=0),IF((COUNTBLANK(F1168)=0),IF((COUNTBLANK(U1168)=0),Stats!$E$6,Stats!$E$5),Stats!$E$4),""))</f>
        <v>Death</v>
      </c>
      <c r="C1168" s="41" t="s">
        <v>413</v>
      </c>
      <c r="D1168" s="306" t="str">
        <f>IF(B1168=Stats!$E$6,Stats!$E$11,"")</f>
        <v/>
      </c>
      <c r="E1168" s="89">
        <v>45245</v>
      </c>
      <c r="F1168" s="89">
        <v>45264</v>
      </c>
      <c r="G1168" s="342">
        <v>45640</v>
      </c>
      <c r="H1168" s="34" t="s">
        <v>3130</v>
      </c>
      <c r="J1168" s="34" t="s">
        <v>3186</v>
      </c>
      <c r="K1168" s="36" t="s">
        <v>4910</v>
      </c>
      <c r="L1168" s="36" t="s">
        <v>181</v>
      </c>
      <c r="N1168" s="65" t="s">
        <v>4821</v>
      </c>
      <c r="O1168" s="34" t="s">
        <v>4884</v>
      </c>
      <c r="P1168" s="68" t="s">
        <v>4906</v>
      </c>
      <c r="Q1168" s="68" t="s">
        <v>3709</v>
      </c>
      <c r="R1168" s="34" t="s">
        <v>4914</v>
      </c>
      <c r="U1168" s="34" t="s">
        <v>4915</v>
      </c>
    </row>
    <row r="1169" spans="1:25" ht="15" hidden="1" customHeight="1" x14ac:dyDescent="0.25">
      <c r="A1169" s="32" t="s">
        <v>1894</v>
      </c>
      <c r="B1169" s="306" t="str">
        <f>IF((COUNTBLANK(G1169)=0),Stats!$E$7,IF((COUNTBLANK(E1169)=0),IF((COUNTBLANK(F1169)=0),IF((COUNTBLANK(U1169)=0),Stats!$E$6,Stats!$E$5),Stats!$E$4),""))</f>
        <v>Death</v>
      </c>
      <c r="C1169" s="41" t="s">
        <v>413</v>
      </c>
      <c r="D1169" s="306" t="str">
        <f>IF(B1169=Stats!$E$6,Stats!$E$11,"")</f>
        <v/>
      </c>
      <c r="E1169" s="89">
        <v>45245</v>
      </c>
      <c r="F1169" s="89">
        <v>45274</v>
      </c>
      <c r="G1169" s="342">
        <v>45640</v>
      </c>
      <c r="H1169" s="34" t="s">
        <v>3130</v>
      </c>
      <c r="J1169" s="34" t="s">
        <v>3186</v>
      </c>
      <c r="K1169" s="36" t="s">
        <v>4867</v>
      </c>
      <c r="L1169" s="36" t="s">
        <v>181</v>
      </c>
      <c r="N1169" s="65" t="s">
        <v>4821</v>
      </c>
      <c r="O1169" s="34" t="s">
        <v>4884</v>
      </c>
      <c r="P1169" s="68" t="s">
        <v>4906</v>
      </c>
      <c r="Q1169" s="68" t="s">
        <v>3709</v>
      </c>
      <c r="R1169" s="34" t="s">
        <v>4916</v>
      </c>
    </row>
    <row r="1170" spans="1:25" ht="15" hidden="1" customHeight="1" x14ac:dyDescent="0.25">
      <c r="A1170" s="32" t="s">
        <v>1895</v>
      </c>
      <c r="B1170" s="306" t="str">
        <f>IF((COUNTBLANK(G1170)=0),Stats!$E$7,IF((COUNTBLANK(E1170)=0),IF((COUNTBLANK(F1170)=0),IF((COUNTBLANK(U1170)=0),Stats!$E$6,Stats!$E$5),Stats!$E$4),""))</f>
        <v>Death</v>
      </c>
      <c r="C1170" s="41" t="s">
        <v>413</v>
      </c>
      <c r="D1170" s="306" t="str">
        <f>IF(B1170=Stats!$E$6,Stats!$E$11,"")</f>
        <v/>
      </c>
      <c r="E1170" s="89">
        <v>45245</v>
      </c>
      <c r="F1170" s="89">
        <v>45274</v>
      </c>
      <c r="G1170" s="342">
        <v>45640</v>
      </c>
      <c r="H1170" s="34" t="s">
        <v>3130</v>
      </c>
      <c r="J1170" s="34" t="s">
        <v>3186</v>
      </c>
      <c r="K1170" s="36" t="s">
        <v>4867</v>
      </c>
      <c r="L1170" s="36" t="s">
        <v>181</v>
      </c>
      <c r="N1170" s="65" t="s">
        <v>4821</v>
      </c>
      <c r="O1170" s="34" t="s">
        <v>4884</v>
      </c>
      <c r="P1170" s="68" t="s">
        <v>4906</v>
      </c>
      <c r="Q1170" s="68" t="s">
        <v>3709</v>
      </c>
      <c r="R1170" s="34" t="s">
        <v>4917</v>
      </c>
    </row>
    <row r="1171" spans="1:25" ht="15" hidden="1" customHeight="1" x14ac:dyDescent="0.25">
      <c r="A1171" s="32" t="s">
        <v>1896</v>
      </c>
      <c r="B1171" s="306" t="str">
        <f>IF((COUNTBLANK(G1171)=0),Stats!$E$7,IF((COUNTBLANK(E1171)=0),IF((COUNTBLANK(F1171)=0),IF((COUNTBLANK(U1171)=0),Stats!$E$6,Stats!$E$5),Stats!$E$4),""))</f>
        <v>Death</v>
      </c>
      <c r="C1171" s="41" t="s">
        <v>284</v>
      </c>
      <c r="D1171" s="306" t="s">
        <v>325</v>
      </c>
      <c r="E1171" s="89">
        <v>45244</v>
      </c>
      <c r="F1171" s="89">
        <v>45275</v>
      </c>
      <c r="G1171" s="89">
        <v>45622</v>
      </c>
      <c r="H1171" s="34" t="s">
        <v>4807</v>
      </c>
      <c r="J1171" s="34" t="s">
        <v>4650</v>
      </c>
      <c r="K1171" s="36" t="s">
        <v>4678</v>
      </c>
      <c r="N1171" s="65" t="s">
        <v>196</v>
      </c>
      <c r="O1171" s="34" t="s">
        <v>4884</v>
      </c>
      <c r="P1171" s="68">
        <v>-450</v>
      </c>
      <c r="Q1171" s="68">
        <v>500</v>
      </c>
      <c r="R1171" t="s">
        <v>291</v>
      </c>
      <c r="S1171" s="162" t="s">
        <v>4889</v>
      </c>
      <c r="T1171" s="34" t="s">
        <v>4890</v>
      </c>
      <c r="U1171" s="34" t="s">
        <v>4918</v>
      </c>
    </row>
    <row r="1172" spans="1:25" hidden="1" x14ac:dyDescent="0.25">
      <c r="A1172" s="32" t="s">
        <v>1897</v>
      </c>
      <c r="B1172" s="306" t="str">
        <f>IF((COUNTBLANK(G1172)=0),Stats!$E$7,IF((COUNTBLANK(E1172)=0),IF((COUNTBLANK(F1172)=0),IF((COUNTBLANK(U1172)=0),Stats!$E$6,Stats!$E$5),Stats!$E$4),""))</f>
        <v>Death</v>
      </c>
      <c r="C1172" s="41" t="s">
        <v>284</v>
      </c>
      <c r="D1172" s="306" t="s">
        <v>325</v>
      </c>
      <c r="E1172" s="89">
        <v>45244</v>
      </c>
      <c r="F1172" s="89">
        <v>45275</v>
      </c>
      <c r="G1172" s="89">
        <v>45628</v>
      </c>
      <c r="H1172" s="34" t="s">
        <v>4807</v>
      </c>
      <c r="J1172" s="34" t="s">
        <v>4650</v>
      </c>
      <c r="K1172" s="36" t="s">
        <v>4678</v>
      </c>
      <c r="N1172" s="65" t="s">
        <v>196</v>
      </c>
      <c r="O1172" s="34" t="s">
        <v>4884</v>
      </c>
      <c r="P1172" s="68">
        <v>-450</v>
      </c>
      <c r="Q1172" s="68">
        <v>500</v>
      </c>
      <c r="R1172" t="s">
        <v>279</v>
      </c>
      <c r="S1172" s="165" t="s">
        <v>4892</v>
      </c>
      <c r="U1172" s="34" t="s">
        <v>4919</v>
      </c>
    </row>
    <row r="1173" spans="1:25" s="91" customFormat="1" ht="15" hidden="1" customHeight="1" x14ac:dyDescent="0.25">
      <c r="A1173" s="32" t="s">
        <v>1898</v>
      </c>
      <c r="B1173" s="306" t="str">
        <f>IF((COUNTBLANK(G1173)=0),Stats!$E$7,IF((COUNTBLANK(E1173)=0),IF((COUNTBLANK(F1173)=0),IF((COUNTBLANK(U1173)=0),Stats!$E$6,Stats!$E$5),Stats!$E$4),""))</f>
        <v>Death</v>
      </c>
      <c r="C1173" s="41" t="s">
        <v>284</v>
      </c>
      <c r="D1173" s="306" t="s">
        <v>325</v>
      </c>
      <c r="E1173" s="89">
        <v>45278</v>
      </c>
      <c r="F1173" s="89">
        <v>45295</v>
      </c>
      <c r="G1173" s="89">
        <v>45375</v>
      </c>
      <c r="H1173" s="34" t="s">
        <v>3073</v>
      </c>
      <c r="I1173" s="34"/>
      <c r="J1173" s="34" t="s">
        <v>152</v>
      </c>
      <c r="K1173" s="36" t="s">
        <v>493</v>
      </c>
      <c r="L1173" s="36"/>
      <c r="M1173" s="36"/>
      <c r="N1173" s="65" t="s">
        <v>105</v>
      </c>
      <c r="O1173" s="34" t="s">
        <v>4884</v>
      </c>
      <c r="P1173" s="68">
        <v>-450</v>
      </c>
      <c r="Q1173" s="68">
        <v>500</v>
      </c>
      <c r="R1173" t="s">
        <v>249</v>
      </c>
      <c r="S1173" s="159" t="s">
        <v>4920</v>
      </c>
      <c r="T1173" s="34" t="s">
        <v>3531</v>
      </c>
      <c r="U1173" s="34" t="s">
        <v>4921</v>
      </c>
      <c r="V1173" s="34" t="s">
        <v>4922</v>
      </c>
      <c r="W1173" s="34"/>
      <c r="X1173" s="34"/>
      <c r="Y1173"/>
    </row>
    <row r="1174" spans="1:25" ht="15" hidden="1" customHeight="1" x14ac:dyDescent="0.25">
      <c r="A1174" s="32" t="s">
        <v>1899</v>
      </c>
      <c r="B1174" s="306" t="str">
        <f>IF((COUNTBLANK(G1174)=0),Stats!$E$7,IF((COUNTBLANK(E1174)=0),IF((COUNTBLANK(F1174)=0),IF((COUNTBLANK(U1174)=0),Stats!$E$6,Stats!$E$5),Stats!$E$4),""))</f>
        <v>Death</v>
      </c>
      <c r="C1174" s="41" t="s">
        <v>284</v>
      </c>
      <c r="D1174" s="306" t="s">
        <v>59</v>
      </c>
      <c r="E1174" s="89">
        <v>45278</v>
      </c>
      <c r="F1174" s="89">
        <v>45300</v>
      </c>
      <c r="G1174" s="342">
        <v>45640</v>
      </c>
      <c r="H1174" s="34" t="s">
        <v>3073</v>
      </c>
      <c r="J1174" s="34" t="s">
        <v>152</v>
      </c>
      <c r="K1174" s="36" t="s">
        <v>493</v>
      </c>
      <c r="N1174" s="65" t="s">
        <v>105</v>
      </c>
      <c r="O1174" s="34" t="s">
        <v>4884</v>
      </c>
      <c r="P1174" s="68">
        <v>-450</v>
      </c>
      <c r="Q1174" s="68">
        <v>500</v>
      </c>
      <c r="R1174" t="s">
        <v>243</v>
      </c>
      <c r="S1174" s="158" t="s">
        <v>4902</v>
      </c>
      <c r="U1174" s="34" t="s">
        <v>4921</v>
      </c>
      <c r="V1174" s="34" t="s">
        <v>4922</v>
      </c>
      <c r="W1174" s="34" t="s">
        <v>4923</v>
      </c>
    </row>
    <row r="1175" spans="1:25" s="91" customFormat="1" ht="15" hidden="1" customHeight="1" x14ac:dyDescent="0.25">
      <c r="A1175" s="32" t="s">
        <v>1900</v>
      </c>
      <c r="B1175" s="306" t="str">
        <f>IF((COUNTBLANK(G1175)=0),Stats!$E$7,IF((COUNTBLANK(E1175)=0),IF((COUNTBLANK(F1175)=0),IF((COUNTBLANK(U1175)=0),Stats!$E$6,Stats!$E$5),Stats!$E$4),""))</f>
        <v>Death</v>
      </c>
      <c r="C1175" s="41" t="s">
        <v>284</v>
      </c>
      <c r="D1175" s="306" t="str">
        <f>IF(B1175=Stats!$E$6,Stats!$E$11,"")</f>
        <v/>
      </c>
      <c r="E1175" s="89">
        <v>45278</v>
      </c>
      <c r="F1175" s="89">
        <v>45295</v>
      </c>
      <c r="G1175" s="89">
        <v>45372</v>
      </c>
      <c r="H1175" s="34" t="s">
        <v>3073</v>
      </c>
      <c r="I1175" s="34"/>
      <c r="J1175" s="34" t="s">
        <v>152</v>
      </c>
      <c r="K1175" s="36" t="s">
        <v>493</v>
      </c>
      <c r="L1175" s="36"/>
      <c r="M1175" s="36"/>
      <c r="N1175" s="65" t="s">
        <v>105</v>
      </c>
      <c r="O1175" s="34" t="s">
        <v>4884</v>
      </c>
      <c r="P1175" s="68">
        <v>-450</v>
      </c>
      <c r="Q1175" s="68">
        <v>500</v>
      </c>
      <c r="R1175" t="s">
        <v>291</v>
      </c>
      <c r="S1175" s="159" t="s">
        <v>4920</v>
      </c>
      <c r="T1175" s="34" t="s">
        <v>3531</v>
      </c>
      <c r="U1175" s="34" t="s">
        <v>4921</v>
      </c>
      <c r="V1175" s="34" t="s">
        <v>4924</v>
      </c>
      <c r="W1175" s="34"/>
      <c r="X1175" s="34"/>
      <c r="Y1175"/>
    </row>
    <row r="1176" spans="1:25" s="91" customFormat="1" ht="15" hidden="1" customHeight="1" x14ac:dyDescent="0.25">
      <c r="A1176" s="32" t="s">
        <v>1901</v>
      </c>
      <c r="B1176" s="306" t="str">
        <f>IF((COUNTBLANK(G1176)=0),Stats!$E$7,IF((COUNTBLANK(E1176)=0),IF((COUNTBLANK(F1176)=0),IF((COUNTBLANK(U1176)=0),Stats!$E$6,Stats!$E$5),Stats!$E$4),""))</f>
        <v>Death</v>
      </c>
      <c r="C1176" s="41" t="s">
        <v>284</v>
      </c>
      <c r="D1176" s="306" t="s">
        <v>325</v>
      </c>
      <c r="E1176" s="89">
        <v>45278</v>
      </c>
      <c r="F1176" s="89">
        <v>45300</v>
      </c>
      <c r="G1176" s="89">
        <v>45503</v>
      </c>
      <c r="H1176" s="34" t="s">
        <v>3073</v>
      </c>
      <c r="I1176" s="34"/>
      <c r="J1176" s="34" t="s">
        <v>152</v>
      </c>
      <c r="K1176" s="36" t="s">
        <v>493</v>
      </c>
      <c r="L1176" s="36"/>
      <c r="M1176" s="36"/>
      <c r="N1176" s="65" t="s">
        <v>105</v>
      </c>
      <c r="O1176" s="34" t="s">
        <v>4884</v>
      </c>
      <c r="P1176" s="68">
        <v>-450</v>
      </c>
      <c r="Q1176" s="68">
        <v>500</v>
      </c>
      <c r="R1176" t="s">
        <v>279</v>
      </c>
      <c r="S1176" s="159" t="s">
        <v>4920</v>
      </c>
      <c r="T1176" s="34"/>
      <c r="U1176" s="34" t="s">
        <v>4872</v>
      </c>
      <c r="V1176" s="34" t="s">
        <v>4925</v>
      </c>
      <c r="W1176" s="34"/>
      <c r="X1176" s="34"/>
      <c r="Y1176"/>
    </row>
    <row r="1177" spans="1:25" ht="15" hidden="1" customHeight="1" x14ac:dyDescent="0.25">
      <c r="A1177" s="32" t="s">
        <v>1902</v>
      </c>
      <c r="B1177" s="306" t="str">
        <f>IF((COUNTBLANK(G1177)=0),Stats!$E$7,IF((COUNTBLANK(E1177)=0),IF((COUNTBLANK(F1177)=0),IF((COUNTBLANK(U1177)=0),Stats!$E$6,Stats!$E$5),Stats!$E$4),""))</f>
        <v>Death</v>
      </c>
      <c r="C1177" s="41" t="s">
        <v>284</v>
      </c>
      <c r="D1177" s="306" t="s">
        <v>325</v>
      </c>
      <c r="E1177" s="89">
        <v>45281</v>
      </c>
      <c r="F1177" s="89">
        <v>45314</v>
      </c>
      <c r="G1177" s="342">
        <v>45640</v>
      </c>
      <c r="H1177" s="34" t="s">
        <v>3073</v>
      </c>
      <c r="J1177" s="34" t="s">
        <v>152</v>
      </c>
      <c r="K1177" s="36" t="s">
        <v>493</v>
      </c>
      <c r="N1177" s="65" t="s">
        <v>105</v>
      </c>
      <c r="O1177" s="34" t="s">
        <v>4884</v>
      </c>
      <c r="P1177" s="68">
        <v>-450</v>
      </c>
      <c r="Q1177" s="68">
        <v>500</v>
      </c>
      <c r="R1177" t="s">
        <v>249</v>
      </c>
      <c r="S1177" s="159" t="s">
        <v>4920</v>
      </c>
      <c r="U1177" s="34" t="s">
        <v>4872</v>
      </c>
      <c r="V1177" s="34" t="s">
        <v>4926</v>
      </c>
    </row>
    <row r="1178" spans="1:25" ht="15" hidden="1" customHeight="1" x14ac:dyDescent="0.25">
      <c r="A1178" s="32" t="s">
        <v>1903</v>
      </c>
      <c r="B1178" s="306" t="str">
        <f>IF((COUNTBLANK(G1178)=0),Stats!$E$7,IF((COUNTBLANK(E1178)=0),IF((COUNTBLANK(F1178)=0),IF((COUNTBLANK(U1178)=0),Stats!$E$6,Stats!$E$5),Stats!$E$4),""))</f>
        <v>Death</v>
      </c>
      <c r="C1178" s="41" t="s">
        <v>284</v>
      </c>
      <c r="D1178" s="306" t="s">
        <v>59</v>
      </c>
      <c r="E1178" s="89">
        <v>45281</v>
      </c>
      <c r="F1178" s="89">
        <v>45314</v>
      </c>
      <c r="G1178" s="342">
        <v>45640</v>
      </c>
      <c r="H1178" s="34" t="s">
        <v>3073</v>
      </c>
      <c r="J1178" s="34" t="s">
        <v>152</v>
      </c>
      <c r="K1178" s="36" t="s">
        <v>493</v>
      </c>
      <c r="N1178" s="65" t="s">
        <v>105</v>
      </c>
      <c r="O1178" s="34" t="s">
        <v>4884</v>
      </c>
      <c r="P1178" s="68">
        <v>-450</v>
      </c>
      <c r="Q1178" s="68">
        <v>500</v>
      </c>
      <c r="R1178" t="s">
        <v>243</v>
      </c>
      <c r="S1178" s="159" t="s">
        <v>4920</v>
      </c>
      <c r="U1178" s="34" t="s">
        <v>4925</v>
      </c>
      <c r="V1178" s="34" t="s">
        <v>4923</v>
      </c>
    </row>
    <row r="1179" spans="1:25" ht="15" hidden="1" customHeight="1" x14ac:dyDescent="0.25">
      <c r="A1179" s="32" t="s">
        <v>1904</v>
      </c>
      <c r="B1179" s="306" t="str">
        <f>IF((COUNTBLANK(G1179)=0),Stats!$E$7,IF((COUNTBLANK(E1179)=0),IF((COUNTBLANK(F1179)=0),IF((COUNTBLANK(U1179)=0),Stats!$E$6,Stats!$E$5),Stats!$E$4),""))</f>
        <v>Death</v>
      </c>
      <c r="C1179" s="41" t="s">
        <v>284</v>
      </c>
      <c r="D1179" s="306" t="s">
        <v>59</v>
      </c>
      <c r="E1179" s="89">
        <v>45281</v>
      </c>
      <c r="F1179" s="89">
        <v>45301</v>
      </c>
      <c r="G1179" s="342">
        <v>45640</v>
      </c>
      <c r="H1179" s="34" t="s">
        <v>3073</v>
      </c>
      <c r="J1179" s="34" t="s">
        <v>152</v>
      </c>
      <c r="K1179" s="36" t="s">
        <v>493</v>
      </c>
      <c r="N1179" s="65" t="s">
        <v>105</v>
      </c>
      <c r="O1179" s="34" t="s">
        <v>4884</v>
      </c>
      <c r="P1179" s="68">
        <v>-450</v>
      </c>
      <c r="Q1179" s="68">
        <v>500</v>
      </c>
      <c r="R1179" t="s">
        <v>291</v>
      </c>
      <c r="S1179" s="159" t="s">
        <v>4920</v>
      </c>
      <c r="U1179" s="34" t="s">
        <v>4927</v>
      </c>
      <c r="V1179" s="34" t="s">
        <v>4922</v>
      </c>
      <c r="W1179" s="34" t="s">
        <v>4923</v>
      </c>
    </row>
    <row r="1180" spans="1:25" ht="15" hidden="1" customHeight="1" x14ac:dyDescent="0.25">
      <c r="A1180" s="32" t="s">
        <v>1905</v>
      </c>
      <c r="B1180" s="306" t="str">
        <f>IF((COUNTBLANK(G1180)=0),Stats!$E$7,IF((COUNTBLANK(E1180)=0),IF((COUNTBLANK(F1180)=0),IF((COUNTBLANK(U1180)=0),Stats!$E$6,Stats!$E$5),Stats!$E$4),""))</f>
        <v>Death</v>
      </c>
      <c r="C1180" s="41" t="s">
        <v>284</v>
      </c>
      <c r="D1180" s="306" t="s">
        <v>325</v>
      </c>
      <c r="E1180" s="89">
        <v>45281</v>
      </c>
      <c r="F1180" s="89">
        <v>45314</v>
      </c>
      <c r="G1180" s="342">
        <v>45640</v>
      </c>
      <c r="H1180" s="34" t="s">
        <v>3073</v>
      </c>
      <c r="J1180" s="34" t="s">
        <v>152</v>
      </c>
      <c r="K1180" s="36" t="s">
        <v>493</v>
      </c>
      <c r="N1180" s="65" t="s">
        <v>105</v>
      </c>
      <c r="O1180" s="34" t="s">
        <v>4884</v>
      </c>
      <c r="P1180" s="68">
        <v>-450</v>
      </c>
      <c r="Q1180" s="68">
        <v>500</v>
      </c>
      <c r="R1180" t="s">
        <v>279</v>
      </c>
      <c r="S1180" s="159" t="s">
        <v>4920</v>
      </c>
      <c r="U1180" s="34" t="s">
        <v>4928</v>
      </c>
      <c r="V1180" s="34" t="s">
        <v>4926</v>
      </c>
    </row>
    <row r="1181" spans="1:25" ht="15" customHeight="1" x14ac:dyDescent="0.25">
      <c r="A1181" s="32" t="s">
        <v>1906</v>
      </c>
      <c r="B1181" s="306" t="str">
        <f>IF((COUNTBLANK(G1181)=0),Stats!$E$7,IF((COUNTBLANK(E1181)=0),IF((COUNTBLANK(F1181)=0),IF((COUNTBLANK(U1181)=0),Stats!$E$6,Stats!$E$5),Stats!$E$4),""))</f>
        <v>Death</v>
      </c>
      <c r="C1181" s="41" t="s">
        <v>3133</v>
      </c>
      <c r="D1181" s="306" t="s">
        <v>325</v>
      </c>
      <c r="E1181" s="89">
        <v>45307</v>
      </c>
      <c r="F1181" s="89">
        <v>45308</v>
      </c>
      <c r="G1181" s="342">
        <v>45640</v>
      </c>
      <c r="H1181" s="34" t="s">
        <v>3139</v>
      </c>
      <c r="J1181" s="34" t="s">
        <v>3186</v>
      </c>
      <c r="K1181" s="36" t="s">
        <v>181</v>
      </c>
      <c r="N1181" s="65" t="s">
        <v>4929</v>
      </c>
      <c r="O1181" s="34" t="s">
        <v>4884</v>
      </c>
      <c r="P1181" s="68">
        <v>-300</v>
      </c>
      <c r="Q1181" s="68">
        <v>100</v>
      </c>
      <c r="R1181" s="34" t="s">
        <v>279</v>
      </c>
      <c r="S1181" s="34" t="s">
        <v>4930</v>
      </c>
      <c r="T1181" s="34" t="s">
        <v>4931</v>
      </c>
      <c r="U1181" s="34" t="s">
        <v>4932</v>
      </c>
    </row>
    <row r="1182" spans="1:25" ht="15" customHeight="1" x14ac:dyDescent="0.25">
      <c r="A1182" s="32" t="s">
        <v>1907</v>
      </c>
      <c r="B1182" s="306" t="str">
        <f>IF((COUNTBLANK(G1182)=0),Stats!$E$7,IF((COUNTBLANK(E1182)=0),IF((COUNTBLANK(F1182)=0),IF((COUNTBLANK(U1182)=0),Stats!$E$6,Stats!$E$5),Stats!$E$4),""))</f>
        <v>Death</v>
      </c>
      <c r="C1182" s="41" t="s">
        <v>3133</v>
      </c>
      <c r="D1182" s="306" t="str">
        <f>IF(B1182=Stats!$E$6,Stats!$E$11,"")</f>
        <v/>
      </c>
      <c r="E1182" s="89">
        <v>45307</v>
      </c>
      <c r="G1182" s="342">
        <v>45640</v>
      </c>
      <c r="H1182" s="34" t="s">
        <v>3139</v>
      </c>
      <c r="J1182" s="34" t="s">
        <v>3186</v>
      </c>
      <c r="K1182" s="36" t="s">
        <v>181</v>
      </c>
      <c r="N1182" s="65" t="s">
        <v>4929</v>
      </c>
      <c r="O1182" s="34" t="s">
        <v>4884</v>
      </c>
      <c r="P1182" s="68">
        <v>-300</v>
      </c>
      <c r="Q1182" s="68">
        <v>100</v>
      </c>
      <c r="R1182" s="34" t="s">
        <v>249</v>
      </c>
      <c r="S1182" s="34" t="s">
        <v>4930</v>
      </c>
    </row>
    <row r="1183" spans="1:25" ht="15" customHeight="1" x14ac:dyDescent="0.25">
      <c r="A1183" s="32" t="s">
        <v>1908</v>
      </c>
      <c r="B1183" s="306" t="str">
        <f>IF((COUNTBLANK(G1183)=0),Stats!$E$7,IF((COUNTBLANK(E1183)=0),IF((COUNTBLANK(F1183)=0),IF((COUNTBLANK(U1183)=0),Stats!$E$6,Stats!$E$5),Stats!$E$4),""))</f>
        <v>Death</v>
      </c>
      <c r="C1183" s="41" t="s">
        <v>3133</v>
      </c>
      <c r="D1183" s="306" t="str">
        <f>IF(B1183=Stats!$E$6,Stats!$E$11,"")</f>
        <v/>
      </c>
      <c r="E1183" s="89">
        <v>45307</v>
      </c>
      <c r="G1183" s="342">
        <v>45640</v>
      </c>
      <c r="H1183" s="34" t="s">
        <v>3139</v>
      </c>
      <c r="J1183" s="34" t="s">
        <v>3186</v>
      </c>
      <c r="K1183" s="36" t="s">
        <v>181</v>
      </c>
      <c r="N1183" s="65" t="s">
        <v>4929</v>
      </c>
      <c r="O1183" s="34" t="s">
        <v>4884</v>
      </c>
      <c r="P1183" s="68">
        <v>-300</v>
      </c>
      <c r="Q1183" s="68">
        <v>100</v>
      </c>
      <c r="R1183" s="34" t="s">
        <v>243</v>
      </c>
      <c r="S1183" s="34" t="s">
        <v>4930</v>
      </c>
    </row>
    <row r="1184" spans="1:25" ht="15" customHeight="1" x14ac:dyDescent="0.25">
      <c r="A1184" s="32" t="s">
        <v>1909</v>
      </c>
      <c r="B1184" s="306" t="str">
        <f>IF((COUNTBLANK(G1184)=0),Stats!$E$7,IF((COUNTBLANK(E1184)=0),IF((COUNTBLANK(F1184)=0),IF((COUNTBLANK(U1184)=0),Stats!$E$6,Stats!$E$5),Stats!$E$4),""))</f>
        <v>Death</v>
      </c>
      <c r="C1184" s="41" t="s">
        <v>284</v>
      </c>
      <c r="D1184" s="306" t="s">
        <v>407</v>
      </c>
      <c r="E1184" s="89">
        <v>45307</v>
      </c>
      <c r="F1184" s="89">
        <v>45322</v>
      </c>
      <c r="G1184" s="89">
        <v>45628</v>
      </c>
      <c r="H1184" s="34" t="s">
        <v>4807</v>
      </c>
      <c r="J1184" s="34" t="s">
        <v>4650</v>
      </c>
      <c r="K1184" s="36" t="s">
        <v>4678</v>
      </c>
      <c r="N1184" s="65" t="s">
        <v>68</v>
      </c>
      <c r="O1184" s="34" t="s">
        <v>51</v>
      </c>
      <c r="P1184" s="68">
        <v>-450</v>
      </c>
      <c r="Q1184" s="68">
        <v>500</v>
      </c>
      <c r="R1184" t="s">
        <v>249</v>
      </c>
    </row>
    <row r="1185" spans="1:25" ht="15" customHeight="1" x14ac:dyDescent="0.25">
      <c r="A1185" s="32" t="s">
        <v>1910</v>
      </c>
      <c r="B1185" s="306" t="str">
        <f>IF((COUNTBLANK(G1185)=0),Stats!$E$7,IF((COUNTBLANK(E1185)=0),IF((COUNTBLANK(F1185)=0),IF((COUNTBLANK(U1185)=0),Stats!$E$6,Stats!$E$5),Stats!$E$4),""))</f>
        <v>Death</v>
      </c>
      <c r="C1185" s="41" t="s">
        <v>284</v>
      </c>
      <c r="D1185" s="306" t="s">
        <v>407</v>
      </c>
      <c r="E1185" s="89">
        <v>45307</v>
      </c>
      <c r="F1185" s="89">
        <v>45329</v>
      </c>
      <c r="G1185" s="89">
        <v>45628</v>
      </c>
      <c r="H1185" s="34" t="s">
        <v>4807</v>
      </c>
      <c r="J1185" s="34" t="s">
        <v>4650</v>
      </c>
      <c r="K1185" s="36" t="s">
        <v>4678</v>
      </c>
      <c r="N1185" s="65" t="s">
        <v>68</v>
      </c>
      <c r="O1185" s="34" t="s">
        <v>51</v>
      </c>
      <c r="P1185" s="68">
        <v>-450</v>
      </c>
      <c r="Q1185" s="68">
        <v>500</v>
      </c>
      <c r="R1185" t="s">
        <v>243</v>
      </c>
    </row>
    <row r="1186" spans="1:25" ht="15" customHeight="1" x14ac:dyDescent="0.25">
      <c r="A1186" s="32" t="s">
        <v>1911</v>
      </c>
      <c r="B1186" s="306" t="str">
        <f>IF((COUNTBLANK(G1186)=0),Stats!$E$7,IF((COUNTBLANK(E1186)=0),IF((COUNTBLANK(F1186)=0),IF((COUNTBLANK(U1186)=0),Stats!$E$6,Stats!$E$5),Stats!$E$4),""))</f>
        <v>Death</v>
      </c>
      <c r="C1186" s="41" t="s">
        <v>284</v>
      </c>
      <c r="D1186" s="306" t="s">
        <v>407</v>
      </c>
      <c r="E1186" s="89">
        <v>45307</v>
      </c>
      <c r="F1186" s="89">
        <v>45328</v>
      </c>
      <c r="G1186" s="89">
        <v>45628</v>
      </c>
      <c r="H1186" s="34" t="s">
        <v>4807</v>
      </c>
      <c r="J1186" s="34" t="s">
        <v>4650</v>
      </c>
      <c r="K1186" s="36" t="s">
        <v>4678</v>
      </c>
      <c r="N1186" s="65" t="s">
        <v>68</v>
      </c>
      <c r="O1186" s="34" t="s">
        <v>51</v>
      </c>
      <c r="P1186" s="68">
        <v>-450</v>
      </c>
      <c r="Q1186" s="68">
        <v>500</v>
      </c>
      <c r="R1186" t="s">
        <v>312</v>
      </c>
    </row>
    <row r="1187" spans="1:25" ht="15" customHeight="1" x14ac:dyDescent="0.25">
      <c r="A1187" s="32" t="s">
        <v>1912</v>
      </c>
      <c r="B1187" s="306" t="str">
        <f>IF((COUNTBLANK(G1187)=0),Stats!$E$7,IF((COUNTBLANK(E1187)=0),IF((COUNTBLANK(F1187)=0),IF((COUNTBLANK(U1187)=0),Stats!$E$6,Stats!$E$5),Stats!$E$4),""))</f>
        <v>Death</v>
      </c>
      <c r="C1187" s="41" t="s">
        <v>284</v>
      </c>
      <c r="D1187" s="306" t="s">
        <v>407</v>
      </c>
      <c r="E1187" s="89">
        <v>45307</v>
      </c>
      <c r="F1187" s="89">
        <v>45329</v>
      </c>
      <c r="G1187" s="89">
        <v>45628</v>
      </c>
      <c r="H1187" s="34" t="s">
        <v>4807</v>
      </c>
      <c r="J1187" s="34" t="s">
        <v>4650</v>
      </c>
      <c r="K1187" s="36" t="s">
        <v>4678</v>
      </c>
      <c r="N1187" s="65" t="s">
        <v>68</v>
      </c>
      <c r="O1187" s="34" t="s">
        <v>51</v>
      </c>
      <c r="P1187" s="68">
        <v>-450</v>
      </c>
      <c r="Q1187" s="68">
        <v>400</v>
      </c>
      <c r="R1187" t="s">
        <v>291</v>
      </c>
    </row>
    <row r="1188" spans="1:25" ht="15" customHeight="1" x14ac:dyDescent="0.25">
      <c r="A1188" s="32" t="s">
        <v>1913</v>
      </c>
      <c r="B1188" s="306" t="str">
        <f>IF((COUNTBLANK(G1188)=0),Stats!$E$7,IF((COUNTBLANK(E1188)=0),IF((COUNTBLANK(F1188)=0),IF((COUNTBLANK(U1188)=0),Stats!$E$6,Stats!$E$5),Stats!$E$4),""))</f>
        <v>Death</v>
      </c>
      <c r="C1188" s="41" t="s">
        <v>413</v>
      </c>
      <c r="D1188" s="306" t="str">
        <f>IF(B1188=Stats!$E$6,Stats!$E$11,"")</f>
        <v/>
      </c>
      <c r="E1188" s="89">
        <v>45315</v>
      </c>
      <c r="F1188" s="89">
        <v>45315</v>
      </c>
      <c r="G1188" s="342">
        <v>45640</v>
      </c>
      <c r="H1188" s="34" t="s">
        <v>3130</v>
      </c>
      <c r="J1188" s="34" t="s">
        <v>3186</v>
      </c>
      <c r="L1188" s="36" t="s">
        <v>181</v>
      </c>
      <c r="M1188" s="36" t="s">
        <v>4862</v>
      </c>
      <c r="N1188" s="65" t="s">
        <v>4863</v>
      </c>
      <c r="O1188" s="34" t="s">
        <v>51</v>
      </c>
      <c r="P1188" s="68">
        <v>-500</v>
      </c>
      <c r="Q1188" s="68">
        <v>250</v>
      </c>
      <c r="R1188" s="34" t="s">
        <v>249</v>
      </c>
      <c r="S1188" s="34" t="s">
        <v>4933</v>
      </c>
    </row>
    <row r="1189" spans="1:25" ht="15" customHeight="1" x14ac:dyDescent="0.25">
      <c r="A1189" s="32" t="s">
        <v>1914</v>
      </c>
      <c r="B1189" s="306" t="str">
        <f>IF((COUNTBLANK(G1189)=0),Stats!$E$7,IF((COUNTBLANK(E1189)=0),IF((COUNTBLANK(F1189)=0),IF((COUNTBLANK(U1189)=0),Stats!$E$6,Stats!$E$5),Stats!$E$4),""))</f>
        <v>Death</v>
      </c>
      <c r="C1189" s="41" t="s">
        <v>413</v>
      </c>
      <c r="D1189" s="306" t="str">
        <f>IF(B1189=Stats!$E$6,Stats!$E$11,"")</f>
        <v/>
      </c>
      <c r="E1189" s="89">
        <v>45315</v>
      </c>
      <c r="F1189" s="89">
        <v>45334</v>
      </c>
      <c r="G1189" s="342">
        <v>45640</v>
      </c>
      <c r="H1189" s="34" t="s">
        <v>3130</v>
      </c>
      <c r="J1189" s="34" t="s">
        <v>3186</v>
      </c>
      <c r="L1189" s="36" t="s">
        <v>181</v>
      </c>
      <c r="M1189" s="36" t="s">
        <v>4862</v>
      </c>
      <c r="N1189" s="65" t="s">
        <v>4863</v>
      </c>
      <c r="O1189" s="34" t="s">
        <v>51</v>
      </c>
      <c r="P1189" s="68">
        <v>-500</v>
      </c>
      <c r="Q1189" s="68">
        <v>200</v>
      </c>
      <c r="R1189" s="34" t="s">
        <v>243</v>
      </c>
      <c r="S1189" s="34" t="s">
        <v>4933</v>
      </c>
    </row>
    <row r="1190" spans="1:25" ht="15" customHeight="1" x14ac:dyDescent="0.25">
      <c r="A1190" s="32" t="s">
        <v>1915</v>
      </c>
      <c r="B1190" s="306" t="str">
        <f>IF((COUNTBLANK(G1190)=0),Stats!$E$7,IF((COUNTBLANK(E1190)=0),IF((COUNTBLANK(F1190)=0),IF((COUNTBLANK(U1190)=0),Stats!$E$6,Stats!$E$5),Stats!$E$4),""))</f>
        <v>Death</v>
      </c>
      <c r="C1190" s="41" t="s">
        <v>3133</v>
      </c>
      <c r="D1190" s="306" t="str">
        <f>IF(B1190=Stats!$E$6,Stats!$E$11,"")</f>
        <v/>
      </c>
      <c r="E1190" s="89">
        <v>45312</v>
      </c>
      <c r="F1190" s="89">
        <v>45312</v>
      </c>
      <c r="G1190" s="342">
        <v>45640</v>
      </c>
      <c r="H1190" s="34" t="s">
        <v>3139</v>
      </c>
      <c r="J1190" s="34" t="s">
        <v>3186</v>
      </c>
      <c r="K1190" s="36" t="s">
        <v>181</v>
      </c>
      <c r="N1190" s="65" t="s">
        <v>4929</v>
      </c>
      <c r="O1190" s="34" t="s">
        <v>4884</v>
      </c>
      <c r="P1190" s="68">
        <v>-300</v>
      </c>
      <c r="Q1190" s="68">
        <v>100</v>
      </c>
      <c r="R1190" s="34" t="s">
        <v>291</v>
      </c>
      <c r="S1190" s="34" t="s">
        <v>4930</v>
      </c>
    </row>
    <row r="1191" spans="1:25" ht="15" customHeight="1" x14ac:dyDescent="0.25">
      <c r="A1191" s="32" t="s">
        <v>1916</v>
      </c>
      <c r="B1191" s="306" t="str">
        <f>IF((COUNTBLANK(G1191)=0),Stats!$E$7,IF((COUNTBLANK(E1191)=0),IF((COUNTBLANK(F1191)=0),IF((COUNTBLANK(U1191)=0),Stats!$E$6,Stats!$E$5),Stats!$E$4),""))</f>
        <v>Death</v>
      </c>
      <c r="C1191" s="41" t="s">
        <v>3133</v>
      </c>
      <c r="D1191" s="306" t="str">
        <f>IF(B1191=Stats!$E$6,Stats!$E$11,"")</f>
        <v/>
      </c>
      <c r="E1191" s="89">
        <v>45312</v>
      </c>
      <c r="F1191" s="89">
        <v>45312</v>
      </c>
      <c r="G1191" s="342">
        <v>45640</v>
      </c>
      <c r="H1191" s="34" t="s">
        <v>3139</v>
      </c>
      <c r="J1191" s="34" t="s">
        <v>3186</v>
      </c>
      <c r="K1191" s="36" t="s">
        <v>181</v>
      </c>
      <c r="N1191" s="65" t="s">
        <v>4929</v>
      </c>
      <c r="O1191" s="34" t="s">
        <v>4884</v>
      </c>
      <c r="P1191" s="68">
        <v>-300</v>
      </c>
      <c r="Q1191" s="68">
        <v>100</v>
      </c>
      <c r="R1191" s="34" t="s">
        <v>312</v>
      </c>
      <c r="S1191" s="34" t="s">
        <v>4930</v>
      </c>
    </row>
    <row r="1192" spans="1:25" ht="15" customHeight="1" x14ac:dyDescent="0.25">
      <c r="A1192" s="32" t="s">
        <v>1917</v>
      </c>
      <c r="B1192" s="306" t="str">
        <f>IF((COUNTBLANK(G1192)=0),Stats!$E$7,IF((COUNTBLANK(E1192)=0),IF((COUNTBLANK(F1192)=0),IF((COUNTBLANK(U1192)=0),Stats!$E$6,Stats!$E$5),Stats!$E$4),""))</f>
        <v>Death</v>
      </c>
      <c r="C1192" s="41" t="s">
        <v>3133</v>
      </c>
      <c r="D1192" s="306" t="str">
        <f>IF(B1192=Stats!$E$6,Stats!$E$11,"")</f>
        <v/>
      </c>
      <c r="E1192" s="89">
        <v>45312</v>
      </c>
      <c r="F1192" s="89">
        <v>45312</v>
      </c>
      <c r="G1192" s="342">
        <v>45640</v>
      </c>
      <c r="H1192" s="34" t="s">
        <v>3139</v>
      </c>
      <c r="J1192" s="34" t="s">
        <v>3186</v>
      </c>
      <c r="K1192" s="36" t="s">
        <v>181</v>
      </c>
      <c r="N1192" s="65" t="s">
        <v>4929</v>
      </c>
      <c r="O1192" s="34" t="s">
        <v>4884</v>
      </c>
      <c r="P1192" s="68">
        <v>-300</v>
      </c>
      <c r="Q1192" s="68">
        <v>100</v>
      </c>
      <c r="R1192" s="34" t="s">
        <v>252</v>
      </c>
      <c r="S1192" s="34" t="s">
        <v>4930</v>
      </c>
      <c r="T1192" s="34" t="s">
        <v>4934</v>
      </c>
      <c r="U1192" s="34" t="s">
        <v>4935</v>
      </c>
    </row>
    <row r="1193" spans="1:25" ht="15" customHeight="1" x14ac:dyDescent="0.25">
      <c r="A1193" s="32" t="s">
        <v>1918</v>
      </c>
      <c r="B1193" s="306" t="str">
        <f>IF((COUNTBLANK(G1193)=0),Stats!$E$7,IF((COUNTBLANK(E1193)=0),IF((COUNTBLANK(F1193)=0),IF((COUNTBLANK(U1193)=0),Stats!$E$6,Stats!$E$5),Stats!$E$4),""))</f>
        <v>Death</v>
      </c>
      <c r="C1193" s="41" t="s">
        <v>413</v>
      </c>
      <c r="D1193" s="306" t="str">
        <f>IF(B1193=Stats!$E$6,Stats!$E$11,"")</f>
        <v/>
      </c>
      <c r="E1193" s="89">
        <v>45317</v>
      </c>
      <c r="F1193" s="89">
        <v>45334</v>
      </c>
      <c r="G1193" s="342">
        <v>45640</v>
      </c>
      <c r="H1193" s="34" t="s">
        <v>3130</v>
      </c>
      <c r="J1193" s="34" t="s">
        <v>3186</v>
      </c>
      <c r="K1193" s="36" t="s">
        <v>4910</v>
      </c>
      <c r="L1193" s="36" t="s">
        <v>181</v>
      </c>
      <c r="M1193" s="36" t="s">
        <v>4862</v>
      </c>
      <c r="N1193" s="65" t="s">
        <v>4863</v>
      </c>
      <c r="O1193" s="34" t="s">
        <v>51</v>
      </c>
      <c r="P1193" s="68">
        <v>-500</v>
      </c>
      <c r="Q1193" s="68">
        <v>250</v>
      </c>
      <c r="R1193" s="34" t="s">
        <v>279</v>
      </c>
    </row>
    <row r="1194" spans="1:25" ht="15" customHeight="1" x14ac:dyDescent="0.25">
      <c r="A1194" s="32" t="s">
        <v>1919</v>
      </c>
      <c r="B1194" s="306" t="str">
        <f>IF((COUNTBLANK(G1194)=0),Stats!$E$7,IF((COUNTBLANK(E1194)=0),IF((COUNTBLANK(F1194)=0),IF((COUNTBLANK(U1194)=0),Stats!$E$6,Stats!$E$5),Stats!$E$4),""))</f>
        <v>Death</v>
      </c>
      <c r="C1194" s="41" t="s">
        <v>413</v>
      </c>
      <c r="D1194" s="306" t="str">
        <f>IF(B1194=Stats!$E$6,Stats!$E$11,"")</f>
        <v/>
      </c>
      <c r="E1194" s="89">
        <v>45317</v>
      </c>
      <c r="F1194" s="89">
        <v>45334</v>
      </c>
      <c r="G1194" s="342">
        <v>45640</v>
      </c>
      <c r="H1194" s="34" t="s">
        <v>3130</v>
      </c>
      <c r="J1194" s="34" t="s">
        <v>3186</v>
      </c>
      <c r="K1194" s="36" t="s">
        <v>4910</v>
      </c>
      <c r="L1194" s="36" t="s">
        <v>181</v>
      </c>
      <c r="M1194" s="36" t="s">
        <v>4862</v>
      </c>
      <c r="N1194" s="65" t="s">
        <v>4863</v>
      </c>
      <c r="O1194" s="34" t="s">
        <v>51</v>
      </c>
      <c r="P1194" s="68">
        <v>-500</v>
      </c>
      <c r="Q1194" s="68">
        <v>250</v>
      </c>
      <c r="R1194" s="34" t="s">
        <v>249</v>
      </c>
    </row>
    <row r="1195" spans="1:25" ht="15" customHeight="1" x14ac:dyDescent="0.25">
      <c r="A1195" s="32" t="s">
        <v>1920</v>
      </c>
      <c r="B1195" s="306" t="str">
        <f>IF((COUNTBLANK(G1195)=0),Stats!$E$7,IF((COUNTBLANK(E1195)=0),IF((COUNTBLANK(F1195)=0),IF((COUNTBLANK(U1195)=0),Stats!$E$6,Stats!$E$5),Stats!$E$4),""))</f>
        <v>Death</v>
      </c>
      <c r="C1195" s="41" t="s">
        <v>413</v>
      </c>
      <c r="D1195" s="306" t="str">
        <f>IF(B1195=Stats!$E$6,Stats!$E$11,"")</f>
        <v/>
      </c>
      <c r="E1195" s="89">
        <v>45317</v>
      </c>
      <c r="F1195" s="89">
        <v>45329</v>
      </c>
      <c r="G1195" s="342">
        <v>45640</v>
      </c>
      <c r="H1195" s="34" t="s">
        <v>3130</v>
      </c>
      <c r="J1195" s="34" t="s">
        <v>3186</v>
      </c>
      <c r="K1195" s="36" t="s">
        <v>4910</v>
      </c>
      <c r="L1195" s="36" t="s">
        <v>181</v>
      </c>
      <c r="M1195" s="36" t="s">
        <v>4862</v>
      </c>
      <c r="N1195" s="65" t="s">
        <v>4863</v>
      </c>
      <c r="O1195" s="34" t="s">
        <v>51</v>
      </c>
      <c r="P1195" s="68">
        <v>-500</v>
      </c>
      <c r="Q1195" s="68">
        <v>250</v>
      </c>
      <c r="R1195" s="34" t="s">
        <v>243</v>
      </c>
    </row>
    <row r="1196" spans="1:25" s="91" customFormat="1" ht="15" customHeight="1" x14ac:dyDescent="0.25">
      <c r="A1196" s="32" t="s">
        <v>1921</v>
      </c>
      <c r="B1196" s="306" t="str">
        <f>IF((COUNTBLANK(G1196)=0),Stats!$E$7,IF((COUNTBLANK(E1196)=0),IF((COUNTBLANK(F1196)=0),IF((COUNTBLANK(U1196)=0),Stats!$E$6,Stats!$E$5),Stats!$E$4),""))</f>
        <v>Death</v>
      </c>
      <c r="C1196" s="41" t="s">
        <v>413</v>
      </c>
      <c r="D1196" s="306" t="str">
        <f>IF(B1196=Stats!$E$6,Stats!$E$11,"")</f>
        <v/>
      </c>
      <c r="E1196" s="89">
        <v>45317</v>
      </c>
      <c r="F1196" s="89">
        <v>45329</v>
      </c>
      <c r="G1196" s="89">
        <v>45340</v>
      </c>
      <c r="H1196" s="34" t="s">
        <v>3130</v>
      </c>
      <c r="I1196" s="34"/>
      <c r="J1196" s="34" t="s">
        <v>3186</v>
      </c>
      <c r="K1196" s="36" t="s">
        <v>4910</v>
      </c>
      <c r="L1196" s="36" t="s">
        <v>181</v>
      </c>
      <c r="M1196" s="36" t="s">
        <v>4862</v>
      </c>
      <c r="N1196" s="65" t="s">
        <v>4863</v>
      </c>
      <c r="O1196" s="34" t="s">
        <v>51</v>
      </c>
      <c r="P1196" s="68">
        <v>-500</v>
      </c>
      <c r="Q1196" s="68">
        <v>250</v>
      </c>
      <c r="R1196" s="34" t="s">
        <v>291</v>
      </c>
      <c r="S1196" s="34"/>
      <c r="T1196" s="34"/>
      <c r="U1196" s="34"/>
      <c r="V1196" s="34"/>
      <c r="W1196" s="34"/>
      <c r="X1196" s="34"/>
      <c r="Y1196"/>
    </row>
    <row r="1197" spans="1:25" s="91" customFormat="1" ht="15" customHeight="1" x14ac:dyDescent="0.25">
      <c r="A1197" s="32" t="s">
        <v>1922</v>
      </c>
      <c r="B1197" s="306" t="str">
        <f>IF((COUNTBLANK(G1197)=0),Stats!$E$7,IF((COUNTBLANK(E1197)=0),IF((COUNTBLANK(F1197)=0),IF((COUNTBLANK(U1197)=0),Stats!$E$6,Stats!$E$5),Stats!$E$4),""))</f>
        <v>Death</v>
      </c>
      <c r="C1197" s="41"/>
      <c r="D1197" s="306" t="str">
        <f>IF(B1197=Stats!$E$6,Stats!$E$11,"")</f>
        <v/>
      </c>
      <c r="E1197" s="89">
        <v>45320</v>
      </c>
      <c r="F1197" s="89"/>
      <c r="G1197" s="89">
        <v>45320</v>
      </c>
      <c r="H1197" s="34"/>
      <c r="I1197" s="34"/>
      <c r="J1197" s="34"/>
      <c r="K1197" s="36"/>
      <c r="L1197" s="36"/>
      <c r="M1197" s="36"/>
      <c r="N1197" s="65"/>
      <c r="O1197" s="34"/>
      <c r="P1197" s="68"/>
      <c r="Q1197" s="68"/>
      <c r="R1197" s="34"/>
      <c r="S1197" s="34"/>
      <c r="T1197" s="34"/>
      <c r="U1197" s="34"/>
      <c r="V1197" s="34"/>
      <c r="W1197" s="34"/>
      <c r="X1197" s="34"/>
      <c r="Y1197"/>
    </row>
    <row r="1198" spans="1:25" s="91" customFormat="1" ht="15" customHeight="1" x14ac:dyDescent="0.25">
      <c r="A1198" s="32" t="s">
        <v>1923</v>
      </c>
      <c r="B1198" s="306" t="str">
        <f>IF((COUNTBLANK(G1198)=0),Stats!$E$7,IF((COUNTBLANK(E1198)=0),IF((COUNTBLANK(F1198)=0),IF((COUNTBLANK(U1198)=0),Stats!$E$6,Stats!$E$5),Stats!$E$4),""))</f>
        <v>Death</v>
      </c>
      <c r="C1198" s="41"/>
      <c r="D1198" s="306" t="str">
        <f>IF(B1198=Stats!$E$6,Stats!$E$11,"")</f>
        <v/>
      </c>
      <c r="E1198" s="89">
        <v>45320</v>
      </c>
      <c r="F1198" s="89"/>
      <c r="G1198" s="89">
        <v>45320</v>
      </c>
      <c r="H1198" s="34"/>
      <c r="I1198" s="34"/>
      <c r="J1198" s="34"/>
      <c r="K1198" s="36"/>
      <c r="L1198" s="36"/>
      <c r="M1198" s="36"/>
      <c r="N1198" s="65"/>
      <c r="O1198" s="34"/>
      <c r="P1198" s="68"/>
      <c r="Q1198" s="68"/>
      <c r="R1198" s="34"/>
      <c r="S1198" s="34"/>
      <c r="T1198" s="34"/>
      <c r="U1198" s="34"/>
      <c r="V1198" s="34"/>
      <c r="W1198" s="34"/>
      <c r="X1198" s="34"/>
      <c r="Y1198"/>
    </row>
    <row r="1199" spans="1:25" s="91" customFormat="1" ht="15" customHeight="1" x14ac:dyDescent="0.25">
      <c r="A1199" s="32" t="s">
        <v>1924</v>
      </c>
      <c r="B1199" s="306" t="str">
        <f>IF((COUNTBLANK(G1199)=0),Stats!$E$7,IF((COUNTBLANK(E1199)=0),IF((COUNTBLANK(F1199)=0),IF((COUNTBLANK(U1199)=0),Stats!$E$6,Stats!$E$5),Stats!$E$4),""))</f>
        <v>Death</v>
      </c>
      <c r="C1199" s="41"/>
      <c r="D1199" s="306" t="str">
        <f>IF(B1199=Stats!$E$6,Stats!$E$11,"")</f>
        <v/>
      </c>
      <c r="E1199" s="89">
        <v>45320</v>
      </c>
      <c r="F1199" s="89"/>
      <c r="G1199" s="89">
        <v>45320</v>
      </c>
      <c r="H1199" s="34"/>
      <c r="I1199" s="34"/>
      <c r="J1199" s="34"/>
      <c r="K1199" s="36"/>
      <c r="L1199" s="36"/>
      <c r="M1199" s="36"/>
      <c r="N1199" s="65"/>
      <c r="O1199" s="34"/>
      <c r="P1199" s="68"/>
      <c r="Q1199" s="68"/>
      <c r="R1199" s="34"/>
      <c r="S1199" s="34"/>
      <c r="T1199" s="34"/>
      <c r="U1199" s="34"/>
      <c r="V1199" s="34"/>
      <c r="W1199" s="34"/>
      <c r="X1199" s="34"/>
      <c r="Y1199"/>
    </row>
    <row r="1200" spans="1:25" s="91" customFormat="1" ht="15" customHeight="1" x14ac:dyDescent="0.25">
      <c r="A1200" s="32" t="s">
        <v>1925</v>
      </c>
      <c r="B1200" s="306" t="str">
        <f>IF((COUNTBLANK(G1200)=0),Stats!$E$7,IF((COUNTBLANK(E1200)=0),IF((COUNTBLANK(F1200)=0),IF((COUNTBLANK(U1200)=0),Stats!$E$6,Stats!$E$5),Stats!$E$4),""))</f>
        <v>Death</v>
      </c>
      <c r="C1200" s="41"/>
      <c r="D1200" s="306" t="str">
        <f>IF(B1200=Stats!$E$6,Stats!$E$11,"")</f>
        <v/>
      </c>
      <c r="E1200" s="89">
        <v>45320</v>
      </c>
      <c r="F1200" s="89"/>
      <c r="G1200" s="89">
        <v>45320</v>
      </c>
      <c r="H1200" s="34"/>
      <c r="I1200" s="34"/>
      <c r="J1200" s="34"/>
      <c r="K1200" s="36"/>
      <c r="L1200" s="36"/>
      <c r="M1200" s="36"/>
      <c r="N1200" s="65"/>
      <c r="O1200" s="34"/>
      <c r="P1200" s="68"/>
      <c r="Q1200" s="68"/>
      <c r="R1200" s="34"/>
      <c r="S1200" s="34"/>
      <c r="T1200" s="34"/>
      <c r="U1200" s="34"/>
      <c r="V1200" s="34"/>
      <c r="W1200" s="34"/>
      <c r="X1200" s="34"/>
      <c r="Y1200"/>
    </row>
    <row r="1201" spans="1:25" s="91" customFormat="1" ht="15" customHeight="1" x14ac:dyDescent="0.25">
      <c r="A1201" s="32" t="s">
        <v>1926</v>
      </c>
      <c r="B1201" s="306" t="str">
        <f>IF((COUNTBLANK(G1201)=0),Stats!$E$7,IF((COUNTBLANK(E1201)=0),IF((COUNTBLANK(F1201)=0),IF((COUNTBLANK(U1201)=0),Stats!$E$6,Stats!$E$5),Stats!$E$4),""))</f>
        <v>Death</v>
      </c>
      <c r="C1201" s="41"/>
      <c r="D1201" s="306" t="str">
        <f>IF(B1201=Stats!$E$6,Stats!$E$11,"")</f>
        <v/>
      </c>
      <c r="E1201" s="89">
        <v>45320</v>
      </c>
      <c r="F1201" s="89"/>
      <c r="G1201" s="89">
        <v>45320</v>
      </c>
      <c r="H1201" s="34"/>
      <c r="I1201" s="34"/>
      <c r="J1201" s="34"/>
      <c r="K1201" s="36"/>
      <c r="L1201" s="36"/>
      <c r="M1201" s="36"/>
      <c r="N1201" s="65"/>
      <c r="O1201" s="34"/>
      <c r="P1201" s="68"/>
      <c r="Q1201" s="68"/>
      <c r="R1201" s="34"/>
      <c r="S1201" s="34"/>
      <c r="T1201" s="34"/>
      <c r="U1201" s="34"/>
      <c r="V1201" s="34"/>
      <c r="W1201" s="34"/>
      <c r="X1201" s="34"/>
      <c r="Y1201"/>
    </row>
    <row r="1202" spans="1:25" s="91" customFormat="1" ht="15" customHeight="1" x14ac:dyDescent="0.25">
      <c r="A1202" s="32" t="s">
        <v>1927</v>
      </c>
      <c r="B1202" s="306" t="str">
        <f>IF((COUNTBLANK(G1202)=0),Stats!$E$7,IF((COUNTBLANK(E1202)=0),IF((COUNTBLANK(F1202)=0),IF((COUNTBLANK(U1202)=0),Stats!$E$6,Stats!$E$5),Stats!$E$4),""))</f>
        <v>Death</v>
      </c>
      <c r="C1202" s="41"/>
      <c r="D1202" s="306" t="str">
        <f>IF(B1202=Stats!$E$6,Stats!$E$11,"")</f>
        <v/>
      </c>
      <c r="E1202" s="89">
        <v>45320</v>
      </c>
      <c r="F1202" s="89"/>
      <c r="G1202" s="89">
        <v>45320</v>
      </c>
      <c r="H1202" s="34"/>
      <c r="I1202" s="34"/>
      <c r="J1202" s="34"/>
      <c r="K1202" s="36"/>
      <c r="L1202" s="36"/>
      <c r="M1202" s="36"/>
      <c r="N1202" s="65"/>
      <c r="O1202" s="34"/>
      <c r="P1202" s="68"/>
      <c r="Q1202" s="68"/>
      <c r="R1202" s="34"/>
      <c r="S1202" s="34"/>
      <c r="T1202" s="34"/>
      <c r="U1202" s="34"/>
      <c r="V1202" s="34"/>
      <c r="W1202" s="34"/>
      <c r="X1202" s="34"/>
      <c r="Y1202"/>
    </row>
    <row r="1203" spans="1:25" s="91" customFormat="1" ht="15" customHeight="1" x14ac:dyDescent="0.25">
      <c r="A1203" s="32" t="s">
        <v>1928</v>
      </c>
      <c r="B1203" s="306" t="str">
        <f>IF((COUNTBLANK(G1203)=0),Stats!$E$7,IF((COUNTBLANK(E1203)=0),IF((COUNTBLANK(F1203)=0),IF((COUNTBLANK(U1203)=0),Stats!$E$6,Stats!$E$5),Stats!$E$4),""))</f>
        <v>Death</v>
      </c>
      <c r="C1203" s="41"/>
      <c r="D1203" s="306" t="str">
        <f>IF(B1203=Stats!$E$6,Stats!$E$11,"")</f>
        <v/>
      </c>
      <c r="E1203" s="89">
        <v>45320</v>
      </c>
      <c r="F1203" s="89"/>
      <c r="G1203" s="89">
        <v>45320</v>
      </c>
      <c r="H1203" s="34"/>
      <c r="I1203" s="34"/>
      <c r="J1203" s="34"/>
      <c r="K1203" s="36"/>
      <c r="L1203" s="36"/>
      <c r="M1203" s="36"/>
      <c r="N1203" s="65"/>
      <c r="O1203" s="34"/>
      <c r="P1203" s="68"/>
      <c r="Q1203" s="68"/>
      <c r="R1203" s="34"/>
      <c r="S1203" s="34"/>
      <c r="T1203" s="34"/>
      <c r="U1203" s="34"/>
      <c r="V1203" s="34"/>
      <c r="W1203" s="34"/>
      <c r="X1203" s="34"/>
      <c r="Y1203"/>
    </row>
    <row r="1204" spans="1:25" s="91" customFormat="1" ht="15" customHeight="1" x14ac:dyDescent="0.25">
      <c r="A1204" s="32" t="s">
        <v>1929</v>
      </c>
      <c r="B1204" s="306" t="str">
        <f>IF((COUNTBLANK(G1204)=0),Stats!$E$7,IF((COUNTBLANK(E1204)=0),IF((COUNTBLANK(F1204)=0),IF((COUNTBLANK(U1204)=0),Stats!$E$6,Stats!$E$5),Stats!$E$4),""))</f>
        <v>Death</v>
      </c>
      <c r="C1204" s="41"/>
      <c r="D1204" s="306" t="str">
        <f>IF(B1204=Stats!$E$6,Stats!$E$11,"")</f>
        <v/>
      </c>
      <c r="E1204" s="89">
        <v>45320</v>
      </c>
      <c r="F1204" s="89"/>
      <c r="G1204" s="89">
        <v>45320</v>
      </c>
      <c r="H1204" s="34"/>
      <c r="I1204" s="34"/>
      <c r="J1204" s="34"/>
      <c r="K1204" s="36"/>
      <c r="L1204" s="36"/>
      <c r="M1204" s="36"/>
      <c r="N1204" s="65"/>
      <c r="O1204" s="34"/>
      <c r="P1204" s="68"/>
      <c r="Q1204" s="68"/>
      <c r="R1204" s="34"/>
      <c r="S1204" s="34"/>
      <c r="T1204" s="34"/>
      <c r="U1204" s="34"/>
      <c r="V1204" s="34"/>
      <c r="W1204" s="34"/>
      <c r="X1204" s="34"/>
      <c r="Y1204"/>
    </row>
    <row r="1205" spans="1:25" s="91" customFormat="1" ht="15" customHeight="1" x14ac:dyDescent="0.25">
      <c r="A1205" s="32" t="s">
        <v>1930</v>
      </c>
      <c r="B1205" s="306" t="str">
        <f>IF((COUNTBLANK(G1205)=0),Stats!$E$7,IF((COUNTBLANK(E1205)=0),IF((COUNTBLANK(F1205)=0),IF((COUNTBLANK(U1205)=0),Stats!$E$6,Stats!$E$5),Stats!$E$4),""))</f>
        <v>Death</v>
      </c>
      <c r="C1205" s="41"/>
      <c r="D1205" s="306" t="str">
        <f>IF(B1205=Stats!$E$6,Stats!$E$11,"")</f>
        <v/>
      </c>
      <c r="E1205" s="89">
        <v>45320</v>
      </c>
      <c r="F1205" s="89"/>
      <c r="G1205" s="89">
        <v>45320</v>
      </c>
      <c r="H1205" s="34"/>
      <c r="I1205" s="34"/>
      <c r="J1205" s="34"/>
      <c r="K1205" s="36"/>
      <c r="L1205" s="36"/>
      <c r="M1205" s="36"/>
      <c r="N1205" s="65"/>
      <c r="O1205" s="34"/>
      <c r="P1205" s="68"/>
      <c r="Q1205" s="68"/>
      <c r="R1205" s="34"/>
      <c r="S1205" s="34"/>
      <c r="T1205" s="34"/>
      <c r="U1205" s="34"/>
      <c r="V1205" s="34"/>
      <c r="W1205" s="34"/>
      <c r="X1205" s="34"/>
      <c r="Y1205"/>
    </row>
    <row r="1206" spans="1:25" s="91" customFormat="1" ht="15" customHeight="1" x14ac:dyDescent="0.25">
      <c r="A1206" s="32" t="s">
        <v>1931</v>
      </c>
      <c r="B1206" s="306" t="str">
        <f>IF((COUNTBLANK(G1206)=0),Stats!$E$7,IF((COUNTBLANK(E1206)=0),IF((COUNTBLANK(F1206)=0),IF((COUNTBLANK(U1206)=0),Stats!$E$6,Stats!$E$5),Stats!$E$4),""))</f>
        <v>Death</v>
      </c>
      <c r="C1206" s="41"/>
      <c r="D1206" s="306" t="str">
        <f>IF(B1206=Stats!$E$6,Stats!$E$11,"")</f>
        <v/>
      </c>
      <c r="E1206" s="89">
        <v>45320</v>
      </c>
      <c r="F1206" s="89"/>
      <c r="G1206" s="89">
        <v>45320</v>
      </c>
      <c r="H1206" s="34"/>
      <c r="I1206" s="34"/>
      <c r="J1206" s="34"/>
      <c r="K1206" s="36"/>
      <c r="L1206" s="36"/>
      <c r="M1206" s="36"/>
      <c r="N1206" s="65"/>
      <c r="O1206" s="34"/>
      <c r="P1206" s="68"/>
      <c r="Q1206" s="68"/>
      <c r="R1206" s="34"/>
      <c r="S1206" s="34"/>
      <c r="T1206" s="34"/>
      <c r="U1206" s="34"/>
      <c r="V1206" s="34"/>
      <c r="W1206" s="34"/>
      <c r="X1206" s="34"/>
      <c r="Y1206"/>
    </row>
    <row r="1207" spans="1:25" s="91" customFormat="1" ht="15" customHeight="1" x14ac:dyDescent="0.25">
      <c r="A1207" s="32" t="s">
        <v>1932</v>
      </c>
      <c r="B1207" s="306" t="str">
        <f>IF((COUNTBLANK(G1207)=0),Stats!$E$7,IF((COUNTBLANK(E1207)=0),IF((COUNTBLANK(F1207)=0),IF((COUNTBLANK(U1207)=0),Stats!$E$6,Stats!$E$5),Stats!$E$4),""))</f>
        <v>Death</v>
      </c>
      <c r="C1207" s="41"/>
      <c r="D1207" s="306" t="str">
        <f>IF(B1207=Stats!$E$6,Stats!$E$11,"")</f>
        <v/>
      </c>
      <c r="E1207" s="89">
        <v>45320</v>
      </c>
      <c r="F1207" s="89"/>
      <c r="G1207" s="89">
        <v>45320</v>
      </c>
      <c r="H1207" s="34"/>
      <c r="I1207" s="34"/>
      <c r="J1207" s="34"/>
      <c r="K1207" s="36"/>
      <c r="L1207" s="36"/>
      <c r="M1207" s="36"/>
      <c r="N1207" s="65"/>
      <c r="O1207" s="34"/>
      <c r="P1207" s="68"/>
      <c r="Q1207" s="68"/>
      <c r="R1207" s="34"/>
      <c r="S1207" s="34"/>
      <c r="T1207" s="34"/>
      <c r="U1207" s="34"/>
      <c r="V1207" s="34"/>
      <c r="W1207" s="34"/>
      <c r="X1207" s="34"/>
      <c r="Y1207"/>
    </row>
    <row r="1208" spans="1:25" s="91" customFormat="1" ht="15" customHeight="1" x14ac:dyDescent="0.25">
      <c r="A1208" s="32" t="s">
        <v>1933</v>
      </c>
      <c r="B1208" s="306" t="str">
        <f>IF((COUNTBLANK(G1208)=0),Stats!$E$7,IF((COUNTBLANK(E1208)=0),IF((COUNTBLANK(F1208)=0),IF((COUNTBLANK(U1208)=0),Stats!$E$6,Stats!$E$5),Stats!$E$4),""))</f>
        <v>Death</v>
      </c>
      <c r="C1208" s="41"/>
      <c r="D1208" s="306" t="str">
        <f>IF(B1208=Stats!$E$6,Stats!$E$11,"")</f>
        <v/>
      </c>
      <c r="E1208" s="89">
        <v>45320</v>
      </c>
      <c r="F1208" s="89"/>
      <c r="G1208" s="89">
        <v>45320</v>
      </c>
      <c r="H1208" s="34"/>
      <c r="I1208" s="34"/>
      <c r="J1208" s="34"/>
      <c r="K1208" s="36"/>
      <c r="L1208" s="36"/>
      <c r="M1208" s="36"/>
      <c r="N1208" s="65"/>
      <c r="O1208" s="34"/>
      <c r="P1208" s="68"/>
      <c r="Q1208" s="68"/>
      <c r="R1208" s="34"/>
      <c r="S1208" s="34"/>
      <c r="T1208" s="34"/>
      <c r="U1208" s="34"/>
      <c r="V1208" s="34"/>
      <c r="W1208" s="34"/>
      <c r="X1208" s="34"/>
      <c r="Y1208"/>
    </row>
    <row r="1209" spans="1:25" s="91" customFormat="1" ht="15" customHeight="1" x14ac:dyDescent="0.25">
      <c r="A1209" s="32" t="s">
        <v>1934</v>
      </c>
      <c r="B1209" s="306" t="str">
        <f>IF((COUNTBLANK(G1209)=0),Stats!$E$7,IF((COUNTBLANK(E1209)=0),IF((COUNTBLANK(F1209)=0),IF((COUNTBLANK(U1209)=0),Stats!$E$6,Stats!$E$5),Stats!$E$4),""))</f>
        <v>Death</v>
      </c>
      <c r="C1209" s="41"/>
      <c r="D1209" s="306" t="str">
        <f>IF(B1209=Stats!$E$6,Stats!$E$11,"")</f>
        <v/>
      </c>
      <c r="E1209" s="89">
        <v>45320</v>
      </c>
      <c r="F1209" s="89"/>
      <c r="G1209" s="89">
        <v>45320</v>
      </c>
      <c r="H1209" s="34"/>
      <c r="I1209" s="34"/>
      <c r="J1209" s="34"/>
      <c r="K1209" s="36"/>
      <c r="L1209" s="36"/>
      <c r="M1209" s="36"/>
      <c r="N1209" s="65"/>
      <c r="O1209" s="34"/>
      <c r="P1209" s="68"/>
      <c r="Q1209" s="68"/>
      <c r="R1209" s="34"/>
      <c r="S1209" s="34"/>
      <c r="T1209" s="34"/>
      <c r="U1209" s="34"/>
      <c r="V1209" s="34"/>
      <c r="W1209" s="34"/>
      <c r="X1209" s="34"/>
      <c r="Y1209"/>
    </row>
    <row r="1210" spans="1:25" s="91" customFormat="1" ht="15" customHeight="1" x14ac:dyDescent="0.25">
      <c r="A1210" s="32" t="s">
        <v>1935</v>
      </c>
      <c r="B1210" s="306" t="str">
        <f>IF((COUNTBLANK(G1210)=0),Stats!$E$7,IF((COUNTBLANK(E1210)=0),IF((COUNTBLANK(F1210)=0),IF((COUNTBLANK(U1210)=0),Stats!$E$6,Stats!$E$5),Stats!$E$4),""))</f>
        <v>Death</v>
      </c>
      <c r="C1210" s="41"/>
      <c r="D1210" s="306" t="str">
        <f>IF(B1210=Stats!$E$6,Stats!$E$11,"")</f>
        <v/>
      </c>
      <c r="E1210" s="89">
        <v>45320</v>
      </c>
      <c r="F1210" s="89"/>
      <c r="G1210" s="89">
        <v>45320</v>
      </c>
      <c r="H1210" s="34"/>
      <c r="I1210" s="34"/>
      <c r="J1210" s="34"/>
      <c r="K1210" s="36"/>
      <c r="L1210" s="36"/>
      <c r="M1210" s="36"/>
      <c r="N1210" s="65"/>
      <c r="O1210" s="34"/>
      <c r="P1210" s="68"/>
      <c r="Q1210" s="68"/>
      <c r="R1210" s="34"/>
      <c r="S1210" s="34"/>
      <c r="T1210" s="34"/>
      <c r="U1210" s="34"/>
      <c r="V1210" s="34"/>
      <c r="W1210" s="34"/>
      <c r="X1210" s="34"/>
      <c r="Y1210"/>
    </row>
    <row r="1211" spans="1:25" s="91" customFormat="1" ht="15" customHeight="1" x14ac:dyDescent="0.25">
      <c r="A1211" s="32" t="s">
        <v>1936</v>
      </c>
      <c r="B1211" s="306" t="str">
        <f>IF((COUNTBLANK(G1211)=0),Stats!$E$7,IF((COUNTBLANK(E1211)=0),IF((COUNTBLANK(F1211)=0),IF((COUNTBLANK(U1211)=0),Stats!$E$6,Stats!$E$5),Stats!$E$4),""))</f>
        <v>Death</v>
      </c>
      <c r="C1211" s="41"/>
      <c r="D1211" s="306" t="str">
        <f>IF(B1211=Stats!$E$6,Stats!$E$11,"")</f>
        <v/>
      </c>
      <c r="E1211" s="89">
        <v>45320</v>
      </c>
      <c r="F1211" s="89"/>
      <c r="G1211" s="89">
        <v>45320</v>
      </c>
      <c r="H1211" s="34"/>
      <c r="I1211" s="34"/>
      <c r="J1211" s="34"/>
      <c r="K1211" s="36"/>
      <c r="L1211" s="36"/>
      <c r="M1211" s="36"/>
      <c r="N1211" s="65"/>
      <c r="O1211" s="34"/>
      <c r="P1211" s="68"/>
      <c r="Q1211" s="68"/>
      <c r="R1211" s="34"/>
      <c r="S1211" s="34"/>
      <c r="T1211" s="34"/>
      <c r="U1211" s="34"/>
      <c r="V1211" s="34"/>
      <c r="W1211" s="34"/>
      <c r="X1211" s="34"/>
      <c r="Y1211"/>
    </row>
    <row r="1212" spans="1:25" s="91" customFormat="1" ht="15" customHeight="1" x14ac:dyDescent="0.25">
      <c r="A1212" s="32" t="s">
        <v>1937</v>
      </c>
      <c r="B1212" s="306" t="str">
        <f>IF((COUNTBLANK(G1212)=0),Stats!$E$7,IF((COUNTBLANK(E1212)=0),IF((COUNTBLANK(F1212)=0),IF((COUNTBLANK(U1212)=0),Stats!$E$6,Stats!$E$5),Stats!$E$4),""))</f>
        <v>Death</v>
      </c>
      <c r="C1212" s="41"/>
      <c r="D1212" s="306" t="str">
        <f>IF(B1212=Stats!$E$6,Stats!$E$11,"")</f>
        <v/>
      </c>
      <c r="E1212" s="89">
        <v>45320</v>
      </c>
      <c r="F1212" s="89"/>
      <c r="G1212" s="89">
        <v>45320</v>
      </c>
      <c r="H1212" s="34"/>
      <c r="I1212" s="34"/>
      <c r="J1212" s="34"/>
      <c r="K1212" s="36"/>
      <c r="L1212" s="36"/>
      <c r="M1212" s="36"/>
      <c r="N1212" s="65"/>
      <c r="O1212" s="34"/>
      <c r="P1212" s="68"/>
      <c r="Q1212" s="68"/>
      <c r="R1212" s="34"/>
      <c r="S1212" s="34"/>
      <c r="T1212" s="34"/>
      <c r="U1212" s="34"/>
      <c r="V1212" s="34"/>
      <c r="W1212" s="34"/>
      <c r="X1212" s="34"/>
      <c r="Y1212"/>
    </row>
    <row r="1213" spans="1:25" s="91" customFormat="1" ht="15" customHeight="1" x14ac:dyDescent="0.25">
      <c r="A1213" s="32" t="s">
        <v>1938</v>
      </c>
      <c r="B1213" s="306" t="str">
        <f>IF((COUNTBLANK(G1213)=0),Stats!$E$7,IF((COUNTBLANK(E1213)=0),IF((COUNTBLANK(F1213)=0),IF((COUNTBLANK(U1213)=0),Stats!$E$6,Stats!$E$5),Stats!$E$4),""))</f>
        <v>Death</v>
      </c>
      <c r="C1213" s="41"/>
      <c r="D1213" s="306" t="str">
        <f>IF(B1213=Stats!$E$6,Stats!$E$11,"")</f>
        <v/>
      </c>
      <c r="E1213" s="89">
        <v>45320</v>
      </c>
      <c r="F1213" s="89"/>
      <c r="G1213" s="89">
        <v>45320</v>
      </c>
      <c r="H1213" s="34"/>
      <c r="I1213" s="34"/>
      <c r="J1213" s="34"/>
      <c r="K1213" s="36"/>
      <c r="L1213" s="36"/>
      <c r="M1213" s="36"/>
      <c r="N1213" s="65"/>
      <c r="O1213" s="34"/>
      <c r="P1213" s="68"/>
      <c r="Q1213" s="68"/>
      <c r="R1213" s="34"/>
      <c r="S1213" s="34"/>
      <c r="T1213" s="34"/>
      <c r="U1213" s="34"/>
      <c r="V1213" s="34"/>
      <c r="W1213" s="34"/>
      <c r="X1213" s="34"/>
      <c r="Y1213"/>
    </row>
    <row r="1214" spans="1:25" s="91" customFormat="1" ht="15" customHeight="1" x14ac:dyDescent="0.25">
      <c r="A1214" s="32" t="s">
        <v>1939</v>
      </c>
      <c r="B1214" s="306" t="str">
        <f>IF((COUNTBLANK(G1214)=0),Stats!$E$7,IF((COUNTBLANK(E1214)=0),IF((COUNTBLANK(F1214)=0),IF((COUNTBLANK(U1214)=0),Stats!$E$6,Stats!$E$5),Stats!$E$4),""))</f>
        <v>Death</v>
      </c>
      <c r="C1214" s="41"/>
      <c r="D1214" s="306" t="str">
        <f>IF(B1214=Stats!$E$6,Stats!$E$11,"")</f>
        <v/>
      </c>
      <c r="E1214" s="89">
        <v>45320</v>
      </c>
      <c r="F1214" s="89"/>
      <c r="G1214" s="89">
        <v>45320</v>
      </c>
      <c r="H1214" s="34"/>
      <c r="I1214" s="34"/>
      <c r="J1214" s="34"/>
      <c r="K1214" s="36"/>
      <c r="L1214" s="36"/>
      <c r="M1214" s="36"/>
      <c r="N1214" s="65"/>
      <c r="O1214" s="34"/>
      <c r="P1214" s="68"/>
      <c r="Q1214" s="68"/>
      <c r="R1214" s="34"/>
      <c r="S1214" s="34"/>
      <c r="T1214" s="34"/>
      <c r="U1214" s="34"/>
      <c r="V1214" s="34"/>
      <c r="W1214" s="34"/>
      <c r="X1214" s="34"/>
      <c r="Y1214"/>
    </row>
    <row r="1215" spans="1:25" s="91" customFormat="1" ht="15" customHeight="1" x14ac:dyDescent="0.25">
      <c r="A1215" s="32" t="s">
        <v>1940</v>
      </c>
      <c r="B1215" s="306" t="str">
        <f>IF((COUNTBLANK(G1215)=0),Stats!$E$7,IF((COUNTBLANK(E1215)=0),IF((COUNTBLANK(F1215)=0),IF((COUNTBLANK(U1215)=0),Stats!$E$6,Stats!$E$5),Stats!$E$4),""))</f>
        <v>Death</v>
      </c>
      <c r="C1215" s="41"/>
      <c r="D1215" s="306" t="str">
        <f>IF(B1215=Stats!$E$6,Stats!$E$11,"")</f>
        <v/>
      </c>
      <c r="E1215" s="89">
        <v>45320</v>
      </c>
      <c r="F1215" s="89"/>
      <c r="G1215" s="89">
        <v>45320</v>
      </c>
      <c r="H1215" s="34"/>
      <c r="I1215" s="34"/>
      <c r="J1215" s="34"/>
      <c r="K1215" s="36"/>
      <c r="L1215" s="36"/>
      <c r="M1215" s="36"/>
      <c r="N1215" s="65"/>
      <c r="O1215" s="34"/>
      <c r="P1215" s="68"/>
      <c r="Q1215" s="68"/>
      <c r="R1215" s="34"/>
      <c r="S1215" s="34"/>
      <c r="T1215" s="34"/>
      <c r="U1215" s="34"/>
      <c r="V1215" s="34"/>
      <c r="W1215" s="34"/>
      <c r="X1215" s="34"/>
      <c r="Y1215"/>
    </row>
    <row r="1216" spans="1:25" s="91" customFormat="1" ht="15" customHeight="1" x14ac:dyDescent="0.25">
      <c r="A1216" s="32" t="s">
        <v>1941</v>
      </c>
      <c r="B1216" s="306" t="str">
        <f>IF((COUNTBLANK(G1216)=0),Stats!$E$7,IF((COUNTBLANK(E1216)=0),IF((COUNTBLANK(F1216)=0),IF((COUNTBLANK(U1216)=0),Stats!$E$6,Stats!$E$5),Stats!$E$4),""))</f>
        <v>Death</v>
      </c>
      <c r="C1216" s="41"/>
      <c r="D1216" s="306" t="str">
        <f>IF(B1216=Stats!$E$6,Stats!$E$11,"")</f>
        <v/>
      </c>
      <c r="E1216" s="89">
        <v>45320</v>
      </c>
      <c r="F1216" s="89"/>
      <c r="G1216" s="89">
        <v>45320</v>
      </c>
      <c r="H1216" s="34"/>
      <c r="I1216" s="34"/>
      <c r="J1216" s="34"/>
      <c r="K1216" s="36"/>
      <c r="L1216" s="36"/>
      <c r="M1216" s="36"/>
      <c r="N1216" s="65"/>
      <c r="O1216" s="34"/>
      <c r="P1216" s="68"/>
      <c r="Q1216" s="68"/>
      <c r="R1216" s="34"/>
      <c r="S1216" s="34"/>
      <c r="T1216" s="34"/>
      <c r="U1216" s="34"/>
      <c r="V1216" s="34"/>
      <c r="W1216" s="34"/>
      <c r="X1216" s="34"/>
      <c r="Y1216"/>
    </row>
    <row r="1217" spans="1:25" s="91" customFormat="1" ht="15" customHeight="1" x14ac:dyDescent="0.25">
      <c r="A1217" s="32" t="s">
        <v>1942</v>
      </c>
      <c r="B1217" s="306" t="str">
        <f>IF((COUNTBLANK(G1217)=0),Stats!$E$7,IF((COUNTBLANK(E1217)=0),IF((COUNTBLANK(F1217)=0),IF((COUNTBLANK(U1217)=0),Stats!$E$6,Stats!$E$5),Stats!$E$4),""))</f>
        <v>Death</v>
      </c>
      <c r="C1217" s="41"/>
      <c r="D1217" s="306" t="str">
        <f>IF(B1217=Stats!$E$6,Stats!$E$11,"")</f>
        <v/>
      </c>
      <c r="E1217" s="89">
        <v>45320</v>
      </c>
      <c r="F1217" s="89"/>
      <c r="G1217" s="89">
        <v>45320</v>
      </c>
      <c r="H1217" s="34"/>
      <c r="I1217" s="34"/>
      <c r="J1217" s="34"/>
      <c r="K1217" s="36"/>
      <c r="L1217" s="36"/>
      <c r="M1217" s="36"/>
      <c r="N1217" s="65"/>
      <c r="O1217" s="34"/>
      <c r="P1217" s="68"/>
      <c r="Q1217" s="68"/>
      <c r="R1217" s="34"/>
      <c r="S1217" s="34"/>
      <c r="T1217" s="34"/>
      <c r="U1217" s="34"/>
      <c r="V1217" s="34"/>
      <c r="W1217" s="34"/>
      <c r="X1217" s="34"/>
      <c r="Y1217"/>
    </row>
    <row r="1218" spans="1:25" s="91" customFormat="1" ht="15" customHeight="1" x14ac:dyDescent="0.25">
      <c r="A1218" s="32" t="s">
        <v>1943</v>
      </c>
      <c r="B1218" s="306" t="str">
        <f>IF((COUNTBLANK(G1218)=0),Stats!$E$7,IF((COUNTBLANK(E1218)=0),IF((COUNTBLANK(F1218)=0),IF((COUNTBLANK(U1218)=0),Stats!$E$6,Stats!$E$5),Stats!$E$4),""))</f>
        <v>Death</v>
      </c>
      <c r="C1218" s="41"/>
      <c r="D1218" s="306" t="str">
        <f>IF(B1218=Stats!$E$6,Stats!$E$11,"")</f>
        <v/>
      </c>
      <c r="E1218" s="89">
        <v>45320</v>
      </c>
      <c r="F1218" s="89"/>
      <c r="G1218" s="89">
        <v>45320</v>
      </c>
      <c r="H1218" s="34"/>
      <c r="I1218" s="34"/>
      <c r="J1218" s="34"/>
      <c r="K1218" s="36"/>
      <c r="L1218" s="36"/>
      <c r="M1218" s="36"/>
      <c r="N1218" s="65"/>
      <c r="O1218" s="34"/>
      <c r="P1218" s="68"/>
      <c r="Q1218" s="68"/>
      <c r="R1218" s="34"/>
      <c r="S1218" s="34"/>
      <c r="T1218" s="34"/>
      <c r="U1218" s="34"/>
      <c r="V1218" s="34"/>
      <c r="W1218" s="34"/>
      <c r="X1218" s="34"/>
      <c r="Y1218"/>
    </row>
    <row r="1219" spans="1:25" s="91" customFormat="1" ht="15" customHeight="1" x14ac:dyDescent="0.25">
      <c r="A1219" s="32" t="s">
        <v>1944</v>
      </c>
      <c r="B1219" s="306" t="str">
        <f>IF((COUNTBLANK(G1219)=0),Stats!$E$7,IF((COUNTBLANK(E1219)=0),IF((COUNTBLANK(F1219)=0),IF((COUNTBLANK(U1219)=0),Stats!$E$6,Stats!$E$5),Stats!$E$4),""))</f>
        <v>Death</v>
      </c>
      <c r="C1219" s="41"/>
      <c r="D1219" s="306" t="str">
        <f>IF(B1219=Stats!$E$6,Stats!$E$11,"")</f>
        <v/>
      </c>
      <c r="E1219" s="89">
        <v>45320</v>
      </c>
      <c r="F1219" s="89"/>
      <c r="G1219" s="89">
        <v>45320</v>
      </c>
      <c r="H1219" s="34"/>
      <c r="I1219" s="34"/>
      <c r="J1219" s="34"/>
      <c r="K1219" s="36"/>
      <c r="L1219" s="36"/>
      <c r="M1219" s="36"/>
      <c r="N1219" s="65"/>
      <c r="O1219" s="34"/>
      <c r="P1219" s="68"/>
      <c r="Q1219" s="68"/>
      <c r="R1219" s="34"/>
      <c r="S1219" s="34"/>
      <c r="T1219" s="34"/>
      <c r="U1219" s="34"/>
      <c r="V1219" s="34"/>
      <c r="W1219" s="34"/>
      <c r="X1219" s="34"/>
      <c r="Y1219"/>
    </row>
    <row r="1220" spans="1:25" s="91" customFormat="1" ht="15" customHeight="1" x14ac:dyDescent="0.25">
      <c r="A1220" s="32" t="s">
        <v>1945</v>
      </c>
      <c r="B1220" s="306" t="str">
        <f>IF((COUNTBLANK(G1220)=0),Stats!$E$7,IF((COUNTBLANK(E1220)=0),IF((COUNTBLANK(F1220)=0),IF((COUNTBLANK(U1220)=0),Stats!$E$6,Stats!$E$5),Stats!$E$4),""))</f>
        <v>Death</v>
      </c>
      <c r="C1220" s="41"/>
      <c r="D1220" s="306" t="str">
        <f>IF(B1220=Stats!$E$6,Stats!$E$11,"")</f>
        <v/>
      </c>
      <c r="E1220" s="89">
        <v>45320</v>
      </c>
      <c r="F1220" s="89"/>
      <c r="G1220" s="89">
        <v>45320</v>
      </c>
      <c r="H1220" s="34"/>
      <c r="I1220" s="34"/>
      <c r="J1220" s="34"/>
      <c r="K1220" s="36"/>
      <c r="L1220" s="36"/>
      <c r="M1220" s="36"/>
      <c r="N1220" s="65"/>
      <c r="O1220" s="34"/>
      <c r="P1220" s="68"/>
      <c r="Q1220" s="68"/>
      <c r="R1220" s="34"/>
      <c r="S1220" s="34"/>
      <c r="T1220" s="34"/>
      <c r="U1220" s="34"/>
      <c r="V1220" s="34"/>
      <c r="W1220" s="34"/>
      <c r="X1220" s="34"/>
      <c r="Y1220"/>
    </row>
    <row r="1221" spans="1:25" s="91" customFormat="1" ht="15" customHeight="1" x14ac:dyDescent="0.25">
      <c r="A1221" s="32" t="s">
        <v>1946</v>
      </c>
      <c r="B1221" s="306" t="str">
        <f>IF((COUNTBLANK(G1221)=0),Stats!$E$7,IF((COUNTBLANK(E1221)=0),IF((COUNTBLANK(F1221)=0),IF((COUNTBLANK(U1221)=0),Stats!$E$6,Stats!$E$5),Stats!$E$4),""))</f>
        <v>Death</v>
      </c>
      <c r="C1221" s="41"/>
      <c r="D1221" s="306" t="str">
        <f>IF(B1221=Stats!$E$6,Stats!$E$11,"")</f>
        <v/>
      </c>
      <c r="E1221" s="89">
        <v>45320</v>
      </c>
      <c r="F1221" s="89"/>
      <c r="G1221" s="89">
        <v>45320</v>
      </c>
      <c r="H1221" s="34"/>
      <c r="I1221" s="34"/>
      <c r="J1221" s="34"/>
      <c r="K1221" s="36"/>
      <c r="L1221" s="36"/>
      <c r="M1221" s="36"/>
      <c r="N1221" s="65"/>
      <c r="O1221" s="34"/>
      <c r="P1221" s="68"/>
      <c r="Q1221" s="68"/>
      <c r="R1221" s="34"/>
      <c r="S1221" s="34"/>
      <c r="T1221" s="34"/>
      <c r="U1221" s="34"/>
      <c r="V1221" s="34"/>
      <c r="W1221" s="34"/>
      <c r="X1221" s="34"/>
      <c r="Y1221"/>
    </row>
    <row r="1222" spans="1:25" s="91" customFormat="1" ht="15" customHeight="1" x14ac:dyDescent="0.25">
      <c r="A1222" s="32" t="s">
        <v>1947</v>
      </c>
      <c r="B1222" s="306" t="str">
        <f>IF((COUNTBLANK(G1222)=0),Stats!$E$7,IF((COUNTBLANK(E1222)=0),IF((COUNTBLANK(F1222)=0),IF((COUNTBLANK(U1222)=0),Stats!$E$6,Stats!$E$5),Stats!$E$4),""))</f>
        <v>Death</v>
      </c>
      <c r="C1222" s="41"/>
      <c r="D1222" s="306" t="str">
        <f>IF(B1222=Stats!$E$6,Stats!$E$11,"")</f>
        <v/>
      </c>
      <c r="E1222" s="89">
        <v>45320</v>
      </c>
      <c r="F1222" s="89"/>
      <c r="G1222" s="89">
        <v>45320</v>
      </c>
      <c r="H1222" s="34"/>
      <c r="I1222" s="34"/>
      <c r="J1222" s="34"/>
      <c r="K1222" s="36"/>
      <c r="L1222" s="36"/>
      <c r="M1222" s="36"/>
      <c r="N1222" s="65"/>
      <c r="O1222" s="34"/>
      <c r="P1222" s="68"/>
      <c r="Q1222" s="68"/>
      <c r="R1222" s="34"/>
      <c r="S1222" s="34"/>
      <c r="T1222" s="34"/>
      <c r="U1222" s="34"/>
      <c r="V1222" s="34"/>
      <c r="W1222" s="34"/>
      <c r="X1222" s="34"/>
      <c r="Y1222"/>
    </row>
    <row r="1223" spans="1:25" s="91" customFormat="1" ht="15" customHeight="1" x14ac:dyDescent="0.25">
      <c r="A1223" s="32" t="s">
        <v>1948</v>
      </c>
      <c r="B1223" s="306" t="str">
        <f>IF((COUNTBLANK(G1223)=0),Stats!$E$7,IF((COUNTBLANK(E1223)=0),IF((COUNTBLANK(F1223)=0),IF((COUNTBLANK(U1223)=0),Stats!$E$6,Stats!$E$5),Stats!$E$4),""))</f>
        <v>Death</v>
      </c>
      <c r="C1223" s="41"/>
      <c r="D1223" s="306" t="str">
        <f>IF(B1223=Stats!$E$6,Stats!$E$11,"")</f>
        <v/>
      </c>
      <c r="E1223" s="89">
        <v>45320</v>
      </c>
      <c r="F1223" s="89"/>
      <c r="G1223" s="89">
        <v>45320</v>
      </c>
      <c r="H1223" s="34"/>
      <c r="I1223" s="34"/>
      <c r="J1223" s="34"/>
      <c r="K1223" s="36"/>
      <c r="L1223" s="36"/>
      <c r="M1223" s="36"/>
      <c r="N1223" s="65"/>
      <c r="O1223" s="34"/>
      <c r="P1223" s="68"/>
      <c r="Q1223" s="68"/>
      <c r="R1223" s="34"/>
      <c r="S1223" s="34"/>
      <c r="T1223" s="34"/>
      <c r="U1223" s="34"/>
      <c r="V1223" s="34"/>
      <c r="W1223" s="34"/>
      <c r="X1223" s="34"/>
      <c r="Y1223"/>
    </row>
    <row r="1224" spans="1:25" s="91" customFormat="1" ht="15" customHeight="1" x14ac:dyDescent="0.25">
      <c r="A1224" s="32" t="s">
        <v>1949</v>
      </c>
      <c r="B1224" s="306" t="str">
        <f>IF((COUNTBLANK(G1224)=0),Stats!$E$7,IF((COUNTBLANK(E1224)=0),IF((COUNTBLANK(F1224)=0),IF((COUNTBLANK(U1224)=0),Stats!$E$6,Stats!$E$5),Stats!$E$4),""))</f>
        <v>Death</v>
      </c>
      <c r="C1224" s="41"/>
      <c r="D1224" s="306" t="str">
        <f>IF(B1224=Stats!$E$6,Stats!$E$11,"")</f>
        <v/>
      </c>
      <c r="E1224" s="89">
        <v>45320</v>
      </c>
      <c r="F1224" s="89"/>
      <c r="G1224" s="89">
        <v>45320</v>
      </c>
      <c r="H1224" s="34"/>
      <c r="I1224" s="34"/>
      <c r="J1224" s="34"/>
      <c r="K1224" s="36"/>
      <c r="L1224" s="36"/>
      <c r="M1224" s="36"/>
      <c r="N1224" s="65"/>
      <c r="O1224" s="34"/>
      <c r="P1224" s="68"/>
      <c r="Q1224" s="68"/>
      <c r="R1224" s="34"/>
      <c r="S1224" s="34"/>
      <c r="T1224" s="34"/>
      <c r="U1224" s="34"/>
      <c r="V1224" s="34"/>
      <c r="W1224" s="34"/>
      <c r="X1224" s="34"/>
      <c r="Y1224"/>
    </row>
    <row r="1225" spans="1:25" s="91" customFormat="1" ht="15" customHeight="1" x14ac:dyDescent="0.25">
      <c r="A1225" s="32" t="s">
        <v>1950</v>
      </c>
      <c r="B1225" s="306" t="str">
        <f>IF((COUNTBLANK(G1225)=0),Stats!$E$7,IF((COUNTBLANK(E1225)=0),IF((COUNTBLANK(F1225)=0),IF((COUNTBLANK(U1225)=0),Stats!$E$6,Stats!$E$5),Stats!$E$4),""))</f>
        <v>Death</v>
      </c>
      <c r="C1225" s="41"/>
      <c r="D1225" s="306" t="str">
        <f>IF(B1225=Stats!$E$6,Stats!$E$11,"")</f>
        <v/>
      </c>
      <c r="E1225" s="89">
        <v>45320</v>
      </c>
      <c r="F1225" s="89"/>
      <c r="G1225" s="89">
        <v>45320</v>
      </c>
      <c r="H1225" s="34"/>
      <c r="I1225" s="34"/>
      <c r="J1225" s="34"/>
      <c r="K1225" s="36"/>
      <c r="L1225" s="36"/>
      <c r="M1225" s="36"/>
      <c r="N1225" s="65"/>
      <c r="O1225" s="34"/>
      <c r="P1225" s="68"/>
      <c r="Q1225" s="68"/>
      <c r="R1225" s="34"/>
      <c r="S1225" s="34"/>
      <c r="T1225" s="34"/>
      <c r="U1225" s="34"/>
      <c r="V1225" s="34"/>
      <c r="W1225" s="34"/>
      <c r="X1225" s="34"/>
      <c r="Y1225"/>
    </row>
    <row r="1226" spans="1:25" s="91" customFormat="1" ht="15" customHeight="1" x14ac:dyDescent="0.25">
      <c r="A1226" s="32" t="s">
        <v>1951</v>
      </c>
      <c r="B1226" s="306" t="str">
        <f>IF((COUNTBLANK(G1226)=0),Stats!$E$7,IF((COUNTBLANK(E1226)=0),IF((COUNTBLANK(F1226)=0),IF((COUNTBLANK(U1226)=0),Stats!$E$6,Stats!$E$5),Stats!$E$4),""))</f>
        <v>Death</v>
      </c>
      <c r="C1226" s="41"/>
      <c r="D1226" s="306" t="str">
        <f>IF(B1226=Stats!$E$6,Stats!$E$11,"")</f>
        <v/>
      </c>
      <c r="E1226" s="89">
        <v>45320</v>
      </c>
      <c r="F1226" s="89"/>
      <c r="G1226" s="89">
        <v>45320</v>
      </c>
      <c r="H1226" s="34"/>
      <c r="I1226" s="34"/>
      <c r="J1226" s="34"/>
      <c r="K1226" s="36"/>
      <c r="L1226" s="36"/>
      <c r="M1226" s="36"/>
      <c r="N1226" s="65"/>
      <c r="O1226" s="34"/>
      <c r="P1226" s="68"/>
      <c r="Q1226" s="68"/>
      <c r="R1226" s="34"/>
      <c r="S1226" s="34"/>
      <c r="T1226" s="34"/>
      <c r="U1226" s="34"/>
      <c r="V1226" s="34"/>
      <c r="W1226" s="34"/>
      <c r="X1226" s="34"/>
      <c r="Y1226"/>
    </row>
    <row r="1227" spans="1:25" s="91" customFormat="1" ht="15" customHeight="1" x14ac:dyDescent="0.25">
      <c r="A1227" s="32" t="s">
        <v>1952</v>
      </c>
      <c r="B1227" s="306" t="str">
        <f>IF((COUNTBLANK(G1227)=0),Stats!$E$7,IF((COUNTBLANK(E1227)=0),IF((COUNTBLANK(F1227)=0),IF((COUNTBLANK(U1227)=0),Stats!$E$6,Stats!$E$5),Stats!$E$4),""))</f>
        <v>Death</v>
      </c>
      <c r="C1227" s="41"/>
      <c r="D1227" s="306" t="str">
        <f>IF(B1227=Stats!$E$6,Stats!$E$11,"")</f>
        <v/>
      </c>
      <c r="E1227" s="89">
        <v>45320</v>
      </c>
      <c r="F1227" s="89"/>
      <c r="G1227" s="89">
        <v>45320</v>
      </c>
      <c r="H1227" s="34"/>
      <c r="I1227" s="34"/>
      <c r="J1227" s="34"/>
      <c r="K1227" s="36"/>
      <c r="L1227" s="36"/>
      <c r="M1227" s="36"/>
      <c r="N1227" s="65"/>
      <c r="O1227" s="34"/>
      <c r="P1227" s="68"/>
      <c r="Q1227" s="68"/>
      <c r="R1227" s="34"/>
      <c r="S1227" s="34"/>
      <c r="T1227" s="34"/>
      <c r="U1227" s="34"/>
      <c r="V1227" s="34"/>
      <c r="W1227" s="34"/>
      <c r="X1227" s="34"/>
      <c r="Y1227"/>
    </row>
    <row r="1228" spans="1:25" s="91" customFormat="1" ht="15" customHeight="1" x14ac:dyDescent="0.25">
      <c r="A1228" s="32" t="s">
        <v>1953</v>
      </c>
      <c r="B1228" s="306" t="str">
        <f>IF((COUNTBLANK(G1228)=0),Stats!$E$7,IF((COUNTBLANK(E1228)=0),IF((COUNTBLANK(F1228)=0),IF((COUNTBLANK(U1228)=0),Stats!$E$6,Stats!$E$5),Stats!$E$4),""))</f>
        <v>Death</v>
      </c>
      <c r="C1228" s="41"/>
      <c r="D1228" s="306" t="str">
        <f>IF(B1228=Stats!$E$6,Stats!$E$11,"")</f>
        <v/>
      </c>
      <c r="E1228" s="89">
        <v>45320</v>
      </c>
      <c r="F1228" s="89"/>
      <c r="G1228" s="89">
        <v>45320</v>
      </c>
      <c r="H1228" s="34"/>
      <c r="I1228" s="34"/>
      <c r="J1228" s="34"/>
      <c r="K1228" s="36"/>
      <c r="L1228" s="36"/>
      <c r="M1228" s="36"/>
      <c r="N1228" s="65"/>
      <c r="O1228" s="34"/>
      <c r="P1228" s="68"/>
      <c r="Q1228" s="68"/>
      <c r="R1228" s="34"/>
      <c r="S1228" s="34"/>
      <c r="T1228" s="34"/>
      <c r="U1228" s="34"/>
      <c r="V1228" s="34"/>
      <c r="W1228" s="34"/>
      <c r="X1228" s="34"/>
      <c r="Y1228"/>
    </row>
    <row r="1229" spans="1:25" s="91" customFormat="1" ht="15" customHeight="1" x14ac:dyDescent="0.25">
      <c r="A1229" s="32" t="s">
        <v>1954</v>
      </c>
      <c r="B1229" s="306" t="str">
        <f>IF((COUNTBLANK(G1229)=0),Stats!$E$7,IF((COUNTBLANK(E1229)=0),IF((COUNTBLANK(F1229)=0),IF((COUNTBLANK(U1229)=0),Stats!$E$6,Stats!$E$5),Stats!$E$4),""))</f>
        <v>Death</v>
      </c>
      <c r="C1229" s="41"/>
      <c r="D1229" s="306" t="str">
        <f>IF(B1229=Stats!$E$6,Stats!$E$11,"")</f>
        <v/>
      </c>
      <c r="E1229" s="89">
        <v>45320</v>
      </c>
      <c r="F1229" s="89"/>
      <c r="G1229" s="89">
        <v>45320</v>
      </c>
      <c r="H1229" s="34"/>
      <c r="I1229" s="34"/>
      <c r="J1229" s="34"/>
      <c r="K1229" s="36"/>
      <c r="L1229" s="36"/>
      <c r="M1229" s="36"/>
      <c r="N1229" s="65"/>
      <c r="O1229" s="34"/>
      <c r="P1229" s="68"/>
      <c r="Q1229" s="68"/>
      <c r="R1229" s="34"/>
      <c r="S1229" s="34"/>
      <c r="T1229" s="34"/>
      <c r="U1229" s="34"/>
      <c r="V1229" s="34"/>
      <c r="W1229" s="34"/>
      <c r="X1229" s="34"/>
      <c r="Y1229"/>
    </row>
    <row r="1230" spans="1:25" s="91" customFormat="1" ht="15" customHeight="1" x14ac:dyDescent="0.25">
      <c r="A1230" s="32" t="s">
        <v>1955</v>
      </c>
      <c r="B1230" s="306" t="str">
        <f>IF((COUNTBLANK(G1230)=0),Stats!$E$7,IF((COUNTBLANK(E1230)=0),IF((COUNTBLANK(F1230)=0),IF((COUNTBLANK(U1230)=0),Stats!$E$6,Stats!$E$5),Stats!$E$4),""))</f>
        <v>Death</v>
      </c>
      <c r="C1230" s="41"/>
      <c r="D1230" s="306" t="str">
        <f>IF(B1230=Stats!$E$6,Stats!$E$11,"")</f>
        <v/>
      </c>
      <c r="E1230" s="89">
        <v>45320</v>
      </c>
      <c r="F1230" s="89"/>
      <c r="G1230" s="89">
        <v>45320</v>
      </c>
      <c r="H1230" s="34"/>
      <c r="I1230" s="34"/>
      <c r="J1230" s="34"/>
      <c r="K1230" s="36"/>
      <c r="L1230" s="36"/>
      <c r="M1230" s="36"/>
      <c r="N1230" s="65"/>
      <c r="O1230" s="34"/>
      <c r="P1230" s="68"/>
      <c r="Q1230" s="68"/>
      <c r="R1230" s="34"/>
      <c r="S1230" s="34"/>
      <c r="T1230" s="34"/>
      <c r="U1230" s="34"/>
      <c r="V1230" s="34"/>
      <c r="W1230" s="34"/>
      <c r="X1230" s="34"/>
      <c r="Y1230"/>
    </row>
    <row r="1231" spans="1:25" s="91" customFormat="1" ht="15" customHeight="1" x14ac:dyDescent="0.25">
      <c r="A1231" s="32" t="s">
        <v>1956</v>
      </c>
      <c r="B1231" s="306" t="str">
        <f>IF((COUNTBLANK(G1231)=0),Stats!$E$7,IF((COUNTBLANK(E1231)=0),IF((COUNTBLANK(F1231)=0),IF((COUNTBLANK(U1231)=0),Stats!$E$6,Stats!$E$5),Stats!$E$4),""))</f>
        <v>Death</v>
      </c>
      <c r="C1231" s="41"/>
      <c r="D1231" s="306" t="str">
        <f>IF(B1231=Stats!$E$6,Stats!$E$11,"")</f>
        <v/>
      </c>
      <c r="E1231" s="89">
        <v>45320</v>
      </c>
      <c r="F1231" s="89"/>
      <c r="G1231" s="89">
        <v>45320</v>
      </c>
      <c r="H1231" s="34"/>
      <c r="I1231" s="34"/>
      <c r="J1231" s="34"/>
      <c r="K1231" s="36"/>
      <c r="L1231" s="36"/>
      <c r="M1231" s="36"/>
      <c r="N1231" s="65"/>
      <c r="O1231" s="34"/>
      <c r="P1231" s="68"/>
      <c r="Q1231" s="68"/>
      <c r="R1231" s="34"/>
      <c r="S1231" s="34"/>
      <c r="T1231" s="34"/>
      <c r="U1231" s="34"/>
      <c r="V1231" s="34"/>
      <c r="W1231" s="34"/>
      <c r="X1231" s="34"/>
      <c r="Y1231"/>
    </row>
    <row r="1232" spans="1:25" s="91" customFormat="1" ht="15" customHeight="1" x14ac:dyDescent="0.25">
      <c r="A1232" s="32" t="s">
        <v>1957</v>
      </c>
      <c r="B1232" s="306" t="str">
        <f>IF((COUNTBLANK(G1232)=0),Stats!$E$7,IF((COUNTBLANK(E1232)=0),IF((COUNTBLANK(F1232)=0),IF((COUNTBLANK(U1232)=0),Stats!$E$6,Stats!$E$5),Stats!$E$4),""))</f>
        <v>Death</v>
      </c>
      <c r="C1232" s="41"/>
      <c r="D1232" s="306" t="str">
        <f>IF(B1232=Stats!$E$6,Stats!$E$11,"")</f>
        <v/>
      </c>
      <c r="E1232" s="89">
        <v>45320</v>
      </c>
      <c r="F1232" s="89"/>
      <c r="G1232" s="89">
        <v>45320</v>
      </c>
      <c r="H1232" s="34"/>
      <c r="I1232" s="34"/>
      <c r="J1232" s="34"/>
      <c r="K1232" s="36"/>
      <c r="L1232" s="36"/>
      <c r="M1232" s="36"/>
      <c r="N1232" s="65"/>
      <c r="O1232" s="34"/>
      <c r="P1232" s="68"/>
      <c r="Q1232" s="68"/>
      <c r="R1232" s="34"/>
      <c r="S1232" s="34"/>
      <c r="T1232" s="34"/>
      <c r="U1232" s="34"/>
      <c r="V1232" s="34"/>
      <c r="W1232" s="34"/>
      <c r="X1232" s="34"/>
      <c r="Y1232"/>
    </row>
    <row r="1233" spans="1:25" s="91" customFormat="1" ht="15" customHeight="1" x14ac:dyDescent="0.25">
      <c r="A1233" s="32" t="s">
        <v>1958</v>
      </c>
      <c r="B1233" s="306" t="str">
        <f>IF((COUNTBLANK(G1233)=0),Stats!$E$7,IF((COUNTBLANK(E1233)=0),IF((COUNTBLANK(F1233)=0),IF((COUNTBLANK(U1233)=0),Stats!$E$6,Stats!$E$5),Stats!$E$4),""))</f>
        <v>Death</v>
      </c>
      <c r="C1233" s="41"/>
      <c r="D1233" s="306" t="str">
        <f>IF(B1233=Stats!$E$6,Stats!$E$11,"")</f>
        <v/>
      </c>
      <c r="E1233" s="89">
        <v>45320</v>
      </c>
      <c r="F1233" s="89"/>
      <c r="G1233" s="89">
        <v>45320</v>
      </c>
      <c r="H1233" s="34"/>
      <c r="I1233" s="34"/>
      <c r="J1233" s="34"/>
      <c r="K1233" s="36"/>
      <c r="L1233" s="36"/>
      <c r="M1233" s="36"/>
      <c r="N1233" s="65"/>
      <c r="O1233" s="34"/>
      <c r="P1233" s="68"/>
      <c r="Q1233" s="68"/>
      <c r="R1233" s="34"/>
      <c r="S1233" s="34"/>
      <c r="T1233" s="34"/>
      <c r="U1233" s="34"/>
      <c r="V1233" s="34"/>
      <c r="W1233" s="34"/>
      <c r="X1233" s="34"/>
      <c r="Y1233"/>
    </row>
    <row r="1234" spans="1:25" s="91" customFormat="1" ht="15" customHeight="1" x14ac:dyDescent="0.25">
      <c r="A1234" s="32" t="s">
        <v>1959</v>
      </c>
      <c r="B1234" s="306" t="str">
        <f>IF((COUNTBLANK(G1234)=0),Stats!$E$7,IF((COUNTBLANK(E1234)=0),IF((COUNTBLANK(F1234)=0),IF((COUNTBLANK(U1234)=0),Stats!$E$6,Stats!$E$5),Stats!$E$4),""))</f>
        <v>Death</v>
      </c>
      <c r="C1234" s="41"/>
      <c r="D1234" s="306" t="str">
        <f>IF(B1234=Stats!$E$6,Stats!$E$11,"")</f>
        <v/>
      </c>
      <c r="E1234" s="89">
        <v>45320</v>
      </c>
      <c r="F1234" s="89"/>
      <c r="G1234" s="89">
        <v>45320</v>
      </c>
      <c r="H1234" s="34"/>
      <c r="I1234" s="34"/>
      <c r="J1234" s="34"/>
      <c r="K1234" s="36"/>
      <c r="L1234" s="36"/>
      <c r="M1234" s="36"/>
      <c r="N1234" s="65"/>
      <c r="O1234" s="34"/>
      <c r="P1234" s="68"/>
      <c r="Q1234" s="68"/>
      <c r="R1234" s="34"/>
      <c r="S1234" s="34"/>
      <c r="T1234" s="34"/>
      <c r="U1234" s="34"/>
      <c r="V1234" s="34"/>
      <c r="W1234" s="34"/>
      <c r="X1234" s="34"/>
      <c r="Y1234"/>
    </row>
    <row r="1235" spans="1:25" s="91" customFormat="1" ht="15" customHeight="1" x14ac:dyDescent="0.25">
      <c r="A1235" s="32" t="s">
        <v>1960</v>
      </c>
      <c r="B1235" s="306" t="str">
        <f>IF((COUNTBLANK(G1235)=0),Stats!$E$7,IF((COUNTBLANK(E1235)=0),IF((COUNTBLANK(F1235)=0),IF((COUNTBLANK(U1235)=0),Stats!$E$6,Stats!$E$5),Stats!$E$4),""))</f>
        <v>Death</v>
      </c>
      <c r="C1235" s="41"/>
      <c r="D1235" s="306" t="str">
        <f>IF(B1235=Stats!$E$6,Stats!$E$11,"")</f>
        <v/>
      </c>
      <c r="E1235" s="89">
        <v>45320</v>
      </c>
      <c r="F1235" s="89"/>
      <c r="G1235" s="89">
        <v>45320</v>
      </c>
      <c r="H1235" s="34"/>
      <c r="I1235" s="34"/>
      <c r="J1235" s="34"/>
      <c r="K1235" s="36"/>
      <c r="L1235" s="36"/>
      <c r="M1235" s="36"/>
      <c r="N1235" s="65"/>
      <c r="O1235" s="34"/>
      <c r="P1235" s="68"/>
      <c r="Q1235" s="68"/>
      <c r="R1235" s="34"/>
      <c r="S1235" s="34"/>
      <c r="T1235" s="34"/>
      <c r="U1235" s="34"/>
      <c r="V1235" s="34"/>
      <c r="W1235" s="34"/>
      <c r="X1235" s="34"/>
      <c r="Y1235"/>
    </row>
    <row r="1236" spans="1:25" s="91" customFormat="1" ht="15" customHeight="1" x14ac:dyDescent="0.25">
      <c r="A1236" s="32" t="s">
        <v>1961</v>
      </c>
      <c r="B1236" s="306" t="str">
        <f>IF((COUNTBLANK(G1236)=0),Stats!$E$7,IF((COUNTBLANK(E1236)=0),IF((COUNTBLANK(F1236)=0),IF((COUNTBLANK(U1236)=0),Stats!$E$6,Stats!$E$5),Stats!$E$4),""))</f>
        <v>Death</v>
      </c>
      <c r="C1236" s="41"/>
      <c r="D1236" s="306" t="str">
        <f>IF(B1236=Stats!$E$6,Stats!$E$11,"")</f>
        <v/>
      </c>
      <c r="E1236" s="89">
        <v>45320</v>
      </c>
      <c r="F1236" s="89"/>
      <c r="G1236" s="89">
        <v>45320</v>
      </c>
      <c r="H1236" s="34"/>
      <c r="I1236" s="34"/>
      <c r="J1236" s="34"/>
      <c r="K1236" s="36"/>
      <c r="L1236" s="36"/>
      <c r="M1236" s="36"/>
      <c r="N1236" s="65"/>
      <c r="O1236" s="34"/>
      <c r="P1236" s="68"/>
      <c r="Q1236" s="68"/>
      <c r="R1236" s="34"/>
      <c r="S1236" s="34"/>
      <c r="T1236" s="34"/>
      <c r="U1236" s="34"/>
      <c r="V1236" s="34"/>
      <c r="W1236" s="34"/>
      <c r="X1236" s="34"/>
      <c r="Y1236"/>
    </row>
    <row r="1237" spans="1:25" s="91" customFormat="1" ht="15" customHeight="1" x14ac:dyDescent="0.25">
      <c r="A1237" s="32" t="s">
        <v>1962</v>
      </c>
      <c r="B1237" s="306" t="str">
        <f>IF((COUNTBLANK(G1237)=0),Stats!$E$7,IF((COUNTBLANK(E1237)=0),IF((COUNTBLANK(F1237)=0),IF((COUNTBLANK(U1237)=0),Stats!$E$6,Stats!$E$5),Stats!$E$4),""))</f>
        <v>Death</v>
      </c>
      <c r="C1237" s="41"/>
      <c r="D1237" s="306" t="str">
        <f>IF(B1237=Stats!$E$6,Stats!$E$11,"")</f>
        <v/>
      </c>
      <c r="E1237" s="89">
        <v>45320</v>
      </c>
      <c r="F1237" s="89"/>
      <c r="G1237" s="89">
        <v>45320</v>
      </c>
      <c r="H1237" s="34"/>
      <c r="I1237" s="34"/>
      <c r="J1237" s="34"/>
      <c r="K1237" s="36"/>
      <c r="L1237" s="36"/>
      <c r="M1237" s="36"/>
      <c r="N1237" s="65"/>
      <c r="O1237" s="34"/>
      <c r="P1237" s="68"/>
      <c r="Q1237" s="68"/>
      <c r="R1237" s="34"/>
      <c r="S1237" s="34"/>
      <c r="T1237" s="34"/>
      <c r="U1237" s="34"/>
      <c r="V1237" s="34"/>
      <c r="W1237" s="34"/>
      <c r="X1237" s="34"/>
      <c r="Y1237"/>
    </row>
    <row r="1238" spans="1:25" s="91" customFormat="1" ht="15" customHeight="1" x14ac:dyDescent="0.25">
      <c r="A1238" s="32" t="s">
        <v>1963</v>
      </c>
      <c r="B1238" s="306" t="str">
        <f>IF((COUNTBLANK(G1238)=0),Stats!$E$7,IF((COUNTBLANK(E1238)=0),IF((COUNTBLANK(F1238)=0),IF((COUNTBLANK(U1238)=0),Stats!$E$6,Stats!$E$5),Stats!$E$4),""))</f>
        <v>Death</v>
      </c>
      <c r="C1238" s="41"/>
      <c r="D1238" s="306" t="str">
        <f>IF(B1238=Stats!$E$6,Stats!$E$11,"")</f>
        <v/>
      </c>
      <c r="E1238" s="89">
        <v>45320</v>
      </c>
      <c r="F1238" s="89"/>
      <c r="G1238" s="89">
        <v>45320</v>
      </c>
      <c r="H1238" s="34"/>
      <c r="I1238" s="34"/>
      <c r="J1238" s="34"/>
      <c r="K1238" s="36"/>
      <c r="L1238" s="36"/>
      <c r="M1238" s="36"/>
      <c r="N1238" s="65"/>
      <c r="O1238" s="34"/>
      <c r="P1238" s="68"/>
      <c r="Q1238" s="68"/>
      <c r="R1238" s="34"/>
      <c r="S1238" s="34"/>
      <c r="T1238" s="34"/>
      <c r="U1238" s="34"/>
      <c r="V1238" s="34"/>
      <c r="W1238" s="34"/>
      <c r="X1238" s="34"/>
      <c r="Y1238"/>
    </row>
    <row r="1239" spans="1:25" s="91" customFormat="1" ht="15" customHeight="1" x14ac:dyDescent="0.25">
      <c r="A1239" s="32" t="s">
        <v>1964</v>
      </c>
      <c r="B1239" s="306" t="str">
        <f>IF((COUNTBLANK(G1239)=0),Stats!$E$7,IF((COUNTBLANK(E1239)=0),IF((COUNTBLANK(F1239)=0),IF((COUNTBLANK(U1239)=0),Stats!$E$6,Stats!$E$5),Stats!$E$4),""))</f>
        <v>Death</v>
      </c>
      <c r="C1239" s="41"/>
      <c r="D1239" s="306" t="str">
        <f>IF(B1239=Stats!$E$6,Stats!$E$11,"")</f>
        <v/>
      </c>
      <c r="E1239" s="89">
        <v>45320</v>
      </c>
      <c r="F1239" s="89"/>
      <c r="G1239" s="89">
        <v>45320</v>
      </c>
      <c r="H1239" s="34"/>
      <c r="I1239" s="34"/>
      <c r="J1239" s="34"/>
      <c r="K1239" s="36"/>
      <c r="L1239" s="36"/>
      <c r="M1239" s="36"/>
      <c r="N1239" s="65"/>
      <c r="O1239" s="34"/>
      <c r="P1239" s="68"/>
      <c r="Q1239" s="68"/>
      <c r="R1239" s="34"/>
      <c r="S1239" s="34"/>
      <c r="T1239" s="34"/>
      <c r="U1239" s="34"/>
      <c r="V1239" s="34"/>
      <c r="W1239" s="34"/>
      <c r="X1239" s="34"/>
      <c r="Y1239"/>
    </row>
    <row r="1240" spans="1:25" s="91" customFormat="1" ht="15" customHeight="1" x14ac:dyDescent="0.25">
      <c r="A1240" s="32" t="s">
        <v>1965</v>
      </c>
      <c r="B1240" s="306" t="str">
        <f>IF((COUNTBLANK(G1240)=0),Stats!$E$7,IF((COUNTBLANK(E1240)=0),IF((COUNTBLANK(F1240)=0),IF((COUNTBLANK(U1240)=0),Stats!$E$6,Stats!$E$5),Stats!$E$4),""))</f>
        <v>Death</v>
      </c>
      <c r="C1240" s="41"/>
      <c r="D1240" s="306" t="str">
        <f>IF(B1240=Stats!$E$6,Stats!$E$11,"")</f>
        <v/>
      </c>
      <c r="E1240" s="89">
        <v>45320</v>
      </c>
      <c r="F1240" s="89"/>
      <c r="G1240" s="89">
        <v>45320</v>
      </c>
      <c r="H1240" s="34"/>
      <c r="I1240" s="34"/>
      <c r="J1240" s="34"/>
      <c r="K1240" s="36"/>
      <c r="L1240" s="36"/>
      <c r="M1240" s="36"/>
      <c r="N1240" s="65"/>
      <c r="O1240" s="34"/>
      <c r="P1240" s="68"/>
      <c r="Q1240" s="68"/>
      <c r="R1240" s="34"/>
      <c r="S1240" s="34"/>
      <c r="T1240" s="34"/>
      <c r="U1240" s="34"/>
      <c r="V1240" s="34"/>
      <c r="W1240" s="34"/>
      <c r="X1240" s="34"/>
      <c r="Y1240"/>
    </row>
    <row r="1241" spans="1:25" s="91" customFormat="1" ht="15" customHeight="1" x14ac:dyDescent="0.25">
      <c r="A1241" s="32" t="s">
        <v>1966</v>
      </c>
      <c r="B1241" s="306" t="str">
        <f>IF((COUNTBLANK(G1241)=0),Stats!$E$7,IF((COUNTBLANK(E1241)=0),IF((COUNTBLANK(F1241)=0),IF((COUNTBLANK(U1241)=0),Stats!$E$6,Stats!$E$5),Stats!$E$4),""))</f>
        <v>Death</v>
      </c>
      <c r="C1241" s="41"/>
      <c r="D1241" s="306" t="str">
        <f>IF(B1241=Stats!$E$6,Stats!$E$11,"")</f>
        <v/>
      </c>
      <c r="E1241" s="89">
        <v>45320</v>
      </c>
      <c r="F1241" s="89"/>
      <c r="G1241" s="89">
        <v>45320</v>
      </c>
      <c r="H1241" s="34"/>
      <c r="I1241" s="34"/>
      <c r="J1241" s="34"/>
      <c r="K1241" s="36"/>
      <c r="L1241" s="36"/>
      <c r="M1241" s="36"/>
      <c r="N1241" s="65"/>
      <c r="O1241" s="34"/>
      <c r="P1241" s="68"/>
      <c r="Q1241" s="68"/>
      <c r="R1241" s="34"/>
      <c r="S1241" s="34"/>
      <c r="T1241" s="34"/>
      <c r="U1241" s="34"/>
      <c r="V1241" s="34"/>
      <c r="W1241" s="34"/>
      <c r="X1241" s="34"/>
      <c r="Y1241"/>
    </row>
    <row r="1242" spans="1:25" s="91" customFormat="1" ht="15" customHeight="1" x14ac:dyDescent="0.25">
      <c r="A1242" s="32" t="s">
        <v>1967</v>
      </c>
      <c r="B1242" s="306" t="str">
        <f>IF((COUNTBLANK(G1242)=0),Stats!$E$7,IF((COUNTBLANK(E1242)=0),IF((COUNTBLANK(F1242)=0),IF((COUNTBLANK(U1242)=0),Stats!$E$6,Stats!$E$5),Stats!$E$4),""))</f>
        <v>Death</v>
      </c>
      <c r="C1242" s="41"/>
      <c r="D1242" s="306" t="str">
        <f>IF(B1242=Stats!$E$6,Stats!$E$11,"")</f>
        <v/>
      </c>
      <c r="E1242" s="89">
        <v>45320</v>
      </c>
      <c r="F1242" s="89"/>
      <c r="G1242" s="89">
        <v>45320</v>
      </c>
      <c r="H1242" s="34"/>
      <c r="I1242" s="34"/>
      <c r="J1242" s="34"/>
      <c r="K1242" s="36"/>
      <c r="L1242" s="36"/>
      <c r="M1242" s="36"/>
      <c r="N1242" s="65"/>
      <c r="O1242" s="34"/>
      <c r="P1242" s="68"/>
      <c r="Q1242" s="68"/>
      <c r="R1242" s="34"/>
      <c r="S1242" s="34"/>
      <c r="T1242" s="34"/>
      <c r="U1242" s="34"/>
      <c r="V1242" s="34"/>
      <c r="W1242" s="34"/>
      <c r="X1242" s="34"/>
      <c r="Y1242"/>
    </row>
    <row r="1243" spans="1:25" s="91" customFormat="1" ht="15" customHeight="1" x14ac:dyDescent="0.25">
      <c r="A1243" s="32" t="s">
        <v>1968</v>
      </c>
      <c r="B1243" s="306" t="str">
        <f>IF((COUNTBLANK(G1243)=0),Stats!$E$7,IF((COUNTBLANK(E1243)=0),IF((COUNTBLANK(F1243)=0),IF((COUNTBLANK(U1243)=0),Stats!$E$6,Stats!$E$5),Stats!$E$4),""))</f>
        <v>Death</v>
      </c>
      <c r="C1243" s="41"/>
      <c r="D1243" s="306" t="str">
        <f>IF(B1243=Stats!$E$6,Stats!$E$11,"")</f>
        <v/>
      </c>
      <c r="E1243" s="89">
        <v>45320</v>
      </c>
      <c r="F1243" s="89"/>
      <c r="G1243" s="89">
        <v>45320</v>
      </c>
      <c r="H1243" s="34"/>
      <c r="I1243" s="34"/>
      <c r="J1243" s="34"/>
      <c r="K1243" s="36"/>
      <c r="L1243" s="36"/>
      <c r="M1243" s="36"/>
      <c r="N1243" s="65"/>
      <c r="O1243" s="34"/>
      <c r="P1243" s="68"/>
      <c r="Q1243" s="68"/>
      <c r="R1243" s="34"/>
      <c r="S1243" s="34"/>
      <c r="T1243" s="34"/>
      <c r="U1243" s="34"/>
      <c r="V1243" s="34"/>
      <c r="W1243" s="34"/>
      <c r="X1243" s="34"/>
      <c r="Y1243"/>
    </row>
    <row r="1244" spans="1:25" s="91" customFormat="1" ht="15" customHeight="1" x14ac:dyDescent="0.25">
      <c r="A1244" s="32" t="s">
        <v>1969</v>
      </c>
      <c r="B1244" s="306" t="str">
        <f>IF((COUNTBLANK(G1244)=0),Stats!$E$7,IF((COUNTBLANK(E1244)=0),IF((COUNTBLANK(F1244)=0),IF((COUNTBLANK(U1244)=0),Stats!$E$6,Stats!$E$5),Stats!$E$4),""))</f>
        <v>Death</v>
      </c>
      <c r="C1244" s="41"/>
      <c r="D1244" s="306" t="str">
        <f>IF(B1244=Stats!$E$6,Stats!$E$11,"")</f>
        <v/>
      </c>
      <c r="E1244" s="89">
        <v>45320</v>
      </c>
      <c r="F1244" s="89"/>
      <c r="G1244" s="89">
        <v>45320</v>
      </c>
      <c r="H1244" s="34"/>
      <c r="I1244" s="34"/>
      <c r="J1244" s="34"/>
      <c r="K1244" s="36"/>
      <c r="L1244" s="36"/>
      <c r="M1244" s="36"/>
      <c r="N1244" s="65"/>
      <c r="O1244" s="34"/>
      <c r="P1244" s="68"/>
      <c r="Q1244" s="68"/>
      <c r="R1244" s="34"/>
      <c r="S1244" s="34"/>
      <c r="T1244" s="34"/>
      <c r="U1244" s="34"/>
      <c r="V1244" s="34"/>
      <c r="W1244" s="34"/>
      <c r="X1244" s="34"/>
      <c r="Y1244"/>
    </row>
    <row r="1245" spans="1:25" s="91" customFormat="1" ht="15" customHeight="1" x14ac:dyDescent="0.25">
      <c r="A1245" s="32" t="s">
        <v>1970</v>
      </c>
      <c r="B1245" s="306" t="str">
        <f>IF((COUNTBLANK(G1245)=0),Stats!$E$7,IF((COUNTBLANK(E1245)=0),IF((COUNTBLANK(F1245)=0),IF((COUNTBLANK(U1245)=0),Stats!$E$6,Stats!$E$5),Stats!$E$4),""))</f>
        <v>Death</v>
      </c>
      <c r="C1245" s="41"/>
      <c r="D1245" s="306" t="str">
        <f>IF(B1245=Stats!$E$6,Stats!$E$11,"")</f>
        <v/>
      </c>
      <c r="E1245" s="89">
        <v>45320</v>
      </c>
      <c r="F1245" s="89"/>
      <c r="G1245" s="89">
        <v>45320</v>
      </c>
      <c r="H1245" s="34"/>
      <c r="I1245" s="34"/>
      <c r="J1245" s="34"/>
      <c r="K1245" s="36"/>
      <c r="L1245" s="36"/>
      <c r="M1245" s="36"/>
      <c r="N1245" s="65"/>
      <c r="O1245" s="34"/>
      <c r="P1245" s="68"/>
      <c r="Q1245" s="68"/>
      <c r="R1245" s="34"/>
      <c r="S1245" s="34"/>
      <c r="T1245" s="34"/>
      <c r="U1245" s="34"/>
      <c r="V1245" s="34"/>
      <c r="W1245" s="34"/>
      <c r="X1245" s="34"/>
      <c r="Y1245"/>
    </row>
    <row r="1246" spans="1:25" s="91" customFormat="1" ht="15" customHeight="1" x14ac:dyDescent="0.25">
      <c r="A1246" s="32" t="s">
        <v>1971</v>
      </c>
      <c r="B1246" s="306" t="str">
        <f>IF((COUNTBLANK(G1246)=0),Stats!$E$7,IF((COUNTBLANK(E1246)=0),IF((COUNTBLANK(F1246)=0),IF((COUNTBLANK(U1246)=0),Stats!$E$6,Stats!$E$5),Stats!$E$4),""))</f>
        <v>Death</v>
      </c>
      <c r="C1246" s="41"/>
      <c r="D1246" s="306" t="str">
        <f>IF(B1246=Stats!$E$6,Stats!$E$11,"")</f>
        <v/>
      </c>
      <c r="E1246" s="89">
        <v>45320</v>
      </c>
      <c r="F1246" s="89"/>
      <c r="G1246" s="89">
        <v>45320</v>
      </c>
      <c r="H1246" s="34"/>
      <c r="I1246" s="34"/>
      <c r="J1246" s="34"/>
      <c r="K1246" s="36"/>
      <c r="L1246" s="36"/>
      <c r="M1246" s="36"/>
      <c r="N1246" s="65"/>
      <c r="O1246" s="34"/>
      <c r="P1246" s="68"/>
      <c r="Q1246" s="68"/>
      <c r="R1246" s="34"/>
      <c r="S1246" s="34"/>
      <c r="T1246" s="34"/>
      <c r="U1246" s="34"/>
      <c r="V1246" s="34"/>
      <c r="W1246" s="34"/>
      <c r="X1246" s="34"/>
      <c r="Y1246"/>
    </row>
    <row r="1247" spans="1:25" s="91" customFormat="1" ht="15" customHeight="1" x14ac:dyDescent="0.25">
      <c r="A1247" s="32" t="s">
        <v>1972</v>
      </c>
      <c r="B1247" s="306" t="str">
        <f>IF((COUNTBLANK(G1247)=0),Stats!$E$7,IF((COUNTBLANK(E1247)=0),IF((COUNTBLANK(F1247)=0),IF((COUNTBLANK(U1247)=0),Stats!$E$6,Stats!$E$5),Stats!$E$4),""))</f>
        <v>Death</v>
      </c>
      <c r="C1247" s="41"/>
      <c r="D1247" s="306" t="str">
        <f>IF(B1247=Stats!$E$6,Stats!$E$11,"")</f>
        <v/>
      </c>
      <c r="E1247" s="89">
        <v>45320</v>
      </c>
      <c r="F1247" s="89"/>
      <c r="G1247" s="89">
        <v>45320</v>
      </c>
      <c r="H1247" s="34"/>
      <c r="I1247" s="34"/>
      <c r="J1247" s="34"/>
      <c r="K1247" s="36"/>
      <c r="L1247" s="36"/>
      <c r="M1247" s="36"/>
      <c r="N1247" s="65"/>
      <c r="O1247" s="34"/>
      <c r="P1247" s="68"/>
      <c r="Q1247" s="68"/>
      <c r="R1247" s="34"/>
      <c r="S1247" s="34"/>
      <c r="T1247" s="34"/>
      <c r="U1247" s="34"/>
      <c r="V1247" s="34"/>
      <c r="W1247" s="34"/>
      <c r="X1247" s="34"/>
      <c r="Y1247"/>
    </row>
    <row r="1248" spans="1:25" s="91" customFormat="1" ht="15" customHeight="1" x14ac:dyDescent="0.25">
      <c r="A1248" s="32" t="s">
        <v>1973</v>
      </c>
      <c r="B1248" s="306" t="str">
        <f>IF((COUNTBLANK(G1248)=0),Stats!$E$7,IF((COUNTBLANK(E1248)=0),IF((COUNTBLANK(F1248)=0),IF((COUNTBLANK(U1248)=0),Stats!$E$6,Stats!$E$5),Stats!$E$4),""))</f>
        <v>Death</v>
      </c>
      <c r="C1248" s="41"/>
      <c r="D1248" s="306" t="str">
        <f>IF(B1248=Stats!$E$6,Stats!$E$11,"")</f>
        <v/>
      </c>
      <c r="E1248" s="89">
        <v>45320</v>
      </c>
      <c r="F1248" s="89"/>
      <c r="G1248" s="89">
        <v>45320</v>
      </c>
      <c r="H1248" s="34"/>
      <c r="I1248" s="34"/>
      <c r="J1248" s="34"/>
      <c r="K1248" s="36"/>
      <c r="L1248" s="36"/>
      <c r="M1248" s="36"/>
      <c r="N1248" s="65"/>
      <c r="O1248" s="34"/>
      <c r="P1248" s="68"/>
      <c r="Q1248" s="68"/>
      <c r="R1248" s="34"/>
      <c r="S1248" s="34"/>
      <c r="T1248" s="34"/>
      <c r="U1248" s="34"/>
      <c r="V1248" s="34"/>
      <c r="W1248" s="34"/>
      <c r="X1248" s="34"/>
      <c r="Y1248"/>
    </row>
    <row r="1249" spans="1:25" s="91" customFormat="1" ht="15" customHeight="1" x14ac:dyDescent="0.25">
      <c r="A1249" s="32" t="s">
        <v>1974</v>
      </c>
      <c r="B1249" s="306" t="str">
        <f>IF((COUNTBLANK(G1249)=0),Stats!$E$7,IF((COUNTBLANK(E1249)=0),IF((COUNTBLANK(F1249)=0),IF((COUNTBLANK(U1249)=0),Stats!$E$6,Stats!$E$5),Stats!$E$4),""))</f>
        <v>Death</v>
      </c>
      <c r="C1249" s="41"/>
      <c r="D1249" s="306" t="str">
        <f>IF(B1249=Stats!$E$6,Stats!$E$11,"")</f>
        <v/>
      </c>
      <c r="E1249" s="89">
        <v>45320</v>
      </c>
      <c r="F1249" s="89"/>
      <c r="G1249" s="89">
        <v>45320</v>
      </c>
      <c r="H1249" s="34"/>
      <c r="I1249" s="34"/>
      <c r="J1249" s="34"/>
      <c r="K1249" s="36"/>
      <c r="L1249" s="36"/>
      <c r="M1249" s="36"/>
      <c r="N1249" s="65"/>
      <c r="O1249" s="34"/>
      <c r="P1249" s="68"/>
      <c r="Q1249" s="68"/>
      <c r="R1249" s="34"/>
      <c r="S1249" s="34"/>
      <c r="T1249" s="34"/>
      <c r="U1249" s="34"/>
      <c r="V1249" s="34"/>
      <c r="W1249" s="34"/>
      <c r="X1249" s="34"/>
      <c r="Y1249"/>
    </row>
    <row r="1250" spans="1:25" s="91" customFormat="1" ht="15" customHeight="1" x14ac:dyDescent="0.25">
      <c r="A1250" s="32" t="s">
        <v>1975</v>
      </c>
      <c r="B1250" s="306" t="str">
        <f>IF((COUNTBLANK(G1250)=0),Stats!$E$7,IF((COUNTBLANK(E1250)=0),IF((COUNTBLANK(F1250)=0),IF((COUNTBLANK(U1250)=0),Stats!$E$6,Stats!$E$5),Stats!$E$4),""))</f>
        <v>Death</v>
      </c>
      <c r="C1250" s="41"/>
      <c r="D1250" s="306" t="str">
        <f>IF(B1250=Stats!$E$6,Stats!$E$11,"")</f>
        <v/>
      </c>
      <c r="E1250" s="89">
        <v>45320</v>
      </c>
      <c r="F1250" s="89"/>
      <c r="G1250" s="89">
        <v>45320</v>
      </c>
      <c r="H1250" s="34"/>
      <c r="I1250" s="34"/>
      <c r="J1250" s="34"/>
      <c r="K1250" s="36"/>
      <c r="L1250" s="36"/>
      <c r="M1250" s="36"/>
      <c r="N1250" s="65"/>
      <c r="O1250" s="34"/>
      <c r="P1250" s="68"/>
      <c r="Q1250" s="68"/>
      <c r="R1250" s="34"/>
      <c r="S1250" s="34"/>
      <c r="T1250" s="34"/>
      <c r="U1250" s="34"/>
      <c r="V1250" s="34"/>
      <c r="W1250" s="34"/>
      <c r="X1250" s="34"/>
      <c r="Y1250"/>
    </row>
    <row r="1251" spans="1:25" s="91" customFormat="1" ht="15" customHeight="1" x14ac:dyDescent="0.25">
      <c r="A1251" s="32" t="s">
        <v>1976</v>
      </c>
      <c r="B1251" s="306" t="str">
        <f>IF((COUNTBLANK(G1251)=0),Stats!$E$7,IF((COUNTBLANK(E1251)=0),IF((COUNTBLANK(F1251)=0),IF((COUNTBLANK(U1251)=0),Stats!$E$6,Stats!$E$5),Stats!$E$4),""))</f>
        <v>Death</v>
      </c>
      <c r="C1251" s="41"/>
      <c r="D1251" s="306" t="str">
        <f>IF(B1251=Stats!$E$6,Stats!$E$11,"")</f>
        <v/>
      </c>
      <c r="E1251" s="89">
        <v>45320</v>
      </c>
      <c r="F1251" s="89"/>
      <c r="G1251" s="89">
        <v>45320</v>
      </c>
      <c r="H1251" s="34" t="s">
        <v>53</v>
      </c>
      <c r="I1251" s="34"/>
      <c r="J1251" s="34"/>
      <c r="K1251" s="36"/>
      <c r="L1251" s="36"/>
      <c r="M1251" s="36"/>
      <c r="N1251" s="65"/>
      <c r="O1251" s="34"/>
      <c r="P1251" s="68"/>
      <c r="Q1251" s="68"/>
      <c r="R1251" s="34"/>
      <c r="S1251" s="34"/>
      <c r="T1251" s="34"/>
      <c r="U1251" s="34"/>
      <c r="V1251" s="34"/>
      <c r="W1251" s="34"/>
      <c r="X1251" s="34"/>
      <c r="Y1251"/>
    </row>
    <row r="1252" spans="1:25" ht="15" customHeight="1" x14ac:dyDescent="0.25">
      <c r="A1252" s="32" t="s">
        <v>1977</v>
      </c>
      <c r="B1252" s="306" t="str">
        <f>IF((COUNTBLANK(G1252)=0),Stats!$E$7,IF((COUNTBLANK(E1252)=0),IF((COUNTBLANK(F1252)=0),IF((COUNTBLANK(U1252)=0),Stats!$E$6,Stats!$E$5),Stats!$E$4),""))</f>
        <v>Death</v>
      </c>
      <c r="C1252" s="41" t="s">
        <v>413</v>
      </c>
      <c r="D1252" s="306" t="str">
        <f>IF(B1252=Stats!$E$6,Stats!$E$11,"")</f>
        <v/>
      </c>
      <c r="E1252" s="89">
        <v>45322</v>
      </c>
      <c r="F1252" s="89">
        <v>45329</v>
      </c>
      <c r="G1252" s="342">
        <v>45640</v>
      </c>
      <c r="H1252" s="34" t="s">
        <v>3130</v>
      </c>
      <c r="J1252" s="34" t="s">
        <v>3186</v>
      </c>
      <c r="K1252" s="36" t="s">
        <v>4867</v>
      </c>
      <c r="L1252" s="36" t="s">
        <v>181</v>
      </c>
      <c r="N1252" s="65" t="s">
        <v>4821</v>
      </c>
      <c r="O1252" s="34" t="s">
        <v>51</v>
      </c>
      <c r="P1252" s="68">
        <v>-500</v>
      </c>
      <c r="Q1252" s="68">
        <v>250</v>
      </c>
      <c r="R1252" s="34" t="s">
        <v>312</v>
      </c>
      <c r="S1252" s="34" t="s">
        <v>4936</v>
      </c>
    </row>
    <row r="1253" spans="1:25" ht="15" customHeight="1" x14ac:dyDescent="0.25">
      <c r="A1253" s="32" t="s">
        <v>1978</v>
      </c>
      <c r="B1253" s="306" t="str">
        <f>IF((COUNTBLANK(G1253)=0),Stats!$E$7,IF((COUNTBLANK(E1253)=0),IF((COUNTBLANK(F1253)=0),IF((COUNTBLANK(U1253)=0),Stats!$E$6,Stats!$E$5),Stats!$E$4),""))</f>
        <v>Death</v>
      </c>
      <c r="C1253" s="41" t="s">
        <v>413</v>
      </c>
      <c r="D1253" s="306" t="str">
        <f>IF(B1253=Stats!$E$6,Stats!$E$11,"")</f>
        <v/>
      </c>
      <c r="E1253" s="89">
        <v>45322</v>
      </c>
      <c r="F1253" s="89">
        <v>45329</v>
      </c>
      <c r="G1253" s="342">
        <v>45640</v>
      </c>
      <c r="H1253" s="34" t="s">
        <v>3130</v>
      </c>
      <c r="J1253" s="34" t="s">
        <v>3186</v>
      </c>
      <c r="K1253" s="36" t="s">
        <v>4867</v>
      </c>
      <c r="L1253" s="36" t="s">
        <v>181</v>
      </c>
      <c r="N1253" s="65" t="s">
        <v>4821</v>
      </c>
      <c r="P1253" s="68">
        <v>-500</v>
      </c>
      <c r="Q1253" s="68">
        <v>250</v>
      </c>
      <c r="R1253" s="34" t="s">
        <v>279</v>
      </c>
      <c r="S1253" s="34" t="s">
        <v>4936</v>
      </c>
    </row>
    <row r="1254" spans="1:25" ht="15" customHeight="1" x14ac:dyDescent="0.25">
      <c r="A1254" s="32" t="s">
        <v>1979</v>
      </c>
      <c r="B1254" s="306" t="str">
        <f>IF((COUNTBLANK(G1254)=0),Stats!$E$7,IF((COUNTBLANK(E1254)=0),IF((COUNTBLANK(F1254)=0),IF((COUNTBLANK(U1254)=0),Stats!$E$6,Stats!$E$5),Stats!$E$4),""))</f>
        <v>Death</v>
      </c>
      <c r="C1254" s="41" t="s">
        <v>3133</v>
      </c>
      <c r="D1254" s="306"/>
      <c r="E1254" s="89">
        <v>45344</v>
      </c>
      <c r="G1254" s="342">
        <v>45640</v>
      </c>
      <c r="H1254" s="34" t="s">
        <v>4937</v>
      </c>
      <c r="L1254" s="36" t="s">
        <v>181</v>
      </c>
      <c r="N1254" s="65" t="s">
        <v>4929</v>
      </c>
      <c r="O1254" s="34" t="s">
        <v>4884</v>
      </c>
      <c r="P1254" s="68">
        <v>-300</v>
      </c>
      <c r="Q1254" s="68">
        <v>100</v>
      </c>
      <c r="R1254" s="34" t="s">
        <v>279</v>
      </c>
      <c r="S1254" s="34" t="s">
        <v>4930</v>
      </c>
    </row>
    <row r="1255" spans="1:25" ht="15" customHeight="1" x14ac:dyDescent="0.25">
      <c r="A1255" s="32" t="s">
        <v>1980</v>
      </c>
      <c r="B1255" s="306" t="str">
        <f>IF((COUNTBLANK(G1255)=0),Stats!$E$7,IF((COUNTBLANK(E1255)=0),IF((COUNTBLANK(F1255)=0),IF((COUNTBLANK(U1255)=0),Stats!$E$6,Stats!$E$5),Stats!$E$4),""))</f>
        <v>Death</v>
      </c>
      <c r="C1255" s="41" t="s">
        <v>3133</v>
      </c>
      <c r="D1255" s="306"/>
      <c r="E1255" s="89">
        <v>45344</v>
      </c>
      <c r="G1255" s="342">
        <v>45640</v>
      </c>
      <c r="H1255" s="34" t="s">
        <v>3139</v>
      </c>
      <c r="L1255" s="36" t="s">
        <v>181</v>
      </c>
      <c r="N1255" s="65" t="s">
        <v>4929</v>
      </c>
      <c r="O1255" s="34" t="s">
        <v>4884</v>
      </c>
      <c r="P1255" s="68">
        <v>-300</v>
      </c>
      <c r="Q1255" s="68">
        <v>100</v>
      </c>
      <c r="R1255" s="34" t="s">
        <v>249</v>
      </c>
      <c r="S1255" s="34" t="s">
        <v>4930</v>
      </c>
    </row>
    <row r="1256" spans="1:25" ht="15" customHeight="1" x14ac:dyDescent="0.25">
      <c r="A1256" s="32" t="s">
        <v>1981</v>
      </c>
      <c r="B1256" s="306" t="str">
        <f>IF((COUNTBLANK(G1256)=0),Stats!$E$7,IF((COUNTBLANK(E1256)=0),IF((COUNTBLANK(F1256)=0),IF((COUNTBLANK(U1256)=0),Stats!$E$6,Stats!$E$5),Stats!$E$4),""))</f>
        <v>Death</v>
      </c>
      <c r="C1256" s="41" t="s">
        <v>413</v>
      </c>
      <c r="D1256" s="306"/>
      <c r="E1256" s="89">
        <v>45344</v>
      </c>
      <c r="G1256" s="342">
        <v>45640</v>
      </c>
      <c r="H1256" s="34" t="s">
        <v>3139</v>
      </c>
      <c r="K1256" s="36" t="s">
        <v>4867</v>
      </c>
      <c r="N1256" s="65" t="s">
        <v>105</v>
      </c>
      <c r="O1256" s="34" t="s">
        <v>4884</v>
      </c>
      <c r="P1256" s="68" t="s">
        <v>4906</v>
      </c>
      <c r="Q1256" s="68" t="s">
        <v>4776</v>
      </c>
      <c r="R1256" s="34" t="s">
        <v>279</v>
      </c>
    </row>
    <row r="1257" spans="1:25" ht="15" customHeight="1" x14ac:dyDescent="0.25">
      <c r="A1257" s="32" t="s">
        <v>1982</v>
      </c>
      <c r="B1257" s="306" t="str">
        <f>IF((COUNTBLANK(G1257)=0),Stats!$E$7,IF((COUNTBLANK(E1257)=0),IF((COUNTBLANK(F1257)=0),IF((COUNTBLANK(U1257)=0),Stats!$E$6,Stats!$E$5),Stats!$E$4),""))</f>
        <v>Death</v>
      </c>
      <c r="C1257" s="41" t="s">
        <v>413</v>
      </c>
      <c r="D1257" s="306"/>
      <c r="E1257" s="89">
        <v>45344</v>
      </c>
      <c r="G1257" s="342">
        <v>45640</v>
      </c>
      <c r="H1257" s="34" t="s">
        <v>4937</v>
      </c>
      <c r="K1257" s="36" t="s">
        <v>4867</v>
      </c>
      <c r="N1257" s="65" t="s">
        <v>105</v>
      </c>
      <c r="O1257" s="34" t="s">
        <v>4884</v>
      </c>
      <c r="P1257" s="68" t="s">
        <v>4906</v>
      </c>
      <c r="Q1257" s="68" t="s">
        <v>4776</v>
      </c>
      <c r="R1257" s="34" t="s">
        <v>249</v>
      </c>
    </row>
    <row r="1258" spans="1:25" ht="15" customHeight="1" x14ac:dyDescent="0.25">
      <c r="A1258" s="32" t="s">
        <v>1983</v>
      </c>
      <c r="B1258" s="306" t="str">
        <f>IF((COUNTBLANK(G1258)=0),Stats!$E$7,IF((COUNTBLANK(E1258)=0),IF((COUNTBLANK(F1258)=0),IF((COUNTBLANK(U1258)=0),Stats!$E$6,Stats!$E$5),Stats!$E$4),""))</f>
        <v>Death</v>
      </c>
      <c r="C1258" s="41" t="s">
        <v>413</v>
      </c>
      <c r="D1258" s="306"/>
      <c r="E1258" s="89">
        <v>45344</v>
      </c>
      <c r="G1258" s="342">
        <v>45640</v>
      </c>
      <c r="H1258" s="34" t="s">
        <v>3139</v>
      </c>
      <c r="K1258" s="36" t="s">
        <v>4867</v>
      </c>
      <c r="N1258" s="65" t="s">
        <v>105</v>
      </c>
      <c r="O1258" s="34" t="s">
        <v>4884</v>
      </c>
      <c r="P1258" s="68" t="s">
        <v>4906</v>
      </c>
      <c r="Q1258" s="68" t="s">
        <v>4776</v>
      </c>
      <c r="R1258" s="34" t="s">
        <v>243</v>
      </c>
    </row>
    <row r="1259" spans="1:25" ht="15.75" customHeight="1" x14ac:dyDescent="0.25">
      <c r="A1259" s="32" t="s">
        <v>1984</v>
      </c>
      <c r="B1259" s="306" t="str">
        <f>IF((COUNTBLANK(G1259)=0),Stats!$E$7,IF((COUNTBLANK(E1259)=0),IF((COUNTBLANK(F1259)=0),IF((COUNTBLANK(U1259)=0),Stats!$E$6,Stats!$E$5),Stats!$E$4),""))</f>
        <v>Death</v>
      </c>
      <c r="C1259" s="41" t="s">
        <v>413</v>
      </c>
      <c r="D1259" s="306"/>
      <c r="E1259" s="89">
        <v>45344</v>
      </c>
      <c r="G1259" s="342">
        <v>45640</v>
      </c>
      <c r="H1259" s="34" t="s">
        <v>4937</v>
      </c>
      <c r="K1259" s="36" t="s">
        <v>4867</v>
      </c>
      <c r="N1259" s="65" t="s">
        <v>105</v>
      </c>
      <c r="O1259" s="34" t="s">
        <v>4884</v>
      </c>
      <c r="P1259" s="68" t="s">
        <v>4906</v>
      </c>
      <c r="Q1259" s="68" t="s">
        <v>4776</v>
      </c>
      <c r="R1259" s="34" t="s">
        <v>291</v>
      </c>
    </row>
    <row r="1260" spans="1:25" ht="15" customHeight="1" x14ac:dyDescent="0.25">
      <c r="A1260" s="32" t="s">
        <v>1985</v>
      </c>
      <c r="B1260" s="306" t="str">
        <f>IF((COUNTBLANK(G1260)=0),Stats!$E$7,IF((COUNTBLANK(E1260)=0),IF((COUNTBLANK(F1260)=0),IF((COUNTBLANK(U1260)=0),Stats!$E$6,Stats!$E$5),Stats!$E$4),""))</f>
        <v>Death</v>
      </c>
      <c r="C1260" s="41" t="s">
        <v>240</v>
      </c>
      <c r="D1260" s="306" t="str">
        <f>IF(B1260=Stats!$E$6,Stats!$E$11,"")</f>
        <v/>
      </c>
      <c r="E1260" s="89">
        <v>45365</v>
      </c>
      <c r="G1260" s="342">
        <v>45640</v>
      </c>
    </row>
    <row r="1261" spans="1:25" ht="15" customHeight="1" x14ac:dyDescent="0.25">
      <c r="A1261" s="32" t="s">
        <v>1986</v>
      </c>
      <c r="B1261" s="306" t="str">
        <f>IF((COUNTBLANK(G1261)=0),Stats!$E$7,IF((COUNTBLANK(E1261)=0),IF((COUNTBLANK(F1261)=0),IF((COUNTBLANK(U1261)=0),Stats!$E$6,Stats!$E$5),Stats!$E$4),""))</f>
        <v>Death</v>
      </c>
      <c r="C1261" s="41" t="s">
        <v>240</v>
      </c>
      <c r="D1261" s="306" t="str">
        <f>IF(B1261=Stats!$E$6,Stats!$E$11,"")</f>
        <v/>
      </c>
      <c r="E1261" s="89">
        <v>45365</v>
      </c>
      <c r="G1261" s="342">
        <v>45640</v>
      </c>
    </row>
    <row r="1262" spans="1:25" x14ac:dyDescent="0.25">
      <c r="A1262" s="32" t="s">
        <v>1987</v>
      </c>
      <c r="B1262" s="306" t="str">
        <f>IF((COUNTBLANK(G1262)=0),Stats!$E$7,IF((COUNTBLANK(E1262)=0),IF((COUNTBLANK(F1262)=0),IF((COUNTBLANK(U1262)=0),Stats!$E$6,Stats!$E$5),Stats!$E$4),""))</f>
        <v>Death</v>
      </c>
      <c r="C1262" s="41" t="s">
        <v>240</v>
      </c>
      <c r="D1262" s="306" t="str">
        <f>IF(B1262=Stats!$E$6,Stats!$E$11,"")</f>
        <v/>
      </c>
      <c r="E1262" s="89">
        <v>45369</v>
      </c>
      <c r="G1262" s="342">
        <v>45640</v>
      </c>
    </row>
    <row r="1263" spans="1:25" x14ac:dyDescent="0.25">
      <c r="A1263" s="32" t="s">
        <v>1988</v>
      </c>
      <c r="B1263" s="306" t="str">
        <f>IF((COUNTBLANK(G1263)=0),Stats!$E$7,IF((COUNTBLANK(E1263)=0),IF((COUNTBLANK(F1263)=0),IF((COUNTBLANK(U1263)=0),Stats!$E$6,Stats!$E$5),Stats!$E$4),""))</f>
        <v>Death</v>
      </c>
      <c r="C1263" s="41" t="s">
        <v>240</v>
      </c>
      <c r="D1263" s="306" t="str">
        <f>IF(B1263=Stats!$E$6,Stats!$E$11,"")</f>
        <v/>
      </c>
      <c r="E1263" s="89">
        <v>45369</v>
      </c>
      <c r="G1263" s="342">
        <v>45640</v>
      </c>
    </row>
    <row r="1264" spans="1:25" x14ac:dyDescent="0.25">
      <c r="A1264" s="32" t="s">
        <v>1989</v>
      </c>
      <c r="B1264" s="306" t="str">
        <f>IF((COUNTBLANK(G1264)=0),Stats!$E$7,IF((COUNTBLANK(E1264)=0),IF((COUNTBLANK(F1264)=0),IF((COUNTBLANK(U1264)=0),Stats!$E$6,Stats!$E$5),Stats!$E$4),""))</f>
        <v>Death</v>
      </c>
      <c r="C1264" s="41" t="s">
        <v>240</v>
      </c>
      <c r="D1264" s="306" t="str">
        <f>IF(B1264=Stats!$E$6,Stats!$E$11,"")</f>
        <v/>
      </c>
      <c r="E1264" s="89">
        <v>45369</v>
      </c>
      <c r="G1264" s="342">
        <v>45640</v>
      </c>
      <c r="H1264" s="34" t="s">
        <v>3101</v>
      </c>
      <c r="J1264" s="34" t="s">
        <v>3186</v>
      </c>
      <c r="S1264" s="34" t="s">
        <v>4938</v>
      </c>
    </row>
    <row r="1265" spans="1:25" x14ac:dyDescent="0.25">
      <c r="A1265" s="32" t="s">
        <v>1990</v>
      </c>
      <c r="B1265" s="306" t="str">
        <f>IF((COUNTBLANK(G1265)=0),Stats!$E$7,IF((COUNTBLANK(E1265)=0),IF((COUNTBLANK(F1265)=0),IF((COUNTBLANK(U1265)=0),Stats!$E$6,Stats!$E$5),Stats!$E$4),""))</f>
        <v>Death</v>
      </c>
      <c r="C1265" s="41" t="s">
        <v>240</v>
      </c>
      <c r="D1265" s="306" t="str">
        <f>IF(B1265=Stats!$E$6,Stats!$E$11,"")</f>
        <v/>
      </c>
      <c r="E1265" s="89">
        <v>45369</v>
      </c>
      <c r="G1265" s="342">
        <v>45640</v>
      </c>
      <c r="H1265" s="34" t="s">
        <v>3101</v>
      </c>
      <c r="J1265" s="34" t="s">
        <v>3186</v>
      </c>
      <c r="S1265" s="34" t="s">
        <v>4938</v>
      </c>
    </row>
    <row r="1266" spans="1:25" x14ac:dyDescent="0.25">
      <c r="A1266" s="32" t="s">
        <v>1991</v>
      </c>
      <c r="B1266" s="306" t="str">
        <f>IF((COUNTBLANK(G1266)=0),Stats!$E$7,IF((COUNTBLANK(E1266)=0),IF((COUNTBLANK(F1266)=0),IF((COUNTBLANK(U1266)=0),Stats!$E$6,Stats!$E$5),Stats!$E$4),""))</f>
        <v>Death</v>
      </c>
      <c r="C1266" s="41" t="s">
        <v>240</v>
      </c>
      <c r="D1266" s="306" t="str">
        <f>IF(B1266=Stats!$E$6,Stats!$E$11,"")</f>
        <v/>
      </c>
      <c r="E1266" s="89">
        <v>45370</v>
      </c>
      <c r="G1266" s="342">
        <v>45640</v>
      </c>
      <c r="H1266" s="34" t="s">
        <v>3101</v>
      </c>
      <c r="J1266" s="34" t="s">
        <v>3186</v>
      </c>
      <c r="S1266" s="34" t="s">
        <v>4938</v>
      </c>
    </row>
    <row r="1267" spans="1:25" s="91" customFormat="1" x14ac:dyDescent="0.25">
      <c r="A1267" s="32" t="s">
        <v>1992</v>
      </c>
      <c r="B1267" s="306" t="str">
        <f>IF((COUNTBLANK(G1267)=0),Stats!$E$7,IF((COUNTBLANK(E1267)=0),IF((COUNTBLANK(F1267)=0),IF((COUNTBLANK(U1267)=0),Stats!$E$6,Stats!$E$5),Stats!$E$4),""))</f>
        <v>Death</v>
      </c>
      <c r="C1267" s="41" t="s">
        <v>240</v>
      </c>
      <c r="D1267" s="306" t="str">
        <f>IF(B1267=Stats!$E$6,Stats!$E$11,"")</f>
        <v/>
      </c>
      <c r="E1267" s="89">
        <v>45371</v>
      </c>
      <c r="F1267" s="89"/>
      <c r="G1267" s="89">
        <v>45371</v>
      </c>
      <c r="H1267" s="34"/>
      <c r="I1267" s="34"/>
      <c r="J1267" s="34"/>
      <c r="K1267" s="36"/>
      <c r="L1267" s="36"/>
      <c r="M1267" s="36"/>
      <c r="N1267" s="65"/>
      <c r="O1267" s="34"/>
      <c r="P1267" s="68"/>
      <c r="Q1267" s="68"/>
      <c r="R1267" s="34"/>
      <c r="S1267" s="34"/>
      <c r="T1267" s="34"/>
      <c r="U1267" s="34"/>
      <c r="V1267" s="34"/>
      <c r="W1267" s="34"/>
      <c r="X1267" s="34"/>
      <c r="Y1267"/>
    </row>
    <row r="1268" spans="1:25" x14ac:dyDescent="0.25">
      <c r="A1268" s="32" t="s">
        <v>1993</v>
      </c>
      <c r="B1268" s="306" t="str">
        <f>IF((COUNTBLANK(G1268)=0),Stats!$E$7,IF((COUNTBLANK(E1268)=0),IF((COUNTBLANK(F1268)=0),IF((COUNTBLANK(U1268)=0),Stats!$E$6,Stats!$E$5),Stats!$E$4),""))</f>
        <v>Death</v>
      </c>
      <c r="C1268" s="41" t="s">
        <v>240</v>
      </c>
      <c r="D1268" s="306" t="str">
        <f>IF(B1268=Stats!$E$6,Stats!$E$11,"")</f>
        <v/>
      </c>
      <c r="E1268" s="89">
        <v>45372</v>
      </c>
      <c r="G1268" s="342">
        <v>45640</v>
      </c>
      <c r="H1268" s="34" t="s">
        <v>3101</v>
      </c>
      <c r="J1268" s="34" t="s">
        <v>3186</v>
      </c>
      <c r="K1268" s="36" t="s">
        <v>4910</v>
      </c>
      <c r="L1268" s="36" t="s">
        <v>181</v>
      </c>
      <c r="O1268" s="34" t="s">
        <v>51</v>
      </c>
      <c r="S1268" s="34" t="s">
        <v>4939</v>
      </c>
    </row>
    <row r="1269" spans="1:25" x14ac:dyDescent="0.25">
      <c r="A1269" s="32" t="s">
        <v>1994</v>
      </c>
      <c r="B1269" s="306" t="str">
        <f>IF((COUNTBLANK(G1269)=0),Stats!$E$7,IF((COUNTBLANK(E1269)=0),IF((COUNTBLANK(F1269)=0),IF((COUNTBLANK(U1269)=0),Stats!$E$6,Stats!$E$5),Stats!$E$4),""))</f>
        <v>Death</v>
      </c>
      <c r="C1269" s="41" t="s">
        <v>240</v>
      </c>
      <c r="D1269" s="306" t="str">
        <f>IF(B1269=Stats!$E$6,Stats!$E$11,"")</f>
        <v/>
      </c>
      <c r="E1269" s="89">
        <v>45373</v>
      </c>
      <c r="G1269" s="342">
        <v>45640</v>
      </c>
      <c r="H1269" s="34" t="s">
        <v>3101</v>
      </c>
      <c r="J1269" s="34" t="s">
        <v>3186</v>
      </c>
      <c r="K1269" s="36" t="s">
        <v>4910</v>
      </c>
      <c r="L1269" s="36" t="s">
        <v>181</v>
      </c>
      <c r="O1269" s="34" t="s">
        <v>51</v>
      </c>
      <c r="S1269" s="34" t="s">
        <v>4939</v>
      </c>
    </row>
    <row r="1270" spans="1:25" x14ac:dyDescent="0.25">
      <c r="A1270" s="32" t="s">
        <v>1995</v>
      </c>
      <c r="B1270" s="306" t="str">
        <f>IF((COUNTBLANK(G1270)=0),Stats!$E$7,IF((COUNTBLANK(E1270)=0),IF((COUNTBLANK(F1270)=0),IF((COUNTBLANK(U1270)=0),Stats!$E$6,Stats!$E$5),Stats!$E$4),""))</f>
        <v>Death</v>
      </c>
      <c r="C1270" s="41" t="s">
        <v>240</v>
      </c>
      <c r="D1270" s="306" t="str">
        <f>IF(B1270=Stats!$E$6,Stats!$E$11,"")</f>
        <v/>
      </c>
      <c r="E1270" s="89">
        <v>45374</v>
      </c>
      <c r="G1270" s="342">
        <v>45640</v>
      </c>
      <c r="H1270" s="34" t="s">
        <v>3101</v>
      </c>
      <c r="J1270" s="34" t="s">
        <v>3186</v>
      </c>
      <c r="K1270" s="36" t="s">
        <v>4910</v>
      </c>
      <c r="L1270" s="36" t="s">
        <v>181</v>
      </c>
      <c r="O1270" s="34" t="s">
        <v>51</v>
      </c>
      <c r="S1270" s="34" t="s">
        <v>4939</v>
      </c>
    </row>
    <row r="1271" spans="1:25" x14ac:dyDescent="0.25">
      <c r="A1271" s="168" t="s">
        <v>1996</v>
      </c>
      <c r="B1271" s="306" t="str">
        <f>IF((COUNTBLANK(G1271)=0),Stats!$E$7,IF((COUNTBLANK(E1271)=0),IF((COUNTBLANK(F1271)=0),IF((COUNTBLANK(U1271)=0),Stats!$E$6,Stats!$E$5),Stats!$E$4),""))</f>
        <v>Death</v>
      </c>
      <c r="C1271" s="171" t="s">
        <v>240</v>
      </c>
      <c r="D1271" s="378" t="str">
        <f>IF(B1271=Stats!$E$6,Stats!$E$11,"")</f>
        <v/>
      </c>
      <c r="E1271" s="172">
        <v>45365</v>
      </c>
      <c r="F1271" s="172"/>
      <c r="G1271" s="172">
        <v>45641</v>
      </c>
      <c r="H1271" s="167" t="s">
        <v>53</v>
      </c>
      <c r="I1271" s="167"/>
      <c r="J1271" s="167" t="s">
        <v>4766</v>
      </c>
      <c r="K1271" s="173" t="s">
        <v>4940</v>
      </c>
      <c r="L1271" s="173"/>
      <c r="M1271" s="173"/>
      <c r="N1271" s="174" t="s">
        <v>71</v>
      </c>
      <c r="O1271" s="167" t="s">
        <v>51</v>
      </c>
      <c r="P1271" s="175">
        <v>-350</v>
      </c>
      <c r="Q1271" s="175">
        <v>600</v>
      </c>
      <c r="R1271" s="167" t="s">
        <v>4941</v>
      </c>
      <c r="S1271" s="167"/>
      <c r="T1271" s="167"/>
      <c r="U1271" s="167"/>
      <c r="V1271" s="167"/>
      <c r="W1271" s="167"/>
      <c r="Y1271" s="176"/>
    </row>
    <row r="1272" spans="1:25" x14ac:dyDescent="0.25">
      <c r="A1272" s="168" t="s">
        <v>1997</v>
      </c>
      <c r="B1272" s="306" t="str">
        <f>IF((COUNTBLANK(G1272)=0),Stats!$E$7,IF((COUNTBLANK(E1272)=0),IF((COUNTBLANK(F1272)=0),IF((COUNTBLANK(U1272)=0),Stats!$E$6,Stats!$E$5),Stats!$E$4),""))</f>
        <v>Death</v>
      </c>
      <c r="C1272" s="171" t="s">
        <v>240</v>
      </c>
      <c r="D1272" s="378" t="str">
        <f>IF(B1272=Stats!$E$6,Stats!$E$11,"")</f>
        <v/>
      </c>
      <c r="E1272" s="172">
        <v>45365</v>
      </c>
      <c r="F1272" s="172"/>
      <c r="G1272" s="172">
        <v>45641</v>
      </c>
      <c r="H1272" s="167" t="s">
        <v>53</v>
      </c>
      <c r="I1272" s="167"/>
      <c r="J1272" s="167" t="s">
        <v>4766</v>
      </c>
      <c r="K1272" s="173" t="s">
        <v>4940</v>
      </c>
      <c r="L1272" s="173"/>
      <c r="M1272" s="173"/>
      <c r="N1272" s="174" t="s">
        <v>71</v>
      </c>
      <c r="O1272" s="167" t="s">
        <v>51</v>
      </c>
      <c r="P1272" s="175">
        <v>-350</v>
      </c>
      <c r="Q1272" s="175">
        <v>600</v>
      </c>
      <c r="R1272" s="167" t="s">
        <v>4941</v>
      </c>
      <c r="S1272" s="167"/>
      <c r="T1272" s="167"/>
      <c r="U1272" s="167"/>
      <c r="V1272" s="167"/>
      <c r="W1272" s="167"/>
      <c r="Y1272" s="176"/>
    </row>
    <row r="1273" spans="1:25" x14ac:dyDescent="0.25">
      <c r="A1273" s="168" t="s">
        <v>1998</v>
      </c>
      <c r="B1273" s="306" t="str">
        <f>IF((COUNTBLANK(G1273)=0),Stats!$E$7,IF((COUNTBLANK(E1273)=0),IF((COUNTBLANK(F1273)=0),IF((COUNTBLANK(U1273)=0),Stats!$E$6,Stats!$E$5),Stats!$E$4),""))</f>
        <v>Death</v>
      </c>
      <c r="C1273" s="171" t="s">
        <v>240</v>
      </c>
      <c r="D1273" s="378" t="str">
        <f>IF(B1273=Stats!$E$6,Stats!$E$11,"")</f>
        <v/>
      </c>
      <c r="E1273" s="172">
        <v>45369</v>
      </c>
      <c r="F1273" s="172"/>
      <c r="G1273" s="172">
        <v>45641</v>
      </c>
      <c r="H1273" s="167" t="s">
        <v>53</v>
      </c>
      <c r="I1273" s="167"/>
      <c r="J1273" s="167" t="s">
        <v>4766</v>
      </c>
      <c r="K1273" s="173" t="s">
        <v>4940</v>
      </c>
      <c r="L1273" s="173"/>
      <c r="M1273" s="173"/>
      <c r="N1273" s="174" t="s">
        <v>71</v>
      </c>
      <c r="O1273" s="167" t="s">
        <v>51</v>
      </c>
      <c r="P1273" s="175">
        <v>-350</v>
      </c>
      <c r="Q1273" s="175">
        <v>600</v>
      </c>
      <c r="R1273" s="167" t="s">
        <v>4941</v>
      </c>
      <c r="S1273" s="167"/>
      <c r="T1273" s="167"/>
      <c r="U1273" s="167"/>
      <c r="V1273" s="167"/>
      <c r="W1273" s="167"/>
      <c r="Y1273" s="176"/>
    </row>
    <row r="1274" spans="1:25" x14ac:dyDescent="0.25">
      <c r="A1274" s="168" t="s">
        <v>1999</v>
      </c>
      <c r="B1274" s="306" t="str">
        <f>IF((COUNTBLANK(G1274)=0),Stats!$E$7,IF((COUNTBLANK(E1274)=0),IF((COUNTBLANK(F1274)=0),IF((COUNTBLANK(U1274)=0),Stats!$E$6,Stats!$E$5),Stats!$E$4),""))</f>
        <v>Death</v>
      </c>
      <c r="C1274" s="171" t="s">
        <v>240</v>
      </c>
      <c r="D1274" s="378" t="str">
        <f>IF(B1274=Stats!$E$6,Stats!$E$11,"")</f>
        <v/>
      </c>
      <c r="E1274" s="172">
        <v>45369</v>
      </c>
      <c r="F1274" s="172"/>
      <c r="G1274" s="172">
        <v>45641</v>
      </c>
      <c r="H1274" s="167" t="s">
        <v>53</v>
      </c>
      <c r="I1274" s="167"/>
      <c r="J1274" s="167" t="s">
        <v>302</v>
      </c>
      <c r="K1274" s="173" t="s">
        <v>4940</v>
      </c>
      <c r="L1274" s="173"/>
      <c r="M1274" s="173"/>
      <c r="N1274" s="174" t="s">
        <v>71</v>
      </c>
      <c r="O1274" s="167" t="s">
        <v>51</v>
      </c>
      <c r="P1274" s="175">
        <v>-350</v>
      </c>
      <c r="Q1274" s="175">
        <v>600</v>
      </c>
      <c r="R1274" s="167" t="s">
        <v>4941</v>
      </c>
      <c r="S1274" s="167"/>
      <c r="T1274" s="167"/>
      <c r="U1274" s="167"/>
      <c r="V1274" s="167"/>
      <c r="W1274" s="167"/>
      <c r="Y1274" s="176"/>
    </row>
    <row r="1275" spans="1:25" x14ac:dyDescent="0.25">
      <c r="A1275" s="168" t="s">
        <v>2000</v>
      </c>
      <c r="B1275" s="306" t="str">
        <f>IF((COUNTBLANK(G1275)=0),Stats!$E$7,IF((COUNTBLANK(E1275)=0),IF((COUNTBLANK(F1275)=0),IF((COUNTBLANK(U1275)=0),Stats!$E$6,Stats!$E$5),Stats!$E$4),""))</f>
        <v>Death</v>
      </c>
      <c r="C1275" s="171" t="s">
        <v>240</v>
      </c>
      <c r="D1275" s="378" t="str">
        <f>IF(B1275=Stats!$E$6,Stats!$E$11,"")</f>
        <v/>
      </c>
      <c r="E1275" s="172">
        <v>45369</v>
      </c>
      <c r="F1275" s="172"/>
      <c r="G1275" s="172">
        <v>45641</v>
      </c>
      <c r="H1275" s="167" t="s">
        <v>53</v>
      </c>
      <c r="I1275" s="167"/>
      <c r="J1275" s="167" t="s">
        <v>302</v>
      </c>
      <c r="K1275" s="173" t="s">
        <v>4940</v>
      </c>
      <c r="L1275" s="173"/>
      <c r="M1275" s="173"/>
      <c r="N1275" s="174" t="s">
        <v>71</v>
      </c>
      <c r="O1275" s="167" t="s">
        <v>51</v>
      </c>
      <c r="P1275" s="175">
        <v>-350</v>
      </c>
      <c r="Q1275" s="175">
        <v>600</v>
      </c>
      <c r="R1275" s="167" t="s">
        <v>4941</v>
      </c>
      <c r="S1275" s="167"/>
      <c r="T1275" s="167"/>
      <c r="U1275" s="167"/>
      <c r="V1275" s="167"/>
      <c r="W1275" s="167"/>
      <c r="Y1275" s="176"/>
    </row>
    <row r="1276" spans="1:25" x14ac:dyDescent="0.25">
      <c r="A1276" s="168" t="s">
        <v>2001</v>
      </c>
      <c r="B1276" s="306" t="str">
        <f>IF((COUNTBLANK(G1276)=0),Stats!$E$7,IF((COUNTBLANK(E1276)=0),IF((COUNTBLANK(F1276)=0),IF((COUNTBLANK(U1276)=0),Stats!$E$6,Stats!$E$5),Stats!$E$4),""))</f>
        <v>Death</v>
      </c>
      <c r="C1276" s="171" t="s">
        <v>240</v>
      </c>
      <c r="D1276" s="378" t="str">
        <f>IF(B1276=Stats!$E$6,Stats!$E$11,"")</f>
        <v/>
      </c>
      <c r="E1276" s="172">
        <v>45369</v>
      </c>
      <c r="F1276" s="172"/>
      <c r="G1276" s="172">
        <v>45641</v>
      </c>
      <c r="H1276" s="167" t="s">
        <v>53</v>
      </c>
      <c r="I1276" s="167"/>
      <c r="J1276" s="167" t="s">
        <v>302</v>
      </c>
      <c r="K1276" s="173" t="s">
        <v>4942</v>
      </c>
      <c r="L1276" s="173"/>
      <c r="M1276" s="173"/>
      <c r="N1276" s="174"/>
      <c r="O1276" s="167" t="s">
        <v>51</v>
      </c>
      <c r="P1276" s="175"/>
      <c r="Q1276" s="175">
        <v>400</v>
      </c>
      <c r="R1276" s="167"/>
      <c r="S1276" s="167"/>
      <c r="T1276" s="167"/>
      <c r="U1276" s="167"/>
      <c r="V1276" s="167"/>
      <c r="W1276" s="167"/>
      <c r="Y1276" s="176"/>
    </row>
    <row r="1277" spans="1:25" ht="15" customHeight="1" x14ac:dyDescent="0.25">
      <c r="A1277" s="32" t="s">
        <v>2002</v>
      </c>
      <c r="B1277" s="306" t="str">
        <f>IF((COUNTBLANK(G1277)=0),Stats!$E$7,IF((COUNTBLANK(E1277)=0),IF((COUNTBLANK(F1277)=0),IF((COUNTBLANK(U1277)=0),Stats!$E$6,Stats!$E$5),Stats!$E$4),""))</f>
        <v>Death</v>
      </c>
      <c r="C1277" s="41" t="s">
        <v>284</v>
      </c>
      <c r="D1277" s="306" t="s">
        <v>59</v>
      </c>
      <c r="E1277" s="89">
        <v>45376</v>
      </c>
      <c r="F1277" s="89">
        <v>45393</v>
      </c>
      <c r="G1277" s="89">
        <v>45625</v>
      </c>
      <c r="H1277" s="34" t="s">
        <v>3073</v>
      </c>
      <c r="I1277" s="34" t="s">
        <v>285</v>
      </c>
      <c r="J1277" s="34" t="s">
        <v>152</v>
      </c>
      <c r="K1277" s="36" t="s">
        <v>493</v>
      </c>
      <c r="N1277" s="65" t="s">
        <v>988</v>
      </c>
      <c r="O1277" s="34" t="s">
        <v>51</v>
      </c>
      <c r="P1277" s="68">
        <v>-450</v>
      </c>
      <c r="Q1277" s="68">
        <v>500</v>
      </c>
      <c r="R1277" t="s">
        <v>249</v>
      </c>
      <c r="S1277" s="144" t="s">
        <v>4943</v>
      </c>
      <c r="T1277" s="144" t="s">
        <v>4944</v>
      </c>
      <c r="U1277" s="34" t="s">
        <v>4945</v>
      </c>
      <c r="V1277" s="34" t="s">
        <v>4945</v>
      </c>
      <c r="W1277" s="34" t="s">
        <v>4946</v>
      </c>
    </row>
    <row r="1278" spans="1:25" ht="15" customHeight="1" x14ac:dyDescent="0.25">
      <c r="A1278" s="32" t="s">
        <v>2003</v>
      </c>
      <c r="B1278" s="306" t="str">
        <f>IF((COUNTBLANK(G1278)=0),Stats!$E$7,IF((COUNTBLANK(E1278)=0),IF((COUNTBLANK(F1278)=0),IF((COUNTBLANK(U1278)=0),Stats!$E$6,Stats!$E$5),Stats!$E$4),""))</f>
        <v>Death</v>
      </c>
      <c r="C1278" s="41" t="s">
        <v>284</v>
      </c>
      <c r="D1278" s="306" t="s">
        <v>59</v>
      </c>
      <c r="E1278" s="89">
        <v>45376</v>
      </c>
      <c r="F1278" s="89">
        <v>45405</v>
      </c>
      <c r="G1278" s="89">
        <v>45625</v>
      </c>
      <c r="H1278" s="34" t="s">
        <v>3073</v>
      </c>
      <c r="I1278" s="34" t="s">
        <v>285</v>
      </c>
      <c r="J1278" s="34" t="s">
        <v>152</v>
      </c>
      <c r="K1278" s="36" t="s">
        <v>493</v>
      </c>
      <c r="N1278" s="65" t="s">
        <v>988</v>
      </c>
      <c r="O1278" s="34" t="s">
        <v>51</v>
      </c>
      <c r="P1278" s="68">
        <v>-450</v>
      </c>
      <c r="Q1278" s="68">
        <v>500</v>
      </c>
      <c r="R1278" s="144" t="s">
        <v>4947</v>
      </c>
      <c r="S1278" s="144" t="s">
        <v>4943</v>
      </c>
      <c r="T1278" s="34" t="s">
        <v>4856</v>
      </c>
      <c r="U1278" s="34" t="s">
        <v>4948</v>
      </c>
      <c r="W1278" s="34" t="s">
        <v>4946</v>
      </c>
    </row>
    <row r="1279" spans="1:25" ht="15" customHeight="1" x14ac:dyDescent="0.25">
      <c r="A1279" s="32" t="s">
        <v>2004</v>
      </c>
      <c r="B1279" s="306" t="str">
        <f>IF((COUNTBLANK(G1279)=0),Stats!$E$7,IF((COUNTBLANK(E1279)=0),IF((COUNTBLANK(F1279)=0),IF((COUNTBLANK(U1279)=0),Stats!$E$6,Stats!$E$5),Stats!$E$4),""))</f>
        <v>Death</v>
      </c>
      <c r="C1279" s="41" t="s">
        <v>284</v>
      </c>
      <c r="D1279" s="306" t="s">
        <v>59</v>
      </c>
      <c r="E1279" s="89">
        <v>45377</v>
      </c>
      <c r="F1279" s="89">
        <v>45405</v>
      </c>
      <c r="G1279" s="89">
        <v>45625</v>
      </c>
      <c r="H1279" s="34" t="s">
        <v>3073</v>
      </c>
      <c r="I1279" s="34" t="s">
        <v>285</v>
      </c>
      <c r="J1279" s="34" t="s">
        <v>152</v>
      </c>
      <c r="K1279" s="36" t="s">
        <v>493</v>
      </c>
      <c r="N1279" s="65" t="s">
        <v>988</v>
      </c>
      <c r="O1279" s="34" t="s">
        <v>51</v>
      </c>
      <c r="P1279" s="68">
        <v>-450</v>
      </c>
      <c r="Q1279" s="68">
        <v>500</v>
      </c>
      <c r="R1279" s="144" t="s">
        <v>4949</v>
      </c>
      <c r="S1279" s="144" t="s">
        <v>4943</v>
      </c>
      <c r="U1279" s="34" t="s">
        <v>4948</v>
      </c>
      <c r="W1279" s="34" t="s">
        <v>4946</v>
      </c>
    </row>
    <row r="1280" spans="1:25" x14ac:dyDescent="0.25">
      <c r="A1280" s="32" t="s">
        <v>2005</v>
      </c>
      <c r="B1280" s="306" t="str">
        <f>IF((COUNTBLANK(G1280)=0),Stats!$E$7,IF((COUNTBLANK(E1280)=0),IF((COUNTBLANK(F1280)=0),IF((COUNTBLANK(U1280)=0),Stats!$E$6,Stats!$E$5),Stats!$E$4),""))</f>
        <v>Death</v>
      </c>
      <c r="C1280" s="41" t="s">
        <v>240</v>
      </c>
      <c r="D1280" s="306" t="str">
        <f>IF(B1280=Stats!$E$6,Stats!$E$11,"")</f>
        <v/>
      </c>
      <c r="E1280" s="89">
        <v>45378</v>
      </c>
      <c r="G1280" s="172">
        <v>45641</v>
      </c>
      <c r="H1280" s="34" t="s">
        <v>3132</v>
      </c>
      <c r="S1280" s="34" t="s">
        <v>4950</v>
      </c>
    </row>
    <row r="1281" spans="1:25" ht="15" customHeight="1" x14ac:dyDescent="0.25">
      <c r="A1281" s="168" t="s">
        <v>2006</v>
      </c>
      <c r="B1281" s="306" t="str">
        <f>IF((COUNTBLANK(G1281)=0),Stats!$E$7,IF((COUNTBLANK(E1281)=0),IF((COUNTBLANK(F1281)=0),IF((COUNTBLANK(U1281)=0),Stats!$E$6,Stats!$E$5),Stats!$E$4),""))</f>
        <v>Death</v>
      </c>
      <c r="C1281" s="171" t="s">
        <v>240</v>
      </c>
      <c r="D1281" s="378" t="str">
        <f>IF(B1281=Stats!$E$6,Stats!$E$11,"")</f>
        <v/>
      </c>
      <c r="E1281" s="172">
        <v>45378</v>
      </c>
      <c r="F1281" s="172"/>
      <c r="G1281" s="172">
        <v>45641</v>
      </c>
      <c r="H1281" s="167" t="s">
        <v>53</v>
      </c>
      <c r="I1281" s="167"/>
      <c r="J1281" s="167" t="s">
        <v>302</v>
      </c>
      <c r="K1281" s="173" t="s">
        <v>4942</v>
      </c>
      <c r="L1281" s="173"/>
      <c r="M1281" s="173"/>
      <c r="N1281" s="174"/>
      <c r="O1281" s="167" t="s">
        <v>51</v>
      </c>
      <c r="P1281" s="175"/>
      <c r="Q1281" s="175">
        <v>400</v>
      </c>
      <c r="R1281" s="167"/>
      <c r="S1281" s="167"/>
      <c r="T1281" s="167"/>
      <c r="U1281" s="167"/>
      <c r="V1281" s="167"/>
      <c r="W1281" s="167"/>
      <c r="Y1281" s="176"/>
    </row>
    <row r="1282" spans="1:25" s="91" customFormat="1" ht="15" customHeight="1" x14ac:dyDescent="0.25">
      <c r="A1282" s="32" t="s">
        <v>2007</v>
      </c>
      <c r="B1282" s="306" t="str">
        <f>IF((COUNTBLANK(G1282)=0),Stats!$E$7,IF((COUNTBLANK(E1282)=0),IF((COUNTBLANK(F1282)=0),IF((COUNTBLANK(U1282)=0),Stats!$E$6,Stats!$E$5),Stats!$E$4),""))</f>
        <v>Death</v>
      </c>
      <c r="C1282" s="41" t="s">
        <v>284</v>
      </c>
      <c r="D1282" s="306" t="s">
        <v>325</v>
      </c>
      <c r="E1282" s="89">
        <v>45385</v>
      </c>
      <c r="F1282" s="89">
        <v>45406</v>
      </c>
      <c r="G1282" s="89">
        <v>45467</v>
      </c>
      <c r="H1282" s="34" t="s">
        <v>3073</v>
      </c>
      <c r="I1282" s="34" t="s">
        <v>285</v>
      </c>
      <c r="J1282" s="34" t="s">
        <v>152</v>
      </c>
      <c r="K1282" s="36" t="s">
        <v>493</v>
      </c>
      <c r="L1282" s="36"/>
      <c r="M1282" s="36"/>
      <c r="N1282" s="65" t="s">
        <v>988</v>
      </c>
      <c r="O1282" s="34" t="s">
        <v>51</v>
      </c>
      <c r="P1282" s="68">
        <v>-450</v>
      </c>
      <c r="Q1282" s="68">
        <v>500</v>
      </c>
      <c r="R1282" s="144" t="s">
        <v>4951</v>
      </c>
      <c r="S1282" s="144" t="s">
        <v>4943</v>
      </c>
      <c r="T1282" s="34"/>
      <c r="U1282" s="34" t="s">
        <v>4948</v>
      </c>
      <c r="V1282" s="34"/>
      <c r="W1282" s="34"/>
      <c r="X1282" s="34"/>
      <c r="Y1282"/>
    </row>
    <row r="1283" spans="1:25" ht="15" customHeight="1" x14ac:dyDescent="0.25">
      <c r="A1283" s="32" t="s">
        <v>2008</v>
      </c>
      <c r="B1283" s="306" t="str">
        <f>IF((COUNTBLANK(G1283)=0),Stats!$E$7,IF((COUNTBLANK(E1283)=0),IF((COUNTBLANK(F1283)=0),IF((COUNTBLANK(U1283)=0),Stats!$E$6,Stats!$E$5),Stats!$E$4),""))</f>
        <v>Death</v>
      </c>
      <c r="C1283" s="41" t="s">
        <v>284</v>
      </c>
      <c r="D1283" s="306" t="s">
        <v>59</v>
      </c>
      <c r="E1283" s="89">
        <v>45385</v>
      </c>
      <c r="F1283" s="89">
        <v>45406</v>
      </c>
      <c r="G1283" s="89">
        <v>45625</v>
      </c>
      <c r="H1283" s="34" t="s">
        <v>3073</v>
      </c>
      <c r="I1283" s="34" t="s">
        <v>285</v>
      </c>
      <c r="J1283" s="34" t="s">
        <v>152</v>
      </c>
      <c r="K1283" s="36" t="s">
        <v>493</v>
      </c>
      <c r="N1283" s="65" t="s">
        <v>988</v>
      </c>
      <c r="O1283" s="34" t="s">
        <v>51</v>
      </c>
      <c r="P1283" s="68">
        <v>-450</v>
      </c>
      <c r="Q1283" s="68">
        <v>500</v>
      </c>
      <c r="R1283" s="144" t="s">
        <v>4947</v>
      </c>
      <c r="S1283" s="144" t="s">
        <v>4943</v>
      </c>
      <c r="T1283" s="34" t="s">
        <v>4856</v>
      </c>
      <c r="U1283" s="34" t="s">
        <v>4948</v>
      </c>
      <c r="W1283" s="34" t="s">
        <v>4946</v>
      </c>
    </row>
    <row r="1284" spans="1:25" ht="15" customHeight="1" x14ac:dyDescent="0.25">
      <c r="A1284" s="32" t="s">
        <v>2009</v>
      </c>
      <c r="B1284" s="306" t="str">
        <f>IF((COUNTBLANK(G1284)=0),Stats!$E$7,IF((COUNTBLANK(E1284)=0),IF((COUNTBLANK(F1284)=0),IF((COUNTBLANK(U1284)=0),Stats!$E$6,Stats!$E$5),Stats!$E$4),""))</f>
        <v>Death</v>
      </c>
      <c r="C1284" s="41" t="s">
        <v>413</v>
      </c>
      <c r="D1284" s="306" t="str">
        <f>IF(B1284=Stats!$E$6,Stats!$E$11,"")</f>
        <v/>
      </c>
      <c r="E1284" s="89">
        <v>45398</v>
      </c>
      <c r="F1284" s="89">
        <v>45398</v>
      </c>
      <c r="G1284" s="172">
        <v>45641</v>
      </c>
      <c r="H1284" s="34" t="s">
        <v>3139</v>
      </c>
      <c r="J1284" s="34" t="s">
        <v>3186</v>
      </c>
      <c r="K1284" s="36" t="s">
        <v>4910</v>
      </c>
      <c r="L1284" s="36" t="s">
        <v>4952</v>
      </c>
      <c r="M1284" s="36" t="s">
        <v>181</v>
      </c>
      <c r="N1284" s="65" t="s">
        <v>4953</v>
      </c>
      <c r="O1284" s="34" t="s">
        <v>51</v>
      </c>
      <c r="P1284" s="68" t="s">
        <v>989</v>
      </c>
      <c r="Q1284" s="68" t="s">
        <v>3709</v>
      </c>
      <c r="R1284" s="34" t="s">
        <v>279</v>
      </c>
    </row>
    <row r="1285" spans="1:25" ht="12" customHeight="1" x14ac:dyDescent="0.25">
      <c r="A1285" s="32" t="s">
        <v>2010</v>
      </c>
      <c r="B1285" s="306" t="str">
        <f>IF((COUNTBLANK(G1285)=0),Stats!$E$7,IF((COUNTBLANK(E1285)=0),IF((COUNTBLANK(F1285)=0),IF((COUNTBLANK(U1285)=0),Stats!$E$6,Stats!$E$5),Stats!$E$4),""))</f>
        <v>Death</v>
      </c>
      <c r="C1285" s="41" t="s">
        <v>413</v>
      </c>
      <c r="D1285" s="306" t="str">
        <f>IF(B1285=Stats!$E$6,Stats!$E$11,"")</f>
        <v/>
      </c>
      <c r="E1285" s="89">
        <v>45398</v>
      </c>
      <c r="F1285" s="89">
        <v>45398</v>
      </c>
      <c r="G1285" s="172">
        <v>45641</v>
      </c>
      <c r="H1285" s="34" t="s">
        <v>3139</v>
      </c>
      <c r="J1285" s="34" t="s">
        <v>3186</v>
      </c>
      <c r="K1285" s="36" t="s">
        <v>4910</v>
      </c>
      <c r="L1285" s="36" t="s">
        <v>4952</v>
      </c>
      <c r="M1285" s="36" t="s">
        <v>181</v>
      </c>
      <c r="N1285" s="65" t="s">
        <v>4953</v>
      </c>
      <c r="O1285" s="34" t="s">
        <v>51</v>
      </c>
      <c r="P1285" s="68" t="s">
        <v>989</v>
      </c>
      <c r="Q1285" s="68" t="s">
        <v>3709</v>
      </c>
      <c r="R1285" s="34" t="s">
        <v>249</v>
      </c>
    </row>
    <row r="1286" spans="1:25" s="91" customFormat="1" ht="15" customHeight="1" x14ac:dyDescent="0.25">
      <c r="A1286" s="32" t="s">
        <v>2011</v>
      </c>
      <c r="B1286" s="306" t="str">
        <f>IF((COUNTBLANK(G1286)=0),Stats!$E$7,IF((COUNTBLANK(E1286)=0),IF((COUNTBLANK(F1286)=0),IF((COUNTBLANK(U1286)=0),Stats!$E$6,Stats!$E$5),Stats!$E$4),""))</f>
        <v>Death</v>
      </c>
      <c r="C1286" s="41" t="s">
        <v>3111</v>
      </c>
      <c r="D1286" s="306" t="s">
        <v>4806</v>
      </c>
      <c r="E1286" s="89">
        <v>45399</v>
      </c>
      <c r="F1286" s="89"/>
      <c r="G1286" s="89">
        <v>45467</v>
      </c>
      <c r="H1286" s="34" t="s">
        <v>3139</v>
      </c>
      <c r="I1286" s="34"/>
      <c r="J1286" s="34" t="s">
        <v>3186</v>
      </c>
      <c r="K1286" s="36" t="s">
        <v>4952</v>
      </c>
      <c r="L1286" s="36" t="s">
        <v>181</v>
      </c>
      <c r="M1286" s="36"/>
      <c r="N1286" s="65" t="s">
        <v>4954</v>
      </c>
      <c r="O1286" s="34" t="s">
        <v>4955</v>
      </c>
      <c r="P1286" s="68" t="s">
        <v>4956</v>
      </c>
      <c r="Q1286" s="68" t="s">
        <v>3709</v>
      </c>
      <c r="R1286" s="34" t="s">
        <v>279</v>
      </c>
      <c r="S1286" s="34"/>
      <c r="T1286" s="34"/>
      <c r="U1286" s="34"/>
      <c r="V1286" s="34"/>
      <c r="W1286" s="34"/>
      <c r="X1286" s="34"/>
      <c r="Y1286"/>
    </row>
    <row r="1287" spans="1:25" s="91" customFormat="1" ht="15" customHeight="1" x14ac:dyDescent="0.25">
      <c r="A1287" s="32" t="s">
        <v>2012</v>
      </c>
      <c r="B1287" s="306" t="str">
        <f>IF((COUNTBLANK(G1287)=0),Stats!$E$7,IF((COUNTBLANK(E1287)=0),IF((COUNTBLANK(F1287)=0),IF((COUNTBLANK(U1287)=0),Stats!$E$6,Stats!$E$5),Stats!$E$4),""))</f>
        <v>Death</v>
      </c>
      <c r="C1287" s="41" t="s">
        <v>3111</v>
      </c>
      <c r="D1287" s="306" t="s">
        <v>4806</v>
      </c>
      <c r="E1287" s="89">
        <v>45399</v>
      </c>
      <c r="F1287" s="89"/>
      <c r="G1287" s="89">
        <v>45467</v>
      </c>
      <c r="H1287" s="34" t="s">
        <v>3139</v>
      </c>
      <c r="I1287" s="34"/>
      <c r="J1287" s="34" t="s">
        <v>3186</v>
      </c>
      <c r="K1287" s="36" t="s">
        <v>4952</v>
      </c>
      <c r="L1287" s="36" t="s">
        <v>181</v>
      </c>
      <c r="M1287" s="36"/>
      <c r="N1287" s="65" t="s">
        <v>4954</v>
      </c>
      <c r="O1287" s="34" t="s">
        <v>4955</v>
      </c>
      <c r="P1287" s="68" t="s">
        <v>4956</v>
      </c>
      <c r="Q1287" s="68" t="s">
        <v>3709</v>
      </c>
      <c r="R1287" s="34" t="s">
        <v>279</v>
      </c>
      <c r="S1287" s="34"/>
      <c r="T1287" s="34"/>
      <c r="U1287" s="34"/>
      <c r="V1287" s="34"/>
      <c r="W1287" s="34"/>
      <c r="X1287" s="34"/>
      <c r="Y1287"/>
    </row>
    <row r="1288" spans="1:25" ht="15" customHeight="1" x14ac:dyDescent="0.25">
      <c r="A1288" s="32" t="s">
        <v>2013</v>
      </c>
      <c r="B1288" s="306" t="str">
        <f>IF((COUNTBLANK(G1288)=0),Stats!$E$7,IF((COUNTBLANK(E1288)=0),IF((COUNTBLANK(F1288)=0),IF((COUNTBLANK(U1288)=0),Stats!$E$6,Stats!$E$5),Stats!$E$4),""))</f>
        <v>Death</v>
      </c>
      <c r="C1288" s="41" t="s">
        <v>284</v>
      </c>
      <c r="D1288" s="306" t="s">
        <v>325</v>
      </c>
      <c r="E1288" s="89">
        <v>45400</v>
      </c>
      <c r="F1288" s="89">
        <v>45421</v>
      </c>
      <c r="G1288" s="89">
        <v>45625</v>
      </c>
      <c r="H1288" s="34" t="s">
        <v>3073</v>
      </c>
      <c r="I1288" s="34" t="s">
        <v>285</v>
      </c>
      <c r="J1288" s="34" t="s">
        <v>152</v>
      </c>
      <c r="K1288" s="36" t="s">
        <v>686</v>
      </c>
      <c r="N1288" s="170" t="s">
        <v>4957</v>
      </c>
      <c r="O1288" s="34" t="s">
        <v>51</v>
      </c>
      <c r="P1288" s="68">
        <v>-450</v>
      </c>
      <c r="Q1288" s="68">
        <v>750</v>
      </c>
      <c r="R1288" s="144" t="s">
        <v>4958</v>
      </c>
      <c r="S1288" s="144" t="s">
        <v>4947</v>
      </c>
      <c r="U1288" s="34" t="s">
        <v>4959</v>
      </c>
    </row>
    <row r="1289" spans="1:25" s="91" customFormat="1" ht="15" customHeight="1" x14ac:dyDescent="0.25">
      <c r="A1289" s="32" t="s">
        <v>2014</v>
      </c>
      <c r="B1289" s="306" t="str">
        <f>IF((COUNTBLANK(G1289)=0),Stats!$E$7,IF((COUNTBLANK(E1289)=0),IF((COUNTBLANK(F1289)=0),IF((COUNTBLANK(U1289)=0),Stats!$E$6,Stats!$E$5),Stats!$E$4),""))</f>
        <v>Death</v>
      </c>
      <c r="C1289" s="41" t="s">
        <v>3111</v>
      </c>
      <c r="D1289" s="306" t="s">
        <v>4806</v>
      </c>
      <c r="E1289" s="89">
        <v>45401</v>
      </c>
      <c r="F1289" s="89"/>
      <c r="G1289" s="89">
        <v>45467</v>
      </c>
      <c r="H1289" s="34" t="s">
        <v>3139</v>
      </c>
      <c r="I1289" s="34"/>
      <c r="J1289" s="34" t="s">
        <v>3186</v>
      </c>
      <c r="K1289" s="36" t="s">
        <v>4952</v>
      </c>
      <c r="L1289" s="36" t="s">
        <v>181</v>
      </c>
      <c r="M1289" s="36"/>
      <c r="N1289" s="65" t="s">
        <v>4954</v>
      </c>
      <c r="O1289" s="34" t="s">
        <v>4955</v>
      </c>
      <c r="P1289" s="68" t="s">
        <v>4956</v>
      </c>
      <c r="Q1289" s="68" t="s">
        <v>3709</v>
      </c>
      <c r="R1289" s="34" t="s">
        <v>279</v>
      </c>
      <c r="S1289" s="34"/>
      <c r="T1289" s="34"/>
      <c r="U1289" s="34"/>
      <c r="V1289" s="34"/>
      <c r="W1289" s="34"/>
      <c r="X1289" s="34"/>
      <c r="Y1289"/>
    </row>
    <row r="1290" spans="1:25" s="91" customFormat="1" ht="15" customHeight="1" x14ac:dyDescent="0.25">
      <c r="A1290" s="32" t="s">
        <v>2015</v>
      </c>
      <c r="B1290" s="306" t="str">
        <f>IF((COUNTBLANK(G1290)=0),Stats!$E$7,IF((COUNTBLANK(E1290)=0),IF((COUNTBLANK(F1290)=0),IF((COUNTBLANK(U1290)=0),Stats!$E$6,Stats!$E$5),Stats!$E$4),""))</f>
        <v>Death</v>
      </c>
      <c r="C1290" s="41" t="s">
        <v>3111</v>
      </c>
      <c r="D1290" s="306" t="s">
        <v>4806</v>
      </c>
      <c r="E1290" s="89">
        <v>45401</v>
      </c>
      <c r="F1290" s="89"/>
      <c r="G1290" s="89">
        <v>45467</v>
      </c>
      <c r="H1290" s="34" t="s">
        <v>3139</v>
      </c>
      <c r="I1290" s="34"/>
      <c r="J1290" s="34" t="s">
        <v>3186</v>
      </c>
      <c r="K1290" s="36" t="s">
        <v>4952</v>
      </c>
      <c r="L1290" s="36" t="s">
        <v>181</v>
      </c>
      <c r="M1290" s="36"/>
      <c r="N1290" s="65" t="s">
        <v>4954</v>
      </c>
      <c r="O1290" s="34" t="s">
        <v>4955</v>
      </c>
      <c r="P1290" s="68" t="s">
        <v>4956</v>
      </c>
      <c r="Q1290" s="68" t="s">
        <v>3709</v>
      </c>
      <c r="R1290" s="34" t="s">
        <v>279</v>
      </c>
      <c r="S1290" s="34"/>
      <c r="T1290" s="34"/>
      <c r="U1290" s="34"/>
      <c r="V1290" s="34"/>
      <c r="W1290" s="34"/>
      <c r="X1290" s="34"/>
      <c r="Y1290"/>
    </row>
    <row r="1291" spans="1:25" ht="15" customHeight="1" x14ac:dyDescent="0.25">
      <c r="A1291" s="168" t="s">
        <v>2016</v>
      </c>
      <c r="B1291" s="306" t="str">
        <f>IF((COUNTBLANK(G1291)=0),Stats!$E$7,IF((COUNTBLANK(E1291)=0),IF((COUNTBLANK(F1291)=0),IF((COUNTBLANK(U1291)=0),Stats!$E$6,Stats!$E$5),Stats!$E$4),""))</f>
        <v>Death</v>
      </c>
      <c r="C1291" s="171" t="s">
        <v>240</v>
      </c>
      <c r="D1291" s="378" t="str">
        <f>IF(B1291=Stats!$E$6,Stats!$E$11,"")</f>
        <v/>
      </c>
      <c r="E1291" s="172">
        <v>45401</v>
      </c>
      <c r="F1291" s="172"/>
      <c r="G1291" s="172">
        <v>45629</v>
      </c>
      <c r="H1291" s="167" t="s">
        <v>53</v>
      </c>
      <c r="I1291" s="167"/>
      <c r="J1291" s="167" t="s">
        <v>3186</v>
      </c>
      <c r="K1291" s="173" t="s">
        <v>4940</v>
      </c>
      <c r="L1291" s="173"/>
      <c r="M1291" s="173"/>
      <c r="N1291" s="174" t="s">
        <v>71</v>
      </c>
      <c r="O1291" s="167" t="s">
        <v>51</v>
      </c>
      <c r="P1291" s="175">
        <v>-350</v>
      </c>
      <c r="Q1291" s="175">
        <v>200</v>
      </c>
      <c r="R1291" s="167"/>
      <c r="S1291" s="167"/>
      <c r="T1291" s="167"/>
      <c r="U1291" s="167"/>
      <c r="V1291" s="167"/>
      <c r="W1291" s="167"/>
      <c r="X1291" s="167"/>
      <c r="Y1291" s="176"/>
    </row>
    <row r="1292" spans="1:25" ht="15" customHeight="1" x14ac:dyDescent="0.25">
      <c r="A1292" s="168" t="s">
        <v>2017</v>
      </c>
      <c r="B1292" s="306" t="str">
        <f>IF((COUNTBLANK(G1292)=0),Stats!$E$7,IF((COUNTBLANK(E1292)=0),IF((COUNTBLANK(F1292)=0),IF((COUNTBLANK(U1292)=0),Stats!$E$6,Stats!$E$5),Stats!$E$4),""))</f>
        <v>Death</v>
      </c>
      <c r="C1292" s="171" t="s">
        <v>240</v>
      </c>
      <c r="D1292" s="378" t="str">
        <f>IF(B1292=Stats!$E$6,Stats!$E$11,"")</f>
        <v/>
      </c>
      <c r="E1292" s="172">
        <v>45401</v>
      </c>
      <c r="F1292" s="172"/>
      <c r="G1292" s="172">
        <v>45629</v>
      </c>
      <c r="H1292" s="167" t="s">
        <v>53</v>
      </c>
      <c r="I1292" s="167"/>
      <c r="J1292" s="167" t="s">
        <v>3186</v>
      </c>
      <c r="K1292" s="173" t="s">
        <v>4940</v>
      </c>
      <c r="L1292" s="173"/>
      <c r="M1292" s="173"/>
      <c r="N1292" s="174" t="s">
        <v>71</v>
      </c>
      <c r="O1292" s="167" t="s">
        <v>51</v>
      </c>
      <c r="P1292" s="175">
        <v>-350</v>
      </c>
      <c r="Q1292" s="175">
        <v>200</v>
      </c>
      <c r="R1292" s="167"/>
      <c r="S1292" s="167"/>
      <c r="T1292" s="167"/>
      <c r="U1292" s="167"/>
      <c r="V1292" s="167"/>
      <c r="W1292" s="167"/>
      <c r="X1292" s="167"/>
      <c r="Y1292" s="176"/>
    </row>
    <row r="1293" spans="1:25" ht="15" customHeight="1" x14ac:dyDescent="0.25">
      <c r="A1293" s="168" t="s">
        <v>2018</v>
      </c>
      <c r="B1293" s="306" t="str">
        <f>IF((COUNTBLANK(G1293)=0),Stats!$E$7,IF((COUNTBLANK(E1293)=0),IF((COUNTBLANK(F1293)=0),IF((COUNTBLANK(U1293)=0),Stats!$E$6,Stats!$E$5),Stats!$E$4),""))</f>
        <v>Death</v>
      </c>
      <c r="C1293" s="171" t="s">
        <v>240</v>
      </c>
      <c r="D1293" s="378" t="str">
        <f>IF(B1293=Stats!$E$6,Stats!$E$11,"")</f>
        <v/>
      </c>
      <c r="E1293" s="172">
        <v>45405</v>
      </c>
      <c r="F1293" s="172"/>
      <c r="G1293" s="172">
        <v>45641</v>
      </c>
      <c r="H1293" s="167" t="s">
        <v>53</v>
      </c>
      <c r="I1293" s="167"/>
      <c r="J1293" s="167" t="s">
        <v>3186</v>
      </c>
      <c r="K1293" s="173" t="s">
        <v>4940</v>
      </c>
      <c r="L1293" s="173"/>
      <c r="M1293" s="173"/>
      <c r="N1293" s="174" t="s">
        <v>71</v>
      </c>
      <c r="O1293" s="167" t="s">
        <v>51</v>
      </c>
      <c r="P1293" s="175">
        <v>-350</v>
      </c>
      <c r="Q1293" s="175">
        <v>200</v>
      </c>
      <c r="R1293" s="167"/>
      <c r="S1293" s="167"/>
      <c r="T1293" s="167"/>
      <c r="U1293" s="167"/>
      <c r="V1293" s="167"/>
      <c r="W1293" s="167"/>
      <c r="X1293" s="167"/>
      <c r="Y1293" s="176"/>
    </row>
    <row r="1294" spans="1:25" ht="15" customHeight="1" x14ac:dyDescent="0.25">
      <c r="A1294" s="168" t="s">
        <v>2019</v>
      </c>
      <c r="B1294" s="306" t="str">
        <f>IF((COUNTBLANK(G1294)=0),Stats!$E$7,IF((COUNTBLANK(E1294)=0),IF((COUNTBLANK(F1294)=0),IF((COUNTBLANK(U1294)=0),Stats!$E$6,Stats!$E$5),Stats!$E$4),""))</f>
        <v>Death</v>
      </c>
      <c r="C1294" s="171" t="s">
        <v>240</v>
      </c>
      <c r="D1294" s="378" t="str">
        <f>IF(B1294=Stats!$E$6,Stats!$E$11,"")</f>
        <v/>
      </c>
      <c r="E1294" s="172">
        <v>45405</v>
      </c>
      <c r="F1294" s="172"/>
      <c r="G1294" s="172">
        <v>45641</v>
      </c>
      <c r="H1294" s="167" t="s">
        <v>53</v>
      </c>
      <c r="I1294" s="167"/>
      <c r="J1294" s="167" t="s">
        <v>3186</v>
      </c>
      <c r="K1294" s="173" t="s">
        <v>4940</v>
      </c>
      <c r="L1294" s="173"/>
      <c r="M1294" s="173"/>
      <c r="N1294" s="174" t="s">
        <v>71</v>
      </c>
      <c r="O1294" s="167" t="s">
        <v>51</v>
      </c>
      <c r="P1294" s="175">
        <v>-350</v>
      </c>
      <c r="Q1294" s="175">
        <v>200</v>
      </c>
      <c r="R1294" s="167"/>
      <c r="S1294" s="167"/>
      <c r="T1294" s="167"/>
      <c r="U1294" s="167"/>
      <c r="V1294" s="167"/>
      <c r="W1294" s="167"/>
      <c r="X1294" s="167"/>
      <c r="Y1294" s="176"/>
    </row>
    <row r="1295" spans="1:25" ht="15" customHeight="1" x14ac:dyDescent="0.25">
      <c r="A1295" s="168" t="s">
        <v>2020</v>
      </c>
      <c r="B1295" s="306" t="str">
        <f>IF((COUNTBLANK(G1295)=0),Stats!$E$7,IF((COUNTBLANK(E1295)=0),IF((COUNTBLANK(F1295)=0),IF((COUNTBLANK(U1295)=0),Stats!$E$6,Stats!$E$5),Stats!$E$4),""))</f>
        <v>Death</v>
      </c>
      <c r="C1295" s="171" t="s">
        <v>240</v>
      </c>
      <c r="D1295" s="173"/>
      <c r="E1295" s="172">
        <v>45405</v>
      </c>
      <c r="F1295" s="172"/>
      <c r="G1295" s="172">
        <v>45641</v>
      </c>
      <c r="H1295" s="167" t="s">
        <v>53</v>
      </c>
      <c r="I1295" s="167"/>
      <c r="J1295" s="167"/>
      <c r="K1295" s="173"/>
      <c r="L1295" s="173"/>
      <c r="M1295" s="173"/>
      <c r="N1295" s="190"/>
      <c r="O1295" s="167"/>
      <c r="P1295" s="175"/>
      <c r="Q1295" s="175"/>
      <c r="R1295" s="191"/>
      <c r="S1295" s="191"/>
      <c r="T1295" s="167"/>
      <c r="U1295" s="167"/>
      <c r="V1295" s="167"/>
      <c r="W1295" s="167"/>
      <c r="X1295" s="169"/>
      <c r="Y1295" s="176"/>
    </row>
    <row r="1296" spans="1:25" ht="15" customHeight="1" x14ac:dyDescent="0.25">
      <c r="A1296" s="32" t="s">
        <v>2021</v>
      </c>
      <c r="B1296" s="306" t="str">
        <f>IF((COUNTBLANK(G1296)=0),Stats!$E$7,IF((COUNTBLANK(E1296)=0),IF((COUNTBLANK(F1296)=0),IF((COUNTBLANK(U1296)=0),Stats!$E$6,Stats!$E$5),Stats!$E$4),""))</f>
        <v>Death</v>
      </c>
      <c r="C1296" s="41" t="s">
        <v>284</v>
      </c>
      <c r="D1296" s="36" t="s">
        <v>325</v>
      </c>
      <c r="E1296" s="89">
        <v>45400</v>
      </c>
      <c r="F1296" s="89">
        <v>45418</v>
      </c>
      <c r="G1296" s="172">
        <v>45641</v>
      </c>
      <c r="H1296" s="34" t="s">
        <v>285</v>
      </c>
      <c r="I1296" s="34" t="s">
        <v>285</v>
      </c>
      <c r="J1296" s="34" t="s">
        <v>152</v>
      </c>
      <c r="K1296" s="36" t="s">
        <v>686</v>
      </c>
      <c r="N1296" s="170" t="s">
        <v>4957</v>
      </c>
      <c r="O1296" s="34" t="s">
        <v>51</v>
      </c>
      <c r="P1296" s="68">
        <v>-450</v>
      </c>
      <c r="Q1296" s="68">
        <v>750</v>
      </c>
      <c r="R1296" s="144" t="s">
        <v>4958</v>
      </c>
      <c r="S1296" s="144" t="s">
        <v>279</v>
      </c>
      <c r="U1296" s="34" t="s">
        <v>4959</v>
      </c>
    </row>
    <row r="1297" spans="1:25" ht="15" customHeight="1" x14ac:dyDescent="0.25">
      <c r="A1297" s="32" t="s">
        <v>2022</v>
      </c>
      <c r="B1297" s="306" t="str">
        <f>IF((COUNTBLANK(G1297)=0),Stats!$E$7,IF((COUNTBLANK(E1297)=0),IF((COUNTBLANK(F1297)=0),IF((COUNTBLANK(U1297)=0),Stats!$E$6,Stats!$E$5),Stats!$E$4),""))</f>
        <v>Death</v>
      </c>
      <c r="C1297" s="41" t="s">
        <v>284</v>
      </c>
      <c r="D1297" s="306" t="str">
        <f>IF(B1297=Stats!$E$6,Stats!$E$11,"")</f>
        <v/>
      </c>
      <c r="E1297" s="89">
        <v>45404</v>
      </c>
      <c r="F1297" s="89">
        <v>45419</v>
      </c>
      <c r="G1297" s="89">
        <v>45548</v>
      </c>
      <c r="H1297" s="34" t="s">
        <v>285</v>
      </c>
      <c r="I1297" s="34" t="s">
        <v>285</v>
      </c>
      <c r="J1297" s="34" t="s">
        <v>152</v>
      </c>
      <c r="K1297" s="36" t="s">
        <v>686</v>
      </c>
      <c r="N1297" s="170" t="s">
        <v>4957</v>
      </c>
      <c r="O1297" s="34" t="s">
        <v>51</v>
      </c>
      <c r="P1297" s="68">
        <v>-450</v>
      </c>
      <c r="Q1297" s="68">
        <v>750</v>
      </c>
      <c r="R1297" s="144" t="s">
        <v>4960</v>
      </c>
      <c r="S1297" s="144" t="s">
        <v>243</v>
      </c>
    </row>
    <row r="1298" spans="1:25" s="91" customFormat="1" ht="15" customHeight="1" x14ac:dyDescent="0.25">
      <c r="A1298" s="32" t="s">
        <v>2023</v>
      </c>
      <c r="B1298" s="306" t="str">
        <f>IF((COUNTBLANK(G1298)=0),Stats!$E$7,IF((COUNTBLANK(E1298)=0),IF((COUNTBLANK(F1298)=0),IF((COUNTBLANK(U1298)=0),Stats!$E$6,Stats!$E$5),Stats!$E$4),""))</f>
        <v>Death</v>
      </c>
      <c r="C1298" s="41" t="s">
        <v>284</v>
      </c>
      <c r="D1298" s="306" t="str">
        <f>IF(B1298=Stats!$E$6,Stats!$E$11,"")</f>
        <v/>
      </c>
      <c r="E1298" s="89">
        <v>45404</v>
      </c>
      <c r="F1298" s="89">
        <v>45420</v>
      </c>
      <c r="G1298" s="89">
        <v>45439</v>
      </c>
      <c r="H1298" s="34" t="s">
        <v>285</v>
      </c>
      <c r="I1298" s="34" t="s">
        <v>285</v>
      </c>
      <c r="J1298" s="34" t="s">
        <v>152</v>
      </c>
      <c r="K1298" s="36" t="s">
        <v>686</v>
      </c>
      <c r="L1298" s="36"/>
      <c r="M1298" s="36"/>
      <c r="N1298" s="170" t="s">
        <v>4957</v>
      </c>
      <c r="O1298" s="34" t="s">
        <v>51</v>
      </c>
      <c r="P1298" s="68">
        <v>-450</v>
      </c>
      <c r="Q1298" s="68">
        <v>750</v>
      </c>
      <c r="R1298" s="144" t="s">
        <v>4960</v>
      </c>
      <c r="S1298" s="144" t="s">
        <v>279</v>
      </c>
      <c r="T1298" s="34"/>
      <c r="U1298" s="34"/>
      <c r="V1298" s="34"/>
      <c r="W1298" s="34"/>
      <c r="X1298" s="34"/>
      <c r="Y1298"/>
    </row>
    <row r="1299" spans="1:25" x14ac:dyDescent="0.25">
      <c r="A1299" s="32" t="s">
        <v>2024</v>
      </c>
      <c r="B1299" s="306" t="str">
        <f>IF((COUNTBLANK(G1299)=0),Stats!$E$7,IF((COUNTBLANK(E1299)=0),IF((COUNTBLANK(F1299)=0),IF((COUNTBLANK(U1299)=0),Stats!$E$6,Stats!$E$5),Stats!$E$4),""))</f>
        <v>Death</v>
      </c>
      <c r="C1299" s="41" t="s">
        <v>3111</v>
      </c>
      <c r="D1299" s="306"/>
      <c r="E1299" s="89">
        <v>45426</v>
      </c>
      <c r="F1299" s="89">
        <v>45426</v>
      </c>
      <c r="G1299" s="172">
        <v>45641</v>
      </c>
      <c r="H1299" s="34" t="s">
        <v>3139</v>
      </c>
      <c r="J1299" s="34" t="s">
        <v>152</v>
      </c>
      <c r="K1299" s="36" t="s">
        <v>182</v>
      </c>
      <c r="N1299" s="170" t="s">
        <v>196</v>
      </c>
      <c r="O1299" s="34" t="s">
        <v>51</v>
      </c>
      <c r="P1299" s="68">
        <v>-500</v>
      </c>
      <c r="Q1299" s="68">
        <v>-300</v>
      </c>
      <c r="R1299" s="144"/>
      <c r="S1299" s="144" t="s">
        <v>279</v>
      </c>
    </row>
    <row r="1300" spans="1:25" x14ac:dyDescent="0.25">
      <c r="A1300" s="32" t="s">
        <v>2025</v>
      </c>
      <c r="B1300" s="306" t="str">
        <f>IF((COUNTBLANK(G1300)=0),Stats!$E$7,IF((COUNTBLANK(E1300)=0),IF((COUNTBLANK(F1300)=0),IF((COUNTBLANK(U1300)=0),Stats!$E$6,Stats!$E$5),Stats!$E$4),""))</f>
        <v>Death</v>
      </c>
      <c r="C1300" s="41" t="s">
        <v>3111</v>
      </c>
      <c r="D1300" s="306"/>
      <c r="E1300" s="89">
        <v>45440</v>
      </c>
      <c r="F1300" s="89">
        <v>45440</v>
      </c>
      <c r="G1300" s="172">
        <v>45641</v>
      </c>
      <c r="H1300" s="34" t="s">
        <v>3139</v>
      </c>
      <c r="J1300" s="34" t="s">
        <v>152</v>
      </c>
      <c r="K1300" s="36" t="s">
        <v>182</v>
      </c>
      <c r="L1300" s="36" t="s">
        <v>4199</v>
      </c>
      <c r="N1300" s="170" t="s">
        <v>196</v>
      </c>
      <c r="O1300" s="34" t="s">
        <v>51</v>
      </c>
      <c r="P1300" s="68">
        <v>-500</v>
      </c>
      <c r="Q1300" s="68">
        <v>-300</v>
      </c>
      <c r="R1300" s="144"/>
      <c r="S1300" s="144" t="s">
        <v>279</v>
      </c>
    </row>
    <row r="1301" spans="1:25" x14ac:dyDescent="0.25">
      <c r="A1301" s="32" t="s">
        <v>2026</v>
      </c>
      <c r="B1301" s="306" t="str">
        <f>IF((COUNTBLANK(G1301)=0),Stats!$E$7,IF((COUNTBLANK(E1301)=0),IF((COUNTBLANK(F1301)=0),IF((COUNTBLANK(U1301)=0),Stats!$E$6,Stats!$E$5),Stats!$E$4),""))</f>
        <v>Death</v>
      </c>
      <c r="C1301" s="41" t="s">
        <v>3111</v>
      </c>
      <c r="D1301" s="306"/>
      <c r="E1301" s="89">
        <v>45440</v>
      </c>
      <c r="F1301" s="89">
        <v>45440</v>
      </c>
      <c r="G1301" s="172">
        <v>45641</v>
      </c>
      <c r="H1301" s="34" t="s">
        <v>3139</v>
      </c>
      <c r="J1301" s="34" t="s">
        <v>152</v>
      </c>
      <c r="K1301" s="36" t="s">
        <v>182</v>
      </c>
      <c r="L1301" s="36" t="s">
        <v>4199</v>
      </c>
      <c r="N1301" s="170" t="s">
        <v>196</v>
      </c>
      <c r="O1301" s="34" t="s">
        <v>51</v>
      </c>
      <c r="P1301" s="68">
        <v>-500</v>
      </c>
      <c r="Q1301" s="68">
        <v>-300</v>
      </c>
      <c r="R1301" s="144"/>
      <c r="S1301" s="144"/>
    </row>
    <row r="1302" spans="1:25" x14ac:dyDescent="0.25">
      <c r="A1302" s="32" t="s">
        <v>2027</v>
      </c>
      <c r="B1302" s="306" t="str">
        <f>IF((COUNTBLANK(G1302)=0),Stats!$E$7,IF((COUNTBLANK(E1302)=0),IF((COUNTBLANK(F1302)=0),IF((COUNTBLANK(U1302)=0),Stats!$E$6,Stats!$E$5),Stats!$E$4),""))</f>
        <v>Death</v>
      </c>
      <c r="C1302" s="41" t="s">
        <v>3111</v>
      </c>
      <c r="D1302" s="306" t="str">
        <f>IF(B1302=Stats!$E$6,Stats!$E$11,"")</f>
        <v/>
      </c>
      <c r="E1302" s="89">
        <v>45440</v>
      </c>
      <c r="F1302" s="89">
        <v>45440</v>
      </c>
      <c r="G1302" s="172">
        <v>45641</v>
      </c>
      <c r="H1302" s="34" t="s">
        <v>3139</v>
      </c>
      <c r="J1302" s="34" t="s">
        <v>152</v>
      </c>
      <c r="K1302" s="36" t="s">
        <v>182</v>
      </c>
      <c r="L1302" s="36" t="s">
        <v>4199</v>
      </c>
      <c r="N1302" s="170" t="s">
        <v>196</v>
      </c>
      <c r="O1302" s="34" t="s">
        <v>51</v>
      </c>
      <c r="P1302" s="68">
        <v>-500</v>
      </c>
      <c r="Q1302" s="68">
        <v>-300</v>
      </c>
    </row>
    <row r="1303" spans="1:25" x14ac:dyDescent="0.25">
      <c r="A1303" s="32" t="s">
        <v>2028</v>
      </c>
      <c r="B1303" s="306" t="str">
        <f>IF((COUNTBLANK(G1303)=0),Stats!$E$7,IF((COUNTBLANK(E1303)=0),IF((COUNTBLANK(F1303)=0),IF((COUNTBLANK(U1303)=0),Stats!$E$6,Stats!$E$5),Stats!$E$4),""))</f>
        <v>Death</v>
      </c>
      <c r="C1303" s="41" t="s">
        <v>3111</v>
      </c>
      <c r="D1303" s="306" t="str">
        <f>IF(B1303=Stats!$E$6,Stats!$E$11,"")</f>
        <v/>
      </c>
      <c r="E1303" s="89">
        <v>45440</v>
      </c>
      <c r="F1303" s="89">
        <v>45440</v>
      </c>
      <c r="G1303" s="172">
        <v>45641</v>
      </c>
      <c r="H1303" s="34" t="s">
        <v>3139</v>
      </c>
      <c r="J1303" s="34" t="s">
        <v>4766</v>
      </c>
      <c r="K1303" s="36" t="s">
        <v>182</v>
      </c>
      <c r="L1303" s="36" t="s">
        <v>4199</v>
      </c>
      <c r="M1303" s="36" t="s">
        <v>181</v>
      </c>
      <c r="O1303" s="34" t="s">
        <v>51</v>
      </c>
      <c r="P1303" s="68">
        <v>-500</v>
      </c>
      <c r="Q1303" s="68">
        <v>-300</v>
      </c>
    </row>
    <row r="1304" spans="1:25" x14ac:dyDescent="0.25">
      <c r="A1304" s="32" t="s">
        <v>2029</v>
      </c>
      <c r="B1304" s="306" t="str">
        <f>IF((COUNTBLANK(G1304)=0),Stats!$E$7,IF((COUNTBLANK(E1304)=0),IF((COUNTBLANK(F1304)=0),IF((COUNTBLANK(U1304)=0),Stats!$E$6,Stats!$E$5),Stats!$E$4),""))</f>
        <v>Death</v>
      </c>
      <c r="C1304" s="41" t="s">
        <v>3111</v>
      </c>
      <c r="D1304" s="306" t="str">
        <f>IF(B1304=Stats!$E$6,Stats!$E$11,"")</f>
        <v/>
      </c>
      <c r="E1304" s="89">
        <v>45440</v>
      </c>
      <c r="F1304" s="89">
        <v>45440</v>
      </c>
      <c r="G1304" s="172">
        <v>45641</v>
      </c>
      <c r="H1304" s="34" t="s">
        <v>3139</v>
      </c>
      <c r="J1304" s="34" t="s">
        <v>4766</v>
      </c>
      <c r="K1304" s="36" t="s">
        <v>182</v>
      </c>
      <c r="L1304" s="36" t="s">
        <v>4199</v>
      </c>
      <c r="M1304" s="36" t="s">
        <v>181</v>
      </c>
      <c r="O1304" s="34" t="s">
        <v>51</v>
      </c>
      <c r="P1304" s="68">
        <v>-500</v>
      </c>
      <c r="Q1304" s="68">
        <v>-300</v>
      </c>
    </row>
    <row r="1305" spans="1:25" x14ac:dyDescent="0.25">
      <c r="A1305" s="181" t="s">
        <v>2030</v>
      </c>
      <c r="B1305" s="306" t="str">
        <f>IF((COUNTBLANK(G1305)=0),Stats!$E$7,IF((COUNTBLANK(E1305)=0),IF((COUNTBLANK(F1305)=0),IF((COUNTBLANK(U1305)=0),Stats!$E$6,Stats!$E$5),Stats!$E$4),""))</f>
        <v>Death</v>
      </c>
      <c r="C1305" s="178" t="s">
        <v>240</v>
      </c>
      <c r="D1305" s="182" t="str">
        <f>IF(B1305=Stats!$E$6,Stats!$E$11,"")</f>
        <v/>
      </c>
      <c r="E1305" s="183">
        <v>45440</v>
      </c>
      <c r="F1305" s="183">
        <v>45440</v>
      </c>
      <c r="G1305" s="172">
        <v>45641</v>
      </c>
      <c r="H1305" s="179" t="s">
        <v>53</v>
      </c>
      <c r="I1305" s="179"/>
      <c r="J1305" s="189" t="s">
        <v>302</v>
      </c>
      <c r="K1305" s="184" t="s">
        <v>686</v>
      </c>
      <c r="L1305" s="184"/>
      <c r="M1305" s="184"/>
      <c r="N1305" s="185"/>
      <c r="O1305" s="179" t="s">
        <v>51</v>
      </c>
      <c r="P1305" s="186">
        <v>-450</v>
      </c>
      <c r="Q1305" s="186" t="s">
        <v>3709</v>
      </c>
      <c r="R1305" s="179"/>
      <c r="S1305" s="179" t="s">
        <v>4961</v>
      </c>
      <c r="T1305" s="179" t="s">
        <v>4962</v>
      </c>
      <c r="U1305" s="179"/>
      <c r="V1305" s="179"/>
      <c r="W1305" s="179"/>
      <c r="X1305" s="169"/>
      <c r="Y1305" s="187"/>
    </row>
    <row r="1306" spans="1:25" x14ac:dyDescent="0.25">
      <c r="A1306" s="181" t="s">
        <v>2031</v>
      </c>
      <c r="B1306" s="306" t="str">
        <f>IF((COUNTBLANK(G1306)=0),Stats!$E$7,IF((COUNTBLANK(E1306)=0),IF((COUNTBLANK(F1306)=0),IF((COUNTBLANK(U1306)=0),Stats!$E$6,Stats!$E$5),Stats!$E$4),""))</f>
        <v>Death</v>
      </c>
      <c r="C1306" s="178" t="s">
        <v>240</v>
      </c>
      <c r="D1306" s="182" t="str">
        <f>IF(B1306=Stats!$E$6,Stats!$E$11,"")</f>
        <v/>
      </c>
      <c r="E1306" s="177">
        <v>45440</v>
      </c>
      <c r="F1306" s="183">
        <v>45440</v>
      </c>
      <c r="G1306" s="172">
        <v>45641</v>
      </c>
      <c r="H1306" s="179" t="s">
        <v>53</v>
      </c>
      <c r="I1306" s="179"/>
      <c r="J1306" s="189" t="s">
        <v>302</v>
      </c>
      <c r="K1306" s="184" t="s">
        <v>686</v>
      </c>
      <c r="L1306" s="184"/>
      <c r="M1306" s="184"/>
      <c r="N1306" s="185"/>
      <c r="O1306" s="179" t="s">
        <v>51</v>
      </c>
      <c r="P1306" s="186">
        <v>-450</v>
      </c>
      <c r="Q1306" s="186" t="s">
        <v>3709</v>
      </c>
      <c r="R1306" s="179"/>
      <c r="S1306" s="179" t="s">
        <v>4961</v>
      </c>
      <c r="T1306" s="179" t="s">
        <v>4962</v>
      </c>
      <c r="U1306" s="179"/>
      <c r="V1306" s="179"/>
      <c r="W1306" s="179"/>
      <c r="X1306" s="169"/>
      <c r="Y1306" s="187"/>
    </row>
    <row r="1307" spans="1:25" x14ac:dyDescent="0.25">
      <c r="A1307" s="32" t="s">
        <v>2032</v>
      </c>
      <c r="B1307" s="306" t="str">
        <f>IF((COUNTBLANK(G1307)=0),Stats!$E$7,IF((COUNTBLANK(E1307)=0),IF((COUNTBLANK(F1307)=0),IF((COUNTBLANK(U1307)=0),Stats!$E$6,Stats!$E$5),Stats!$E$4),""))</f>
        <v>Death</v>
      </c>
      <c r="C1307" s="41" t="s">
        <v>413</v>
      </c>
      <c r="D1307" s="306" t="str">
        <f>IF(B1307=Stats!$E$6,Stats!$E$11,"")</f>
        <v/>
      </c>
      <c r="E1307" s="89">
        <v>45440</v>
      </c>
      <c r="F1307" s="89">
        <v>45440</v>
      </c>
      <c r="G1307" s="172">
        <v>45641</v>
      </c>
      <c r="H1307" s="34" t="s">
        <v>98</v>
      </c>
      <c r="J1307" s="167" t="s">
        <v>3186</v>
      </c>
      <c r="K1307" s="36" t="s">
        <v>4910</v>
      </c>
      <c r="L1307" s="36" t="s">
        <v>4862</v>
      </c>
      <c r="M1307" s="36" t="s">
        <v>181</v>
      </c>
      <c r="N1307" s="65" t="s">
        <v>4953</v>
      </c>
      <c r="O1307" s="34" t="s">
        <v>51</v>
      </c>
      <c r="P1307" s="68" t="s">
        <v>989</v>
      </c>
      <c r="Q1307" s="68" t="s">
        <v>3709</v>
      </c>
      <c r="R1307" s="34" t="s">
        <v>279</v>
      </c>
    </row>
    <row r="1308" spans="1:25" x14ac:dyDescent="0.25">
      <c r="A1308" s="32" t="s">
        <v>2033</v>
      </c>
      <c r="B1308" s="306" t="str">
        <f>IF((COUNTBLANK(G1308)=0),Stats!$E$7,IF((COUNTBLANK(E1308)=0),IF((COUNTBLANK(F1308)=0),IF((COUNTBLANK(U1308)=0),Stats!$E$6,Stats!$E$5),Stats!$E$4),""))</f>
        <v>Death</v>
      </c>
      <c r="C1308" s="41" t="s">
        <v>413</v>
      </c>
      <c r="D1308" s="306" t="str">
        <f>IF(B1308=Stats!$E$6,Stats!$E$11,"")</f>
        <v/>
      </c>
      <c r="E1308" s="89">
        <v>45440</v>
      </c>
      <c r="F1308" s="89">
        <v>45440</v>
      </c>
      <c r="G1308" s="172">
        <v>45641</v>
      </c>
      <c r="H1308" s="34" t="s">
        <v>3156</v>
      </c>
      <c r="J1308" s="167" t="s">
        <v>3186</v>
      </c>
      <c r="K1308" s="36" t="s">
        <v>4910</v>
      </c>
      <c r="L1308" s="36" t="s">
        <v>4862</v>
      </c>
      <c r="M1308" s="36" t="s">
        <v>181</v>
      </c>
      <c r="N1308" s="65" t="s">
        <v>4953</v>
      </c>
      <c r="O1308" s="34" t="s">
        <v>51</v>
      </c>
      <c r="P1308" s="68" t="s">
        <v>989</v>
      </c>
      <c r="Q1308" s="68" t="s">
        <v>3709</v>
      </c>
      <c r="R1308" s="34" t="s">
        <v>249</v>
      </c>
    </row>
    <row r="1309" spans="1:25" x14ac:dyDescent="0.25">
      <c r="A1309" s="32" t="s">
        <v>2034</v>
      </c>
      <c r="B1309" s="306" t="str">
        <f>IF((COUNTBLANK(G1309)=0),Stats!$E$7,IF((COUNTBLANK(E1309)=0),IF((COUNTBLANK(F1309)=0),IF((COUNTBLANK(U1309)=0),Stats!$E$6,Stats!$E$5),Stats!$E$4),""))</f>
        <v>Death</v>
      </c>
      <c r="C1309" s="41" t="s">
        <v>413</v>
      </c>
      <c r="D1309" s="306" t="str">
        <f>IF(B1309=Stats!$E$6,Stats!$E$11,"")</f>
        <v/>
      </c>
      <c r="E1309" s="89">
        <v>45441</v>
      </c>
      <c r="F1309" s="89">
        <v>45441</v>
      </c>
      <c r="G1309" s="172">
        <v>45641</v>
      </c>
      <c r="H1309" s="34" t="s">
        <v>98</v>
      </c>
      <c r="J1309" s="167" t="s">
        <v>3186</v>
      </c>
      <c r="K1309" s="36" t="s">
        <v>4910</v>
      </c>
      <c r="L1309" s="36" t="s">
        <v>4862</v>
      </c>
      <c r="M1309" s="36" t="s">
        <v>181</v>
      </c>
      <c r="N1309" s="65" t="s">
        <v>4963</v>
      </c>
      <c r="O1309" s="34" t="s">
        <v>51</v>
      </c>
      <c r="P1309" s="68" t="s">
        <v>989</v>
      </c>
      <c r="Q1309" s="68" t="s">
        <v>3709</v>
      </c>
      <c r="R1309" s="34" t="s">
        <v>279</v>
      </c>
    </row>
    <row r="1310" spans="1:25" x14ac:dyDescent="0.25">
      <c r="A1310" s="32" t="s">
        <v>2035</v>
      </c>
      <c r="B1310" s="306" t="str">
        <f>IF((COUNTBLANK(G1310)=0),Stats!$E$7,IF((COUNTBLANK(E1310)=0),IF((COUNTBLANK(F1310)=0),IF((COUNTBLANK(U1310)=0),Stats!$E$6,Stats!$E$5),Stats!$E$4),""))</f>
        <v>Death</v>
      </c>
      <c r="C1310" s="41" t="s">
        <v>413</v>
      </c>
      <c r="D1310" s="306" t="str">
        <f>IF(B1310=Stats!$E$6,Stats!$E$11,"")</f>
        <v/>
      </c>
      <c r="E1310" s="89">
        <v>45441</v>
      </c>
      <c r="F1310" s="89">
        <v>45441</v>
      </c>
      <c r="G1310" s="172">
        <v>45641</v>
      </c>
      <c r="H1310" s="34" t="s">
        <v>98</v>
      </c>
      <c r="J1310" s="167" t="s">
        <v>3186</v>
      </c>
      <c r="K1310" s="36" t="s">
        <v>4910</v>
      </c>
      <c r="L1310" s="36" t="s">
        <v>4862</v>
      </c>
      <c r="M1310" s="36" t="s">
        <v>181</v>
      </c>
      <c r="N1310" s="65" t="s">
        <v>4963</v>
      </c>
      <c r="O1310" s="34" t="s">
        <v>51</v>
      </c>
      <c r="P1310" s="68" t="s">
        <v>989</v>
      </c>
      <c r="Q1310" s="68" t="s">
        <v>3709</v>
      </c>
      <c r="R1310" s="34" t="s">
        <v>279</v>
      </c>
    </row>
    <row r="1311" spans="1:25" x14ac:dyDescent="0.25">
      <c r="A1311" s="168" t="s">
        <v>2036</v>
      </c>
      <c r="B1311" s="306" t="str">
        <f>IF((COUNTBLANK(G1311)=0),Stats!$E$7,IF((COUNTBLANK(E1311)=0),IF((COUNTBLANK(F1311)=0),IF((COUNTBLANK(U1311)=0),Stats!$E$6,Stats!$E$5),Stats!$E$4),""))</f>
        <v>Death</v>
      </c>
      <c r="C1311" s="171" t="s">
        <v>240</v>
      </c>
      <c r="D1311" s="378" t="str">
        <f>IF(B1311=Stats!$E$6,Stats!$E$11,"")</f>
        <v/>
      </c>
      <c r="E1311" s="172">
        <v>45448</v>
      </c>
      <c r="F1311" s="172"/>
      <c r="G1311" s="172">
        <v>45641</v>
      </c>
      <c r="H1311" s="192" t="s">
        <v>53</v>
      </c>
      <c r="I1311" s="167"/>
      <c r="J1311" s="167" t="s">
        <v>302</v>
      </c>
      <c r="K1311" s="173" t="s">
        <v>242</v>
      </c>
      <c r="L1311" s="173"/>
      <c r="M1311" s="173"/>
      <c r="N1311" s="174"/>
      <c r="O1311" s="167" t="s">
        <v>51</v>
      </c>
      <c r="P1311" s="175">
        <v>-350</v>
      </c>
      <c r="Q1311" s="175">
        <v>400</v>
      </c>
      <c r="R1311" s="167"/>
      <c r="S1311" s="167"/>
      <c r="T1311" s="167" t="s">
        <v>4964</v>
      </c>
      <c r="U1311" s="167"/>
      <c r="V1311" s="167"/>
      <c r="W1311" s="167"/>
      <c r="X1311" s="169"/>
      <c r="Y1311" s="176"/>
    </row>
    <row r="1312" spans="1:25" x14ac:dyDescent="0.25">
      <c r="A1312" s="168" t="s">
        <v>2037</v>
      </c>
      <c r="B1312" s="306" t="str">
        <f>IF((COUNTBLANK(G1312)=0),Stats!$E$7,IF((COUNTBLANK(E1312)=0),IF((COUNTBLANK(F1312)=0),IF((COUNTBLANK(U1312)=0),Stats!$E$6,Stats!$E$5),Stats!$E$4),""))</f>
        <v>Death</v>
      </c>
      <c r="C1312" s="171" t="s">
        <v>240</v>
      </c>
      <c r="D1312" s="378" t="str">
        <f>IF(B1312=Stats!$E$6,Stats!$E$11,"")</f>
        <v/>
      </c>
      <c r="E1312" s="172">
        <v>45448</v>
      </c>
      <c r="F1312" s="172"/>
      <c r="G1312" s="172">
        <v>45641</v>
      </c>
      <c r="H1312" s="192" t="s">
        <v>53</v>
      </c>
      <c r="I1312" s="167"/>
      <c r="J1312" s="167" t="s">
        <v>302</v>
      </c>
      <c r="K1312" s="173" t="s">
        <v>242</v>
      </c>
      <c r="L1312" s="173"/>
      <c r="M1312" s="173"/>
      <c r="N1312" s="174"/>
      <c r="O1312" s="167" t="s">
        <v>51</v>
      </c>
      <c r="P1312" s="175">
        <v>-350</v>
      </c>
      <c r="Q1312" s="175">
        <v>400</v>
      </c>
      <c r="R1312" s="167"/>
      <c r="S1312" s="167"/>
      <c r="T1312" s="167" t="s">
        <v>4965</v>
      </c>
      <c r="U1312" s="167"/>
      <c r="V1312" s="167"/>
      <c r="W1312" s="167"/>
      <c r="X1312" s="169"/>
      <c r="Y1312" s="176"/>
    </row>
    <row r="1313" spans="1:25" x14ac:dyDescent="0.25">
      <c r="A1313" s="168" t="s">
        <v>2038</v>
      </c>
      <c r="B1313" s="306" t="str">
        <f>IF((COUNTBLANK(G1313)=0),Stats!$E$7,IF((COUNTBLANK(E1313)=0),IF((COUNTBLANK(F1313)=0),IF((COUNTBLANK(U1313)=0),Stats!$E$6,Stats!$E$5),Stats!$E$4),""))</f>
        <v>Death</v>
      </c>
      <c r="C1313" s="171" t="s">
        <v>240</v>
      </c>
      <c r="D1313" s="171" t="str">
        <f>IF(B1313=Stats!$E$6,Stats!$E$11,"")</f>
        <v/>
      </c>
      <c r="E1313" s="172">
        <v>45448</v>
      </c>
      <c r="F1313" s="172"/>
      <c r="G1313" s="172">
        <v>45641</v>
      </c>
      <c r="H1313" s="192" t="s">
        <v>53</v>
      </c>
      <c r="I1313" s="167"/>
      <c r="J1313" s="167" t="s">
        <v>302</v>
      </c>
      <c r="K1313" s="173" t="s">
        <v>242</v>
      </c>
      <c r="L1313" s="173"/>
      <c r="M1313" s="173"/>
      <c r="N1313" s="174"/>
      <c r="O1313" s="167" t="s">
        <v>51</v>
      </c>
      <c r="P1313" s="175">
        <v>-350</v>
      </c>
      <c r="Q1313" s="175">
        <v>400</v>
      </c>
      <c r="R1313" s="167"/>
      <c r="S1313" s="167"/>
      <c r="T1313" s="167" t="s">
        <v>4965</v>
      </c>
      <c r="U1313" s="167"/>
      <c r="V1313" s="167"/>
      <c r="W1313" s="167"/>
      <c r="X1313" s="169"/>
      <c r="Y1313" s="176"/>
    </row>
    <row r="1314" spans="1:25" x14ac:dyDescent="0.25">
      <c r="A1314" s="168" t="s">
        <v>2039</v>
      </c>
      <c r="B1314" s="306" t="str">
        <f>IF((COUNTBLANK(G1314)=0),Stats!$E$7,IF((COUNTBLANK(E1314)=0),IF((COUNTBLANK(F1314)=0),IF((COUNTBLANK(U1314)=0),Stats!$E$6,Stats!$E$5),Stats!$E$4),""))</f>
        <v>Death</v>
      </c>
      <c r="C1314" s="171" t="s">
        <v>240</v>
      </c>
      <c r="D1314" s="378" t="str">
        <f>IF(B1314=Stats!$E$6,Stats!$E$11,"")</f>
        <v/>
      </c>
      <c r="E1314" s="172">
        <v>45453</v>
      </c>
      <c r="F1314" s="172"/>
      <c r="G1314" s="172">
        <v>45641</v>
      </c>
      <c r="H1314" s="192" t="s">
        <v>53</v>
      </c>
      <c r="I1314" s="167"/>
      <c r="J1314" s="167" t="s">
        <v>302</v>
      </c>
      <c r="K1314" s="173" t="s">
        <v>242</v>
      </c>
      <c r="L1314" s="173"/>
      <c r="M1314" s="173"/>
      <c r="N1314" s="174"/>
      <c r="O1314" s="167" t="s">
        <v>51</v>
      </c>
      <c r="P1314" s="175">
        <v>-350</v>
      </c>
      <c r="Q1314" s="175">
        <v>400</v>
      </c>
      <c r="R1314" s="167"/>
      <c r="S1314" s="167"/>
      <c r="T1314" s="167" t="s">
        <v>4965</v>
      </c>
      <c r="U1314" s="167"/>
      <c r="V1314" s="167"/>
      <c r="W1314" s="167"/>
      <c r="X1314" s="169"/>
      <c r="Y1314" s="176"/>
    </row>
    <row r="1315" spans="1:25" x14ac:dyDescent="0.25">
      <c r="A1315" s="168" t="s">
        <v>2040</v>
      </c>
      <c r="B1315" s="306" t="str">
        <f>IF((COUNTBLANK(G1315)=0),Stats!$E$7,IF((COUNTBLANK(E1315)=0),IF((COUNTBLANK(F1315)=0),IF((COUNTBLANK(U1315)=0),Stats!$E$6,Stats!$E$5),Stats!$E$4),""))</f>
        <v>Death</v>
      </c>
      <c r="C1315" s="171" t="s">
        <v>240</v>
      </c>
      <c r="D1315" s="378" t="str">
        <f>IF(B1315=Stats!$E$6,Stats!$E$11,"")</f>
        <v/>
      </c>
      <c r="E1315" s="172">
        <v>45453</v>
      </c>
      <c r="F1315" s="172"/>
      <c r="G1315" s="172">
        <v>45641</v>
      </c>
      <c r="H1315" s="192" t="s">
        <v>53</v>
      </c>
      <c r="I1315" s="167"/>
      <c r="J1315" s="167" t="s">
        <v>302</v>
      </c>
      <c r="K1315" s="173" t="s">
        <v>242</v>
      </c>
      <c r="L1315" s="173"/>
      <c r="M1315" s="173"/>
      <c r="N1315" s="174"/>
      <c r="O1315" s="167" t="s">
        <v>51</v>
      </c>
      <c r="P1315" s="175">
        <v>-350</v>
      </c>
      <c r="Q1315" s="175">
        <v>400</v>
      </c>
      <c r="R1315" s="167"/>
      <c r="S1315" s="167"/>
      <c r="T1315" s="167" t="s">
        <v>4965</v>
      </c>
      <c r="U1315" s="167"/>
      <c r="V1315" s="167"/>
      <c r="W1315" s="167"/>
      <c r="X1315" s="169"/>
      <c r="Y1315" s="176"/>
    </row>
    <row r="1316" spans="1:25" x14ac:dyDescent="0.25">
      <c r="A1316" s="168" t="s">
        <v>2041</v>
      </c>
      <c r="B1316" s="306" t="str">
        <f>IF((COUNTBLANK(G1316)=0),Stats!$E$7,IF((COUNTBLANK(E1316)=0),IF((COUNTBLANK(F1316)=0),IF((COUNTBLANK(U1316)=0),Stats!$E$6,Stats!$E$5),Stats!$E$4),""))</f>
        <v>Death</v>
      </c>
      <c r="C1316" s="171" t="s">
        <v>240</v>
      </c>
      <c r="D1316" s="378" t="str">
        <f>IF(B1316=Stats!$E$6,Stats!$E$11,"")</f>
        <v/>
      </c>
      <c r="E1316" s="172">
        <v>45453</v>
      </c>
      <c r="F1316" s="172"/>
      <c r="G1316" s="172">
        <v>45641</v>
      </c>
      <c r="H1316" s="192" t="s">
        <v>53</v>
      </c>
      <c r="I1316" s="167"/>
      <c r="J1316" s="167"/>
      <c r="K1316" s="173" t="s">
        <v>242</v>
      </c>
      <c r="L1316" s="173"/>
      <c r="M1316" s="173"/>
      <c r="N1316" s="174"/>
      <c r="O1316" s="167" t="s">
        <v>51</v>
      </c>
      <c r="P1316" s="175">
        <v>-450</v>
      </c>
      <c r="Q1316" s="175">
        <v>400</v>
      </c>
      <c r="R1316" s="167"/>
      <c r="S1316" s="167" t="s">
        <v>4966</v>
      </c>
      <c r="T1316" s="167" t="s">
        <v>4967</v>
      </c>
      <c r="U1316" s="167"/>
      <c r="V1316" s="167"/>
      <c r="W1316" s="167"/>
      <c r="X1316" s="180"/>
      <c r="Y1316" s="176"/>
    </row>
    <row r="1317" spans="1:25" x14ac:dyDescent="0.25">
      <c r="A1317" s="168" t="s">
        <v>2042</v>
      </c>
      <c r="B1317" s="306" t="str">
        <f>IF((COUNTBLANK(G1317)=0),Stats!$E$7,IF((COUNTBLANK(E1317)=0),IF((COUNTBLANK(F1317)=0),IF((COUNTBLANK(U1317)=0),Stats!$E$6,Stats!$E$5),Stats!$E$4),""))</f>
        <v>Death</v>
      </c>
      <c r="C1317" s="171" t="s">
        <v>240</v>
      </c>
      <c r="D1317" s="378" t="str">
        <f>IF(B1317=Stats!$E$6,Stats!$E$11,"")</f>
        <v/>
      </c>
      <c r="E1317" s="172">
        <v>45453</v>
      </c>
      <c r="F1317" s="172"/>
      <c r="G1317" s="172">
        <v>45641</v>
      </c>
      <c r="H1317" s="192" t="s">
        <v>53</v>
      </c>
      <c r="I1317" s="167"/>
      <c r="J1317" s="167"/>
      <c r="K1317" s="173" t="s">
        <v>242</v>
      </c>
      <c r="L1317" s="173"/>
      <c r="M1317" s="173"/>
      <c r="N1317" s="174"/>
      <c r="O1317" s="167" t="s">
        <v>51</v>
      </c>
      <c r="P1317" s="175">
        <v>-450</v>
      </c>
      <c r="Q1317" s="175">
        <v>400</v>
      </c>
      <c r="R1317" s="167"/>
      <c r="S1317" s="167" t="s">
        <v>4966</v>
      </c>
      <c r="T1317" s="167" t="s">
        <v>4967</v>
      </c>
      <c r="U1317" s="167"/>
      <c r="V1317" s="167"/>
      <c r="W1317" s="167"/>
      <c r="X1317" s="180"/>
      <c r="Y1317" s="176"/>
    </row>
    <row r="1318" spans="1:25" x14ac:dyDescent="0.25">
      <c r="A1318" s="168" t="s">
        <v>2043</v>
      </c>
      <c r="B1318" s="306" t="str">
        <f>IF((COUNTBLANK(G1318)=0),Stats!$E$7,IF((COUNTBLANK(E1318)=0),IF((COUNTBLANK(F1318)=0),IF((COUNTBLANK(U1318)=0),Stats!$E$6,Stats!$E$5),Stats!$E$4),""))</f>
        <v>Death</v>
      </c>
      <c r="C1318" s="171" t="s">
        <v>240</v>
      </c>
      <c r="D1318" s="378" t="str">
        <f>IF(B1318=Stats!$E$6,Stats!$E$11,"")</f>
        <v/>
      </c>
      <c r="E1318" s="172">
        <v>45454</v>
      </c>
      <c r="F1318" s="172"/>
      <c r="G1318" s="172">
        <v>45641</v>
      </c>
      <c r="H1318" s="192" t="s">
        <v>53</v>
      </c>
      <c r="I1318" s="167"/>
      <c r="J1318" s="167"/>
      <c r="K1318" s="173" t="s">
        <v>242</v>
      </c>
      <c r="L1318" s="173"/>
      <c r="M1318" s="173"/>
      <c r="N1318" s="174"/>
      <c r="O1318" s="167" t="s">
        <v>51</v>
      </c>
      <c r="P1318" s="175">
        <v>-450</v>
      </c>
      <c r="Q1318" s="175">
        <v>400</v>
      </c>
      <c r="R1318" s="167"/>
      <c r="S1318" s="167" t="s">
        <v>4966</v>
      </c>
      <c r="T1318" s="167" t="s">
        <v>4967</v>
      </c>
      <c r="U1318" s="167"/>
      <c r="V1318" s="167"/>
      <c r="W1318" s="167"/>
      <c r="X1318" s="180"/>
      <c r="Y1318" s="176"/>
    </row>
    <row r="1319" spans="1:25" x14ac:dyDescent="0.25">
      <c r="A1319" s="168" t="s">
        <v>2044</v>
      </c>
      <c r="B1319" s="306" t="str">
        <f>IF((COUNTBLANK(G1319)=0),Stats!$E$7,IF((COUNTBLANK(E1319)=0),IF((COUNTBLANK(F1319)=0),IF((COUNTBLANK(U1319)=0),Stats!$E$6,Stats!$E$5),Stats!$E$4),""))</f>
        <v>Death</v>
      </c>
      <c r="C1319" s="171" t="s">
        <v>240</v>
      </c>
      <c r="D1319" s="378" t="str">
        <f>IF(B1319=Stats!$E$6,Stats!$E$11,"")</f>
        <v/>
      </c>
      <c r="E1319" s="172">
        <v>45456</v>
      </c>
      <c r="F1319" s="172"/>
      <c r="G1319" s="172">
        <v>45641</v>
      </c>
      <c r="H1319" s="167" t="s">
        <v>53</v>
      </c>
      <c r="I1319" s="167"/>
      <c r="J1319" s="167" t="s">
        <v>302</v>
      </c>
      <c r="K1319" s="173" t="s">
        <v>4968</v>
      </c>
      <c r="L1319" s="173"/>
      <c r="M1319" s="173"/>
      <c r="N1319" s="174"/>
      <c r="O1319" s="167" t="s">
        <v>51</v>
      </c>
      <c r="P1319" s="175">
        <v>-350</v>
      </c>
      <c r="Q1319" s="175">
        <v>400</v>
      </c>
      <c r="R1319" s="167"/>
      <c r="S1319" s="167"/>
      <c r="T1319" s="167"/>
      <c r="U1319" s="167"/>
      <c r="V1319" s="167"/>
      <c r="W1319" s="167"/>
      <c r="X1319" s="188"/>
      <c r="Y1319" s="176"/>
    </row>
    <row r="1320" spans="1:25" x14ac:dyDescent="0.25">
      <c r="A1320" s="168" t="s">
        <v>2045</v>
      </c>
      <c r="B1320" s="306" t="str">
        <f>IF((COUNTBLANK(G1320)=0),Stats!$E$7,IF((COUNTBLANK(E1320)=0),IF((COUNTBLANK(F1320)=0),IF((COUNTBLANK(U1320)=0),Stats!$E$6,Stats!$E$5),Stats!$E$4),""))</f>
        <v>Death</v>
      </c>
      <c r="C1320" s="171" t="s">
        <v>240</v>
      </c>
      <c r="D1320" s="378" t="str">
        <f>IF(B1320=Stats!$E$6,Stats!$E$11,"")</f>
        <v/>
      </c>
      <c r="E1320" s="172">
        <v>45460</v>
      </c>
      <c r="F1320" s="172"/>
      <c r="G1320" s="172">
        <v>45641</v>
      </c>
      <c r="H1320" s="167" t="s">
        <v>53</v>
      </c>
      <c r="I1320" s="167"/>
      <c r="J1320" s="167" t="s">
        <v>302</v>
      </c>
      <c r="K1320" s="173" t="s">
        <v>4968</v>
      </c>
      <c r="L1320" s="173"/>
      <c r="M1320" s="173"/>
      <c r="N1320" s="174"/>
      <c r="O1320" s="167" t="s">
        <v>51</v>
      </c>
      <c r="P1320" s="175">
        <v>-350</v>
      </c>
      <c r="Q1320" s="175">
        <v>400</v>
      </c>
      <c r="R1320" s="167"/>
      <c r="S1320" s="167"/>
      <c r="T1320" s="167"/>
      <c r="U1320" s="167"/>
      <c r="V1320" s="167"/>
      <c r="W1320" s="167"/>
      <c r="X1320" s="188"/>
      <c r="Y1320" s="176"/>
    </row>
    <row r="1321" spans="1:25" x14ac:dyDescent="0.25">
      <c r="A1321" s="168" t="s">
        <v>2046</v>
      </c>
      <c r="B1321" s="306" t="str">
        <f>IF((COUNTBLANK(G1321)=0),Stats!$E$7,IF((COUNTBLANK(E1321)=0),IF((COUNTBLANK(F1321)=0),IF((COUNTBLANK(U1321)=0),Stats!$E$6,Stats!$E$5),Stats!$E$4),""))</f>
        <v>Death</v>
      </c>
      <c r="C1321" s="171" t="s">
        <v>240</v>
      </c>
      <c r="D1321" s="378" t="str">
        <f>IF(B1321=Stats!$E$6,Stats!$E$11,"")</f>
        <v/>
      </c>
      <c r="E1321" s="172">
        <v>45460</v>
      </c>
      <c r="F1321" s="172"/>
      <c r="G1321" s="172">
        <v>45641</v>
      </c>
      <c r="H1321" s="167" t="s">
        <v>53</v>
      </c>
      <c r="I1321" s="167"/>
      <c r="J1321" s="167" t="s">
        <v>302</v>
      </c>
      <c r="K1321" s="173" t="s">
        <v>4968</v>
      </c>
      <c r="L1321" s="173"/>
      <c r="M1321" s="173"/>
      <c r="N1321" s="174"/>
      <c r="O1321" s="167" t="s">
        <v>51</v>
      </c>
      <c r="P1321" s="175">
        <v>-350</v>
      </c>
      <c r="Q1321" s="175">
        <v>400</v>
      </c>
      <c r="R1321" s="167"/>
      <c r="S1321" s="167"/>
      <c r="T1321" s="167"/>
      <c r="U1321" s="167"/>
      <c r="V1321" s="167"/>
      <c r="W1321" s="167"/>
      <c r="X1321" s="188"/>
      <c r="Y1321" s="176"/>
    </row>
    <row r="1322" spans="1:25" x14ac:dyDescent="0.25">
      <c r="A1322" s="168" t="s">
        <v>2047</v>
      </c>
      <c r="B1322" s="306" t="str">
        <f>IF((COUNTBLANK(G1322)=0),Stats!$E$7,IF((COUNTBLANK(E1322)=0),IF((COUNTBLANK(F1322)=0),IF((COUNTBLANK(U1322)=0),Stats!$E$6,Stats!$E$5),Stats!$E$4),""))</f>
        <v>Death</v>
      </c>
      <c r="C1322" s="171" t="s">
        <v>240</v>
      </c>
      <c r="D1322" s="378" t="str">
        <f>IF(B1322=Stats!$E$6,Stats!$E$11,"")</f>
        <v/>
      </c>
      <c r="E1322" s="172">
        <v>45461</v>
      </c>
      <c r="F1322" s="172"/>
      <c r="G1322" s="172">
        <v>45641</v>
      </c>
      <c r="H1322" s="167" t="s">
        <v>53</v>
      </c>
      <c r="I1322" s="167"/>
      <c r="J1322" s="167" t="s">
        <v>302</v>
      </c>
      <c r="K1322" s="173"/>
      <c r="L1322" s="173"/>
      <c r="M1322" s="173"/>
      <c r="N1322" s="174"/>
      <c r="O1322" s="167"/>
      <c r="P1322" s="175"/>
      <c r="Q1322" s="175"/>
      <c r="R1322" s="167"/>
      <c r="S1322" s="167"/>
      <c r="T1322" s="167"/>
      <c r="U1322" s="167"/>
      <c r="V1322" s="167"/>
      <c r="W1322" s="167"/>
      <c r="X1322" s="188"/>
      <c r="Y1322" s="176"/>
    </row>
    <row r="1323" spans="1:25" ht="15" customHeight="1" x14ac:dyDescent="0.25">
      <c r="A1323" s="32" t="s">
        <v>2048</v>
      </c>
      <c r="B1323" s="306" t="str">
        <f>IF((COUNTBLANK(G1323)=0),Stats!$E$7,IF((COUNTBLANK(E1323)=0),IF((COUNTBLANK(F1323)=0),IF((COUNTBLANK(U1323)=0),Stats!$E$6,Stats!$E$5),Stats!$E$4),""))</f>
        <v>Death</v>
      </c>
      <c r="C1323" s="199" t="s">
        <v>3113</v>
      </c>
      <c r="D1323" s="306" t="str">
        <f>IF(B1323=Stats!$E$6,Stats!$E$11,"")</f>
        <v/>
      </c>
      <c r="E1323" s="89">
        <v>45462</v>
      </c>
      <c r="G1323" s="172">
        <v>45641</v>
      </c>
      <c r="H1323" s="34" t="s">
        <v>3104</v>
      </c>
      <c r="J1323" s="34" t="s">
        <v>3186</v>
      </c>
      <c r="K1323" s="36" t="s">
        <v>4952</v>
      </c>
      <c r="L1323" s="36" t="s">
        <v>181</v>
      </c>
      <c r="N1323" s="65" t="s">
        <v>4113</v>
      </c>
      <c r="O1323" s="34" t="s">
        <v>4969</v>
      </c>
      <c r="P1323" s="68">
        <v>-1500</v>
      </c>
      <c r="Q1323" t="s">
        <v>3709</v>
      </c>
    </row>
    <row r="1324" spans="1:25" ht="15" customHeight="1" x14ac:dyDescent="0.25">
      <c r="A1324" s="32" t="s">
        <v>2049</v>
      </c>
      <c r="B1324" s="306" t="str">
        <f>IF((COUNTBLANK(G1324)=0),Stats!$E$7,IF((COUNTBLANK(E1324)=0),IF((COUNTBLANK(F1324)=0),IF((COUNTBLANK(U1324)=0),Stats!$E$6,Stats!$E$5),Stats!$E$4),""))</f>
        <v>Death</v>
      </c>
      <c r="C1324" s="199" t="s">
        <v>3113</v>
      </c>
      <c r="D1324" s="306" t="str">
        <f>IF(B1324=Stats!$E$6,Stats!$E$11,"")</f>
        <v/>
      </c>
      <c r="E1324" s="89">
        <v>45462</v>
      </c>
      <c r="G1324" s="172">
        <v>45641</v>
      </c>
      <c r="H1324" s="34" t="s">
        <v>3104</v>
      </c>
      <c r="J1324" s="34" t="s">
        <v>3186</v>
      </c>
      <c r="K1324" s="36" t="s">
        <v>4952</v>
      </c>
      <c r="L1324" s="36" t="s">
        <v>181</v>
      </c>
      <c r="N1324" s="65" t="s">
        <v>4113</v>
      </c>
      <c r="O1324" s="34" t="s">
        <v>4969</v>
      </c>
      <c r="P1324" s="68">
        <v>-1500</v>
      </c>
      <c r="Q1324" t="s">
        <v>3709</v>
      </c>
    </row>
    <row r="1325" spans="1:25" ht="15" customHeight="1" x14ac:dyDescent="0.25">
      <c r="A1325" s="32" t="s">
        <v>2050</v>
      </c>
      <c r="B1325" s="306" t="str">
        <f>IF((COUNTBLANK(G1325)=0),Stats!$E$7,IF((COUNTBLANK(E1325)=0),IF((COUNTBLANK(F1325)=0),IF((COUNTBLANK(U1325)=0),Stats!$E$6,Stats!$E$5),Stats!$E$4),""))</f>
        <v>Death</v>
      </c>
      <c r="C1325" s="199" t="s">
        <v>3113</v>
      </c>
      <c r="D1325" s="306" t="str">
        <f>IF(B1325=Stats!$E$6,Stats!$E$11,"")</f>
        <v/>
      </c>
      <c r="E1325" s="89">
        <v>45462</v>
      </c>
      <c r="G1325" s="172">
        <v>45641</v>
      </c>
      <c r="H1325" s="34" t="s">
        <v>3104</v>
      </c>
      <c r="J1325" s="34" t="s">
        <v>3186</v>
      </c>
      <c r="K1325" s="36" t="s">
        <v>4952</v>
      </c>
      <c r="L1325" s="36" t="s">
        <v>181</v>
      </c>
      <c r="N1325" s="65" t="s">
        <v>4113</v>
      </c>
      <c r="O1325" s="34" t="s">
        <v>4969</v>
      </c>
      <c r="P1325" s="68">
        <v>-1500</v>
      </c>
      <c r="Q1325" t="s">
        <v>3709</v>
      </c>
    </row>
    <row r="1326" spans="1:25" ht="15" customHeight="1" x14ac:dyDescent="0.25">
      <c r="A1326" s="32" t="s">
        <v>2051</v>
      </c>
      <c r="B1326" s="306" t="str">
        <f>IF((COUNTBLANK(G1326)=0),Stats!$E$7,IF((COUNTBLANK(E1326)=0),IF((COUNTBLANK(F1326)=0),IF((COUNTBLANK(U1326)=0),Stats!$E$6,Stats!$E$5),Stats!$E$4),""))</f>
        <v>Death</v>
      </c>
      <c r="C1326" s="199" t="s">
        <v>3113</v>
      </c>
      <c r="D1326" s="306" t="str">
        <f>IF(B1326=Stats!$E$6,Stats!$E$11,"")</f>
        <v/>
      </c>
      <c r="E1326" s="89">
        <v>45462</v>
      </c>
      <c r="G1326" s="172">
        <v>45641</v>
      </c>
      <c r="H1326" s="34" t="s">
        <v>3104</v>
      </c>
      <c r="J1326" s="34" t="s">
        <v>3186</v>
      </c>
      <c r="K1326" s="36" t="s">
        <v>4952</v>
      </c>
      <c r="L1326" s="36" t="s">
        <v>4970</v>
      </c>
      <c r="N1326" s="65" t="s">
        <v>4113</v>
      </c>
      <c r="O1326" s="34" t="s">
        <v>4969</v>
      </c>
      <c r="P1326" s="68">
        <v>-1500</v>
      </c>
      <c r="Q1326" t="s">
        <v>3709</v>
      </c>
    </row>
    <row r="1327" spans="1:25" ht="15" customHeight="1" x14ac:dyDescent="0.25">
      <c r="A1327" s="32" t="s">
        <v>2052</v>
      </c>
      <c r="B1327" s="306" t="str">
        <f>IF((COUNTBLANK(G1327)=0),Stats!$E$7,IF((COUNTBLANK(E1327)=0),IF((COUNTBLANK(F1327)=0),IF((COUNTBLANK(U1327)=0),Stats!$E$6,Stats!$E$5),Stats!$E$4),""))</f>
        <v>Death</v>
      </c>
      <c r="C1327" s="199" t="s">
        <v>3113</v>
      </c>
      <c r="D1327" s="306" t="str">
        <f>IF(B1327=Stats!$E$6,Stats!$E$11,"")</f>
        <v/>
      </c>
      <c r="E1327" s="89">
        <v>45462</v>
      </c>
      <c r="G1327" s="172">
        <v>45641</v>
      </c>
      <c r="H1327" s="34" t="s">
        <v>3104</v>
      </c>
      <c r="J1327" s="34" t="s">
        <v>3186</v>
      </c>
      <c r="K1327" s="36" t="s">
        <v>4952</v>
      </c>
      <c r="L1327" s="36" t="s">
        <v>181</v>
      </c>
      <c r="N1327" s="65" t="s">
        <v>4113</v>
      </c>
      <c r="O1327" s="34" t="s">
        <v>4969</v>
      </c>
      <c r="P1327" s="68">
        <v>-1500</v>
      </c>
      <c r="Q1327" t="s">
        <v>3709</v>
      </c>
    </row>
    <row r="1328" spans="1:25" ht="15" customHeight="1" x14ac:dyDescent="0.25">
      <c r="A1328" s="32" t="s">
        <v>2053</v>
      </c>
      <c r="B1328" s="306" t="str">
        <f>IF((COUNTBLANK(G1328)=0),Stats!$E$7,IF((COUNTBLANK(E1328)=0),IF((COUNTBLANK(F1328)=0),IF((COUNTBLANK(U1328)=0),Stats!$E$6,Stats!$E$5),Stats!$E$4),""))</f>
        <v>Death</v>
      </c>
      <c r="C1328" s="199" t="s">
        <v>3113</v>
      </c>
      <c r="D1328" s="306" t="str">
        <f>IF(B1328=Stats!$E$6,Stats!$E$11,"")</f>
        <v/>
      </c>
      <c r="E1328" s="89">
        <v>45463</v>
      </c>
      <c r="G1328" s="172">
        <v>45641</v>
      </c>
      <c r="H1328" s="34" t="s">
        <v>3104</v>
      </c>
      <c r="J1328" s="34" t="s">
        <v>3186</v>
      </c>
      <c r="K1328" s="36" t="s">
        <v>4952</v>
      </c>
      <c r="L1328" s="36" t="s">
        <v>181</v>
      </c>
      <c r="N1328" s="65" t="s">
        <v>4113</v>
      </c>
      <c r="O1328" s="34" t="s">
        <v>4969</v>
      </c>
      <c r="P1328" s="68">
        <v>-1500</v>
      </c>
      <c r="Q1328" s="68" t="s">
        <v>3709</v>
      </c>
    </row>
    <row r="1329" spans="1:25" ht="15" customHeight="1" x14ac:dyDescent="0.25">
      <c r="A1329" s="32" t="s">
        <v>2054</v>
      </c>
      <c r="B1329" s="306" t="str">
        <f>IF((COUNTBLANK(G1329)=0),Stats!$E$7,IF((COUNTBLANK(E1329)=0),IF((COUNTBLANK(F1329)=0),IF((COUNTBLANK(U1329)=0),Stats!$E$6,Stats!$E$5),Stats!$E$4),""))</f>
        <v>Death</v>
      </c>
      <c r="C1329" s="199" t="s">
        <v>3113</v>
      </c>
      <c r="D1329" s="306" t="str">
        <f>IF(B1329=Stats!$E$6,Stats!$E$11,"")</f>
        <v/>
      </c>
      <c r="E1329" s="89">
        <v>45463</v>
      </c>
      <c r="G1329" s="172">
        <v>45641</v>
      </c>
      <c r="H1329" s="34" t="s">
        <v>3104</v>
      </c>
      <c r="J1329" s="34" t="s">
        <v>3186</v>
      </c>
      <c r="K1329" s="36" t="s">
        <v>4952</v>
      </c>
      <c r="L1329" s="36" t="s">
        <v>181</v>
      </c>
      <c r="N1329" s="65" t="s">
        <v>4113</v>
      </c>
      <c r="O1329" s="34" t="s">
        <v>4969</v>
      </c>
      <c r="P1329" s="68">
        <v>-1500</v>
      </c>
      <c r="Q1329" s="68" t="s">
        <v>3709</v>
      </c>
    </row>
    <row r="1330" spans="1:25" ht="15" customHeight="1" x14ac:dyDescent="0.25">
      <c r="A1330" s="32" t="s">
        <v>2055</v>
      </c>
      <c r="B1330" s="306" t="str">
        <f>IF((COUNTBLANK(G1330)=0),Stats!$E$7,IF((COUNTBLANK(E1330)=0),IF((COUNTBLANK(F1330)=0),IF((COUNTBLANK(U1330)=0),Stats!$E$6,Stats!$E$5),Stats!$E$4),""))</f>
        <v>Death</v>
      </c>
      <c r="C1330" s="199" t="s">
        <v>3113</v>
      </c>
      <c r="D1330" s="306" t="str">
        <f>IF(B1330=Stats!$E$6,Stats!$E$11,"")</f>
        <v/>
      </c>
      <c r="E1330" s="89">
        <v>45463</v>
      </c>
      <c r="G1330" s="172">
        <v>45641</v>
      </c>
      <c r="H1330" s="34" t="s">
        <v>3104</v>
      </c>
      <c r="J1330" s="34" t="s">
        <v>3186</v>
      </c>
      <c r="K1330" s="36" t="s">
        <v>4952</v>
      </c>
      <c r="L1330" s="36" t="s">
        <v>181</v>
      </c>
      <c r="N1330" s="65" t="s">
        <v>4113</v>
      </c>
      <c r="O1330" s="34" t="s">
        <v>4969</v>
      </c>
      <c r="P1330" s="68">
        <v>-1500</v>
      </c>
      <c r="Q1330" s="68" t="s">
        <v>3709</v>
      </c>
    </row>
    <row r="1331" spans="1:25" x14ac:dyDescent="0.25">
      <c r="A1331" s="32" t="s">
        <v>2056</v>
      </c>
      <c r="B1331" s="306" t="str">
        <f>IF((COUNTBLANK(G1331)=0),Stats!$E$7,IF((COUNTBLANK(E1331)=0),IF((COUNTBLANK(F1331)=0),IF((COUNTBLANK(U1331)=0),Stats!$E$6,Stats!$E$5),Stats!$E$4),""))</f>
        <v>Death</v>
      </c>
      <c r="C1331" s="41" t="s">
        <v>284</v>
      </c>
      <c r="D1331" s="306" t="str">
        <f>IF(B1331=Stats!$E$6,Stats!$E$11,"")</f>
        <v/>
      </c>
      <c r="E1331" s="89">
        <v>45467</v>
      </c>
      <c r="F1331" s="89">
        <v>45474</v>
      </c>
      <c r="G1331" s="89">
        <v>45628</v>
      </c>
      <c r="H1331" s="34" t="s">
        <v>285</v>
      </c>
      <c r="I1331" s="34" t="s">
        <v>285</v>
      </c>
      <c r="J1331" s="34" t="s">
        <v>152</v>
      </c>
      <c r="K1331" s="36" t="s">
        <v>622</v>
      </c>
      <c r="L1331" s="36" t="s">
        <v>155</v>
      </c>
      <c r="N1331" s="65" t="s">
        <v>4971</v>
      </c>
      <c r="O1331" s="34" t="s">
        <v>51</v>
      </c>
      <c r="P1331" s="68">
        <v>-450</v>
      </c>
      <c r="Q1331" s="68">
        <v>750</v>
      </c>
      <c r="R1331" s="34" t="s">
        <v>4972</v>
      </c>
      <c r="S1331" s="34" t="s">
        <v>279</v>
      </c>
      <c r="U1331" s="34" t="s">
        <v>4959</v>
      </c>
    </row>
    <row r="1332" spans="1:25" x14ac:dyDescent="0.25">
      <c r="A1332" s="32" t="s">
        <v>2057</v>
      </c>
      <c r="B1332" s="306" t="str">
        <f>IF((COUNTBLANK(G1332)=0),Stats!$E$7,IF((COUNTBLANK(E1332)=0),IF((COUNTBLANK(F1332)=0),IF((COUNTBLANK(U1332)=0),Stats!$E$6,Stats!$E$5),Stats!$E$4),""))</f>
        <v>Death</v>
      </c>
      <c r="C1332" s="41" t="s">
        <v>284</v>
      </c>
      <c r="D1332" s="36" t="s">
        <v>325</v>
      </c>
      <c r="E1332" s="89">
        <v>45467</v>
      </c>
      <c r="F1332" s="89">
        <v>45474</v>
      </c>
      <c r="G1332" s="89">
        <v>45625</v>
      </c>
      <c r="H1332" s="34" t="s">
        <v>285</v>
      </c>
      <c r="I1332" s="34" t="s">
        <v>285</v>
      </c>
      <c r="J1332" s="34" t="s">
        <v>152</v>
      </c>
      <c r="K1332" s="36" t="s">
        <v>622</v>
      </c>
      <c r="L1332" s="36" t="s">
        <v>155</v>
      </c>
      <c r="N1332" s="65" t="s">
        <v>4971</v>
      </c>
      <c r="O1332" s="34" t="s">
        <v>51</v>
      </c>
      <c r="P1332" s="68">
        <v>-450</v>
      </c>
      <c r="Q1332" s="68">
        <v>750</v>
      </c>
      <c r="R1332" s="34" t="s">
        <v>4972</v>
      </c>
      <c r="S1332" s="34" t="s">
        <v>249</v>
      </c>
      <c r="U1332" s="34" t="s">
        <v>4973</v>
      </c>
    </row>
    <row r="1333" spans="1:25" x14ac:dyDescent="0.25">
      <c r="A1333" s="32" t="s">
        <v>2058</v>
      </c>
      <c r="B1333" s="306" t="str">
        <f>IF((COUNTBLANK(G1333)=0),Stats!$E$7,IF((COUNTBLANK(E1333)=0),IF((COUNTBLANK(F1333)=0),IF((COUNTBLANK(U1333)=0),Stats!$E$6,Stats!$E$5),Stats!$E$4),""))</f>
        <v>Death</v>
      </c>
      <c r="C1333" s="41" t="s">
        <v>284</v>
      </c>
      <c r="D1333" s="306" t="str">
        <f>IF(B1333=Stats!$E$6,Stats!$E$11,"")</f>
        <v/>
      </c>
      <c r="E1333" s="89">
        <v>45468</v>
      </c>
      <c r="F1333" s="89">
        <v>45476</v>
      </c>
      <c r="G1333" s="89">
        <v>45625</v>
      </c>
      <c r="H1333" s="34" t="s">
        <v>285</v>
      </c>
      <c r="I1333" s="34" t="s">
        <v>285</v>
      </c>
      <c r="J1333" s="34" t="s">
        <v>152</v>
      </c>
      <c r="K1333" s="36" t="s">
        <v>622</v>
      </c>
      <c r="L1333" s="36" t="s">
        <v>155</v>
      </c>
      <c r="N1333" s="65" t="s">
        <v>4974</v>
      </c>
      <c r="O1333" s="34" t="s">
        <v>51</v>
      </c>
      <c r="P1333" s="68">
        <v>-450</v>
      </c>
      <c r="Q1333" s="68">
        <v>750</v>
      </c>
      <c r="R1333" s="34" t="s">
        <v>4975</v>
      </c>
      <c r="S1333" s="34" t="s">
        <v>279</v>
      </c>
      <c r="U1333" s="34" t="s">
        <v>4959</v>
      </c>
    </row>
    <row r="1334" spans="1:25" x14ac:dyDescent="0.25">
      <c r="A1334" s="32" t="s">
        <v>2059</v>
      </c>
      <c r="B1334" s="306" t="str">
        <f>IF((COUNTBLANK(G1334)=0),Stats!$E$7,IF((COUNTBLANK(E1334)=0),IF((COUNTBLANK(F1334)=0),IF((COUNTBLANK(U1334)=0),Stats!$E$6,Stats!$E$5),Stats!$E$4),""))</f>
        <v>Death</v>
      </c>
      <c r="C1334" s="41" t="s">
        <v>284</v>
      </c>
      <c r="D1334" s="306" t="str">
        <f>IF(B1334=Stats!$E$6,Stats!$E$11,"")</f>
        <v/>
      </c>
      <c r="E1334" s="89">
        <v>45468</v>
      </c>
      <c r="F1334" s="89">
        <v>45476</v>
      </c>
      <c r="G1334" s="89">
        <v>45519</v>
      </c>
      <c r="H1334" s="34" t="s">
        <v>285</v>
      </c>
      <c r="I1334" s="34" t="s">
        <v>285</v>
      </c>
      <c r="J1334" s="34" t="s">
        <v>152</v>
      </c>
      <c r="K1334" s="36" t="s">
        <v>622</v>
      </c>
      <c r="L1334" s="36" t="s">
        <v>155</v>
      </c>
      <c r="N1334" s="65" t="s">
        <v>4974</v>
      </c>
      <c r="O1334" s="34" t="s">
        <v>51</v>
      </c>
      <c r="P1334" s="68">
        <v>-450</v>
      </c>
      <c r="Q1334" s="68">
        <v>750</v>
      </c>
      <c r="R1334" s="34" t="s">
        <v>4975</v>
      </c>
      <c r="S1334" s="34" t="s">
        <v>291</v>
      </c>
    </row>
    <row r="1335" spans="1:25" x14ac:dyDescent="0.25">
      <c r="A1335" s="32" t="s">
        <v>2060</v>
      </c>
      <c r="B1335" s="306" t="str">
        <f>IF((COUNTBLANK(G1335)=0),Stats!$E$7,IF((COUNTBLANK(E1335)=0),IF((COUNTBLANK(F1335)=0),IF((COUNTBLANK(U1335)=0),Stats!$E$6,Stats!$E$5),Stats!$E$4),""))</f>
        <v>Death</v>
      </c>
      <c r="C1335" s="41" t="s">
        <v>284</v>
      </c>
      <c r="D1335" s="306" t="str">
        <f>IF(B1335=Stats!$E$6,Stats!$E$11,"")</f>
        <v/>
      </c>
      <c r="E1335" s="89">
        <v>45471</v>
      </c>
      <c r="F1335" s="89">
        <v>45481</v>
      </c>
      <c r="G1335" s="89">
        <v>45625</v>
      </c>
      <c r="H1335" s="34" t="s">
        <v>285</v>
      </c>
      <c r="J1335" s="34" t="s">
        <v>152</v>
      </c>
      <c r="K1335" s="36" t="s">
        <v>622</v>
      </c>
      <c r="L1335" s="36" t="s">
        <v>4976</v>
      </c>
      <c r="N1335" s="65" t="s">
        <v>4977</v>
      </c>
      <c r="O1335" s="34" t="s">
        <v>51</v>
      </c>
      <c r="P1335" s="68">
        <v>-450</v>
      </c>
      <c r="Q1335" s="68">
        <v>750</v>
      </c>
      <c r="R1335" s="34" t="s">
        <v>4978</v>
      </c>
      <c r="S1335" s="68" t="s">
        <v>243</v>
      </c>
      <c r="U1335" s="34" t="s">
        <v>4959</v>
      </c>
    </row>
    <row r="1336" spans="1:25" x14ac:dyDescent="0.25">
      <c r="A1336" s="32" t="s">
        <v>2061</v>
      </c>
      <c r="B1336" s="306" t="str">
        <f>IF((COUNTBLANK(G1336)=0),Stats!$E$7,IF((COUNTBLANK(E1336)=0),IF((COUNTBLANK(F1336)=0),IF((COUNTBLANK(U1336)=0),Stats!$E$6,Stats!$E$5),Stats!$E$4),""))</f>
        <v>Death</v>
      </c>
      <c r="C1336" s="41" t="s">
        <v>284</v>
      </c>
      <c r="D1336" s="306" t="str">
        <f>IF(B1336=Stats!$E$6,Stats!$E$11,"")</f>
        <v/>
      </c>
      <c r="E1336" s="89">
        <v>45471</v>
      </c>
      <c r="F1336" s="89">
        <v>45481</v>
      </c>
      <c r="G1336" s="89">
        <v>45625</v>
      </c>
      <c r="H1336" s="34" t="s">
        <v>285</v>
      </c>
      <c r="J1336" s="34" t="s">
        <v>152</v>
      </c>
      <c r="K1336" s="36" t="s">
        <v>622</v>
      </c>
      <c r="L1336" s="36" t="s">
        <v>4976</v>
      </c>
      <c r="N1336" s="65" t="s">
        <v>4977</v>
      </c>
      <c r="O1336" s="34" t="s">
        <v>51</v>
      </c>
      <c r="P1336" s="68">
        <v>-450</v>
      </c>
      <c r="Q1336" s="68">
        <v>750</v>
      </c>
      <c r="R1336" s="34" t="s">
        <v>4978</v>
      </c>
      <c r="S1336" s="68" t="s">
        <v>279</v>
      </c>
      <c r="U1336" s="34" t="s">
        <v>4959</v>
      </c>
    </row>
    <row r="1337" spans="1:25" x14ac:dyDescent="0.25">
      <c r="A1337" s="32" t="s">
        <v>2062</v>
      </c>
      <c r="B1337" s="306" t="str">
        <f>IF((COUNTBLANK(G1337)=0),Stats!$E$7,IF((COUNTBLANK(E1337)=0),IF((COUNTBLANK(F1337)=0),IF((COUNTBLANK(U1337)=0),Stats!$E$6,Stats!$E$5),Stats!$E$4),""))</f>
        <v>Death</v>
      </c>
      <c r="C1337" s="41" t="s">
        <v>284</v>
      </c>
      <c r="D1337" s="306" t="s">
        <v>325</v>
      </c>
      <c r="E1337" s="89">
        <v>45475</v>
      </c>
      <c r="F1337" s="89">
        <v>45488</v>
      </c>
      <c r="G1337" s="89">
        <v>45625</v>
      </c>
      <c r="H1337" s="34" t="s">
        <v>285</v>
      </c>
      <c r="J1337" s="34" t="s">
        <v>152</v>
      </c>
      <c r="K1337" s="36" t="s">
        <v>493</v>
      </c>
      <c r="N1337" s="65" t="s">
        <v>988</v>
      </c>
      <c r="O1337" s="34" t="s">
        <v>51</v>
      </c>
      <c r="P1337" s="68">
        <v>-450</v>
      </c>
      <c r="Q1337" s="68">
        <v>500</v>
      </c>
      <c r="R1337" s="34" t="s">
        <v>249</v>
      </c>
      <c r="S1337" s="34" t="s">
        <v>4979</v>
      </c>
      <c r="T1337" s="34" t="s">
        <v>4856</v>
      </c>
    </row>
    <row r="1338" spans="1:25" x14ac:dyDescent="0.25">
      <c r="A1338" s="32" t="s">
        <v>2063</v>
      </c>
      <c r="B1338" s="306" t="str">
        <f>IF((COUNTBLANK(G1338)=0),Stats!$E$7,IF((COUNTBLANK(E1338)=0),IF((COUNTBLANK(F1338)=0),IF((COUNTBLANK(U1338)=0),Stats!$E$6,Stats!$E$5),Stats!$E$4),""))</f>
        <v>Death</v>
      </c>
      <c r="C1338" s="41" t="s">
        <v>284</v>
      </c>
      <c r="D1338" s="36" t="s">
        <v>325</v>
      </c>
      <c r="E1338" s="89">
        <v>45475</v>
      </c>
      <c r="F1338" s="89">
        <v>45488</v>
      </c>
      <c r="G1338" s="89">
        <v>45625</v>
      </c>
      <c r="H1338" s="34" t="s">
        <v>285</v>
      </c>
      <c r="J1338" s="34" t="s">
        <v>152</v>
      </c>
      <c r="K1338" s="36" t="s">
        <v>493</v>
      </c>
      <c r="N1338" s="65" t="s">
        <v>988</v>
      </c>
      <c r="O1338" s="34" t="s">
        <v>51</v>
      </c>
      <c r="P1338" s="68">
        <v>-450</v>
      </c>
      <c r="Q1338" s="68">
        <v>500</v>
      </c>
      <c r="R1338" s="34" t="s">
        <v>279</v>
      </c>
      <c r="S1338" s="34" t="s">
        <v>4979</v>
      </c>
      <c r="T1338" s="34" t="s">
        <v>4856</v>
      </c>
    </row>
    <row r="1339" spans="1:25" s="91" customFormat="1" x14ac:dyDescent="0.25">
      <c r="A1339" s="32" t="s">
        <v>2064</v>
      </c>
      <c r="B1339" s="306" t="str">
        <f>IF((COUNTBLANK(G1339)=0),Stats!$E$7,IF((COUNTBLANK(E1339)=0),IF((COUNTBLANK(F1339)=0),IF((COUNTBLANK(U1339)=0),Stats!$E$6,Stats!$E$5),Stats!$E$4),""))</f>
        <v>Death</v>
      </c>
      <c r="C1339" s="41" t="s">
        <v>284</v>
      </c>
      <c r="D1339" s="306" t="str">
        <f>IF(B1339=Stats!$E$6,Stats!$E$11,"")</f>
        <v/>
      </c>
      <c r="E1339" s="89">
        <v>45475</v>
      </c>
      <c r="F1339" s="89"/>
      <c r="G1339" s="89">
        <v>45482</v>
      </c>
      <c r="H1339" s="34" t="s">
        <v>3073</v>
      </c>
      <c r="I1339" s="34"/>
      <c r="J1339" s="34" t="s">
        <v>152</v>
      </c>
      <c r="K1339" s="36" t="s">
        <v>493</v>
      </c>
      <c r="L1339" s="36"/>
      <c r="M1339" s="36"/>
      <c r="N1339" s="65" t="s">
        <v>105</v>
      </c>
      <c r="O1339" s="34" t="s">
        <v>51</v>
      </c>
      <c r="P1339" s="68">
        <v>-450</v>
      </c>
      <c r="Q1339" s="68">
        <v>500</v>
      </c>
      <c r="R1339" s="34" t="s">
        <v>243</v>
      </c>
      <c r="S1339" s="34" t="s">
        <v>4980</v>
      </c>
      <c r="T1339" s="34" t="s">
        <v>4856</v>
      </c>
      <c r="U1339" s="34"/>
      <c r="V1339" s="34"/>
      <c r="W1339" s="34"/>
      <c r="X1339" s="34"/>
      <c r="Y1339"/>
    </row>
    <row r="1340" spans="1:25" x14ac:dyDescent="0.25">
      <c r="A1340" s="32" t="s">
        <v>2065</v>
      </c>
      <c r="B1340" s="306" t="str">
        <f>IF((COUNTBLANK(G1340)=0),Stats!$E$7,IF((COUNTBLANK(E1340)=0),IF((COUNTBLANK(F1340)=0),IF((COUNTBLANK(U1340)=0),Stats!$E$6,Stats!$E$5),Stats!$E$4),""))</f>
        <v>Death</v>
      </c>
      <c r="C1340" s="41" t="s">
        <v>284</v>
      </c>
      <c r="D1340" s="36" t="s">
        <v>325</v>
      </c>
      <c r="E1340" s="89">
        <v>45475</v>
      </c>
      <c r="F1340" s="89">
        <v>45482</v>
      </c>
      <c r="G1340" s="89">
        <v>45625</v>
      </c>
      <c r="H1340" s="34" t="s">
        <v>3073</v>
      </c>
      <c r="J1340" s="34" t="s">
        <v>152</v>
      </c>
      <c r="K1340" s="36" t="s">
        <v>493</v>
      </c>
      <c r="N1340" s="65" t="s">
        <v>105</v>
      </c>
      <c r="O1340" s="34" t="s">
        <v>51</v>
      </c>
      <c r="P1340" s="68">
        <v>-450</v>
      </c>
      <c r="Q1340" s="68">
        <v>500</v>
      </c>
      <c r="R1340" s="34" t="s">
        <v>291</v>
      </c>
      <c r="S1340" s="34" t="s">
        <v>4979</v>
      </c>
      <c r="T1340" s="34" t="s">
        <v>4856</v>
      </c>
    </row>
    <row r="1341" spans="1:25" x14ac:dyDescent="0.25">
      <c r="A1341" s="168" t="s">
        <v>2066</v>
      </c>
      <c r="B1341" s="306" t="str">
        <f>IF((COUNTBLANK(G1341)=0),Stats!$E$7,IF((COUNTBLANK(E1341)=0),IF((COUNTBLANK(F1341)=0),IF((COUNTBLANK(U1341)=0),Stats!$E$6,Stats!$E$5),Stats!$E$4),""))</f>
        <v>Death</v>
      </c>
      <c r="C1341" s="171" t="s">
        <v>240</v>
      </c>
      <c r="D1341" s="378" t="str">
        <f>IF(B1341=Stats!$E$6,Stats!$E$11,"")</f>
        <v/>
      </c>
      <c r="E1341" s="172">
        <v>45477</v>
      </c>
      <c r="F1341" s="172"/>
      <c r="G1341" s="172">
        <v>45641</v>
      </c>
      <c r="H1341" s="167" t="s">
        <v>53</v>
      </c>
      <c r="I1341" s="167"/>
      <c r="J1341" s="167"/>
      <c r="K1341" s="173" t="s">
        <v>242</v>
      </c>
      <c r="L1341" s="173"/>
      <c r="M1341" s="173"/>
      <c r="N1341" s="174" t="s">
        <v>196</v>
      </c>
      <c r="O1341" s="167"/>
      <c r="P1341" s="175">
        <v>-450</v>
      </c>
      <c r="Q1341" s="175">
        <v>400</v>
      </c>
      <c r="R1341" s="167"/>
      <c r="S1341" s="167"/>
      <c r="T1341" s="167"/>
      <c r="U1341" s="167"/>
      <c r="V1341" s="167"/>
      <c r="W1341" s="167"/>
      <c r="Y1341" s="176"/>
    </row>
    <row r="1342" spans="1:25" x14ac:dyDescent="0.25">
      <c r="A1342" s="168" t="s">
        <v>2067</v>
      </c>
      <c r="B1342" s="306" t="str">
        <f>IF((COUNTBLANK(G1342)=0),Stats!$E$7,IF((COUNTBLANK(E1342)=0),IF((COUNTBLANK(F1342)=0),IF((COUNTBLANK(U1342)=0),Stats!$E$6,Stats!$E$5),Stats!$E$4),""))</f>
        <v>Death</v>
      </c>
      <c r="C1342" s="171" t="s">
        <v>240</v>
      </c>
      <c r="D1342" s="378" t="str">
        <f>IF(B1342=Stats!$E$6,Stats!$E$11,"")</f>
        <v/>
      </c>
      <c r="E1342" s="172">
        <v>45478</v>
      </c>
      <c r="F1342" s="172"/>
      <c r="G1342" s="172">
        <v>45565</v>
      </c>
      <c r="H1342" s="167" t="s">
        <v>53</v>
      </c>
      <c r="I1342" s="167"/>
      <c r="J1342" s="167"/>
      <c r="K1342" s="173" t="s">
        <v>242</v>
      </c>
      <c r="L1342" s="173"/>
      <c r="M1342" s="173"/>
      <c r="N1342" s="174" t="s">
        <v>196</v>
      </c>
      <c r="O1342" s="167"/>
      <c r="P1342" s="175">
        <v>-450</v>
      </c>
      <c r="Q1342" s="175">
        <v>400</v>
      </c>
      <c r="R1342" s="167"/>
      <c r="S1342" s="167"/>
      <c r="T1342" s="167"/>
      <c r="U1342" s="167"/>
      <c r="V1342" s="167"/>
      <c r="W1342" s="167"/>
      <c r="Y1342" s="176"/>
    </row>
    <row r="1343" spans="1:25" x14ac:dyDescent="0.25">
      <c r="A1343" s="168" t="s">
        <v>2068</v>
      </c>
      <c r="B1343" s="306" t="str">
        <f>IF((COUNTBLANK(G1343)=0),Stats!$E$7,IF((COUNTBLANK(E1343)=0),IF((COUNTBLANK(F1343)=0),IF((COUNTBLANK(U1343)=0),Stats!$E$6,Stats!$E$5),Stats!$E$4),""))</f>
        <v>Death</v>
      </c>
      <c r="C1343" s="171" t="s">
        <v>240</v>
      </c>
      <c r="D1343" s="378" t="str">
        <f>IF(B1343=Stats!$E$6,Stats!$E$11,"")</f>
        <v/>
      </c>
      <c r="E1343" s="172">
        <v>45478</v>
      </c>
      <c r="F1343" s="172"/>
      <c r="G1343" s="172">
        <v>45548</v>
      </c>
      <c r="H1343" s="167" t="s">
        <v>53</v>
      </c>
      <c r="I1343" s="167"/>
      <c r="J1343" s="167"/>
      <c r="K1343" s="173" t="s">
        <v>242</v>
      </c>
      <c r="L1343" s="173"/>
      <c r="M1343" s="173"/>
      <c r="N1343" s="174" t="s">
        <v>196</v>
      </c>
      <c r="O1343" s="167"/>
      <c r="P1343" s="175">
        <v>-450</v>
      </c>
      <c r="Q1343" s="175">
        <v>400</v>
      </c>
      <c r="R1343" s="167"/>
      <c r="S1343" s="167"/>
      <c r="T1343" s="167"/>
      <c r="U1343" s="167"/>
      <c r="V1343" s="167"/>
      <c r="W1343" s="167"/>
      <c r="Y1343" s="176"/>
    </row>
    <row r="1344" spans="1:25" x14ac:dyDescent="0.25">
      <c r="A1344" s="168" t="s">
        <v>2069</v>
      </c>
      <c r="B1344" s="306" t="str">
        <f>IF((COUNTBLANK(G1344)=0),Stats!$E$7,IF((COUNTBLANK(E1344)=0),IF((COUNTBLANK(F1344)=0),IF((COUNTBLANK(U1344)=0),Stats!$E$6,Stats!$E$5),Stats!$E$4),""))</f>
        <v>Death</v>
      </c>
      <c r="C1344" s="171" t="s">
        <v>240</v>
      </c>
      <c r="D1344" s="378" t="str">
        <f>IF(B1344=Stats!$E$6,Stats!$E$11,"")</f>
        <v/>
      </c>
      <c r="E1344" s="172">
        <v>45478</v>
      </c>
      <c r="F1344" s="172"/>
      <c r="G1344" s="172">
        <v>45641</v>
      </c>
      <c r="H1344" s="167" t="s">
        <v>53</v>
      </c>
      <c r="I1344" s="167"/>
      <c r="J1344" s="167"/>
      <c r="K1344" s="173" t="s">
        <v>242</v>
      </c>
      <c r="L1344" s="173"/>
      <c r="M1344" s="173"/>
      <c r="N1344" s="174" t="s">
        <v>196</v>
      </c>
      <c r="O1344" s="167"/>
      <c r="P1344" s="175">
        <v>-450</v>
      </c>
      <c r="Q1344" s="175">
        <v>400</v>
      </c>
      <c r="R1344" s="167"/>
      <c r="S1344" s="167"/>
      <c r="T1344" s="167"/>
      <c r="U1344" s="167"/>
      <c r="V1344" s="167"/>
      <c r="W1344" s="167"/>
      <c r="Y1344" s="176"/>
    </row>
    <row r="1345" spans="1:25" x14ac:dyDescent="0.25">
      <c r="A1345" s="32" t="s">
        <v>2070</v>
      </c>
      <c r="B1345" s="306" t="str">
        <f>IF((COUNTBLANK(G1345)=0),Stats!$E$7,IF((COUNTBLANK(E1345)=0),IF((COUNTBLANK(F1345)=0),IF((COUNTBLANK(U1345)=0),Stats!$E$6,Stats!$E$5),Stats!$E$4),""))</f>
        <v>Death</v>
      </c>
      <c r="C1345" s="41" t="s">
        <v>284</v>
      </c>
      <c r="D1345" s="306" t="str">
        <f>IF(B1345=Stats!$E$6,Stats!$E$11,"")</f>
        <v/>
      </c>
      <c r="E1345" s="89">
        <v>45481</v>
      </c>
      <c r="F1345" s="89">
        <v>45531</v>
      </c>
      <c r="G1345" s="89">
        <v>45533</v>
      </c>
      <c r="H1345" s="34" t="s">
        <v>285</v>
      </c>
      <c r="I1345" s="34" t="s">
        <v>285</v>
      </c>
      <c r="K1345" s="36" t="s">
        <v>493</v>
      </c>
      <c r="N1345" s="65" t="s">
        <v>105</v>
      </c>
      <c r="O1345" s="34" t="s">
        <v>51</v>
      </c>
      <c r="P1345" s="68">
        <v>-450</v>
      </c>
      <c r="Q1345" s="68">
        <v>500</v>
      </c>
      <c r="R1345" s="34" t="s">
        <v>249</v>
      </c>
    </row>
    <row r="1346" spans="1:25" x14ac:dyDescent="0.25">
      <c r="A1346" s="32" t="s">
        <v>2071</v>
      </c>
      <c r="B1346" s="306" t="str">
        <f>IF((COUNTBLANK(G1346)=0),Stats!$E$7,IF((COUNTBLANK(E1346)=0),IF((COUNTBLANK(F1346)=0),IF((COUNTBLANK(U1346)=0),Stats!$E$6,Stats!$E$5),Stats!$E$4),""))</f>
        <v>Death</v>
      </c>
      <c r="C1346" s="41" t="s">
        <v>284</v>
      </c>
      <c r="D1346" s="36" t="s">
        <v>325</v>
      </c>
      <c r="E1346" s="89">
        <v>45481</v>
      </c>
      <c r="F1346" s="89">
        <v>45517</v>
      </c>
      <c r="G1346" s="89">
        <v>45625</v>
      </c>
      <c r="H1346" s="34" t="s">
        <v>285</v>
      </c>
      <c r="I1346" s="34" t="s">
        <v>285</v>
      </c>
      <c r="K1346" s="36" t="s">
        <v>493</v>
      </c>
      <c r="N1346" s="65" t="s">
        <v>105</v>
      </c>
      <c r="O1346" s="34" t="s">
        <v>51</v>
      </c>
      <c r="P1346" s="68">
        <v>-450</v>
      </c>
      <c r="Q1346" s="68">
        <v>500</v>
      </c>
      <c r="R1346" s="34" t="s">
        <v>291</v>
      </c>
      <c r="S1346" s="34" t="s">
        <v>4979</v>
      </c>
      <c r="T1346" s="34" t="s">
        <v>4981</v>
      </c>
    </row>
    <row r="1347" spans="1:25" x14ac:dyDescent="0.25">
      <c r="A1347" s="32" t="s">
        <v>2072</v>
      </c>
      <c r="B1347" s="306" t="str">
        <f>IF((COUNTBLANK(G1347)=0),Stats!$E$7,IF((COUNTBLANK(E1347)=0),IF((COUNTBLANK(F1347)=0),IF((COUNTBLANK(U1347)=0),Stats!$E$6,Stats!$E$5),Stats!$E$4),""))</f>
        <v>Death</v>
      </c>
      <c r="C1347" s="41" t="s">
        <v>62</v>
      </c>
      <c r="D1347" s="306" t="str">
        <f>IF(B1347=Stats!$E$6,Stats!$E$11,"")</f>
        <v/>
      </c>
      <c r="E1347" s="89">
        <v>45482</v>
      </c>
      <c r="F1347" s="89">
        <v>45482</v>
      </c>
      <c r="G1347" s="172">
        <v>45641</v>
      </c>
      <c r="H1347" s="34" t="s">
        <v>98</v>
      </c>
      <c r="J1347" s="34" t="s">
        <v>152</v>
      </c>
      <c r="K1347" s="36" t="s">
        <v>4527</v>
      </c>
      <c r="O1347" s="34" t="s">
        <v>51</v>
      </c>
      <c r="P1347" s="68">
        <v>-400</v>
      </c>
      <c r="Q1347" s="68">
        <v>400</v>
      </c>
      <c r="R1347" s="34" t="s">
        <v>249</v>
      </c>
    </row>
    <row r="1348" spans="1:25" x14ac:dyDescent="0.25">
      <c r="A1348" s="32" t="s">
        <v>2073</v>
      </c>
      <c r="B1348" s="306" t="str">
        <f>IF((COUNTBLANK(G1348)=0),Stats!$E$7,IF((COUNTBLANK(E1348)=0),IF((COUNTBLANK(F1348)=0),IF((COUNTBLANK(U1348)=0),Stats!$E$6,Stats!$E$5),Stats!$E$4),""))</f>
        <v>Death</v>
      </c>
      <c r="C1348" s="41" t="s">
        <v>62</v>
      </c>
      <c r="D1348" s="306" t="str">
        <f>IF(B1348=Stats!$E$6,Stats!$E$11,"")</f>
        <v/>
      </c>
      <c r="E1348" s="89">
        <v>45482</v>
      </c>
      <c r="F1348" s="89">
        <v>45482</v>
      </c>
      <c r="G1348" s="89">
        <v>45622</v>
      </c>
      <c r="H1348" s="34" t="s">
        <v>98</v>
      </c>
      <c r="J1348" s="34" t="s">
        <v>152</v>
      </c>
      <c r="K1348" s="36" t="s">
        <v>4527</v>
      </c>
      <c r="O1348" s="34" t="s">
        <v>51</v>
      </c>
      <c r="P1348" s="68">
        <v>-400</v>
      </c>
      <c r="Q1348" s="68">
        <v>400</v>
      </c>
      <c r="R1348" s="34" t="s">
        <v>243</v>
      </c>
    </row>
    <row r="1349" spans="1:25" x14ac:dyDescent="0.25">
      <c r="A1349" s="32" t="s">
        <v>2074</v>
      </c>
      <c r="B1349" s="306" t="str">
        <f>IF((COUNTBLANK(G1349)=0),Stats!$E$7,IF((COUNTBLANK(E1349)=0),IF((COUNTBLANK(F1349)=0),IF((COUNTBLANK(U1349)=0),Stats!$E$6,Stats!$E$5),Stats!$E$4),""))</f>
        <v>Death</v>
      </c>
      <c r="C1349" s="41" t="s">
        <v>62</v>
      </c>
      <c r="D1349" s="306" t="str">
        <f>IF(B1349=Stats!$E$6,Stats!$E$11,"")</f>
        <v/>
      </c>
      <c r="E1349" s="89">
        <v>45482</v>
      </c>
      <c r="F1349" s="89">
        <v>45482</v>
      </c>
      <c r="G1349" s="172">
        <v>45641</v>
      </c>
      <c r="H1349" s="34" t="s">
        <v>98</v>
      </c>
      <c r="J1349" s="34" t="s">
        <v>152</v>
      </c>
      <c r="K1349" s="36" t="s">
        <v>622</v>
      </c>
      <c r="O1349" s="34" t="s">
        <v>51</v>
      </c>
      <c r="P1349" s="68">
        <v>-400</v>
      </c>
      <c r="Q1349" s="68">
        <v>400</v>
      </c>
      <c r="R1349" s="34" t="s">
        <v>291</v>
      </c>
    </row>
    <row r="1350" spans="1:25" x14ac:dyDescent="0.25">
      <c r="A1350" s="32" t="s">
        <v>2075</v>
      </c>
      <c r="B1350" s="306" t="str">
        <f>IF((COUNTBLANK(G1350)=0),Stats!$E$7,IF((COUNTBLANK(E1350)=0),IF((COUNTBLANK(F1350)=0),IF((COUNTBLANK(U1350)=0),Stats!$E$6,Stats!$E$5),Stats!$E$4),""))</f>
        <v>Death</v>
      </c>
      <c r="C1350" s="41" t="s">
        <v>62</v>
      </c>
      <c r="D1350" s="306" t="str">
        <f>IF(B1350=Stats!$E$6,Stats!$E$11,"")</f>
        <v/>
      </c>
      <c r="E1350" s="89">
        <v>45482</v>
      </c>
      <c r="F1350" s="89">
        <v>45482</v>
      </c>
      <c r="G1350" s="172">
        <v>45641</v>
      </c>
      <c r="H1350" s="34" t="s">
        <v>98</v>
      </c>
      <c r="J1350" s="34" t="s">
        <v>152</v>
      </c>
      <c r="K1350" s="36" t="s">
        <v>622</v>
      </c>
      <c r="O1350" s="34" t="s">
        <v>51</v>
      </c>
      <c r="P1350" s="68">
        <v>-400</v>
      </c>
      <c r="Q1350" s="68">
        <v>400</v>
      </c>
      <c r="R1350" s="34" t="s">
        <v>279</v>
      </c>
    </row>
    <row r="1351" spans="1:25" s="91" customFormat="1" x14ac:dyDescent="0.25">
      <c r="A1351" s="32" t="s">
        <v>2076</v>
      </c>
      <c r="B1351" s="306" t="str">
        <f>IF((COUNTBLANK(G1351)=0),Stats!$E$7,IF((COUNTBLANK(E1351)=0),IF((COUNTBLANK(F1351)=0),IF((COUNTBLANK(U1351)=0),Stats!$E$6,Stats!$E$5),Stats!$E$4),""))</f>
        <v>Death</v>
      </c>
      <c r="C1351" s="41" t="s">
        <v>284</v>
      </c>
      <c r="D1351" s="306" t="str">
        <f>IF(B1351=Stats!$E$6,Stats!$E$11,"")</f>
        <v/>
      </c>
      <c r="E1351" s="89">
        <v>45483</v>
      </c>
      <c r="F1351" s="89"/>
      <c r="G1351" s="89">
        <v>45484</v>
      </c>
      <c r="H1351" s="34" t="s">
        <v>285</v>
      </c>
      <c r="I1351" s="34"/>
      <c r="J1351" s="34" t="s">
        <v>152</v>
      </c>
      <c r="K1351" s="36" t="s">
        <v>493</v>
      </c>
      <c r="L1351" s="36"/>
      <c r="M1351" s="36"/>
      <c r="N1351" s="65" t="s">
        <v>105</v>
      </c>
      <c r="O1351" s="34" t="s">
        <v>51</v>
      </c>
      <c r="P1351" s="68">
        <v>-450</v>
      </c>
      <c r="Q1351" s="68">
        <v>500</v>
      </c>
      <c r="R1351" s="34" t="s">
        <v>291</v>
      </c>
      <c r="S1351" s="34" t="s">
        <v>4982</v>
      </c>
      <c r="T1351" s="34"/>
      <c r="U1351" s="34"/>
      <c r="V1351" s="34"/>
      <c r="W1351" s="34"/>
      <c r="X1351" s="34"/>
      <c r="Y1351"/>
    </row>
    <row r="1352" spans="1:25" s="91" customFormat="1" x14ac:dyDescent="0.25">
      <c r="A1352" s="32" t="s">
        <v>2077</v>
      </c>
      <c r="B1352" s="306" t="str">
        <f>IF((COUNTBLANK(G1352)=0),Stats!$E$7,IF((COUNTBLANK(E1352)=0),IF((COUNTBLANK(F1352)=0),IF((COUNTBLANK(U1352)=0),Stats!$E$6,Stats!$E$5),Stats!$E$4),""))</f>
        <v>Death</v>
      </c>
      <c r="C1352" s="41" t="s">
        <v>284</v>
      </c>
      <c r="D1352" s="306" t="str">
        <f>IF(B1352=Stats!$E$6,Stats!$E$11,"")</f>
        <v/>
      </c>
      <c r="E1352" s="89">
        <v>45483</v>
      </c>
      <c r="F1352" s="89"/>
      <c r="G1352" s="89">
        <v>45484</v>
      </c>
      <c r="H1352" s="34" t="s">
        <v>285</v>
      </c>
      <c r="I1352" s="34"/>
      <c r="J1352" s="34" t="s">
        <v>152</v>
      </c>
      <c r="K1352" s="36" t="s">
        <v>493</v>
      </c>
      <c r="L1352" s="36"/>
      <c r="M1352" s="36"/>
      <c r="N1352" s="65" t="s">
        <v>105</v>
      </c>
      <c r="O1352" s="34" t="s">
        <v>51</v>
      </c>
      <c r="P1352" s="68">
        <v>-450</v>
      </c>
      <c r="Q1352" s="68">
        <v>500</v>
      </c>
      <c r="R1352" s="34" t="s">
        <v>249</v>
      </c>
      <c r="S1352" s="34" t="s">
        <v>4982</v>
      </c>
      <c r="T1352" s="34"/>
      <c r="U1352" s="34"/>
      <c r="V1352" s="34"/>
      <c r="W1352" s="34"/>
      <c r="X1352" s="34"/>
      <c r="Y1352"/>
    </row>
    <row r="1353" spans="1:25" x14ac:dyDescent="0.25">
      <c r="A1353" s="32" t="s">
        <v>2078</v>
      </c>
      <c r="B1353" s="306" t="str">
        <f>IF((COUNTBLANK(G1353)=0),Stats!$E$7,IF((COUNTBLANK(E1353)=0),IF((COUNTBLANK(F1353)=0),IF((COUNTBLANK(U1353)=0),Stats!$E$6,Stats!$E$5),Stats!$E$4),""))</f>
        <v>Death</v>
      </c>
      <c r="C1353" s="41" t="s">
        <v>284</v>
      </c>
      <c r="D1353" s="306" t="str">
        <f>IF(B1353=Stats!$E$6,Stats!$E$11,"")</f>
        <v/>
      </c>
      <c r="E1353" s="89">
        <v>45483</v>
      </c>
      <c r="F1353" s="89">
        <v>45531</v>
      </c>
      <c r="G1353" s="89">
        <v>45547</v>
      </c>
      <c r="H1353" s="34" t="s">
        <v>285</v>
      </c>
      <c r="I1353" s="34" t="s">
        <v>285</v>
      </c>
      <c r="J1353" s="34" t="s">
        <v>152</v>
      </c>
      <c r="K1353" s="36" t="s">
        <v>493</v>
      </c>
      <c r="N1353" s="65" t="s">
        <v>988</v>
      </c>
      <c r="O1353" s="34" t="s">
        <v>51</v>
      </c>
      <c r="P1353" s="68">
        <v>-450</v>
      </c>
      <c r="Q1353" s="68">
        <v>500</v>
      </c>
      <c r="R1353" s="34" t="s">
        <v>279</v>
      </c>
    </row>
    <row r="1354" spans="1:25" x14ac:dyDescent="0.25">
      <c r="A1354" s="32" t="s">
        <v>2079</v>
      </c>
      <c r="B1354" s="306" t="str">
        <f>IF((COUNTBLANK(G1354)=0),Stats!$E$7,IF((COUNTBLANK(E1354)=0),IF((COUNTBLANK(F1354)=0),IF((COUNTBLANK(U1354)=0),Stats!$E$6,Stats!$E$5),Stats!$E$4),""))</f>
        <v>Death</v>
      </c>
      <c r="C1354" s="41" t="s">
        <v>3111</v>
      </c>
      <c r="D1354" s="306" t="str">
        <f>IF(B1354=Stats!$E$6,Stats!$E$11,"")</f>
        <v/>
      </c>
      <c r="E1354" s="89">
        <v>45488</v>
      </c>
      <c r="G1354" s="172">
        <v>45641</v>
      </c>
      <c r="H1354" s="34" t="s">
        <v>3139</v>
      </c>
      <c r="K1354" s="36" t="s">
        <v>182</v>
      </c>
      <c r="L1354" s="36" t="s">
        <v>4199</v>
      </c>
      <c r="N1354" s="65" t="s">
        <v>196</v>
      </c>
      <c r="O1354" s="34" t="s">
        <v>4983</v>
      </c>
      <c r="P1354" s="68">
        <v>-5500</v>
      </c>
      <c r="Q1354" s="68">
        <v>-5000</v>
      </c>
      <c r="R1354" s="34" t="s">
        <v>279</v>
      </c>
    </row>
    <row r="1355" spans="1:25" x14ac:dyDescent="0.25">
      <c r="A1355" s="32" t="s">
        <v>2080</v>
      </c>
      <c r="B1355" s="306" t="str">
        <f>IF((COUNTBLANK(G1355)=0),Stats!$E$7,IF((COUNTBLANK(E1355)=0),IF((COUNTBLANK(F1355)=0),IF((COUNTBLANK(U1355)=0),Stats!$E$6,Stats!$E$5),Stats!$E$4),""))</f>
        <v>Death</v>
      </c>
      <c r="C1355" s="41" t="s">
        <v>3111</v>
      </c>
      <c r="D1355" s="306" t="str">
        <f>IF(B1355=Stats!$E$6,Stats!$E$11,"")</f>
        <v/>
      </c>
      <c r="E1355" s="89">
        <v>45488</v>
      </c>
      <c r="G1355" s="172">
        <v>45641</v>
      </c>
      <c r="H1355" s="34" t="s">
        <v>3139</v>
      </c>
      <c r="K1355" s="36" t="s">
        <v>182</v>
      </c>
      <c r="L1355" s="36" t="s">
        <v>4199</v>
      </c>
      <c r="N1355" s="65" t="s">
        <v>196</v>
      </c>
      <c r="O1355" s="34" t="s">
        <v>4983</v>
      </c>
      <c r="P1355" s="68">
        <v>-5500</v>
      </c>
      <c r="Q1355" s="68">
        <v>-5000</v>
      </c>
      <c r="R1355" s="34" t="s">
        <v>249</v>
      </c>
    </row>
    <row r="1356" spans="1:25" x14ac:dyDescent="0.25">
      <c r="A1356" s="32" t="s">
        <v>2081</v>
      </c>
      <c r="B1356" s="306" t="str">
        <f>IF((COUNTBLANK(G1356)=0),Stats!$E$7,IF((COUNTBLANK(E1356)=0),IF((COUNTBLANK(F1356)=0),IF((COUNTBLANK(U1356)=0),Stats!$E$6,Stats!$E$5),Stats!$E$4),""))</f>
        <v>Death</v>
      </c>
      <c r="C1356" s="41" t="s">
        <v>3111</v>
      </c>
      <c r="D1356" s="306" t="str">
        <f>IF(B1356=Stats!$E$6,Stats!$E$11,"")</f>
        <v/>
      </c>
      <c r="E1356" s="89">
        <v>45488</v>
      </c>
      <c r="G1356" s="172">
        <v>45641</v>
      </c>
      <c r="H1356" s="34" t="s">
        <v>3139</v>
      </c>
      <c r="K1356" s="36" t="s">
        <v>182</v>
      </c>
      <c r="L1356" s="36" t="s">
        <v>4199</v>
      </c>
      <c r="N1356" s="65" t="s">
        <v>196</v>
      </c>
      <c r="O1356" s="34" t="s">
        <v>4983</v>
      </c>
      <c r="P1356" s="68">
        <v>-5500</v>
      </c>
      <c r="Q1356" s="68">
        <v>-5000</v>
      </c>
      <c r="R1356" s="34" t="s">
        <v>279</v>
      </c>
    </row>
    <row r="1357" spans="1:25" x14ac:dyDescent="0.25">
      <c r="A1357" s="32" t="s">
        <v>2082</v>
      </c>
      <c r="B1357" s="306" t="str">
        <f>IF((COUNTBLANK(G1357)=0),Stats!$E$7,IF((COUNTBLANK(E1357)=0),IF((COUNTBLANK(F1357)=0),IF((COUNTBLANK(U1357)=0),Stats!$E$6,Stats!$E$5),Stats!$E$4),""))</f>
        <v>Death</v>
      </c>
      <c r="C1357" s="41" t="s">
        <v>3111</v>
      </c>
      <c r="D1357" s="306" t="str">
        <f>IF(B1357=Stats!$E$6,Stats!$E$11,"")</f>
        <v/>
      </c>
      <c r="E1357" s="89">
        <v>45488</v>
      </c>
      <c r="G1357" s="172">
        <v>45641</v>
      </c>
      <c r="H1357" s="34" t="s">
        <v>3139</v>
      </c>
      <c r="K1357" s="36" t="s">
        <v>182</v>
      </c>
      <c r="L1357" s="36" t="s">
        <v>4199</v>
      </c>
      <c r="N1357" s="65" t="s">
        <v>196</v>
      </c>
      <c r="O1357" s="34" t="s">
        <v>4983</v>
      </c>
      <c r="P1357" s="68">
        <v>-5500</v>
      </c>
      <c r="Q1357" s="68">
        <v>-5000</v>
      </c>
      <c r="R1357" s="34" t="s">
        <v>279</v>
      </c>
    </row>
    <row r="1358" spans="1:25" x14ac:dyDescent="0.25">
      <c r="A1358" s="32" t="s">
        <v>2083</v>
      </c>
      <c r="B1358" s="306" t="str">
        <f>IF((COUNTBLANK(G1358)=0),Stats!$E$7,IF((COUNTBLANK(E1358)=0),IF((COUNTBLANK(F1358)=0),IF((COUNTBLANK(U1358)=0),Stats!$E$6,Stats!$E$5),Stats!$E$4),""))</f>
        <v>Death</v>
      </c>
      <c r="C1358" s="136" t="s">
        <v>240</v>
      </c>
      <c r="D1358" s="306" t="str">
        <f>IF(B1358=Stats!$E$6,Stats!$E$11,"")</f>
        <v/>
      </c>
      <c r="E1358" s="89">
        <v>45488</v>
      </c>
      <c r="G1358" s="89">
        <v>45629</v>
      </c>
      <c r="H1358" s="34" t="s">
        <v>3132</v>
      </c>
      <c r="J1358" s="34" t="s">
        <v>3186</v>
      </c>
      <c r="K1358" s="36" t="s">
        <v>4940</v>
      </c>
      <c r="O1358" s="34" t="s">
        <v>51</v>
      </c>
      <c r="P1358" s="68">
        <v>-350</v>
      </c>
      <c r="Q1358" s="68">
        <v>200</v>
      </c>
      <c r="S1358" s="34" t="s">
        <v>4984</v>
      </c>
    </row>
    <row r="1359" spans="1:25" x14ac:dyDescent="0.25">
      <c r="A1359" s="32" t="s">
        <v>2084</v>
      </c>
      <c r="B1359" s="306" t="str">
        <f>IF((COUNTBLANK(G1359)=0),Stats!$E$7,IF((COUNTBLANK(E1359)=0),IF((COUNTBLANK(F1359)=0),IF((COUNTBLANK(U1359)=0),Stats!$E$6,Stats!$E$5),Stats!$E$4),""))</f>
        <v>Death</v>
      </c>
      <c r="C1359" s="136" t="s">
        <v>240</v>
      </c>
      <c r="D1359" s="306" t="str">
        <f>IF(B1359=Stats!$E$6,Stats!$E$11,"")</f>
        <v/>
      </c>
      <c r="E1359" s="89">
        <v>45488</v>
      </c>
      <c r="G1359" s="172">
        <v>45641</v>
      </c>
      <c r="H1359" s="34" t="s">
        <v>3132</v>
      </c>
      <c r="J1359" s="34" t="s">
        <v>3186</v>
      </c>
      <c r="K1359" s="36" t="s">
        <v>4940</v>
      </c>
      <c r="O1359" s="34" t="s">
        <v>51</v>
      </c>
      <c r="P1359" s="68">
        <v>-350</v>
      </c>
      <c r="Q1359" s="68">
        <v>200</v>
      </c>
      <c r="S1359" s="34" t="s">
        <v>4984</v>
      </c>
    </row>
    <row r="1360" spans="1:25" x14ac:dyDescent="0.25">
      <c r="A1360" s="32" t="s">
        <v>2085</v>
      </c>
      <c r="B1360" s="306" t="str">
        <f>IF((COUNTBLANK(G1360)=0),Stats!$E$7,IF((COUNTBLANK(E1360)=0),IF((COUNTBLANK(F1360)=0),IF((COUNTBLANK(U1360)=0),Stats!$E$6,Stats!$E$5),Stats!$E$4),""))</f>
        <v>Death</v>
      </c>
      <c r="C1360" s="136" t="s">
        <v>240</v>
      </c>
      <c r="D1360" s="306" t="str">
        <f>IF(B1360=Stats!$E$6,Stats!$E$11,"")</f>
        <v/>
      </c>
      <c r="E1360" s="89">
        <v>45488</v>
      </c>
      <c r="G1360" s="172">
        <v>45641</v>
      </c>
      <c r="H1360" s="34" t="s">
        <v>3132</v>
      </c>
      <c r="J1360" s="34" t="s">
        <v>3186</v>
      </c>
      <c r="K1360" s="36" t="s">
        <v>4940</v>
      </c>
      <c r="O1360" s="34" t="s">
        <v>51</v>
      </c>
      <c r="P1360" s="68">
        <v>-350</v>
      </c>
      <c r="Q1360" s="68">
        <v>200</v>
      </c>
      <c r="S1360" s="34" t="s">
        <v>4984</v>
      </c>
    </row>
    <row r="1361" spans="1:25" x14ac:dyDescent="0.25">
      <c r="A1361" s="32" t="s">
        <v>2086</v>
      </c>
      <c r="B1361" s="306" t="str">
        <f>IF((COUNTBLANK(G1361)=0),Stats!$E$7,IF((COUNTBLANK(E1361)=0),IF((COUNTBLANK(F1361)=0),IF((COUNTBLANK(U1361)=0),Stats!$E$6,Stats!$E$5),Stats!$E$4),""))</f>
        <v>Death</v>
      </c>
      <c r="C1361" s="136" t="s">
        <v>240</v>
      </c>
      <c r="D1361" s="306" t="str">
        <f>IF(B1361=Stats!$E$6,Stats!$E$11,"")</f>
        <v/>
      </c>
      <c r="E1361" s="89">
        <v>45488</v>
      </c>
      <c r="G1361" s="172">
        <v>45641</v>
      </c>
      <c r="H1361" s="34" t="s">
        <v>3132</v>
      </c>
      <c r="J1361" s="34" t="s">
        <v>3186</v>
      </c>
      <c r="K1361" s="36" t="s">
        <v>4940</v>
      </c>
      <c r="O1361" s="34" t="s">
        <v>51</v>
      </c>
      <c r="P1361" s="68">
        <v>-350</v>
      </c>
      <c r="Q1361" s="68">
        <v>200</v>
      </c>
      <c r="S1361" s="34" t="s">
        <v>4984</v>
      </c>
    </row>
    <row r="1362" spans="1:25" x14ac:dyDescent="0.25">
      <c r="A1362" s="168" t="s">
        <v>2087</v>
      </c>
      <c r="B1362" s="306" t="str">
        <f>IF((COUNTBLANK(G1362)=0),Stats!$E$7,IF((COUNTBLANK(E1362)=0),IF((COUNTBLANK(F1362)=0),IF((COUNTBLANK(U1362)=0),Stats!$E$6,Stats!$E$5),Stats!$E$4),""))</f>
        <v>Death</v>
      </c>
      <c r="C1362" s="171" t="s">
        <v>240</v>
      </c>
      <c r="D1362" s="378" t="str">
        <f>IF(B1362=Stats!$E$6,Stats!$E$11,"")</f>
        <v/>
      </c>
      <c r="E1362" s="172">
        <v>45490</v>
      </c>
      <c r="F1362" s="172"/>
      <c r="G1362" s="172">
        <v>45641</v>
      </c>
      <c r="H1362" s="167" t="s">
        <v>53</v>
      </c>
      <c r="I1362" s="167"/>
      <c r="J1362" s="167" t="s">
        <v>152</v>
      </c>
      <c r="K1362" s="173" t="s">
        <v>493</v>
      </c>
      <c r="L1362" s="173"/>
      <c r="M1362" s="173"/>
      <c r="N1362" s="174"/>
      <c r="O1362" s="167" t="s">
        <v>51</v>
      </c>
      <c r="P1362" s="175"/>
      <c r="Q1362" s="175">
        <v>400</v>
      </c>
      <c r="R1362" s="167"/>
      <c r="S1362" s="167"/>
      <c r="T1362" s="167"/>
      <c r="U1362" s="167"/>
      <c r="V1362" s="167"/>
      <c r="W1362" s="167"/>
      <c r="Y1362" s="176"/>
    </row>
    <row r="1363" spans="1:25" x14ac:dyDescent="0.25">
      <c r="A1363" s="168" t="s">
        <v>2088</v>
      </c>
      <c r="B1363" s="306" t="str">
        <f>IF((COUNTBLANK(G1363)=0),Stats!$E$7,IF((COUNTBLANK(E1363)=0),IF((COUNTBLANK(F1363)=0),IF((COUNTBLANK(U1363)=0),Stats!$E$6,Stats!$E$5),Stats!$E$4),""))</f>
        <v>Death</v>
      </c>
      <c r="C1363" s="171" t="s">
        <v>240</v>
      </c>
      <c r="D1363" s="378" t="str">
        <f>IF(B1363=Stats!$E$6,Stats!$E$11,"")</f>
        <v/>
      </c>
      <c r="E1363" s="172">
        <v>45490</v>
      </c>
      <c r="F1363" s="172"/>
      <c r="G1363" s="172">
        <v>45641</v>
      </c>
      <c r="H1363" s="167" t="s">
        <v>53</v>
      </c>
      <c r="I1363" s="167"/>
      <c r="J1363" s="167" t="s">
        <v>152</v>
      </c>
      <c r="K1363" s="173" t="s">
        <v>493</v>
      </c>
      <c r="L1363" s="173"/>
      <c r="M1363" s="173"/>
      <c r="N1363" s="174"/>
      <c r="O1363" s="167" t="s">
        <v>51</v>
      </c>
      <c r="P1363" s="175"/>
      <c r="Q1363" s="175">
        <v>400</v>
      </c>
      <c r="R1363" s="167"/>
      <c r="S1363" s="167"/>
      <c r="T1363" s="167"/>
      <c r="U1363" s="167"/>
      <c r="V1363" s="167"/>
      <c r="W1363" s="167"/>
      <c r="Y1363" s="176"/>
    </row>
    <row r="1364" spans="1:25" x14ac:dyDescent="0.25">
      <c r="A1364" s="168" t="s">
        <v>2089</v>
      </c>
      <c r="B1364" s="306" t="str">
        <f>IF((COUNTBLANK(G1364)=0),Stats!$E$7,IF((COUNTBLANK(E1364)=0),IF((COUNTBLANK(F1364)=0),IF((COUNTBLANK(U1364)=0),Stats!$E$6,Stats!$E$5),Stats!$E$4),""))</f>
        <v>Death</v>
      </c>
      <c r="C1364" s="171" t="s">
        <v>240</v>
      </c>
      <c r="D1364" s="378" t="str">
        <f>IF(B1364=Stats!$E$6,Stats!$E$11,"")</f>
        <v/>
      </c>
      <c r="E1364" s="172">
        <v>45490</v>
      </c>
      <c r="F1364" s="172"/>
      <c r="G1364" s="172">
        <v>45641</v>
      </c>
      <c r="H1364" s="167" t="s">
        <v>53</v>
      </c>
      <c r="I1364" s="167"/>
      <c r="J1364" s="167" t="s">
        <v>152</v>
      </c>
      <c r="K1364" s="173" t="s">
        <v>493</v>
      </c>
      <c r="L1364" s="173"/>
      <c r="M1364" s="173"/>
      <c r="N1364" s="174"/>
      <c r="O1364" s="167" t="s">
        <v>51</v>
      </c>
      <c r="P1364" s="175"/>
      <c r="Q1364" s="175">
        <v>400</v>
      </c>
      <c r="R1364" s="167"/>
      <c r="S1364" s="167"/>
      <c r="T1364" s="167"/>
      <c r="U1364" s="167"/>
      <c r="V1364" s="167"/>
      <c r="W1364" s="167"/>
      <c r="Y1364" s="176"/>
    </row>
    <row r="1365" spans="1:25" x14ac:dyDescent="0.25">
      <c r="A1365" s="168" t="s">
        <v>2090</v>
      </c>
      <c r="B1365" s="306" t="str">
        <f>IF((COUNTBLANK(G1365)=0),Stats!$E$7,IF((COUNTBLANK(E1365)=0),IF((COUNTBLANK(F1365)=0),IF((COUNTBLANK(U1365)=0),Stats!$E$6,Stats!$E$5),Stats!$E$4),""))</f>
        <v>Death</v>
      </c>
      <c r="C1365" s="171" t="s">
        <v>240</v>
      </c>
      <c r="D1365" s="378" t="str">
        <f>IF(B1365=Stats!$E$6,Stats!$E$11,"")</f>
        <v/>
      </c>
      <c r="E1365" s="172">
        <v>45491</v>
      </c>
      <c r="F1365" s="172"/>
      <c r="G1365" s="172">
        <v>45641</v>
      </c>
      <c r="H1365" s="167" t="s">
        <v>53</v>
      </c>
      <c r="I1365" s="167"/>
      <c r="J1365" s="167" t="s">
        <v>152</v>
      </c>
      <c r="K1365" s="173" t="s">
        <v>493</v>
      </c>
      <c r="L1365" s="173"/>
      <c r="M1365" s="173"/>
      <c r="N1365" s="174"/>
      <c r="O1365" s="167" t="s">
        <v>51</v>
      </c>
      <c r="P1365" s="175"/>
      <c r="Q1365" s="175">
        <v>400</v>
      </c>
      <c r="R1365" s="167"/>
      <c r="S1365" s="167"/>
      <c r="T1365" s="167"/>
      <c r="U1365" s="167"/>
      <c r="V1365" s="167"/>
      <c r="W1365" s="167"/>
      <c r="Y1365" s="176"/>
    </row>
    <row r="1366" spans="1:25" x14ac:dyDescent="0.25">
      <c r="A1366" s="168" t="s">
        <v>2091</v>
      </c>
      <c r="B1366" s="306" t="str">
        <f>IF((COUNTBLANK(G1366)=0),Stats!$E$7,IF((COUNTBLANK(E1366)=0),IF((COUNTBLANK(F1366)=0),IF((COUNTBLANK(U1366)=0),Stats!$E$6,Stats!$E$5),Stats!$E$4),""))</f>
        <v>Death</v>
      </c>
      <c r="C1366" s="171" t="s">
        <v>240</v>
      </c>
      <c r="D1366" s="378" t="str">
        <f>IF(B1366=Stats!$E$6,Stats!$E$11,"")</f>
        <v/>
      </c>
      <c r="E1366" s="172">
        <v>45491</v>
      </c>
      <c r="F1366" s="172"/>
      <c r="G1366" s="172">
        <v>45641</v>
      </c>
      <c r="H1366" s="167" t="s">
        <v>53</v>
      </c>
      <c r="I1366" s="167"/>
      <c r="J1366" s="167" t="s">
        <v>152</v>
      </c>
      <c r="K1366" s="173" t="s">
        <v>493</v>
      </c>
      <c r="L1366" s="173"/>
      <c r="M1366" s="173"/>
      <c r="N1366" s="174"/>
      <c r="O1366" s="167" t="s">
        <v>51</v>
      </c>
      <c r="P1366" s="175"/>
      <c r="Q1366" s="175">
        <v>400</v>
      </c>
      <c r="R1366" s="167"/>
      <c r="S1366" s="167"/>
      <c r="T1366" s="167"/>
      <c r="U1366" s="167"/>
      <c r="V1366" s="167"/>
      <c r="W1366" s="167"/>
      <c r="Y1366" s="176"/>
    </row>
    <row r="1367" spans="1:25" x14ac:dyDescent="0.25">
      <c r="A1367" s="168" t="s">
        <v>2092</v>
      </c>
      <c r="B1367" s="306" t="str">
        <f>IF((COUNTBLANK(G1367)=0),Stats!$E$7,IF((COUNTBLANK(E1367)=0),IF((COUNTBLANK(F1367)=0),IF((COUNTBLANK(U1367)=0),Stats!$E$6,Stats!$E$5),Stats!$E$4),""))</f>
        <v>Death</v>
      </c>
      <c r="C1367" s="171" t="s">
        <v>240</v>
      </c>
      <c r="D1367" s="378" t="str">
        <f>IF(B1367=Stats!$E$6,Stats!$E$11,"")</f>
        <v/>
      </c>
      <c r="E1367" s="172">
        <v>45491</v>
      </c>
      <c r="F1367" s="172"/>
      <c r="G1367" s="172">
        <v>45641</v>
      </c>
      <c r="H1367" s="167" t="s">
        <v>53</v>
      </c>
      <c r="I1367" s="167"/>
      <c r="J1367" s="167" t="s">
        <v>152</v>
      </c>
      <c r="K1367" s="173" t="s">
        <v>493</v>
      </c>
      <c r="L1367" s="173"/>
      <c r="M1367" s="173"/>
      <c r="N1367" s="174"/>
      <c r="O1367" s="167" t="s">
        <v>51</v>
      </c>
      <c r="P1367" s="175"/>
      <c r="Q1367" s="175">
        <v>400</v>
      </c>
      <c r="R1367" s="167"/>
      <c r="S1367" s="167"/>
      <c r="T1367" s="167"/>
      <c r="U1367" s="167"/>
      <c r="V1367" s="167"/>
      <c r="W1367" s="167"/>
      <c r="Y1367" s="176"/>
    </row>
    <row r="1368" spans="1:25" x14ac:dyDescent="0.25">
      <c r="A1368" s="168" t="s">
        <v>2093</v>
      </c>
      <c r="B1368" s="306" t="str">
        <f>IF((COUNTBLANK(G1368)=0),Stats!$E$7,IF((COUNTBLANK(E1368)=0),IF((COUNTBLANK(F1368)=0),IF((COUNTBLANK(U1368)=0),Stats!$E$6,Stats!$E$5),Stats!$E$4),""))</f>
        <v>Death</v>
      </c>
      <c r="C1368" s="171" t="s">
        <v>240</v>
      </c>
      <c r="D1368" s="378" t="str">
        <f>IF(B1368=Stats!$E$6,Stats!$E$11,"")</f>
        <v/>
      </c>
      <c r="E1368" s="172">
        <v>45492</v>
      </c>
      <c r="F1368" s="172"/>
      <c r="G1368" s="172">
        <v>45641</v>
      </c>
      <c r="H1368" s="167" t="s">
        <v>53</v>
      </c>
      <c r="I1368" s="167"/>
      <c r="J1368" s="167" t="s">
        <v>4650</v>
      </c>
      <c r="K1368" s="173" t="s">
        <v>4678</v>
      </c>
      <c r="L1368" s="173"/>
      <c r="M1368" s="173"/>
      <c r="N1368" s="174"/>
      <c r="O1368" s="167" t="s">
        <v>51</v>
      </c>
      <c r="P1368" s="175"/>
      <c r="Q1368" s="175">
        <v>400</v>
      </c>
      <c r="R1368" s="167"/>
      <c r="S1368" s="167" t="s">
        <v>4985</v>
      </c>
      <c r="T1368" s="167"/>
      <c r="U1368" s="167"/>
      <c r="V1368" s="167"/>
      <c r="W1368" s="167"/>
      <c r="Y1368" s="176"/>
    </row>
    <row r="1369" spans="1:25" x14ac:dyDescent="0.25">
      <c r="A1369" s="168" t="s">
        <v>2094</v>
      </c>
      <c r="B1369" s="306" t="str">
        <f>IF((COUNTBLANK(G1369)=0),Stats!$E$7,IF((COUNTBLANK(E1369)=0),IF((COUNTBLANK(F1369)=0),IF((COUNTBLANK(U1369)=0),Stats!$E$6,Stats!$E$5),Stats!$E$4),""))</f>
        <v>Death</v>
      </c>
      <c r="C1369" s="171" t="s">
        <v>240</v>
      </c>
      <c r="D1369" s="378" t="str">
        <f>IF(B1369=Stats!$E$6,Stats!$E$11,"")</f>
        <v/>
      </c>
      <c r="E1369" s="172">
        <v>45492</v>
      </c>
      <c r="F1369" s="172"/>
      <c r="G1369" s="172">
        <v>45641</v>
      </c>
      <c r="H1369" s="167" t="s">
        <v>53</v>
      </c>
      <c r="I1369" s="167"/>
      <c r="J1369" s="167" t="s">
        <v>4650</v>
      </c>
      <c r="K1369" s="173" t="s">
        <v>4678</v>
      </c>
      <c r="L1369" s="173"/>
      <c r="M1369" s="173"/>
      <c r="N1369" s="174"/>
      <c r="O1369" s="167" t="s">
        <v>51</v>
      </c>
      <c r="P1369" s="175"/>
      <c r="Q1369" s="175">
        <v>400</v>
      </c>
      <c r="R1369" s="167"/>
      <c r="S1369" s="167" t="s">
        <v>4985</v>
      </c>
      <c r="T1369" s="167"/>
      <c r="U1369" s="167"/>
      <c r="V1369" s="167"/>
      <c r="W1369" s="167"/>
      <c r="Y1369" s="176"/>
    </row>
    <row r="1370" spans="1:25" x14ac:dyDescent="0.25">
      <c r="A1370" s="168" t="s">
        <v>2095</v>
      </c>
      <c r="B1370" s="306" t="str">
        <f>IF((COUNTBLANK(G1370)=0),Stats!$E$7,IF((COUNTBLANK(E1370)=0),IF((COUNTBLANK(F1370)=0),IF((COUNTBLANK(U1370)=0),Stats!$E$6,Stats!$E$5),Stats!$E$4),""))</f>
        <v>Death</v>
      </c>
      <c r="C1370" s="171" t="s">
        <v>240</v>
      </c>
      <c r="D1370" s="378" t="str">
        <f>IF(B1370=Stats!$E$6,Stats!$E$11,"")</f>
        <v/>
      </c>
      <c r="E1370" s="172">
        <v>45492</v>
      </c>
      <c r="F1370" s="172"/>
      <c r="G1370" s="172">
        <v>45641</v>
      </c>
      <c r="H1370" s="167" t="s">
        <v>53</v>
      </c>
      <c r="I1370" s="167"/>
      <c r="J1370" s="167" t="s">
        <v>4650</v>
      </c>
      <c r="K1370" s="173" t="s">
        <v>4678</v>
      </c>
      <c r="L1370" s="173"/>
      <c r="M1370" s="173"/>
      <c r="N1370" s="174"/>
      <c r="O1370" s="167" t="s">
        <v>51</v>
      </c>
      <c r="P1370" s="175"/>
      <c r="Q1370" s="175">
        <v>400</v>
      </c>
      <c r="R1370" s="167"/>
      <c r="S1370" s="167" t="s">
        <v>4985</v>
      </c>
      <c r="T1370" s="167"/>
      <c r="U1370" s="167"/>
      <c r="V1370" s="167"/>
      <c r="W1370" s="167"/>
      <c r="Y1370" s="176"/>
    </row>
    <row r="1371" spans="1:25" x14ac:dyDescent="0.25">
      <c r="A1371" s="168" t="s">
        <v>2096</v>
      </c>
      <c r="B1371" s="306" t="str">
        <f>IF((COUNTBLANK(G1371)=0),Stats!$E$7,IF((COUNTBLANK(E1371)=0),IF((COUNTBLANK(F1371)=0),IF((COUNTBLANK(U1371)=0),Stats!$E$6,Stats!$E$5),Stats!$E$4),""))</f>
        <v>Death</v>
      </c>
      <c r="C1371" s="171" t="s">
        <v>240</v>
      </c>
      <c r="D1371" s="378" t="str">
        <f>IF(B1371=Stats!$E$6,Stats!$E$11,"")</f>
        <v/>
      </c>
      <c r="E1371" s="172">
        <v>45493</v>
      </c>
      <c r="F1371" s="172"/>
      <c r="G1371" s="172">
        <v>45641</v>
      </c>
      <c r="H1371" s="167" t="s">
        <v>53</v>
      </c>
      <c r="I1371" s="167"/>
      <c r="J1371" s="167" t="s">
        <v>4650</v>
      </c>
      <c r="K1371" s="173" t="s">
        <v>4678</v>
      </c>
      <c r="L1371" s="173"/>
      <c r="M1371" s="173"/>
      <c r="N1371" s="174"/>
      <c r="O1371" s="167" t="s">
        <v>51</v>
      </c>
      <c r="P1371" s="175"/>
      <c r="Q1371" s="175">
        <v>400</v>
      </c>
      <c r="R1371" s="167"/>
      <c r="S1371" s="167" t="s">
        <v>4985</v>
      </c>
      <c r="T1371" s="167"/>
      <c r="U1371" s="167"/>
      <c r="V1371" s="167"/>
      <c r="W1371" s="167"/>
      <c r="Y1371" s="176"/>
    </row>
    <row r="1372" spans="1:25" x14ac:dyDescent="0.25">
      <c r="A1372" s="32" t="s">
        <v>2097</v>
      </c>
      <c r="B1372" s="306" t="str">
        <f>IF((COUNTBLANK(G1372)=0),Stats!$E$7,IF((COUNTBLANK(E1372)=0),IF((COUNTBLANK(F1372)=0),IF((COUNTBLANK(U1372)=0),Stats!$E$6,Stats!$E$5),Stats!$E$4),""))</f>
        <v>Death</v>
      </c>
      <c r="C1372" s="41" t="s">
        <v>356</v>
      </c>
      <c r="D1372" s="306" t="str">
        <f>IF(B1372=Stats!$E$6,Stats!$E$11,"")</f>
        <v/>
      </c>
      <c r="E1372" s="89">
        <v>45496</v>
      </c>
      <c r="G1372" s="172">
        <v>45641</v>
      </c>
      <c r="H1372" s="34" t="s">
        <v>153</v>
      </c>
      <c r="J1372" s="34" t="s">
        <v>4766</v>
      </c>
      <c r="K1372" s="36" t="s">
        <v>357</v>
      </c>
      <c r="O1372" s="34" t="s">
        <v>358</v>
      </c>
      <c r="P1372" s="68" t="s">
        <v>359</v>
      </c>
      <c r="Q1372" s="68" t="s">
        <v>3709</v>
      </c>
      <c r="S1372" s="34" t="s">
        <v>4986</v>
      </c>
    </row>
    <row r="1373" spans="1:25" x14ac:dyDescent="0.25">
      <c r="A1373" s="32" t="s">
        <v>2098</v>
      </c>
      <c r="B1373" s="306" t="str">
        <f>IF((COUNTBLANK(G1373)=0),Stats!$E$7,IF((COUNTBLANK(E1373)=0),IF((COUNTBLANK(F1373)=0),IF((COUNTBLANK(U1373)=0),Stats!$E$6,Stats!$E$5),Stats!$E$4),""))</f>
        <v>Death</v>
      </c>
      <c r="C1373" s="41" t="s">
        <v>356</v>
      </c>
      <c r="D1373" s="306" t="str">
        <f>IF(B1373=Stats!$E$6,Stats!$E$11,"")</f>
        <v/>
      </c>
      <c r="E1373" s="89">
        <v>45497</v>
      </c>
      <c r="G1373" s="172">
        <v>45641</v>
      </c>
      <c r="H1373" s="34" t="s">
        <v>153</v>
      </c>
      <c r="J1373" s="34" t="s">
        <v>3186</v>
      </c>
      <c r="K1373" s="36" t="s">
        <v>357</v>
      </c>
      <c r="O1373" s="34" t="s">
        <v>358</v>
      </c>
      <c r="P1373" s="68" t="s">
        <v>359</v>
      </c>
      <c r="Q1373" s="68" t="s">
        <v>3709</v>
      </c>
      <c r="S1373" s="34" t="s">
        <v>4987</v>
      </c>
    </row>
    <row r="1374" spans="1:25" x14ac:dyDescent="0.25">
      <c r="A1374" s="32" t="s">
        <v>2099</v>
      </c>
      <c r="B1374" s="306" t="str">
        <f>IF((COUNTBLANK(G1374)=0),Stats!$E$7,IF((COUNTBLANK(E1374)=0),IF((COUNTBLANK(F1374)=0),IF((COUNTBLANK(U1374)=0),Stats!$E$6,Stats!$E$5),Stats!$E$4),""))</f>
        <v>Death</v>
      </c>
      <c r="C1374" s="41" t="s">
        <v>356</v>
      </c>
      <c r="D1374" s="306" t="str">
        <f>IF(B1374=Stats!$E$6,Stats!$E$11,"")</f>
        <v/>
      </c>
      <c r="E1374" s="89">
        <v>45497</v>
      </c>
      <c r="G1374" s="172">
        <v>45641</v>
      </c>
      <c r="H1374" s="34" t="s">
        <v>153</v>
      </c>
      <c r="J1374" s="34" t="s">
        <v>4766</v>
      </c>
      <c r="K1374" s="36" t="s">
        <v>357</v>
      </c>
      <c r="O1374" s="34" t="s">
        <v>358</v>
      </c>
      <c r="P1374" s="68" t="s">
        <v>359</v>
      </c>
      <c r="Q1374" s="68" t="s">
        <v>3709</v>
      </c>
      <c r="S1374" s="34" t="s">
        <v>4988</v>
      </c>
    </row>
    <row r="1375" spans="1:25" x14ac:dyDescent="0.25">
      <c r="A1375" s="32" t="s">
        <v>2100</v>
      </c>
      <c r="B1375" s="306" t="str">
        <f>IF((COUNTBLANK(G1375)=0),Stats!$E$7,IF((COUNTBLANK(E1375)=0),IF((COUNTBLANK(F1375)=0),IF((COUNTBLANK(U1375)=0),Stats!$E$6,Stats!$E$5),Stats!$E$4),""))</f>
        <v>Death</v>
      </c>
      <c r="C1375" s="41" t="s">
        <v>356</v>
      </c>
      <c r="D1375" s="306" t="str">
        <f>IF(B1375=Stats!$E$6,Stats!$E$11,"")</f>
        <v/>
      </c>
      <c r="E1375" s="89">
        <v>45503</v>
      </c>
      <c r="G1375" s="172">
        <v>45641</v>
      </c>
      <c r="H1375" s="34" t="s">
        <v>153</v>
      </c>
      <c r="J1375" s="34" t="s">
        <v>4766</v>
      </c>
      <c r="K1375" s="36" t="s">
        <v>357</v>
      </c>
      <c r="O1375" s="34" t="s">
        <v>358</v>
      </c>
      <c r="P1375" s="68" t="s">
        <v>359</v>
      </c>
      <c r="Q1375" s="68" t="s">
        <v>3709</v>
      </c>
      <c r="S1375" s="34" t="s">
        <v>4989</v>
      </c>
    </row>
    <row r="1376" spans="1:25" x14ac:dyDescent="0.25">
      <c r="A1376" s="32" t="s">
        <v>2101</v>
      </c>
      <c r="B1376" s="306" t="str">
        <f>IF((COUNTBLANK(G1376)=0),Stats!$E$7,IF((COUNTBLANK(E1376)=0),IF((COUNTBLANK(F1376)=0),IF((COUNTBLANK(U1376)=0),Stats!$E$6,Stats!$E$5),Stats!$E$4),""))</f>
        <v>Death</v>
      </c>
      <c r="C1376" s="41" t="s">
        <v>356</v>
      </c>
      <c r="D1376" s="306" t="str">
        <f>IF(B1376=Stats!$E$6,Stats!$E$11,"")</f>
        <v/>
      </c>
      <c r="E1376" s="89">
        <v>45504</v>
      </c>
      <c r="G1376" s="172">
        <v>45641</v>
      </c>
      <c r="H1376" s="34" t="s">
        <v>153</v>
      </c>
      <c r="J1376" s="34" t="s">
        <v>4766</v>
      </c>
      <c r="K1376" s="36" t="s">
        <v>357</v>
      </c>
      <c r="O1376" s="34" t="s">
        <v>358</v>
      </c>
      <c r="P1376" s="68" t="s">
        <v>359</v>
      </c>
      <c r="Q1376" s="68" t="s">
        <v>3709</v>
      </c>
      <c r="S1376" s="34" t="s">
        <v>4990</v>
      </c>
    </row>
    <row r="1377" spans="1:20" x14ac:dyDescent="0.25">
      <c r="A1377" s="32" t="s">
        <v>2102</v>
      </c>
      <c r="B1377" s="306" t="str">
        <f>IF((COUNTBLANK(G1377)=0),Stats!$E$7,IF((COUNTBLANK(E1377)=0),IF((COUNTBLANK(F1377)=0),IF((COUNTBLANK(U1377)=0),Stats!$E$6,Stats!$E$5),Stats!$E$4),""))</f>
        <v>Death</v>
      </c>
      <c r="C1377" s="41" t="s">
        <v>356</v>
      </c>
      <c r="D1377" s="306" t="str">
        <f>IF(B1377=Stats!$E$6,Stats!$E$11,"")</f>
        <v/>
      </c>
      <c r="E1377" s="89">
        <v>45504</v>
      </c>
      <c r="G1377" s="172">
        <v>45641</v>
      </c>
      <c r="H1377" s="34" t="s">
        <v>153</v>
      </c>
      <c r="J1377" s="34" t="s">
        <v>4766</v>
      </c>
      <c r="K1377" s="36" t="s">
        <v>357</v>
      </c>
      <c r="O1377" s="34" t="s">
        <v>358</v>
      </c>
      <c r="P1377" s="68" t="s">
        <v>359</v>
      </c>
      <c r="Q1377" s="68" t="s">
        <v>3709</v>
      </c>
      <c r="S1377" s="34" t="s">
        <v>4991</v>
      </c>
    </row>
    <row r="1378" spans="1:20" x14ac:dyDescent="0.25">
      <c r="A1378" s="32" t="s">
        <v>2103</v>
      </c>
      <c r="B1378" s="306" t="str">
        <f>IF((COUNTBLANK(G1378)=0),Stats!$E$7,IF((COUNTBLANK(E1378)=0),IF((COUNTBLANK(F1378)=0),IF((COUNTBLANK(U1378)=0),Stats!$E$6,Stats!$E$5),Stats!$E$4),""))</f>
        <v>Death</v>
      </c>
      <c r="C1378" s="41" t="s">
        <v>356</v>
      </c>
      <c r="D1378" s="306" t="str">
        <f>IF(B1378=Stats!$E$6,Stats!$E$11,"")</f>
        <v/>
      </c>
      <c r="E1378" s="89">
        <v>45505</v>
      </c>
      <c r="G1378" s="172">
        <v>45641</v>
      </c>
      <c r="H1378" s="34" t="s">
        <v>153</v>
      </c>
      <c r="J1378" s="34" t="s">
        <v>4766</v>
      </c>
      <c r="K1378" s="36" t="s">
        <v>357</v>
      </c>
      <c r="O1378" s="34" t="s">
        <v>358</v>
      </c>
      <c r="P1378" s="68" t="s">
        <v>359</v>
      </c>
      <c r="Q1378" s="68" t="s">
        <v>3709</v>
      </c>
      <c r="S1378" s="34" t="s">
        <v>4992</v>
      </c>
    </row>
    <row r="1379" spans="1:20" x14ac:dyDescent="0.25">
      <c r="A1379" s="32" t="s">
        <v>2104</v>
      </c>
      <c r="B1379" s="306" t="str">
        <f>IF((COUNTBLANK(G1379)=0),Stats!$E$7,IF((COUNTBLANK(E1379)=0),IF((COUNTBLANK(F1379)=0),IF((COUNTBLANK(U1379)=0),Stats!$E$6,Stats!$E$5),Stats!$E$4),""))</f>
        <v>Death</v>
      </c>
      <c r="C1379" s="41" t="s">
        <v>240</v>
      </c>
      <c r="D1379" s="306" t="str">
        <f>IF(B1379=Stats!$E$6,Stats!$E$11,"")</f>
        <v/>
      </c>
      <c r="E1379" s="89">
        <v>45491</v>
      </c>
      <c r="G1379" s="172">
        <v>45641</v>
      </c>
      <c r="H1379" s="34" t="s">
        <v>385</v>
      </c>
      <c r="J1379" s="34" t="s">
        <v>261</v>
      </c>
      <c r="K1379" s="36" t="s">
        <v>4867</v>
      </c>
      <c r="O1379" s="34" t="s">
        <v>51</v>
      </c>
      <c r="P1379" s="68">
        <v>-450</v>
      </c>
      <c r="Q1379" s="68" t="s">
        <v>3709</v>
      </c>
    </row>
    <row r="1380" spans="1:20" x14ac:dyDescent="0.25">
      <c r="A1380" s="32" t="s">
        <v>2105</v>
      </c>
      <c r="B1380" s="306" t="str">
        <f>IF((COUNTBLANK(G1380)=0),Stats!$E$7,IF((COUNTBLANK(E1380)=0),IF((COUNTBLANK(F1380)=0),IF((COUNTBLANK(U1380)=0),Stats!$E$6,Stats!$E$5),Stats!$E$4),""))</f>
        <v>Death</v>
      </c>
      <c r="C1380" s="41" t="s">
        <v>240</v>
      </c>
      <c r="D1380" s="306" t="str">
        <f>IF(B1380=Stats!$E$6,Stats!$E$11,"")</f>
        <v/>
      </c>
      <c r="E1380" s="89">
        <v>45484</v>
      </c>
      <c r="G1380" s="172">
        <v>45641</v>
      </c>
      <c r="H1380" s="34" t="s">
        <v>385</v>
      </c>
      <c r="J1380" s="34" t="s">
        <v>302</v>
      </c>
      <c r="K1380" s="36" t="s">
        <v>4993</v>
      </c>
      <c r="L1380" s="36" t="s">
        <v>4994</v>
      </c>
      <c r="O1380" s="34" t="s">
        <v>51</v>
      </c>
      <c r="P1380" s="68">
        <v>-300</v>
      </c>
      <c r="Q1380" s="68" t="s">
        <v>3709</v>
      </c>
    </row>
    <row r="1381" spans="1:20" x14ac:dyDescent="0.25">
      <c r="A1381" s="32" t="s">
        <v>2106</v>
      </c>
      <c r="B1381" s="306" t="str">
        <f>IF((COUNTBLANK(G1381)=0),Stats!$E$7,IF((COUNTBLANK(E1381)=0),IF((COUNTBLANK(F1381)=0),IF((COUNTBLANK(U1381)=0),Stats!$E$6,Stats!$E$5),Stats!$E$4),""))</f>
        <v>Death</v>
      </c>
      <c r="C1381" s="41" t="s">
        <v>240</v>
      </c>
      <c r="D1381" s="306" t="str">
        <f>IF(B1381=Stats!$E$6,Stats!$E$11,"")</f>
        <v/>
      </c>
      <c r="E1381" s="89">
        <v>45503</v>
      </c>
      <c r="G1381" s="172">
        <v>45641</v>
      </c>
      <c r="H1381" s="34" t="s">
        <v>385</v>
      </c>
      <c r="J1381" s="34" t="s">
        <v>302</v>
      </c>
      <c r="K1381" s="36" t="s">
        <v>4867</v>
      </c>
      <c r="O1381" s="34" t="s">
        <v>51</v>
      </c>
      <c r="P1381" s="68">
        <v>-450</v>
      </c>
      <c r="Q1381" s="68" t="s">
        <v>3709</v>
      </c>
    </row>
    <row r="1382" spans="1:20" x14ac:dyDescent="0.25">
      <c r="A1382" s="32" t="s">
        <v>2107</v>
      </c>
      <c r="B1382" s="306" t="str">
        <f>IF((COUNTBLANK(G1382)=0),Stats!$E$7,IF((COUNTBLANK(E1382)=0),IF((COUNTBLANK(F1382)=0),IF((COUNTBLANK(U1382)=0),Stats!$E$6,Stats!$E$5),Stats!$E$4),""))</f>
        <v>Death</v>
      </c>
      <c r="C1382" s="41" t="s">
        <v>240</v>
      </c>
      <c r="D1382" s="306" t="str">
        <f>IF(B1382=Stats!$E$6,Stats!$E$11,"")</f>
        <v/>
      </c>
      <c r="E1382" s="89">
        <v>45506</v>
      </c>
      <c r="G1382" s="172">
        <v>45641</v>
      </c>
      <c r="H1382" s="34" t="s">
        <v>385</v>
      </c>
      <c r="J1382" s="34" t="s">
        <v>302</v>
      </c>
      <c r="K1382" s="36" t="s">
        <v>4993</v>
      </c>
      <c r="L1382" s="36" t="s">
        <v>4994</v>
      </c>
      <c r="O1382" s="34" t="s">
        <v>51</v>
      </c>
      <c r="P1382" s="68">
        <v>-450</v>
      </c>
      <c r="Q1382" s="68" t="s">
        <v>3709</v>
      </c>
    </row>
    <row r="1383" spans="1:20" x14ac:dyDescent="0.25">
      <c r="A1383" s="32" t="s">
        <v>2108</v>
      </c>
      <c r="B1383" s="306" t="str">
        <f>IF((COUNTBLANK(G1383)=0),Stats!$E$7,IF((COUNTBLANK(E1383)=0),IF((COUNTBLANK(F1383)=0),IF((COUNTBLANK(U1383)=0),Stats!$E$6,Stats!$E$5),Stats!$E$4),""))</f>
        <v>Death</v>
      </c>
      <c r="C1383" s="41" t="s">
        <v>240</v>
      </c>
      <c r="D1383" s="306" t="str">
        <f>IF(B1383=Stats!$E$6,Stats!$E$11,"")</f>
        <v/>
      </c>
      <c r="E1383" s="89">
        <v>45506</v>
      </c>
      <c r="G1383" s="172">
        <v>45641</v>
      </c>
      <c r="H1383" s="34" t="s">
        <v>385</v>
      </c>
      <c r="J1383" s="34" t="s">
        <v>302</v>
      </c>
      <c r="K1383" s="36" t="s">
        <v>4993</v>
      </c>
      <c r="L1383" s="36" t="s">
        <v>4994</v>
      </c>
      <c r="O1383" s="34" t="s">
        <v>51</v>
      </c>
      <c r="P1383" s="68">
        <v>-450</v>
      </c>
      <c r="Q1383" s="68" t="s">
        <v>3709</v>
      </c>
    </row>
    <row r="1384" spans="1:20" x14ac:dyDescent="0.25">
      <c r="A1384" s="32" t="s">
        <v>2109</v>
      </c>
      <c r="B1384" s="306" t="str">
        <f>IF((COUNTBLANK(G1384)=0),Stats!$E$7,IF((COUNTBLANK(E1384)=0),IF((COUNTBLANK(F1384)=0),IF((COUNTBLANK(U1384)=0),Stats!$E$6,Stats!$E$5),Stats!$E$4),""))</f>
        <v>Death</v>
      </c>
      <c r="C1384" s="41" t="s">
        <v>240</v>
      </c>
      <c r="D1384" s="306" t="str">
        <f>IF(B1384=Stats!$E$6,Stats!$E$11,"")</f>
        <v/>
      </c>
      <c r="E1384" s="89">
        <v>45499</v>
      </c>
      <c r="G1384" s="172">
        <v>45641</v>
      </c>
      <c r="H1384" s="34" t="s">
        <v>385</v>
      </c>
      <c r="J1384" s="34" t="s">
        <v>261</v>
      </c>
      <c r="K1384" s="36" t="s">
        <v>4993</v>
      </c>
      <c r="L1384" s="36" t="s">
        <v>4994</v>
      </c>
      <c r="O1384" s="34" t="s">
        <v>51</v>
      </c>
    </row>
    <row r="1385" spans="1:20" x14ac:dyDescent="0.25">
      <c r="A1385" s="32" t="s">
        <v>2110</v>
      </c>
      <c r="B1385" s="306" t="str">
        <f>IF((COUNTBLANK(G1385)=0),Stats!$E$7,IF((COUNTBLANK(E1385)=0),IF((COUNTBLANK(F1385)=0),IF((COUNTBLANK(U1385)=0),Stats!$E$6,Stats!$E$5),Stats!$E$4),""))</f>
        <v>Death</v>
      </c>
      <c r="C1385" s="41" t="s">
        <v>356</v>
      </c>
      <c r="D1385" s="306" t="str">
        <f>IF(B1385=Stats!$E$6,Stats!$E$11,"")</f>
        <v/>
      </c>
      <c r="E1385" s="89">
        <v>45512</v>
      </c>
      <c r="G1385" s="172">
        <v>45641</v>
      </c>
      <c r="H1385" s="34" t="s">
        <v>153</v>
      </c>
      <c r="J1385" s="34" t="s">
        <v>4766</v>
      </c>
      <c r="K1385" s="36" t="s">
        <v>357</v>
      </c>
      <c r="O1385" s="34" t="s">
        <v>358</v>
      </c>
      <c r="P1385" s="68" t="s">
        <v>359</v>
      </c>
      <c r="Q1385" s="68" t="s">
        <v>3709</v>
      </c>
      <c r="S1385" s="34" t="s">
        <v>4995</v>
      </c>
    </row>
    <row r="1386" spans="1:20" x14ac:dyDescent="0.25">
      <c r="A1386" s="32" t="s">
        <v>2111</v>
      </c>
      <c r="B1386" s="306" t="str">
        <f>IF((COUNTBLANK(G1386)=0),Stats!$E$7,IF((COUNTBLANK(E1386)=0),IF((COUNTBLANK(F1386)=0),IF((COUNTBLANK(U1386)=0),Stats!$E$6,Stats!$E$5),Stats!$E$4),""))</f>
        <v>Death</v>
      </c>
      <c r="C1386" s="41" t="s">
        <v>3111</v>
      </c>
      <c r="D1386" s="306" t="str">
        <f>IF(B1386=Stats!$E$6,Stats!$E$11,"")</f>
        <v/>
      </c>
      <c r="E1386" s="89">
        <v>45517</v>
      </c>
      <c r="F1386" s="89">
        <v>45517</v>
      </c>
      <c r="G1386" s="172">
        <v>45641</v>
      </c>
      <c r="H1386" s="34" t="s">
        <v>3139</v>
      </c>
      <c r="J1386" s="34" t="s">
        <v>152</v>
      </c>
      <c r="K1386" s="36" t="s">
        <v>182</v>
      </c>
      <c r="L1386" s="36" t="s">
        <v>4199</v>
      </c>
      <c r="O1386" s="34" t="s">
        <v>51</v>
      </c>
      <c r="P1386" s="68" t="s">
        <v>989</v>
      </c>
      <c r="Q1386" s="68" t="s">
        <v>3709</v>
      </c>
      <c r="R1386" s="34" t="s">
        <v>4996</v>
      </c>
    </row>
    <row r="1387" spans="1:20" x14ac:dyDescent="0.25">
      <c r="A1387" s="32" t="s">
        <v>2112</v>
      </c>
      <c r="B1387" s="306" t="str">
        <f>IF((COUNTBLANK(G1387)=0),Stats!$E$7,IF((COUNTBLANK(E1387)=0),IF((COUNTBLANK(F1387)=0),IF((COUNTBLANK(U1387)=0),Stats!$E$6,Stats!$E$5),Stats!$E$4),""))</f>
        <v>Death</v>
      </c>
      <c r="C1387" s="41" t="s">
        <v>3111</v>
      </c>
      <c r="D1387" s="306" t="str">
        <f>IF(B1387=Stats!$E$6,Stats!$E$11,"")</f>
        <v/>
      </c>
      <c r="E1387" s="89">
        <v>45511</v>
      </c>
      <c r="G1387" s="172">
        <v>45641</v>
      </c>
      <c r="H1387" s="34" t="s">
        <v>3139</v>
      </c>
      <c r="J1387" s="34" t="s">
        <v>4766</v>
      </c>
      <c r="O1387" s="34" t="s">
        <v>4521</v>
      </c>
      <c r="P1387" s="68" t="s">
        <v>4956</v>
      </c>
      <c r="Q1387" s="68" t="s">
        <v>4997</v>
      </c>
      <c r="R1387" s="34" t="s">
        <v>4998</v>
      </c>
    </row>
    <row r="1388" spans="1:20" x14ac:dyDescent="0.25">
      <c r="A1388" s="32" t="s">
        <v>2113</v>
      </c>
      <c r="B1388" s="306" t="str">
        <f>IF((COUNTBLANK(G1388)=0),Stats!$E$7,IF((COUNTBLANK(E1388)=0),IF((COUNTBLANK(F1388)=0),IF((COUNTBLANK(U1388)=0),Stats!$E$6,Stats!$E$5),Stats!$E$4),""))</f>
        <v>Death</v>
      </c>
      <c r="C1388" s="41" t="s">
        <v>284</v>
      </c>
      <c r="D1388" s="306" t="str">
        <f>IF(B1388=Stats!$E$6,Stats!$E$11,"")</f>
        <v/>
      </c>
      <c r="E1388" s="89">
        <v>45518</v>
      </c>
      <c r="F1388" s="89">
        <v>45544</v>
      </c>
      <c r="G1388" s="89">
        <v>45567</v>
      </c>
      <c r="H1388" s="34" t="s">
        <v>285</v>
      </c>
      <c r="J1388" s="34" t="s">
        <v>152</v>
      </c>
      <c r="K1388" s="36" t="s">
        <v>493</v>
      </c>
      <c r="O1388" s="34" t="s">
        <v>51</v>
      </c>
      <c r="P1388" s="68">
        <v>-450</v>
      </c>
      <c r="Q1388" s="68">
        <v>500</v>
      </c>
      <c r="S1388" s="34" t="s">
        <v>279</v>
      </c>
    </row>
    <row r="1389" spans="1:20" x14ac:dyDescent="0.25">
      <c r="A1389" s="32" t="s">
        <v>2114</v>
      </c>
      <c r="B1389" s="306" t="str">
        <f>IF((COUNTBLANK(G1389)=0),Stats!$E$7,IF((COUNTBLANK(E1389)=0),IF((COUNTBLANK(F1389)=0),IF((COUNTBLANK(U1389)=0),Stats!$E$6,Stats!$E$5),Stats!$E$4),""))</f>
        <v>Death</v>
      </c>
      <c r="C1389" s="41" t="s">
        <v>284</v>
      </c>
      <c r="D1389" s="306" t="str">
        <f>IF(B1389=Stats!$E$6,Stats!$E$11,"")</f>
        <v/>
      </c>
      <c r="E1389" s="89">
        <v>45518</v>
      </c>
      <c r="F1389" s="89">
        <v>45534</v>
      </c>
      <c r="G1389" s="89">
        <v>45625</v>
      </c>
      <c r="H1389" s="34" t="s">
        <v>285</v>
      </c>
      <c r="J1389" s="34" t="s">
        <v>152</v>
      </c>
      <c r="K1389" s="36" t="s">
        <v>493</v>
      </c>
      <c r="O1389" s="34" t="s">
        <v>51</v>
      </c>
      <c r="P1389" s="68">
        <v>-450</v>
      </c>
      <c r="Q1389" s="68">
        <v>500</v>
      </c>
      <c r="S1389" s="34" t="s">
        <v>279</v>
      </c>
      <c r="T1389" s="34" t="s">
        <v>4981</v>
      </c>
    </row>
    <row r="1390" spans="1:20" x14ac:dyDescent="0.25">
      <c r="A1390" s="32" t="s">
        <v>2115</v>
      </c>
      <c r="B1390" s="306" t="str">
        <f>IF((COUNTBLANK(G1390)=0),Stats!$E$7,IF((COUNTBLANK(E1390)=0),IF((COUNTBLANK(F1390)=0),IF((COUNTBLANK(U1390)=0),Stats!$E$6,Stats!$E$5),Stats!$E$4),""))</f>
        <v>Death</v>
      </c>
      <c r="C1390" s="41" t="s">
        <v>3111</v>
      </c>
      <c r="D1390" s="306" t="str">
        <f>IF(B1390=Stats!$E$6,Stats!$E$11,"")</f>
        <v/>
      </c>
      <c r="E1390" s="89">
        <v>45518</v>
      </c>
      <c r="G1390" s="172">
        <v>45641</v>
      </c>
      <c r="H1390" s="34" t="s">
        <v>3139</v>
      </c>
      <c r="J1390" s="34" t="s">
        <v>4650</v>
      </c>
      <c r="K1390" s="36" t="s">
        <v>4199</v>
      </c>
      <c r="L1390" s="36" t="s">
        <v>181</v>
      </c>
      <c r="O1390" s="34" t="s">
        <v>4999</v>
      </c>
      <c r="P1390" s="68" t="s">
        <v>5000</v>
      </c>
      <c r="Q1390" s="68" t="s">
        <v>3709</v>
      </c>
      <c r="R1390" s="34" t="s">
        <v>4996</v>
      </c>
    </row>
    <row r="1391" spans="1:20" x14ac:dyDescent="0.25">
      <c r="A1391" s="32" t="s">
        <v>2116</v>
      </c>
      <c r="B1391" s="306" t="str">
        <f>IF((COUNTBLANK(G1391)=0),Stats!$E$7,IF((COUNTBLANK(E1391)=0),IF((COUNTBLANK(F1391)=0),IF((COUNTBLANK(U1391)=0),Stats!$E$6,Stats!$E$5),Stats!$E$4),""))</f>
        <v>Death</v>
      </c>
      <c r="C1391" s="41" t="s">
        <v>3111</v>
      </c>
      <c r="D1391" s="306" t="str">
        <f>IF(B1391=Stats!$E$6,Stats!$E$11,"")</f>
        <v/>
      </c>
      <c r="E1391" s="89">
        <v>45518</v>
      </c>
      <c r="G1391" s="172">
        <v>45641</v>
      </c>
      <c r="H1391" s="34" t="s">
        <v>3139</v>
      </c>
      <c r="J1391" s="34" t="s">
        <v>4650</v>
      </c>
      <c r="K1391" s="36" t="s">
        <v>4199</v>
      </c>
      <c r="L1391" s="36" t="s">
        <v>181</v>
      </c>
      <c r="O1391" s="34" t="s">
        <v>4999</v>
      </c>
      <c r="P1391" s="68" t="s">
        <v>5001</v>
      </c>
      <c r="Q1391" s="68" t="s">
        <v>5002</v>
      </c>
      <c r="R1391" s="34" t="s">
        <v>4996</v>
      </c>
    </row>
    <row r="1392" spans="1:20" x14ac:dyDescent="0.25">
      <c r="A1392" s="32" t="s">
        <v>2117</v>
      </c>
      <c r="B1392" s="306" t="str">
        <f>IF((COUNTBLANK(G1392)=0),Stats!$E$7,IF((COUNTBLANK(E1392)=0),IF((COUNTBLANK(F1392)=0),IF((COUNTBLANK(U1392)=0),Stats!$E$6,Stats!$E$5),Stats!$E$4),""))</f>
        <v>Death</v>
      </c>
      <c r="C1392" s="41" t="s">
        <v>240</v>
      </c>
      <c r="D1392" s="306" t="str">
        <f>IF(B1392=Stats!$E$6,Stats!$E$11,"")</f>
        <v/>
      </c>
      <c r="E1392" s="89">
        <v>45519</v>
      </c>
      <c r="G1392" s="172">
        <v>45641</v>
      </c>
      <c r="H1392" s="34" t="s">
        <v>385</v>
      </c>
      <c r="J1392" s="34" t="s">
        <v>4766</v>
      </c>
      <c r="K1392" s="36" t="s">
        <v>5003</v>
      </c>
      <c r="L1392" s="36" t="s">
        <v>4993</v>
      </c>
      <c r="O1392" s="34" t="s">
        <v>51</v>
      </c>
      <c r="P1392" s="68">
        <v>-300</v>
      </c>
      <c r="Q1392" s="68" t="s">
        <v>3709</v>
      </c>
    </row>
    <row r="1393" spans="1:24" x14ac:dyDescent="0.25">
      <c r="A1393" s="32" t="s">
        <v>2118</v>
      </c>
      <c r="B1393" s="306" t="str">
        <f>IF((COUNTBLANK(G1393)=0),Stats!$E$7,IF((COUNTBLANK(E1393)=0),IF((COUNTBLANK(F1393)=0),IF((COUNTBLANK(U1393)=0),Stats!$E$6,Stats!$E$5),Stats!$E$4),""))</f>
        <v>Death</v>
      </c>
      <c r="C1393" s="41" t="s">
        <v>240</v>
      </c>
      <c r="D1393" s="306" t="str">
        <f>IF(B1393=Stats!$E$6,Stats!$E$11,"")</f>
        <v/>
      </c>
      <c r="E1393" s="89">
        <v>45519</v>
      </c>
      <c r="G1393" s="172">
        <v>45641</v>
      </c>
      <c r="H1393" s="34" t="s">
        <v>385</v>
      </c>
      <c r="J1393" s="34" t="s">
        <v>4766</v>
      </c>
      <c r="K1393" s="36" t="s">
        <v>5003</v>
      </c>
      <c r="L1393" s="36" t="s">
        <v>4993</v>
      </c>
      <c r="O1393" s="34" t="s">
        <v>51</v>
      </c>
      <c r="P1393" s="68">
        <v>-300</v>
      </c>
      <c r="Q1393" s="68" t="s">
        <v>3709</v>
      </c>
    </row>
    <row r="1394" spans="1:24" x14ac:dyDescent="0.25">
      <c r="A1394" s="32" t="s">
        <v>2119</v>
      </c>
      <c r="B1394" s="306" t="str">
        <f>IF((COUNTBLANK(G1394)=0),Stats!$E$7,IF((COUNTBLANK(E1394)=0),IF((COUNTBLANK(F1394)=0),IF((COUNTBLANK(U1394)=0),Stats!$E$6,Stats!$E$5),Stats!$E$4),""))</f>
        <v>Death</v>
      </c>
      <c r="C1394" s="41" t="s">
        <v>240</v>
      </c>
      <c r="D1394" s="306" t="str">
        <f>IF(B1394=Stats!$E$6,Stats!$E$11,"")</f>
        <v/>
      </c>
      <c r="E1394" s="89">
        <v>45520</v>
      </c>
      <c r="G1394" s="172">
        <v>45641</v>
      </c>
      <c r="H1394" s="34" t="s">
        <v>385</v>
      </c>
      <c r="J1394" s="34" t="s">
        <v>4766</v>
      </c>
      <c r="K1394" s="36" t="s">
        <v>3179</v>
      </c>
      <c r="L1394" s="36" t="s">
        <v>181</v>
      </c>
      <c r="O1394" s="34" t="s">
        <v>51</v>
      </c>
      <c r="P1394" s="68">
        <v>-300</v>
      </c>
      <c r="Q1394" s="68" t="s">
        <v>3709</v>
      </c>
    </row>
    <row r="1395" spans="1:24" x14ac:dyDescent="0.25">
      <c r="A1395" s="32" t="s">
        <v>2120</v>
      </c>
      <c r="B1395" s="306" t="str">
        <f>IF((COUNTBLANK(G1395)=0),Stats!$E$7,IF((COUNTBLANK(E1395)=0),IF((COUNTBLANK(F1395)=0),IF((COUNTBLANK(U1395)=0),Stats!$E$6,Stats!$E$5),Stats!$E$4),""))</f>
        <v>Death</v>
      </c>
      <c r="C1395" s="41" t="s">
        <v>240</v>
      </c>
      <c r="D1395" s="306" t="str">
        <f>IF(B1395=Stats!$E$6,Stats!$E$11,"")</f>
        <v/>
      </c>
      <c r="E1395" s="89">
        <v>45520</v>
      </c>
      <c r="G1395" s="172">
        <v>45641</v>
      </c>
      <c r="H1395" s="34" t="s">
        <v>385</v>
      </c>
      <c r="J1395" s="34" t="s">
        <v>4766</v>
      </c>
      <c r="K1395" s="36" t="s">
        <v>3179</v>
      </c>
      <c r="L1395" s="36" t="s">
        <v>181</v>
      </c>
      <c r="O1395" s="34" t="s">
        <v>51</v>
      </c>
      <c r="P1395" s="68">
        <v>-300</v>
      </c>
      <c r="Q1395" s="68" t="s">
        <v>3709</v>
      </c>
    </row>
    <row r="1396" spans="1:24" x14ac:dyDescent="0.25">
      <c r="A1396" s="32" t="s">
        <v>2121</v>
      </c>
      <c r="B1396" s="306" t="str">
        <f>IF((COUNTBLANK(G1396)=0),Stats!$E$7,IF((COUNTBLANK(E1396)=0),IF((COUNTBLANK(F1396)=0),IF((COUNTBLANK(U1396)=0),Stats!$E$6,Stats!$E$5),Stats!$E$4),""))</f>
        <v>Death</v>
      </c>
      <c r="C1396" s="41" t="s">
        <v>284</v>
      </c>
      <c r="D1396" s="306" t="str">
        <f>IF(B1396=Stats!$E$6,Stats!$E$11,"")</f>
        <v/>
      </c>
      <c r="E1396" s="89">
        <v>45537</v>
      </c>
      <c r="F1396" s="89">
        <v>45586</v>
      </c>
      <c r="G1396" s="89">
        <v>45602</v>
      </c>
      <c r="H1396" s="34" t="s">
        <v>285</v>
      </c>
      <c r="J1396" s="34" t="s">
        <v>152</v>
      </c>
      <c r="K1396" s="36" t="s">
        <v>493</v>
      </c>
      <c r="O1396" s="34" t="s">
        <v>51</v>
      </c>
      <c r="P1396" s="68">
        <v>-450</v>
      </c>
      <c r="Q1396" s="68">
        <v>500</v>
      </c>
      <c r="R1396" s="34" t="s">
        <v>291</v>
      </c>
    </row>
    <row r="1397" spans="1:24" x14ac:dyDescent="0.25">
      <c r="A1397" s="32" t="s">
        <v>2122</v>
      </c>
      <c r="B1397" s="306" t="str">
        <f>IF((COUNTBLANK(G1397)=0),Stats!$E$7,IF((COUNTBLANK(E1397)=0),IF((COUNTBLANK(F1397)=0),IF((COUNTBLANK(U1397)=0),Stats!$E$6,Stats!$E$5),Stats!$E$4),""))</f>
        <v>Death</v>
      </c>
      <c r="C1397" s="41" t="s">
        <v>284</v>
      </c>
      <c r="D1397" s="306" t="s">
        <v>325</v>
      </c>
      <c r="E1397" s="89">
        <v>45537</v>
      </c>
      <c r="F1397" s="89">
        <v>45580</v>
      </c>
      <c r="G1397" s="172">
        <v>45641</v>
      </c>
      <c r="H1397" s="34" t="s">
        <v>285</v>
      </c>
      <c r="J1397" s="34" t="s">
        <v>152</v>
      </c>
      <c r="K1397" s="36" t="s">
        <v>493</v>
      </c>
      <c r="O1397" s="34" t="s">
        <v>51</v>
      </c>
      <c r="P1397" s="68">
        <v>-450</v>
      </c>
      <c r="Q1397" s="68">
        <v>500</v>
      </c>
      <c r="R1397" s="34" t="s">
        <v>279</v>
      </c>
      <c r="U1397" s="34" t="s">
        <v>4928</v>
      </c>
    </row>
    <row r="1398" spans="1:24" x14ac:dyDescent="0.25">
      <c r="A1398" s="32" t="s">
        <v>2123</v>
      </c>
      <c r="B1398" s="306" t="str">
        <f>IF((COUNTBLANK(G1398)=0),Stats!$E$7,IF((COUNTBLANK(E1398)=0),IF((COUNTBLANK(F1398)=0),IF((COUNTBLANK(U1398)=0),Stats!$E$6,Stats!$E$5),Stats!$E$4),""))</f>
        <v>Death</v>
      </c>
      <c r="C1398" s="41" t="s">
        <v>284</v>
      </c>
      <c r="D1398" s="36" t="s">
        <v>325</v>
      </c>
      <c r="E1398" s="89">
        <v>45537</v>
      </c>
      <c r="F1398" s="89">
        <v>45544</v>
      </c>
      <c r="G1398" s="172">
        <v>45641</v>
      </c>
      <c r="H1398" s="34" t="s">
        <v>285</v>
      </c>
      <c r="J1398" s="34" t="s">
        <v>152</v>
      </c>
      <c r="K1398" s="36" t="s">
        <v>493</v>
      </c>
      <c r="O1398" s="34" t="s">
        <v>51</v>
      </c>
      <c r="P1398" s="68">
        <v>-450</v>
      </c>
      <c r="Q1398" s="68">
        <v>500</v>
      </c>
      <c r="R1398" s="34" t="s">
        <v>249</v>
      </c>
      <c r="U1398" s="34" t="s">
        <v>4928</v>
      </c>
    </row>
    <row r="1399" spans="1:24" x14ac:dyDescent="0.25">
      <c r="A1399" s="32" t="s">
        <v>2124</v>
      </c>
      <c r="B1399" s="306" t="str">
        <f>IF((COUNTBLANK(G1399)=0),Stats!$E$7,IF((COUNTBLANK(E1399)=0),IF((COUNTBLANK(F1399)=0),IF((COUNTBLANK(U1399)=0),Stats!$E$6,Stats!$E$5),Stats!$E$4),""))</f>
        <v>Death</v>
      </c>
      <c r="C1399" s="41" t="s">
        <v>284</v>
      </c>
      <c r="D1399" s="306" t="s">
        <v>59</v>
      </c>
      <c r="E1399" s="89">
        <v>45539</v>
      </c>
      <c r="G1399" s="89">
        <v>45625</v>
      </c>
      <c r="H1399" s="34" t="s">
        <v>285</v>
      </c>
      <c r="J1399" s="34" t="s">
        <v>152</v>
      </c>
      <c r="K1399" s="36" t="s">
        <v>493</v>
      </c>
      <c r="O1399" s="34" t="s">
        <v>51</v>
      </c>
      <c r="P1399" s="68">
        <v>-450</v>
      </c>
      <c r="Q1399" s="68">
        <v>500</v>
      </c>
      <c r="R1399" s="34" t="s">
        <v>291</v>
      </c>
      <c r="U1399" s="34" t="s">
        <v>5004</v>
      </c>
    </row>
    <row r="1400" spans="1:24" x14ac:dyDescent="0.25">
      <c r="A1400" s="32" t="s">
        <v>2125</v>
      </c>
      <c r="B1400" s="306" t="str">
        <f>IF((COUNTBLANK(G1400)=0),Stats!$E$7,IF((COUNTBLANK(E1400)=0),IF((COUNTBLANK(F1400)=0),IF((COUNTBLANK(U1400)=0),Stats!$E$6,Stats!$E$5),Stats!$E$4),""))</f>
        <v>Death</v>
      </c>
      <c r="C1400" s="41" t="s">
        <v>284</v>
      </c>
      <c r="D1400" s="306" t="s">
        <v>59</v>
      </c>
      <c r="E1400" s="89">
        <v>45539</v>
      </c>
      <c r="F1400" s="89">
        <v>45580</v>
      </c>
      <c r="G1400" s="89">
        <v>45625</v>
      </c>
      <c r="H1400" s="34" t="s">
        <v>285</v>
      </c>
      <c r="J1400" s="34" t="s">
        <v>152</v>
      </c>
      <c r="K1400" s="36" t="s">
        <v>493</v>
      </c>
      <c r="O1400" s="34" t="s">
        <v>51</v>
      </c>
      <c r="P1400" s="68">
        <v>-450</v>
      </c>
      <c r="Q1400" s="68">
        <v>500</v>
      </c>
      <c r="R1400" s="34" t="s">
        <v>279</v>
      </c>
      <c r="U1400" s="34" t="s">
        <v>5004</v>
      </c>
    </row>
    <row r="1401" spans="1:24" s="176" customFormat="1" x14ac:dyDescent="0.25">
      <c r="A1401" s="168" t="s">
        <v>2126</v>
      </c>
      <c r="B1401" s="306" t="str">
        <f>IF((COUNTBLANK(G1401)=0),Stats!$E$7,IF((COUNTBLANK(E1401)=0),IF((COUNTBLANK(F1401)=0),IF((COUNTBLANK(U1401)=0),Stats!$E$6,Stats!$E$5),Stats!$E$4),""))</f>
        <v>Death</v>
      </c>
      <c r="C1401" s="171" t="s">
        <v>240</v>
      </c>
      <c r="D1401" s="378" t="str">
        <f>IF(B1401=Stats!$E$6,Stats!$E$11,"")</f>
        <v/>
      </c>
      <c r="E1401" s="172">
        <v>45538</v>
      </c>
      <c r="F1401" s="172"/>
      <c r="G1401" s="172">
        <v>45641</v>
      </c>
      <c r="H1401" s="167" t="s">
        <v>53</v>
      </c>
      <c r="I1401" s="167"/>
      <c r="J1401" s="167" t="s">
        <v>261</v>
      </c>
      <c r="K1401" s="173" t="s">
        <v>242</v>
      </c>
      <c r="L1401" s="173"/>
      <c r="M1401" s="173"/>
      <c r="N1401" s="174"/>
      <c r="O1401" s="167" t="s">
        <v>51</v>
      </c>
      <c r="P1401" s="175">
        <v>-400</v>
      </c>
      <c r="Q1401" s="175">
        <v>400</v>
      </c>
      <c r="R1401" s="167"/>
      <c r="S1401" s="167" t="s">
        <v>5005</v>
      </c>
      <c r="T1401" s="167"/>
      <c r="U1401" s="167"/>
      <c r="V1401" s="167"/>
      <c r="W1401" s="167"/>
      <c r="X1401" s="34"/>
    </row>
    <row r="1402" spans="1:24" s="176" customFormat="1" x14ac:dyDescent="0.25">
      <c r="A1402" s="168" t="s">
        <v>2127</v>
      </c>
      <c r="B1402" s="306" t="str">
        <f>IF((COUNTBLANK(G1402)=0),Stats!$E$7,IF((COUNTBLANK(E1402)=0),IF((COUNTBLANK(F1402)=0),IF((COUNTBLANK(U1402)=0),Stats!$E$6,Stats!$E$5),Stats!$E$4),""))</f>
        <v>Death</v>
      </c>
      <c r="C1402" s="171" t="s">
        <v>240</v>
      </c>
      <c r="D1402" s="378" t="str">
        <f>IF(B1402=Stats!$E$6,Stats!$E$11,"")</f>
        <v/>
      </c>
      <c r="E1402" s="172">
        <v>45538</v>
      </c>
      <c r="F1402" s="172"/>
      <c r="G1402" s="172">
        <v>45641</v>
      </c>
      <c r="H1402" s="167" t="s">
        <v>53</v>
      </c>
      <c r="I1402" s="167"/>
      <c r="J1402" s="167" t="s">
        <v>261</v>
      </c>
      <c r="K1402" s="173" t="s">
        <v>242</v>
      </c>
      <c r="L1402" s="173"/>
      <c r="M1402" s="173"/>
      <c r="N1402" s="174"/>
      <c r="O1402" s="167" t="s">
        <v>51</v>
      </c>
      <c r="P1402" s="175">
        <v>-400</v>
      </c>
      <c r="Q1402" s="175">
        <v>400</v>
      </c>
      <c r="R1402" s="167"/>
      <c r="S1402" s="167" t="s">
        <v>5005</v>
      </c>
      <c r="T1402" s="167"/>
      <c r="U1402" s="167"/>
      <c r="V1402" s="167"/>
      <c r="W1402" s="167"/>
      <c r="X1402" s="34"/>
    </row>
    <row r="1403" spans="1:24" x14ac:dyDescent="0.25">
      <c r="A1403" s="32" t="s">
        <v>2128</v>
      </c>
      <c r="B1403" s="306" t="str">
        <f>IF((COUNTBLANK(G1403)=0),Stats!$E$7,IF((COUNTBLANK(E1403)=0),IF((COUNTBLANK(F1403)=0),IF((COUNTBLANK(U1403)=0),Stats!$E$6,Stats!$E$5),Stats!$E$4),""))</f>
        <v>Death</v>
      </c>
      <c r="C1403" s="41" t="s">
        <v>3111</v>
      </c>
      <c r="D1403" s="306" t="str">
        <f>IF(B1403=Stats!$E$6,Stats!$E$11,"")</f>
        <v/>
      </c>
      <c r="E1403" s="89">
        <v>45539</v>
      </c>
      <c r="G1403" s="172">
        <v>45641</v>
      </c>
      <c r="H1403" s="34" t="s">
        <v>3139</v>
      </c>
      <c r="J1403" s="34" t="s">
        <v>4766</v>
      </c>
      <c r="N1403" s="65" t="s">
        <v>5006</v>
      </c>
      <c r="O1403" s="34" t="s">
        <v>4521</v>
      </c>
      <c r="P1403" s="68" t="s">
        <v>4956</v>
      </c>
      <c r="Q1403" s="68" t="s">
        <v>4997</v>
      </c>
      <c r="R1403" s="34" t="s">
        <v>249</v>
      </c>
    </row>
    <row r="1404" spans="1:24" x14ac:dyDescent="0.25">
      <c r="A1404" s="32" t="s">
        <v>2129</v>
      </c>
      <c r="B1404" s="306" t="str">
        <f>IF((COUNTBLANK(G1404)=0),Stats!$E$7,IF((COUNTBLANK(E1404)=0),IF((COUNTBLANK(F1404)=0),IF((COUNTBLANK(U1404)=0),Stats!$E$6,Stats!$E$5),Stats!$E$4),""))</f>
        <v>Death</v>
      </c>
      <c r="C1404" s="41" t="s">
        <v>240</v>
      </c>
      <c r="D1404" s="306" t="str">
        <f>IF(B1404=Stats!$E$6,Stats!$E$11,"")</f>
        <v/>
      </c>
      <c r="E1404" s="89">
        <v>45540</v>
      </c>
      <c r="G1404" s="172">
        <v>45641</v>
      </c>
      <c r="H1404" s="34" t="s">
        <v>385</v>
      </c>
      <c r="J1404" s="34" t="s">
        <v>4766</v>
      </c>
      <c r="K1404" s="36" t="s">
        <v>181</v>
      </c>
      <c r="L1404" s="36" t="s">
        <v>3179</v>
      </c>
      <c r="O1404" s="34" t="s">
        <v>51</v>
      </c>
      <c r="P1404" s="68">
        <v>-300</v>
      </c>
      <c r="Q1404" s="68" t="s">
        <v>3709</v>
      </c>
    </row>
    <row r="1405" spans="1:24" x14ac:dyDescent="0.25">
      <c r="A1405" s="32" t="s">
        <v>2130</v>
      </c>
      <c r="B1405" s="306" t="str">
        <f>IF((COUNTBLANK(G1405)=0),Stats!$E$7,IF((COUNTBLANK(E1405)=0),IF((COUNTBLANK(F1405)=0),IF((COUNTBLANK(U1405)=0),Stats!$E$6,Stats!$E$5),Stats!$E$4),""))</f>
        <v>Death</v>
      </c>
      <c r="C1405" s="41" t="s">
        <v>240</v>
      </c>
      <c r="D1405" s="306" t="str">
        <f>IF(B1405=Stats!$E$6,Stats!$E$11,"")</f>
        <v/>
      </c>
      <c r="E1405" s="89">
        <v>45540</v>
      </c>
      <c r="G1405" s="172">
        <v>45641</v>
      </c>
      <c r="H1405" s="34" t="s">
        <v>385</v>
      </c>
      <c r="J1405" s="34" t="s">
        <v>3186</v>
      </c>
      <c r="K1405" s="36" t="s">
        <v>181</v>
      </c>
      <c r="L1405" s="36" t="s">
        <v>3179</v>
      </c>
      <c r="O1405" s="34" t="s">
        <v>51</v>
      </c>
      <c r="P1405" s="68">
        <v>-300</v>
      </c>
      <c r="Q1405" s="68" t="s">
        <v>3709</v>
      </c>
    </row>
    <row r="1406" spans="1:24" x14ac:dyDescent="0.25">
      <c r="A1406" s="32" t="s">
        <v>2131</v>
      </c>
      <c r="B1406" s="306" t="str">
        <f>IF((COUNTBLANK(G1406)=0),Stats!$E$7,IF((COUNTBLANK(E1406)=0),IF((COUNTBLANK(F1406)=0),IF((COUNTBLANK(U1406)=0),Stats!$E$6,Stats!$E$5),Stats!$E$4),""))</f>
        <v>Death</v>
      </c>
      <c r="C1406" s="41" t="s">
        <v>240</v>
      </c>
      <c r="D1406" s="306" t="str">
        <f>IF(B1406=Stats!$E$6,Stats!$E$11,"")</f>
        <v/>
      </c>
      <c r="E1406" s="89">
        <v>45544</v>
      </c>
      <c r="G1406" s="172">
        <v>45641</v>
      </c>
      <c r="H1406" s="34" t="s">
        <v>385</v>
      </c>
      <c r="J1406" s="34" t="s">
        <v>261</v>
      </c>
      <c r="K1406" s="36" t="s">
        <v>4867</v>
      </c>
      <c r="L1406" s="36" t="s">
        <v>4910</v>
      </c>
      <c r="N1406" s="65" t="s">
        <v>5007</v>
      </c>
      <c r="O1406" s="34" t="s">
        <v>51</v>
      </c>
      <c r="P1406" s="68">
        <v>-450</v>
      </c>
      <c r="Q1406" s="68" t="s">
        <v>3709</v>
      </c>
    </row>
    <row r="1407" spans="1:24" x14ac:dyDescent="0.25">
      <c r="A1407" s="32" t="s">
        <v>2132</v>
      </c>
      <c r="B1407" s="306" t="str">
        <f>IF((COUNTBLANK(G1407)=0),Stats!$E$7,IF((COUNTBLANK(E1407)=0),IF((COUNTBLANK(F1407)=0),IF((COUNTBLANK(U1407)=0),Stats!$E$6,Stats!$E$5),Stats!$E$4),""))</f>
        <v>Death</v>
      </c>
      <c r="C1407" s="41" t="s">
        <v>240</v>
      </c>
      <c r="D1407" s="306" t="str">
        <f>IF(B1407=Stats!$E$6,Stats!$E$11,"")</f>
        <v/>
      </c>
      <c r="E1407" s="89">
        <v>45547</v>
      </c>
      <c r="G1407" s="172">
        <v>45641</v>
      </c>
      <c r="H1407" s="34" t="s">
        <v>385</v>
      </c>
      <c r="J1407" s="34" t="s">
        <v>261</v>
      </c>
      <c r="K1407" s="36" t="s">
        <v>4867</v>
      </c>
      <c r="L1407" s="36" t="s">
        <v>4910</v>
      </c>
      <c r="N1407" s="65" t="s">
        <v>5007</v>
      </c>
      <c r="O1407" s="34" t="s">
        <v>51</v>
      </c>
      <c r="P1407" s="68">
        <v>-450</v>
      </c>
      <c r="Q1407" s="68" t="s">
        <v>3709</v>
      </c>
    </row>
    <row r="1408" spans="1:24" x14ac:dyDescent="0.25">
      <c r="A1408" s="32" t="s">
        <v>2133</v>
      </c>
      <c r="B1408" s="306" t="str">
        <f>IF((COUNTBLANK(G1408)=0),Stats!$E$7,IF((COUNTBLANK(E1408)=0),IF((COUNTBLANK(F1408)=0),IF((COUNTBLANK(U1408)=0),Stats!$E$6,Stats!$E$5),Stats!$E$4),""))</f>
        <v>Death</v>
      </c>
      <c r="C1408" s="41" t="s">
        <v>240</v>
      </c>
      <c r="D1408" s="306" t="str">
        <f>IF(B1408=Stats!$E$6,Stats!$E$11,"")</f>
        <v/>
      </c>
      <c r="E1408" s="89">
        <v>45551</v>
      </c>
      <c r="G1408" s="89">
        <v>45614</v>
      </c>
      <c r="H1408" s="34" t="s">
        <v>385</v>
      </c>
      <c r="J1408" s="34" t="s">
        <v>261</v>
      </c>
      <c r="K1408" s="36" t="s">
        <v>5003</v>
      </c>
      <c r="L1408" s="36" t="s">
        <v>4993</v>
      </c>
      <c r="N1408" s="65" t="s">
        <v>5007</v>
      </c>
      <c r="O1408" s="34" t="s">
        <v>51</v>
      </c>
      <c r="P1408" s="68">
        <v>-450</v>
      </c>
      <c r="Q1408" s="68" t="s">
        <v>3709</v>
      </c>
    </row>
    <row r="1409" spans="1:24" s="206" customFormat="1" x14ac:dyDescent="0.25">
      <c r="A1409" s="200" t="s">
        <v>2134</v>
      </c>
      <c r="B1409" s="306" t="str">
        <f>IF((COUNTBLANK(G1409)=0),Stats!$E$7,IF((COUNTBLANK(E1409)=0),IF((COUNTBLANK(F1409)=0),IF((COUNTBLANK(U1409)=0),Stats!$E$6,Stats!$E$5),Stats!$E$4),""))</f>
        <v>Death</v>
      </c>
      <c r="C1409" s="201" t="s">
        <v>240</v>
      </c>
      <c r="D1409" s="379" t="str">
        <f>IF(B1409=Stats!$E$6,Stats!$E$11,"")</f>
        <v/>
      </c>
      <c r="E1409" s="202">
        <v>45546</v>
      </c>
      <c r="F1409" s="202"/>
      <c r="G1409" s="172">
        <v>45641</v>
      </c>
      <c r="H1409" s="188" t="s">
        <v>53</v>
      </c>
      <c r="I1409" s="188"/>
      <c r="J1409" s="188" t="s">
        <v>261</v>
      </c>
      <c r="K1409" s="203" t="s">
        <v>182</v>
      </c>
      <c r="L1409" s="203"/>
      <c r="M1409" s="203"/>
      <c r="N1409" s="204"/>
      <c r="O1409" s="188" t="s">
        <v>51</v>
      </c>
      <c r="P1409" s="205">
        <v>-500</v>
      </c>
      <c r="Q1409" s="205">
        <v>200</v>
      </c>
      <c r="R1409" s="188"/>
      <c r="S1409" s="188"/>
      <c r="T1409" s="188"/>
      <c r="U1409" s="188"/>
      <c r="V1409" s="188"/>
      <c r="W1409" s="188"/>
      <c r="X1409" s="188"/>
    </row>
    <row r="1410" spans="1:24" s="206" customFormat="1" x14ac:dyDescent="0.25">
      <c r="A1410" s="200" t="s">
        <v>2135</v>
      </c>
      <c r="B1410" s="306" t="str">
        <f>IF((COUNTBLANK(G1410)=0),Stats!$E$7,IF((COUNTBLANK(E1410)=0),IF((COUNTBLANK(F1410)=0),IF((COUNTBLANK(U1410)=0),Stats!$E$6,Stats!$E$5),Stats!$E$4),""))</f>
        <v>Death</v>
      </c>
      <c r="C1410" s="201" t="s">
        <v>240</v>
      </c>
      <c r="D1410" s="379" t="str">
        <f>IF(B1410=Stats!$E$6,Stats!$E$11,"")</f>
        <v/>
      </c>
      <c r="E1410" s="202">
        <v>45546</v>
      </c>
      <c r="F1410" s="202"/>
      <c r="G1410" s="172">
        <v>45641</v>
      </c>
      <c r="H1410" s="188" t="s">
        <v>53</v>
      </c>
      <c r="I1410" s="188"/>
      <c r="J1410" s="188" t="s">
        <v>261</v>
      </c>
      <c r="K1410" s="203" t="s">
        <v>182</v>
      </c>
      <c r="L1410" s="203"/>
      <c r="M1410" s="203"/>
      <c r="N1410" s="204"/>
      <c r="O1410" s="188" t="s">
        <v>51</v>
      </c>
      <c r="P1410" s="205">
        <v>-500</v>
      </c>
      <c r="Q1410" s="205">
        <v>200</v>
      </c>
      <c r="R1410" s="188"/>
      <c r="S1410" s="188"/>
      <c r="T1410" s="188"/>
      <c r="U1410" s="188"/>
      <c r="V1410" s="188"/>
      <c r="W1410" s="188"/>
      <c r="X1410" s="188"/>
    </row>
    <row r="1411" spans="1:24" x14ac:dyDescent="0.25">
      <c r="A1411" s="32" t="s">
        <v>2136</v>
      </c>
      <c r="B1411" s="306" t="str">
        <f>IF((COUNTBLANK(G1411)=0),Stats!$E$7,IF((COUNTBLANK(E1411)=0),IF((COUNTBLANK(F1411)=0),IF((COUNTBLANK(U1411)=0),Stats!$E$6,Stats!$E$5),Stats!$E$4),""))</f>
        <v>Death</v>
      </c>
      <c r="C1411" s="41" t="s">
        <v>240</v>
      </c>
      <c r="D1411" s="306" t="str">
        <f>IF(B1411=Stats!$E$6,Stats!$E$11,"")</f>
        <v/>
      </c>
      <c r="E1411" s="89">
        <v>45554</v>
      </c>
      <c r="G1411" s="172">
        <v>45641</v>
      </c>
      <c r="H1411" s="34" t="s">
        <v>385</v>
      </c>
      <c r="J1411" s="34" t="s">
        <v>3186</v>
      </c>
      <c r="K1411" s="36" t="s">
        <v>5008</v>
      </c>
      <c r="L1411" s="36" t="s">
        <v>4910</v>
      </c>
      <c r="M1411" s="36" t="s">
        <v>181</v>
      </c>
      <c r="O1411" s="34" t="s">
        <v>51</v>
      </c>
      <c r="P1411" s="68">
        <v>-300</v>
      </c>
      <c r="Q1411" s="68" t="s">
        <v>3709</v>
      </c>
    </row>
    <row r="1412" spans="1:24" x14ac:dyDescent="0.25">
      <c r="A1412" s="32" t="s">
        <v>2137</v>
      </c>
      <c r="B1412" s="306" t="str">
        <f>IF((COUNTBLANK(G1412)=0),Stats!$E$7,IF((COUNTBLANK(E1412)=0),IF((COUNTBLANK(F1412)=0),IF((COUNTBLANK(U1412)=0),Stats!$E$6,Stats!$E$5),Stats!$E$4),""))</f>
        <v>Death</v>
      </c>
      <c r="C1412" s="41" t="s">
        <v>240</v>
      </c>
      <c r="D1412" s="306" t="str">
        <f>IF(B1412=Stats!$E$6,Stats!$E$11,"")</f>
        <v/>
      </c>
      <c r="E1412" s="89">
        <v>45554</v>
      </c>
      <c r="G1412" s="172">
        <v>45641</v>
      </c>
      <c r="H1412" s="34" t="s">
        <v>385</v>
      </c>
      <c r="J1412" s="34" t="s">
        <v>3186</v>
      </c>
      <c r="K1412" s="36" t="s">
        <v>5008</v>
      </c>
      <c r="L1412" s="36" t="s">
        <v>4910</v>
      </c>
      <c r="M1412" s="36" t="s">
        <v>181</v>
      </c>
      <c r="O1412" s="34" t="s">
        <v>51</v>
      </c>
      <c r="P1412" s="68">
        <v>-300</v>
      </c>
      <c r="Q1412" s="68" t="s">
        <v>3709</v>
      </c>
    </row>
    <row r="1413" spans="1:24" x14ac:dyDescent="0.25">
      <c r="A1413" s="32" t="s">
        <v>2138</v>
      </c>
      <c r="B1413" s="306" t="str">
        <f>IF((COUNTBLANK(G1413)=0),Stats!$E$7,IF((COUNTBLANK(E1413)=0),IF((COUNTBLANK(F1413)=0),IF((COUNTBLANK(U1413)=0),Stats!$E$6,Stats!$E$5),Stats!$E$4),""))</f>
        <v>Death</v>
      </c>
      <c r="C1413" s="41" t="s">
        <v>240</v>
      </c>
      <c r="D1413" s="306" t="str">
        <f>IF(B1413=Stats!$E$6,Stats!$E$11,"")</f>
        <v/>
      </c>
      <c r="E1413" s="89">
        <v>45562</v>
      </c>
      <c r="G1413" s="172">
        <v>45641</v>
      </c>
      <c r="H1413" s="34" t="s">
        <v>385</v>
      </c>
      <c r="J1413" s="34" t="s">
        <v>261</v>
      </c>
      <c r="K1413" s="36" t="s">
        <v>4993</v>
      </c>
      <c r="L1413" s="36" t="s">
        <v>4994</v>
      </c>
      <c r="O1413" s="34" t="s">
        <v>51</v>
      </c>
      <c r="P1413" s="68">
        <v>-400</v>
      </c>
      <c r="Q1413" s="68" t="s">
        <v>3709</v>
      </c>
    </row>
    <row r="1414" spans="1:24" x14ac:dyDescent="0.25">
      <c r="A1414" s="32" t="s">
        <v>2139</v>
      </c>
      <c r="B1414" s="306" t="str">
        <f>IF((COUNTBLANK(G1414)=0),Stats!$E$7,IF((COUNTBLANK(E1414)=0),IF((COUNTBLANK(F1414)=0),IF((COUNTBLANK(U1414)=0),Stats!$E$6,Stats!$E$5),Stats!$E$4),""))</f>
        <v>Death</v>
      </c>
      <c r="C1414" s="41" t="s">
        <v>240</v>
      </c>
      <c r="D1414" s="306"/>
      <c r="E1414" s="89">
        <v>45562</v>
      </c>
      <c r="G1414" s="172">
        <v>45641</v>
      </c>
      <c r="H1414" s="34" t="s">
        <v>385</v>
      </c>
      <c r="J1414" s="34" t="s">
        <v>261</v>
      </c>
      <c r="K1414" s="36" t="s">
        <v>4993</v>
      </c>
      <c r="L1414" s="36" t="s">
        <v>4994</v>
      </c>
      <c r="O1414" s="34" t="s">
        <v>51</v>
      </c>
      <c r="P1414" s="68">
        <v>-400</v>
      </c>
      <c r="Q1414" s="68" t="s">
        <v>3709</v>
      </c>
    </row>
    <row r="1415" spans="1:24" s="206" customFormat="1" x14ac:dyDescent="0.25">
      <c r="A1415" s="200" t="s">
        <v>2140</v>
      </c>
      <c r="B1415" s="306" t="str">
        <f>IF((COUNTBLANK(G1415)=0),Stats!$E$7,IF((COUNTBLANK(E1415)=0),IF((COUNTBLANK(F1415)=0),IF((COUNTBLANK(U1415)=0),Stats!$E$6,Stats!$E$5),Stats!$E$4),""))</f>
        <v>Death</v>
      </c>
      <c r="C1415" s="201" t="s">
        <v>240</v>
      </c>
      <c r="D1415" s="379" t="str">
        <f>IF(B1415=Stats!$E$6,Stats!$E$11,"")</f>
        <v/>
      </c>
      <c r="E1415" s="202">
        <v>45575</v>
      </c>
      <c r="F1415" s="202"/>
      <c r="G1415" s="172">
        <v>45641</v>
      </c>
      <c r="H1415" s="188" t="s">
        <v>53</v>
      </c>
      <c r="I1415" s="188"/>
      <c r="J1415" s="188" t="s">
        <v>261</v>
      </c>
      <c r="K1415" s="203" t="s">
        <v>242</v>
      </c>
      <c r="L1415" s="203"/>
      <c r="M1415" s="203"/>
      <c r="N1415" s="204" t="s">
        <v>196</v>
      </c>
      <c r="O1415" s="188" t="s">
        <v>51</v>
      </c>
      <c r="P1415" s="205">
        <v>-500</v>
      </c>
      <c r="Q1415" s="205">
        <v>400</v>
      </c>
      <c r="R1415" s="188"/>
      <c r="S1415" s="188"/>
      <c r="T1415" s="188"/>
      <c r="U1415" s="188"/>
      <c r="V1415" s="188"/>
      <c r="W1415" s="188"/>
      <c r="X1415" s="188"/>
    </row>
    <row r="1416" spans="1:24" s="176" customFormat="1" x14ac:dyDescent="0.25">
      <c r="A1416" s="168" t="s">
        <v>2141</v>
      </c>
      <c r="B1416" s="306" t="str">
        <f>IF((COUNTBLANK(G1416)=0),Stats!$E$7,IF((COUNTBLANK(E1416)=0),IF((COUNTBLANK(F1416)=0),IF((COUNTBLANK(U1416)=0),Stats!$E$6,Stats!$E$5),Stats!$E$4),""))</f>
        <v>Death</v>
      </c>
      <c r="C1416" s="171" t="s">
        <v>240</v>
      </c>
      <c r="D1416" s="378" t="str">
        <f>IF(B1416=Stats!$E$6,Stats!$E$11,"")</f>
        <v/>
      </c>
      <c r="E1416" s="172">
        <v>45561</v>
      </c>
      <c r="F1416" s="172"/>
      <c r="G1416" s="172">
        <v>45641</v>
      </c>
      <c r="H1416" s="167" t="s">
        <v>53</v>
      </c>
      <c r="I1416" s="167"/>
      <c r="J1416" s="167" t="s">
        <v>4766</v>
      </c>
      <c r="K1416" s="173" t="s">
        <v>182</v>
      </c>
      <c r="L1416" s="173" t="s">
        <v>181</v>
      </c>
      <c r="M1416" s="173"/>
      <c r="N1416" s="174"/>
      <c r="O1416" s="167" t="s">
        <v>51</v>
      </c>
      <c r="P1416" s="175">
        <v>-350</v>
      </c>
      <c r="Q1416" s="175">
        <v>400</v>
      </c>
      <c r="R1416" s="167"/>
      <c r="S1416" s="167" t="s">
        <v>5009</v>
      </c>
      <c r="T1416" s="167"/>
      <c r="U1416" s="167"/>
      <c r="V1416" s="167"/>
      <c r="W1416" s="167"/>
      <c r="X1416" s="167"/>
    </row>
    <row r="1417" spans="1:24" s="176" customFormat="1" x14ac:dyDescent="0.25">
      <c r="A1417" s="168" t="s">
        <v>2142</v>
      </c>
      <c r="B1417" s="306" t="str">
        <f>IF((COUNTBLANK(G1417)=0),Stats!$E$7,IF((COUNTBLANK(E1417)=0),IF((COUNTBLANK(F1417)=0),IF((COUNTBLANK(U1417)=0),Stats!$E$6,Stats!$E$5),Stats!$E$4),""))</f>
        <v>Death</v>
      </c>
      <c r="C1417" s="171" t="s">
        <v>240</v>
      </c>
      <c r="D1417" s="378" t="str">
        <f>IF(B1417=Stats!$E$6,Stats!$E$11,"")</f>
        <v/>
      </c>
      <c r="E1417" s="172">
        <v>45574</v>
      </c>
      <c r="F1417" s="172"/>
      <c r="G1417" s="172">
        <v>45641</v>
      </c>
      <c r="H1417" s="167" t="s">
        <v>53</v>
      </c>
      <c r="I1417" s="167"/>
      <c r="J1417" s="167" t="s">
        <v>4766</v>
      </c>
      <c r="K1417" s="173" t="s">
        <v>182</v>
      </c>
      <c r="L1417" s="173" t="s">
        <v>181</v>
      </c>
      <c r="M1417" s="173"/>
      <c r="N1417" s="174"/>
      <c r="O1417" s="167" t="s">
        <v>51</v>
      </c>
      <c r="P1417" s="175">
        <v>-350</v>
      </c>
      <c r="Q1417" s="175">
        <v>400</v>
      </c>
      <c r="R1417" s="167"/>
      <c r="S1417" s="167"/>
      <c r="T1417" s="167"/>
      <c r="U1417" s="167"/>
      <c r="V1417" s="167"/>
      <c r="W1417" s="167"/>
      <c r="X1417" s="167"/>
    </row>
    <row r="1418" spans="1:24" s="176" customFormat="1" x14ac:dyDescent="0.25">
      <c r="A1418" s="168" t="s">
        <v>2143</v>
      </c>
      <c r="B1418" s="306" t="str">
        <f>IF((COUNTBLANK(G1418)=0),Stats!$E$7,IF((COUNTBLANK(E1418)=0),IF((COUNTBLANK(F1418)=0),IF((COUNTBLANK(U1418)=0),Stats!$E$6,Stats!$E$5),Stats!$E$4),""))</f>
        <v>Death</v>
      </c>
      <c r="C1418" s="171" t="s">
        <v>240</v>
      </c>
      <c r="D1418" s="378" t="str">
        <f>IF(B1418=Stats!$E$6,Stats!$E$11,"")</f>
        <v/>
      </c>
      <c r="E1418" s="172">
        <v>45574</v>
      </c>
      <c r="F1418" s="172"/>
      <c r="G1418" s="172">
        <v>45641</v>
      </c>
      <c r="H1418" s="167" t="s">
        <v>53</v>
      </c>
      <c r="I1418" s="167"/>
      <c r="J1418" s="167" t="s">
        <v>4766</v>
      </c>
      <c r="K1418" s="173" t="s">
        <v>182</v>
      </c>
      <c r="L1418" s="173" t="s">
        <v>181</v>
      </c>
      <c r="M1418" s="173"/>
      <c r="N1418" s="174"/>
      <c r="O1418" s="167" t="s">
        <v>51</v>
      </c>
      <c r="P1418" s="175">
        <v>-350</v>
      </c>
      <c r="Q1418" s="175">
        <v>400</v>
      </c>
      <c r="R1418" s="167"/>
      <c r="S1418" s="167"/>
      <c r="T1418" s="167"/>
      <c r="U1418" s="167"/>
      <c r="V1418" s="167"/>
      <c r="W1418" s="167"/>
      <c r="X1418" s="167"/>
    </row>
    <row r="1419" spans="1:24" x14ac:dyDescent="0.25">
      <c r="A1419" s="32" t="s">
        <v>2144</v>
      </c>
      <c r="B1419" s="306" t="str">
        <f>IF((COUNTBLANK(G1419)=0),Stats!$E$7,IF((COUNTBLANK(E1419)=0),IF((COUNTBLANK(F1419)=0),IF((COUNTBLANK(U1419)=0),Stats!$E$6,Stats!$E$5),Stats!$E$4),""))</f>
        <v>Death</v>
      </c>
      <c r="C1419" s="41" t="s">
        <v>240</v>
      </c>
      <c r="D1419" s="306" t="str">
        <f>IF(B1419=Stats!$E$6,Stats!$E$11,"")</f>
        <v/>
      </c>
      <c r="E1419" s="89">
        <v>45568</v>
      </c>
      <c r="G1419" s="172">
        <v>45641</v>
      </c>
      <c r="H1419" s="34" t="s">
        <v>385</v>
      </c>
      <c r="J1419" s="34" t="s">
        <v>261</v>
      </c>
      <c r="K1419" s="36" t="s">
        <v>5008</v>
      </c>
      <c r="L1419" s="36" t="s">
        <v>4910</v>
      </c>
      <c r="O1419" s="34" t="s">
        <v>51</v>
      </c>
      <c r="P1419" s="68">
        <v>-400</v>
      </c>
      <c r="Q1419" s="68" t="s">
        <v>3709</v>
      </c>
    </row>
    <row r="1420" spans="1:24" x14ac:dyDescent="0.25">
      <c r="A1420" s="32" t="s">
        <v>2145</v>
      </c>
      <c r="B1420" s="306" t="str">
        <f>IF((COUNTBLANK(G1420)=0),Stats!$E$7,IF((COUNTBLANK(E1420)=0),IF((COUNTBLANK(F1420)=0),IF((COUNTBLANK(U1420)=0),Stats!$E$6,Stats!$E$5),Stats!$E$4),""))</f>
        <v>Death</v>
      </c>
      <c r="C1420" s="41" t="s">
        <v>240</v>
      </c>
      <c r="D1420" s="306" t="str">
        <f>IF(B1420=Stats!$E$6,Stats!$E$11,"")</f>
        <v/>
      </c>
      <c r="E1420" s="89">
        <v>45568</v>
      </c>
      <c r="G1420" s="172">
        <v>45641</v>
      </c>
      <c r="H1420" s="34" t="s">
        <v>385</v>
      </c>
      <c r="J1420" s="34" t="s">
        <v>3186</v>
      </c>
      <c r="K1420" s="36" t="s">
        <v>5008</v>
      </c>
      <c r="L1420" s="36" t="s">
        <v>4993</v>
      </c>
      <c r="M1420" s="36" t="s">
        <v>181</v>
      </c>
      <c r="N1420" s="65" t="s">
        <v>4994</v>
      </c>
      <c r="O1420" s="34" t="s">
        <v>51</v>
      </c>
      <c r="P1420" s="68">
        <v>-300</v>
      </c>
      <c r="Q1420" s="68" t="s">
        <v>3709</v>
      </c>
    </row>
    <row r="1421" spans="1:24" x14ac:dyDescent="0.25">
      <c r="A1421" s="32" t="s">
        <v>2146</v>
      </c>
      <c r="B1421" s="306" t="str">
        <f>IF((COUNTBLANK(G1421)=0),Stats!$E$7,IF((COUNTBLANK(E1421)=0),IF((COUNTBLANK(F1421)=0),IF((COUNTBLANK(U1421)=0),Stats!$E$6,Stats!$E$5),Stats!$E$4),""))</f>
        <v>Death</v>
      </c>
      <c r="C1421" s="41" t="s">
        <v>356</v>
      </c>
      <c r="D1421" s="306" t="str">
        <f>IF(B1421=Stats!$E$6,Stats!$E$11,"")</f>
        <v/>
      </c>
      <c r="E1421" s="89">
        <v>45567</v>
      </c>
      <c r="G1421" s="172">
        <v>45641</v>
      </c>
      <c r="H1421" s="34" t="s">
        <v>153</v>
      </c>
      <c r="J1421" s="34" t="s">
        <v>4766</v>
      </c>
      <c r="K1421" s="36" t="s">
        <v>357</v>
      </c>
      <c r="O1421" s="34" t="s">
        <v>358</v>
      </c>
      <c r="P1421" s="68" t="s">
        <v>359</v>
      </c>
      <c r="Q1421" s="68" t="s">
        <v>3709</v>
      </c>
      <c r="S1421" s="34" t="s">
        <v>5010</v>
      </c>
    </row>
    <row r="1422" spans="1:24" x14ac:dyDescent="0.25">
      <c r="A1422" s="32" t="s">
        <v>2147</v>
      </c>
      <c r="B1422" s="306" t="str">
        <f>IF((COUNTBLANK(G1422)=0),Stats!$E$7,IF((COUNTBLANK(E1422)=0),IF((COUNTBLANK(F1422)=0),IF((COUNTBLANK(U1422)=0),Stats!$E$6,Stats!$E$5),Stats!$E$4),""))</f>
        <v>Death</v>
      </c>
      <c r="C1422" s="41" t="s">
        <v>356</v>
      </c>
      <c r="D1422" s="306" t="str">
        <f>IF(B1422=Stats!$E$6,Stats!$E$11,"")</f>
        <v/>
      </c>
      <c r="E1422" s="89">
        <v>45512</v>
      </c>
      <c r="G1422" s="172">
        <v>45641</v>
      </c>
      <c r="H1422" s="34" t="s">
        <v>153</v>
      </c>
      <c r="J1422" s="34" t="s">
        <v>4766</v>
      </c>
      <c r="K1422" s="36" t="s">
        <v>357</v>
      </c>
      <c r="O1422" s="34" t="s">
        <v>358</v>
      </c>
      <c r="P1422" s="68" t="s">
        <v>359</v>
      </c>
      <c r="Q1422" s="68" t="s">
        <v>3709</v>
      </c>
      <c r="S1422" s="34" t="s">
        <v>5011</v>
      </c>
    </row>
    <row r="1423" spans="1:24" x14ac:dyDescent="0.25">
      <c r="A1423" s="32" t="s">
        <v>2148</v>
      </c>
      <c r="B1423" s="306" t="str">
        <f>IF((COUNTBLANK(G1423)=0),Stats!$E$7,IF((COUNTBLANK(E1423)=0),IF((COUNTBLANK(F1423)=0),IF((COUNTBLANK(U1423)=0),Stats!$E$6,Stats!$E$5),Stats!$E$4),""))</f>
        <v>Death</v>
      </c>
      <c r="C1423" s="41" t="s">
        <v>284</v>
      </c>
      <c r="D1423" s="306" t="s">
        <v>325</v>
      </c>
      <c r="E1423" s="89">
        <v>45572</v>
      </c>
      <c r="F1423" s="89">
        <v>45581</v>
      </c>
      <c r="G1423" s="89">
        <v>45615</v>
      </c>
      <c r="H1423" s="34" t="s">
        <v>285</v>
      </c>
      <c r="J1423" s="34" t="s">
        <v>152</v>
      </c>
      <c r="K1423" s="36" t="s">
        <v>493</v>
      </c>
      <c r="O1423" s="34" t="s">
        <v>51</v>
      </c>
      <c r="P1423" s="68">
        <v>-450</v>
      </c>
      <c r="Q1423" s="68">
        <v>500</v>
      </c>
      <c r="R1423" s="34" t="s">
        <v>291</v>
      </c>
      <c r="S1423" s="34" t="s">
        <v>5012</v>
      </c>
      <c r="U1423" s="34" t="s">
        <v>5013</v>
      </c>
    </row>
    <row r="1424" spans="1:24" x14ac:dyDescent="0.25">
      <c r="A1424" s="32" t="s">
        <v>2149</v>
      </c>
      <c r="B1424" s="306" t="str">
        <f>IF((COUNTBLANK(G1424)=0),Stats!$E$7,IF((COUNTBLANK(E1424)=0),IF((COUNTBLANK(F1424)=0),IF((COUNTBLANK(U1424)=0),Stats!$E$6,Stats!$E$5),Stats!$E$4),""))</f>
        <v>Death</v>
      </c>
      <c r="C1424" s="41" t="s">
        <v>284</v>
      </c>
      <c r="D1424" s="306" t="s">
        <v>325</v>
      </c>
      <c r="E1424" s="89">
        <v>45572</v>
      </c>
      <c r="F1424" s="89">
        <v>45581</v>
      </c>
      <c r="G1424" s="89">
        <v>45625</v>
      </c>
      <c r="H1424" s="34" t="s">
        <v>285</v>
      </c>
      <c r="J1424" s="34" t="s">
        <v>152</v>
      </c>
      <c r="K1424" s="36" t="s">
        <v>493</v>
      </c>
      <c r="O1424" s="34" t="s">
        <v>51</v>
      </c>
      <c r="P1424" s="68">
        <v>-450</v>
      </c>
      <c r="Q1424" s="68">
        <v>500</v>
      </c>
      <c r="R1424" s="34" t="s">
        <v>249</v>
      </c>
      <c r="S1424" s="34" t="s">
        <v>5014</v>
      </c>
      <c r="U1424" s="34" t="s">
        <v>4928</v>
      </c>
    </row>
    <row r="1425" spans="1:24" x14ac:dyDescent="0.25">
      <c r="A1425" s="32" t="s">
        <v>2150</v>
      </c>
      <c r="B1425" s="306" t="str">
        <f>IF((COUNTBLANK(G1425)=0),Stats!$E$7,IF((COUNTBLANK(E1425)=0),IF((COUNTBLANK(F1425)=0),IF((COUNTBLANK(U1425)=0),Stats!$E$6,Stats!$E$5),Stats!$E$4),""))</f>
        <v>Death</v>
      </c>
      <c r="C1425" s="41" t="s">
        <v>284</v>
      </c>
      <c r="D1425" s="306" t="s">
        <v>325</v>
      </c>
      <c r="E1425" s="89">
        <v>45573</v>
      </c>
      <c r="F1425" s="89">
        <v>45586</v>
      </c>
      <c r="G1425" s="172">
        <v>45641</v>
      </c>
      <c r="H1425" s="34" t="s">
        <v>285</v>
      </c>
      <c r="J1425" s="34" t="s">
        <v>152</v>
      </c>
      <c r="K1425" s="36" t="s">
        <v>493</v>
      </c>
      <c r="O1425" s="34" t="s">
        <v>51</v>
      </c>
      <c r="P1425" s="68">
        <v>-450</v>
      </c>
      <c r="Q1425" s="68">
        <v>500</v>
      </c>
      <c r="R1425" s="34" t="s">
        <v>279</v>
      </c>
      <c r="U1425" s="34" t="s">
        <v>4928</v>
      </c>
    </row>
    <row r="1426" spans="1:24" x14ac:dyDescent="0.25">
      <c r="A1426" s="32" t="s">
        <v>2151</v>
      </c>
      <c r="B1426" s="306" t="str">
        <f>IF((COUNTBLANK(G1426)=0),Stats!$E$7,IF((COUNTBLANK(E1426)=0),IF((COUNTBLANK(F1426)=0),IF((COUNTBLANK(U1426)=0),Stats!$E$6,Stats!$E$5),Stats!$E$4),""))</f>
        <v>Death</v>
      </c>
      <c r="C1426" s="41" t="s">
        <v>284</v>
      </c>
      <c r="D1426" s="306" t="s">
        <v>325</v>
      </c>
      <c r="E1426" s="89">
        <v>45573</v>
      </c>
      <c r="F1426" s="89">
        <v>45587</v>
      </c>
      <c r="G1426" s="172">
        <v>45641</v>
      </c>
      <c r="H1426" s="34" t="s">
        <v>285</v>
      </c>
      <c r="J1426" s="34" t="s">
        <v>152</v>
      </c>
      <c r="K1426" s="36" t="s">
        <v>493</v>
      </c>
      <c r="O1426" s="34" t="s">
        <v>51</v>
      </c>
      <c r="P1426" s="68">
        <v>-450</v>
      </c>
      <c r="Q1426" s="68">
        <v>500</v>
      </c>
      <c r="R1426" s="34" t="s">
        <v>279</v>
      </c>
      <c r="U1426" s="34" t="s">
        <v>4928</v>
      </c>
    </row>
    <row r="1427" spans="1:24" ht="15" customHeight="1" x14ac:dyDescent="0.25">
      <c r="A1427" s="32" t="s">
        <v>2152</v>
      </c>
      <c r="B1427" s="306" t="str">
        <f>IF((COUNTBLANK(G1427)=0),Stats!$E$7,IF((COUNTBLANK(E1427)=0),IF((COUNTBLANK(F1427)=0),IF((COUNTBLANK(U1427)=0),Stats!$E$6,Stats!$E$5),Stats!$E$4),""))</f>
        <v>Death</v>
      </c>
      <c r="C1427" s="41" t="s">
        <v>284</v>
      </c>
      <c r="D1427" s="306" t="s">
        <v>325</v>
      </c>
      <c r="E1427" s="89">
        <v>45574</v>
      </c>
      <c r="F1427" s="89">
        <v>45587</v>
      </c>
      <c r="G1427" s="172">
        <v>45641</v>
      </c>
      <c r="H1427" s="34" t="s">
        <v>285</v>
      </c>
      <c r="J1427" s="34" t="s">
        <v>152</v>
      </c>
      <c r="K1427" s="36" t="s">
        <v>493</v>
      </c>
      <c r="O1427" s="34" t="s">
        <v>51</v>
      </c>
      <c r="P1427" s="68">
        <v>-450</v>
      </c>
      <c r="Q1427" s="68">
        <v>500</v>
      </c>
      <c r="R1427" s="34" t="s">
        <v>291</v>
      </c>
      <c r="U1427" s="34" t="s">
        <v>4928</v>
      </c>
    </row>
    <row r="1428" spans="1:24" ht="15" customHeight="1" x14ac:dyDescent="0.25">
      <c r="A1428" s="32" t="s">
        <v>2153</v>
      </c>
      <c r="B1428" s="306" t="str">
        <f>IF((COUNTBLANK(G1428)=0),Stats!$E$7,IF((COUNTBLANK(E1428)=0),IF((COUNTBLANK(F1428)=0),IF((COUNTBLANK(U1428)=0),Stats!$E$6,Stats!$E$5),Stats!$E$4),""))</f>
        <v>Death</v>
      </c>
      <c r="C1428" s="41" t="s">
        <v>284</v>
      </c>
      <c r="D1428" s="306" t="str">
        <f>IF(B1428=Stats!$E$6,Stats!$E$11,"")</f>
        <v/>
      </c>
      <c r="E1428" s="89">
        <v>45574</v>
      </c>
      <c r="G1428" s="172">
        <v>45641</v>
      </c>
      <c r="H1428" s="34" t="s">
        <v>285</v>
      </c>
      <c r="J1428" s="34" t="s">
        <v>152</v>
      </c>
      <c r="K1428" s="36" t="s">
        <v>493</v>
      </c>
      <c r="O1428" s="34" t="s">
        <v>51</v>
      </c>
      <c r="P1428" s="68">
        <v>-450</v>
      </c>
      <c r="Q1428" s="68">
        <v>500</v>
      </c>
      <c r="R1428" s="34" t="s">
        <v>243</v>
      </c>
    </row>
    <row r="1429" spans="1:24" ht="15" customHeight="1" x14ac:dyDescent="0.25">
      <c r="A1429" s="32" t="s">
        <v>2154</v>
      </c>
      <c r="B1429" s="306" t="str">
        <f>IF((COUNTBLANK(G1429)=0),Stats!$E$7,IF((COUNTBLANK(E1429)=0),IF((COUNTBLANK(F1429)=0),IF((COUNTBLANK(U1429)=0),Stats!$E$6,Stats!$E$5),Stats!$E$4),""))</f>
        <v>Death</v>
      </c>
      <c r="C1429" s="41" t="s">
        <v>284</v>
      </c>
      <c r="D1429" s="306" t="str">
        <f>IF(B1429=Stats!$E$6,Stats!$E$11,"")</f>
        <v/>
      </c>
      <c r="E1429" s="89">
        <v>45575</v>
      </c>
      <c r="G1429" s="172">
        <v>45641</v>
      </c>
      <c r="H1429" s="34" t="s">
        <v>285</v>
      </c>
      <c r="J1429" s="34" t="s">
        <v>152</v>
      </c>
      <c r="K1429" s="36" t="s">
        <v>493</v>
      </c>
      <c r="O1429" s="34" t="s">
        <v>51</v>
      </c>
      <c r="P1429" s="68">
        <v>-450</v>
      </c>
      <c r="Q1429" s="68">
        <v>500</v>
      </c>
      <c r="R1429" s="34" t="s">
        <v>291</v>
      </c>
    </row>
    <row r="1430" spans="1:24" ht="15" customHeight="1" x14ac:dyDescent="0.25">
      <c r="A1430" s="32" t="s">
        <v>2155</v>
      </c>
      <c r="B1430" s="306" t="str">
        <f>IF((COUNTBLANK(G1430)=0),Stats!$E$7,IF((COUNTBLANK(E1430)=0),IF((COUNTBLANK(F1430)=0),IF((COUNTBLANK(U1430)=0),Stats!$E$6,Stats!$E$5),Stats!$E$4),""))</f>
        <v>Death</v>
      </c>
      <c r="C1430" s="41" t="s">
        <v>284</v>
      </c>
      <c r="D1430" s="306" t="str">
        <f>IF(B1430=Stats!$E$6,Stats!$E$11,"")</f>
        <v/>
      </c>
      <c r="E1430" s="89">
        <v>45575</v>
      </c>
      <c r="G1430" s="172">
        <v>45641</v>
      </c>
      <c r="H1430" s="34" t="s">
        <v>285</v>
      </c>
      <c r="J1430" s="34" t="s">
        <v>152</v>
      </c>
      <c r="K1430" s="36" t="s">
        <v>493</v>
      </c>
      <c r="O1430" s="34" t="s">
        <v>51</v>
      </c>
      <c r="P1430" s="68">
        <v>-450</v>
      </c>
      <c r="Q1430" s="68">
        <v>500</v>
      </c>
      <c r="R1430" s="34" t="s">
        <v>279</v>
      </c>
    </row>
    <row r="1431" spans="1:24" ht="15" customHeight="1" x14ac:dyDescent="0.25">
      <c r="A1431" s="32" t="s">
        <v>2156</v>
      </c>
      <c r="B1431" s="306" t="str">
        <f>IF((COUNTBLANK(G1431)=0),Stats!$E$7,IF((COUNTBLANK(E1431)=0),IF((COUNTBLANK(F1431)=0),IF((COUNTBLANK(U1431)=0),Stats!$E$6,Stats!$E$5),Stats!$E$4),""))</f>
        <v>Death</v>
      </c>
      <c r="C1431" s="41" t="s">
        <v>284</v>
      </c>
      <c r="D1431" s="306" t="str">
        <f>IF(B1431=Stats!$E$6,Stats!$E$11,"")</f>
        <v/>
      </c>
      <c r="E1431" s="89">
        <v>45575</v>
      </c>
      <c r="F1431" s="89">
        <v>45617</v>
      </c>
      <c r="G1431" s="172">
        <v>45641</v>
      </c>
      <c r="H1431" s="34" t="s">
        <v>285</v>
      </c>
      <c r="J1431" s="34" t="s">
        <v>152</v>
      </c>
      <c r="K1431" s="36" t="s">
        <v>493</v>
      </c>
      <c r="O1431" s="34" t="s">
        <v>51</v>
      </c>
      <c r="P1431" s="68">
        <v>-450</v>
      </c>
      <c r="Q1431" s="68">
        <v>500</v>
      </c>
      <c r="R1431" s="34" t="s">
        <v>249</v>
      </c>
    </row>
    <row r="1432" spans="1:24" ht="15" customHeight="1" x14ac:dyDescent="0.25">
      <c r="A1432" s="32" t="s">
        <v>2157</v>
      </c>
      <c r="B1432" s="306" t="str">
        <f>IF((COUNTBLANK(G1432)=0),Stats!$E$7,IF((COUNTBLANK(E1432)=0),IF((COUNTBLANK(F1432)=0),IF((COUNTBLANK(U1432)=0),Stats!$E$6,Stats!$E$5),Stats!$E$4),""))</f>
        <v>Death</v>
      </c>
      <c r="C1432" s="41" t="s">
        <v>284</v>
      </c>
      <c r="D1432" s="306"/>
      <c r="E1432" s="89">
        <v>45579</v>
      </c>
      <c r="F1432" s="89">
        <v>45617</v>
      </c>
      <c r="G1432" s="172">
        <v>45641</v>
      </c>
      <c r="H1432" s="34" t="s">
        <v>285</v>
      </c>
      <c r="J1432" s="34" t="s">
        <v>152</v>
      </c>
      <c r="K1432" s="36" t="s">
        <v>493</v>
      </c>
      <c r="O1432" s="34" t="s">
        <v>51</v>
      </c>
      <c r="P1432" s="68">
        <v>-449</v>
      </c>
      <c r="Q1432" s="68">
        <v>500</v>
      </c>
    </row>
    <row r="1433" spans="1:24" ht="15" customHeight="1" x14ac:dyDescent="0.25">
      <c r="A1433" s="32" t="s">
        <v>2158</v>
      </c>
      <c r="B1433" s="306" t="str">
        <f>IF((COUNTBLANK(G1433)=0),Stats!$E$7,IF((COUNTBLANK(E1433)=0),IF((COUNTBLANK(F1433)=0),IF((COUNTBLANK(U1433)=0),Stats!$E$6,Stats!$E$5),Stats!$E$4),""))</f>
        <v>Death</v>
      </c>
      <c r="C1433" s="41" t="s">
        <v>284</v>
      </c>
      <c r="D1433" s="306"/>
      <c r="E1433" s="89">
        <v>45579</v>
      </c>
      <c r="G1433" s="172">
        <v>45641</v>
      </c>
      <c r="H1433" s="34" t="s">
        <v>285</v>
      </c>
      <c r="J1433" s="34" t="s">
        <v>152</v>
      </c>
      <c r="K1433" s="36" t="s">
        <v>493</v>
      </c>
      <c r="O1433" s="34" t="s">
        <v>51</v>
      </c>
      <c r="P1433" s="68">
        <v>-449</v>
      </c>
      <c r="Q1433" s="68">
        <v>500</v>
      </c>
      <c r="R1433" s="34" t="s">
        <v>291</v>
      </c>
    </row>
    <row r="1434" spans="1:24" s="206" customFormat="1" ht="15" customHeight="1" x14ac:dyDescent="0.25">
      <c r="A1434" s="200" t="s">
        <v>2159</v>
      </c>
      <c r="B1434" s="306" t="str">
        <f>IF((COUNTBLANK(G1434)=0),Stats!$E$7,IF((COUNTBLANK(E1434)=0),IF((COUNTBLANK(F1434)=0),IF((COUNTBLANK(U1434)=0),Stats!$E$6,Stats!$E$5),Stats!$E$4),""))</f>
        <v>Death</v>
      </c>
      <c r="C1434" s="201" t="s">
        <v>240</v>
      </c>
      <c r="D1434" s="379"/>
      <c r="E1434" s="202">
        <v>45579</v>
      </c>
      <c r="F1434" s="202"/>
      <c r="G1434" s="172">
        <v>45641</v>
      </c>
      <c r="H1434" s="188" t="s">
        <v>53</v>
      </c>
      <c r="I1434" s="188"/>
      <c r="J1434" s="205" t="s">
        <v>261</v>
      </c>
      <c r="K1434" s="203" t="s">
        <v>242</v>
      </c>
      <c r="L1434" s="203"/>
      <c r="M1434" s="203"/>
      <c r="N1434" s="204" t="s">
        <v>196</v>
      </c>
      <c r="O1434" s="188" t="s">
        <v>51</v>
      </c>
      <c r="P1434" s="205">
        <v>-500</v>
      </c>
      <c r="Q1434" s="205">
        <v>400</v>
      </c>
      <c r="R1434" s="188"/>
      <c r="S1434" s="188"/>
      <c r="T1434" s="188"/>
      <c r="U1434" s="188"/>
      <c r="V1434" s="188"/>
      <c r="W1434" s="188"/>
      <c r="X1434" s="34"/>
    </row>
    <row r="1435" spans="1:24" s="206" customFormat="1" ht="15" customHeight="1" x14ac:dyDescent="0.25">
      <c r="A1435" s="200" t="s">
        <v>2160</v>
      </c>
      <c r="B1435" s="306" t="str">
        <f>IF((COUNTBLANK(G1435)=0),Stats!$E$7,IF((COUNTBLANK(E1435)=0),IF((COUNTBLANK(F1435)=0),IF((COUNTBLANK(U1435)=0),Stats!$E$6,Stats!$E$5),Stats!$E$4),""))</f>
        <v>Death</v>
      </c>
      <c r="C1435" s="201" t="s">
        <v>240</v>
      </c>
      <c r="D1435" s="379"/>
      <c r="E1435" s="202">
        <v>45579</v>
      </c>
      <c r="F1435" s="202"/>
      <c r="G1435" s="172">
        <v>45641</v>
      </c>
      <c r="H1435" s="188" t="s">
        <v>53</v>
      </c>
      <c r="I1435" s="188"/>
      <c r="J1435" s="205" t="s">
        <v>261</v>
      </c>
      <c r="K1435" s="203" t="s">
        <v>242</v>
      </c>
      <c r="L1435" s="203"/>
      <c r="M1435" s="203"/>
      <c r="N1435" s="204" t="s">
        <v>196</v>
      </c>
      <c r="O1435" s="188" t="s">
        <v>51</v>
      </c>
      <c r="P1435" s="205">
        <v>-500</v>
      </c>
      <c r="Q1435" s="205">
        <v>400</v>
      </c>
      <c r="R1435" s="188"/>
      <c r="S1435" s="188"/>
      <c r="T1435" s="188"/>
      <c r="U1435" s="188"/>
      <c r="V1435" s="188"/>
      <c r="W1435" s="188"/>
      <c r="X1435" s="34"/>
    </row>
    <row r="1436" spans="1:24" s="176" customFormat="1" ht="15" customHeight="1" x14ac:dyDescent="0.25">
      <c r="A1436" s="168" t="s">
        <v>2161</v>
      </c>
      <c r="B1436" s="306" t="str">
        <f>IF((COUNTBLANK(G1436)=0),Stats!$E$7,IF((COUNTBLANK(E1436)=0),IF((COUNTBLANK(F1436)=0),IF((COUNTBLANK(U1436)=0),Stats!$E$6,Stats!$E$5),Stats!$E$4),""))</f>
        <v>Death</v>
      </c>
      <c r="C1436" s="171" t="s">
        <v>240</v>
      </c>
      <c r="D1436" s="378" t="str">
        <f>IF(B1436=Stats!$E$6,Stats!$E$11,"")</f>
        <v/>
      </c>
      <c r="E1436" s="172">
        <v>45580</v>
      </c>
      <c r="F1436" s="172"/>
      <c r="G1436" s="172">
        <v>45641</v>
      </c>
      <c r="H1436" s="167" t="s">
        <v>53</v>
      </c>
      <c r="I1436" s="167"/>
      <c r="J1436" s="167" t="s">
        <v>302</v>
      </c>
      <c r="K1436" s="173" t="s">
        <v>242</v>
      </c>
      <c r="L1436" s="173"/>
      <c r="M1436" s="173"/>
      <c r="N1436" s="174" t="s">
        <v>196</v>
      </c>
      <c r="O1436" s="167" t="s">
        <v>51</v>
      </c>
      <c r="P1436" s="175">
        <v>-350</v>
      </c>
      <c r="Q1436" s="175">
        <v>400</v>
      </c>
      <c r="R1436" s="167"/>
      <c r="S1436" s="167"/>
      <c r="T1436" s="167"/>
      <c r="U1436" s="167"/>
      <c r="V1436" s="167"/>
      <c r="W1436" s="167"/>
      <c r="X1436" s="34"/>
    </row>
    <row r="1437" spans="1:24" s="176" customFormat="1" ht="15" customHeight="1" x14ac:dyDescent="0.25">
      <c r="A1437" s="168" t="s">
        <v>2162</v>
      </c>
      <c r="B1437" s="306" t="str">
        <f>IF((COUNTBLANK(G1437)=0),Stats!$E$7,IF((COUNTBLANK(E1437)=0),IF((COUNTBLANK(F1437)=0),IF((COUNTBLANK(U1437)=0),Stats!$E$6,Stats!$E$5),Stats!$E$4),""))</f>
        <v>Death</v>
      </c>
      <c r="C1437" s="171" t="s">
        <v>240</v>
      </c>
      <c r="D1437" s="378" t="str">
        <f>IF(B1437=Stats!$E$6,Stats!$E$11,"")</f>
        <v/>
      </c>
      <c r="E1437" s="172">
        <v>45580</v>
      </c>
      <c r="F1437" s="172"/>
      <c r="G1437" s="172">
        <v>45641</v>
      </c>
      <c r="H1437" s="167" t="s">
        <v>53</v>
      </c>
      <c r="I1437" s="167"/>
      <c r="J1437" s="167" t="s">
        <v>302</v>
      </c>
      <c r="K1437" s="173" t="s">
        <v>242</v>
      </c>
      <c r="L1437" s="173"/>
      <c r="M1437" s="173"/>
      <c r="N1437" s="174" t="s">
        <v>196</v>
      </c>
      <c r="O1437" s="167" t="s">
        <v>51</v>
      </c>
      <c r="P1437" s="175">
        <v>-350</v>
      </c>
      <c r="Q1437" s="175">
        <v>400</v>
      </c>
      <c r="R1437" s="167"/>
      <c r="S1437" s="167"/>
      <c r="T1437" s="167"/>
      <c r="U1437" s="167"/>
      <c r="V1437" s="167"/>
      <c r="W1437" s="167"/>
      <c r="X1437" s="34"/>
    </row>
    <row r="1438" spans="1:24" s="176" customFormat="1" ht="15" customHeight="1" x14ac:dyDescent="0.25">
      <c r="A1438" s="168" t="s">
        <v>2163</v>
      </c>
      <c r="B1438" s="306" t="str">
        <f>IF((COUNTBLANK(G1438)=0),Stats!$E$7,IF((COUNTBLANK(E1438)=0),IF((COUNTBLANK(F1438)=0),IF((COUNTBLANK(U1438)=0),Stats!$E$6,Stats!$E$5),Stats!$E$4),""))</f>
        <v>Death</v>
      </c>
      <c r="C1438" s="171" t="s">
        <v>240</v>
      </c>
      <c r="D1438" s="378" t="str">
        <f>IF(B1438=Stats!$E$6,Stats!$E$11,"")</f>
        <v/>
      </c>
      <c r="E1438" s="172">
        <v>45582</v>
      </c>
      <c r="F1438" s="172"/>
      <c r="G1438" s="172">
        <v>45641</v>
      </c>
      <c r="H1438" s="167" t="s">
        <v>53</v>
      </c>
      <c r="I1438" s="167"/>
      <c r="J1438" s="167" t="s">
        <v>302</v>
      </c>
      <c r="K1438" s="173" t="s">
        <v>242</v>
      </c>
      <c r="L1438" s="173"/>
      <c r="M1438" s="173"/>
      <c r="N1438" s="174" t="s">
        <v>196</v>
      </c>
      <c r="O1438" s="167" t="s">
        <v>51</v>
      </c>
      <c r="P1438" s="175">
        <v>-350</v>
      </c>
      <c r="Q1438" s="175">
        <v>400</v>
      </c>
      <c r="R1438" s="167"/>
      <c r="S1438" s="167"/>
      <c r="T1438" s="167"/>
      <c r="U1438" s="167"/>
      <c r="V1438" s="167"/>
      <c r="W1438" s="167"/>
      <c r="X1438" s="34"/>
    </row>
    <row r="1439" spans="1:24" s="176" customFormat="1" ht="15" customHeight="1" x14ac:dyDescent="0.25">
      <c r="A1439" s="168" t="s">
        <v>2164</v>
      </c>
      <c r="B1439" s="306" t="str">
        <f>IF((COUNTBLANK(G1439)=0),Stats!$E$7,IF((COUNTBLANK(E1439)=0),IF((COUNTBLANK(F1439)=0),IF((COUNTBLANK(U1439)=0),Stats!$E$6,Stats!$E$5),Stats!$E$4),""))</f>
        <v>Death</v>
      </c>
      <c r="C1439" s="171" t="s">
        <v>240</v>
      </c>
      <c r="D1439" s="378" t="str">
        <f>IF(B1439=Stats!$E$6,Stats!$E$11,"")</f>
        <v/>
      </c>
      <c r="E1439" s="172">
        <v>45582</v>
      </c>
      <c r="F1439" s="172"/>
      <c r="G1439" s="172">
        <v>45641</v>
      </c>
      <c r="H1439" s="167" t="s">
        <v>53</v>
      </c>
      <c r="I1439" s="167"/>
      <c r="J1439" s="167" t="s">
        <v>302</v>
      </c>
      <c r="K1439" s="173" t="s">
        <v>242</v>
      </c>
      <c r="L1439" s="173"/>
      <c r="M1439" s="173"/>
      <c r="N1439" s="174" t="s">
        <v>196</v>
      </c>
      <c r="O1439" s="167" t="s">
        <v>51</v>
      </c>
      <c r="P1439" s="175">
        <v>-350</v>
      </c>
      <c r="Q1439" s="175">
        <v>400</v>
      </c>
      <c r="R1439" s="167"/>
      <c r="S1439" s="167"/>
      <c r="T1439" s="167"/>
      <c r="U1439" s="167"/>
      <c r="V1439" s="167"/>
      <c r="W1439" s="167"/>
      <c r="X1439" s="34"/>
    </row>
    <row r="1440" spans="1:24" s="206" customFormat="1" ht="15" customHeight="1" x14ac:dyDescent="0.25">
      <c r="A1440" s="200" t="s">
        <v>2165</v>
      </c>
      <c r="B1440" s="306" t="str">
        <f>IF((COUNTBLANK(G1440)=0),Stats!$E$7,IF((COUNTBLANK(E1440)=0),IF((COUNTBLANK(F1440)=0),IF((COUNTBLANK(U1440)=0),Stats!$E$6,Stats!$E$5),Stats!$E$4),""))</f>
        <v>Death</v>
      </c>
      <c r="C1440" s="201" t="s">
        <v>240</v>
      </c>
      <c r="D1440" s="379" t="str">
        <f>IF(B1440=Stats!$E$6,Stats!$E$11,"")</f>
        <v/>
      </c>
      <c r="E1440" s="202">
        <v>45592</v>
      </c>
      <c r="F1440" s="202"/>
      <c r="G1440" s="172">
        <v>45641</v>
      </c>
      <c r="H1440" s="188" t="s">
        <v>53</v>
      </c>
      <c r="I1440" s="188"/>
      <c r="J1440" s="188" t="s">
        <v>152</v>
      </c>
      <c r="K1440" s="203" t="s">
        <v>493</v>
      </c>
      <c r="L1440" s="203"/>
      <c r="M1440" s="203"/>
      <c r="N1440" s="204"/>
      <c r="O1440" s="188" t="s">
        <v>51</v>
      </c>
      <c r="P1440" s="205">
        <v>-350</v>
      </c>
      <c r="Q1440" s="205">
        <v>200</v>
      </c>
      <c r="R1440" s="188"/>
      <c r="S1440" s="188"/>
      <c r="T1440" s="188"/>
      <c r="U1440" s="188"/>
      <c r="V1440" s="188"/>
      <c r="W1440" s="188"/>
      <c r="X1440" s="34"/>
    </row>
    <row r="1441" spans="1:24" s="206" customFormat="1" ht="15" customHeight="1" x14ac:dyDescent="0.25">
      <c r="A1441" s="200" t="s">
        <v>2166</v>
      </c>
      <c r="B1441" s="306" t="str">
        <f>IF((COUNTBLANK(G1441)=0),Stats!$E$7,IF((COUNTBLANK(E1441)=0),IF((COUNTBLANK(F1441)=0),IF((COUNTBLANK(U1441)=0),Stats!$E$6,Stats!$E$5),Stats!$E$4),""))</f>
        <v>Death</v>
      </c>
      <c r="C1441" s="201" t="s">
        <v>240</v>
      </c>
      <c r="D1441" s="379" t="str">
        <f>IF(B1441=Stats!$E$6,Stats!$E$11,"")</f>
        <v/>
      </c>
      <c r="E1441" s="202">
        <v>45592</v>
      </c>
      <c r="F1441" s="202"/>
      <c r="G1441" s="172">
        <v>45641</v>
      </c>
      <c r="H1441" s="188" t="s">
        <v>53</v>
      </c>
      <c r="I1441" s="188"/>
      <c r="J1441" s="188" t="s">
        <v>152</v>
      </c>
      <c r="K1441" s="203" t="s">
        <v>493</v>
      </c>
      <c r="L1441" s="203"/>
      <c r="M1441" s="203"/>
      <c r="N1441" s="204"/>
      <c r="O1441" s="188" t="s">
        <v>51</v>
      </c>
      <c r="P1441" s="205">
        <v>-350</v>
      </c>
      <c r="Q1441" s="205">
        <v>400</v>
      </c>
      <c r="R1441" s="188"/>
      <c r="S1441" s="188"/>
      <c r="T1441" s="188"/>
      <c r="U1441" s="188"/>
      <c r="V1441" s="188"/>
      <c r="W1441" s="188"/>
      <c r="X1441" s="34"/>
    </row>
    <row r="1442" spans="1:24" s="206" customFormat="1" x14ac:dyDescent="0.25">
      <c r="A1442" s="200" t="s">
        <v>2167</v>
      </c>
      <c r="B1442" s="306" t="str">
        <f>IF((COUNTBLANK(G1442)=0),Stats!$E$7,IF((COUNTBLANK(E1442)=0),IF((COUNTBLANK(F1442)=0),IF((COUNTBLANK(U1442)=0),Stats!$E$6,Stats!$E$5),Stats!$E$4),""))</f>
        <v>Death</v>
      </c>
      <c r="C1442" s="201" t="s">
        <v>240</v>
      </c>
      <c r="D1442" s="379" t="str">
        <f>IF(B1442=Stats!$E$6,Stats!$E$11,"")</f>
        <v/>
      </c>
      <c r="E1442" s="202">
        <v>45592</v>
      </c>
      <c r="F1442" s="202"/>
      <c r="G1442" s="172">
        <v>45641</v>
      </c>
      <c r="H1442" s="188" t="s">
        <v>53</v>
      </c>
      <c r="I1442" s="188"/>
      <c r="J1442" s="188" t="s">
        <v>152</v>
      </c>
      <c r="K1442" s="203" t="s">
        <v>493</v>
      </c>
      <c r="L1442" s="203"/>
      <c r="M1442" s="203"/>
      <c r="N1442" s="204"/>
      <c r="O1442" s="188" t="s">
        <v>51</v>
      </c>
      <c r="P1442" s="205">
        <v>-350</v>
      </c>
      <c r="Q1442" s="205">
        <v>200</v>
      </c>
      <c r="R1442" s="188"/>
      <c r="S1442" s="188"/>
      <c r="T1442" s="188"/>
      <c r="U1442" s="188"/>
      <c r="V1442" s="188"/>
      <c r="W1442" s="188"/>
      <c r="X1442" s="34"/>
    </row>
    <row r="1443" spans="1:24" s="206" customFormat="1" x14ac:dyDescent="0.25">
      <c r="A1443" s="200" t="s">
        <v>2168</v>
      </c>
      <c r="B1443" s="306" t="str">
        <f>IF((COUNTBLANK(G1443)=0),Stats!$E$7,IF((COUNTBLANK(E1443)=0),IF((COUNTBLANK(F1443)=0),IF((COUNTBLANK(U1443)=0),Stats!$E$6,Stats!$E$5),Stats!$E$4),""))</f>
        <v>Death</v>
      </c>
      <c r="C1443" s="201" t="s">
        <v>240</v>
      </c>
      <c r="D1443" s="379" t="str">
        <f>IF(B1443=Stats!$E$6,Stats!$E$11,"")</f>
        <v/>
      </c>
      <c r="E1443" s="202">
        <v>45592</v>
      </c>
      <c r="F1443" s="202"/>
      <c r="G1443" s="172">
        <v>45641</v>
      </c>
      <c r="H1443" s="188" t="s">
        <v>53</v>
      </c>
      <c r="I1443" s="188"/>
      <c r="J1443" s="188" t="s">
        <v>152</v>
      </c>
      <c r="K1443" s="203" t="s">
        <v>493</v>
      </c>
      <c r="L1443" s="203"/>
      <c r="M1443" s="203"/>
      <c r="N1443" s="204"/>
      <c r="O1443" s="188" t="s">
        <v>51</v>
      </c>
      <c r="P1443" s="205">
        <v>-350</v>
      </c>
      <c r="Q1443" s="205">
        <v>400</v>
      </c>
      <c r="R1443" s="188"/>
      <c r="S1443" s="188"/>
      <c r="T1443" s="188"/>
      <c r="U1443" s="188"/>
      <c r="V1443" s="188"/>
      <c r="W1443" s="188"/>
      <c r="X1443" s="34"/>
    </row>
    <row r="1444" spans="1:24" s="206" customFormat="1" x14ac:dyDescent="0.25">
      <c r="A1444" s="168" t="s">
        <v>2169</v>
      </c>
      <c r="B1444" s="306" t="str">
        <f>IF((COUNTBLANK(G1444)=0),Stats!$E$7,IF((COUNTBLANK(E1444)=0),IF((COUNTBLANK(F1444)=0),IF((COUNTBLANK(U1444)=0),Stats!$E$6,Stats!$E$5),Stats!$E$4),""))</f>
        <v>Death</v>
      </c>
      <c r="C1444" s="171" t="s">
        <v>240</v>
      </c>
      <c r="D1444" s="378" t="str">
        <f>IF(B1444=Stats!$E$6,Stats!$E$11,"")</f>
        <v/>
      </c>
      <c r="E1444" s="172">
        <v>45592</v>
      </c>
      <c r="F1444" s="172"/>
      <c r="G1444" s="172">
        <v>45641</v>
      </c>
      <c r="H1444" s="167" t="s">
        <v>53</v>
      </c>
      <c r="I1444" s="167"/>
      <c r="J1444" s="167" t="s">
        <v>152</v>
      </c>
      <c r="K1444" s="173" t="s">
        <v>493</v>
      </c>
      <c r="L1444" s="173"/>
      <c r="M1444" s="173"/>
      <c r="N1444" s="174"/>
      <c r="O1444" s="167" t="s">
        <v>51</v>
      </c>
      <c r="P1444" s="175">
        <v>-350</v>
      </c>
      <c r="Q1444" s="175">
        <v>400</v>
      </c>
      <c r="R1444" s="167"/>
      <c r="S1444" s="167"/>
      <c r="T1444" s="167"/>
      <c r="U1444" s="167"/>
      <c r="V1444" s="167"/>
      <c r="W1444" s="167"/>
      <c r="X1444" s="34"/>
    </row>
    <row r="1445" spans="1:24" x14ac:dyDescent="0.25">
      <c r="A1445" s="32" t="s">
        <v>2170</v>
      </c>
      <c r="B1445" s="306" t="str">
        <f>IF((COUNTBLANK(G1445)=0),Stats!$E$7,IF((COUNTBLANK(E1445)=0),IF((COUNTBLANK(F1445)=0),IF((COUNTBLANK(U1445)=0),Stats!$E$6,Stats!$E$5),Stats!$E$4),""))</f>
        <v>Death</v>
      </c>
      <c r="C1445" s="41" t="s">
        <v>356</v>
      </c>
      <c r="D1445" s="306" t="str">
        <f>IF(B1445=Stats!$E$6,Stats!$E$11,"")</f>
        <v/>
      </c>
      <c r="E1445" s="89">
        <v>45587</v>
      </c>
      <c r="G1445" s="172">
        <v>45641</v>
      </c>
      <c r="H1445" s="34" t="s">
        <v>153</v>
      </c>
      <c r="J1445" s="34" t="s">
        <v>4766</v>
      </c>
      <c r="K1445" s="36" t="s">
        <v>357</v>
      </c>
      <c r="O1445" s="34" t="s">
        <v>358</v>
      </c>
      <c r="P1445" s="68" t="s">
        <v>359</v>
      </c>
      <c r="Q1445" s="68" t="s">
        <v>3709</v>
      </c>
      <c r="S1445" s="34" t="s">
        <v>5015</v>
      </c>
    </row>
    <row r="1446" spans="1:24" x14ac:dyDescent="0.25">
      <c r="A1446" s="32" t="s">
        <v>2171</v>
      </c>
      <c r="B1446" s="306" t="str">
        <f>IF((COUNTBLANK(G1446)=0),Stats!$E$7,IF((COUNTBLANK(E1446)=0),IF((COUNTBLANK(F1446)=0),IF((COUNTBLANK(U1446)=0),Stats!$E$6,Stats!$E$5),Stats!$E$4),""))</f>
        <v>Death</v>
      </c>
      <c r="C1446" s="41" t="s">
        <v>356</v>
      </c>
      <c r="D1446" s="306" t="str">
        <f>IF(B1446=Stats!$E$6,Stats!$E$11,"")</f>
        <v/>
      </c>
      <c r="E1446" s="89">
        <v>45588</v>
      </c>
      <c r="G1446" s="172">
        <v>45641</v>
      </c>
      <c r="H1446" s="34" t="s">
        <v>153</v>
      </c>
      <c r="J1446" s="34" t="s">
        <v>4766</v>
      </c>
      <c r="K1446" s="36" t="s">
        <v>357</v>
      </c>
      <c r="O1446" s="34" t="s">
        <v>358</v>
      </c>
      <c r="P1446" s="68" t="s">
        <v>359</v>
      </c>
      <c r="Q1446" s="68" t="s">
        <v>3709</v>
      </c>
      <c r="S1446" s="34" t="s">
        <v>5016</v>
      </c>
    </row>
    <row r="1447" spans="1:24" x14ac:dyDescent="0.25">
      <c r="A1447" s="32" t="s">
        <v>2172</v>
      </c>
      <c r="B1447" s="306" t="str">
        <f>IF((COUNTBLANK(G1447)=0),Stats!$E$7,IF((COUNTBLANK(E1447)=0),IF((COUNTBLANK(F1447)=0),IF((COUNTBLANK(U1447)=0),Stats!$E$6,Stats!$E$5),Stats!$E$4),""))</f>
        <v>Death</v>
      </c>
      <c r="C1447" s="41" t="s">
        <v>356</v>
      </c>
      <c r="D1447" s="306" t="str">
        <f>IF(B1447=Stats!$E$6,Stats!$E$11,"")</f>
        <v/>
      </c>
      <c r="E1447" s="89">
        <v>45590</v>
      </c>
      <c r="G1447" s="172">
        <v>45641</v>
      </c>
      <c r="H1447" s="34" t="s">
        <v>153</v>
      </c>
      <c r="J1447" s="34" t="s">
        <v>4766</v>
      </c>
      <c r="K1447" s="36" t="s">
        <v>357</v>
      </c>
      <c r="O1447" s="34" t="s">
        <v>358</v>
      </c>
      <c r="P1447" s="68" t="s">
        <v>359</v>
      </c>
      <c r="Q1447" s="68" t="s">
        <v>3709</v>
      </c>
      <c r="S1447" s="34" t="s">
        <v>5017</v>
      </c>
    </row>
    <row r="1448" spans="1:24" x14ac:dyDescent="0.25">
      <c r="A1448" s="32" t="s">
        <v>2173</v>
      </c>
      <c r="B1448" s="306" t="str">
        <f>IF((COUNTBLANK(G1448)=0),Stats!$E$7,IF((COUNTBLANK(E1448)=0),IF((COUNTBLANK(F1448)=0),IF((COUNTBLANK(U1448)=0),Stats!$E$6,Stats!$E$5),Stats!$E$4),""))</f>
        <v>Death</v>
      </c>
      <c r="C1448" s="41" t="s">
        <v>240</v>
      </c>
      <c r="D1448" s="306" t="str">
        <f>IF(B1448=Stats!$E$6,Stats!$E$11,"")</f>
        <v/>
      </c>
      <c r="E1448" s="89">
        <v>45593</v>
      </c>
      <c r="G1448" s="172">
        <v>45641</v>
      </c>
      <c r="H1448" s="34" t="s">
        <v>385</v>
      </c>
      <c r="J1448" s="34" t="s">
        <v>261</v>
      </c>
      <c r="K1448" s="36" t="s">
        <v>5008</v>
      </c>
      <c r="O1448" s="34" t="s">
        <v>51</v>
      </c>
      <c r="P1448" s="68">
        <v>-400</v>
      </c>
      <c r="Q1448" s="68" t="s">
        <v>5018</v>
      </c>
      <c r="T1448" s="34" t="s">
        <v>5019</v>
      </c>
    </row>
    <row r="1449" spans="1:24" x14ac:dyDescent="0.25">
      <c r="A1449" s="168" t="s">
        <v>2174</v>
      </c>
      <c r="B1449" s="306" t="str">
        <f>IF((COUNTBLANK(G1449)=0),Stats!$E$7,IF((COUNTBLANK(E1449)=0),IF((COUNTBLANK(F1449)=0),IF((COUNTBLANK(U1449)=0),Stats!$E$6,Stats!$E$5),Stats!$E$4),""))</f>
        <v>Death</v>
      </c>
      <c r="C1449" s="41" t="s">
        <v>240</v>
      </c>
      <c r="D1449" s="378" t="str">
        <f>IF(B1449=Stats!$E$6,Stats!$E$11,"")</f>
        <v/>
      </c>
      <c r="E1449" s="172">
        <v>45593</v>
      </c>
      <c r="F1449" s="172"/>
      <c r="G1449" s="172">
        <v>45641</v>
      </c>
      <c r="H1449" s="167" t="s">
        <v>53</v>
      </c>
      <c r="I1449" s="167"/>
      <c r="J1449" s="180" t="s">
        <v>152</v>
      </c>
      <c r="K1449" s="173"/>
      <c r="L1449" s="173"/>
      <c r="M1449" s="173"/>
      <c r="N1449" s="174"/>
      <c r="O1449" s="167"/>
      <c r="P1449" s="175"/>
      <c r="Q1449" s="175"/>
      <c r="R1449" s="167"/>
      <c r="S1449" s="167"/>
      <c r="T1449" s="167"/>
      <c r="U1449" s="167"/>
      <c r="V1449" s="167"/>
      <c r="W1449" s="167"/>
    </row>
    <row r="1450" spans="1:24" x14ac:dyDescent="0.25">
      <c r="A1450" s="168" t="s">
        <v>2175</v>
      </c>
      <c r="B1450" s="306" t="str">
        <f>IF((COUNTBLANK(G1450)=0),Stats!$E$7,IF((COUNTBLANK(E1450)=0),IF((COUNTBLANK(F1450)=0),IF((COUNTBLANK(U1450)=0),Stats!$E$6,Stats!$E$5),Stats!$E$4),""))</f>
        <v>Death</v>
      </c>
      <c r="C1450" s="41" t="s">
        <v>240</v>
      </c>
      <c r="D1450" s="378" t="str">
        <f>IF(B1450=Stats!$E$6,Stats!$E$11,"")</f>
        <v/>
      </c>
      <c r="E1450" s="172">
        <v>45593</v>
      </c>
      <c r="F1450" s="172"/>
      <c r="G1450" s="172">
        <v>45641</v>
      </c>
      <c r="H1450" s="167" t="s">
        <v>53</v>
      </c>
      <c r="I1450" s="167"/>
      <c r="J1450" s="180" t="s">
        <v>152</v>
      </c>
      <c r="K1450" s="173"/>
      <c r="L1450" s="173"/>
      <c r="M1450" s="173"/>
      <c r="N1450" s="174"/>
      <c r="O1450" s="167"/>
      <c r="P1450" s="175"/>
      <c r="Q1450" s="175"/>
      <c r="R1450" s="167"/>
      <c r="S1450" s="167"/>
      <c r="T1450" s="167"/>
      <c r="U1450" s="167"/>
      <c r="V1450" s="167"/>
      <c r="W1450" s="167"/>
    </row>
    <row r="1451" spans="1:24" x14ac:dyDescent="0.25">
      <c r="A1451" s="168" t="s">
        <v>2176</v>
      </c>
      <c r="B1451" s="306" t="str">
        <f>IF((COUNTBLANK(G1451)=0),Stats!$E$7,IF((COUNTBLANK(E1451)=0),IF((COUNTBLANK(F1451)=0),IF((COUNTBLANK(U1451)=0),Stats!$E$6,Stats!$E$5),Stats!$E$4),""))</f>
        <v>Death</v>
      </c>
      <c r="C1451" s="41" t="s">
        <v>240</v>
      </c>
      <c r="D1451" s="378" t="str">
        <f>IF(B1451=Stats!$E$6,Stats!$E$11,"")</f>
        <v/>
      </c>
      <c r="E1451" s="172">
        <v>45593</v>
      </c>
      <c r="F1451" s="172"/>
      <c r="G1451" s="172">
        <v>45641</v>
      </c>
      <c r="H1451" s="167" t="s">
        <v>53</v>
      </c>
      <c r="I1451" s="167"/>
      <c r="J1451" s="180" t="s">
        <v>152</v>
      </c>
      <c r="K1451" s="173"/>
      <c r="L1451" s="173"/>
      <c r="M1451" s="173"/>
      <c r="N1451" s="174"/>
      <c r="O1451" s="167"/>
      <c r="P1451" s="175"/>
      <c r="Q1451" s="175"/>
      <c r="R1451" s="167"/>
      <c r="S1451" s="167"/>
      <c r="T1451" s="167"/>
      <c r="U1451" s="167"/>
      <c r="V1451" s="167"/>
      <c r="W1451" s="167"/>
    </row>
    <row r="1452" spans="1:24" x14ac:dyDescent="0.25">
      <c r="A1452" s="32" t="s">
        <v>2177</v>
      </c>
      <c r="B1452" s="306" t="str">
        <f>IF((COUNTBLANK(G1452)=0),Stats!$E$7,IF((COUNTBLANK(E1452)=0),IF((COUNTBLANK(F1452)=0),IF((COUNTBLANK(U1452)=0),Stats!$E$6,Stats!$E$5),Stats!$E$4),""))</f>
        <v>Death</v>
      </c>
      <c r="C1452" s="41" t="s">
        <v>240</v>
      </c>
      <c r="D1452" s="306" t="str">
        <f>IF(B1452=Stats!$E$6,Stats!$E$11,"")</f>
        <v/>
      </c>
      <c r="E1452" s="137">
        <v>45594</v>
      </c>
      <c r="G1452" s="89">
        <v>45596</v>
      </c>
      <c r="H1452" s="34" t="s">
        <v>385</v>
      </c>
      <c r="J1452" s="34" t="s">
        <v>3186</v>
      </c>
      <c r="K1452" s="36" t="s">
        <v>4993</v>
      </c>
      <c r="L1452" s="36" t="s">
        <v>155</v>
      </c>
      <c r="M1452" s="36" t="s">
        <v>181</v>
      </c>
      <c r="N1452" s="65" t="s">
        <v>4994</v>
      </c>
      <c r="O1452" s="34" t="s">
        <v>51</v>
      </c>
      <c r="P1452" s="68">
        <v>-300</v>
      </c>
      <c r="Q1452" s="68" t="s">
        <v>3709</v>
      </c>
    </row>
    <row r="1453" spans="1:24" x14ac:dyDescent="0.25">
      <c r="A1453" s="32" t="s">
        <v>2178</v>
      </c>
      <c r="B1453" s="306" t="str">
        <f>IF((COUNTBLANK(G1453)=0),Stats!$E$7,IF((COUNTBLANK(E1453)=0),IF((COUNTBLANK(F1453)=0),IF((COUNTBLANK(U1453)=0),Stats!$E$6,Stats!$E$5),Stats!$E$4),""))</f>
        <v>Death</v>
      </c>
      <c r="C1453" s="41" t="s">
        <v>3111</v>
      </c>
      <c r="D1453" s="306" t="str">
        <f>IF(B1453=Stats!$E$6,Stats!$E$11,"")</f>
        <v/>
      </c>
      <c r="E1453" s="89">
        <v>45593</v>
      </c>
      <c r="F1453" s="89">
        <v>45593</v>
      </c>
      <c r="G1453" s="172">
        <v>45641</v>
      </c>
      <c r="H1453" s="34" t="s">
        <v>3139</v>
      </c>
      <c r="J1453" s="34" t="s">
        <v>4766</v>
      </c>
      <c r="L1453" s="36" t="s">
        <v>5008</v>
      </c>
      <c r="M1453" s="36" t="s">
        <v>181</v>
      </c>
      <c r="N1453" s="65" t="s">
        <v>5020</v>
      </c>
      <c r="O1453" s="34" t="s">
        <v>51</v>
      </c>
      <c r="P1453" s="68" t="s">
        <v>5021</v>
      </c>
      <c r="Q1453" s="68" t="s">
        <v>3709</v>
      </c>
      <c r="S1453" s="34" t="s">
        <v>5022</v>
      </c>
    </row>
    <row r="1454" spans="1:24" x14ac:dyDescent="0.25">
      <c r="A1454" s="32" t="s">
        <v>2179</v>
      </c>
      <c r="B1454" s="306" t="str">
        <f>IF((COUNTBLANK(G1454)=0),Stats!$E$7,IF((COUNTBLANK(E1454)=0),IF((COUNTBLANK(F1454)=0),IF((COUNTBLANK(U1454)=0),Stats!$E$6,Stats!$E$5),Stats!$E$4),""))</f>
        <v>Death</v>
      </c>
      <c r="C1454" s="41" t="s">
        <v>3111</v>
      </c>
      <c r="D1454" s="306" t="str">
        <f>IF(B1454=Stats!$E$6,Stats!$E$11,"")</f>
        <v/>
      </c>
      <c r="E1454" s="89">
        <v>45593</v>
      </c>
      <c r="F1454" s="89">
        <v>45593</v>
      </c>
      <c r="G1454" s="172">
        <v>45641</v>
      </c>
      <c r="H1454" s="34" t="s">
        <v>3139</v>
      </c>
      <c r="J1454" s="34" t="s">
        <v>4766</v>
      </c>
      <c r="L1454" s="36" t="s">
        <v>5008</v>
      </c>
      <c r="M1454" s="36" t="s">
        <v>181</v>
      </c>
      <c r="N1454" s="65" t="s">
        <v>5020</v>
      </c>
      <c r="O1454" s="34" t="s">
        <v>51</v>
      </c>
      <c r="P1454" s="68" t="s">
        <v>5021</v>
      </c>
      <c r="Q1454" s="68" t="s">
        <v>3709</v>
      </c>
      <c r="S1454" s="34" t="s">
        <v>5022</v>
      </c>
    </row>
    <row r="1455" spans="1:24" x14ac:dyDescent="0.25">
      <c r="A1455" s="32" t="s">
        <v>2180</v>
      </c>
      <c r="B1455" s="306" t="str">
        <f>IF((COUNTBLANK(G1455)=0),Stats!$E$7,IF((COUNTBLANK(E1455)=0),IF((COUNTBLANK(F1455)=0),IF((COUNTBLANK(U1455)=0),Stats!$E$6,Stats!$E$5),Stats!$E$4),""))</f>
        <v>Death</v>
      </c>
      <c r="C1455" s="41" t="s">
        <v>3111</v>
      </c>
      <c r="D1455" s="306" t="str">
        <f>IF(B1455=Stats!$E$6,Stats!$E$11,"")</f>
        <v/>
      </c>
      <c r="E1455" s="89">
        <v>45593</v>
      </c>
      <c r="F1455" s="89">
        <v>45593</v>
      </c>
      <c r="G1455" s="172">
        <v>45641</v>
      </c>
      <c r="H1455" s="34" t="s">
        <v>3139</v>
      </c>
      <c r="J1455" s="34" t="s">
        <v>4766</v>
      </c>
      <c r="L1455" s="36" t="s">
        <v>5008</v>
      </c>
      <c r="M1455" s="36" t="s">
        <v>181</v>
      </c>
      <c r="N1455" s="65" t="s">
        <v>5020</v>
      </c>
      <c r="O1455" s="34" t="s">
        <v>51</v>
      </c>
      <c r="P1455" s="68" t="s">
        <v>5021</v>
      </c>
      <c r="Q1455" s="68" t="s">
        <v>3709</v>
      </c>
      <c r="S1455" s="34" t="s">
        <v>5023</v>
      </c>
    </row>
    <row r="1456" spans="1:24" x14ac:dyDescent="0.25">
      <c r="A1456" s="32" t="s">
        <v>2181</v>
      </c>
      <c r="B1456" s="306" t="str">
        <f>IF((COUNTBLANK(G1456)=0),Stats!$E$7,IF((COUNTBLANK(E1456)=0),IF((COUNTBLANK(F1456)=0),IF((COUNTBLANK(U1456)=0),Stats!$E$6,Stats!$E$5),Stats!$E$4),""))</f>
        <v>Death</v>
      </c>
      <c r="C1456" s="41" t="s">
        <v>3111</v>
      </c>
      <c r="D1456" s="306" t="str">
        <f>IF(B1456=Stats!$E$6,Stats!$E$11,"")</f>
        <v/>
      </c>
      <c r="E1456" s="89">
        <v>45594</v>
      </c>
      <c r="F1456" s="89">
        <v>45594</v>
      </c>
      <c r="G1456" s="172">
        <v>45641</v>
      </c>
      <c r="H1456" s="34" t="s">
        <v>3139</v>
      </c>
      <c r="J1456" s="34" t="s">
        <v>4766</v>
      </c>
      <c r="L1456" s="36" t="s">
        <v>5008</v>
      </c>
      <c r="M1456" s="36" t="s">
        <v>181</v>
      </c>
      <c r="N1456" s="65" t="s">
        <v>5020</v>
      </c>
      <c r="O1456" s="34" t="s">
        <v>51</v>
      </c>
      <c r="P1456" s="68" t="s">
        <v>5021</v>
      </c>
      <c r="Q1456" s="68" t="s">
        <v>3709</v>
      </c>
      <c r="S1456" s="34" t="s">
        <v>5023</v>
      </c>
    </row>
    <row r="1457" spans="1:20" x14ac:dyDescent="0.25">
      <c r="A1457" s="32" t="s">
        <v>2182</v>
      </c>
      <c r="B1457" s="306" t="str">
        <f>IF((COUNTBLANK(G1457)=0),Stats!$E$7,IF((COUNTBLANK(E1457)=0),IF((COUNTBLANK(F1457)=0),IF((COUNTBLANK(U1457)=0),Stats!$E$6,Stats!$E$5),Stats!$E$4),""))</f>
        <v>Death</v>
      </c>
      <c r="C1457" s="41" t="s">
        <v>413</v>
      </c>
      <c r="D1457" s="306" t="str">
        <f>IF(B1457=Stats!$E$6,Stats!$E$11,"")</f>
        <v/>
      </c>
      <c r="E1457" s="89">
        <v>45595</v>
      </c>
      <c r="G1457" s="172">
        <v>45641</v>
      </c>
      <c r="H1457" s="34" t="s">
        <v>3156</v>
      </c>
      <c r="J1457" s="34" t="s">
        <v>152</v>
      </c>
      <c r="K1457" s="36" t="s">
        <v>189</v>
      </c>
      <c r="L1457" s="36" t="s">
        <v>5024</v>
      </c>
      <c r="P1457" s="68" t="s">
        <v>5021</v>
      </c>
      <c r="Q1457" s="68" t="s">
        <v>3709</v>
      </c>
      <c r="R1457" s="34" t="s">
        <v>279</v>
      </c>
      <c r="T1457" s="207" t="s">
        <v>3753</v>
      </c>
    </row>
    <row r="1458" spans="1:20" x14ac:dyDescent="0.25">
      <c r="A1458" s="32" t="s">
        <v>2183</v>
      </c>
      <c r="B1458" s="306" t="str">
        <f>IF((COUNTBLANK(G1458)=0),Stats!$E$7,IF((COUNTBLANK(E1458)=0),IF((COUNTBLANK(F1458)=0),IF((COUNTBLANK(U1458)=0),Stats!$E$6,Stats!$E$5),Stats!$E$4),""))</f>
        <v>Death</v>
      </c>
      <c r="C1458" s="41" t="s">
        <v>413</v>
      </c>
      <c r="D1458" s="306" t="str">
        <f>IF(B1458=Stats!$E$6,Stats!$E$11,"")</f>
        <v/>
      </c>
      <c r="E1458" s="89">
        <v>45595</v>
      </c>
      <c r="G1458" s="172">
        <v>45641</v>
      </c>
      <c r="H1458" s="34" t="s">
        <v>3156</v>
      </c>
      <c r="J1458" s="34" t="s">
        <v>152</v>
      </c>
      <c r="K1458" s="36" t="s">
        <v>5008</v>
      </c>
      <c r="L1458" s="36" t="s">
        <v>5025</v>
      </c>
      <c r="P1458" s="68" t="s">
        <v>5021</v>
      </c>
      <c r="Q1458" s="68" t="s">
        <v>3709</v>
      </c>
      <c r="R1458" s="34" t="s">
        <v>243</v>
      </c>
      <c r="T1458" s="207" t="s">
        <v>3753</v>
      </c>
    </row>
    <row r="1459" spans="1:20" x14ac:dyDescent="0.25">
      <c r="A1459" s="32" t="s">
        <v>2184</v>
      </c>
      <c r="B1459" s="306" t="str">
        <f>IF((COUNTBLANK(G1459)=0),Stats!$E$7,IF((COUNTBLANK(E1459)=0),IF((COUNTBLANK(F1459)=0),IF((COUNTBLANK(U1459)=0),Stats!$E$6,Stats!$E$5),Stats!$E$4),""))</f>
        <v>Death</v>
      </c>
      <c r="C1459" s="41" t="s">
        <v>413</v>
      </c>
      <c r="D1459" s="306" t="str">
        <f>IF(B1459=Stats!$E$6,Stats!$E$11,"")</f>
        <v/>
      </c>
      <c r="E1459" s="89">
        <v>45595</v>
      </c>
      <c r="G1459" s="172">
        <v>45641</v>
      </c>
      <c r="H1459" s="34" t="s">
        <v>3156</v>
      </c>
      <c r="J1459" s="34" t="s">
        <v>152</v>
      </c>
      <c r="K1459" s="36" t="s">
        <v>594</v>
      </c>
      <c r="L1459" s="36" t="s">
        <v>5026</v>
      </c>
      <c r="P1459" s="68" t="s">
        <v>5021</v>
      </c>
      <c r="Q1459" s="68" t="s">
        <v>3709</v>
      </c>
      <c r="R1459" s="34" t="s">
        <v>279</v>
      </c>
      <c r="T1459" s="207" t="s">
        <v>3753</v>
      </c>
    </row>
    <row r="1460" spans="1:20" x14ac:dyDescent="0.25">
      <c r="A1460" s="32" t="s">
        <v>2185</v>
      </c>
      <c r="B1460" s="306" t="str">
        <f>IF((COUNTBLANK(G1460)=0),Stats!$E$7,IF((COUNTBLANK(E1460)=0),IF((COUNTBLANK(F1460)=0),IF((COUNTBLANK(U1460)=0),Stats!$E$6,Stats!$E$5),Stats!$E$4),""))</f>
        <v>Death</v>
      </c>
      <c r="C1460" s="41" t="s">
        <v>240</v>
      </c>
      <c r="D1460" s="306" t="str">
        <f>IF(B1460=Stats!$E$6,Stats!$E$11,"")</f>
        <v/>
      </c>
      <c r="E1460" s="89">
        <v>45595</v>
      </c>
      <c r="G1460" s="172">
        <v>45641</v>
      </c>
      <c r="H1460" s="34" t="s">
        <v>385</v>
      </c>
      <c r="J1460" s="34" t="s">
        <v>3186</v>
      </c>
      <c r="K1460" s="36" t="s">
        <v>4993</v>
      </c>
      <c r="L1460" s="36" t="s">
        <v>155</v>
      </c>
      <c r="M1460" s="36" t="s">
        <v>181</v>
      </c>
      <c r="N1460" s="65" t="s">
        <v>4994</v>
      </c>
      <c r="O1460" s="34" t="s">
        <v>51</v>
      </c>
      <c r="P1460" s="68">
        <v>-300</v>
      </c>
      <c r="Q1460" s="68" t="s">
        <v>3709</v>
      </c>
    </row>
    <row r="1461" spans="1:20" x14ac:dyDescent="0.25">
      <c r="A1461" s="32" t="s">
        <v>2186</v>
      </c>
      <c r="B1461" s="306" t="str">
        <f>IF((COUNTBLANK(G1461)=0),Stats!$E$7,IF((COUNTBLANK(E1461)=0),IF((COUNTBLANK(F1461)=0),IF((COUNTBLANK(U1461)=0),Stats!$E$6,Stats!$E$5),Stats!$E$4),""))</f>
        <v>Death</v>
      </c>
      <c r="C1461" s="41" t="s">
        <v>240</v>
      </c>
      <c r="D1461" s="306" t="str">
        <f>IF(B1461=Stats!$E$6,Stats!$E$11,"")</f>
        <v/>
      </c>
      <c r="E1461" s="89">
        <v>45596</v>
      </c>
      <c r="G1461" s="89">
        <v>45601</v>
      </c>
      <c r="H1461" s="34" t="s">
        <v>385</v>
      </c>
      <c r="J1461" s="34" t="s">
        <v>3186</v>
      </c>
      <c r="K1461" s="36" t="s">
        <v>4993</v>
      </c>
      <c r="L1461" s="36" t="s">
        <v>5008</v>
      </c>
      <c r="M1461" s="36" t="s">
        <v>181</v>
      </c>
      <c r="N1461" s="65" t="s">
        <v>4994</v>
      </c>
      <c r="O1461" s="34" t="s">
        <v>51</v>
      </c>
      <c r="P1461" s="68">
        <v>-300</v>
      </c>
      <c r="Q1461" s="68" t="s">
        <v>5027</v>
      </c>
    </row>
    <row r="1462" spans="1:20" x14ac:dyDescent="0.25">
      <c r="A1462" s="32" t="s">
        <v>2187</v>
      </c>
      <c r="B1462" s="306" t="str">
        <f>IF((COUNTBLANK(G1462)=0),Stats!$E$7,IF((COUNTBLANK(E1462)=0),IF((COUNTBLANK(F1462)=0),IF((COUNTBLANK(U1462)=0),Stats!$E$6,Stats!$E$5),Stats!$E$4),""))</f>
        <v>Death</v>
      </c>
      <c r="C1462" s="41" t="s">
        <v>240</v>
      </c>
      <c r="D1462" s="306" t="str">
        <f>IF(B1462=Stats!$E$6,Stats!$E$11,"")</f>
        <v/>
      </c>
      <c r="E1462" s="89">
        <v>45596</v>
      </c>
      <c r="G1462" s="172">
        <v>45641</v>
      </c>
      <c r="H1462" s="34" t="s">
        <v>385</v>
      </c>
      <c r="J1462" s="34" t="s">
        <v>261</v>
      </c>
      <c r="K1462" s="36" t="s">
        <v>5008</v>
      </c>
      <c r="O1462" s="34" t="s">
        <v>51</v>
      </c>
      <c r="P1462" s="68">
        <v>-400</v>
      </c>
      <c r="Q1462" s="68" t="s">
        <v>5018</v>
      </c>
      <c r="T1462" s="34" t="s">
        <v>5028</v>
      </c>
    </row>
    <row r="1463" spans="1:20" x14ac:dyDescent="0.25">
      <c r="A1463" s="32" t="s">
        <v>2188</v>
      </c>
      <c r="B1463" s="306" t="str">
        <f>IF((COUNTBLANK(G1463)=0),Stats!$E$7,IF((COUNTBLANK(E1463)=0),IF((COUNTBLANK(F1463)=0),IF((COUNTBLANK(U1463)=0),Stats!$E$6,Stats!$E$5),Stats!$E$4),""))</f>
        <v>Death</v>
      </c>
      <c r="C1463" s="41" t="s">
        <v>240</v>
      </c>
      <c r="D1463" s="306" t="str">
        <f>IF(B1463=Stats!$E$6,Stats!$E$11,"")</f>
        <v/>
      </c>
      <c r="E1463" s="89">
        <v>45604</v>
      </c>
      <c r="G1463" s="172">
        <v>45641</v>
      </c>
      <c r="H1463" s="34" t="s">
        <v>385</v>
      </c>
      <c r="J1463" s="34" t="s">
        <v>261</v>
      </c>
      <c r="O1463" s="34" t="s">
        <v>51</v>
      </c>
      <c r="P1463" s="68">
        <v>-400</v>
      </c>
      <c r="Q1463" s="68" t="s">
        <v>5027</v>
      </c>
      <c r="T1463" s="34" t="s">
        <v>5029</v>
      </c>
    </row>
    <row r="1464" spans="1:20" x14ac:dyDescent="0.25">
      <c r="A1464" s="32" t="s">
        <v>2189</v>
      </c>
      <c r="B1464" s="306" t="str">
        <f>IF((COUNTBLANK(G1464)=0),Stats!$E$7,IF((COUNTBLANK(E1464)=0),IF((COUNTBLANK(F1464)=0),IF((COUNTBLANK(U1464)=0),Stats!$E$6,Stats!$E$5),Stats!$E$4),""))</f>
        <v>Death</v>
      </c>
      <c r="C1464" s="41" t="s">
        <v>240</v>
      </c>
      <c r="D1464" s="306" t="str">
        <f>IF(B1464=Stats!$E$6,Stats!$E$11,"")</f>
        <v/>
      </c>
      <c r="E1464" s="89">
        <v>45607</v>
      </c>
      <c r="G1464" s="89">
        <v>45614</v>
      </c>
      <c r="H1464" s="34" t="s">
        <v>385</v>
      </c>
      <c r="J1464" s="34" t="s">
        <v>3186</v>
      </c>
      <c r="K1464" s="36" t="s">
        <v>155</v>
      </c>
      <c r="L1464" s="36" t="s">
        <v>181</v>
      </c>
      <c r="M1464" s="36" t="s">
        <v>4994</v>
      </c>
      <c r="O1464" s="34" t="s">
        <v>51</v>
      </c>
      <c r="P1464" s="68">
        <v>-300</v>
      </c>
      <c r="Q1464" s="68" t="s">
        <v>5027</v>
      </c>
      <c r="T1464" s="34" t="s">
        <v>5029</v>
      </c>
    </row>
    <row r="1465" spans="1:20" x14ac:dyDescent="0.25">
      <c r="A1465" s="32" t="s">
        <v>2190</v>
      </c>
      <c r="B1465" s="306" t="str">
        <f>IF((COUNTBLANK(G1465)=0),Stats!$E$7,IF((COUNTBLANK(E1465)=0),IF((COUNTBLANK(F1465)=0),IF((COUNTBLANK(U1465)=0),Stats!$E$6,Stats!$E$5),Stats!$E$4),""))</f>
        <v>Death</v>
      </c>
      <c r="C1465" s="41" t="s">
        <v>240</v>
      </c>
      <c r="D1465" s="306" t="str">
        <f>IF(B1465=Stats!$E$6,Stats!$E$11,"")</f>
        <v/>
      </c>
      <c r="E1465" s="89">
        <v>45607</v>
      </c>
      <c r="G1465" s="89">
        <v>45610</v>
      </c>
      <c r="H1465" s="34" t="s">
        <v>385</v>
      </c>
      <c r="J1465" s="34" t="s">
        <v>261</v>
      </c>
      <c r="O1465" s="34" t="s">
        <v>51</v>
      </c>
      <c r="P1465" s="68">
        <v>-400</v>
      </c>
      <c r="Q1465" s="68" t="s">
        <v>5027</v>
      </c>
      <c r="T1465" s="34" t="s">
        <v>5030</v>
      </c>
    </row>
    <row r="1466" spans="1:20" x14ac:dyDescent="0.25">
      <c r="A1466" s="32" t="s">
        <v>2191</v>
      </c>
      <c r="B1466" s="306" t="str">
        <f>IF((COUNTBLANK(G1466)=0),Stats!$E$7,IF((COUNTBLANK(E1466)=0),IF((COUNTBLANK(F1466)=0),IF((COUNTBLANK(U1466)=0),Stats!$E$6,Stats!$E$5),Stats!$E$4),""))</f>
        <v>Death</v>
      </c>
      <c r="C1466" s="41" t="s">
        <v>240</v>
      </c>
      <c r="D1466" s="306" t="str">
        <f>IF(B1466=Stats!$E$6,Stats!$E$11,"")</f>
        <v/>
      </c>
      <c r="E1466" s="89">
        <v>45607</v>
      </c>
      <c r="G1466" s="172">
        <v>45641</v>
      </c>
      <c r="H1466" s="34" t="s">
        <v>385</v>
      </c>
      <c r="J1466" s="34" t="s">
        <v>3186</v>
      </c>
      <c r="K1466" s="36" t="s">
        <v>181</v>
      </c>
      <c r="L1466" s="36" t="s">
        <v>4994</v>
      </c>
      <c r="O1466" s="34" t="s">
        <v>51</v>
      </c>
      <c r="P1466" s="68">
        <v>-300</v>
      </c>
      <c r="Q1466" s="68" t="s">
        <v>5027</v>
      </c>
      <c r="T1466" s="34" t="s">
        <v>5030</v>
      </c>
    </row>
    <row r="1467" spans="1:20" hidden="1" x14ac:dyDescent="0.25">
      <c r="A1467" s="32"/>
      <c r="B1467" s="306"/>
      <c r="C1467" s="41"/>
      <c r="D1467" s="306"/>
    </row>
    <row r="1468" spans="1:20" hidden="1" x14ac:dyDescent="0.25">
      <c r="A1468" s="32" t="s">
        <v>2192</v>
      </c>
      <c r="B1468" s="306" t="str">
        <f>IF((COUNTBLANK(G1468)=0),Stats!$E$7,IF((COUNTBLANK(E1468)=0),IF((COUNTBLANK(F1468)=0),IF((COUNTBLANK(U1468)=0),Stats!$E$6,Stats!$E$5),Stats!$E$4),""))</f>
        <v/>
      </c>
      <c r="C1468" s="41"/>
      <c r="D1468" s="306" t="str">
        <f>IF(B1468=Stats!$E$6,Stats!$E$11,"")</f>
        <v/>
      </c>
    </row>
    <row r="1469" spans="1:20" hidden="1" x14ac:dyDescent="0.25">
      <c r="A1469" s="32" t="s">
        <v>2193</v>
      </c>
      <c r="B1469" s="306" t="str">
        <f>IF((COUNTBLANK(G1469)=0),Stats!$E$7,IF((COUNTBLANK(E1469)=0),IF((COUNTBLANK(F1469)=0),IF((COUNTBLANK(U1469)=0),Stats!$E$6,Stats!$E$5),Stats!$E$4),""))</f>
        <v/>
      </c>
      <c r="C1469" s="41"/>
      <c r="D1469" s="306" t="str">
        <f>IF(B1469=Stats!$E$6,Stats!$E$11,"")</f>
        <v/>
      </c>
    </row>
    <row r="1470" spans="1:20" hidden="1" x14ac:dyDescent="0.25">
      <c r="A1470" s="32" t="s">
        <v>2194</v>
      </c>
      <c r="B1470" s="306" t="str">
        <f>IF((COUNTBLANK(G1470)=0),Stats!$E$7,IF((COUNTBLANK(E1470)=0),IF((COUNTBLANK(F1470)=0),IF((COUNTBLANK(U1470)=0),Stats!$E$6,Stats!$E$5),Stats!$E$4),""))</f>
        <v/>
      </c>
      <c r="C1470" s="41"/>
      <c r="D1470" s="306" t="str">
        <f>IF(B1470=Stats!$E$6,Stats!$E$11,"")</f>
        <v/>
      </c>
    </row>
    <row r="1471" spans="1:20" hidden="1" x14ac:dyDescent="0.25">
      <c r="A1471" s="32" t="s">
        <v>2195</v>
      </c>
      <c r="B1471" s="306" t="str">
        <f>IF((COUNTBLANK(G1471)=0),Stats!$E$7,IF((COUNTBLANK(E1471)=0),IF((COUNTBLANK(F1471)=0),IF((COUNTBLANK(U1471)=0),Stats!$E$6,Stats!$E$5),Stats!$E$4),""))</f>
        <v/>
      </c>
      <c r="C1471" s="41"/>
      <c r="D1471" s="306" t="str">
        <f>IF(B1471=Stats!$E$6,Stats!$E$11,"")</f>
        <v/>
      </c>
    </row>
    <row r="1472" spans="1:20" hidden="1" x14ac:dyDescent="0.25">
      <c r="A1472" s="32" t="s">
        <v>2196</v>
      </c>
      <c r="B1472" s="306" t="str">
        <f>IF((COUNTBLANK(G1472)=0),Stats!$E$7,IF((COUNTBLANK(E1472)=0),IF((COUNTBLANK(F1472)=0),IF((COUNTBLANK(U1472)=0),Stats!$E$6,Stats!$E$5),Stats!$E$4),""))</f>
        <v/>
      </c>
      <c r="C1472" s="41"/>
      <c r="D1472" s="306" t="str">
        <f>IF(B1472=Stats!$E$6,Stats!$E$11,"")</f>
        <v/>
      </c>
    </row>
    <row r="1473" spans="1:4" hidden="1" x14ac:dyDescent="0.25">
      <c r="A1473" s="32" t="s">
        <v>2197</v>
      </c>
      <c r="B1473" s="306" t="str">
        <f>IF((COUNTBLANK(G1473)=0),Stats!$E$7,IF((COUNTBLANK(E1473)=0),IF((COUNTBLANK(F1473)=0),IF((COUNTBLANK(U1473)=0),Stats!$E$6,Stats!$E$5),Stats!$E$4),""))</f>
        <v/>
      </c>
      <c r="C1473" s="41"/>
      <c r="D1473" s="306" t="str">
        <f>IF(B1473=Stats!$E$6,Stats!$E$11,"")</f>
        <v/>
      </c>
    </row>
    <row r="1474" spans="1:4" hidden="1" x14ac:dyDescent="0.25">
      <c r="A1474" s="32" t="s">
        <v>2198</v>
      </c>
      <c r="B1474" s="306" t="str">
        <f>IF((COUNTBLANK(G1474)=0),Stats!$E$7,IF((COUNTBLANK(E1474)=0),IF((COUNTBLANK(F1474)=0),IF((COUNTBLANK(U1474)=0),Stats!$E$6,Stats!$E$5),Stats!$E$4),""))</f>
        <v/>
      </c>
      <c r="C1474" s="41"/>
      <c r="D1474" s="306" t="str">
        <f>IF(B1474=Stats!$E$6,Stats!$E$11,"")</f>
        <v/>
      </c>
    </row>
    <row r="1475" spans="1:4" hidden="1" x14ac:dyDescent="0.25">
      <c r="A1475" s="32" t="s">
        <v>2199</v>
      </c>
      <c r="B1475" s="306" t="str">
        <f>IF((COUNTBLANK(G1475)=0),Stats!$E$7,IF((COUNTBLANK(E1475)=0),IF((COUNTBLANK(F1475)=0),IF((COUNTBLANK(U1475)=0),Stats!$E$6,Stats!$E$5),Stats!$E$4),""))</f>
        <v/>
      </c>
      <c r="C1475" s="41"/>
      <c r="D1475" s="306" t="str">
        <f>IF(B1475=Stats!$E$6,Stats!$E$11,"")</f>
        <v/>
      </c>
    </row>
    <row r="1476" spans="1:4" hidden="1" x14ac:dyDescent="0.25">
      <c r="A1476" s="32" t="s">
        <v>2200</v>
      </c>
      <c r="B1476" s="306" t="str">
        <f>IF((COUNTBLANK(G1476)=0),Stats!$E$7,IF((COUNTBLANK(E1476)=0),IF((COUNTBLANK(F1476)=0),IF((COUNTBLANK(U1476)=0),Stats!$E$6,Stats!$E$5),Stats!$E$4),""))</f>
        <v/>
      </c>
      <c r="C1476" s="41"/>
      <c r="D1476" s="306" t="str">
        <f>IF(B1476=Stats!$E$6,Stats!$E$11,"")</f>
        <v/>
      </c>
    </row>
    <row r="1477" spans="1:4" hidden="1" x14ac:dyDescent="0.25">
      <c r="A1477" s="32" t="s">
        <v>2201</v>
      </c>
      <c r="B1477" s="306" t="str">
        <f>IF((COUNTBLANK(G1477)=0),Stats!$E$7,IF((COUNTBLANK(E1477)=0),IF((COUNTBLANK(F1477)=0),IF((COUNTBLANK(U1477)=0),Stats!$E$6,Stats!$E$5),Stats!$E$4),""))</f>
        <v/>
      </c>
      <c r="C1477" s="41"/>
      <c r="D1477" s="306" t="str">
        <f>IF(B1477=Stats!$E$6,Stats!$E$11,"")</f>
        <v/>
      </c>
    </row>
    <row r="1478" spans="1:4" hidden="1" x14ac:dyDescent="0.25">
      <c r="A1478" s="32" t="s">
        <v>2202</v>
      </c>
      <c r="B1478" s="306" t="str">
        <f>IF((COUNTBLANK(G1478)=0),Stats!$E$7,IF((COUNTBLANK(E1478)=0),IF((COUNTBLANK(F1478)=0),IF((COUNTBLANK(U1478)=0),Stats!$E$6,Stats!$E$5),Stats!$E$4),""))</f>
        <v/>
      </c>
      <c r="C1478" s="41"/>
      <c r="D1478" s="306" t="str">
        <f>IF(B1478=Stats!$E$6,Stats!$E$11,"")</f>
        <v/>
      </c>
    </row>
    <row r="1479" spans="1:4" hidden="1" x14ac:dyDescent="0.25">
      <c r="A1479" s="32" t="s">
        <v>2203</v>
      </c>
      <c r="B1479" s="306" t="str">
        <f>IF((COUNTBLANK(G1479)=0),Stats!$E$7,IF((COUNTBLANK(E1479)=0),IF((COUNTBLANK(F1479)=0),IF((COUNTBLANK(U1479)=0),Stats!$E$6,Stats!$E$5),Stats!$E$4),""))</f>
        <v/>
      </c>
      <c r="C1479" s="41"/>
      <c r="D1479" s="306" t="str">
        <f>IF(B1479=Stats!$E$6,Stats!$E$11,"")</f>
        <v/>
      </c>
    </row>
    <row r="1480" spans="1:4" hidden="1" x14ac:dyDescent="0.25">
      <c r="A1480" s="32" t="s">
        <v>2204</v>
      </c>
      <c r="B1480" s="306" t="str">
        <f>IF((COUNTBLANK(G1480)=0),Stats!$E$7,IF((COUNTBLANK(E1480)=0),IF((COUNTBLANK(F1480)=0),IF((COUNTBLANK(U1480)=0),Stats!$E$6,Stats!$E$5),Stats!$E$4),""))</f>
        <v/>
      </c>
      <c r="C1480" s="41"/>
      <c r="D1480" s="306" t="str">
        <f>IF(B1480=Stats!$E$6,Stats!$E$11,"")</f>
        <v/>
      </c>
    </row>
    <row r="1481" spans="1:4" hidden="1" x14ac:dyDescent="0.25">
      <c r="A1481" s="32" t="s">
        <v>2205</v>
      </c>
      <c r="B1481" s="306" t="str">
        <f>IF((COUNTBLANK(G1481)=0),Stats!$E$7,IF((COUNTBLANK(E1481)=0),IF((COUNTBLANK(F1481)=0),IF((COUNTBLANK(U1481)=0),Stats!$E$6,Stats!$E$5),Stats!$E$4),""))</f>
        <v/>
      </c>
      <c r="C1481" s="41"/>
      <c r="D1481" s="306" t="str">
        <f>IF(B1481=Stats!$E$6,Stats!$E$11,"")</f>
        <v/>
      </c>
    </row>
    <row r="1482" spans="1:4" hidden="1" x14ac:dyDescent="0.25">
      <c r="A1482" s="32" t="s">
        <v>2206</v>
      </c>
      <c r="B1482" s="306" t="str">
        <f>IF((COUNTBLANK(G1482)=0),Stats!$E$7,IF((COUNTBLANK(E1482)=0),IF((COUNTBLANK(F1482)=0),IF((COUNTBLANK(U1482)=0),Stats!$E$6,Stats!$E$5),Stats!$E$4),""))</f>
        <v/>
      </c>
      <c r="C1482" s="41"/>
      <c r="D1482" s="306" t="str">
        <f>IF(B1482=Stats!$E$6,Stats!$E$11,"")</f>
        <v/>
      </c>
    </row>
    <row r="1483" spans="1:4" hidden="1" x14ac:dyDescent="0.25">
      <c r="A1483" s="32" t="s">
        <v>2207</v>
      </c>
      <c r="B1483" s="306" t="str">
        <f>IF((COUNTBLANK(G1483)=0),Stats!$E$7,IF((COUNTBLANK(E1483)=0),IF((COUNTBLANK(F1483)=0),IF((COUNTBLANK(U1483)=0),Stats!$E$6,Stats!$E$5),Stats!$E$4),""))</f>
        <v/>
      </c>
      <c r="C1483" s="41"/>
      <c r="D1483" s="306" t="str">
        <f>IF(B1483=Stats!$E$6,Stats!$E$11,"")</f>
        <v/>
      </c>
    </row>
    <row r="1484" spans="1:4" hidden="1" x14ac:dyDescent="0.25">
      <c r="A1484" s="32" t="s">
        <v>2208</v>
      </c>
      <c r="B1484" s="306" t="str">
        <f>IF((COUNTBLANK(G1484)=0),Stats!$E$7,IF((COUNTBLANK(E1484)=0),IF((COUNTBLANK(F1484)=0),IF((COUNTBLANK(U1484)=0),Stats!$E$6,Stats!$E$5),Stats!$E$4),""))</f>
        <v/>
      </c>
      <c r="C1484" s="41"/>
      <c r="D1484" s="306" t="str">
        <f>IF(B1484=Stats!$E$6,Stats!$E$11,"")</f>
        <v/>
      </c>
    </row>
    <row r="1485" spans="1:4" hidden="1" x14ac:dyDescent="0.25">
      <c r="A1485" s="32" t="s">
        <v>2209</v>
      </c>
      <c r="B1485" s="306" t="str">
        <f>IF((COUNTBLANK(G1485)=0),Stats!$E$7,IF((COUNTBLANK(E1485)=0),IF((COUNTBLANK(F1485)=0),IF((COUNTBLANK(U1485)=0),Stats!$E$6,Stats!$E$5),Stats!$E$4),""))</f>
        <v/>
      </c>
      <c r="C1485" s="41"/>
      <c r="D1485" s="306" t="str">
        <f>IF(B1485=Stats!$E$6,Stats!$E$11,"")</f>
        <v/>
      </c>
    </row>
    <row r="1486" spans="1:4" hidden="1" x14ac:dyDescent="0.25">
      <c r="A1486" s="32" t="s">
        <v>2210</v>
      </c>
      <c r="B1486" s="306" t="str">
        <f>IF((COUNTBLANK(G1486)=0),Stats!$E$7,IF((COUNTBLANK(E1486)=0),IF((COUNTBLANK(F1486)=0),IF((COUNTBLANK(U1486)=0),Stats!$E$6,Stats!$E$5),Stats!$E$4),""))</f>
        <v/>
      </c>
      <c r="C1486" s="41"/>
      <c r="D1486" s="306" t="str">
        <f>IF(B1486=Stats!$E$6,Stats!$E$11,"")</f>
        <v/>
      </c>
    </row>
    <row r="1487" spans="1:4" hidden="1" x14ac:dyDescent="0.25">
      <c r="A1487" s="32" t="s">
        <v>2211</v>
      </c>
      <c r="B1487" s="306" t="str">
        <f>IF((COUNTBLANK(G1487)=0),Stats!$E$7,IF((COUNTBLANK(E1487)=0),IF((COUNTBLANK(F1487)=0),IF((COUNTBLANK(U1487)=0),Stats!$E$6,Stats!$E$5),Stats!$E$4),""))</f>
        <v/>
      </c>
      <c r="C1487" s="41"/>
      <c r="D1487" s="306" t="str">
        <f>IF(B1487=Stats!$E$6,Stats!$E$11,"")</f>
        <v/>
      </c>
    </row>
    <row r="1488" spans="1:4" hidden="1" x14ac:dyDescent="0.25">
      <c r="A1488" s="32" t="s">
        <v>2212</v>
      </c>
      <c r="B1488" s="306" t="str">
        <f>IF((COUNTBLANK(G1488)=0),Stats!$E$7,IF((COUNTBLANK(E1488)=0),IF((COUNTBLANK(F1488)=0),IF((COUNTBLANK(U1488)=0),Stats!$E$6,Stats!$E$5),Stats!$E$4),""))</f>
        <v/>
      </c>
      <c r="C1488" s="41"/>
      <c r="D1488" s="306" t="str">
        <f>IF(B1488=Stats!$E$6,Stats!$E$11,"")</f>
        <v/>
      </c>
    </row>
    <row r="1489" spans="1:4" hidden="1" x14ac:dyDescent="0.25">
      <c r="A1489" s="32" t="s">
        <v>2213</v>
      </c>
      <c r="B1489" s="306" t="str">
        <f>IF((COUNTBLANK(G1489)=0),Stats!$E$7,IF((COUNTBLANK(E1489)=0),IF((COUNTBLANK(F1489)=0),IF((COUNTBLANK(U1489)=0),Stats!$E$6,Stats!$E$5),Stats!$E$4),""))</f>
        <v/>
      </c>
      <c r="C1489" s="41"/>
      <c r="D1489" s="306" t="str">
        <f>IF(B1489=Stats!$E$6,Stats!$E$11,"")</f>
        <v/>
      </c>
    </row>
    <row r="1490" spans="1:4" hidden="1" x14ac:dyDescent="0.25">
      <c r="A1490" s="32" t="s">
        <v>2214</v>
      </c>
      <c r="B1490" s="306" t="str">
        <f>IF((COUNTBLANK(G1490)=0),Stats!$E$7,IF((COUNTBLANK(E1490)=0),IF((COUNTBLANK(F1490)=0),IF((COUNTBLANK(U1490)=0),Stats!$E$6,Stats!$E$5),Stats!$E$4),""))</f>
        <v/>
      </c>
      <c r="C1490" s="41"/>
      <c r="D1490" s="306" t="str">
        <f>IF(B1490=Stats!$E$6,Stats!$E$11,"")</f>
        <v/>
      </c>
    </row>
    <row r="1491" spans="1:4" hidden="1" x14ac:dyDescent="0.25">
      <c r="A1491" s="32" t="s">
        <v>2215</v>
      </c>
      <c r="B1491" s="306" t="str">
        <f>IF((COUNTBLANK(G1491)=0),Stats!$E$7,IF((COUNTBLANK(E1491)=0),IF((COUNTBLANK(F1491)=0),IF((COUNTBLANK(U1491)=0),Stats!$E$6,Stats!$E$5),Stats!$E$4),""))</f>
        <v/>
      </c>
      <c r="C1491" s="41"/>
      <c r="D1491" s="306" t="str">
        <f>IF(B1491=Stats!$E$6,Stats!$E$11,"")</f>
        <v/>
      </c>
    </row>
    <row r="1492" spans="1:4" hidden="1" x14ac:dyDescent="0.25">
      <c r="A1492" s="32" t="s">
        <v>2216</v>
      </c>
      <c r="B1492" s="306" t="str">
        <f>IF((COUNTBLANK(G1492)=0),Stats!$E$7,IF((COUNTBLANK(E1492)=0),IF((COUNTBLANK(F1492)=0),IF((COUNTBLANK(U1492)=0),Stats!$E$6,Stats!$E$5),Stats!$E$4),""))</f>
        <v/>
      </c>
      <c r="C1492" s="41"/>
      <c r="D1492" s="306" t="str">
        <f>IF(B1492=Stats!$E$6,Stats!$E$11,"")</f>
        <v/>
      </c>
    </row>
    <row r="1493" spans="1:4" hidden="1" x14ac:dyDescent="0.25">
      <c r="A1493" s="32" t="s">
        <v>2217</v>
      </c>
      <c r="B1493" s="306" t="str">
        <f>IF((COUNTBLANK(G1493)=0),Stats!$E$7,IF((COUNTBLANK(E1493)=0),IF((COUNTBLANK(F1493)=0),IF((COUNTBLANK(U1493)=0),Stats!$E$6,Stats!$E$5),Stats!$E$4),""))</f>
        <v/>
      </c>
      <c r="C1493" s="41"/>
      <c r="D1493" s="306" t="str">
        <f>IF(B1493=Stats!$E$6,Stats!$E$11,"")</f>
        <v/>
      </c>
    </row>
    <row r="1494" spans="1:4" hidden="1" x14ac:dyDescent="0.25">
      <c r="A1494" s="32" t="s">
        <v>2218</v>
      </c>
      <c r="B1494" s="306" t="str">
        <f>IF((COUNTBLANK(G1494)=0),Stats!$E$7,IF((COUNTBLANK(E1494)=0),IF((COUNTBLANK(F1494)=0),IF((COUNTBLANK(U1494)=0),Stats!$E$6,Stats!$E$5),Stats!$E$4),""))</f>
        <v/>
      </c>
      <c r="C1494" s="41"/>
      <c r="D1494" s="306" t="str">
        <f>IF(B1494=Stats!$E$6,Stats!$E$11,"")</f>
        <v/>
      </c>
    </row>
    <row r="1495" spans="1:4" hidden="1" x14ac:dyDescent="0.25">
      <c r="A1495" s="32" t="s">
        <v>2219</v>
      </c>
      <c r="B1495" s="306" t="str">
        <f>IF((COUNTBLANK(G1495)=0),Stats!$E$7,IF((COUNTBLANK(E1495)=0),IF((COUNTBLANK(F1495)=0),IF((COUNTBLANK(U1495)=0),Stats!$E$6,Stats!$E$5),Stats!$E$4),""))</f>
        <v/>
      </c>
      <c r="C1495" s="41"/>
      <c r="D1495" s="306" t="str">
        <f>IF(B1495=Stats!$E$6,Stats!$E$11,"")</f>
        <v/>
      </c>
    </row>
    <row r="1496" spans="1:4" hidden="1" x14ac:dyDescent="0.25">
      <c r="A1496" s="32" t="s">
        <v>2220</v>
      </c>
      <c r="B1496" s="306" t="str">
        <f>IF((COUNTBLANK(G1496)=0),Stats!$E$7,IF((COUNTBLANK(E1496)=0),IF((COUNTBLANK(F1496)=0),IF((COUNTBLANK(U1496)=0),Stats!$E$6,Stats!$E$5),Stats!$E$4),""))</f>
        <v/>
      </c>
      <c r="C1496" s="41"/>
      <c r="D1496" s="306" t="str">
        <f>IF(B1496=Stats!$E$6,Stats!$E$11,"")</f>
        <v/>
      </c>
    </row>
    <row r="1497" spans="1:4" hidden="1" x14ac:dyDescent="0.25">
      <c r="A1497" s="32" t="s">
        <v>2221</v>
      </c>
      <c r="B1497" s="306" t="str">
        <f>IF((COUNTBLANK(G1497)=0),Stats!$E$7,IF((COUNTBLANK(E1497)=0),IF((COUNTBLANK(F1497)=0),IF((COUNTBLANK(U1497)=0),Stats!$E$6,Stats!$E$5),Stats!$E$4),""))</f>
        <v/>
      </c>
      <c r="C1497" s="41"/>
      <c r="D1497" s="306" t="str">
        <f>IF(B1497=Stats!$E$6,Stats!$E$11,"")</f>
        <v/>
      </c>
    </row>
    <row r="1498" spans="1:4" hidden="1" x14ac:dyDescent="0.25">
      <c r="A1498" s="32" t="s">
        <v>2222</v>
      </c>
      <c r="B1498" s="306" t="str">
        <f>IF((COUNTBLANK(G1498)=0),Stats!$E$7,IF((COUNTBLANK(E1498)=0),IF((COUNTBLANK(F1498)=0),IF((COUNTBLANK(U1498)=0),Stats!$E$6,Stats!$E$5),Stats!$E$4),""))</f>
        <v/>
      </c>
      <c r="C1498" s="41"/>
      <c r="D1498" s="306" t="str">
        <f>IF(B1498=Stats!$E$6,Stats!$E$11,"")</f>
        <v/>
      </c>
    </row>
    <row r="1499" spans="1:4" hidden="1" x14ac:dyDescent="0.25">
      <c r="A1499" s="32" t="s">
        <v>2223</v>
      </c>
      <c r="B1499" s="306" t="str">
        <f>IF((COUNTBLANK(G1499)=0),Stats!$E$7,IF((COUNTBLANK(E1499)=0),IF((COUNTBLANK(F1499)=0),IF((COUNTBLANK(U1499)=0),Stats!$E$6,Stats!$E$5),Stats!$E$4),""))</f>
        <v/>
      </c>
      <c r="C1499" s="41"/>
      <c r="D1499" s="306" t="str">
        <f>IF(B1499=Stats!$E$6,Stats!$E$11,"")</f>
        <v/>
      </c>
    </row>
    <row r="1500" spans="1:4" hidden="1" x14ac:dyDescent="0.25">
      <c r="A1500" s="32" t="s">
        <v>2224</v>
      </c>
      <c r="B1500" s="306" t="str">
        <f>IF((COUNTBLANK(G1500)=0),Stats!$E$7,IF((COUNTBLANK(E1500)=0),IF((COUNTBLANK(F1500)=0),IF((COUNTBLANK(U1500)=0),Stats!$E$6,Stats!$E$5),Stats!$E$4),""))</f>
        <v/>
      </c>
      <c r="C1500" s="41"/>
      <c r="D1500" s="306" t="str">
        <f>IF(B1500=Stats!$E$6,Stats!$E$11,"")</f>
        <v/>
      </c>
    </row>
    <row r="1501" spans="1:4" hidden="1" x14ac:dyDescent="0.25">
      <c r="A1501" s="32" t="s">
        <v>2225</v>
      </c>
      <c r="B1501" s="306" t="str">
        <f>IF((COUNTBLANK(G1501)=0),Stats!$E$7,IF((COUNTBLANK(E1501)=0),IF((COUNTBLANK(F1501)=0),IF((COUNTBLANK(U1501)=0),Stats!$E$6,Stats!$E$5),Stats!$E$4),""))</f>
        <v/>
      </c>
      <c r="C1501" s="41"/>
      <c r="D1501" s="306" t="str">
        <f>IF(B1501=Stats!$E$6,Stats!$E$11,"")</f>
        <v/>
      </c>
    </row>
    <row r="1502" spans="1:4" hidden="1" x14ac:dyDescent="0.25">
      <c r="A1502" s="32" t="s">
        <v>2226</v>
      </c>
      <c r="B1502" s="306" t="str">
        <f>IF((COUNTBLANK(G1502)=0),Stats!$E$7,IF((COUNTBLANK(E1502)=0),IF((COUNTBLANK(F1502)=0),IF((COUNTBLANK(U1502)=0),Stats!$E$6,Stats!$E$5),Stats!$E$4),""))</f>
        <v/>
      </c>
      <c r="C1502" s="41"/>
      <c r="D1502" s="306" t="str">
        <f>IF(B1502=Stats!$E$6,Stats!$E$11,"")</f>
        <v/>
      </c>
    </row>
    <row r="1503" spans="1:4" hidden="1" x14ac:dyDescent="0.25">
      <c r="A1503" s="32" t="s">
        <v>2227</v>
      </c>
      <c r="B1503" s="306" t="str">
        <f>IF((COUNTBLANK(G1503)=0),Stats!$E$7,IF((COUNTBLANK(E1503)=0),IF((COUNTBLANK(F1503)=0),IF((COUNTBLANK(U1503)=0),Stats!$E$6,Stats!$E$5),Stats!$E$4),""))</f>
        <v/>
      </c>
      <c r="C1503" s="41"/>
      <c r="D1503" s="306" t="str">
        <f>IF(B1503=Stats!$E$6,Stats!$E$11,"")</f>
        <v/>
      </c>
    </row>
    <row r="1504" spans="1:4" hidden="1" x14ac:dyDescent="0.25">
      <c r="A1504" s="32" t="s">
        <v>2228</v>
      </c>
      <c r="B1504" s="306" t="str">
        <f>IF((COUNTBLANK(G1504)=0),Stats!$E$7,IF((COUNTBLANK(E1504)=0),IF((COUNTBLANK(F1504)=0),IF((COUNTBLANK(U1504)=0),Stats!$E$6,Stats!$E$5),Stats!$E$4),""))</f>
        <v/>
      </c>
      <c r="C1504" s="41"/>
      <c r="D1504" s="306" t="str">
        <f>IF(B1504=Stats!$E$6,Stats!$E$11,"")</f>
        <v/>
      </c>
    </row>
    <row r="1505" spans="1:4" hidden="1" x14ac:dyDescent="0.25">
      <c r="A1505" s="32" t="s">
        <v>2229</v>
      </c>
      <c r="B1505" s="306" t="str">
        <f>IF((COUNTBLANK(G1505)=0),Stats!$E$7,IF((COUNTBLANK(E1505)=0),IF((COUNTBLANK(F1505)=0),IF((COUNTBLANK(U1505)=0),Stats!$E$6,Stats!$E$5),Stats!$E$4),""))</f>
        <v/>
      </c>
      <c r="C1505" s="41"/>
      <c r="D1505" s="306" t="str">
        <f>IF(B1505=Stats!$E$6,Stats!$E$11,"")</f>
        <v/>
      </c>
    </row>
    <row r="1506" spans="1:4" hidden="1" x14ac:dyDescent="0.25">
      <c r="A1506" s="32" t="s">
        <v>2230</v>
      </c>
      <c r="B1506" s="306" t="str">
        <f>IF((COUNTBLANK(G1506)=0),Stats!$E$7,IF((COUNTBLANK(E1506)=0),IF((COUNTBLANK(F1506)=0),IF((COUNTBLANK(U1506)=0),Stats!$E$6,Stats!$E$5),Stats!$E$4),""))</f>
        <v/>
      </c>
      <c r="C1506" s="41"/>
      <c r="D1506" s="306" t="str">
        <f>IF(B1506=Stats!$E$6,Stats!$E$11,"")</f>
        <v/>
      </c>
    </row>
    <row r="1507" spans="1:4" hidden="1" x14ac:dyDescent="0.25">
      <c r="A1507" s="32" t="s">
        <v>2231</v>
      </c>
      <c r="B1507" s="306" t="str">
        <f>IF((COUNTBLANK(G1507)=0),Stats!$E$7,IF((COUNTBLANK(E1507)=0),IF((COUNTBLANK(F1507)=0),IF((COUNTBLANK(U1507)=0),Stats!$E$6,Stats!$E$5),Stats!$E$4),""))</f>
        <v/>
      </c>
      <c r="C1507" s="41"/>
      <c r="D1507" s="306" t="str">
        <f>IF(B1507=Stats!$E$6,Stats!$E$11,"")</f>
        <v/>
      </c>
    </row>
    <row r="1508" spans="1:4" hidden="1" x14ac:dyDescent="0.25">
      <c r="A1508" s="32" t="s">
        <v>2232</v>
      </c>
      <c r="B1508" s="306" t="str">
        <f>IF((COUNTBLANK(G1508)=0),Stats!$E$7,IF((COUNTBLANK(E1508)=0),IF((COUNTBLANK(F1508)=0),IF((COUNTBLANK(U1508)=0),Stats!$E$6,Stats!$E$5),Stats!$E$4),""))</f>
        <v/>
      </c>
      <c r="C1508" s="41"/>
      <c r="D1508" s="306" t="str">
        <f>IF(B1508=Stats!$E$6,Stats!$E$11,"")</f>
        <v/>
      </c>
    </row>
    <row r="1509" spans="1:4" hidden="1" x14ac:dyDescent="0.25">
      <c r="A1509" s="32" t="s">
        <v>2233</v>
      </c>
      <c r="B1509" s="306" t="str">
        <f>IF((COUNTBLANK(G1509)=0),Stats!$E$7,IF((COUNTBLANK(E1509)=0),IF((COUNTBLANK(F1509)=0),IF((COUNTBLANK(U1509)=0),Stats!$E$6,Stats!$E$5),Stats!$E$4),""))</f>
        <v/>
      </c>
      <c r="C1509" s="41"/>
      <c r="D1509" s="306" t="str">
        <f>IF(B1509=Stats!$E$6,Stats!$E$11,"")</f>
        <v/>
      </c>
    </row>
    <row r="1510" spans="1:4" hidden="1" x14ac:dyDescent="0.25">
      <c r="A1510" s="32" t="s">
        <v>2234</v>
      </c>
      <c r="B1510" s="306" t="str">
        <f>IF((COUNTBLANK(G1510)=0),Stats!$E$7,IF((COUNTBLANK(E1510)=0),IF((COUNTBLANK(F1510)=0),IF((COUNTBLANK(U1510)=0),Stats!$E$6,Stats!$E$5),Stats!$E$4),""))</f>
        <v/>
      </c>
      <c r="C1510" s="41"/>
      <c r="D1510" s="306" t="str">
        <f>IF(B1510=Stats!$E$6,Stats!$E$11,"")</f>
        <v/>
      </c>
    </row>
    <row r="1511" spans="1:4" hidden="1" x14ac:dyDescent="0.25">
      <c r="A1511" s="32" t="s">
        <v>2235</v>
      </c>
      <c r="B1511" s="306" t="str">
        <f>IF((COUNTBLANK(G1511)=0),Stats!$E$7,IF((COUNTBLANK(E1511)=0),IF((COUNTBLANK(F1511)=0),IF((COUNTBLANK(U1511)=0),Stats!$E$6,Stats!$E$5),Stats!$E$4),""))</f>
        <v/>
      </c>
      <c r="C1511" s="41"/>
      <c r="D1511" s="306" t="str">
        <f>IF(B1511=Stats!$E$6,Stats!$E$11,"")</f>
        <v/>
      </c>
    </row>
    <row r="1512" spans="1:4" hidden="1" x14ac:dyDescent="0.25">
      <c r="A1512" s="32" t="s">
        <v>2236</v>
      </c>
      <c r="B1512" s="306" t="str">
        <f>IF((COUNTBLANK(G1512)=0),Stats!$E$7,IF((COUNTBLANK(E1512)=0),IF((COUNTBLANK(F1512)=0),IF((COUNTBLANK(U1512)=0),Stats!$E$6,Stats!$E$5),Stats!$E$4),""))</f>
        <v/>
      </c>
      <c r="C1512" s="41"/>
      <c r="D1512" s="306" t="str">
        <f>IF(B1512=Stats!$E$6,Stats!$E$11,"")</f>
        <v/>
      </c>
    </row>
    <row r="1513" spans="1:4" hidden="1" x14ac:dyDescent="0.25">
      <c r="A1513" s="32" t="s">
        <v>2237</v>
      </c>
      <c r="B1513" s="306" t="str">
        <f>IF((COUNTBLANK(G1513)=0),Stats!$E$7,IF((COUNTBLANK(E1513)=0),IF((COUNTBLANK(F1513)=0),IF((COUNTBLANK(U1513)=0),Stats!$E$6,Stats!$E$5),Stats!$E$4),""))</f>
        <v/>
      </c>
      <c r="C1513" s="41"/>
      <c r="D1513" s="306" t="str">
        <f>IF(B1513=Stats!$E$6,Stats!$E$11,"")</f>
        <v/>
      </c>
    </row>
    <row r="1514" spans="1:4" hidden="1" x14ac:dyDescent="0.25">
      <c r="A1514" s="32" t="s">
        <v>2238</v>
      </c>
      <c r="B1514" s="306" t="str">
        <f>IF((COUNTBLANK(G1514)=0),Stats!$E$7,IF((COUNTBLANK(E1514)=0),IF((COUNTBLANK(F1514)=0),IF((COUNTBLANK(U1514)=0),Stats!$E$6,Stats!$E$5),Stats!$E$4),""))</f>
        <v/>
      </c>
      <c r="C1514" s="41"/>
      <c r="D1514" s="306" t="str">
        <f>IF(B1514=Stats!$E$6,Stats!$E$11,"")</f>
        <v/>
      </c>
    </row>
    <row r="1515" spans="1:4" hidden="1" x14ac:dyDescent="0.25">
      <c r="A1515" s="32" t="s">
        <v>2239</v>
      </c>
      <c r="B1515" s="306" t="str">
        <f>IF((COUNTBLANK(G1515)=0),Stats!$E$7,IF((COUNTBLANK(E1515)=0),IF((COUNTBLANK(F1515)=0),IF((COUNTBLANK(U1515)=0),Stats!$E$6,Stats!$E$5),Stats!$E$4),""))</f>
        <v/>
      </c>
      <c r="C1515" s="41"/>
      <c r="D1515" s="306" t="str">
        <f>IF(B1515=Stats!$E$6,Stats!$E$11,"")</f>
        <v/>
      </c>
    </row>
    <row r="1516" spans="1:4" hidden="1" x14ac:dyDescent="0.25">
      <c r="A1516" s="32" t="s">
        <v>2240</v>
      </c>
      <c r="B1516" s="306" t="str">
        <f>IF((COUNTBLANK(G1516)=0),Stats!$E$7,IF((COUNTBLANK(E1516)=0),IF((COUNTBLANK(F1516)=0),IF((COUNTBLANK(U1516)=0),Stats!$E$6,Stats!$E$5),Stats!$E$4),""))</f>
        <v/>
      </c>
      <c r="C1516" s="41"/>
      <c r="D1516" s="306" t="str">
        <f>IF(B1516=Stats!$E$6,Stats!$E$11,"")</f>
        <v/>
      </c>
    </row>
    <row r="1517" spans="1:4" hidden="1" x14ac:dyDescent="0.25">
      <c r="A1517" s="32" t="s">
        <v>2241</v>
      </c>
      <c r="B1517" s="306" t="str">
        <f>IF((COUNTBLANK(G1517)=0),Stats!$E$7,IF((COUNTBLANK(E1517)=0),IF((COUNTBLANK(F1517)=0),IF((COUNTBLANK(U1517)=0),Stats!$E$6,Stats!$E$5),Stats!$E$4),""))</f>
        <v/>
      </c>
      <c r="C1517" s="41"/>
      <c r="D1517" s="306" t="str">
        <f>IF(B1517=Stats!$E$6,Stats!$E$11,"")</f>
        <v/>
      </c>
    </row>
    <row r="1518" spans="1:4" hidden="1" x14ac:dyDescent="0.25">
      <c r="A1518" s="32" t="s">
        <v>2242</v>
      </c>
      <c r="B1518" s="306" t="str">
        <f>IF((COUNTBLANK(G1518)=0),Stats!$E$7,IF((COUNTBLANK(E1518)=0),IF((COUNTBLANK(F1518)=0),IF((COUNTBLANK(U1518)=0),Stats!$E$6,Stats!$E$5),Stats!$E$4),""))</f>
        <v/>
      </c>
      <c r="C1518" s="41"/>
      <c r="D1518" s="306" t="str">
        <f>IF(B1518=Stats!$E$6,Stats!$E$11,"")</f>
        <v/>
      </c>
    </row>
    <row r="1519" spans="1:4" hidden="1" x14ac:dyDescent="0.25">
      <c r="A1519" s="32" t="s">
        <v>2243</v>
      </c>
      <c r="B1519" s="306" t="str">
        <f>IF((COUNTBLANK(G1519)=0),Stats!$E$7,IF((COUNTBLANK(E1519)=0),IF((COUNTBLANK(F1519)=0),IF((COUNTBLANK(U1519)=0),Stats!$E$6,Stats!$E$5),Stats!$E$4),""))</f>
        <v/>
      </c>
      <c r="C1519" s="41"/>
      <c r="D1519" s="306" t="str">
        <f>IF(B1519=Stats!$E$6,Stats!$E$11,"")</f>
        <v/>
      </c>
    </row>
    <row r="1520" spans="1:4" hidden="1" x14ac:dyDescent="0.25">
      <c r="A1520" s="32" t="s">
        <v>2244</v>
      </c>
      <c r="B1520" s="306" t="str">
        <f>IF((COUNTBLANK(G1520)=0),Stats!$E$7,IF((COUNTBLANK(E1520)=0),IF((COUNTBLANK(F1520)=0),IF((COUNTBLANK(U1520)=0),Stats!$E$6,Stats!$E$5),Stats!$E$4),""))</f>
        <v/>
      </c>
      <c r="C1520" s="41"/>
      <c r="D1520" s="306" t="str">
        <f>IF(B1520=Stats!$E$6,Stats!$E$11,"")</f>
        <v/>
      </c>
    </row>
    <row r="1521" spans="1:4" hidden="1" x14ac:dyDescent="0.25">
      <c r="A1521" s="32" t="s">
        <v>2245</v>
      </c>
      <c r="B1521" s="306" t="str">
        <f>IF((COUNTBLANK(G1521)=0),Stats!$E$7,IF((COUNTBLANK(E1521)=0),IF((COUNTBLANK(F1521)=0),IF((COUNTBLANK(U1521)=0),Stats!$E$6,Stats!$E$5),Stats!$E$4),""))</f>
        <v/>
      </c>
      <c r="C1521" s="41"/>
      <c r="D1521" s="306" t="str">
        <f>IF(B1521=Stats!$E$6,Stats!$E$11,"")</f>
        <v/>
      </c>
    </row>
    <row r="1522" spans="1:4" hidden="1" x14ac:dyDescent="0.25">
      <c r="A1522" s="32" t="s">
        <v>2246</v>
      </c>
      <c r="B1522" s="306" t="str">
        <f>IF((COUNTBLANK(G1522)=0),Stats!$E$7,IF((COUNTBLANK(E1522)=0),IF((COUNTBLANK(F1522)=0),IF((COUNTBLANK(U1522)=0),Stats!$E$6,Stats!$E$5),Stats!$E$4),""))</f>
        <v/>
      </c>
      <c r="C1522" s="41"/>
      <c r="D1522" s="306" t="str">
        <f>IF(B1522=Stats!$E$6,Stats!$E$11,"")</f>
        <v/>
      </c>
    </row>
    <row r="1523" spans="1:4" hidden="1" x14ac:dyDescent="0.25">
      <c r="A1523" s="32" t="s">
        <v>2247</v>
      </c>
      <c r="B1523" s="306" t="str">
        <f>IF((COUNTBLANK(G1523)=0),Stats!$E$7,IF((COUNTBLANK(E1523)=0),IF((COUNTBLANK(F1523)=0),IF((COUNTBLANK(U1523)=0),Stats!$E$6,Stats!$E$5),Stats!$E$4),""))</f>
        <v/>
      </c>
      <c r="C1523" s="41"/>
      <c r="D1523" s="306" t="str">
        <f>IF(B1523=Stats!$E$6,Stats!$E$11,"")</f>
        <v/>
      </c>
    </row>
    <row r="1524" spans="1:4" hidden="1" x14ac:dyDescent="0.25">
      <c r="A1524" s="32" t="s">
        <v>2248</v>
      </c>
      <c r="B1524" s="306" t="str">
        <f>IF((COUNTBLANK(G1524)=0),Stats!$E$7,IF((COUNTBLANK(E1524)=0),IF((COUNTBLANK(F1524)=0),IF((COUNTBLANK(U1524)=0),Stats!$E$6,Stats!$E$5),Stats!$E$4),""))</f>
        <v/>
      </c>
      <c r="C1524" s="41"/>
      <c r="D1524" s="306" t="str">
        <f>IF(B1524=Stats!$E$6,Stats!$E$11,"")</f>
        <v/>
      </c>
    </row>
    <row r="1525" spans="1:4" hidden="1" x14ac:dyDescent="0.25">
      <c r="A1525" s="32" t="s">
        <v>2249</v>
      </c>
      <c r="B1525" s="306" t="str">
        <f>IF((COUNTBLANK(G1525)=0),Stats!$E$7,IF((COUNTBLANK(E1525)=0),IF((COUNTBLANK(F1525)=0),IF((COUNTBLANK(U1525)=0),Stats!$E$6,Stats!$E$5),Stats!$E$4),""))</f>
        <v/>
      </c>
      <c r="C1525" s="41"/>
      <c r="D1525" s="306" t="str">
        <f>IF(B1525=Stats!$E$6,Stats!$E$11,"")</f>
        <v/>
      </c>
    </row>
    <row r="1526" spans="1:4" hidden="1" x14ac:dyDescent="0.25">
      <c r="A1526" s="32" t="s">
        <v>2250</v>
      </c>
      <c r="B1526" s="306" t="str">
        <f>IF((COUNTBLANK(G1526)=0),Stats!$E$7,IF((COUNTBLANK(E1526)=0),IF((COUNTBLANK(F1526)=0),IF((COUNTBLANK(U1526)=0),Stats!$E$6,Stats!$E$5),Stats!$E$4),""))</f>
        <v/>
      </c>
      <c r="C1526" s="41"/>
      <c r="D1526" s="306" t="str">
        <f>IF(B1526=Stats!$E$6,Stats!$E$11,"")</f>
        <v/>
      </c>
    </row>
    <row r="1527" spans="1:4" hidden="1" x14ac:dyDescent="0.25">
      <c r="A1527" s="32" t="s">
        <v>2251</v>
      </c>
      <c r="B1527" s="306" t="str">
        <f>IF((COUNTBLANK(G1527)=0),Stats!$E$7,IF((COUNTBLANK(E1527)=0),IF((COUNTBLANK(F1527)=0),IF((COUNTBLANK(U1527)=0),Stats!$E$6,Stats!$E$5),Stats!$E$4),""))</f>
        <v/>
      </c>
      <c r="C1527" s="41"/>
      <c r="D1527" s="306" t="str">
        <f>IF(B1527=Stats!$E$6,Stats!$E$11,"")</f>
        <v/>
      </c>
    </row>
    <row r="1528" spans="1:4" hidden="1" x14ac:dyDescent="0.25">
      <c r="A1528" s="32" t="s">
        <v>2252</v>
      </c>
      <c r="B1528" s="306" t="str">
        <f>IF((COUNTBLANK(G1528)=0),Stats!$E$7,IF((COUNTBLANK(E1528)=0),IF((COUNTBLANK(F1528)=0),IF((COUNTBLANK(U1528)=0),Stats!$E$6,Stats!$E$5),Stats!$E$4),""))</f>
        <v/>
      </c>
      <c r="C1528" s="41"/>
      <c r="D1528" s="306" t="str">
        <f>IF(B1528=Stats!$E$6,Stats!$E$11,"")</f>
        <v/>
      </c>
    </row>
    <row r="1529" spans="1:4" hidden="1" x14ac:dyDescent="0.25">
      <c r="A1529" s="32" t="s">
        <v>2253</v>
      </c>
      <c r="B1529" s="306" t="str">
        <f>IF((COUNTBLANK(G1529)=0),Stats!$E$7,IF((COUNTBLANK(E1529)=0),IF((COUNTBLANK(F1529)=0),IF((COUNTBLANK(U1529)=0),Stats!$E$6,Stats!$E$5),Stats!$E$4),""))</f>
        <v/>
      </c>
      <c r="C1529" s="41"/>
      <c r="D1529" s="306" t="str">
        <f>IF(B1529=Stats!$E$6,Stats!$E$11,"")</f>
        <v/>
      </c>
    </row>
    <row r="1530" spans="1:4" hidden="1" x14ac:dyDescent="0.25">
      <c r="A1530" s="32" t="s">
        <v>2254</v>
      </c>
      <c r="B1530" s="306" t="str">
        <f>IF((COUNTBLANK(G1530)=0),Stats!$E$7,IF((COUNTBLANK(E1530)=0),IF((COUNTBLANK(F1530)=0),IF((COUNTBLANK(U1530)=0),Stats!$E$6,Stats!$E$5),Stats!$E$4),""))</f>
        <v/>
      </c>
      <c r="C1530" s="41"/>
      <c r="D1530" s="306" t="str">
        <f>IF(B1530=Stats!$E$6,Stats!$E$11,"")</f>
        <v/>
      </c>
    </row>
    <row r="1531" spans="1:4" hidden="1" x14ac:dyDescent="0.25">
      <c r="A1531" s="32" t="s">
        <v>2255</v>
      </c>
      <c r="B1531" s="306" t="str">
        <f>IF((COUNTBLANK(G1531)=0),Stats!$E$7,IF((COUNTBLANK(E1531)=0),IF((COUNTBLANK(F1531)=0),IF((COUNTBLANK(U1531)=0),Stats!$E$6,Stats!$E$5),Stats!$E$4),""))</f>
        <v/>
      </c>
      <c r="C1531" s="41"/>
      <c r="D1531" s="306" t="str">
        <f>IF(B1531=Stats!$E$6,Stats!$E$11,"")</f>
        <v/>
      </c>
    </row>
    <row r="1532" spans="1:4" hidden="1" x14ac:dyDescent="0.25">
      <c r="A1532" s="32" t="s">
        <v>2256</v>
      </c>
      <c r="B1532" s="306" t="str">
        <f>IF((COUNTBLANK(G1532)=0),Stats!$E$7,IF((COUNTBLANK(E1532)=0),IF((COUNTBLANK(F1532)=0),IF((COUNTBLANK(U1532)=0),Stats!$E$6,Stats!$E$5),Stats!$E$4),""))</f>
        <v/>
      </c>
      <c r="C1532" s="41"/>
      <c r="D1532" s="306" t="str">
        <f>IF(B1532=Stats!$E$6,Stats!$E$11,"")</f>
        <v/>
      </c>
    </row>
    <row r="1533" spans="1:4" hidden="1" x14ac:dyDescent="0.25">
      <c r="A1533" s="32" t="s">
        <v>2257</v>
      </c>
      <c r="B1533" s="306" t="str">
        <f>IF((COUNTBLANK(G1533)=0),Stats!$E$7,IF((COUNTBLANK(E1533)=0),IF((COUNTBLANK(F1533)=0),IF((COUNTBLANK(U1533)=0),Stats!$E$6,Stats!$E$5),Stats!$E$4),""))</f>
        <v/>
      </c>
      <c r="C1533" s="41"/>
      <c r="D1533" s="306" t="str">
        <f>IF(B1533=Stats!$E$6,Stats!$E$11,"")</f>
        <v/>
      </c>
    </row>
    <row r="1534" spans="1:4" hidden="1" x14ac:dyDescent="0.25">
      <c r="A1534" s="32" t="s">
        <v>2258</v>
      </c>
      <c r="B1534" s="306" t="str">
        <f>IF((COUNTBLANK(G1534)=0),Stats!$E$7,IF((COUNTBLANK(E1534)=0),IF((COUNTBLANK(F1534)=0),IF((COUNTBLANK(U1534)=0),Stats!$E$6,Stats!$E$5),Stats!$E$4),""))</f>
        <v/>
      </c>
      <c r="C1534" s="41"/>
      <c r="D1534" s="306" t="str">
        <f>IF(B1534=Stats!$E$6,Stats!$E$11,"")</f>
        <v/>
      </c>
    </row>
    <row r="1535" spans="1:4" hidden="1" x14ac:dyDescent="0.25">
      <c r="A1535" s="32" t="s">
        <v>2259</v>
      </c>
      <c r="B1535" s="306" t="str">
        <f>IF((COUNTBLANK(G1535)=0),Stats!$E$7,IF((COUNTBLANK(E1535)=0),IF((COUNTBLANK(F1535)=0),IF((COUNTBLANK(U1535)=0),Stats!$E$6,Stats!$E$5),Stats!$E$4),""))</f>
        <v/>
      </c>
      <c r="C1535" s="41"/>
      <c r="D1535" s="306" t="str">
        <f>IF(B1535=Stats!$E$6,Stats!$E$11,"")</f>
        <v/>
      </c>
    </row>
    <row r="1536" spans="1:4" hidden="1" x14ac:dyDescent="0.25">
      <c r="A1536" s="32" t="s">
        <v>2260</v>
      </c>
      <c r="B1536" s="306" t="str">
        <f>IF((COUNTBLANK(G1536)=0),Stats!$E$7,IF((COUNTBLANK(E1536)=0),IF((COUNTBLANK(F1536)=0),IF((COUNTBLANK(U1536)=0),Stats!$E$6,Stats!$E$5),Stats!$E$4),""))</f>
        <v/>
      </c>
      <c r="C1536" s="41"/>
      <c r="D1536" s="306" t="str">
        <f>IF(B1536=Stats!$E$6,Stats!$E$11,"")</f>
        <v/>
      </c>
    </row>
    <row r="1537" spans="1:4" hidden="1" x14ac:dyDescent="0.25">
      <c r="A1537" s="32" t="s">
        <v>2261</v>
      </c>
      <c r="B1537" s="306" t="str">
        <f>IF((COUNTBLANK(G1537)=0),Stats!$E$7,IF((COUNTBLANK(E1537)=0),IF((COUNTBLANK(F1537)=0),IF((COUNTBLANK(U1537)=0),Stats!$E$6,Stats!$E$5),Stats!$E$4),""))</f>
        <v/>
      </c>
      <c r="C1537" s="41"/>
      <c r="D1537" s="306" t="str">
        <f>IF(B1537=Stats!$E$6,Stats!$E$11,"")</f>
        <v/>
      </c>
    </row>
    <row r="1538" spans="1:4" hidden="1" x14ac:dyDescent="0.25">
      <c r="A1538" s="32" t="s">
        <v>2262</v>
      </c>
      <c r="B1538" s="306" t="str">
        <f>IF((COUNTBLANK(G1538)=0),Stats!$E$7,IF((COUNTBLANK(E1538)=0),IF((COUNTBLANK(F1538)=0),IF((COUNTBLANK(U1538)=0),Stats!$E$6,Stats!$E$5),Stats!$E$4),""))</f>
        <v/>
      </c>
      <c r="C1538" s="41"/>
      <c r="D1538" s="306" t="str">
        <f>IF(B1538=Stats!$E$6,Stats!$E$11,"")</f>
        <v/>
      </c>
    </row>
    <row r="1539" spans="1:4" hidden="1" x14ac:dyDescent="0.25">
      <c r="A1539" s="32" t="s">
        <v>2263</v>
      </c>
      <c r="B1539" s="306" t="str">
        <f>IF((COUNTBLANK(G1539)=0),Stats!$E$7,IF((COUNTBLANK(E1539)=0),IF((COUNTBLANK(F1539)=0),IF((COUNTBLANK(U1539)=0),Stats!$E$6,Stats!$E$5),Stats!$E$4),""))</f>
        <v/>
      </c>
      <c r="C1539" s="41"/>
      <c r="D1539" s="306" t="str">
        <f>IF(B1539=Stats!$E$6,Stats!$E$11,"")</f>
        <v/>
      </c>
    </row>
    <row r="1540" spans="1:4" hidden="1" x14ac:dyDescent="0.25">
      <c r="A1540" s="32" t="s">
        <v>2264</v>
      </c>
      <c r="B1540" s="306" t="str">
        <f>IF((COUNTBLANK(G1540)=0),Stats!$E$7,IF((COUNTBLANK(E1540)=0),IF((COUNTBLANK(F1540)=0),IF((COUNTBLANK(U1540)=0),Stats!$E$6,Stats!$E$5),Stats!$E$4),""))</f>
        <v/>
      </c>
      <c r="C1540" s="41"/>
      <c r="D1540" s="306" t="str">
        <f>IF(B1540=Stats!$E$6,Stats!$E$11,"")</f>
        <v/>
      </c>
    </row>
    <row r="1541" spans="1:4" hidden="1" x14ac:dyDescent="0.25">
      <c r="A1541" s="32" t="s">
        <v>2265</v>
      </c>
      <c r="B1541" s="306" t="str">
        <f>IF((COUNTBLANK(G1541)=0),Stats!$E$7,IF((COUNTBLANK(E1541)=0),IF((COUNTBLANK(F1541)=0),IF((COUNTBLANK(U1541)=0),Stats!$E$6,Stats!$E$5),Stats!$E$4),""))</f>
        <v/>
      </c>
      <c r="C1541" s="41"/>
      <c r="D1541" s="306" t="str">
        <f>IF(B1541=Stats!$E$6,Stats!$E$11,"")</f>
        <v/>
      </c>
    </row>
    <row r="1542" spans="1:4" hidden="1" x14ac:dyDescent="0.25">
      <c r="A1542" s="32" t="s">
        <v>2266</v>
      </c>
      <c r="B1542" s="306" t="str">
        <f>IF((COUNTBLANK(G1542)=0),Stats!$E$7,IF((COUNTBLANK(E1542)=0),IF((COUNTBLANK(F1542)=0),IF((COUNTBLANK(U1542)=0),Stats!$E$6,Stats!$E$5),Stats!$E$4),""))</f>
        <v/>
      </c>
      <c r="C1542" s="41"/>
      <c r="D1542" s="306" t="str">
        <f>IF(B1542=Stats!$E$6,Stats!$E$11,"")</f>
        <v/>
      </c>
    </row>
    <row r="1543" spans="1:4" hidden="1" x14ac:dyDescent="0.25">
      <c r="A1543" s="32" t="s">
        <v>2267</v>
      </c>
      <c r="B1543" s="306" t="str">
        <f>IF((COUNTBLANK(G1543)=0),Stats!$E$7,IF((COUNTBLANK(E1543)=0),IF((COUNTBLANK(F1543)=0),IF((COUNTBLANK(U1543)=0),Stats!$E$6,Stats!$E$5),Stats!$E$4),""))</f>
        <v/>
      </c>
      <c r="C1543" s="41"/>
      <c r="D1543" s="306" t="str">
        <f>IF(B1543=Stats!$E$6,Stats!$E$11,"")</f>
        <v/>
      </c>
    </row>
    <row r="1544" spans="1:4" hidden="1" x14ac:dyDescent="0.25">
      <c r="A1544" s="32" t="s">
        <v>2268</v>
      </c>
      <c r="B1544" s="306" t="str">
        <f>IF((COUNTBLANK(G1544)=0),Stats!$E$7,IF((COUNTBLANK(E1544)=0),IF((COUNTBLANK(F1544)=0),IF((COUNTBLANK(U1544)=0),Stats!$E$6,Stats!$E$5),Stats!$E$4),""))</f>
        <v/>
      </c>
      <c r="C1544" s="41"/>
      <c r="D1544" s="306" t="str">
        <f>IF(B1544=Stats!$E$6,Stats!$E$11,"")</f>
        <v/>
      </c>
    </row>
    <row r="1545" spans="1:4" hidden="1" x14ac:dyDescent="0.25">
      <c r="A1545" s="32" t="s">
        <v>2269</v>
      </c>
      <c r="B1545" s="306" t="str">
        <f>IF((COUNTBLANK(G1545)=0),Stats!$E$7,IF((COUNTBLANK(E1545)=0),IF((COUNTBLANK(F1545)=0),IF((COUNTBLANK(U1545)=0),Stats!$E$6,Stats!$E$5),Stats!$E$4),""))</f>
        <v/>
      </c>
      <c r="C1545" s="41"/>
      <c r="D1545" s="306" t="str">
        <f>IF(B1545=Stats!$E$6,Stats!$E$11,"")</f>
        <v/>
      </c>
    </row>
    <row r="1546" spans="1:4" hidden="1" x14ac:dyDescent="0.25">
      <c r="A1546" s="32" t="s">
        <v>2270</v>
      </c>
      <c r="B1546" s="306" t="str">
        <f>IF((COUNTBLANK(G1546)=0),Stats!$E$7,IF((COUNTBLANK(E1546)=0),IF((COUNTBLANK(F1546)=0),IF((COUNTBLANK(U1546)=0),Stats!$E$6,Stats!$E$5),Stats!$E$4),""))</f>
        <v/>
      </c>
      <c r="C1546" s="41"/>
      <c r="D1546" s="306" t="str">
        <f>IF(B1546=Stats!$E$6,Stats!$E$11,"")</f>
        <v/>
      </c>
    </row>
    <row r="1547" spans="1:4" hidden="1" x14ac:dyDescent="0.25">
      <c r="A1547" s="32" t="s">
        <v>2271</v>
      </c>
      <c r="B1547" s="306" t="str">
        <f>IF((COUNTBLANK(G1547)=0),Stats!$E$7,IF((COUNTBLANK(E1547)=0),IF((COUNTBLANK(F1547)=0),IF((COUNTBLANK(U1547)=0),Stats!$E$6,Stats!$E$5),Stats!$E$4),""))</f>
        <v/>
      </c>
      <c r="C1547" s="41"/>
      <c r="D1547" s="306" t="str">
        <f>IF(B1547=Stats!$E$6,Stats!$E$11,"")</f>
        <v/>
      </c>
    </row>
    <row r="1548" spans="1:4" hidden="1" x14ac:dyDescent="0.25">
      <c r="A1548" s="32" t="s">
        <v>2272</v>
      </c>
      <c r="B1548" s="306" t="str">
        <f>IF((COUNTBLANK(G1548)=0),Stats!$E$7,IF((COUNTBLANK(E1548)=0),IF((COUNTBLANK(F1548)=0),IF((COUNTBLANK(U1548)=0),Stats!$E$6,Stats!$E$5),Stats!$E$4),""))</f>
        <v/>
      </c>
      <c r="C1548" s="41"/>
      <c r="D1548" s="306" t="str">
        <f>IF(B1548=Stats!$E$6,Stats!$E$11,"")</f>
        <v/>
      </c>
    </row>
    <row r="1549" spans="1:4" hidden="1" x14ac:dyDescent="0.25">
      <c r="A1549" s="32" t="s">
        <v>2273</v>
      </c>
      <c r="B1549" s="306" t="str">
        <f>IF((COUNTBLANK(G1549)=0),Stats!$E$7,IF((COUNTBLANK(E1549)=0),IF((COUNTBLANK(F1549)=0),IF((COUNTBLANK(U1549)=0),Stats!$E$6,Stats!$E$5),Stats!$E$4),""))</f>
        <v/>
      </c>
      <c r="C1549" s="41"/>
      <c r="D1549" s="306" t="str">
        <f>IF(B1549=Stats!$E$6,Stats!$E$11,"")</f>
        <v/>
      </c>
    </row>
    <row r="1550" spans="1:4" hidden="1" x14ac:dyDescent="0.25">
      <c r="A1550" s="32" t="s">
        <v>2274</v>
      </c>
      <c r="B1550" s="306" t="str">
        <f>IF((COUNTBLANK(G1550)=0),Stats!$E$7,IF((COUNTBLANK(E1550)=0),IF((COUNTBLANK(F1550)=0),IF((COUNTBLANK(U1550)=0),Stats!$E$6,Stats!$E$5),Stats!$E$4),""))</f>
        <v/>
      </c>
      <c r="C1550" s="41"/>
      <c r="D1550" s="306" t="str">
        <f>IF(B1550=Stats!$E$6,Stats!$E$11,"")</f>
        <v/>
      </c>
    </row>
    <row r="1551" spans="1:4" hidden="1" x14ac:dyDescent="0.25">
      <c r="A1551" s="32" t="s">
        <v>2275</v>
      </c>
      <c r="B1551" s="306" t="str">
        <f>IF((COUNTBLANK(G1551)=0),Stats!$E$7,IF((COUNTBLANK(E1551)=0),IF((COUNTBLANK(F1551)=0),IF((COUNTBLANK(U1551)=0),Stats!$E$6,Stats!$E$5),Stats!$E$4),""))</f>
        <v/>
      </c>
      <c r="C1551" s="41"/>
      <c r="D1551" s="306" t="str">
        <f>IF(B1551=Stats!$E$6,Stats!$E$11,"")</f>
        <v/>
      </c>
    </row>
    <row r="1552" spans="1:4" hidden="1" x14ac:dyDescent="0.25">
      <c r="A1552" s="32" t="s">
        <v>2276</v>
      </c>
      <c r="B1552" s="306" t="str">
        <f>IF((COUNTBLANK(G1552)=0),Stats!$E$7,IF((COUNTBLANK(E1552)=0),IF((COUNTBLANK(F1552)=0),IF((COUNTBLANK(U1552)=0),Stats!$E$6,Stats!$E$5),Stats!$E$4),""))</f>
        <v/>
      </c>
      <c r="C1552" s="41"/>
      <c r="D1552" s="306" t="str">
        <f>IF(B1552=Stats!$E$6,Stats!$E$11,"")</f>
        <v/>
      </c>
    </row>
    <row r="1553" spans="1:4" hidden="1" x14ac:dyDescent="0.25">
      <c r="A1553" s="32" t="s">
        <v>2277</v>
      </c>
      <c r="B1553" s="306" t="str">
        <f>IF((COUNTBLANK(G1553)=0),Stats!$E$7,IF((COUNTBLANK(E1553)=0),IF((COUNTBLANK(F1553)=0),IF((COUNTBLANK(U1553)=0),Stats!$E$6,Stats!$E$5),Stats!$E$4),""))</f>
        <v/>
      </c>
      <c r="C1553" s="41"/>
      <c r="D1553" s="306" t="str">
        <f>IF(B1553=Stats!$E$6,Stats!$E$11,"")</f>
        <v/>
      </c>
    </row>
    <row r="1554" spans="1:4" hidden="1" x14ac:dyDescent="0.25">
      <c r="A1554" s="32" t="s">
        <v>2278</v>
      </c>
      <c r="B1554" s="306" t="str">
        <f>IF((COUNTBLANK(G1554)=0),Stats!$E$7,IF((COUNTBLANK(E1554)=0),IF((COUNTBLANK(F1554)=0),IF((COUNTBLANK(U1554)=0),Stats!$E$6,Stats!$E$5),Stats!$E$4),""))</f>
        <v/>
      </c>
      <c r="C1554" s="41"/>
      <c r="D1554" s="306" t="str">
        <f>IF(B1554=Stats!$E$6,Stats!$E$11,"")</f>
        <v/>
      </c>
    </row>
    <row r="1555" spans="1:4" hidden="1" x14ac:dyDescent="0.25">
      <c r="A1555" s="32" t="s">
        <v>2279</v>
      </c>
      <c r="B1555" s="306" t="str">
        <f>IF((COUNTBLANK(G1555)=0),Stats!$E$7,IF((COUNTBLANK(E1555)=0),IF((COUNTBLANK(F1555)=0),IF((COUNTBLANK(U1555)=0),Stats!$E$6,Stats!$E$5),Stats!$E$4),""))</f>
        <v/>
      </c>
      <c r="C1555" s="41"/>
      <c r="D1555" s="306" t="str">
        <f>IF(B1555=Stats!$E$6,Stats!$E$11,"")</f>
        <v/>
      </c>
    </row>
    <row r="1556" spans="1:4" hidden="1" x14ac:dyDescent="0.25">
      <c r="A1556" s="32" t="s">
        <v>2280</v>
      </c>
      <c r="B1556" s="306" t="str">
        <f>IF((COUNTBLANK(G1556)=0),Stats!$E$7,IF((COUNTBLANK(E1556)=0),IF((COUNTBLANK(F1556)=0),IF((COUNTBLANK(U1556)=0),Stats!$E$6,Stats!$E$5),Stats!$E$4),""))</f>
        <v/>
      </c>
      <c r="C1556" s="41"/>
      <c r="D1556" s="306" t="str">
        <f>IF(B1556=Stats!$E$6,Stats!$E$11,"")</f>
        <v/>
      </c>
    </row>
    <row r="1557" spans="1:4" hidden="1" x14ac:dyDescent="0.25">
      <c r="A1557" s="32" t="s">
        <v>2281</v>
      </c>
      <c r="B1557" s="306" t="str">
        <f>IF((COUNTBLANK(G1557)=0),Stats!$E$7,IF((COUNTBLANK(E1557)=0),IF((COUNTBLANK(F1557)=0),IF((COUNTBLANK(U1557)=0),Stats!$E$6,Stats!$E$5),Stats!$E$4),""))</f>
        <v/>
      </c>
      <c r="C1557" s="41"/>
      <c r="D1557" s="306" t="str">
        <f>IF(B1557=Stats!$E$6,Stats!$E$11,"")</f>
        <v/>
      </c>
    </row>
    <row r="1558" spans="1:4" hidden="1" x14ac:dyDescent="0.25">
      <c r="A1558" s="32" t="s">
        <v>2282</v>
      </c>
      <c r="B1558" s="306" t="str">
        <f>IF((COUNTBLANK(G1558)=0),Stats!$E$7,IF((COUNTBLANK(E1558)=0),IF((COUNTBLANK(F1558)=0),IF((COUNTBLANK(U1558)=0),Stats!$E$6,Stats!$E$5),Stats!$E$4),""))</f>
        <v/>
      </c>
      <c r="C1558" s="41"/>
      <c r="D1558" s="306" t="str">
        <f>IF(B1558=Stats!$E$6,Stats!$E$11,"")</f>
        <v/>
      </c>
    </row>
    <row r="1559" spans="1:4" hidden="1" x14ac:dyDescent="0.25">
      <c r="A1559" s="32" t="s">
        <v>2283</v>
      </c>
      <c r="B1559" s="306" t="str">
        <f>IF((COUNTBLANK(G1559)=0),Stats!$E$7,IF((COUNTBLANK(E1559)=0),IF((COUNTBLANK(F1559)=0),IF((COUNTBLANK(U1559)=0),Stats!$E$6,Stats!$E$5),Stats!$E$4),""))</f>
        <v/>
      </c>
      <c r="C1559" s="41"/>
      <c r="D1559" s="306" t="str">
        <f>IF(B1559=Stats!$E$6,Stats!$E$11,"")</f>
        <v/>
      </c>
    </row>
    <row r="1560" spans="1:4" hidden="1" x14ac:dyDescent="0.25">
      <c r="A1560" s="32" t="s">
        <v>2284</v>
      </c>
      <c r="B1560" s="306" t="str">
        <f>IF((COUNTBLANK(G1560)=0),Stats!$E$7,IF((COUNTBLANK(E1560)=0),IF((COUNTBLANK(F1560)=0),IF((COUNTBLANK(U1560)=0),Stats!$E$6,Stats!$E$5),Stats!$E$4),""))</f>
        <v/>
      </c>
      <c r="C1560" s="41"/>
      <c r="D1560" s="306" t="str">
        <f>IF(B1560=Stats!$E$6,Stats!$E$11,"")</f>
        <v/>
      </c>
    </row>
    <row r="1561" spans="1:4" hidden="1" x14ac:dyDescent="0.25">
      <c r="A1561" s="32" t="s">
        <v>2285</v>
      </c>
      <c r="B1561" s="306" t="str">
        <f>IF((COUNTBLANK(G1561)=0),Stats!$E$7,IF((COUNTBLANK(E1561)=0),IF((COUNTBLANK(F1561)=0),IF((COUNTBLANK(U1561)=0),Stats!$E$6,Stats!$E$5),Stats!$E$4),""))</f>
        <v/>
      </c>
      <c r="C1561" s="41"/>
      <c r="D1561" s="306" t="str">
        <f>IF(B1561=Stats!$E$6,Stats!$E$11,"")</f>
        <v/>
      </c>
    </row>
    <row r="1562" spans="1:4" hidden="1" x14ac:dyDescent="0.25">
      <c r="A1562" s="32" t="s">
        <v>2286</v>
      </c>
      <c r="B1562" s="306" t="str">
        <f>IF((COUNTBLANK(G1562)=0),Stats!$E$7,IF((COUNTBLANK(E1562)=0),IF((COUNTBLANK(F1562)=0),IF((COUNTBLANK(U1562)=0),Stats!$E$6,Stats!$E$5),Stats!$E$4),""))</f>
        <v/>
      </c>
      <c r="C1562" s="41"/>
      <c r="D1562" s="306" t="str">
        <f>IF(B1562=Stats!$E$6,Stats!$E$11,"")</f>
        <v/>
      </c>
    </row>
    <row r="1563" spans="1:4" hidden="1" x14ac:dyDescent="0.25">
      <c r="A1563" s="32" t="s">
        <v>2287</v>
      </c>
      <c r="B1563" s="306" t="str">
        <f>IF((COUNTBLANK(G1563)=0),Stats!$E$7,IF((COUNTBLANK(E1563)=0),IF((COUNTBLANK(F1563)=0),IF((COUNTBLANK(U1563)=0),Stats!$E$6,Stats!$E$5),Stats!$E$4),""))</f>
        <v/>
      </c>
      <c r="C1563" s="41"/>
      <c r="D1563" s="306" t="str">
        <f>IF(B1563=Stats!$E$6,Stats!$E$11,"")</f>
        <v/>
      </c>
    </row>
    <row r="1564" spans="1:4" hidden="1" x14ac:dyDescent="0.25">
      <c r="A1564" s="32" t="s">
        <v>2288</v>
      </c>
      <c r="B1564" s="306" t="str">
        <f>IF((COUNTBLANK(G1564)=0),Stats!$E$7,IF((COUNTBLANK(E1564)=0),IF((COUNTBLANK(F1564)=0),IF((COUNTBLANK(U1564)=0),Stats!$E$6,Stats!$E$5),Stats!$E$4),""))</f>
        <v/>
      </c>
      <c r="C1564" s="41"/>
      <c r="D1564" s="306" t="str">
        <f>IF(B1564=Stats!$E$6,Stats!$E$11,"")</f>
        <v/>
      </c>
    </row>
    <row r="1565" spans="1:4" hidden="1" x14ac:dyDescent="0.25">
      <c r="A1565" s="32" t="s">
        <v>2289</v>
      </c>
      <c r="B1565" s="306" t="str">
        <f>IF((COUNTBLANK(G1565)=0),Stats!$E$7,IF((COUNTBLANK(E1565)=0),IF((COUNTBLANK(F1565)=0),IF((COUNTBLANK(U1565)=0),Stats!$E$6,Stats!$E$5),Stats!$E$4),""))</f>
        <v/>
      </c>
      <c r="C1565" s="41"/>
      <c r="D1565" s="306" t="str">
        <f>IF(B1565=Stats!$E$6,Stats!$E$11,"")</f>
        <v/>
      </c>
    </row>
    <row r="1566" spans="1:4" hidden="1" x14ac:dyDescent="0.25">
      <c r="A1566" s="32" t="s">
        <v>2290</v>
      </c>
      <c r="B1566" s="306" t="str">
        <f>IF((COUNTBLANK(G1566)=0),Stats!$E$7,IF((COUNTBLANK(E1566)=0),IF((COUNTBLANK(F1566)=0),IF((COUNTBLANK(U1566)=0),Stats!$E$6,Stats!$E$5),Stats!$E$4),""))</f>
        <v/>
      </c>
      <c r="C1566" s="41"/>
      <c r="D1566" s="306" t="str">
        <f>IF(B1566=Stats!$E$6,Stats!$E$11,"")</f>
        <v/>
      </c>
    </row>
    <row r="1567" spans="1:4" hidden="1" x14ac:dyDescent="0.25">
      <c r="A1567" s="32" t="s">
        <v>2291</v>
      </c>
      <c r="B1567" s="306" t="str">
        <f>IF((COUNTBLANK(G1567)=0),Stats!$E$7,IF((COUNTBLANK(E1567)=0),IF((COUNTBLANK(F1567)=0),IF((COUNTBLANK(U1567)=0),Stats!$E$6,Stats!$E$5),Stats!$E$4),""))</f>
        <v/>
      </c>
      <c r="C1567" s="41"/>
      <c r="D1567" s="306" t="str">
        <f>IF(B1567=Stats!$E$6,Stats!$E$11,"")</f>
        <v/>
      </c>
    </row>
    <row r="1568" spans="1:4" hidden="1" x14ac:dyDescent="0.25">
      <c r="A1568" s="32" t="s">
        <v>2292</v>
      </c>
      <c r="B1568" s="306" t="str">
        <f>IF((COUNTBLANK(G1568)=0),Stats!$E$7,IF((COUNTBLANK(E1568)=0),IF((COUNTBLANK(F1568)=0),IF((COUNTBLANK(U1568)=0),Stats!$E$6,Stats!$E$5),Stats!$E$4),""))</f>
        <v/>
      </c>
      <c r="C1568" s="41"/>
      <c r="D1568" s="306" t="str">
        <f>IF(B1568=Stats!$E$6,Stats!$E$11,"")</f>
        <v/>
      </c>
    </row>
    <row r="1569" spans="1:4" hidden="1" x14ac:dyDescent="0.25">
      <c r="A1569" s="32" t="s">
        <v>2293</v>
      </c>
      <c r="B1569" s="306" t="str">
        <f>IF((COUNTBLANK(G1569)=0),Stats!$E$7,IF((COUNTBLANK(E1569)=0),IF((COUNTBLANK(F1569)=0),IF((COUNTBLANK(U1569)=0),Stats!$E$6,Stats!$E$5),Stats!$E$4),""))</f>
        <v/>
      </c>
      <c r="C1569" s="41"/>
      <c r="D1569" s="306" t="str">
        <f>IF(B1569=Stats!$E$6,Stats!$E$11,"")</f>
        <v/>
      </c>
    </row>
    <row r="1570" spans="1:4" hidden="1" x14ac:dyDescent="0.25">
      <c r="A1570" s="32" t="s">
        <v>2294</v>
      </c>
      <c r="B1570" s="306" t="str">
        <f>IF((COUNTBLANK(G1570)=0),Stats!$E$7,IF((COUNTBLANK(E1570)=0),IF((COUNTBLANK(F1570)=0),IF((COUNTBLANK(U1570)=0),Stats!$E$6,Stats!$E$5),Stats!$E$4),""))</f>
        <v/>
      </c>
      <c r="C1570" s="41"/>
      <c r="D1570" s="306" t="str">
        <f>IF(B1570=Stats!$E$6,Stats!$E$11,"")</f>
        <v/>
      </c>
    </row>
    <row r="1571" spans="1:4" hidden="1" x14ac:dyDescent="0.25">
      <c r="A1571" s="32" t="s">
        <v>2295</v>
      </c>
      <c r="B1571" s="306" t="str">
        <f>IF((COUNTBLANK(G1571)=0),Stats!$E$7,IF((COUNTBLANK(E1571)=0),IF((COUNTBLANK(F1571)=0),IF((COUNTBLANK(U1571)=0),Stats!$E$6,Stats!$E$5),Stats!$E$4),""))</f>
        <v/>
      </c>
      <c r="C1571" s="41"/>
      <c r="D1571" s="306" t="str">
        <f>IF(B1571=Stats!$E$6,Stats!$E$11,"")</f>
        <v/>
      </c>
    </row>
    <row r="1572" spans="1:4" hidden="1" x14ac:dyDescent="0.25">
      <c r="A1572" s="32" t="s">
        <v>2296</v>
      </c>
      <c r="B1572" s="306" t="str">
        <f>IF((COUNTBLANK(G1572)=0),Stats!$E$7,IF((COUNTBLANK(E1572)=0),IF((COUNTBLANK(F1572)=0),IF((COUNTBLANK(U1572)=0),Stats!$E$6,Stats!$E$5),Stats!$E$4),""))</f>
        <v/>
      </c>
      <c r="C1572" s="41"/>
      <c r="D1572" s="306" t="str">
        <f>IF(B1572=Stats!$E$6,Stats!$E$11,"")</f>
        <v/>
      </c>
    </row>
    <row r="1573" spans="1:4" hidden="1" x14ac:dyDescent="0.25">
      <c r="A1573" s="32" t="s">
        <v>2297</v>
      </c>
      <c r="B1573" s="306" t="str">
        <f>IF((COUNTBLANK(G1573)=0),Stats!$E$7,IF((COUNTBLANK(E1573)=0),IF((COUNTBLANK(F1573)=0),IF((COUNTBLANK(U1573)=0),Stats!$E$6,Stats!$E$5),Stats!$E$4),""))</f>
        <v/>
      </c>
      <c r="C1573" s="41"/>
      <c r="D1573" s="306" t="str">
        <f>IF(B1573=Stats!$E$6,Stats!$E$11,"")</f>
        <v/>
      </c>
    </row>
    <row r="1574" spans="1:4" hidden="1" x14ac:dyDescent="0.25">
      <c r="A1574" s="32" t="s">
        <v>2298</v>
      </c>
      <c r="B1574" s="306" t="str">
        <f>IF((COUNTBLANK(G1574)=0),Stats!$E$7,IF((COUNTBLANK(E1574)=0),IF((COUNTBLANK(F1574)=0),IF((COUNTBLANK(U1574)=0),Stats!$E$6,Stats!$E$5),Stats!$E$4),""))</f>
        <v/>
      </c>
      <c r="C1574" s="41"/>
      <c r="D1574" s="306" t="str">
        <f>IF(B1574=Stats!$E$6,Stats!$E$11,"")</f>
        <v/>
      </c>
    </row>
    <row r="1575" spans="1:4" hidden="1" x14ac:dyDescent="0.25">
      <c r="A1575" s="32" t="s">
        <v>2299</v>
      </c>
      <c r="B1575" s="306" t="str">
        <f>IF((COUNTBLANK(G1575)=0),Stats!$E$7,IF((COUNTBLANK(E1575)=0),IF((COUNTBLANK(F1575)=0),IF((COUNTBLANK(U1575)=0),Stats!$E$6,Stats!$E$5),Stats!$E$4),""))</f>
        <v/>
      </c>
      <c r="C1575" s="41"/>
      <c r="D1575" s="306" t="str">
        <f>IF(B1575=Stats!$E$6,Stats!$E$11,"")</f>
        <v/>
      </c>
    </row>
    <row r="1576" spans="1:4" hidden="1" x14ac:dyDescent="0.25">
      <c r="A1576" s="32" t="s">
        <v>2300</v>
      </c>
      <c r="B1576" s="306" t="str">
        <f>IF((COUNTBLANK(G1576)=0),Stats!$E$7,IF((COUNTBLANK(E1576)=0),IF((COUNTBLANK(F1576)=0),IF((COUNTBLANK(U1576)=0),Stats!$E$6,Stats!$E$5),Stats!$E$4),""))</f>
        <v/>
      </c>
      <c r="C1576" s="41"/>
      <c r="D1576" s="306" t="str">
        <f>IF(B1576=Stats!$E$6,Stats!$E$11,"")</f>
        <v/>
      </c>
    </row>
    <row r="1577" spans="1:4" hidden="1" x14ac:dyDescent="0.25">
      <c r="A1577" s="32" t="s">
        <v>2301</v>
      </c>
      <c r="B1577" s="306" t="str">
        <f>IF((COUNTBLANK(G1577)=0),Stats!$E$7,IF((COUNTBLANK(E1577)=0),IF((COUNTBLANK(F1577)=0),IF((COUNTBLANK(U1577)=0),Stats!$E$6,Stats!$E$5),Stats!$E$4),""))</f>
        <v/>
      </c>
      <c r="C1577" s="41"/>
      <c r="D1577" s="306" t="str">
        <f>IF(B1577=Stats!$E$6,Stats!$E$11,"")</f>
        <v/>
      </c>
    </row>
    <row r="1578" spans="1:4" hidden="1" x14ac:dyDescent="0.25">
      <c r="A1578" s="32" t="s">
        <v>2302</v>
      </c>
      <c r="B1578" s="306" t="str">
        <f>IF((COUNTBLANK(G1578)=0),Stats!$E$7,IF((COUNTBLANK(E1578)=0),IF((COUNTBLANK(F1578)=0),IF((COUNTBLANK(U1578)=0),Stats!$E$6,Stats!$E$5),Stats!$E$4),""))</f>
        <v/>
      </c>
      <c r="C1578" s="41"/>
      <c r="D1578" s="306" t="str">
        <f>IF(B1578=Stats!$E$6,Stats!$E$11,"")</f>
        <v/>
      </c>
    </row>
    <row r="1579" spans="1:4" hidden="1" x14ac:dyDescent="0.25">
      <c r="A1579" s="32" t="s">
        <v>2303</v>
      </c>
      <c r="B1579" s="306" t="str">
        <f>IF((COUNTBLANK(G1579)=0),Stats!$E$7,IF((COUNTBLANK(E1579)=0),IF((COUNTBLANK(F1579)=0),IF((COUNTBLANK(U1579)=0),Stats!$E$6,Stats!$E$5),Stats!$E$4),""))</f>
        <v/>
      </c>
      <c r="C1579" s="41"/>
      <c r="D1579" s="306" t="str">
        <f>IF(B1579=Stats!$E$6,Stats!$E$11,"")</f>
        <v/>
      </c>
    </row>
    <row r="1580" spans="1:4" hidden="1" x14ac:dyDescent="0.25">
      <c r="A1580" s="32" t="s">
        <v>2304</v>
      </c>
      <c r="B1580" s="306" t="str">
        <f>IF((COUNTBLANK(G1580)=0),Stats!$E$7,IF((COUNTBLANK(E1580)=0),IF((COUNTBLANK(F1580)=0),IF((COUNTBLANK(U1580)=0),Stats!$E$6,Stats!$E$5),Stats!$E$4),""))</f>
        <v/>
      </c>
      <c r="C1580" s="41"/>
      <c r="D1580" s="306" t="str">
        <f>IF(B1580=Stats!$E$6,Stats!$E$11,"")</f>
        <v/>
      </c>
    </row>
    <row r="1581" spans="1:4" hidden="1" x14ac:dyDescent="0.25">
      <c r="A1581" s="32" t="s">
        <v>2305</v>
      </c>
      <c r="B1581" s="306" t="str">
        <f>IF((COUNTBLANK(G1581)=0),Stats!$E$7,IF((COUNTBLANK(E1581)=0),IF((COUNTBLANK(F1581)=0),IF((COUNTBLANK(U1581)=0),Stats!$E$6,Stats!$E$5),Stats!$E$4),""))</f>
        <v/>
      </c>
      <c r="C1581" s="41"/>
      <c r="D1581" s="306" t="str">
        <f>IF(B1581=Stats!$E$6,Stats!$E$11,"")</f>
        <v/>
      </c>
    </row>
    <row r="1582" spans="1:4" hidden="1" x14ac:dyDescent="0.25">
      <c r="A1582" s="32" t="s">
        <v>2306</v>
      </c>
      <c r="B1582" s="306" t="str">
        <f>IF((COUNTBLANK(G1582)=0),Stats!$E$7,IF((COUNTBLANK(E1582)=0),IF((COUNTBLANK(F1582)=0),IF((COUNTBLANK(U1582)=0),Stats!$E$6,Stats!$E$5),Stats!$E$4),""))</f>
        <v/>
      </c>
      <c r="C1582" s="41"/>
      <c r="D1582" s="306" t="str">
        <f>IF(B1582=Stats!$E$6,Stats!$E$11,"")</f>
        <v/>
      </c>
    </row>
    <row r="1583" spans="1:4" hidden="1" x14ac:dyDescent="0.25">
      <c r="A1583" s="32" t="s">
        <v>2307</v>
      </c>
      <c r="B1583" s="306" t="str">
        <f>IF((COUNTBLANK(G1583)=0),Stats!$E$7,IF((COUNTBLANK(E1583)=0),IF((COUNTBLANK(F1583)=0),IF((COUNTBLANK(U1583)=0),Stats!$E$6,Stats!$E$5),Stats!$E$4),""))</f>
        <v/>
      </c>
      <c r="C1583" s="41"/>
      <c r="D1583" s="306" t="str">
        <f>IF(B1583=Stats!$E$6,Stats!$E$11,"")</f>
        <v/>
      </c>
    </row>
    <row r="1584" spans="1:4" hidden="1" x14ac:dyDescent="0.25">
      <c r="A1584" s="32" t="s">
        <v>2308</v>
      </c>
      <c r="B1584" s="306" t="str">
        <f>IF((COUNTBLANK(G1584)=0),Stats!$E$7,IF((COUNTBLANK(E1584)=0),IF((COUNTBLANK(F1584)=0),IF((COUNTBLANK(U1584)=0),Stats!$E$6,Stats!$E$5),Stats!$E$4),""))</f>
        <v/>
      </c>
      <c r="C1584" s="41"/>
      <c r="D1584" s="306" t="str">
        <f>IF(B1584=Stats!$E$6,Stats!$E$11,"")</f>
        <v/>
      </c>
    </row>
    <row r="1585" spans="1:4" hidden="1" x14ac:dyDescent="0.25">
      <c r="A1585" s="32" t="s">
        <v>2309</v>
      </c>
      <c r="B1585" s="306" t="str">
        <f>IF((COUNTBLANK(G1585)=0),Stats!$E$7,IF((COUNTBLANK(E1585)=0),IF((COUNTBLANK(F1585)=0),IF((COUNTBLANK(U1585)=0),Stats!$E$6,Stats!$E$5),Stats!$E$4),""))</f>
        <v/>
      </c>
      <c r="C1585" s="41"/>
      <c r="D1585" s="306" t="str">
        <f>IF(B1585=Stats!$E$6,Stats!$E$11,"")</f>
        <v/>
      </c>
    </row>
    <row r="1586" spans="1:4" hidden="1" x14ac:dyDescent="0.25">
      <c r="A1586" s="32" t="s">
        <v>2310</v>
      </c>
      <c r="B1586" s="306" t="str">
        <f>IF((COUNTBLANK(G1586)=0),Stats!$E$7,IF((COUNTBLANK(E1586)=0),IF((COUNTBLANK(F1586)=0),IF((COUNTBLANK(U1586)=0),Stats!$E$6,Stats!$E$5),Stats!$E$4),""))</f>
        <v/>
      </c>
      <c r="C1586" s="41"/>
      <c r="D1586" s="306" t="str">
        <f>IF(B1586=Stats!$E$6,Stats!$E$11,"")</f>
        <v/>
      </c>
    </row>
    <row r="1587" spans="1:4" hidden="1" x14ac:dyDescent="0.25">
      <c r="A1587" s="32" t="s">
        <v>2311</v>
      </c>
      <c r="B1587" s="306" t="str">
        <f>IF((COUNTBLANK(G1587)=0),Stats!$E$7,IF((COUNTBLANK(E1587)=0),IF((COUNTBLANK(F1587)=0),IF((COUNTBLANK(U1587)=0),Stats!$E$6,Stats!$E$5),Stats!$E$4),""))</f>
        <v/>
      </c>
      <c r="C1587" s="41"/>
      <c r="D1587" s="306" t="str">
        <f>IF(B1587=Stats!$E$6,Stats!$E$11,"")</f>
        <v/>
      </c>
    </row>
    <row r="1588" spans="1:4" hidden="1" x14ac:dyDescent="0.25">
      <c r="A1588" s="32" t="s">
        <v>2312</v>
      </c>
      <c r="B1588" s="306" t="str">
        <f>IF((COUNTBLANK(G1588)=0),Stats!$E$7,IF((COUNTBLANK(E1588)=0),IF((COUNTBLANK(F1588)=0),IF((COUNTBLANK(U1588)=0),Stats!$E$6,Stats!$E$5),Stats!$E$4),""))</f>
        <v/>
      </c>
      <c r="C1588" s="41"/>
      <c r="D1588" s="306" t="str">
        <f>IF(B1588=Stats!$E$6,Stats!$E$11,"")</f>
        <v/>
      </c>
    </row>
    <row r="1589" spans="1:4" hidden="1" x14ac:dyDescent="0.25">
      <c r="A1589" s="32" t="s">
        <v>2313</v>
      </c>
      <c r="B1589" s="306" t="str">
        <f>IF((COUNTBLANK(G1589)=0),Stats!$E$7,IF((COUNTBLANK(E1589)=0),IF((COUNTBLANK(F1589)=0),IF((COUNTBLANK(U1589)=0),Stats!$E$6,Stats!$E$5),Stats!$E$4),""))</f>
        <v/>
      </c>
      <c r="C1589" s="41"/>
      <c r="D1589" s="306" t="str">
        <f>IF(B1589=Stats!$E$6,Stats!$E$11,"")</f>
        <v/>
      </c>
    </row>
    <row r="1590" spans="1:4" hidden="1" x14ac:dyDescent="0.25">
      <c r="A1590" s="32" t="s">
        <v>2314</v>
      </c>
      <c r="B1590" s="306" t="str">
        <f>IF((COUNTBLANK(G1590)=0),Stats!$E$7,IF((COUNTBLANK(E1590)=0),IF((COUNTBLANK(F1590)=0),IF((COUNTBLANK(U1590)=0),Stats!$E$6,Stats!$E$5),Stats!$E$4),""))</f>
        <v/>
      </c>
      <c r="C1590" s="41"/>
      <c r="D1590" s="306" t="str">
        <f>IF(B1590=Stats!$E$6,Stats!$E$11,"")</f>
        <v/>
      </c>
    </row>
    <row r="1591" spans="1:4" hidden="1" x14ac:dyDescent="0.25">
      <c r="A1591" s="32" t="s">
        <v>2315</v>
      </c>
      <c r="B1591" s="306" t="str">
        <f>IF((COUNTBLANK(G1591)=0),Stats!$E$7,IF((COUNTBLANK(E1591)=0),IF((COUNTBLANK(F1591)=0),IF((COUNTBLANK(U1591)=0),Stats!$E$6,Stats!$E$5),Stats!$E$4),""))</f>
        <v/>
      </c>
      <c r="C1591" s="41"/>
      <c r="D1591" s="306" t="str">
        <f>IF(B1591=Stats!$E$6,Stats!$E$11,"")</f>
        <v/>
      </c>
    </row>
    <row r="1592" spans="1:4" hidden="1" x14ac:dyDescent="0.25">
      <c r="A1592" s="32" t="s">
        <v>2316</v>
      </c>
      <c r="B1592" s="306" t="str">
        <f>IF((COUNTBLANK(G1592)=0),Stats!$E$7,IF((COUNTBLANK(E1592)=0),IF((COUNTBLANK(F1592)=0),IF((COUNTBLANK(U1592)=0),Stats!$E$6,Stats!$E$5),Stats!$E$4),""))</f>
        <v/>
      </c>
      <c r="C1592" s="41"/>
      <c r="D1592" s="306" t="str">
        <f>IF(B1592=Stats!$E$6,Stats!$E$11,"")</f>
        <v/>
      </c>
    </row>
    <row r="1593" spans="1:4" hidden="1" x14ac:dyDescent="0.25">
      <c r="A1593" s="32" t="s">
        <v>2317</v>
      </c>
      <c r="B1593" s="306" t="str">
        <f>IF((COUNTBLANK(G1593)=0),Stats!$E$7,IF((COUNTBLANK(E1593)=0),IF((COUNTBLANK(F1593)=0),IF((COUNTBLANK(U1593)=0),Stats!$E$6,Stats!$E$5),Stats!$E$4),""))</f>
        <v/>
      </c>
      <c r="C1593" s="41"/>
      <c r="D1593" s="306" t="str">
        <f>IF(B1593=Stats!$E$6,Stats!$E$11,"")</f>
        <v/>
      </c>
    </row>
    <row r="1594" spans="1:4" hidden="1" x14ac:dyDescent="0.25">
      <c r="A1594" s="32" t="s">
        <v>2318</v>
      </c>
      <c r="B1594" s="306" t="str">
        <f>IF((COUNTBLANK(G1594)=0),Stats!$E$7,IF((COUNTBLANK(E1594)=0),IF((COUNTBLANK(F1594)=0),IF((COUNTBLANK(U1594)=0),Stats!$E$6,Stats!$E$5),Stats!$E$4),""))</f>
        <v/>
      </c>
      <c r="C1594" s="41"/>
      <c r="D1594" s="306" t="str">
        <f>IF(B1594=Stats!$E$6,Stats!$E$11,"")</f>
        <v/>
      </c>
    </row>
    <row r="1595" spans="1:4" hidden="1" x14ac:dyDescent="0.25">
      <c r="A1595" s="32" t="s">
        <v>2319</v>
      </c>
      <c r="B1595" s="306" t="str">
        <f>IF((COUNTBLANK(G1595)=0),Stats!$E$7,IF((COUNTBLANK(E1595)=0),IF((COUNTBLANK(F1595)=0),IF((COUNTBLANK(U1595)=0),Stats!$E$6,Stats!$E$5),Stats!$E$4),""))</f>
        <v/>
      </c>
      <c r="C1595" s="41"/>
      <c r="D1595" s="306" t="str">
        <f>IF(B1595=Stats!$E$6,Stats!$E$11,"")</f>
        <v/>
      </c>
    </row>
    <row r="1596" spans="1:4" hidden="1" x14ac:dyDescent="0.25">
      <c r="A1596" s="32" t="s">
        <v>2320</v>
      </c>
      <c r="B1596" s="306" t="str">
        <f>IF((COUNTBLANK(G1596)=0),Stats!$E$7,IF((COUNTBLANK(E1596)=0),IF((COUNTBLANK(F1596)=0),IF((COUNTBLANK(U1596)=0),Stats!$E$6,Stats!$E$5),Stats!$E$4),""))</f>
        <v/>
      </c>
      <c r="C1596" s="41"/>
      <c r="D1596" s="306" t="str">
        <f>IF(B1596=Stats!$E$6,Stats!$E$11,"")</f>
        <v/>
      </c>
    </row>
    <row r="1597" spans="1:4" hidden="1" x14ac:dyDescent="0.25">
      <c r="A1597" s="32" t="s">
        <v>2321</v>
      </c>
      <c r="B1597" s="306" t="str">
        <f>IF((COUNTBLANK(G1597)=0),Stats!$E$7,IF((COUNTBLANK(E1597)=0),IF((COUNTBLANK(F1597)=0),IF((COUNTBLANK(U1597)=0),Stats!$E$6,Stats!$E$5),Stats!$E$4),""))</f>
        <v/>
      </c>
      <c r="C1597" s="41"/>
      <c r="D1597" s="306" t="str">
        <f>IF(B1597=Stats!$E$6,Stats!$E$11,"")</f>
        <v/>
      </c>
    </row>
    <row r="1598" spans="1:4" hidden="1" x14ac:dyDescent="0.25">
      <c r="A1598" s="32" t="s">
        <v>2322</v>
      </c>
      <c r="B1598" s="306" t="str">
        <f>IF((COUNTBLANK(G1598)=0),Stats!$E$7,IF((COUNTBLANK(E1598)=0),IF((COUNTBLANK(F1598)=0),IF((COUNTBLANK(U1598)=0),Stats!$E$6,Stats!$E$5),Stats!$E$4),""))</f>
        <v/>
      </c>
      <c r="C1598" s="41"/>
      <c r="D1598" s="306" t="str">
        <f>IF(B1598=Stats!$E$6,Stats!$E$11,"")</f>
        <v/>
      </c>
    </row>
    <row r="1599" spans="1:4" hidden="1" x14ac:dyDescent="0.25">
      <c r="A1599" s="32" t="s">
        <v>2323</v>
      </c>
      <c r="B1599" s="306" t="str">
        <f>IF((COUNTBLANK(G1599)=0),Stats!$E$7,IF((COUNTBLANK(E1599)=0),IF((COUNTBLANK(F1599)=0),IF((COUNTBLANK(U1599)=0),Stats!$E$6,Stats!$E$5),Stats!$E$4),""))</f>
        <v/>
      </c>
      <c r="C1599" s="41"/>
      <c r="D1599" s="306" t="str">
        <f>IF(B1599=Stats!$E$6,Stats!$E$11,"")</f>
        <v/>
      </c>
    </row>
    <row r="1600" spans="1:4" hidden="1" x14ac:dyDescent="0.25">
      <c r="A1600" s="32" t="s">
        <v>2324</v>
      </c>
      <c r="B1600" s="306" t="str">
        <f>IF((COUNTBLANK(G1600)=0),Stats!$E$7,IF((COUNTBLANK(E1600)=0),IF((COUNTBLANK(F1600)=0),IF((COUNTBLANK(U1600)=0),Stats!$E$6,Stats!$E$5),Stats!$E$4),""))</f>
        <v/>
      </c>
      <c r="C1600" s="41"/>
      <c r="D1600" s="306" t="str">
        <f>IF(B1600=Stats!$E$6,Stats!$E$11,"")</f>
        <v/>
      </c>
    </row>
    <row r="1601" spans="1:4" hidden="1" x14ac:dyDescent="0.25">
      <c r="A1601" s="32" t="s">
        <v>2325</v>
      </c>
      <c r="B1601" s="306" t="str">
        <f>IF((COUNTBLANK(G1601)=0),Stats!$E$7,IF((COUNTBLANK(E1601)=0),IF((COUNTBLANK(F1601)=0),IF((COUNTBLANK(U1601)=0),Stats!$E$6,Stats!$E$5),Stats!$E$4),""))</f>
        <v/>
      </c>
      <c r="C1601" s="41"/>
      <c r="D1601" s="306" t="str">
        <f>IF(B1601=Stats!$E$6,Stats!$E$11,"")</f>
        <v/>
      </c>
    </row>
    <row r="1602" spans="1:4" hidden="1" x14ac:dyDescent="0.25">
      <c r="A1602" s="32" t="s">
        <v>2326</v>
      </c>
      <c r="B1602" s="306" t="str">
        <f>IF((COUNTBLANK(G1602)=0),Stats!$E$7,IF((COUNTBLANK(E1602)=0),IF((COUNTBLANK(F1602)=0),IF((COUNTBLANK(U1602)=0),Stats!$E$6,Stats!$E$5),Stats!$E$4),""))</f>
        <v/>
      </c>
      <c r="C1602" s="41"/>
      <c r="D1602" s="306" t="str">
        <f>IF(B1602=Stats!$E$6,Stats!$E$11,"")</f>
        <v/>
      </c>
    </row>
    <row r="1603" spans="1:4" hidden="1" x14ac:dyDescent="0.25">
      <c r="A1603" s="32" t="s">
        <v>2327</v>
      </c>
      <c r="B1603" s="306" t="str">
        <f>IF((COUNTBLANK(G1603)=0),Stats!$E$7,IF((COUNTBLANK(E1603)=0),IF((COUNTBLANK(F1603)=0),IF((COUNTBLANK(U1603)=0),Stats!$E$6,Stats!$E$5),Stats!$E$4),""))</f>
        <v/>
      </c>
      <c r="C1603" s="41"/>
      <c r="D1603" s="306" t="str">
        <f>IF(B1603=Stats!$E$6,Stats!$E$11,"")</f>
        <v/>
      </c>
    </row>
    <row r="1604" spans="1:4" hidden="1" x14ac:dyDescent="0.25">
      <c r="A1604" s="32" t="s">
        <v>2328</v>
      </c>
      <c r="B1604" s="306" t="str">
        <f>IF((COUNTBLANK(G1604)=0),Stats!$E$7,IF((COUNTBLANK(E1604)=0),IF((COUNTBLANK(F1604)=0),IF((COUNTBLANK(U1604)=0),Stats!$E$6,Stats!$E$5),Stats!$E$4),""))</f>
        <v/>
      </c>
      <c r="C1604" s="41"/>
      <c r="D1604" s="306" t="str">
        <f>IF(B1604=Stats!$E$6,Stats!$E$11,"")</f>
        <v/>
      </c>
    </row>
    <row r="1605" spans="1:4" hidden="1" x14ac:dyDescent="0.25">
      <c r="A1605" s="32" t="s">
        <v>2329</v>
      </c>
      <c r="B1605" s="306" t="str">
        <f>IF((COUNTBLANK(G1605)=0),Stats!$E$7,IF((COUNTBLANK(E1605)=0),IF((COUNTBLANK(F1605)=0),IF((COUNTBLANK(U1605)=0),Stats!$E$6,Stats!$E$5),Stats!$E$4),""))</f>
        <v/>
      </c>
      <c r="C1605" s="41"/>
      <c r="D1605" s="306" t="str">
        <f>IF(B1605=Stats!$E$6,Stats!$E$11,"")</f>
        <v/>
      </c>
    </row>
    <row r="1606" spans="1:4" hidden="1" x14ac:dyDescent="0.25">
      <c r="A1606" s="32" t="s">
        <v>2330</v>
      </c>
      <c r="B1606" s="306" t="str">
        <f>IF((COUNTBLANK(G1606)=0),Stats!$E$7,IF((COUNTBLANK(E1606)=0),IF((COUNTBLANK(F1606)=0),IF((COUNTBLANK(U1606)=0),Stats!$E$6,Stats!$E$5),Stats!$E$4),""))</f>
        <v/>
      </c>
      <c r="C1606" s="41"/>
      <c r="D1606" s="306" t="str">
        <f>IF(B1606=Stats!$E$6,Stats!$E$11,"")</f>
        <v/>
      </c>
    </row>
    <row r="1607" spans="1:4" hidden="1" x14ac:dyDescent="0.25">
      <c r="A1607" s="32" t="s">
        <v>2331</v>
      </c>
      <c r="B1607" s="306" t="str">
        <f>IF((COUNTBLANK(G1607)=0),Stats!$E$7,IF((COUNTBLANK(E1607)=0),IF((COUNTBLANK(F1607)=0),IF((COUNTBLANK(U1607)=0),Stats!$E$6,Stats!$E$5),Stats!$E$4),""))</f>
        <v/>
      </c>
      <c r="C1607" s="41"/>
      <c r="D1607" s="306" t="str">
        <f>IF(B1607=Stats!$E$6,Stats!$E$11,"")</f>
        <v/>
      </c>
    </row>
    <row r="1608" spans="1:4" hidden="1" x14ac:dyDescent="0.25">
      <c r="A1608" s="32" t="s">
        <v>2332</v>
      </c>
      <c r="B1608" s="306" t="str">
        <f>IF((COUNTBLANK(G1608)=0),Stats!$E$7,IF((COUNTBLANK(E1608)=0),IF((COUNTBLANK(F1608)=0),IF((COUNTBLANK(U1608)=0),Stats!$E$6,Stats!$E$5),Stats!$E$4),""))</f>
        <v/>
      </c>
      <c r="C1608" s="41"/>
      <c r="D1608" s="306" t="str">
        <f>IF(B1608=Stats!$E$6,Stats!$E$11,"")</f>
        <v/>
      </c>
    </row>
    <row r="1609" spans="1:4" hidden="1" x14ac:dyDescent="0.25">
      <c r="A1609" s="32" t="s">
        <v>2333</v>
      </c>
      <c r="B1609" s="306" t="str">
        <f>IF((COUNTBLANK(G1609)=0),Stats!$E$7,IF((COUNTBLANK(E1609)=0),IF((COUNTBLANK(F1609)=0),IF((COUNTBLANK(U1609)=0),Stats!$E$6,Stats!$E$5),Stats!$E$4),""))</f>
        <v/>
      </c>
      <c r="C1609" s="41"/>
      <c r="D1609" s="306" t="str">
        <f>IF(B1609=Stats!$E$6,Stats!$E$11,"")</f>
        <v/>
      </c>
    </row>
    <row r="1610" spans="1:4" hidden="1" x14ac:dyDescent="0.25">
      <c r="A1610" s="32" t="s">
        <v>2334</v>
      </c>
      <c r="B1610" s="306" t="str">
        <f>IF((COUNTBLANK(G1610)=0),Stats!$E$7,IF((COUNTBLANK(E1610)=0),IF((COUNTBLANK(F1610)=0),IF((COUNTBLANK(U1610)=0),Stats!$E$6,Stats!$E$5),Stats!$E$4),""))</f>
        <v/>
      </c>
      <c r="C1610" s="41"/>
      <c r="D1610" s="306" t="str">
        <f>IF(B1610=Stats!$E$6,Stats!$E$11,"")</f>
        <v/>
      </c>
    </row>
    <row r="1611" spans="1:4" hidden="1" x14ac:dyDescent="0.25">
      <c r="A1611" s="32" t="s">
        <v>2335</v>
      </c>
      <c r="B1611" s="306" t="str">
        <f>IF((COUNTBLANK(G1611)=0),Stats!$E$7,IF((COUNTBLANK(E1611)=0),IF((COUNTBLANK(F1611)=0),IF((COUNTBLANK(U1611)=0),Stats!$E$6,Stats!$E$5),Stats!$E$4),""))</f>
        <v/>
      </c>
      <c r="C1611" s="41"/>
      <c r="D1611" s="306" t="str">
        <f>IF(B1611=Stats!$E$6,Stats!$E$11,"")</f>
        <v/>
      </c>
    </row>
    <row r="1612" spans="1:4" hidden="1" x14ac:dyDescent="0.25">
      <c r="A1612" s="32" t="s">
        <v>2336</v>
      </c>
      <c r="B1612" s="306" t="str">
        <f>IF((COUNTBLANK(G1612)=0),Stats!$E$7,IF((COUNTBLANK(E1612)=0),IF((COUNTBLANK(F1612)=0),IF((COUNTBLANK(U1612)=0),Stats!$E$6,Stats!$E$5),Stats!$E$4),""))</f>
        <v/>
      </c>
      <c r="C1612" s="41"/>
      <c r="D1612" s="306" t="str">
        <f>IF(B1612=Stats!$E$6,Stats!$E$11,"")</f>
        <v/>
      </c>
    </row>
    <row r="1613" spans="1:4" hidden="1" x14ac:dyDescent="0.25">
      <c r="A1613" s="32" t="s">
        <v>2337</v>
      </c>
      <c r="B1613" s="306" t="str">
        <f>IF((COUNTBLANK(G1613)=0),Stats!$E$7,IF((COUNTBLANK(E1613)=0),IF((COUNTBLANK(F1613)=0),IF((COUNTBLANK(U1613)=0),Stats!$E$6,Stats!$E$5),Stats!$E$4),""))</f>
        <v/>
      </c>
      <c r="C1613" s="41"/>
      <c r="D1613" s="306" t="str">
        <f>IF(B1613=Stats!$E$6,Stats!$E$11,"")</f>
        <v/>
      </c>
    </row>
    <row r="1614" spans="1:4" hidden="1" x14ac:dyDescent="0.25">
      <c r="A1614" s="32" t="s">
        <v>2338</v>
      </c>
      <c r="B1614" s="306" t="str">
        <f>IF((COUNTBLANK(G1614)=0),Stats!$E$7,IF((COUNTBLANK(E1614)=0),IF((COUNTBLANK(F1614)=0),IF((COUNTBLANK(U1614)=0),Stats!$E$6,Stats!$E$5),Stats!$E$4),""))</f>
        <v/>
      </c>
      <c r="C1614" s="41"/>
      <c r="D1614" s="306" t="str">
        <f>IF(B1614=Stats!$E$6,Stats!$E$11,"")</f>
        <v/>
      </c>
    </row>
    <row r="1615" spans="1:4" hidden="1" x14ac:dyDescent="0.25">
      <c r="A1615" s="32" t="s">
        <v>2339</v>
      </c>
      <c r="B1615" s="306" t="str">
        <f>IF((COUNTBLANK(G1615)=0),Stats!$E$7,IF((COUNTBLANK(E1615)=0),IF((COUNTBLANK(F1615)=0),IF((COUNTBLANK(U1615)=0),Stats!$E$6,Stats!$E$5),Stats!$E$4),""))</f>
        <v/>
      </c>
      <c r="C1615" s="41"/>
      <c r="D1615" s="306" t="str">
        <f>IF(B1615=Stats!$E$6,Stats!$E$11,"")</f>
        <v/>
      </c>
    </row>
    <row r="1616" spans="1:4" hidden="1" x14ac:dyDescent="0.25">
      <c r="A1616" s="32" t="s">
        <v>2340</v>
      </c>
      <c r="B1616" s="306" t="str">
        <f>IF((COUNTBLANK(G1616)=0),Stats!$E$7,IF((COUNTBLANK(E1616)=0),IF((COUNTBLANK(F1616)=0),IF((COUNTBLANK(U1616)=0),Stats!$E$6,Stats!$E$5),Stats!$E$4),""))</f>
        <v/>
      </c>
      <c r="C1616" s="41"/>
      <c r="D1616" s="306" t="str">
        <f>IF(B1616=Stats!$E$6,Stats!$E$11,"")</f>
        <v/>
      </c>
    </row>
    <row r="1617" spans="1:4" hidden="1" x14ac:dyDescent="0.25">
      <c r="A1617" s="32" t="s">
        <v>2341</v>
      </c>
      <c r="B1617" s="306" t="str">
        <f>IF((COUNTBLANK(G1617)=0),Stats!$E$7,IF((COUNTBLANK(E1617)=0),IF((COUNTBLANK(F1617)=0),IF((COUNTBLANK(U1617)=0),Stats!$E$6,Stats!$E$5),Stats!$E$4),""))</f>
        <v/>
      </c>
      <c r="C1617" s="41"/>
      <c r="D1617" s="306" t="str">
        <f>IF(B1617=Stats!$E$6,Stats!$E$11,"")</f>
        <v/>
      </c>
    </row>
    <row r="1618" spans="1:4" hidden="1" x14ac:dyDescent="0.25">
      <c r="A1618" s="32" t="s">
        <v>2342</v>
      </c>
      <c r="B1618" s="306" t="str">
        <f>IF((COUNTBLANK(G1618)=0),Stats!$E$7,IF((COUNTBLANK(E1618)=0),IF((COUNTBLANK(F1618)=0),IF((COUNTBLANK(U1618)=0),Stats!$E$6,Stats!$E$5),Stats!$E$4),""))</f>
        <v/>
      </c>
      <c r="C1618" s="41"/>
      <c r="D1618" s="306" t="str">
        <f>IF(B1618=Stats!$E$6,Stats!$E$11,"")</f>
        <v/>
      </c>
    </row>
    <row r="1619" spans="1:4" hidden="1" x14ac:dyDescent="0.25">
      <c r="A1619" s="32" t="s">
        <v>2343</v>
      </c>
      <c r="B1619" s="306" t="str">
        <f>IF((COUNTBLANK(G1619)=0),Stats!$E$7,IF((COUNTBLANK(E1619)=0),IF((COUNTBLANK(F1619)=0),IF((COUNTBLANK(U1619)=0),Stats!$E$6,Stats!$E$5),Stats!$E$4),""))</f>
        <v/>
      </c>
      <c r="C1619" s="41"/>
      <c r="D1619" s="306" t="str">
        <f>IF(B1619=Stats!$E$6,Stats!$E$11,"")</f>
        <v/>
      </c>
    </row>
    <row r="1620" spans="1:4" hidden="1" x14ac:dyDescent="0.25">
      <c r="A1620" s="32" t="s">
        <v>2344</v>
      </c>
      <c r="B1620" s="306" t="str">
        <f>IF((COUNTBLANK(G1620)=0),Stats!$E$7,IF((COUNTBLANK(E1620)=0),IF((COUNTBLANK(F1620)=0),IF((COUNTBLANK(U1620)=0),Stats!$E$6,Stats!$E$5),Stats!$E$4),""))</f>
        <v/>
      </c>
      <c r="C1620" s="41"/>
      <c r="D1620" s="306" t="str">
        <f>IF(B1620=Stats!$E$6,Stats!$E$11,"")</f>
        <v/>
      </c>
    </row>
    <row r="1621" spans="1:4" hidden="1" x14ac:dyDescent="0.25">
      <c r="A1621" s="32" t="s">
        <v>2345</v>
      </c>
      <c r="B1621" s="306" t="str">
        <f>IF((COUNTBLANK(G1621)=0),Stats!$E$7,IF((COUNTBLANK(E1621)=0),IF((COUNTBLANK(F1621)=0),IF((COUNTBLANK(U1621)=0),Stats!$E$6,Stats!$E$5),Stats!$E$4),""))</f>
        <v/>
      </c>
      <c r="C1621" s="41"/>
      <c r="D1621" s="306" t="str">
        <f>IF(B1621=Stats!$E$6,Stats!$E$11,"")</f>
        <v/>
      </c>
    </row>
    <row r="1622" spans="1:4" hidden="1" x14ac:dyDescent="0.25">
      <c r="A1622" s="32" t="s">
        <v>2346</v>
      </c>
      <c r="B1622" s="306" t="str">
        <f>IF((COUNTBLANK(G1622)=0),Stats!$E$7,IF((COUNTBLANK(E1622)=0),IF((COUNTBLANK(F1622)=0),IF((COUNTBLANK(U1622)=0),Stats!$E$6,Stats!$E$5),Stats!$E$4),""))</f>
        <v/>
      </c>
      <c r="C1622" s="41"/>
      <c r="D1622" s="306" t="str">
        <f>IF(B1622=Stats!$E$6,Stats!$E$11,"")</f>
        <v/>
      </c>
    </row>
    <row r="1623" spans="1:4" hidden="1" x14ac:dyDescent="0.25">
      <c r="A1623" s="32" t="s">
        <v>2347</v>
      </c>
      <c r="B1623" s="306" t="str">
        <f>IF((COUNTBLANK(G1623)=0),Stats!$E$7,IF((COUNTBLANK(E1623)=0),IF((COUNTBLANK(F1623)=0),IF((COUNTBLANK(U1623)=0),Stats!$E$6,Stats!$E$5),Stats!$E$4),""))</f>
        <v/>
      </c>
      <c r="C1623" s="41"/>
      <c r="D1623" s="306" t="str">
        <f>IF(B1623=Stats!$E$6,Stats!$E$11,"")</f>
        <v/>
      </c>
    </row>
    <row r="1624" spans="1:4" hidden="1" x14ac:dyDescent="0.25">
      <c r="A1624" s="32" t="s">
        <v>2348</v>
      </c>
      <c r="B1624" s="306" t="str">
        <f>IF((COUNTBLANK(G1624)=0),Stats!$E$7,IF((COUNTBLANK(E1624)=0),IF((COUNTBLANK(F1624)=0),IF((COUNTBLANK(U1624)=0),Stats!$E$6,Stats!$E$5),Stats!$E$4),""))</f>
        <v/>
      </c>
      <c r="C1624" s="41"/>
      <c r="D1624" s="306" t="str">
        <f>IF(B1624=Stats!$E$6,Stats!$E$11,"")</f>
        <v/>
      </c>
    </row>
    <row r="1625" spans="1:4" hidden="1" x14ac:dyDescent="0.25">
      <c r="A1625" s="32" t="s">
        <v>2349</v>
      </c>
      <c r="B1625" s="306" t="str">
        <f>IF((COUNTBLANK(G1625)=0),Stats!$E$7,IF((COUNTBLANK(E1625)=0),IF((COUNTBLANK(F1625)=0),IF((COUNTBLANK(U1625)=0),Stats!$E$6,Stats!$E$5),Stats!$E$4),""))</f>
        <v/>
      </c>
      <c r="C1625" s="41"/>
      <c r="D1625" s="306" t="str">
        <f>IF(B1625=Stats!$E$6,Stats!$E$11,"")</f>
        <v/>
      </c>
    </row>
    <row r="1626" spans="1:4" hidden="1" x14ac:dyDescent="0.25">
      <c r="A1626" s="32" t="s">
        <v>2350</v>
      </c>
      <c r="B1626" s="306" t="str">
        <f>IF((COUNTBLANK(G1626)=0),Stats!$E$7,IF((COUNTBLANK(E1626)=0),IF((COUNTBLANK(F1626)=0),IF((COUNTBLANK(U1626)=0),Stats!$E$6,Stats!$E$5),Stats!$E$4),""))</f>
        <v/>
      </c>
      <c r="C1626" s="41"/>
      <c r="D1626" s="306" t="str">
        <f>IF(B1626=Stats!$E$6,Stats!$E$11,"")</f>
        <v/>
      </c>
    </row>
    <row r="1627" spans="1:4" hidden="1" x14ac:dyDescent="0.25">
      <c r="A1627" s="32" t="s">
        <v>2351</v>
      </c>
      <c r="B1627" s="306" t="str">
        <f>IF((COUNTBLANK(G1627)=0),Stats!$E$7,IF((COUNTBLANK(E1627)=0),IF((COUNTBLANK(F1627)=0),IF((COUNTBLANK(U1627)=0),Stats!$E$6,Stats!$E$5),Stats!$E$4),""))</f>
        <v/>
      </c>
      <c r="C1627" s="41"/>
      <c r="D1627" s="306" t="str">
        <f>IF(B1627=Stats!$E$6,Stats!$E$11,"")</f>
        <v/>
      </c>
    </row>
    <row r="1628" spans="1:4" hidden="1" x14ac:dyDescent="0.25">
      <c r="A1628" s="32" t="s">
        <v>2352</v>
      </c>
      <c r="B1628" s="306" t="str">
        <f>IF((COUNTBLANK(G1628)=0),Stats!$E$7,IF((COUNTBLANK(E1628)=0),IF((COUNTBLANK(F1628)=0),IF((COUNTBLANK(U1628)=0),Stats!$E$6,Stats!$E$5),Stats!$E$4),""))</f>
        <v/>
      </c>
      <c r="C1628" s="41"/>
      <c r="D1628" s="306" t="str">
        <f>IF(B1628=Stats!$E$6,Stats!$E$11,"")</f>
        <v/>
      </c>
    </row>
    <row r="1629" spans="1:4" hidden="1" x14ac:dyDescent="0.25">
      <c r="A1629" s="32" t="s">
        <v>2353</v>
      </c>
      <c r="B1629" s="306" t="str">
        <f>IF((COUNTBLANK(G1629)=0),Stats!$E$7,IF((COUNTBLANK(E1629)=0),IF((COUNTBLANK(F1629)=0),IF((COUNTBLANK(U1629)=0),Stats!$E$6,Stats!$E$5),Stats!$E$4),""))</f>
        <v/>
      </c>
      <c r="C1629" s="41"/>
      <c r="D1629" s="306" t="str">
        <f>IF(B1629=Stats!$E$6,Stats!$E$11,"")</f>
        <v/>
      </c>
    </row>
    <row r="1630" spans="1:4" hidden="1" x14ac:dyDescent="0.25">
      <c r="A1630" s="32" t="s">
        <v>2354</v>
      </c>
      <c r="B1630" s="306" t="str">
        <f>IF((COUNTBLANK(G1630)=0),Stats!$E$7,IF((COUNTBLANK(E1630)=0),IF((COUNTBLANK(F1630)=0),IF((COUNTBLANK(U1630)=0),Stats!$E$6,Stats!$E$5),Stats!$E$4),""))</f>
        <v/>
      </c>
      <c r="C1630" s="41"/>
      <c r="D1630" s="306" t="str">
        <f>IF(B1630=Stats!$E$6,Stats!$E$11,"")</f>
        <v/>
      </c>
    </row>
    <row r="1631" spans="1:4" hidden="1" x14ac:dyDescent="0.25">
      <c r="A1631" s="32" t="s">
        <v>2355</v>
      </c>
      <c r="B1631" s="306" t="str">
        <f>IF((COUNTBLANK(G1631)=0),Stats!$E$7,IF((COUNTBLANK(E1631)=0),IF((COUNTBLANK(F1631)=0),IF((COUNTBLANK(U1631)=0),Stats!$E$6,Stats!$E$5),Stats!$E$4),""))</f>
        <v/>
      </c>
      <c r="C1631" s="41"/>
      <c r="D1631" s="306" t="str">
        <f>IF(B1631=Stats!$E$6,Stats!$E$11,"")</f>
        <v/>
      </c>
    </row>
    <row r="1632" spans="1:4" hidden="1" x14ac:dyDescent="0.25">
      <c r="A1632" s="32" t="s">
        <v>2356</v>
      </c>
      <c r="B1632" s="306" t="str">
        <f>IF((COUNTBLANK(G1632)=0),Stats!$E$7,IF((COUNTBLANK(E1632)=0),IF((COUNTBLANK(F1632)=0),IF((COUNTBLANK(U1632)=0),Stats!$E$6,Stats!$E$5),Stats!$E$4),""))</f>
        <v/>
      </c>
      <c r="C1632" s="41"/>
      <c r="D1632" s="306" t="str">
        <f>IF(B1632=Stats!$E$6,Stats!$E$11,"")</f>
        <v/>
      </c>
    </row>
    <row r="1633" spans="1:4" hidden="1" x14ac:dyDescent="0.25">
      <c r="A1633" s="32" t="s">
        <v>2357</v>
      </c>
      <c r="B1633" s="306" t="str">
        <f>IF((COUNTBLANK(G1633)=0),Stats!$E$7,IF((COUNTBLANK(E1633)=0),IF((COUNTBLANK(F1633)=0),IF((COUNTBLANK(U1633)=0),Stats!$E$6,Stats!$E$5),Stats!$E$4),""))</f>
        <v/>
      </c>
      <c r="C1633" s="41"/>
      <c r="D1633" s="306" t="str">
        <f>IF(B1633=Stats!$E$6,Stats!$E$11,"")</f>
        <v/>
      </c>
    </row>
    <row r="1634" spans="1:4" hidden="1" x14ac:dyDescent="0.25">
      <c r="A1634" s="32" t="s">
        <v>2358</v>
      </c>
      <c r="B1634" s="306" t="str">
        <f>IF((COUNTBLANK(G1634)=0),Stats!$E$7,IF((COUNTBLANK(E1634)=0),IF((COUNTBLANK(F1634)=0),IF((COUNTBLANK(U1634)=0),Stats!$E$6,Stats!$E$5),Stats!$E$4),""))</f>
        <v/>
      </c>
      <c r="C1634" s="41"/>
      <c r="D1634" s="306" t="str">
        <f>IF(B1634=Stats!$E$6,Stats!$E$11,"")</f>
        <v/>
      </c>
    </row>
    <row r="1635" spans="1:4" hidden="1" x14ac:dyDescent="0.25">
      <c r="A1635" s="32" t="s">
        <v>2359</v>
      </c>
      <c r="B1635" s="306" t="str">
        <f>IF((COUNTBLANK(G1635)=0),Stats!$E$7,IF((COUNTBLANK(E1635)=0),IF((COUNTBLANK(F1635)=0),IF((COUNTBLANK(U1635)=0),Stats!$E$6,Stats!$E$5),Stats!$E$4),""))</f>
        <v/>
      </c>
      <c r="C1635" s="41"/>
      <c r="D1635" s="306" t="str">
        <f>IF(B1635=Stats!$E$6,Stats!$E$11,"")</f>
        <v/>
      </c>
    </row>
    <row r="1636" spans="1:4" hidden="1" x14ac:dyDescent="0.25">
      <c r="A1636" s="32" t="s">
        <v>2360</v>
      </c>
      <c r="B1636" s="306" t="str">
        <f>IF((COUNTBLANK(G1636)=0),Stats!$E$7,IF((COUNTBLANK(E1636)=0),IF((COUNTBLANK(F1636)=0),IF((COUNTBLANK(U1636)=0),Stats!$E$6,Stats!$E$5),Stats!$E$4),""))</f>
        <v/>
      </c>
      <c r="C1636" s="41"/>
      <c r="D1636" s="306" t="str">
        <f>IF(B1636=Stats!$E$6,Stats!$E$11,"")</f>
        <v/>
      </c>
    </row>
    <row r="1637" spans="1:4" hidden="1" x14ac:dyDescent="0.25">
      <c r="A1637" s="32" t="s">
        <v>2361</v>
      </c>
      <c r="B1637" s="306" t="str">
        <f>IF((COUNTBLANK(G1637)=0),Stats!$E$7,IF((COUNTBLANK(E1637)=0),IF((COUNTBLANK(F1637)=0),IF((COUNTBLANK(U1637)=0),Stats!$E$6,Stats!$E$5),Stats!$E$4),""))</f>
        <v/>
      </c>
      <c r="C1637" s="41"/>
      <c r="D1637" s="306" t="str">
        <f>IF(B1637=Stats!$E$6,Stats!$E$11,"")</f>
        <v/>
      </c>
    </row>
    <row r="1638" spans="1:4" hidden="1" x14ac:dyDescent="0.25">
      <c r="A1638" s="32" t="s">
        <v>2362</v>
      </c>
      <c r="B1638" s="306" t="str">
        <f>IF((COUNTBLANK(G1638)=0),Stats!$E$7,IF((COUNTBLANK(E1638)=0),IF((COUNTBLANK(F1638)=0),IF((COUNTBLANK(U1638)=0),Stats!$E$6,Stats!$E$5),Stats!$E$4),""))</f>
        <v/>
      </c>
      <c r="C1638" s="41"/>
      <c r="D1638" s="306" t="str">
        <f>IF(B1638=Stats!$E$6,Stats!$E$11,"")</f>
        <v/>
      </c>
    </row>
    <row r="1639" spans="1:4" hidden="1" x14ac:dyDescent="0.25">
      <c r="A1639" s="32" t="s">
        <v>2363</v>
      </c>
      <c r="B1639" s="306" t="str">
        <f>IF((COUNTBLANK(G1639)=0),Stats!$E$7,IF((COUNTBLANK(E1639)=0),IF((COUNTBLANK(F1639)=0),IF((COUNTBLANK(U1639)=0),Stats!$E$6,Stats!$E$5),Stats!$E$4),""))</f>
        <v/>
      </c>
      <c r="C1639" s="41"/>
      <c r="D1639" s="306" t="str">
        <f>IF(B1639=Stats!$E$6,Stats!$E$11,"")</f>
        <v/>
      </c>
    </row>
    <row r="1640" spans="1:4" hidden="1" x14ac:dyDescent="0.25">
      <c r="A1640" s="32" t="s">
        <v>2364</v>
      </c>
      <c r="B1640" s="306" t="str">
        <f>IF((COUNTBLANK(G1640)=0),Stats!$E$7,IF((COUNTBLANK(E1640)=0),IF((COUNTBLANK(F1640)=0),IF((COUNTBLANK(U1640)=0),Stats!$E$6,Stats!$E$5),Stats!$E$4),""))</f>
        <v/>
      </c>
      <c r="C1640" s="41"/>
      <c r="D1640" s="306" t="str">
        <f>IF(B1640=Stats!$E$6,Stats!$E$11,"")</f>
        <v/>
      </c>
    </row>
    <row r="1641" spans="1:4" hidden="1" x14ac:dyDescent="0.25">
      <c r="A1641" s="32" t="s">
        <v>2365</v>
      </c>
      <c r="B1641" s="306" t="str">
        <f>IF((COUNTBLANK(G1641)=0),Stats!$E$7,IF((COUNTBLANK(E1641)=0),IF((COUNTBLANK(F1641)=0),IF((COUNTBLANK(U1641)=0),Stats!$E$6,Stats!$E$5),Stats!$E$4),""))</f>
        <v/>
      </c>
      <c r="C1641" s="41"/>
      <c r="D1641" s="306" t="str">
        <f>IF(B1641=Stats!$E$6,Stats!$E$11,"")</f>
        <v/>
      </c>
    </row>
    <row r="1642" spans="1:4" hidden="1" x14ac:dyDescent="0.25">
      <c r="A1642" s="32" t="s">
        <v>2366</v>
      </c>
      <c r="B1642" s="306" t="str">
        <f>IF((COUNTBLANK(G1642)=0),Stats!$E$7,IF((COUNTBLANK(E1642)=0),IF((COUNTBLANK(F1642)=0),IF((COUNTBLANK(U1642)=0),Stats!$E$6,Stats!$E$5),Stats!$E$4),""))</f>
        <v/>
      </c>
      <c r="C1642" s="41"/>
      <c r="D1642" s="306" t="str">
        <f>IF(B1642=Stats!$E$6,Stats!$E$11,"")</f>
        <v/>
      </c>
    </row>
    <row r="1643" spans="1:4" hidden="1" x14ac:dyDescent="0.25">
      <c r="A1643" s="32" t="s">
        <v>2367</v>
      </c>
      <c r="B1643" s="306" t="str">
        <f>IF((COUNTBLANK(G1643)=0),Stats!$E$7,IF((COUNTBLANK(E1643)=0),IF((COUNTBLANK(F1643)=0),IF((COUNTBLANK(U1643)=0),Stats!$E$6,Stats!$E$5),Stats!$E$4),""))</f>
        <v/>
      </c>
      <c r="C1643" s="41"/>
      <c r="D1643" s="306" t="str">
        <f>IF(B1643=Stats!$E$6,Stats!$E$11,"")</f>
        <v/>
      </c>
    </row>
    <row r="1644" spans="1:4" hidden="1" x14ac:dyDescent="0.25">
      <c r="A1644" s="32" t="s">
        <v>2368</v>
      </c>
      <c r="B1644" s="306" t="str">
        <f>IF((COUNTBLANK(G1644)=0),Stats!$E$7,IF((COUNTBLANK(E1644)=0),IF((COUNTBLANK(F1644)=0),IF((COUNTBLANK(U1644)=0),Stats!$E$6,Stats!$E$5),Stats!$E$4),""))</f>
        <v/>
      </c>
      <c r="C1644" s="41"/>
      <c r="D1644" s="306" t="str">
        <f>IF(B1644=Stats!$E$6,Stats!$E$11,"")</f>
        <v/>
      </c>
    </row>
    <row r="1645" spans="1:4" hidden="1" x14ac:dyDescent="0.25">
      <c r="A1645" s="32" t="s">
        <v>2369</v>
      </c>
      <c r="B1645" s="306" t="str">
        <f>IF((COUNTBLANK(G1645)=0),Stats!$E$7,IF((COUNTBLANK(E1645)=0),IF((COUNTBLANK(F1645)=0),IF((COUNTBLANK(U1645)=0),Stats!$E$6,Stats!$E$5),Stats!$E$4),""))</f>
        <v/>
      </c>
      <c r="C1645" s="41"/>
      <c r="D1645" s="306" t="str">
        <f>IF(B1645=Stats!$E$6,Stats!$E$11,"")</f>
        <v/>
      </c>
    </row>
    <row r="1646" spans="1:4" hidden="1" x14ac:dyDescent="0.25">
      <c r="A1646" s="32" t="s">
        <v>2370</v>
      </c>
      <c r="B1646" s="306" t="str">
        <f>IF((COUNTBLANK(G1646)=0),Stats!$E$7,IF((COUNTBLANK(E1646)=0),IF((COUNTBLANK(F1646)=0),IF((COUNTBLANK(U1646)=0),Stats!$E$6,Stats!$E$5),Stats!$E$4),""))</f>
        <v/>
      </c>
      <c r="C1646" s="41"/>
      <c r="D1646" s="306" t="str">
        <f>IF(B1646=Stats!$E$6,Stats!$E$11,"")</f>
        <v/>
      </c>
    </row>
    <row r="1647" spans="1:4" hidden="1" x14ac:dyDescent="0.25">
      <c r="A1647" s="32" t="s">
        <v>2371</v>
      </c>
      <c r="B1647" s="306" t="str">
        <f>IF((COUNTBLANK(G1647)=0),Stats!$E$7,IF((COUNTBLANK(E1647)=0),IF((COUNTBLANK(F1647)=0),IF((COUNTBLANK(U1647)=0),Stats!$E$6,Stats!$E$5),Stats!$E$4),""))</f>
        <v/>
      </c>
      <c r="C1647" s="41"/>
      <c r="D1647" s="306" t="str">
        <f>IF(B1647=Stats!$E$6,Stats!$E$11,"")</f>
        <v/>
      </c>
    </row>
    <row r="1648" spans="1:4" hidden="1" x14ac:dyDescent="0.25">
      <c r="A1648" s="32" t="s">
        <v>2372</v>
      </c>
      <c r="B1648" s="306" t="str">
        <f>IF((COUNTBLANK(G1648)=0),Stats!$E$7,IF((COUNTBLANK(E1648)=0),IF((COUNTBLANK(F1648)=0),IF((COUNTBLANK(U1648)=0),Stats!$E$6,Stats!$E$5),Stats!$E$4),""))</f>
        <v/>
      </c>
      <c r="C1648" s="41"/>
      <c r="D1648" s="306" t="str">
        <f>IF(B1648=Stats!$E$6,Stats!$E$11,"")</f>
        <v/>
      </c>
    </row>
    <row r="1649" spans="1:4" hidden="1" x14ac:dyDescent="0.25">
      <c r="A1649" s="32" t="s">
        <v>2373</v>
      </c>
      <c r="B1649" s="306" t="str">
        <f>IF((COUNTBLANK(G1649)=0),Stats!$E$7,IF((COUNTBLANK(E1649)=0),IF((COUNTBLANK(F1649)=0),IF((COUNTBLANK(U1649)=0),Stats!$E$6,Stats!$E$5),Stats!$E$4),""))</f>
        <v/>
      </c>
      <c r="C1649" s="41"/>
      <c r="D1649" s="306" t="str">
        <f>IF(B1649=Stats!$E$6,Stats!$E$11,"")</f>
        <v/>
      </c>
    </row>
    <row r="1650" spans="1:4" hidden="1" x14ac:dyDescent="0.25">
      <c r="A1650" s="32" t="s">
        <v>2374</v>
      </c>
      <c r="B1650" s="306" t="str">
        <f>IF((COUNTBLANK(G1650)=0),Stats!$E$7,IF((COUNTBLANK(E1650)=0),IF((COUNTBLANK(F1650)=0),IF((COUNTBLANK(U1650)=0),Stats!$E$6,Stats!$E$5),Stats!$E$4),""))</f>
        <v/>
      </c>
      <c r="C1650" s="41"/>
      <c r="D1650" s="306" t="str">
        <f>IF(B1650=Stats!$E$6,Stats!$E$11,"")</f>
        <v/>
      </c>
    </row>
    <row r="1651" spans="1:4" hidden="1" x14ac:dyDescent="0.25">
      <c r="A1651" s="32" t="s">
        <v>2375</v>
      </c>
      <c r="B1651" s="306" t="str">
        <f>IF((COUNTBLANK(G1651)=0),Stats!$E$7,IF((COUNTBLANK(E1651)=0),IF((COUNTBLANK(F1651)=0),IF((COUNTBLANK(U1651)=0),Stats!$E$6,Stats!$E$5),Stats!$E$4),""))</f>
        <v/>
      </c>
      <c r="C1651" s="41"/>
      <c r="D1651" s="306" t="str">
        <f>IF(B1651=Stats!$E$6,Stats!$E$11,"")</f>
        <v/>
      </c>
    </row>
    <row r="1652" spans="1:4" hidden="1" x14ac:dyDescent="0.25">
      <c r="A1652" s="32" t="s">
        <v>2376</v>
      </c>
      <c r="B1652" s="306" t="str">
        <f>IF((COUNTBLANK(G1652)=0),Stats!$E$7,IF((COUNTBLANK(E1652)=0),IF((COUNTBLANK(F1652)=0),IF((COUNTBLANK(U1652)=0),Stats!$E$6,Stats!$E$5),Stats!$E$4),""))</f>
        <v/>
      </c>
      <c r="C1652" s="41"/>
      <c r="D1652" s="306" t="str">
        <f>IF(B1652=Stats!$E$6,Stats!$E$11,"")</f>
        <v/>
      </c>
    </row>
    <row r="1653" spans="1:4" hidden="1" x14ac:dyDescent="0.25">
      <c r="A1653" s="32" t="s">
        <v>2377</v>
      </c>
      <c r="B1653" s="306" t="str">
        <f>IF((COUNTBLANK(G1653)=0),Stats!$E$7,IF((COUNTBLANK(E1653)=0),IF((COUNTBLANK(F1653)=0),IF((COUNTBLANK(U1653)=0),Stats!$E$6,Stats!$E$5),Stats!$E$4),""))</f>
        <v/>
      </c>
      <c r="C1653" s="41"/>
      <c r="D1653" s="306" t="str">
        <f>IF(B1653=Stats!$E$6,Stats!$E$11,"")</f>
        <v/>
      </c>
    </row>
    <row r="1654" spans="1:4" hidden="1" x14ac:dyDescent="0.25">
      <c r="A1654" s="32" t="s">
        <v>2378</v>
      </c>
      <c r="B1654" s="306" t="str">
        <f>IF((COUNTBLANK(G1654)=0),Stats!$E$7,IF((COUNTBLANK(E1654)=0),IF((COUNTBLANK(F1654)=0),IF((COUNTBLANK(U1654)=0),Stats!$E$6,Stats!$E$5),Stats!$E$4),""))</f>
        <v/>
      </c>
      <c r="C1654" s="41"/>
      <c r="D1654" s="306" t="str">
        <f>IF(B1654=Stats!$E$6,Stats!$E$11,"")</f>
        <v/>
      </c>
    </row>
    <row r="1655" spans="1:4" hidden="1" x14ac:dyDescent="0.25">
      <c r="A1655" s="32" t="s">
        <v>2379</v>
      </c>
      <c r="B1655" s="306" t="str">
        <f>IF((COUNTBLANK(G1655)=0),Stats!$E$7,IF((COUNTBLANK(E1655)=0),IF((COUNTBLANK(F1655)=0),IF((COUNTBLANK(U1655)=0),Stats!$E$6,Stats!$E$5),Stats!$E$4),""))</f>
        <v/>
      </c>
      <c r="C1655" s="41"/>
      <c r="D1655" s="306" t="str">
        <f>IF(B1655=Stats!$E$6,Stats!$E$11,"")</f>
        <v/>
      </c>
    </row>
    <row r="1656" spans="1:4" hidden="1" x14ac:dyDescent="0.25">
      <c r="A1656" s="32" t="s">
        <v>2380</v>
      </c>
      <c r="B1656" s="306" t="str">
        <f>IF((COUNTBLANK(G1656)=0),Stats!$E$7,IF((COUNTBLANK(E1656)=0),IF((COUNTBLANK(F1656)=0),IF((COUNTBLANK(U1656)=0),Stats!$E$6,Stats!$E$5),Stats!$E$4),""))</f>
        <v/>
      </c>
      <c r="C1656" s="41"/>
      <c r="D1656" s="306" t="str">
        <f>IF(B1656=Stats!$E$6,Stats!$E$11,"")</f>
        <v/>
      </c>
    </row>
    <row r="1657" spans="1:4" hidden="1" x14ac:dyDescent="0.25">
      <c r="A1657" s="32" t="s">
        <v>2381</v>
      </c>
      <c r="B1657" s="306" t="str">
        <f>IF((COUNTBLANK(G1657)=0),Stats!$E$7,IF((COUNTBLANK(E1657)=0),IF((COUNTBLANK(F1657)=0),IF((COUNTBLANK(U1657)=0),Stats!$E$6,Stats!$E$5),Stats!$E$4),""))</f>
        <v/>
      </c>
      <c r="C1657" s="41"/>
      <c r="D1657" s="306" t="str">
        <f>IF(B1657=Stats!$E$6,Stats!$E$11,"")</f>
        <v/>
      </c>
    </row>
    <row r="1658" spans="1:4" hidden="1" x14ac:dyDescent="0.25">
      <c r="A1658" s="32" t="s">
        <v>2382</v>
      </c>
      <c r="B1658" s="306" t="str">
        <f>IF((COUNTBLANK(G1658)=0),Stats!$E$7,IF((COUNTBLANK(E1658)=0),IF((COUNTBLANK(F1658)=0),IF((COUNTBLANK(U1658)=0),Stats!$E$6,Stats!$E$5),Stats!$E$4),""))</f>
        <v/>
      </c>
      <c r="C1658" s="41"/>
      <c r="D1658" s="306" t="str">
        <f>IF(B1658=Stats!$E$6,Stats!$E$11,"")</f>
        <v/>
      </c>
    </row>
    <row r="1659" spans="1:4" hidden="1" x14ac:dyDescent="0.25">
      <c r="A1659" s="32" t="s">
        <v>2383</v>
      </c>
      <c r="B1659" s="306" t="str">
        <f>IF((COUNTBLANK(G1659)=0),Stats!$E$7,IF((COUNTBLANK(E1659)=0),IF((COUNTBLANK(F1659)=0),IF((COUNTBLANK(U1659)=0),Stats!$E$6,Stats!$E$5),Stats!$E$4),""))</f>
        <v/>
      </c>
      <c r="C1659" s="41"/>
      <c r="D1659" s="306" t="str">
        <f>IF(B1659=Stats!$E$6,Stats!$E$11,"")</f>
        <v/>
      </c>
    </row>
    <row r="1660" spans="1:4" hidden="1" x14ac:dyDescent="0.25">
      <c r="A1660" s="32" t="s">
        <v>2384</v>
      </c>
      <c r="B1660" s="306" t="str">
        <f>IF((COUNTBLANK(G1660)=0),Stats!$E$7,IF((COUNTBLANK(E1660)=0),IF((COUNTBLANK(F1660)=0),IF((COUNTBLANK(U1660)=0),Stats!$E$6,Stats!$E$5),Stats!$E$4),""))</f>
        <v/>
      </c>
      <c r="C1660" s="41"/>
      <c r="D1660" s="306" t="str">
        <f>IF(B1660=Stats!$E$6,Stats!$E$11,"")</f>
        <v/>
      </c>
    </row>
    <row r="1661" spans="1:4" hidden="1" x14ac:dyDescent="0.25">
      <c r="A1661" s="32" t="s">
        <v>2385</v>
      </c>
      <c r="B1661" s="306" t="str">
        <f>IF((COUNTBLANK(G1661)=0),Stats!$E$7,IF((COUNTBLANK(E1661)=0),IF((COUNTBLANK(F1661)=0),IF((COUNTBLANK(U1661)=0),Stats!$E$6,Stats!$E$5),Stats!$E$4),""))</f>
        <v/>
      </c>
      <c r="C1661" s="41"/>
      <c r="D1661" s="306" t="str">
        <f>IF(B1661=Stats!$E$6,Stats!$E$11,"")</f>
        <v/>
      </c>
    </row>
    <row r="1662" spans="1:4" hidden="1" x14ac:dyDescent="0.25">
      <c r="A1662" s="32" t="s">
        <v>2386</v>
      </c>
      <c r="B1662" s="306" t="str">
        <f>IF((COUNTBLANK(G1662)=0),Stats!$E$7,IF((COUNTBLANK(E1662)=0),IF((COUNTBLANK(F1662)=0),IF((COUNTBLANK(U1662)=0),Stats!$E$6,Stats!$E$5),Stats!$E$4),""))</f>
        <v/>
      </c>
      <c r="C1662" s="41"/>
      <c r="D1662" s="306" t="str">
        <f>IF(B1662=Stats!$E$6,Stats!$E$11,"")</f>
        <v/>
      </c>
    </row>
    <row r="1663" spans="1:4" hidden="1" x14ac:dyDescent="0.25">
      <c r="A1663" s="32" t="s">
        <v>2387</v>
      </c>
      <c r="B1663" s="306" t="str">
        <f>IF((COUNTBLANK(G1663)=0),Stats!$E$7,IF((COUNTBLANK(E1663)=0),IF((COUNTBLANK(F1663)=0),IF((COUNTBLANK(U1663)=0),Stats!$E$6,Stats!$E$5),Stats!$E$4),""))</f>
        <v/>
      </c>
      <c r="C1663" s="41"/>
      <c r="D1663" s="306" t="str">
        <f>IF(B1663=Stats!$E$6,Stats!$E$11,"")</f>
        <v/>
      </c>
    </row>
    <row r="1664" spans="1:4" hidden="1" x14ac:dyDescent="0.25">
      <c r="A1664" s="32" t="s">
        <v>2388</v>
      </c>
      <c r="B1664" s="306" t="str">
        <f>IF((COUNTBLANK(G1664)=0),Stats!$E$7,IF((COUNTBLANK(E1664)=0),IF((COUNTBLANK(F1664)=0),IF((COUNTBLANK(U1664)=0),Stats!$E$6,Stats!$E$5),Stats!$E$4),""))</f>
        <v/>
      </c>
      <c r="C1664" s="41"/>
      <c r="D1664" s="306" t="str">
        <f>IF(B1664=Stats!$E$6,Stats!$E$11,"")</f>
        <v/>
      </c>
    </row>
    <row r="1665" spans="1:4" hidden="1" x14ac:dyDescent="0.25">
      <c r="A1665" s="32" t="s">
        <v>2389</v>
      </c>
      <c r="B1665" s="306" t="str">
        <f>IF((COUNTBLANK(G1665)=0),Stats!$E$7,IF((COUNTBLANK(E1665)=0),IF((COUNTBLANK(F1665)=0),IF((COUNTBLANK(U1665)=0),Stats!$E$6,Stats!$E$5),Stats!$E$4),""))</f>
        <v/>
      </c>
      <c r="C1665" s="41"/>
      <c r="D1665" s="306" t="str">
        <f>IF(B1665=Stats!$E$6,Stats!$E$11,"")</f>
        <v/>
      </c>
    </row>
    <row r="1666" spans="1:4" hidden="1" x14ac:dyDescent="0.25">
      <c r="A1666" s="32" t="s">
        <v>2390</v>
      </c>
      <c r="B1666" s="306" t="str">
        <f>IF((COUNTBLANK(G1666)=0),Stats!$E$7,IF((COUNTBLANK(E1666)=0),IF((COUNTBLANK(F1666)=0),IF((COUNTBLANK(U1666)=0),Stats!$E$6,Stats!$E$5),Stats!$E$4),""))</f>
        <v/>
      </c>
      <c r="C1666" s="41"/>
      <c r="D1666" s="306" t="str">
        <f>IF(B1666=Stats!$E$6,Stats!$E$11,"")</f>
        <v/>
      </c>
    </row>
    <row r="1667" spans="1:4" hidden="1" x14ac:dyDescent="0.25">
      <c r="A1667" s="32" t="s">
        <v>2391</v>
      </c>
      <c r="B1667" s="306" t="str">
        <f>IF((COUNTBLANK(G1667)=0),Stats!$E$7,IF((COUNTBLANK(E1667)=0),IF((COUNTBLANK(F1667)=0),IF((COUNTBLANK(U1667)=0),Stats!$E$6,Stats!$E$5),Stats!$E$4),""))</f>
        <v/>
      </c>
      <c r="C1667" s="41"/>
      <c r="D1667" s="306" t="str">
        <f>IF(B1667=Stats!$E$6,Stats!$E$11,"")</f>
        <v/>
      </c>
    </row>
    <row r="1668" spans="1:4" hidden="1" x14ac:dyDescent="0.25">
      <c r="A1668" s="32" t="s">
        <v>2392</v>
      </c>
      <c r="B1668" s="306" t="str">
        <f>IF((COUNTBLANK(G1668)=0),Stats!$E$7,IF((COUNTBLANK(E1668)=0),IF((COUNTBLANK(F1668)=0),IF((COUNTBLANK(U1668)=0),Stats!$E$6,Stats!$E$5),Stats!$E$4),""))</f>
        <v/>
      </c>
      <c r="C1668" s="41"/>
      <c r="D1668" s="306" t="str">
        <f>IF(B1668=Stats!$E$6,Stats!$E$11,"")</f>
        <v/>
      </c>
    </row>
    <row r="1669" spans="1:4" hidden="1" x14ac:dyDescent="0.25">
      <c r="A1669" s="32" t="s">
        <v>2393</v>
      </c>
      <c r="B1669" s="306" t="str">
        <f>IF((COUNTBLANK(G1669)=0),Stats!$E$7,IF((COUNTBLANK(E1669)=0),IF((COUNTBLANK(F1669)=0),IF((COUNTBLANK(U1669)=0),Stats!$E$6,Stats!$E$5),Stats!$E$4),""))</f>
        <v/>
      </c>
      <c r="C1669" s="41"/>
      <c r="D1669" s="306" t="str">
        <f>IF(B1669=Stats!$E$6,Stats!$E$11,"")</f>
        <v/>
      </c>
    </row>
    <row r="1670" spans="1:4" hidden="1" x14ac:dyDescent="0.25">
      <c r="A1670" s="32" t="s">
        <v>2394</v>
      </c>
      <c r="B1670" s="306" t="str">
        <f>IF((COUNTBLANK(G1670)=0),Stats!$E$7,IF((COUNTBLANK(E1670)=0),IF((COUNTBLANK(F1670)=0),IF((COUNTBLANK(U1670)=0),Stats!$E$6,Stats!$E$5),Stats!$E$4),""))</f>
        <v/>
      </c>
      <c r="C1670" s="41"/>
      <c r="D1670" s="306" t="str">
        <f>IF(B1670=Stats!$E$6,Stats!$E$11,"")</f>
        <v/>
      </c>
    </row>
    <row r="1671" spans="1:4" hidden="1" x14ac:dyDescent="0.25">
      <c r="A1671" s="32" t="s">
        <v>2395</v>
      </c>
      <c r="B1671" s="306" t="str">
        <f>IF((COUNTBLANK(G1671)=0),Stats!$E$7,IF((COUNTBLANK(E1671)=0),IF((COUNTBLANK(F1671)=0),IF((COUNTBLANK(U1671)=0),Stats!$E$6,Stats!$E$5),Stats!$E$4),""))</f>
        <v/>
      </c>
      <c r="C1671" s="41"/>
      <c r="D1671" s="306" t="str">
        <f>IF(B1671=Stats!$E$6,Stats!$E$11,"")</f>
        <v/>
      </c>
    </row>
    <row r="1672" spans="1:4" hidden="1" x14ac:dyDescent="0.25">
      <c r="A1672" s="32" t="s">
        <v>2396</v>
      </c>
      <c r="B1672" s="306" t="str">
        <f>IF((COUNTBLANK(G1672)=0),Stats!$E$7,IF((COUNTBLANK(E1672)=0),IF((COUNTBLANK(F1672)=0),IF((COUNTBLANK(U1672)=0),Stats!$E$6,Stats!$E$5),Stats!$E$4),""))</f>
        <v/>
      </c>
      <c r="C1672" s="41"/>
      <c r="D1672" s="306" t="str">
        <f>IF(B1672=Stats!$E$6,Stats!$E$11,"")</f>
        <v/>
      </c>
    </row>
    <row r="1673" spans="1:4" hidden="1" x14ac:dyDescent="0.25">
      <c r="A1673" s="32" t="s">
        <v>2397</v>
      </c>
      <c r="B1673" s="306" t="str">
        <f>IF((COUNTBLANK(G1673)=0),Stats!$E$7,IF((COUNTBLANK(E1673)=0),IF((COUNTBLANK(F1673)=0),IF((COUNTBLANK(U1673)=0),Stats!$E$6,Stats!$E$5),Stats!$E$4),""))</f>
        <v/>
      </c>
      <c r="C1673" s="41"/>
      <c r="D1673" s="306" t="str">
        <f>IF(B1673=Stats!$E$6,Stats!$E$11,"")</f>
        <v/>
      </c>
    </row>
    <row r="1674" spans="1:4" hidden="1" x14ac:dyDescent="0.25">
      <c r="A1674" s="32" t="s">
        <v>2398</v>
      </c>
      <c r="B1674" s="306" t="str">
        <f>IF((COUNTBLANK(G1674)=0),Stats!$E$7,IF((COUNTBLANK(E1674)=0),IF((COUNTBLANK(F1674)=0),IF((COUNTBLANK(U1674)=0),Stats!$E$6,Stats!$E$5),Stats!$E$4),""))</f>
        <v/>
      </c>
      <c r="C1674" s="41"/>
      <c r="D1674" s="306" t="str">
        <f>IF(B1674=Stats!$E$6,Stats!$E$11,"")</f>
        <v/>
      </c>
    </row>
    <row r="1675" spans="1:4" hidden="1" x14ac:dyDescent="0.25">
      <c r="A1675" s="32" t="s">
        <v>2399</v>
      </c>
      <c r="B1675" s="306" t="str">
        <f>IF((COUNTBLANK(G1675)=0),Stats!$E$7,IF((COUNTBLANK(E1675)=0),IF((COUNTBLANK(F1675)=0),IF((COUNTBLANK(U1675)=0),Stats!$E$6,Stats!$E$5),Stats!$E$4),""))</f>
        <v/>
      </c>
      <c r="C1675" s="41"/>
      <c r="D1675" s="306" t="str">
        <f>IF(B1675=Stats!$E$6,Stats!$E$11,"")</f>
        <v/>
      </c>
    </row>
    <row r="1676" spans="1:4" hidden="1" x14ac:dyDescent="0.25">
      <c r="A1676" s="32" t="s">
        <v>2400</v>
      </c>
      <c r="B1676" s="306" t="str">
        <f>IF((COUNTBLANK(G1676)=0),Stats!$E$7,IF((COUNTBLANK(E1676)=0),IF((COUNTBLANK(F1676)=0),IF((COUNTBLANK(U1676)=0),Stats!$E$6,Stats!$E$5),Stats!$E$4),""))</f>
        <v/>
      </c>
      <c r="C1676" s="41"/>
      <c r="D1676" s="306" t="str">
        <f>IF(B1676=Stats!$E$6,Stats!$E$11,"")</f>
        <v/>
      </c>
    </row>
    <row r="1677" spans="1:4" hidden="1" x14ac:dyDescent="0.25">
      <c r="A1677" s="32" t="s">
        <v>2401</v>
      </c>
      <c r="B1677" s="306" t="str">
        <f>IF((COUNTBLANK(G1677)=0),Stats!$E$7,IF((COUNTBLANK(E1677)=0),IF((COUNTBLANK(F1677)=0),IF((COUNTBLANK(U1677)=0),Stats!$E$6,Stats!$E$5),Stats!$E$4),""))</f>
        <v/>
      </c>
      <c r="C1677" s="41"/>
      <c r="D1677" s="306" t="str">
        <f>IF(B1677=Stats!$E$6,Stats!$E$11,"")</f>
        <v/>
      </c>
    </row>
    <row r="1678" spans="1:4" hidden="1" x14ac:dyDescent="0.25">
      <c r="A1678" s="32" t="s">
        <v>2402</v>
      </c>
      <c r="B1678" s="306" t="str">
        <f>IF((COUNTBLANK(G1678)=0),Stats!$E$7,IF((COUNTBLANK(E1678)=0),IF((COUNTBLANK(F1678)=0),IF((COUNTBLANK(U1678)=0),Stats!$E$6,Stats!$E$5),Stats!$E$4),""))</f>
        <v/>
      </c>
      <c r="C1678" s="41"/>
      <c r="D1678" s="306" t="str">
        <f>IF(B1678=Stats!$E$6,Stats!$E$11,"")</f>
        <v/>
      </c>
    </row>
    <row r="1679" spans="1:4" hidden="1" x14ac:dyDescent="0.25">
      <c r="A1679" s="32" t="s">
        <v>2403</v>
      </c>
      <c r="B1679" s="306" t="str">
        <f>IF((COUNTBLANK(G1679)=0),Stats!$E$7,IF((COUNTBLANK(E1679)=0),IF((COUNTBLANK(F1679)=0),IF((COUNTBLANK(U1679)=0),Stats!$E$6,Stats!$E$5),Stats!$E$4),""))</f>
        <v/>
      </c>
      <c r="C1679" s="41"/>
      <c r="D1679" s="306" t="str">
        <f>IF(B1679=Stats!$E$6,Stats!$E$11,"")</f>
        <v/>
      </c>
    </row>
    <row r="1680" spans="1:4" hidden="1" x14ac:dyDescent="0.25">
      <c r="A1680" s="32" t="s">
        <v>2404</v>
      </c>
      <c r="B1680" s="306" t="str">
        <f>IF((COUNTBLANK(G1680)=0),Stats!$E$7,IF((COUNTBLANK(E1680)=0),IF((COUNTBLANK(F1680)=0),IF((COUNTBLANK(U1680)=0),Stats!$E$6,Stats!$E$5),Stats!$E$4),""))</f>
        <v/>
      </c>
      <c r="C1680" s="41"/>
      <c r="D1680" s="306" t="str">
        <f>IF(B1680=Stats!$E$6,Stats!$E$11,"")</f>
        <v/>
      </c>
    </row>
    <row r="1681" spans="1:4" hidden="1" x14ac:dyDescent="0.25">
      <c r="A1681" s="32" t="s">
        <v>2405</v>
      </c>
      <c r="B1681" s="306" t="str">
        <f>IF((COUNTBLANK(G1681)=0),Stats!$E$7,IF((COUNTBLANK(E1681)=0),IF((COUNTBLANK(F1681)=0),IF((COUNTBLANK(U1681)=0),Stats!$E$6,Stats!$E$5),Stats!$E$4),""))</f>
        <v/>
      </c>
      <c r="C1681" s="41"/>
      <c r="D1681" s="306" t="str">
        <f>IF(B1681=Stats!$E$6,Stats!$E$11,"")</f>
        <v/>
      </c>
    </row>
    <row r="1682" spans="1:4" hidden="1" x14ac:dyDescent="0.25">
      <c r="A1682" s="32" t="s">
        <v>2406</v>
      </c>
      <c r="B1682" s="306" t="str">
        <f>IF((COUNTBLANK(G1682)=0),Stats!$E$7,IF((COUNTBLANK(E1682)=0),IF((COUNTBLANK(F1682)=0),IF((COUNTBLANK(U1682)=0),Stats!$E$6,Stats!$E$5),Stats!$E$4),""))</f>
        <v/>
      </c>
      <c r="C1682" s="41"/>
      <c r="D1682" s="306" t="str">
        <f>IF(B1682=Stats!$E$6,Stats!$E$11,"")</f>
        <v/>
      </c>
    </row>
    <row r="1683" spans="1:4" hidden="1" x14ac:dyDescent="0.25">
      <c r="A1683" s="32" t="s">
        <v>2407</v>
      </c>
      <c r="B1683" s="306" t="str">
        <f>IF((COUNTBLANK(G1683)=0),Stats!$E$7,IF((COUNTBLANK(E1683)=0),IF((COUNTBLANK(F1683)=0),IF((COUNTBLANK(U1683)=0),Stats!$E$6,Stats!$E$5),Stats!$E$4),""))</f>
        <v/>
      </c>
      <c r="C1683" s="41"/>
      <c r="D1683" s="306" t="str">
        <f>IF(B1683=Stats!$E$6,Stats!$E$11,"")</f>
        <v/>
      </c>
    </row>
    <row r="1684" spans="1:4" hidden="1" x14ac:dyDescent="0.25">
      <c r="A1684" s="32" t="s">
        <v>2408</v>
      </c>
      <c r="B1684" s="306" t="str">
        <f>IF((COUNTBLANK(G1684)=0),Stats!$E$7,IF((COUNTBLANK(E1684)=0),IF((COUNTBLANK(F1684)=0),IF((COUNTBLANK(U1684)=0),Stats!$E$6,Stats!$E$5),Stats!$E$4),""))</f>
        <v/>
      </c>
      <c r="C1684" s="41"/>
      <c r="D1684" s="306" t="str">
        <f>IF(B1684=Stats!$E$6,Stats!$E$11,"")</f>
        <v/>
      </c>
    </row>
    <row r="1685" spans="1:4" hidden="1" x14ac:dyDescent="0.25">
      <c r="A1685" s="32" t="s">
        <v>2409</v>
      </c>
      <c r="B1685" s="306" t="str">
        <f>IF((COUNTBLANK(G1685)=0),Stats!$E$7,IF((COUNTBLANK(E1685)=0),IF((COUNTBLANK(F1685)=0),IF((COUNTBLANK(U1685)=0),Stats!$E$6,Stats!$E$5),Stats!$E$4),""))</f>
        <v/>
      </c>
      <c r="C1685" s="41"/>
      <c r="D1685" s="306" t="str">
        <f>IF(B1685=Stats!$E$6,Stats!$E$11,"")</f>
        <v/>
      </c>
    </row>
    <row r="1686" spans="1:4" hidden="1" x14ac:dyDescent="0.25">
      <c r="A1686" s="32" t="s">
        <v>2410</v>
      </c>
      <c r="B1686" s="306" t="str">
        <f>IF((COUNTBLANK(G1686)=0),Stats!$E$7,IF((COUNTBLANK(E1686)=0),IF((COUNTBLANK(F1686)=0),IF((COUNTBLANK(U1686)=0),Stats!$E$6,Stats!$E$5),Stats!$E$4),""))</f>
        <v/>
      </c>
      <c r="C1686" s="41"/>
      <c r="D1686" s="306" t="str">
        <f>IF(B1686=Stats!$E$6,Stats!$E$11,"")</f>
        <v/>
      </c>
    </row>
    <row r="1687" spans="1:4" hidden="1" x14ac:dyDescent="0.25">
      <c r="A1687" s="32" t="s">
        <v>2411</v>
      </c>
      <c r="B1687" s="306" t="str">
        <f>IF((COUNTBLANK(G1687)=0),Stats!$E$7,IF((COUNTBLANK(E1687)=0),IF((COUNTBLANK(F1687)=0),IF((COUNTBLANK(U1687)=0),Stats!$E$6,Stats!$E$5),Stats!$E$4),""))</f>
        <v/>
      </c>
      <c r="C1687" s="41"/>
      <c r="D1687" s="306" t="str">
        <f>IF(B1687=Stats!$E$6,Stats!$E$11,"")</f>
        <v/>
      </c>
    </row>
    <row r="1688" spans="1:4" hidden="1" x14ac:dyDescent="0.25">
      <c r="A1688" s="32" t="s">
        <v>2412</v>
      </c>
      <c r="B1688" s="306" t="str">
        <f>IF((COUNTBLANK(G1688)=0),Stats!$E$7,IF((COUNTBLANK(E1688)=0),IF((COUNTBLANK(F1688)=0),IF((COUNTBLANK(U1688)=0),Stats!$E$6,Stats!$E$5),Stats!$E$4),""))</f>
        <v/>
      </c>
      <c r="C1688" s="41"/>
      <c r="D1688" s="306" t="str">
        <f>IF(B1688=Stats!$E$6,Stats!$E$11,"")</f>
        <v/>
      </c>
    </row>
    <row r="1689" spans="1:4" hidden="1" x14ac:dyDescent="0.25">
      <c r="A1689" s="32" t="s">
        <v>2413</v>
      </c>
      <c r="B1689" s="306" t="str">
        <f>IF((COUNTBLANK(G1689)=0),Stats!$E$7,IF((COUNTBLANK(E1689)=0),IF((COUNTBLANK(F1689)=0),IF((COUNTBLANK(U1689)=0),Stats!$E$6,Stats!$E$5),Stats!$E$4),""))</f>
        <v/>
      </c>
      <c r="C1689" s="41"/>
      <c r="D1689" s="306" t="str">
        <f>IF(B1689=Stats!$E$6,Stats!$E$11,"")</f>
        <v/>
      </c>
    </row>
    <row r="1690" spans="1:4" hidden="1" x14ac:dyDescent="0.25">
      <c r="A1690" s="32" t="s">
        <v>2414</v>
      </c>
      <c r="B1690" s="306" t="str">
        <f>IF((COUNTBLANK(G1690)=0),Stats!$E$7,IF((COUNTBLANK(E1690)=0),IF((COUNTBLANK(F1690)=0),IF((COUNTBLANK(U1690)=0),Stats!$E$6,Stats!$E$5),Stats!$E$4),""))</f>
        <v/>
      </c>
      <c r="C1690" s="41"/>
      <c r="D1690" s="306" t="str">
        <f>IF(B1690=Stats!$E$6,Stats!$E$11,"")</f>
        <v/>
      </c>
    </row>
    <row r="1691" spans="1:4" hidden="1" x14ac:dyDescent="0.25">
      <c r="A1691" s="32" t="s">
        <v>2415</v>
      </c>
      <c r="B1691" s="306" t="str">
        <f>IF((COUNTBLANK(G1691)=0),Stats!$E$7,IF((COUNTBLANK(E1691)=0),IF((COUNTBLANK(F1691)=0),IF((COUNTBLANK(U1691)=0),Stats!$E$6,Stats!$E$5),Stats!$E$4),""))</f>
        <v/>
      </c>
      <c r="C1691" s="41"/>
      <c r="D1691" s="306" t="str">
        <f>IF(B1691=Stats!$E$6,Stats!$E$11,"")</f>
        <v/>
      </c>
    </row>
    <row r="1692" spans="1:4" hidden="1" x14ac:dyDescent="0.25">
      <c r="A1692" s="32" t="s">
        <v>2416</v>
      </c>
      <c r="B1692" s="306" t="str">
        <f>IF((COUNTBLANK(G1692)=0),Stats!$E$7,IF((COUNTBLANK(E1692)=0),IF((COUNTBLANK(F1692)=0),IF((COUNTBLANK(U1692)=0),Stats!$E$6,Stats!$E$5),Stats!$E$4),""))</f>
        <v/>
      </c>
      <c r="C1692" s="41"/>
      <c r="D1692" s="306" t="str">
        <f>IF(B1692=Stats!$E$6,Stats!$E$11,"")</f>
        <v/>
      </c>
    </row>
    <row r="1693" spans="1:4" hidden="1" x14ac:dyDescent="0.25">
      <c r="A1693" s="32" t="s">
        <v>2417</v>
      </c>
      <c r="B1693" s="306" t="str">
        <f>IF((COUNTBLANK(G1693)=0),Stats!$E$7,IF((COUNTBLANK(E1693)=0),IF((COUNTBLANK(F1693)=0),IF((COUNTBLANK(U1693)=0),Stats!$E$6,Stats!$E$5),Stats!$E$4),""))</f>
        <v/>
      </c>
      <c r="C1693" s="41"/>
      <c r="D1693" s="306" t="str">
        <f>IF(B1693=Stats!$E$6,Stats!$E$11,"")</f>
        <v/>
      </c>
    </row>
    <row r="1694" spans="1:4" hidden="1" x14ac:dyDescent="0.25">
      <c r="A1694" s="32" t="s">
        <v>2418</v>
      </c>
      <c r="B1694" s="306" t="str">
        <f>IF((COUNTBLANK(G1694)=0),Stats!$E$7,IF((COUNTBLANK(E1694)=0),IF((COUNTBLANK(F1694)=0),IF((COUNTBLANK(U1694)=0),Stats!$E$6,Stats!$E$5),Stats!$E$4),""))</f>
        <v/>
      </c>
      <c r="C1694" s="41"/>
      <c r="D1694" s="306" t="str">
        <f>IF(B1694=Stats!$E$6,Stats!$E$11,"")</f>
        <v/>
      </c>
    </row>
    <row r="1695" spans="1:4" hidden="1" x14ac:dyDescent="0.25">
      <c r="A1695" s="32" t="s">
        <v>2419</v>
      </c>
      <c r="B1695" s="306" t="str">
        <f>IF((COUNTBLANK(G1695)=0),Stats!$E$7,IF((COUNTBLANK(E1695)=0),IF((COUNTBLANK(F1695)=0),IF((COUNTBLANK(U1695)=0),Stats!$E$6,Stats!$E$5),Stats!$E$4),""))</f>
        <v/>
      </c>
      <c r="C1695" s="41"/>
      <c r="D1695" s="306" t="str">
        <f>IF(B1695=Stats!$E$6,Stats!$E$11,"")</f>
        <v/>
      </c>
    </row>
    <row r="1696" spans="1:4" hidden="1" x14ac:dyDescent="0.25">
      <c r="A1696" s="32" t="s">
        <v>2420</v>
      </c>
      <c r="B1696" s="306" t="str">
        <f>IF((COUNTBLANK(G1696)=0),Stats!$E$7,IF((COUNTBLANK(E1696)=0),IF((COUNTBLANK(F1696)=0),IF((COUNTBLANK(U1696)=0),Stats!$E$6,Stats!$E$5),Stats!$E$4),""))</f>
        <v/>
      </c>
      <c r="C1696" s="41"/>
      <c r="D1696" s="306" t="str">
        <f>IF(B1696=Stats!$E$6,Stats!$E$11,"")</f>
        <v/>
      </c>
    </row>
    <row r="1697" spans="1:4" hidden="1" x14ac:dyDescent="0.25">
      <c r="A1697" s="32" t="s">
        <v>2421</v>
      </c>
      <c r="B1697" s="306" t="str">
        <f>IF((COUNTBLANK(G1697)=0),Stats!$E$7,IF((COUNTBLANK(E1697)=0),IF((COUNTBLANK(F1697)=0),IF((COUNTBLANK(U1697)=0),Stats!$E$6,Stats!$E$5),Stats!$E$4),""))</f>
        <v/>
      </c>
      <c r="C1697" s="41"/>
      <c r="D1697" s="306" t="str">
        <f>IF(B1697=Stats!$E$6,Stats!$E$11,"")</f>
        <v/>
      </c>
    </row>
    <row r="1698" spans="1:4" hidden="1" x14ac:dyDescent="0.25">
      <c r="A1698" s="32" t="s">
        <v>2422</v>
      </c>
      <c r="B1698" s="306" t="str">
        <f>IF((COUNTBLANK(G1698)=0),Stats!$E$7,IF((COUNTBLANK(E1698)=0),IF((COUNTBLANK(F1698)=0),IF((COUNTBLANK(U1698)=0),Stats!$E$6,Stats!$E$5),Stats!$E$4),""))</f>
        <v/>
      </c>
      <c r="C1698" s="41"/>
      <c r="D1698" s="306" t="str">
        <f>IF(B1698=Stats!$E$6,Stats!$E$11,"")</f>
        <v/>
      </c>
    </row>
    <row r="1699" spans="1:4" hidden="1" x14ac:dyDescent="0.25">
      <c r="A1699" s="32" t="s">
        <v>2423</v>
      </c>
      <c r="B1699" s="306" t="str">
        <f>IF((COUNTBLANK(G1699)=0),Stats!$E$7,IF((COUNTBLANK(E1699)=0),IF((COUNTBLANK(F1699)=0),IF((COUNTBLANK(U1699)=0),Stats!$E$6,Stats!$E$5),Stats!$E$4),""))</f>
        <v/>
      </c>
      <c r="C1699" s="41"/>
      <c r="D1699" s="306" t="str">
        <f>IF(B1699=Stats!$E$6,Stats!$E$11,"")</f>
        <v/>
      </c>
    </row>
    <row r="1700" spans="1:4" hidden="1" x14ac:dyDescent="0.25">
      <c r="A1700" s="32" t="s">
        <v>2424</v>
      </c>
      <c r="B1700" s="306" t="str">
        <f>IF((COUNTBLANK(G1700)=0),Stats!$E$7,IF((COUNTBLANK(E1700)=0),IF((COUNTBLANK(F1700)=0),IF((COUNTBLANK(U1700)=0),Stats!$E$6,Stats!$E$5),Stats!$E$4),""))</f>
        <v/>
      </c>
      <c r="C1700" s="41"/>
      <c r="D1700" s="306" t="str">
        <f>IF(B1700=Stats!$E$6,Stats!$E$11,"")</f>
        <v/>
      </c>
    </row>
    <row r="1701" spans="1:4" hidden="1" x14ac:dyDescent="0.25">
      <c r="A1701" s="32" t="s">
        <v>2425</v>
      </c>
      <c r="B1701" s="306" t="str">
        <f>IF((COUNTBLANK(G1701)=0),Stats!$E$7,IF((COUNTBLANK(E1701)=0),IF((COUNTBLANK(F1701)=0),IF((COUNTBLANK(U1701)=0),Stats!$E$6,Stats!$E$5),Stats!$E$4),""))</f>
        <v/>
      </c>
      <c r="C1701" s="41"/>
      <c r="D1701" s="306" t="str">
        <f>IF(B1701=Stats!$E$6,Stats!$E$11,"")</f>
        <v/>
      </c>
    </row>
    <row r="1702" spans="1:4" hidden="1" x14ac:dyDescent="0.25">
      <c r="A1702" s="32" t="s">
        <v>2426</v>
      </c>
      <c r="B1702" s="306" t="str">
        <f>IF((COUNTBLANK(G1702)=0),Stats!$E$7,IF((COUNTBLANK(E1702)=0),IF((COUNTBLANK(F1702)=0),IF((COUNTBLANK(U1702)=0),Stats!$E$6,Stats!$E$5),Stats!$E$4),""))</f>
        <v/>
      </c>
      <c r="C1702" s="41"/>
      <c r="D1702" s="306" t="str">
        <f>IF(B1702=Stats!$E$6,Stats!$E$11,"")</f>
        <v/>
      </c>
    </row>
    <row r="1703" spans="1:4" hidden="1" x14ac:dyDescent="0.25">
      <c r="A1703" s="32" t="s">
        <v>2427</v>
      </c>
      <c r="B1703" s="306" t="str">
        <f>IF((COUNTBLANK(G1703)=0),Stats!$E$7,IF((COUNTBLANK(E1703)=0),IF((COUNTBLANK(F1703)=0),IF((COUNTBLANK(U1703)=0),Stats!$E$6,Stats!$E$5),Stats!$E$4),""))</f>
        <v/>
      </c>
      <c r="C1703" s="41"/>
      <c r="D1703" s="306" t="str">
        <f>IF(B1703=Stats!$E$6,Stats!$E$11,"")</f>
        <v/>
      </c>
    </row>
    <row r="1704" spans="1:4" hidden="1" x14ac:dyDescent="0.25">
      <c r="A1704" s="32" t="s">
        <v>2428</v>
      </c>
      <c r="B1704" s="306" t="str">
        <f>IF((COUNTBLANK(G1704)=0),Stats!$E$7,IF((COUNTBLANK(E1704)=0),IF((COUNTBLANK(F1704)=0),IF((COUNTBLANK(U1704)=0),Stats!$E$6,Stats!$E$5),Stats!$E$4),""))</f>
        <v/>
      </c>
      <c r="C1704" s="41"/>
      <c r="D1704" s="306" t="str">
        <f>IF(B1704=Stats!$E$6,Stats!$E$11,"")</f>
        <v/>
      </c>
    </row>
    <row r="1705" spans="1:4" hidden="1" x14ac:dyDescent="0.25">
      <c r="A1705" s="32" t="s">
        <v>2429</v>
      </c>
      <c r="B1705" s="306" t="str">
        <f>IF((COUNTBLANK(G1705)=0),Stats!$E$7,IF((COUNTBLANK(E1705)=0),IF((COUNTBLANK(F1705)=0),IF((COUNTBLANK(U1705)=0),Stats!$E$6,Stats!$E$5),Stats!$E$4),""))</f>
        <v/>
      </c>
      <c r="C1705" s="41"/>
      <c r="D1705" s="306" t="str">
        <f>IF(B1705=Stats!$E$6,Stats!$E$11,"")</f>
        <v/>
      </c>
    </row>
    <row r="1706" spans="1:4" hidden="1" x14ac:dyDescent="0.25">
      <c r="A1706" s="32" t="s">
        <v>2430</v>
      </c>
      <c r="B1706" s="306" t="str">
        <f>IF((COUNTBLANK(G1706)=0),Stats!$E$7,IF((COUNTBLANK(E1706)=0),IF((COUNTBLANK(F1706)=0),IF((COUNTBLANK(U1706)=0),Stats!$E$6,Stats!$E$5),Stats!$E$4),""))</f>
        <v/>
      </c>
      <c r="C1706" s="41"/>
      <c r="D1706" s="306" t="str">
        <f>IF(B1706=Stats!$E$6,Stats!$E$11,"")</f>
        <v/>
      </c>
    </row>
    <row r="1707" spans="1:4" hidden="1" x14ac:dyDescent="0.25">
      <c r="A1707" s="32" t="s">
        <v>2431</v>
      </c>
      <c r="B1707" s="306" t="str">
        <f>IF((COUNTBLANK(G1707)=0),Stats!$E$7,IF((COUNTBLANK(E1707)=0),IF((COUNTBLANK(F1707)=0),IF((COUNTBLANK(U1707)=0),Stats!$E$6,Stats!$E$5),Stats!$E$4),""))</f>
        <v/>
      </c>
      <c r="C1707" s="41"/>
      <c r="D1707" s="306" t="str">
        <f>IF(B1707=Stats!$E$6,Stats!$E$11,"")</f>
        <v/>
      </c>
    </row>
    <row r="1708" spans="1:4" hidden="1" x14ac:dyDescent="0.25">
      <c r="A1708" s="32" t="s">
        <v>2432</v>
      </c>
      <c r="B1708" s="306" t="str">
        <f>IF((COUNTBLANK(G1708)=0),Stats!$E$7,IF((COUNTBLANK(E1708)=0),IF((COUNTBLANK(F1708)=0),IF((COUNTBLANK(U1708)=0),Stats!$E$6,Stats!$E$5),Stats!$E$4),""))</f>
        <v/>
      </c>
      <c r="C1708" s="41"/>
      <c r="D1708" s="306" t="str">
        <f>IF(B1708=Stats!$E$6,Stats!$E$11,"")</f>
        <v/>
      </c>
    </row>
    <row r="1709" spans="1:4" hidden="1" x14ac:dyDescent="0.25">
      <c r="A1709" s="32" t="s">
        <v>2433</v>
      </c>
      <c r="B1709" s="306" t="str">
        <f>IF((COUNTBLANK(G1709)=0),Stats!$E$7,IF((COUNTBLANK(E1709)=0),IF((COUNTBLANK(F1709)=0),IF((COUNTBLANK(U1709)=0),Stats!$E$6,Stats!$E$5),Stats!$E$4),""))</f>
        <v/>
      </c>
      <c r="C1709" s="41"/>
      <c r="D1709" s="306" t="str">
        <f>IF(B1709=Stats!$E$6,Stats!$E$11,"")</f>
        <v/>
      </c>
    </row>
    <row r="1710" spans="1:4" hidden="1" x14ac:dyDescent="0.25">
      <c r="A1710" s="32" t="s">
        <v>2434</v>
      </c>
      <c r="B1710" s="306" t="str">
        <f>IF((COUNTBLANK(G1710)=0),Stats!$E$7,IF((COUNTBLANK(E1710)=0),IF((COUNTBLANK(F1710)=0),IF((COUNTBLANK(U1710)=0),Stats!$E$6,Stats!$E$5),Stats!$E$4),""))</f>
        <v/>
      </c>
      <c r="C1710" s="41"/>
      <c r="D1710" s="306" t="str">
        <f>IF(B1710=Stats!$E$6,Stats!$E$11,"")</f>
        <v/>
      </c>
    </row>
    <row r="1711" spans="1:4" hidden="1" x14ac:dyDescent="0.25">
      <c r="A1711" s="32" t="s">
        <v>2435</v>
      </c>
      <c r="B1711" s="306" t="str">
        <f>IF((COUNTBLANK(G1711)=0),Stats!$E$7,IF((COUNTBLANK(E1711)=0),IF((COUNTBLANK(F1711)=0),IF((COUNTBLANK(U1711)=0),Stats!$E$6,Stats!$E$5),Stats!$E$4),""))</f>
        <v/>
      </c>
      <c r="C1711" s="41"/>
      <c r="D1711" s="306" t="str">
        <f>IF(B1711=Stats!$E$6,Stats!$E$11,"")</f>
        <v/>
      </c>
    </row>
    <row r="1712" spans="1:4" hidden="1" x14ac:dyDescent="0.25">
      <c r="A1712" s="32" t="s">
        <v>2436</v>
      </c>
      <c r="B1712" s="306" t="str">
        <f>IF((COUNTBLANK(G1712)=0),Stats!$E$7,IF((COUNTBLANK(E1712)=0),IF((COUNTBLANK(F1712)=0),IF((COUNTBLANK(U1712)=0),Stats!$E$6,Stats!$E$5),Stats!$E$4),""))</f>
        <v/>
      </c>
      <c r="C1712" s="41"/>
      <c r="D1712" s="306" t="str">
        <f>IF(B1712=Stats!$E$6,Stats!$E$11,"")</f>
        <v/>
      </c>
    </row>
    <row r="1713" spans="1:4" hidden="1" x14ac:dyDescent="0.25">
      <c r="A1713" s="32" t="s">
        <v>2437</v>
      </c>
      <c r="B1713" s="306" t="str">
        <f>IF((COUNTBLANK(G1713)=0),Stats!$E$7,IF((COUNTBLANK(E1713)=0),IF((COUNTBLANK(F1713)=0),IF((COUNTBLANK(U1713)=0),Stats!$E$6,Stats!$E$5),Stats!$E$4),""))</f>
        <v/>
      </c>
      <c r="C1713" s="41"/>
      <c r="D1713" s="306" t="str">
        <f>IF(B1713=Stats!$E$6,Stats!$E$11,"")</f>
        <v/>
      </c>
    </row>
    <row r="1714" spans="1:4" hidden="1" x14ac:dyDescent="0.25">
      <c r="A1714" s="32" t="s">
        <v>2438</v>
      </c>
      <c r="B1714" s="306" t="str">
        <f>IF((COUNTBLANK(G1714)=0),Stats!$E$7,IF((COUNTBLANK(E1714)=0),IF((COUNTBLANK(F1714)=0),IF((COUNTBLANK(U1714)=0),Stats!$E$6,Stats!$E$5),Stats!$E$4),""))</f>
        <v/>
      </c>
      <c r="C1714" s="41"/>
      <c r="D1714" s="306" t="str">
        <f>IF(B1714=Stats!$E$6,Stats!$E$11,"")</f>
        <v/>
      </c>
    </row>
    <row r="1715" spans="1:4" hidden="1" x14ac:dyDescent="0.25">
      <c r="A1715" s="32" t="s">
        <v>2439</v>
      </c>
      <c r="B1715" s="306" t="str">
        <f>IF((COUNTBLANK(G1715)=0),Stats!$E$7,IF((COUNTBLANK(E1715)=0),IF((COUNTBLANK(F1715)=0),IF((COUNTBLANK(U1715)=0),Stats!$E$6,Stats!$E$5),Stats!$E$4),""))</f>
        <v/>
      </c>
      <c r="C1715" s="41"/>
      <c r="D1715" s="306" t="str">
        <f>IF(B1715=Stats!$E$6,Stats!$E$11,"")</f>
        <v/>
      </c>
    </row>
    <row r="1716" spans="1:4" hidden="1" x14ac:dyDescent="0.25">
      <c r="A1716" s="32" t="s">
        <v>2440</v>
      </c>
      <c r="B1716" s="306" t="str">
        <f>IF((COUNTBLANK(G1716)=0),Stats!$E$7,IF((COUNTBLANK(E1716)=0),IF((COUNTBLANK(F1716)=0),IF((COUNTBLANK(U1716)=0),Stats!$E$6,Stats!$E$5),Stats!$E$4),""))</f>
        <v/>
      </c>
      <c r="C1716" s="41"/>
      <c r="D1716" s="306" t="str">
        <f>IF(B1716=Stats!$E$6,Stats!$E$11,"")</f>
        <v/>
      </c>
    </row>
    <row r="1717" spans="1:4" hidden="1" x14ac:dyDescent="0.25">
      <c r="A1717" s="32" t="s">
        <v>2441</v>
      </c>
      <c r="B1717" s="306" t="str">
        <f>IF((COUNTBLANK(G1717)=0),Stats!$E$7,IF((COUNTBLANK(E1717)=0),IF((COUNTBLANK(F1717)=0),IF((COUNTBLANK(U1717)=0),Stats!$E$6,Stats!$E$5),Stats!$E$4),""))</f>
        <v/>
      </c>
      <c r="C1717" s="41"/>
      <c r="D1717" s="306" t="str">
        <f>IF(B1717=Stats!$E$6,Stats!$E$11,"")</f>
        <v/>
      </c>
    </row>
    <row r="1718" spans="1:4" hidden="1" x14ac:dyDescent="0.25">
      <c r="A1718" s="32" t="s">
        <v>2442</v>
      </c>
      <c r="B1718" s="306" t="str">
        <f>IF((COUNTBLANK(G1718)=0),Stats!$E$7,IF((COUNTBLANK(E1718)=0),IF((COUNTBLANK(F1718)=0),IF((COUNTBLANK(U1718)=0),Stats!$E$6,Stats!$E$5),Stats!$E$4),""))</f>
        <v/>
      </c>
      <c r="C1718" s="41"/>
      <c r="D1718" s="306" t="str">
        <f>IF(B1718=Stats!$E$6,Stats!$E$11,"")</f>
        <v/>
      </c>
    </row>
    <row r="1719" spans="1:4" hidden="1" x14ac:dyDescent="0.25">
      <c r="A1719" s="32" t="s">
        <v>2443</v>
      </c>
      <c r="B1719" s="306" t="str">
        <f>IF((COUNTBLANK(G1719)=0),Stats!$E$7,IF((COUNTBLANK(E1719)=0),IF((COUNTBLANK(F1719)=0),IF((COUNTBLANK(U1719)=0),Stats!$E$6,Stats!$E$5),Stats!$E$4),""))</f>
        <v/>
      </c>
      <c r="C1719" s="41"/>
      <c r="D1719" s="306" t="str">
        <f>IF(B1719=Stats!$E$6,Stats!$E$11,"")</f>
        <v/>
      </c>
    </row>
    <row r="1720" spans="1:4" hidden="1" x14ac:dyDescent="0.25">
      <c r="A1720" s="32" t="s">
        <v>2444</v>
      </c>
      <c r="B1720" s="306" t="str">
        <f>IF((COUNTBLANK(G1720)=0),Stats!$E$7,IF((COUNTBLANK(E1720)=0),IF((COUNTBLANK(F1720)=0),IF((COUNTBLANK(U1720)=0),Stats!$E$6,Stats!$E$5),Stats!$E$4),""))</f>
        <v/>
      </c>
      <c r="C1720" s="41"/>
      <c r="D1720" s="306" t="str">
        <f>IF(B1720=Stats!$E$6,Stats!$E$11,"")</f>
        <v/>
      </c>
    </row>
    <row r="1721" spans="1:4" hidden="1" x14ac:dyDescent="0.25">
      <c r="A1721" s="32" t="s">
        <v>2445</v>
      </c>
      <c r="B1721" s="306" t="str">
        <f>IF((COUNTBLANK(G1721)=0),Stats!$E$7,IF((COUNTBLANK(E1721)=0),IF((COUNTBLANK(F1721)=0),IF((COUNTBLANK(U1721)=0),Stats!$E$6,Stats!$E$5),Stats!$E$4),""))</f>
        <v/>
      </c>
      <c r="C1721" s="41"/>
      <c r="D1721" s="306" t="str">
        <f>IF(B1721=Stats!$E$6,Stats!$E$11,"")</f>
        <v/>
      </c>
    </row>
    <row r="1722" spans="1:4" hidden="1" x14ac:dyDescent="0.25">
      <c r="A1722" s="32" t="s">
        <v>2446</v>
      </c>
      <c r="B1722" s="306" t="str">
        <f>IF((COUNTBLANK(G1722)=0),Stats!$E$7,IF((COUNTBLANK(E1722)=0),IF((COUNTBLANK(F1722)=0),IF((COUNTBLANK(U1722)=0),Stats!$E$6,Stats!$E$5),Stats!$E$4),""))</f>
        <v/>
      </c>
      <c r="C1722" s="41"/>
      <c r="D1722" s="306" t="str">
        <f>IF(B1722=Stats!$E$6,Stats!$E$11,"")</f>
        <v/>
      </c>
    </row>
    <row r="1723" spans="1:4" hidden="1" x14ac:dyDescent="0.25">
      <c r="A1723" s="32" t="s">
        <v>2447</v>
      </c>
      <c r="B1723" s="306" t="str">
        <f>IF((COUNTBLANK(G1723)=0),Stats!$E$7,IF((COUNTBLANK(E1723)=0),IF((COUNTBLANK(F1723)=0),IF((COUNTBLANK(U1723)=0),Stats!$E$6,Stats!$E$5),Stats!$E$4),""))</f>
        <v/>
      </c>
      <c r="C1723" s="41"/>
      <c r="D1723" s="306" t="str">
        <f>IF(B1723=Stats!$E$6,Stats!$E$11,"")</f>
        <v/>
      </c>
    </row>
    <row r="1724" spans="1:4" hidden="1" x14ac:dyDescent="0.25">
      <c r="A1724" s="32" t="s">
        <v>2448</v>
      </c>
      <c r="B1724" s="306" t="str">
        <f>IF((COUNTBLANK(G1724)=0),Stats!$E$7,IF((COUNTBLANK(E1724)=0),IF((COUNTBLANK(F1724)=0),IF((COUNTBLANK(U1724)=0),Stats!$E$6,Stats!$E$5),Stats!$E$4),""))</f>
        <v/>
      </c>
      <c r="C1724" s="41"/>
      <c r="D1724" s="306" t="str">
        <f>IF(B1724=Stats!$E$6,Stats!$E$11,"")</f>
        <v/>
      </c>
    </row>
    <row r="1725" spans="1:4" hidden="1" x14ac:dyDescent="0.25">
      <c r="A1725" s="32" t="s">
        <v>2449</v>
      </c>
      <c r="B1725" s="306" t="str">
        <f>IF((COUNTBLANK(G1725)=0),Stats!$E$7,IF((COUNTBLANK(E1725)=0),IF((COUNTBLANK(F1725)=0),IF((COUNTBLANK(U1725)=0),Stats!$E$6,Stats!$E$5),Stats!$E$4),""))</f>
        <v/>
      </c>
      <c r="C1725" s="41"/>
      <c r="D1725" s="306" t="str">
        <f>IF(B1725=Stats!$E$6,Stats!$E$11,"")</f>
        <v/>
      </c>
    </row>
    <row r="1726" spans="1:4" hidden="1" x14ac:dyDescent="0.25">
      <c r="A1726" s="32" t="s">
        <v>2450</v>
      </c>
      <c r="B1726" s="306" t="str">
        <f>IF((COUNTBLANK(G1726)=0),Stats!$E$7,IF((COUNTBLANK(E1726)=0),IF((COUNTBLANK(F1726)=0),IF((COUNTBLANK(U1726)=0),Stats!$E$6,Stats!$E$5),Stats!$E$4),""))</f>
        <v/>
      </c>
      <c r="C1726" s="41"/>
      <c r="D1726" s="306" t="str">
        <f>IF(B1726=Stats!$E$6,Stats!$E$11,"")</f>
        <v/>
      </c>
    </row>
    <row r="1727" spans="1:4" hidden="1" x14ac:dyDescent="0.25">
      <c r="A1727" s="32" t="s">
        <v>2451</v>
      </c>
      <c r="B1727" s="306" t="str">
        <f>IF((COUNTBLANK(G1727)=0),Stats!$E$7,IF((COUNTBLANK(E1727)=0),IF((COUNTBLANK(F1727)=0),IF((COUNTBLANK(U1727)=0),Stats!$E$6,Stats!$E$5),Stats!$E$4),""))</f>
        <v/>
      </c>
      <c r="C1727" s="41"/>
      <c r="D1727" s="306" t="str">
        <f>IF(B1727=Stats!$E$6,Stats!$E$11,"")</f>
        <v/>
      </c>
    </row>
    <row r="1728" spans="1:4" hidden="1" x14ac:dyDescent="0.25">
      <c r="A1728" s="32" t="s">
        <v>2452</v>
      </c>
      <c r="B1728" s="306" t="str">
        <f>IF((COUNTBLANK(G1728)=0),Stats!$E$7,IF((COUNTBLANK(E1728)=0),IF((COUNTBLANK(F1728)=0),IF((COUNTBLANK(U1728)=0),Stats!$E$6,Stats!$E$5),Stats!$E$4),""))</f>
        <v/>
      </c>
      <c r="C1728" s="41"/>
      <c r="D1728" s="306" t="str">
        <f>IF(B1728=Stats!$E$6,Stats!$E$11,"")</f>
        <v/>
      </c>
    </row>
    <row r="1729" spans="1:4" hidden="1" x14ac:dyDescent="0.25">
      <c r="A1729" s="32" t="s">
        <v>2453</v>
      </c>
      <c r="B1729" s="306" t="str">
        <f>IF((COUNTBLANK(G1729)=0),Stats!$E$7,IF((COUNTBLANK(E1729)=0),IF((COUNTBLANK(F1729)=0),IF((COUNTBLANK(U1729)=0),Stats!$E$6,Stats!$E$5),Stats!$E$4),""))</f>
        <v/>
      </c>
      <c r="C1729" s="41"/>
      <c r="D1729" s="306" t="str">
        <f>IF(B1729=Stats!$E$6,Stats!$E$11,"")</f>
        <v/>
      </c>
    </row>
    <row r="1730" spans="1:4" hidden="1" x14ac:dyDescent="0.25">
      <c r="A1730" s="32" t="s">
        <v>2454</v>
      </c>
      <c r="B1730" s="306" t="str">
        <f>IF((COUNTBLANK(G1730)=0),Stats!$E$7,IF((COUNTBLANK(E1730)=0),IF((COUNTBLANK(F1730)=0),IF((COUNTBLANK(U1730)=0),Stats!$E$6,Stats!$E$5),Stats!$E$4),""))</f>
        <v/>
      </c>
      <c r="C1730" s="41"/>
      <c r="D1730" s="306" t="str">
        <f>IF(B1730=Stats!$E$6,Stats!$E$11,"")</f>
        <v/>
      </c>
    </row>
    <row r="1731" spans="1:4" hidden="1" x14ac:dyDescent="0.25">
      <c r="A1731" s="32" t="s">
        <v>2455</v>
      </c>
      <c r="B1731" s="306" t="str">
        <f>IF((COUNTBLANK(G1731)=0),Stats!$E$7,IF((COUNTBLANK(E1731)=0),IF((COUNTBLANK(F1731)=0),IF((COUNTBLANK(U1731)=0),Stats!$E$6,Stats!$E$5),Stats!$E$4),""))</f>
        <v/>
      </c>
      <c r="C1731" s="41"/>
      <c r="D1731" s="306" t="str">
        <f>IF(B1731=Stats!$E$6,Stats!$E$11,"")</f>
        <v/>
      </c>
    </row>
    <row r="1732" spans="1:4" hidden="1" x14ac:dyDescent="0.25">
      <c r="A1732" s="32" t="s">
        <v>2456</v>
      </c>
      <c r="B1732" s="306" t="str">
        <f>IF((COUNTBLANK(G1732)=0),Stats!$E$7,IF((COUNTBLANK(E1732)=0),IF((COUNTBLANK(F1732)=0),IF((COUNTBLANK(U1732)=0),Stats!$E$6,Stats!$E$5),Stats!$E$4),""))</f>
        <v/>
      </c>
      <c r="C1732" s="41"/>
      <c r="D1732" s="306" t="str">
        <f>IF(B1732=Stats!$E$6,Stats!$E$11,"")</f>
        <v/>
      </c>
    </row>
    <row r="1733" spans="1:4" hidden="1" x14ac:dyDescent="0.25">
      <c r="A1733" s="32" t="s">
        <v>2457</v>
      </c>
      <c r="B1733" s="306" t="str">
        <f>IF((COUNTBLANK(G1733)=0),Stats!$E$7,IF((COUNTBLANK(E1733)=0),IF((COUNTBLANK(F1733)=0),IF((COUNTBLANK(U1733)=0),Stats!$E$6,Stats!$E$5),Stats!$E$4),""))</f>
        <v/>
      </c>
      <c r="C1733" s="41"/>
      <c r="D1733" s="306" t="str">
        <f>IF(B1733=Stats!$E$6,Stats!$E$11,"")</f>
        <v/>
      </c>
    </row>
    <row r="1734" spans="1:4" hidden="1" x14ac:dyDescent="0.25">
      <c r="A1734" s="32" t="s">
        <v>2458</v>
      </c>
      <c r="B1734" s="306" t="str">
        <f>IF((COUNTBLANK(G1734)=0),Stats!$E$7,IF((COUNTBLANK(E1734)=0),IF((COUNTBLANK(F1734)=0),IF((COUNTBLANK(U1734)=0),Stats!$E$6,Stats!$E$5),Stats!$E$4),""))</f>
        <v/>
      </c>
      <c r="C1734" s="41"/>
      <c r="D1734" s="306" t="str">
        <f>IF(B1734=Stats!$E$6,Stats!$E$11,"")</f>
        <v/>
      </c>
    </row>
    <row r="1735" spans="1:4" hidden="1" x14ac:dyDescent="0.25">
      <c r="A1735" s="32" t="s">
        <v>2459</v>
      </c>
      <c r="B1735" s="306" t="str">
        <f>IF((COUNTBLANK(G1735)=0),Stats!$E$7,IF((COUNTBLANK(E1735)=0),IF((COUNTBLANK(F1735)=0),IF((COUNTBLANK(U1735)=0),Stats!$E$6,Stats!$E$5),Stats!$E$4),""))</f>
        <v/>
      </c>
      <c r="C1735" s="41"/>
      <c r="D1735" s="306" t="str">
        <f>IF(B1735=Stats!$E$6,Stats!$E$11,"")</f>
        <v/>
      </c>
    </row>
    <row r="1736" spans="1:4" hidden="1" x14ac:dyDescent="0.25">
      <c r="A1736" s="32" t="s">
        <v>2460</v>
      </c>
      <c r="B1736" s="306" t="str">
        <f>IF((COUNTBLANK(G1736)=0),Stats!$E$7,IF((COUNTBLANK(E1736)=0),IF((COUNTBLANK(F1736)=0),IF((COUNTBLANK(U1736)=0),Stats!$E$6,Stats!$E$5),Stats!$E$4),""))</f>
        <v/>
      </c>
      <c r="C1736" s="41"/>
      <c r="D1736" s="306" t="str">
        <f>IF(B1736=Stats!$E$6,Stats!$E$11,"")</f>
        <v/>
      </c>
    </row>
    <row r="1737" spans="1:4" hidden="1" x14ac:dyDescent="0.25">
      <c r="A1737" s="32" t="s">
        <v>2461</v>
      </c>
      <c r="B1737" s="306" t="str">
        <f>IF((COUNTBLANK(G1737)=0),Stats!$E$7,IF((COUNTBLANK(E1737)=0),IF((COUNTBLANK(F1737)=0),IF((COUNTBLANK(U1737)=0),Stats!$E$6,Stats!$E$5),Stats!$E$4),""))</f>
        <v/>
      </c>
      <c r="C1737" s="41"/>
      <c r="D1737" s="306" t="str">
        <f>IF(B1737=Stats!$E$6,Stats!$E$11,"")</f>
        <v/>
      </c>
    </row>
    <row r="1738" spans="1:4" hidden="1" x14ac:dyDescent="0.25">
      <c r="A1738" s="32" t="s">
        <v>2462</v>
      </c>
      <c r="B1738" s="306" t="str">
        <f>IF((COUNTBLANK(G1738)=0),Stats!$E$7,IF((COUNTBLANK(E1738)=0),IF((COUNTBLANK(F1738)=0),IF((COUNTBLANK(U1738)=0),Stats!$E$6,Stats!$E$5),Stats!$E$4),""))</f>
        <v/>
      </c>
      <c r="C1738" s="41"/>
      <c r="D1738" s="306" t="str">
        <f>IF(B1738=Stats!$E$6,Stats!$E$11,"")</f>
        <v/>
      </c>
    </row>
    <row r="1739" spans="1:4" hidden="1" x14ac:dyDescent="0.25">
      <c r="A1739" s="32" t="s">
        <v>2463</v>
      </c>
      <c r="B1739" s="306" t="str">
        <f>IF((COUNTBLANK(G1739)=0),Stats!$E$7,IF((COUNTBLANK(E1739)=0),IF((COUNTBLANK(F1739)=0),IF((COUNTBLANK(U1739)=0),Stats!$E$6,Stats!$E$5),Stats!$E$4),""))</f>
        <v/>
      </c>
      <c r="C1739" s="41"/>
      <c r="D1739" s="306" t="str">
        <f>IF(B1739=Stats!$E$6,Stats!$E$11,"")</f>
        <v/>
      </c>
    </row>
    <row r="1740" spans="1:4" hidden="1" x14ac:dyDescent="0.25">
      <c r="A1740" s="32" t="s">
        <v>2464</v>
      </c>
      <c r="B1740" s="306" t="str">
        <f>IF((COUNTBLANK(G1740)=0),Stats!$E$7,IF((COUNTBLANK(E1740)=0),IF((COUNTBLANK(F1740)=0),IF((COUNTBLANK(U1740)=0),Stats!$E$6,Stats!$E$5),Stats!$E$4),""))</f>
        <v/>
      </c>
      <c r="C1740" s="41"/>
      <c r="D1740" s="306" t="str">
        <f>IF(B1740=Stats!$E$6,Stats!$E$11,"")</f>
        <v/>
      </c>
    </row>
    <row r="1741" spans="1:4" hidden="1" x14ac:dyDescent="0.25">
      <c r="A1741" s="32" t="s">
        <v>2465</v>
      </c>
      <c r="B1741" s="306" t="str">
        <f>IF((COUNTBLANK(G1741)=0),Stats!$E$7,IF((COUNTBLANK(E1741)=0),IF((COUNTBLANK(F1741)=0),IF((COUNTBLANK(U1741)=0),Stats!$E$6,Stats!$E$5),Stats!$E$4),""))</f>
        <v/>
      </c>
      <c r="C1741" s="41"/>
      <c r="D1741" s="306" t="str">
        <f>IF(B1741=Stats!$E$6,Stats!$E$11,"")</f>
        <v/>
      </c>
    </row>
    <row r="1742" spans="1:4" hidden="1" x14ac:dyDescent="0.25">
      <c r="A1742" s="32" t="s">
        <v>2466</v>
      </c>
      <c r="B1742" s="306" t="str">
        <f>IF((COUNTBLANK(G1742)=0),Stats!$E$7,IF((COUNTBLANK(E1742)=0),IF((COUNTBLANK(F1742)=0),IF((COUNTBLANK(U1742)=0),Stats!$E$6,Stats!$E$5),Stats!$E$4),""))</f>
        <v/>
      </c>
      <c r="C1742" s="41"/>
      <c r="D1742" s="306" t="str">
        <f>IF(B1742=Stats!$E$6,Stats!$E$11,"")</f>
        <v/>
      </c>
    </row>
    <row r="1743" spans="1:4" hidden="1" x14ac:dyDescent="0.25">
      <c r="A1743" s="32" t="s">
        <v>2467</v>
      </c>
      <c r="B1743" s="306" t="str">
        <f>IF((COUNTBLANK(G1743)=0),Stats!$E$7,IF((COUNTBLANK(E1743)=0),IF((COUNTBLANK(F1743)=0),IF((COUNTBLANK(U1743)=0),Stats!$E$6,Stats!$E$5),Stats!$E$4),""))</f>
        <v/>
      </c>
      <c r="C1743" s="41"/>
      <c r="D1743" s="306" t="str">
        <f>IF(B1743=Stats!$E$6,Stats!$E$11,"")</f>
        <v/>
      </c>
    </row>
    <row r="1744" spans="1:4" hidden="1" x14ac:dyDescent="0.25">
      <c r="A1744" s="32" t="s">
        <v>2468</v>
      </c>
      <c r="B1744" s="306" t="str">
        <f>IF((COUNTBLANK(G1744)=0),Stats!$E$7,IF((COUNTBLANK(E1744)=0),IF((COUNTBLANK(F1744)=0),IF((COUNTBLANK(U1744)=0),Stats!$E$6,Stats!$E$5),Stats!$E$4),""))</f>
        <v/>
      </c>
      <c r="C1744" s="41"/>
      <c r="D1744" s="306" t="str">
        <f>IF(B1744=Stats!$E$6,Stats!$E$11,"")</f>
        <v/>
      </c>
    </row>
    <row r="1745" spans="1:4" hidden="1" x14ac:dyDescent="0.25">
      <c r="A1745" s="32" t="s">
        <v>2469</v>
      </c>
      <c r="B1745" s="306" t="str">
        <f>IF((COUNTBLANK(G1745)=0),Stats!$E$7,IF((COUNTBLANK(E1745)=0),IF((COUNTBLANK(F1745)=0),IF((COUNTBLANK(U1745)=0),Stats!$E$6,Stats!$E$5),Stats!$E$4),""))</f>
        <v/>
      </c>
      <c r="C1745" s="41"/>
      <c r="D1745" s="306" t="str">
        <f>IF(B1745=Stats!$E$6,Stats!$E$11,"")</f>
        <v/>
      </c>
    </row>
    <row r="1746" spans="1:4" hidden="1" x14ac:dyDescent="0.25">
      <c r="A1746" s="32" t="s">
        <v>2470</v>
      </c>
      <c r="B1746" s="306" t="str">
        <f>IF((COUNTBLANK(G1746)=0),Stats!$E$7,IF((COUNTBLANK(E1746)=0),IF((COUNTBLANK(F1746)=0),IF((COUNTBLANK(U1746)=0),Stats!$E$6,Stats!$E$5),Stats!$E$4),""))</f>
        <v/>
      </c>
      <c r="C1746" s="41"/>
      <c r="D1746" s="306" t="str">
        <f>IF(B1746=Stats!$E$6,Stats!$E$11,"")</f>
        <v/>
      </c>
    </row>
    <row r="1747" spans="1:4" hidden="1" x14ac:dyDescent="0.25">
      <c r="A1747" s="32" t="s">
        <v>2471</v>
      </c>
      <c r="B1747" s="306" t="str">
        <f>IF((COUNTBLANK(G1747)=0),Stats!$E$7,IF((COUNTBLANK(E1747)=0),IF((COUNTBLANK(F1747)=0),IF((COUNTBLANK(U1747)=0),Stats!$E$6,Stats!$E$5),Stats!$E$4),""))</f>
        <v/>
      </c>
      <c r="C1747" s="41"/>
      <c r="D1747" s="306" t="str">
        <f>IF(B1747=Stats!$E$6,Stats!$E$11,"")</f>
        <v/>
      </c>
    </row>
    <row r="1748" spans="1:4" hidden="1" x14ac:dyDescent="0.25">
      <c r="A1748" s="32" t="s">
        <v>2472</v>
      </c>
      <c r="B1748" s="306" t="str">
        <f>IF((COUNTBLANK(G1748)=0),Stats!$E$7,IF((COUNTBLANK(E1748)=0),IF((COUNTBLANK(F1748)=0),IF((COUNTBLANK(U1748)=0),Stats!$E$6,Stats!$E$5),Stats!$E$4),""))</f>
        <v/>
      </c>
      <c r="C1748" s="41"/>
      <c r="D1748" s="306" t="str">
        <f>IF(B1748=Stats!$E$6,Stats!$E$11,"")</f>
        <v/>
      </c>
    </row>
    <row r="1749" spans="1:4" hidden="1" x14ac:dyDescent="0.25">
      <c r="A1749" s="32" t="s">
        <v>2473</v>
      </c>
      <c r="B1749" s="306" t="str">
        <f>IF((COUNTBLANK(G1749)=0),Stats!$E$7,IF((COUNTBLANK(E1749)=0),IF((COUNTBLANK(F1749)=0),IF((COUNTBLANK(U1749)=0),Stats!$E$6,Stats!$E$5),Stats!$E$4),""))</f>
        <v/>
      </c>
      <c r="C1749" s="41"/>
      <c r="D1749" s="306" t="str">
        <f>IF(B1749=Stats!$E$6,Stats!$E$11,"")</f>
        <v/>
      </c>
    </row>
    <row r="1750" spans="1:4" hidden="1" x14ac:dyDescent="0.25">
      <c r="A1750" s="32" t="s">
        <v>2474</v>
      </c>
      <c r="B1750" s="306" t="str">
        <f>IF((COUNTBLANK(G1750)=0),Stats!$E$7,IF((COUNTBLANK(E1750)=0),IF((COUNTBLANK(F1750)=0),IF((COUNTBLANK(U1750)=0),Stats!$E$6,Stats!$E$5),Stats!$E$4),""))</f>
        <v/>
      </c>
      <c r="C1750" s="41"/>
      <c r="D1750" s="306" t="str">
        <f>IF(B1750=Stats!$E$6,Stats!$E$11,"")</f>
        <v/>
      </c>
    </row>
    <row r="1751" spans="1:4" hidden="1" x14ac:dyDescent="0.25">
      <c r="A1751" s="32" t="s">
        <v>2475</v>
      </c>
      <c r="B1751" s="306" t="str">
        <f>IF((COUNTBLANK(G1751)=0),Stats!$E$7,IF((COUNTBLANK(E1751)=0),IF((COUNTBLANK(F1751)=0),IF((COUNTBLANK(U1751)=0),Stats!$E$6,Stats!$E$5),Stats!$E$4),""))</f>
        <v/>
      </c>
      <c r="C1751" s="41"/>
      <c r="D1751" s="306" t="str">
        <f>IF(B1751=Stats!$E$6,Stats!$E$11,"")</f>
        <v/>
      </c>
    </row>
    <row r="1752" spans="1:4" hidden="1" x14ac:dyDescent="0.25">
      <c r="A1752" s="32" t="s">
        <v>2476</v>
      </c>
      <c r="B1752" s="306" t="str">
        <f>IF((COUNTBLANK(G1752)=0),Stats!$E$7,IF((COUNTBLANK(E1752)=0),IF((COUNTBLANK(F1752)=0),IF((COUNTBLANK(U1752)=0),Stats!$E$6,Stats!$E$5),Stats!$E$4),""))</f>
        <v/>
      </c>
      <c r="C1752" s="41"/>
      <c r="D1752" s="306" t="str">
        <f>IF(B1752=Stats!$E$6,Stats!$E$11,"")</f>
        <v/>
      </c>
    </row>
    <row r="1753" spans="1:4" hidden="1" x14ac:dyDescent="0.25">
      <c r="A1753" s="32" t="s">
        <v>2477</v>
      </c>
      <c r="B1753" s="306" t="str">
        <f>IF((COUNTBLANK(G1753)=0),Stats!$E$7,IF((COUNTBLANK(E1753)=0),IF((COUNTBLANK(F1753)=0),IF((COUNTBLANK(U1753)=0),Stats!$E$6,Stats!$E$5),Stats!$E$4),""))</f>
        <v/>
      </c>
      <c r="C1753" s="41"/>
      <c r="D1753" s="306" t="str">
        <f>IF(B1753=Stats!$E$6,Stats!$E$11,"")</f>
        <v/>
      </c>
    </row>
    <row r="1754" spans="1:4" hidden="1" x14ac:dyDescent="0.25">
      <c r="A1754" s="32" t="s">
        <v>2478</v>
      </c>
      <c r="B1754" s="306" t="str">
        <f>IF((COUNTBLANK(G1754)=0),Stats!$E$7,IF((COUNTBLANK(E1754)=0),IF((COUNTBLANK(F1754)=0),IF((COUNTBLANK(U1754)=0),Stats!$E$6,Stats!$E$5),Stats!$E$4),""))</f>
        <v/>
      </c>
      <c r="C1754" s="41"/>
      <c r="D1754" s="306" t="str">
        <f>IF(B1754=Stats!$E$6,Stats!$E$11,"")</f>
        <v/>
      </c>
    </row>
    <row r="1755" spans="1:4" hidden="1" x14ac:dyDescent="0.25">
      <c r="A1755" s="32" t="s">
        <v>2479</v>
      </c>
      <c r="B1755" s="306" t="str">
        <f>IF((COUNTBLANK(G1755)=0),Stats!$E$7,IF((COUNTBLANK(E1755)=0),IF((COUNTBLANK(F1755)=0),IF((COUNTBLANK(U1755)=0),Stats!$E$6,Stats!$E$5),Stats!$E$4),""))</f>
        <v/>
      </c>
      <c r="C1755" s="41"/>
      <c r="D1755" s="306" t="str">
        <f>IF(B1755=Stats!$E$6,Stats!$E$11,"")</f>
        <v/>
      </c>
    </row>
    <row r="1756" spans="1:4" hidden="1" x14ac:dyDescent="0.25">
      <c r="A1756" s="32" t="s">
        <v>2480</v>
      </c>
      <c r="B1756" s="306" t="str">
        <f>IF((COUNTBLANK(G1756)=0),Stats!$E$7,IF((COUNTBLANK(E1756)=0),IF((COUNTBLANK(F1756)=0),IF((COUNTBLANK(U1756)=0),Stats!$E$6,Stats!$E$5),Stats!$E$4),""))</f>
        <v/>
      </c>
      <c r="C1756" s="41"/>
      <c r="D1756" s="306" t="str">
        <f>IF(B1756=Stats!$E$6,Stats!$E$11,"")</f>
        <v/>
      </c>
    </row>
    <row r="1757" spans="1:4" hidden="1" x14ac:dyDescent="0.25">
      <c r="A1757" s="32" t="s">
        <v>2481</v>
      </c>
      <c r="B1757" s="306" t="str">
        <f>IF((COUNTBLANK(G1757)=0),Stats!$E$7,IF((COUNTBLANK(E1757)=0),IF((COUNTBLANK(F1757)=0),IF((COUNTBLANK(U1757)=0),Stats!$E$6,Stats!$E$5),Stats!$E$4),""))</f>
        <v/>
      </c>
      <c r="C1757" s="41"/>
      <c r="D1757" s="306" t="str">
        <f>IF(B1757=Stats!$E$6,Stats!$E$11,"")</f>
        <v/>
      </c>
    </row>
    <row r="1758" spans="1:4" hidden="1" x14ac:dyDescent="0.25">
      <c r="A1758" s="32" t="s">
        <v>2482</v>
      </c>
      <c r="B1758" s="306" t="str">
        <f>IF((COUNTBLANK(G1758)=0),Stats!$E$7,IF((COUNTBLANK(E1758)=0),IF((COUNTBLANK(F1758)=0),IF((COUNTBLANK(U1758)=0),Stats!$E$6,Stats!$E$5),Stats!$E$4),""))</f>
        <v/>
      </c>
      <c r="C1758" s="41"/>
      <c r="D1758" s="306" t="str">
        <f>IF(B1758=Stats!$E$6,Stats!$E$11,"")</f>
        <v/>
      </c>
    </row>
    <row r="1759" spans="1:4" hidden="1" x14ac:dyDescent="0.25">
      <c r="A1759" s="32" t="s">
        <v>2483</v>
      </c>
      <c r="B1759" s="306" t="str">
        <f>IF((COUNTBLANK(G1759)=0),Stats!$E$7,IF((COUNTBLANK(E1759)=0),IF((COUNTBLANK(F1759)=0),IF((COUNTBLANK(U1759)=0),Stats!$E$6,Stats!$E$5),Stats!$E$4),""))</f>
        <v/>
      </c>
      <c r="C1759" s="41"/>
      <c r="D1759" s="306" t="str">
        <f>IF(B1759=Stats!$E$6,Stats!$E$11,"")</f>
        <v/>
      </c>
    </row>
    <row r="1760" spans="1:4" hidden="1" x14ac:dyDescent="0.25">
      <c r="A1760" s="32" t="s">
        <v>2484</v>
      </c>
      <c r="B1760" s="306" t="str">
        <f>IF((COUNTBLANK(G1760)=0),Stats!$E$7,IF((COUNTBLANK(E1760)=0),IF((COUNTBLANK(F1760)=0),IF((COUNTBLANK(U1760)=0),Stats!$E$6,Stats!$E$5),Stats!$E$4),""))</f>
        <v/>
      </c>
      <c r="C1760" s="41"/>
      <c r="D1760" s="306" t="str">
        <f>IF(B1760=Stats!$E$6,Stats!$E$11,"")</f>
        <v/>
      </c>
    </row>
    <row r="1761" spans="1:4" hidden="1" x14ac:dyDescent="0.25">
      <c r="A1761" s="32" t="s">
        <v>2485</v>
      </c>
      <c r="B1761" s="306" t="str">
        <f>IF((COUNTBLANK(G1761)=0),Stats!$E$7,IF((COUNTBLANK(E1761)=0),IF((COUNTBLANK(F1761)=0),IF((COUNTBLANK(U1761)=0),Stats!$E$6,Stats!$E$5),Stats!$E$4),""))</f>
        <v/>
      </c>
      <c r="C1761" s="41"/>
      <c r="D1761" s="306" t="str">
        <f>IF(B1761=Stats!$E$6,Stats!$E$11,"")</f>
        <v/>
      </c>
    </row>
    <row r="1762" spans="1:4" hidden="1" x14ac:dyDescent="0.25">
      <c r="A1762" s="32" t="s">
        <v>2486</v>
      </c>
      <c r="B1762" s="306" t="str">
        <f>IF((COUNTBLANK(G1762)=0),Stats!$E$7,IF((COUNTBLANK(E1762)=0),IF((COUNTBLANK(F1762)=0),IF((COUNTBLANK(U1762)=0),Stats!$E$6,Stats!$E$5),Stats!$E$4),""))</f>
        <v/>
      </c>
      <c r="C1762" s="41"/>
      <c r="D1762" s="306" t="str">
        <f>IF(B1762=Stats!$E$6,Stats!$E$11,"")</f>
        <v/>
      </c>
    </row>
    <row r="1763" spans="1:4" hidden="1" x14ac:dyDescent="0.25">
      <c r="A1763" s="32" t="s">
        <v>2487</v>
      </c>
      <c r="B1763" s="306" t="str">
        <f>IF((COUNTBLANK(G1763)=0),Stats!$E$7,IF((COUNTBLANK(E1763)=0),IF((COUNTBLANK(F1763)=0),IF((COUNTBLANK(U1763)=0),Stats!$E$6,Stats!$E$5),Stats!$E$4),""))</f>
        <v/>
      </c>
      <c r="C1763" s="41"/>
      <c r="D1763" s="306" t="str">
        <f>IF(B1763=Stats!$E$6,Stats!$E$11,"")</f>
        <v/>
      </c>
    </row>
    <row r="1764" spans="1:4" hidden="1" x14ac:dyDescent="0.25">
      <c r="A1764" s="32" t="s">
        <v>2488</v>
      </c>
      <c r="B1764" s="306" t="str">
        <f>IF((COUNTBLANK(G1764)=0),Stats!$E$7,IF((COUNTBLANK(E1764)=0),IF((COUNTBLANK(F1764)=0),IF((COUNTBLANK(U1764)=0),Stats!$E$6,Stats!$E$5),Stats!$E$4),""))</f>
        <v/>
      </c>
      <c r="C1764" s="41"/>
      <c r="D1764" s="306" t="str">
        <f>IF(B1764=Stats!$E$6,Stats!$E$11,"")</f>
        <v/>
      </c>
    </row>
    <row r="1765" spans="1:4" hidden="1" x14ac:dyDescent="0.25">
      <c r="A1765" s="32" t="s">
        <v>2489</v>
      </c>
      <c r="B1765" s="306" t="str">
        <f>IF((COUNTBLANK(G1765)=0),Stats!$E$7,IF((COUNTBLANK(E1765)=0),IF((COUNTBLANK(F1765)=0),IF((COUNTBLANK(U1765)=0),Stats!$E$6,Stats!$E$5),Stats!$E$4),""))</f>
        <v/>
      </c>
      <c r="C1765" s="41"/>
      <c r="D1765" s="306" t="str">
        <f>IF(B1765=Stats!$E$6,Stats!$E$11,"")</f>
        <v/>
      </c>
    </row>
    <row r="1766" spans="1:4" hidden="1" x14ac:dyDescent="0.25">
      <c r="A1766" s="32" t="s">
        <v>2490</v>
      </c>
      <c r="B1766" s="306" t="str">
        <f>IF((COUNTBLANK(G1766)=0),Stats!$E$7,IF((COUNTBLANK(E1766)=0),IF((COUNTBLANK(F1766)=0),IF((COUNTBLANK(U1766)=0),Stats!$E$6,Stats!$E$5),Stats!$E$4),""))</f>
        <v/>
      </c>
      <c r="C1766" s="41"/>
      <c r="D1766" s="306" t="str">
        <f>IF(B1766=Stats!$E$6,Stats!$E$11,"")</f>
        <v/>
      </c>
    </row>
    <row r="1767" spans="1:4" hidden="1" x14ac:dyDescent="0.25">
      <c r="A1767" s="32" t="s">
        <v>2491</v>
      </c>
      <c r="B1767" s="306" t="str">
        <f>IF((COUNTBLANK(G1767)=0),Stats!$E$7,IF((COUNTBLANK(E1767)=0),IF((COUNTBLANK(F1767)=0),IF((COUNTBLANK(U1767)=0),Stats!$E$6,Stats!$E$5),Stats!$E$4),""))</f>
        <v/>
      </c>
      <c r="C1767" s="41"/>
      <c r="D1767" s="306" t="str">
        <f>IF(B1767=Stats!$E$6,Stats!$E$11,"")</f>
        <v/>
      </c>
    </row>
    <row r="1768" spans="1:4" hidden="1" x14ac:dyDescent="0.25">
      <c r="A1768" s="32" t="s">
        <v>2492</v>
      </c>
      <c r="B1768" s="306" t="str">
        <f>IF((COUNTBLANK(G1768)=0),Stats!$E$7,IF((COUNTBLANK(E1768)=0),IF((COUNTBLANK(F1768)=0),IF((COUNTBLANK(U1768)=0),Stats!$E$6,Stats!$E$5),Stats!$E$4),""))</f>
        <v/>
      </c>
      <c r="C1768" s="41"/>
      <c r="D1768" s="306" t="str">
        <f>IF(B1768=Stats!$E$6,Stats!$E$11,"")</f>
        <v/>
      </c>
    </row>
    <row r="1769" spans="1:4" hidden="1" x14ac:dyDescent="0.25">
      <c r="A1769" s="32" t="s">
        <v>2493</v>
      </c>
      <c r="B1769" s="306" t="str">
        <f>IF((COUNTBLANK(G1769)=0),Stats!$E$7,IF((COUNTBLANK(E1769)=0),IF((COUNTBLANK(F1769)=0),IF((COUNTBLANK(U1769)=0),Stats!$E$6,Stats!$E$5),Stats!$E$4),""))</f>
        <v/>
      </c>
      <c r="C1769" s="41"/>
      <c r="D1769" s="306" t="str">
        <f>IF(B1769=Stats!$E$6,Stats!$E$11,"")</f>
        <v/>
      </c>
    </row>
    <row r="1770" spans="1:4" hidden="1" x14ac:dyDescent="0.25">
      <c r="A1770" s="32" t="s">
        <v>2494</v>
      </c>
      <c r="B1770" s="306" t="str">
        <f>IF((COUNTBLANK(G1770)=0),Stats!$E$7,IF((COUNTBLANK(E1770)=0),IF((COUNTBLANK(F1770)=0),IF((COUNTBLANK(U1770)=0),Stats!$E$6,Stats!$E$5),Stats!$E$4),""))</f>
        <v/>
      </c>
      <c r="C1770" s="41"/>
      <c r="D1770" s="306" t="str">
        <f>IF(B1770=Stats!$E$6,Stats!$E$11,"")</f>
        <v/>
      </c>
    </row>
    <row r="1771" spans="1:4" hidden="1" x14ac:dyDescent="0.25">
      <c r="A1771" s="32" t="s">
        <v>2495</v>
      </c>
      <c r="B1771" s="306" t="str">
        <f>IF((COUNTBLANK(G1771)=0),Stats!$E$7,IF((COUNTBLANK(E1771)=0),IF((COUNTBLANK(F1771)=0),IF((COUNTBLANK(U1771)=0),Stats!$E$6,Stats!$E$5),Stats!$E$4),""))</f>
        <v/>
      </c>
      <c r="C1771" s="41"/>
      <c r="D1771" s="306" t="str">
        <f>IF(B1771=Stats!$E$6,Stats!$E$11,"")</f>
        <v/>
      </c>
    </row>
    <row r="1772" spans="1:4" hidden="1" x14ac:dyDescent="0.25">
      <c r="A1772" s="32" t="s">
        <v>2496</v>
      </c>
      <c r="B1772" s="306" t="str">
        <f>IF((COUNTBLANK(G1772)=0),Stats!$E$7,IF((COUNTBLANK(E1772)=0),IF((COUNTBLANK(F1772)=0),IF((COUNTBLANK(U1772)=0),Stats!$E$6,Stats!$E$5),Stats!$E$4),""))</f>
        <v/>
      </c>
      <c r="C1772" s="41"/>
      <c r="D1772" s="306" t="str">
        <f>IF(B1772=Stats!$E$6,Stats!$E$11,"")</f>
        <v/>
      </c>
    </row>
    <row r="1773" spans="1:4" hidden="1" x14ac:dyDescent="0.25">
      <c r="A1773" s="32" t="s">
        <v>2497</v>
      </c>
      <c r="B1773" s="306" t="str">
        <f>IF((COUNTBLANK(G1773)=0),Stats!$E$7,IF((COUNTBLANK(E1773)=0),IF((COUNTBLANK(F1773)=0),IF((COUNTBLANK(U1773)=0),Stats!$E$6,Stats!$E$5),Stats!$E$4),""))</f>
        <v/>
      </c>
      <c r="C1773" s="41"/>
      <c r="D1773" s="306" t="str">
        <f>IF(B1773=Stats!$E$6,Stats!$E$11,"")</f>
        <v/>
      </c>
    </row>
    <row r="1774" spans="1:4" hidden="1" x14ac:dyDescent="0.25">
      <c r="A1774" s="32" t="s">
        <v>2498</v>
      </c>
      <c r="B1774" s="306" t="str">
        <f>IF((COUNTBLANK(G1774)=0),Stats!$E$7,IF((COUNTBLANK(E1774)=0),IF((COUNTBLANK(F1774)=0),IF((COUNTBLANK(U1774)=0),Stats!$E$6,Stats!$E$5),Stats!$E$4),""))</f>
        <v/>
      </c>
      <c r="C1774" s="41"/>
      <c r="D1774" s="306" t="str">
        <f>IF(B1774=Stats!$E$6,Stats!$E$11,"")</f>
        <v/>
      </c>
    </row>
    <row r="1775" spans="1:4" hidden="1" x14ac:dyDescent="0.25">
      <c r="A1775" s="32" t="s">
        <v>2499</v>
      </c>
      <c r="B1775" s="306" t="str">
        <f>IF((COUNTBLANK(G1775)=0),Stats!$E$7,IF((COUNTBLANK(E1775)=0),IF((COUNTBLANK(F1775)=0),IF((COUNTBLANK(U1775)=0),Stats!$E$6,Stats!$E$5),Stats!$E$4),""))</f>
        <v/>
      </c>
      <c r="C1775" s="41"/>
      <c r="D1775" s="306" t="str">
        <f>IF(B1775=Stats!$E$6,Stats!$E$11,"")</f>
        <v/>
      </c>
    </row>
    <row r="1776" spans="1:4" hidden="1" x14ac:dyDescent="0.25">
      <c r="A1776" s="32" t="s">
        <v>2500</v>
      </c>
      <c r="B1776" s="306" t="str">
        <f>IF((COUNTBLANK(G1776)=0),Stats!$E$7,IF((COUNTBLANK(E1776)=0),IF((COUNTBLANK(F1776)=0),IF((COUNTBLANK(U1776)=0),Stats!$E$6,Stats!$E$5),Stats!$E$4),""))</f>
        <v/>
      </c>
      <c r="C1776" s="41"/>
      <c r="D1776" s="306" t="str">
        <f>IF(B1776=Stats!$E$6,Stats!$E$11,"")</f>
        <v/>
      </c>
    </row>
    <row r="1777" spans="1:4" hidden="1" x14ac:dyDescent="0.25">
      <c r="A1777" s="32" t="s">
        <v>2501</v>
      </c>
      <c r="B1777" s="306" t="str">
        <f>IF((COUNTBLANK(G1777)=0),Stats!$E$7,IF((COUNTBLANK(E1777)=0),IF((COUNTBLANK(F1777)=0),IF((COUNTBLANK(U1777)=0),Stats!$E$6,Stats!$E$5),Stats!$E$4),""))</f>
        <v/>
      </c>
      <c r="C1777" s="41"/>
      <c r="D1777" s="306" t="str">
        <f>IF(B1777=Stats!$E$6,Stats!$E$11,"")</f>
        <v/>
      </c>
    </row>
    <row r="1778" spans="1:4" hidden="1" x14ac:dyDescent="0.25">
      <c r="A1778" s="32" t="s">
        <v>2502</v>
      </c>
      <c r="B1778" s="306" t="str">
        <f>IF((COUNTBLANK(G1778)=0),Stats!$E$7,IF((COUNTBLANK(E1778)=0),IF((COUNTBLANK(F1778)=0),IF((COUNTBLANK(U1778)=0),Stats!$E$6,Stats!$E$5),Stats!$E$4),""))</f>
        <v/>
      </c>
      <c r="C1778" s="41"/>
      <c r="D1778" s="306" t="str">
        <f>IF(B1778=Stats!$E$6,Stats!$E$11,"")</f>
        <v/>
      </c>
    </row>
    <row r="1779" spans="1:4" hidden="1" x14ac:dyDescent="0.25">
      <c r="A1779" s="32" t="s">
        <v>2503</v>
      </c>
      <c r="B1779" s="306" t="str">
        <f>IF((COUNTBLANK(G1779)=0),Stats!$E$7,IF((COUNTBLANK(E1779)=0),IF((COUNTBLANK(F1779)=0),IF((COUNTBLANK(U1779)=0),Stats!$E$6,Stats!$E$5),Stats!$E$4),""))</f>
        <v/>
      </c>
      <c r="C1779" s="41"/>
      <c r="D1779" s="306" t="str">
        <f>IF(B1779=Stats!$E$6,Stats!$E$11,"")</f>
        <v/>
      </c>
    </row>
    <row r="1780" spans="1:4" hidden="1" x14ac:dyDescent="0.25">
      <c r="A1780" s="32" t="s">
        <v>2504</v>
      </c>
      <c r="B1780" s="306" t="str">
        <f>IF((COUNTBLANK(G1780)=0),Stats!$E$7,IF((COUNTBLANK(E1780)=0),IF((COUNTBLANK(F1780)=0),IF((COUNTBLANK(U1780)=0),Stats!$E$6,Stats!$E$5),Stats!$E$4),""))</f>
        <v/>
      </c>
      <c r="C1780" s="41"/>
      <c r="D1780" s="306" t="str">
        <f>IF(B1780=Stats!$E$6,Stats!$E$11,"")</f>
        <v/>
      </c>
    </row>
    <row r="1781" spans="1:4" hidden="1" x14ac:dyDescent="0.25">
      <c r="A1781" s="32" t="s">
        <v>2505</v>
      </c>
      <c r="B1781" s="306" t="str">
        <f>IF((COUNTBLANK(G1781)=0),Stats!$E$7,IF((COUNTBLANK(E1781)=0),IF((COUNTBLANK(F1781)=0),IF((COUNTBLANK(U1781)=0),Stats!$E$6,Stats!$E$5),Stats!$E$4),""))</f>
        <v/>
      </c>
      <c r="C1781" s="41"/>
      <c r="D1781" s="306" t="str">
        <f>IF(B1781=Stats!$E$6,Stats!$E$11,"")</f>
        <v/>
      </c>
    </row>
    <row r="1782" spans="1:4" hidden="1" x14ac:dyDescent="0.25">
      <c r="A1782" s="32" t="s">
        <v>2506</v>
      </c>
      <c r="B1782" s="306" t="str">
        <f>IF((COUNTBLANK(G1782)=0),Stats!$E$7,IF((COUNTBLANK(E1782)=0),IF((COUNTBLANK(F1782)=0),IF((COUNTBLANK(U1782)=0),Stats!$E$6,Stats!$E$5),Stats!$E$4),""))</f>
        <v/>
      </c>
      <c r="C1782" s="41"/>
      <c r="D1782" s="306" t="str">
        <f>IF(B1782=Stats!$E$6,Stats!$E$11,"")</f>
        <v/>
      </c>
    </row>
    <row r="1783" spans="1:4" hidden="1" x14ac:dyDescent="0.25">
      <c r="A1783" s="32" t="s">
        <v>2507</v>
      </c>
      <c r="B1783" s="306" t="str">
        <f>IF((COUNTBLANK(G1783)=0),Stats!$E$7,IF((COUNTBLANK(E1783)=0),IF((COUNTBLANK(F1783)=0),IF((COUNTBLANK(U1783)=0),Stats!$E$6,Stats!$E$5),Stats!$E$4),""))</f>
        <v/>
      </c>
      <c r="C1783" s="41"/>
      <c r="D1783" s="306" t="str">
        <f>IF(B1783=Stats!$E$6,Stats!$E$11,"")</f>
        <v/>
      </c>
    </row>
    <row r="1784" spans="1:4" hidden="1" x14ac:dyDescent="0.25">
      <c r="A1784" s="32" t="s">
        <v>2508</v>
      </c>
      <c r="B1784" s="306" t="str">
        <f>IF((COUNTBLANK(G1784)=0),Stats!$E$7,IF((COUNTBLANK(E1784)=0),IF((COUNTBLANK(F1784)=0),IF((COUNTBLANK(U1784)=0),Stats!$E$6,Stats!$E$5),Stats!$E$4),""))</f>
        <v/>
      </c>
      <c r="C1784" s="41"/>
      <c r="D1784" s="306" t="str">
        <f>IF(B1784=Stats!$E$6,Stats!$E$11,"")</f>
        <v/>
      </c>
    </row>
    <row r="1785" spans="1:4" hidden="1" x14ac:dyDescent="0.25">
      <c r="A1785" s="32" t="s">
        <v>2509</v>
      </c>
      <c r="B1785" s="306" t="str">
        <f>IF((COUNTBLANK(G1785)=0),Stats!$E$7,IF((COUNTBLANK(E1785)=0),IF((COUNTBLANK(F1785)=0),IF((COUNTBLANK(U1785)=0),Stats!$E$6,Stats!$E$5),Stats!$E$4),""))</f>
        <v/>
      </c>
      <c r="C1785" s="41"/>
      <c r="D1785" s="306" t="str">
        <f>IF(B1785=Stats!$E$6,Stats!$E$11,"")</f>
        <v/>
      </c>
    </row>
    <row r="1786" spans="1:4" hidden="1" x14ac:dyDescent="0.25">
      <c r="A1786" s="32" t="s">
        <v>2510</v>
      </c>
      <c r="B1786" s="306" t="str">
        <f>IF((COUNTBLANK(G1786)=0),Stats!$E$7,IF((COUNTBLANK(E1786)=0),IF((COUNTBLANK(F1786)=0),IF((COUNTBLANK(U1786)=0),Stats!$E$6,Stats!$E$5),Stats!$E$4),""))</f>
        <v/>
      </c>
      <c r="C1786" s="41"/>
      <c r="D1786" s="306" t="str">
        <f>IF(B1786=Stats!$E$6,Stats!$E$11,"")</f>
        <v/>
      </c>
    </row>
    <row r="1787" spans="1:4" hidden="1" x14ac:dyDescent="0.25">
      <c r="A1787" s="32" t="s">
        <v>2511</v>
      </c>
      <c r="B1787" s="306" t="str">
        <f>IF((COUNTBLANK(G1787)=0),Stats!$E$7,IF((COUNTBLANK(E1787)=0),IF((COUNTBLANK(F1787)=0),IF((COUNTBLANK(U1787)=0),Stats!$E$6,Stats!$E$5),Stats!$E$4),""))</f>
        <v/>
      </c>
      <c r="C1787" s="41"/>
      <c r="D1787" s="306" t="str">
        <f>IF(B1787=Stats!$E$6,Stats!$E$11,"")</f>
        <v/>
      </c>
    </row>
    <row r="1788" spans="1:4" hidden="1" x14ac:dyDescent="0.25">
      <c r="A1788" s="32" t="s">
        <v>2512</v>
      </c>
      <c r="B1788" s="306" t="str">
        <f>IF((COUNTBLANK(G1788)=0),Stats!$E$7,IF((COUNTBLANK(E1788)=0),IF((COUNTBLANK(F1788)=0),IF((COUNTBLANK(U1788)=0),Stats!$E$6,Stats!$E$5),Stats!$E$4),""))</f>
        <v/>
      </c>
      <c r="C1788" s="41"/>
      <c r="D1788" s="306" t="str">
        <f>IF(B1788=Stats!$E$6,Stats!$E$11,"")</f>
        <v/>
      </c>
    </row>
    <row r="1789" spans="1:4" hidden="1" x14ac:dyDescent="0.25">
      <c r="A1789" s="32" t="s">
        <v>2513</v>
      </c>
      <c r="B1789" s="306" t="str">
        <f>IF((COUNTBLANK(G1789)=0),Stats!$E$7,IF((COUNTBLANK(E1789)=0),IF((COUNTBLANK(F1789)=0),IF((COUNTBLANK(U1789)=0),Stats!$E$6,Stats!$E$5),Stats!$E$4),""))</f>
        <v/>
      </c>
      <c r="C1789" s="41"/>
      <c r="D1789" s="306" t="str">
        <f>IF(B1789=Stats!$E$6,Stats!$E$11,"")</f>
        <v/>
      </c>
    </row>
    <row r="1790" spans="1:4" hidden="1" x14ac:dyDescent="0.25">
      <c r="A1790" s="32" t="s">
        <v>2514</v>
      </c>
      <c r="B1790" s="306" t="str">
        <f>IF((COUNTBLANK(G1790)=0),Stats!$E$7,IF((COUNTBLANK(E1790)=0),IF((COUNTBLANK(F1790)=0),IF((COUNTBLANK(U1790)=0),Stats!$E$6,Stats!$E$5),Stats!$E$4),""))</f>
        <v/>
      </c>
      <c r="C1790" s="41"/>
      <c r="D1790" s="306" t="str">
        <f>IF(B1790=Stats!$E$6,Stats!$E$11,"")</f>
        <v/>
      </c>
    </row>
    <row r="1791" spans="1:4" hidden="1" x14ac:dyDescent="0.25">
      <c r="A1791" s="32" t="s">
        <v>2515</v>
      </c>
      <c r="B1791" s="306" t="str">
        <f>IF((COUNTBLANK(G1791)=0),Stats!$E$7,IF((COUNTBLANK(E1791)=0),IF((COUNTBLANK(F1791)=0),IF((COUNTBLANK(U1791)=0),Stats!$E$6,Stats!$E$5),Stats!$E$4),""))</f>
        <v/>
      </c>
      <c r="C1791" s="41"/>
      <c r="D1791" s="306" t="str">
        <f>IF(B1791=Stats!$E$6,Stats!$E$11,"")</f>
        <v/>
      </c>
    </row>
    <row r="1792" spans="1:4" hidden="1" x14ac:dyDescent="0.25">
      <c r="A1792" s="32" t="s">
        <v>2516</v>
      </c>
      <c r="B1792" s="306" t="str">
        <f>IF((COUNTBLANK(G1792)=0),Stats!$E$7,IF((COUNTBLANK(E1792)=0),IF((COUNTBLANK(F1792)=0),IF((COUNTBLANK(U1792)=0),Stats!$E$6,Stats!$E$5),Stats!$E$4),""))</f>
        <v/>
      </c>
      <c r="C1792" s="41"/>
      <c r="D1792" s="306" t="str">
        <f>IF(B1792=Stats!$E$6,Stats!$E$11,"")</f>
        <v/>
      </c>
    </row>
    <row r="1793" spans="1:4" hidden="1" x14ac:dyDescent="0.25">
      <c r="A1793" s="32" t="s">
        <v>2517</v>
      </c>
      <c r="B1793" s="306" t="str">
        <f>IF((COUNTBLANK(G1793)=0),Stats!$E$7,IF((COUNTBLANK(E1793)=0),IF((COUNTBLANK(F1793)=0),IF((COUNTBLANK(U1793)=0),Stats!$E$6,Stats!$E$5),Stats!$E$4),""))</f>
        <v/>
      </c>
      <c r="C1793" s="41"/>
      <c r="D1793" s="306" t="str">
        <f>IF(B1793=Stats!$E$6,Stats!$E$11,"")</f>
        <v/>
      </c>
    </row>
    <row r="1794" spans="1:4" hidden="1" x14ac:dyDescent="0.25">
      <c r="A1794" s="32" t="s">
        <v>2518</v>
      </c>
      <c r="B1794" s="306" t="str">
        <f>IF((COUNTBLANK(G1794)=0),Stats!$E$7,IF((COUNTBLANK(E1794)=0),IF((COUNTBLANK(F1794)=0),IF((COUNTBLANK(U1794)=0),Stats!$E$6,Stats!$E$5),Stats!$E$4),""))</f>
        <v/>
      </c>
      <c r="C1794" s="41"/>
      <c r="D1794" s="306" t="str">
        <f>IF(B1794=Stats!$E$6,Stats!$E$11,"")</f>
        <v/>
      </c>
    </row>
    <row r="1795" spans="1:4" hidden="1" x14ac:dyDescent="0.25">
      <c r="A1795" s="32" t="s">
        <v>2519</v>
      </c>
      <c r="B1795" s="306" t="str">
        <f>IF((COUNTBLANK(G1795)=0),Stats!$E$7,IF((COUNTBLANK(E1795)=0),IF((COUNTBLANK(F1795)=0),IF((COUNTBLANK(U1795)=0),Stats!$E$6,Stats!$E$5),Stats!$E$4),""))</f>
        <v/>
      </c>
      <c r="C1795" s="41"/>
      <c r="D1795" s="306" t="str">
        <f>IF(B1795=Stats!$E$6,Stats!$E$11,"")</f>
        <v/>
      </c>
    </row>
    <row r="1796" spans="1:4" hidden="1" x14ac:dyDescent="0.25">
      <c r="A1796" s="32" t="s">
        <v>2520</v>
      </c>
      <c r="B1796" s="306" t="str">
        <f>IF((COUNTBLANK(G1796)=0),Stats!$E$7,IF((COUNTBLANK(E1796)=0),IF((COUNTBLANK(F1796)=0),IF((COUNTBLANK(U1796)=0),Stats!$E$6,Stats!$E$5),Stats!$E$4),""))</f>
        <v/>
      </c>
      <c r="C1796" s="41"/>
      <c r="D1796" s="306" t="str">
        <f>IF(B1796=Stats!$E$6,Stats!$E$11,"")</f>
        <v/>
      </c>
    </row>
    <row r="1797" spans="1:4" hidden="1" x14ac:dyDescent="0.25">
      <c r="A1797" s="32" t="s">
        <v>2521</v>
      </c>
      <c r="B1797" s="306" t="str">
        <f>IF((COUNTBLANK(G1797)=0),Stats!$E$7,IF((COUNTBLANK(E1797)=0),IF((COUNTBLANK(F1797)=0),IF((COUNTBLANK(U1797)=0),Stats!$E$6,Stats!$E$5),Stats!$E$4),""))</f>
        <v/>
      </c>
      <c r="C1797" s="41"/>
      <c r="D1797" s="306" t="str">
        <f>IF(B1797=Stats!$E$6,Stats!$E$11,"")</f>
        <v/>
      </c>
    </row>
    <row r="1798" spans="1:4" hidden="1" x14ac:dyDescent="0.25">
      <c r="A1798" s="32" t="s">
        <v>2522</v>
      </c>
      <c r="B1798" s="306" t="str">
        <f>IF((COUNTBLANK(G1798)=0),Stats!$E$7,IF((COUNTBLANK(E1798)=0),IF((COUNTBLANK(F1798)=0),IF((COUNTBLANK(U1798)=0),Stats!$E$6,Stats!$E$5),Stats!$E$4),""))</f>
        <v/>
      </c>
      <c r="C1798" s="41"/>
      <c r="D1798" s="306" t="str">
        <f>IF(B1798=Stats!$E$6,Stats!$E$11,"")</f>
        <v/>
      </c>
    </row>
    <row r="1799" spans="1:4" hidden="1" x14ac:dyDescent="0.25">
      <c r="A1799" s="32" t="s">
        <v>2523</v>
      </c>
      <c r="B1799" s="306" t="str">
        <f>IF((COUNTBLANK(G1799)=0),Stats!$E$7,IF((COUNTBLANK(E1799)=0),IF((COUNTBLANK(F1799)=0),IF((COUNTBLANK(U1799)=0),Stats!$E$6,Stats!$E$5),Stats!$E$4),""))</f>
        <v/>
      </c>
      <c r="C1799" s="41"/>
      <c r="D1799" s="306" t="str">
        <f>IF(B1799=Stats!$E$6,Stats!$E$11,"")</f>
        <v/>
      </c>
    </row>
    <row r="1800" spans="1:4" hidden="1" x14ac:dyDescent="0.25">
      <c r="A1800" s="32" t="s">
        <v>2524</v>
      </c>
      <c r="B1800" s="306" t="str">
        <f>IF((COUNTBLANK(G1800)=0),Stats!$E$7,IF((COUNTBLANK(E1800)=0),IF((COUNTBLANK(F1800)=0),IF((COUNTBLANK(U1800)=0),Stats!$E$6,Stats!$E$5),Stats!$E$4),""))</f>
        <v/>
      </c>
      <c r="C1800" s="41"/>
      <c r="D1800" s="306" t="str">
        <f>IF(B1800=Stats!$E$6,Stats!$E$11,"")</f>
        <v/>
      </c>
    </row>
    <row r="1801" spans="1:4" hidden="1" x14ac:dyDescent="0.25">
      <c r="A1801" s="32" t="s">
        <v>2525</v>
      </c>
      <c r="B1801" s="306" t="str">
        <f>IF((COUNTBLANK(G1801)=0),Stats!$E$7,IF((COUNTBLANK(E1801)=0),IF((COUNTBLANK(F1801)=0),IF((COUNTBLANK(U1801)=0),Stats!$E$6,Stats!$E$5),Stats!$E$4),""))</f>
        <v/>
      </c>
      <c r="C1801" s="41"/>
      <c r="D1801" s="306" t="str">
        <f>IF(B1801=Stats!$E$6,Stats!$E$11,"")</f>
        <v/>
      </c>
    </row>
    <row r="1802" spans="1:4" hidden="1" x14ac:dyDescent="0.25">
      <c r="A1802" s="32" t="s">
        <v>2526</v>
      </c>
      <c r="B1802" s="306" t="str">
        <f>IF((COUNTBLANK(G1802)=0),Stats!$E$7,IF((COUNTBLANK(E1802)=0),IF((COUNTBLANK(F1802)=0),IF((COUNTBLANK(U1802)=0),Stats!$E$6,Stats!$E$5),Stats!$E$4),""))</f>
        <v/>
      </c>
      <c r="C1802" s="41"/>
      <c r="D1802" s="306" t="str">
        <f>IF(B1802=Stats!$E$6,Stats!$E$11,"")</f>
        <v/>
      </c>
    </row>
    <row r="1803" spans="1:4" hidden="1" x14ac:dyDescent="0.25">
      <c r="A1803" s="32" t="s">
        <v>2527</v>
      </c>
      <c r="B1803" s="306" t="str">
        <f>IF((COUNTBLANK(G1803)=0),Stats!$E$7,IF((COUNTBLANK(E1803)=0),IF((COUNTBLANK(F1803)=0),IF((COUNTBLANK(U1803)=0),Stats!$E$6,Stats!$E$5),Stats!$E$4),""))</f>
        <v/>
      </c>
      <c r="C1803" s="41"/>
      <c r="D1803" s="306" t="str">
        <f>IF(B1803=Stats!$E$6,Stats!$E$11,"")</f>
        <v/>
      </c>
    </row>
    <row r="1804" spans="1:4" hidden="1" x14ac:dyDescent="0.25">
      <c r="A1804" s="32" t="s">
        <v>2528</v>
      </c>
      <c r="B1804" s="306" t="str">
        <f>IF((COUNTBLANK(G1804)=0),Stats!$E$7,IF((COUNTBLANK(E1804)=0),IF((COUNTBLANK(F1804)=0),IF((COUNTBLANK(U1804)=0),Stats!$E$6,Stats!$E$5),Stats!$E$4),""))</f>
        <v/>
      </c>
      <c r="C1804" s="41"/>
      <c r="D1804" s="306" t="str">
        <f>IF(B1804=Stats!$E$6,Stats!$E$11,"")</f>
        <v/>
      </c>
    </row>
    <row r="1805" spans="1:4" hidden="1" x14ac:dyDescent="0.25">
      <c r="A1805" s="32" t="s">
        <v>2529</v>
      </c>
      <c r="B1805" s="306" t="str">
        <f>IF((COUNTBLANK(G1805)=0),Stats!$E$7,IF((COUNTBLANK(E1805)=0),IF((COUNTBLANK(F1805)=0),IF((COUNTBLANK(U1805)=0),Stats!$E$6,Stats!$E$5),Stats!$E$4),""))</f>
        <v/>
      </c>
      <c r="C1805" s="41"/>
      <c r="D1805" s="306" t="str">
        <f>IF(B1805=Stats!$E$6,Stats!$E$11,"")</f>
        <v/>
      </c>
    </row>
    <row r="1806" spans="1:4" hidden="1" x14ac:dyDescent="0.25">
      <c r="A1806" s="32" t="s">
        <v>2530</v>
      </c>
      <c r="B1806" s="306" t="str">
        <f>IF((COUNTBLANK(G1806)=0),Stats!$E$7,IF((COUNTBLANK(E1806)=0),IF((COUNTBLANK(F1806)=0),IF((COUNTBLANK(U1806)=0),Stats!$E$6,Stats!$E$5),Stats!$E$4),""))</f>
        <v/>
      </c>
      <c r="C1806" s="41"/>
      <c r="D1806" s="306" t="str">
        <f>IF(B1806=Stats!$E$6,Stats!$E$11,"")</f>
        <v/>
      </c>
    </row>
    <row r="1807" spans="1:4" hidden="1" x14ac:dyDescent="0.25">
      <c r="A1807" s="32" t="s">
        <v>2531</v>
      </c>
      <c r="B1807" s="306" t="str">
        <f>IF((COUNTBLANK(G1807)=0),Stats!$E$7,IF((COUNTBLANK(E1807)=0),IF((COUNTBLANK(F1807)=0),IF((COUNTBLANK(U1807)=0),Stats!$E$6,Stats!$E$5),Stats!$E$4),""))</f>
        <v/>
      </c>
      <c r="C1807" s="41"/>
      <c r="D1807" s="306" t="str">
        <f>IF(B1807=Stats!$E$6,Stats!$E$11,"")</f>
        <v/>
      </c>
    </row>
    <row r="1808" spans="1:4" hidden="1" x14ac:dyDescent="0.25">
      <c r="A1808" s="32" t="s">
        <v>2532</v>
      </c>
      <c r="B1808" s="306" t="str">
        <f>IF((COUNTBLANK(G1808)=0),Stats!$E$7,IF((COUNTBLANK(E1808)=0),IF((COUNTBLANK(F1808)=0),IF((COUNTBLANK(U1808)=0),Stats!$E$6,Stats!$E$5),Stats!$E$4),""))</f>
        <v/>
      </c>
      <c r="C1808" s="41"/>
      <c r="D1808" s="306" t="str">
        <f>IF(B1808=Stats!$E$6,Stats!$E$11,"")</f>
        <v/>
      </c>
    </row>
    <row r="1809" spans="1:4" hidden="1" x14ac:dyDescent="0.25">
      <c r="A1809" s="32" t="s">
        <v>2533</v>
      </c>
      <c r="B1809" s="306" t="str">
        <f>IF((COUNTBLANK(G1809)=0),Stats!$E$7,IF((COUNTBLANK(E1809)=0),IF((COUNTBLANK(F1809)=0),IF((COUNTBLANK(U1809)=0),Stats!$E$6,Stats!$E$5),Stats!$E$4),""))</f>
        <v/>
      </c>
      <c r="C1809" s="41"/>
      <c r="D1809" s="306" t="str">
        <f>IF(B1809=Stats!$E$6,Stats!$E$11,"")</f>
        <v/>
      </c>
    </row>
    <row r="1810" spans="1:4" hidden="1" x14ac:dyDescent="0.25">
      <c r="A1810" s="32" t="s">
        <v>2534</v>
      </c>
      <c r="B1810" s="306" t="str">
        <f>IF((COUNTBLANK(G1810)=0),Stats!$E$7,IF((COUNTBLANK(E1810)=0),IF((COUNTBLANK(F1810)=0),IF((COUNTBLANK(U1810)=0),Stats!$E$6,Stats!$E$5),Stats!$E$4),""))</f>
        <v/>
      </c>
      <c r="C1810" s="41"/>
      <c r="D1810" s="306" t="str">
        <f>IF(B1810=Stats!$E$6,Stats!$E$11,"")</f>
        <v/>
      </c>
    </row>
    <row r="1811" spans="1:4" hidden="1" x14ac:dyDescent="0.25">
      <c r="A1811" s="32" t="s">
        <v>2535</v>
      </c>
      <c r="B1811" s="306" t="str">
        <f>IF((COUNTBLANK(G1811)=0),Stats!$E$7,IF((COUNTBLANK(E1811)=0),IF((COUNTBLANK(F1811)=0),IF((COUNTBLANK(U1811)=0),Stats!$E$6,Stats!$E$5),Stats!$E$4),""))</f>
        <v/>
      </c>
      <c r="C1811" s="41"/>
      <c r="D1811" s="306" t="str">
        <f>IF(B1811=Stats!$E$6,Stats!$E$11,"")</f>
        <v/>
      </c>
    </row>
    <row r="1812" spans="1:4" hidden="1" x14ac:dyDescent="0.25">
      <c r="A1812" s="32" t="s">
        <v>2536</v>
      </c>
      <c r="B1812" s="306" t="str">
        <f>IF((COUNTBLANK(G1812)=0),Stats!$E$7,IF((COUNTBLANK(E1812)=0),IF((COUNTBLANK(F1812)=0),IF((COUNTBLANK(U1812)=0),Stats!$E$6,Stats!$E$5),Stats!$E$4),""))</f>
        <v/>
      </c>
      <c r="C1812" s="41"/>
      <c r="D1812" s="306" t="str">
        <f>IF(B1812=Stats!$E$6,Stats!$E$11,"")</f>
        <v/>
      </c>
    </row>
    <row r="1813" spans="1:4" hidden="1" x14ac:dyDescent="0.25">
      <c r="A1813" s="32" t="s">
        <v>2537</v>
      </c>
      <c r="B1813" s="306" t="str">
        <f>IF((COUNTBLANK(G1813)=0),Stats!$E$7,IF((COUNTBLANK(E1813)=0),IF((COUNTBLANK(F1813)=0),IF((COUNTBLANK(U1813)=0),Stats!$E$6,Stats!$E$5),Stats!$E$4),""))</f>
        <v/>
      </c>
      <c r="C1813" s="41"/>
      <c r="D1813" s="306" t="str">
        <f>IF(B1813=Stats!$E$6,Stats!$E$11,"")</f>
        <v/>
      </c>
    </row>
    <row r="1814" spans="1:4" hidden="1" x14ac:dyDescent="0.25">
      <c r="A1814" s="32" t="s">
        <v>2538</v>
      </c>
      <c r="B1814" s="306" t="str">
        <f>IF((COUNTBLANK(G1814)=0),Stats!$E$7,IF((COUNTBLANK(E1814)=0),IF((COUNTBLANK(F1814)=0),IF((COUNTBLANK(U1814)=0),Stats!$E$6,Stats!$E$5),Stats!$E$4),""))</f>
        <v/>
      </c>
      <c r="C1814" s="41"/>
      <c r="D1814" s="306" t="str">
        <f>IF(B1814=Stats!$E$6,Stats!$E$11,"")</f>
        <v/>
      </c>
    </row>
    <row r="1815" spans="1:4" hidden="1" x14ac:dyDescent="0.25">
      <c r="A1815" s="32" t="s">
        <v>2539</v>
      </c>
      <c r="B1815" s="306" t="str">
        <f>IF((COUNTBLANK(G1815)=0),Stats!$E$7,IF((COUNTBLANK(E1815)=0),IF((COUNTBLANK(F1815)=0),IF((COUNTBLANK(U1815)=0),Stats!$E$6,Stats!$E$5),Stats!$E$4),""))</f>
        <v/>
      </c>
      <c r="C1815" s="41"/>
      <c r="D1815" s="306" t="str">
        <f>IF(B1815=Stats!$E$6,Stats!$E$11,"")</f>
        <v/>
      </c>
    </row>
    <row r="1816" spans="1:4" hidden="1" x14ac:dyDescent="0.25">
      <c r="A1816" s="32" t="s">
        <v>2540</v>
      </c>
      <c r="B1816" s="306" t="str">
        <f>IF((COUNTBLANK(G1816)=0),Stats!$E$7,IF((COUNTBLANK(E1816)=0),IF((COUNTBLANK(F1816)=0),IF((COUNTBLANK(U1816)=0),Stats!$E$6,Stats!$E$5),Stats!$E$4),""))</f>
        <v/>
      </c>
      <c r="C1816" s="41"/>
      <c r="D1816" s="306" t="str">
        <f>IF(B1816=Stats!$E$6,Stats!$E$11,"")</f>
        <v/>
      </c>
    </row>
    <row r="1817" spans="1:4" hidden="1" x14ac:dyDescent="0.25">
      <c r="A1817" s="32" t="s">
        <v>2541</v>
      </c>
      <c r="B1817" s="306" t="str">
        <f>IF((COUNTBLANK(G1817)=0),Stats!$E$7,IF((COUNTBLANK(E1817)=0),IF((COUNTBLANK(F1817)=0),IF((COUNTBLANK(U1817)=0),Stats!$E$6,Stats!$E$5),Stats!$E$4),""))</f>
        <v/>
      </c>
      <c r="C1817" s="41"/>
      <c r="D1817" s="306" t="str">
        <f>IF(B1817=Stats!$E$6,Stats!$E$11,"")</f>
        <v/>
      </c>
    </row>
    <row r="1818" spans="1:4" hidden="1" x14ac:dyDescent="0.25">
      <c r="A1818" s="32" t="s">
        <v>2542</v>
      </c>
      <c r="B1818" s="306" t="str">
        <f>IF((COUNTBLANK(G1818)=0),Stats!$E$7,IF((COUNTBLANK(E1818)=0),IF((COUNTBLANK(F1818)=0),IF((COUNTBLANK(U1818)=0),Stats!$E$6,Stats!$E$5),Stats!$E$4),""))</f>
        <v/>
      </c>
      <c r="C1818" s="41"/>
      <c r="D1818" s="306" t="str">
        <f>IF(B1818=Stats!$E$6,Stats!$E$11,"")</f>
        <v/>
      </c>
    </row>
    <row r="1819" spans="1:4" hidden="1" x14ac:dyDescent="0.25">
      <c r="A1819" s="32" t="s">
        <v>2543</v>
      </c>
      <c r="B1819" s="306" t="str">
        <f>IF((COUNTBLANK(G1819)=0),Stats!$E$7,IF((COUNTBLANK(E1819)=0),IF((COUNTBLANK(F1819)=0),IF((COUNTBLANK(U1819)=0),Stats!$E$6,Stats!$E$5),Stats!$E$4),""))</f>
        <v/>
      </c>
      <c r="C1819" s="41"/>
      <c r="D1819" s="306" t="str">
        <f>IF(B1819=Stats!$E$6,Stats!$E$11,"")</f>
        <v/>
      </c>
    </row>
    <row r="1820" spans="1:4" hidden="1" x14ac:dyDescent="0.25">
      <c r="A1820" s="32" t="s">
        <v>2544</v>
      </c>
      <c r="B1820" s="306" t="str">
        <f>IF((COUNTBLANK(G1820)=0),Stats!$E$7,IF((COUNTBLANK(E1820)=0),IF((COUNTBLANK(F1820)=0),IF((COUNTBLANK(U1820)=0),Stats!$E$6,Stats!$E$5),Stats!$E$4),""))</f>
        <v/>
      </c>
      <c r="C1820" s="41"/>
      <c r="D1820" s="306" t="str">
        <f>IF(B1820=Stats!$E$6,Stats!$E$11,"")</f>
        <v/>
      </c>
    </row>
    <row r="1821" spans="1:4" hidden="1" x14ac:dyDescent="0.25">
      <c r="A1821" s="32" t="s">
        <v>2545</v>
      </c>
      <c r="B1821" s="306" t="str">
        <f>IF((COUNTBLANK(G1821)=0),Stats!$E$7,IF((COUNTBLANK(E1821)=0),IF((COUNTBLANK(F1821)=0),IF((COUNTBLANK(U1821)=0),Stats!$E$6,Stats!$E$5),Stats!$E$4),""))</f>
        <v/>
      </c>
      <c r="C1821" s="41"/>
      <c r="D1821" s="306" t="str">
        <f>IF(B1821=Stats!$E$6,Stats!$E$11,"")</f>
        <v/>
      </c>
    </row>
    <row r="1822" spans="1:4" hidden="1" x14ac:dyDescent="0.25">
      <c r="A1822" s="32" t="s">
        <v>2546</v>
      </c>
      <c r="B1822" s="306" t="str">
        <f>IF((COUNTBLANK(G1822)=0),Stats!$E$7,IF((COUNTBLANK(E1822)=0),IF((COUNTBLANK(F1822)=0),IF((COUNTBLANK(U1822)=0),Stats!$E$6,Stats!$E$5),Stats!$E$4),""))</f>
        <v/>
      </c>
      <c r="C1822" s="41"/>
      <c r="D1822" s="306" t="str">
        <f>IF(B1822=Stats!$E$6,Stats!$E$11,"")</f>
        <v/>
      </c>
    </row>
    <row r="1823" spans="1:4" hidden="1" x14ac:dyDescent="0.25">
      <c r="A1823" s="32" t="s">
        <v>2547</v>
      </c>
      <c r="B1823" s="306" t="str">
        <f>IF((COUNTBLANK(G1823)=0),Stats!$E$7,IF((COUNTBLANK(E1823)=0),IF((COUNTBLANK(F1823)=0),IF((COUNTBLANK(U1823)=0),Stats!$E$6,Stats!$E$5),Stats!$E$4),""))</f>
        <v/>
      </c>
      <c r="C1823" s="41"/>
      <c r="D1823" s="306" t="str">
        <f>IF(B1823=Stats!$E$6,Stats!$E$11,"")</f>
        <v/>
      </c>
    </row>
    <row r="1824" spans="1:4" hidden="1" x14ac:dyDescent="0.25">
      <c r="A1824" s="32" t="s">
        <v>2548</v>
      </c>
      <c r="B1824" s="306" t="str">
        <f>IF((COUNTBLANK(G1824)=0),Stats!$E$7,IF((COUNTBLANK(E1824)=0),IF((COUNTBLANK(F1824)=0),IF((COUNTBLANK(U1824)=0),Stats!$E$6,Stats!$E$5),Stats!$E$4),""))</f>
        <v/>
      </c>
      <c r="C1824" s="41"/>
      <c r="D1824" s="306" t="str">
        <f>IF(B1824=Stats!$E$6,Stats!$E$11,"")</f>
        <v/>
      </c>
    </row>
    <row r="1825" spans="1:4" hidden="1" x14ac:dyDescent="0.25">
      <c r="A1825" s="32" t="s">
        <v>2549</v>
      </c>
      <c r="B1825" s="306" t="str">
        <f>IF((COUNTBLANK(G1825)=0),Stats!$E$7,IF((COUNTBLANK(E1825)=0),IF((COUNTBLANK(F1825)=0),IF((COUNTBLANK(U1825)=0),Stats!$E$6,Stats!$E$5),Stats!$E$4),""))</f>
        <v/>
      </c>
      <c r="C1825" s="41"/>
      <c r="D1825" s="306" t="str">
        <f>IF(B1825=Stats!$E$6,Stats!$E$11,"")</f>
        <v/>
      </c>
    </row>
    <row r="1826" spans="1:4" hidden="1" x14ac:dyDescent="0.25">
      <c r="A1826" s="32" t="s">
        <v>2550</v>
      </c>
      <c r="B1826" s="306" t="str">
        <f>IF((COUNTBLANK(G1826)=0),Stats!$E$7,IF((COUNTBLANK(E1826)=0),IF((COUNTBLANK(F1826)=0),IF((COUNTBLANK(U1826)=0),Stats!$E$6,Stats!$E$5),Stats!$E$4),""))</f>
        <v/>
      </c>
      <c r="C1826" s="41"/>
      <c r="D1826" s="306" t="str">
        <f>IF(B1826=Stats!$E$6,Stats!$E$11,"")</f>
        <v/>
      </c>
    </row>
    <row r="1827" spans="1:4" hidden="1" x14ac:dyDescent="0.25">
      <c r="A1827" s="32" t="s">
        <v>2551</v>
      </c>
      <c r="B1827" s="306" t="str">
        <f>IF((COUNTBLANK(G1827)=0),Stats!$E$7,IF((COUNTBLANK(E1827)=0),IF((COUNTBLANK(F1827)=0),IF((COUNTBLANK(U1827)=0),Stats!$E$6,Stats!$E$5),Stats!$E$4),""))</f>
        <v/>
      </c>
      <c r="C1827" s="41"/>
      <c r="D1827" s="306" t="str">
        <f>IF(B1827=Stats!$E$6,Stats!$E$11,"")</f>
        <v/>
      </c>
    </row>
    <row r="1828" spans="1:4" hidden="1" x14ac:dyDescent="0.25">
      <c r="A1828" s="32" t="s">
        <v>2552</v>
      </c>
      <c r="B1828" s="306" t="str">
        <f>IF((COUNTBLANK(G1828)=0),Stats!$E$7,IF((COUNTBLANK(E1828)=0),IF((COUNTBLANK(F1828)=0),IF((COUNTBLANK(U1828)=0),Stats!$E$6,Stats!$E$5),Stats!$E$4),""))</f>
        <v/>
      </c>
      <c r="C1828" s="41"/>
      <c r="D1828" s="306" t="str">
        <f>IF(B1828=Stats!$E$6,Stats!$E$11,"")</f>
        <v/>
      </c>
    </row>
    <row r="1829" spans="1:4" hidden="1" x14ac:dyDescent="0.25">
      <c r="A1829" s="32" t="s">
        <v>2553</v>
      </c>
      <c r="B1829" s="306" t="str">
        <f>IF((COUNTBLANK(G1829)=0),Stats!$E$7,IF((COUNTBLANK(E1829)=0),IF((COUNTBLANK(F1829)=0),IF((COUNTBLANK(U1829)=0),Stats!$E$6,Stats!$E$5),Stats!$E$4),""))</f>
        <v/>
      </c>
      <c r="C1829" s="41"/>
      <c r="D1829" s="306" t="str">
        <f>IF(B1829=Stats!$E$6,Stats!$E$11,"")</f>
        <v/>
      </c>
    </row>
    <row r="1830" spans="1:4" hidden="1" x14ac:dyDescent="0.25">
      <c r="A1830" s="32" t="s">
        <v>2554</v>
      </c>
      <c r="B1830" s="306" t="str">
        <f>IF((COUNTBLANK(G1830)=0),Stats!$E$7,IF((COUNTBLANK(E1830)=0),IF((COUNTBLANK(F1830)=0),IF((COUNTBLANK(U1830)=0),Stats!$E$6,Stats!$E$5),Stats!$E$4),""))</f>
        <v/>
      </c>
      <c r="C1830" s="41"/>
      <c r="D1830" s="306" t="str">
        <f>IF(B1830=Stats!$E$6,Stats!$E$11,"")</f>
        <v/>
      </c>
    </row>
    <row r="1831" spans="1:4" hidden="1" x14ac:dyDescent="0.25">
      <c r="A1831" s="32" t="s">
        <v>2555</v>
      </c>
      <c r="B1831" s="306" t="str">
        <f>IF((COUNTBLANK(G1831)=0),Stats!$E$7,IF((COUNTBLANK(E1831)=0),IF((COUNTBLANK(F1831)=0),IF((COUNTBLANK(U1831)=0),Stats!$E$6,Stats!$E$5),Stats!$E$4),""))</f>
        <v/>
      </c>
      <c r="C1831" s="41"/>
      <c r="D1831" s="306" t="str">
        <f>IF(B1831=Stats!$E$6,Stats!$E$11,"")</f>
        <v/>
      </c>
    </row>
    <row r="1832" spans="1:4" hidden="1" x14ac:dyDescent="0.25">
      <c r="A1832" s="32" t="s">
        <v>2556</v>
      </c>
      <c r="B1832" s="306" t="str">
        <f>IF((COUNTBLANK(G1832)=0),Stats!$E$7,IF((COUNTBLANK(E1832)=0),IF((COUNTBLANK(F1832)=0),IF((COUNTBLANK(U1832)=0),Stats!$E$6,Stats!$E$5),Stats!$E$4),""))</f>
        <v/>
      </c>
      <c r="C1832" s="41"/>
      <c r="D1832" s="306" t="str">
        <f>IF(B1832=Stats!$E$6,Stats!$E$11,"")</f>
        <v/>
      </c>
    </row>
    <row r="1833" spans="1:4" hidden="1" x14ac:dyDescent="0.25">
      <c r="A1833" s="32" t="s">
        <v>2557</v>
      </c>
      <c r="B1833" s="306" t="str">
        <f>IF((COUNTBLANK(G1833)=0),Stats!$E$7,IF((COUNTBLANK(E1833)=0),IF((COUNTBLANK(F1833)=0),IF((COUNTBLANK(U1833)=0),Stats!$E$6,Stats!$E$5),Stats!$E$4),""))</f>
        <v/>
      </c>
      <c r="C1833" s="41"/>
      <c r="D1833" s="306" t="str">
        <f>IF(B1833=Stats!$E$6,Stats!$E$11,"")</f>
        <v/>
      </c>
    </row>
    <row r="1834" spans="1:4" hidden="1" x14ac:dyDescent="0.25">
      <c r="A1834" s="32" t="s">
        <v>2558</v>
      </c>
      <c r="B1834" s="306" t="str">
        <f>IF((COUNTBLANK(G1834)=0),Stats!$E$7,IF((COUNTBLANK(E1834)=0),IF((COUNTBLANK(F1834)=0),IF((COUNTBLANK(U1834)=0),Stats!$E$6,Stats!$E$5),Stats!$E$4),""))</f>
        <v/>
      </c>
      <c r="C1834" s="41"/>
      <c r="D1834" s="306" t="str">
        <f>IF(B1834=Stats!$E$6,Stats!$E$11,"")</f>
        <v/>
      </c>
    </row>
    <row r="1835" spans="1:4" hidden="1" x14ac:dyDescent="0.25">
      <c r="A1835" s="32" t="s">
        <v>2559</v>
      </c>
      <c r="B1835" s="306" t="str">
        <f>IF((COUNTBLANK(G1835)=0),Stats!$E$7,IF((COUNTBLANK(E1835)=0),IF((COUNTBLANK(F1835)=0),IF((COUNTBLANK(U1835)=0),Stats!$E$6,Stats!$E$5),Stats!$E$4),""))</f>
        <v/>
      </c>
      <c r="C1835" s="41"/>
      <c r="D1835" s="306" t="str">
        <f>IF(B1835=Stats!$E$6,Stats!$E$11,"")</f>
        <v/>
      </c>
    </row>
    <row r="1836" spans="1:4" hidden="1" x14ac:dyDescent="0.25">
      <c r="A1836" s="32" t="s">
        <v>2560</v>
      </c>
      <c r="B1836" s="306" t="str">
        <f>IF((COUNTBLANK(G1836)=0),Stats!$E$7,IF((COUNTBLANK(E1836)=0),IF((COUNTBLANK(F1836)=0),IF((COUNTBLANK(U1836)=0),Stats!$E$6,Stats!$E$5),Stats!$E$4),""))</f>
        <v/>
      </c>
      <c r="C1836" s="41"/>
      <c r="D1836" s="306" t="str">
        <f>IF(B1836=Stats!$E$6,Stats!$E$11,"")</f>
        <v/>
      </c>
    </row>
    <row r="1837" spans="1:4" hidden="1" x14ac:dyDescent="0.25">
      <c r="A1837" s="32" t="s">
        <v>2561</v>
      </c>
      <c r="B1837" s="306" t="str">
        <f>IF((COUNTBLANK(G1837)=0),Stats!$E$7,IF((COUNTBLANK(E1837)=0),IF((COUNTBLANK(F1837)=0),IF((COUNTBLANK(U1837)=0),Stats!$E$6,Stats!$E$5),Stats!$E$4),""))</f>
        <v/>
      </c>
      <c r="C1837" s="41"/>
      <c r="D1837" s="306" t="str">
        <f>IF(B1837=Stats!$E$6,Stats!$E$11,"")</f>
        <v/>
      </c>
    </row>
    <row r="1838" spans="1:4" hidden="1" x14ac:dyDescent="0.25">
      <c r="A1838" s="32" t="s">
        <v>2562</v>
      </c>
      <c r="B1838" s="306" t="str">
        <f>IF((COUNTBLANK(G1838)=0),Stats!$E$7,IF((COUNTBLANK(E1838)=0),IF((COUNTBLANK(F1838)=0),IF((COUNTBLANK(U1838)=0),Stats!$E$6,Stats!$E$5),Stats!$E$4),""))</f>
        <v/>
      </c>
      <c r="C1838" s="41"/>
      <c r="D1838" s="306" t="str">
        <f>IF(B1838=Stats!$E$6,Stats!$E$11,"")</f>
        <v/>
      </c>
    </row>
    <row r="1839" spans="1:4" hidden="1" x14ac:dyDescent="0.25">
      <c r="A1839" s="32" t="s">
        <v>2563</v>
      </c>
      <c r="B1839" s="306" t="str">
        <f>IF((COUNTBLANK(G1839)=0),Stats!$E$7,IF((COUNTBLANK(E1839)=0),IF((COUNTBLANK(F1839)=0),IF((COUNTBLANK(U1839)=0),Stats!$E$6,Stats!$E$5),Stats!$E$4),""))</f>
        <v/>
      </c>
      <c r="C1839" s="41"/>
      <c r="D1839" s="306" t="str">
        <f>IF(B1839=Stats!$E$6,Stats!$E$11,"")</f>
        <v/>
      </c>
    </row>
    <row r="1840" spans="1:4" hidden="1" x14ac:dyDescent="0.25">
      <c r="A1840" s="32" t="s">
        <v>2564</v>
      </c>
      <c r="B1840" s="306" t="str">
        <f>IF((COUNTBLANK(G1840)=0),Stats!$E$7,IF((COUNTBLANK(E1840)=0),IF((COUNTBLANK(F1840)=0),IF((COUNTBLANK(U1840)=0),Stats!$E$6,Stats!$E$5),Stats!$E$4),""))</f>
        <v/>
      </c>
      <c r="C1840" s="41"/>
      <c r="D1840" s="306" t="str">
        <f>IF(B1840=Stats!$E$6,Stats!$E$11,"")</f>
        <v/>
      </c>
    </row>
    <row r="1841" spans="1:4" hidden="1" x14ac:dyDescent="0.25">
      <c r="A1841" s="32" t="s">
        <v>2565</v>
      </c>
      <c r="B1841" s="306" t="str">
        <f>IF((COUNTBLANK(G1841)=0),Stats!$E$7,IF((COUNTBLANK(E1841)=0),IF((COUNTBLANK(F1841)=0),IF((COUNTBLANK(U1841)=0),Stats!$E$6,Stats!$E$5),Stats!$E$4),""))</f>
        <v/>
      </c>
      <c r="C1841" s="41"/>
      <c r="D1841" s="306" t="str">
        <f>IF(B1841=Stats!$E$6,Stats!$E$11,"")</f>
        <v/>
      </c>
    </row>
    <row r="1842" spans="1:4" hidden="1" x14ac:dyDescent="0.25">
      <c r="A1842" s="32" t="s">
        <v>2566</v>
      </c>
      <c r="B1842" s="306" t="str">
        <f>IF((COUNTBLANK(G1842)=0),Stats!$E$7,IF((COUNTBLANK(E1842)=0),IF((COUNTBLANK(F1842)=0),IF((COUNTBLANK(U1842)=0),Stats!$E$6,Stats!$E$5),Stats!$E$4),""))</f>
        <v/>
      </c>
      <c r="C1842" s="41"/>
      <c r="D1842" s="306" t="str">
        <f>IF(B1842=Stats!$E$6,Stats!$E$11,"")</f>
        <v/>
      </c>
    </row>
    <row r="1843" spans="1:4" hidden="1" x14ac:dyDescent="0.25">
      <c r="A1843" s="32" t="s">
        <v>2567</v>
      </c>
      <c r="B1843" s="306" t="str">
        <f>IF((COUNTBLANK(G1843)=0),Stats!$E$7,IF((COUNTBLANK(E1843)=0),IF((COUNTBLANK(F1843)=0),IF((COUNTBLANK(U1843)=0),Stats!$E$6,Stats!$E$5),Stats!$E$4),""))</f>
        <v/>
      </c>
      <c r="C1843" s="41"/>
      <c r="D1843" s="306" t="str">
        <f>IF(B1843=Stats!$E$6,Stats!$E$11,"")</f>
        <v/>
      </c>
    </row>
    <row r="1844" spans="1:4" hidden="1" x14ac:dyDescent="0.25">
      <c r="A1844" s="32" t="s">
        <v>2568</v>
      </c>
      <c r="B1844" s="306" t="str">
        <f>IF((COUNTBLANK(G1844)=0),Stats!$E$7,IF((COUNTBLANK(E1844)=0),IF((COUNTBLANK(F1844)=0),IF((COUNTBLANK(U1844)=0),Stats!$E$6,Stats!$E$5),Stats!$E$4),""))</f>
        <v/>
      </c>
      <c r="C1844" s="41"/>
      <c r="D1844" s="306" t="str">
        <f>IF(B1844=Stats!$E$6,Stats!$E$11,"")</f>
        <v/>
      </c>
    </row>
    <row r="1845" spans="1:4" hidden="1" x14ac:dyDescent="0.25">
      <c r="A1845" s="32" t="s">
        <v>2569</v>
      </c>
      <c r="B1845" s="306" t="str">
        <f>IF((COUNTBLANK(G1845)=0),Stats!$E$7,IF((COUNTBLANK(E1845)=0),IF((COUNTBLANK(F1845)=0),IF((COUNTBLANK(U1845)=0),Stats!$E$6,Stats!$E$5),Stats!$E$4),""))</f>
        <v/>
      </c>
      <c r="C1845" s="41"/>
      <c r="D1845" s="306" t="str">
        <f>IF(B1845=Stats!$E$6,Stats!$E$11,"")</f>
        <v/>
      </c>
    </row>
    <row r="1846" spans="1:4" hidden="1" x14ac:dyDescent="0.25">
      <c r="A1846" s="32" t="s">
        <v>2570</v>
      </c>
      <c r="B1846" s="306" t="str">
        <f>IF((COUNTBLANK(G1846)=0),Stats!$E$7,IF((COUNTBLANK(E1846)=0),IF((COUNTBLANK(F1846)=0),IF((COUNTBLANK(U1846)=0),Stats!$E$6,Stats!$E$5),Stats!$E$4),""))</f>
        <v/>
      </c>
      <c r="C1846" s="41"/>
      <c r="D1846" s="306" t="str">
        <f>IF(B1846=Stats!$E$6,Stats!$E$11,"")</f>
        <v/>
      </c>
    </row>
    <row r="1847" spans="1:4" hidden="1" x14ac:dyDescent="0.25">
      <c r="A1847" s="32" t="s">
        <v>2571</v>
      </c>
      <c r="B1847" s="306" t="str">
        <f>IF((COUNTBLANK(G1847)=0),Stats!$E$7,IF((COUNTBLANK(E1847)=0),IF((COUNTBLANK(F1847)=0),IF((COUNTBLANK(U1847)=0),Stats!$E$6,Stats!$E$5),Stats!$E$4),""))</f>
        <v/>
      </c>
      <c r="C1847" s="41"/>
      <c r="D1847" s="306" t="str">
        <f>IF(B1847=Stats!$E$6,Stats!$E$11,"")</f>
        <v/>
      </c>
    </row>
    <row r="1848" spans="1:4" hidden="1" x14ac:dyDescent="0.25">
      <c r="A1848" s="32" t="s">
        <v>2572</v>
      </c>
      <c r="B1848" s="306" t="str">
        <f>IF((COUNTBLANK(G1848)=0),Stats!$E$7,IF((COUNTBLANK(E1848)=0),IF((COUNTBLANK(F1848)=0),IF((COUNTBLANK(U1848)=0),Stats!$E$6,Stats!$E$5),Stats!$E$4),""))</f>
        <v/>
      </c>
      <c r="C1848" s="41"/>
      <c r="D1848" s="306" t="str">
        <f>IF(B1848=Stats!$E$6,Stats!$E$11,"")</f>
        <v/>
      </c>
    </row>
    <row r="1849" spans="1:4" hidden="1" x14ac:dyDescent="0.25">
      <c r="A1849" s="32" t="s">
        <v>2573</v>
      </c>
      <c r="B1849" s="306" t="str">
        <f>IF((COUNTBLANK(G1849)=0),Stats!$E$7,IF((COUNTBLANK(E1849)=0),IF((COUNTBLANK(F1849)=0),IF((COUNTBLANK(U1849)=0),Stats!$E$6,Stats!$E$5),Stats!$E$4),""))</f>
        <v/>
      </c>
      <c r="C1849" s="41"/>
      <c r="D1849" s="306" t="str">
        <f>IF(B1849=Stats!$E$6,Stats!$E$11,"")</f>
        <v/>
      </c>
    </row>
    <row r="1850" spans="1:4" hidden="1" x14ac:dyDescent="0.25">
      <c r="A1850" s="32" t="s">
        <v>2574</v>
      </c>
      <c r="B1850" s="306" t="str">
        <f>IF((COUNTBLANK(G1850)=0),Stats!$E$7,IF((COUNTBLANK(E1850)=0),IF((COUNTBLANK(F1850)=0),IF((COUNTBLANK(U1850)=0),Stats!$E$6,Stats!$E$5),Stats!$E$4),""))</f>
        <v/>
      </c>
      <c r="C1850" s="41"/>
      <c r="D1850" s="306" t="str">
        <f>IF(B1850=Stats!$E$6,Stats!$E$11,"")</f>
        <v/>
      </c>
    </row>
    <row r="1851" spans="1:4" hidden="1" x14ac:dyDescent="0.25">
      <c r="A1851" s="32" t="s">
        <v>2575</v>
      </c>
      <c r="B1851" s="306" t="str">
        <f>IF((COUNTBLANK(G1851)=0),Stats!$E$7,IF((COUNTBLANK(E1851)=0),IF((COUNTBLANK(F1851)=0),IF((COUNTBLANK(U1851)=0),Stats!$E$6,Stats!$E$5),Stats!$E$4),""))</f>
        <v/>
      </c>
      <c r="C1851" s="41"/>
      <c r="D1851" s="306" t="str">
        <f>IF(B1851=Stats!$E$6,Stats!$E$11,"")</f>
        <v/>
      </c>
    </row>
    <row r="1852" spans="1:4" hidden="1" x14ac:dyDescent="0.25">
      <c r="A1852" s="32" t="s">
        <v>2576</v>
      </c>
      <c r="B1852" s="306" t="str">
        <f>IF((COUNTBLANK(G1852)=0),Stats!$E$7,IF((COUNTBLANK(E1852)=0),IF((COUNTBLANK(F1852)=0),IF((COUNTBLANK(U1852)=0),Stats!$E$6,Stats!$E$5),Stats!$E$4),""))</f>
        <v/>
      </c>
      <c r="C1852" s="41"/>
      <c r="D1852" s="306" t="str">
        <f>IF(B1852=Stats!$E$6,Stats!$E$11,"")</f>
        <v/>
      </c>
    </row>
    <row r="1853" spans="1:4" hidden="1" x14ac:dyDescent="0.25">
      <c r="A1853" s="32" t="s">
        <v>2577</v>
      </c>
      <c r="B1853" s="306" t="str">
        <f>IF((COUNTBLANK(G1853)=0),Stats!$E$7,IF((COUNTBLANK(E1853)=0),IF((COUNTBLANK(F1853)=0),IF((COUNTBLANK(U1853)=0),Stats!$E$6,Stats!$E$5),Stats!$E$4),""))</f>
        <v/>
      </c>
      <c r="C1853" s="41"/>
      <c r="D1853" s="306" t="str">
        <f>IF(B1853=Stats!$E$6,Stats!$E$11,"")</f>
        <v/>
      </c>
    </row>
    <row r="1854" spans="1:4" hidden="1" x14ac:dyDescent="0.25">
      <c r="A1854" s="32" t="s">
        <v>2578</v>
      </c>
      <c r="B1854" s="306" t="str">
        <f>IF((COUNTBLANK(G1854)=0),Stats!$E$7,IF((COUNTBLANK(E1854)=0),IF((COUNTBLANK(F1854)=0),IF((COUNTBLANK(U1854)=0),Stats!$E$6,Stats!$E$5),Stats!$E$4),""))</f>
        <v/>
      </c>
      <c r="C1854" s="41"/>
      <c r="D1854" s="306" t="str">
        <f>IF(B1854=Stats!$E$6,Stats!$E$11,"")</f>
        <v/>
      </c>
    </row>
    <row r="1855" spans="1:4" hidden="1" x14ac:dyDescent="0.25">
      <c r="A1855" s="32" t="s">
        <v>2579</v>
      </c>
      <c r="B1855" s="306" t="str">
        <f>IF((COUNTBLANK(G1855)=0),Stats!$E$7,IF((COUNTBLANK(E1855)=0),IF((COUNTBLANK(F1855)=0),IF((COUNTBLANK(U1855)=0),Stats!$E$6,Stats!$E$5),Stats!$E$4),""))</f>
        <v/>
      </c>
      <c r="C1855" s="41"/>
      <c r="D1855" s="306" t="str">
        <f>IF(B1855=Stats!$E$6,Stats!$E$11,"")</f>
        <v/>
      </c>
    </row>
    <row r="1856" spans="1:4" hidden="1" x14ac:dyDescent="0.25">
      <c r="A1856" s="32" t="s">
        <v>2580</v>
      </c>
      <c r="B1856" s="306" t="str">
        <f>IF((COUNTBLANK(G1856)=0),Stats!$E$7,IF((COUNTBLANK(E1856)=0),IF((COUNTBLANK(F1856)=0),IF((COUNTBLANK(U1856)=0),Stats!$E$6,Stats!$E$5),Stats!$E$4),""))</f>
        <v/>
      </c>
      <c r="C1856" s="41"/>
      <c r="D1856" s="306" t="str">
        <f>IF(B1856=Stats!$E$6,Stats!$E$11,"")</f>
        <v/>
      </c>
    </row>
    <row r="1857" spans="1:4" hidden="1" x14ac:dyDescent="0.25">
      <c r="A1857" s="32" t="s">
        <v>2581</v>
      </c>
      <c r="B1857" s="306" t="str">
        <f>IF((COUNTBLANK(G1857)=0),Stats!$E$7,IF((COUNTBLANK(E1857)=0),IF((COUNTBLANK(F1857)=0),IF((COUNTBLANK(U1857)=0),Stats!$E$6,Stats!$E$5),Stats!$E$4),""))</f>
        <v/>
      </c>
      <c r="C1857" s="41"/>
      <c r="D1857" s="306" t="str">
        <f>IF(B1857=Stats!$E$6,Stats!$E$11,"")</f>
        <v/>
      </c>
    </row>
    <row r="1858" spans="1:4" hidden="1" x14ac:dyDescent="0.25">
      <c r="A1858" s="32" t="s">
        <v>2582</v>
      </c>
      <c r="B1858" s="306" t="str">
        <f>IF((COUNTBLANK(G1858)=0),Stats!$E$7,IF((COUNTBLANK(E1858)=0),IF((COUNTBLANK(F1858)=0),IF((COUNTBLANK(U1858)=0),Stats!$E$6,Stats!$E$5),Stats!$E$4),""))</f>
        <v/>
      </c>
      <c r="C1858" s="41"/>
      <c r="D1858" s="306" t="str">
        <f>IF(B1858=Stats!$E$6,Stats!$E$11,"")</f>
        <v/>
      </c>
    </row>
    <row r="1859" spans="1:4" hidden="1" x14ac:dyDescent="0.25">
      <c r="A1859" s="32" t="s">
        <v>2583</v>
      </c>
      <c r="B1859" s="306" t="str">
        <f>IF((COUNTBLANK(G1859)=0),Stats!$E$7,IF((COUNTBLANK(E1859)=0),IF((COUNTBLANK(F1859)=0),IF((COUNTBLANK(U1859)=0),Stats!$E$6,Stats!$E$5),Stats!$E$4),""))</f>
        <v/>
      </c>
      <c r="C1859" s="41"/>
      <c r="D1859" s="306" t="str">
        <f>IF(B1859=Stats!$E$6,Stats!$E$11,"")</f>
        <v/>
      </c>
    </row>
    <row r="1860" spans="1:4" hidden="1" x14ac:dyDescent="0.25">
      <c r="A1860" s="32" t="s">
        <v>2584</v>
      </c>
      <c r="B1860" s="306" t="str">
        <f>IF((COUNTBLANK(G1860)=0),Stats!$E$7,IF((COUNTBLANK(E1860)=0),IF((COUNTBLANK(F1860)=0),IF((COUNTBLANK(U1860)=0),Stats!$E$6,Stats!$E$5),Stats!$E$4),""))</f>
        <v/>
      </c>
      <c r="C1860" s="41"/>
      <c r="D1860" s="306" t="str">
        <f>IF(B1860=Stats!$E$6,Stats!$E$11,"")</f>
        <v/>
      </c>
    </row>
    <row r="1861" spans="1:4" hidden="1" x14ac:dyDescent="0.25">
      <c r="A1861" s="32" t="s">
        <v>2585</v>
      </c>
      <c r="B1861" s="306" t="str">
        <f>IF((COUNTBLANK(G1861)=0),Stats!$E$7,IF((COUNTBLANK(E1861)=0),IF((COUNTBLANK(F1861)=0),IF((COUNTBLANK(U1861)=0),Stats!$E$6,Stats!$E$5),Stats!$E$4),""))</f>
        <v/>
      </c>
      <c r="C1861" s="41"/>
      <c r="D1861" s="306" t="str">
        <f>IF(B1861=Stats!$E$6,Stats!$E$11,"")</f>
        <v/>
      </c>
    </row>
    <row r="1862" spans="1:4" hidden="1" x14ac:dyDescent="0.25">
      <c r="A1862" s="32" t="s">
        <v>2586</v>
      </c>
      <c r="B1862" s="306" t="str">
        <f>IF((COUNTBLANK(G1862)=0),Stats!$E$7,IF((COUNTBLANK(E1862)=0),IF((COUNTBLANK(F1862)=0),IF((COUNTBLANK(U1862)=0),Stats!$E$6,Stats!$E$5),Stats!$E$4),""))</f>
        <v/>
      </c>
      <c r="C1862" s="41"/>
      <c r="D1862" s="306" t="str">
        <f>IF(B1862=Stats!$E$6,Stats!$E$11,"")</f>
        <v/>
      </c>
    </row>
    <row r="1863" spans="1:4" hidden="1" x14ac:dyDescent="0.25">
      <c r="A1863" s="32" t="s">
        <v>2587</v>
      </c>
      <c r="B1863" s="306" t="str">
        <f>IF((COUNTBLANK(G1863)=0),Stats!$E$7,IF((COUNTBLANK(E1863)=0),IF((COUNTBLANK(F1863)=0),IF((COUNTBLANK(U1863)=0),Stats!$E$6,Stats!$E$5),Stats!$E$4),""))</f>
        <v/>
      </c>
      <c r="C1863" s="41"/>
      <c r="D1863" s="306" t="str">
        <f>IF(B1863=Stats!$E$6,Stats!$E$11,"")</f>
        <v/>
      </c>
    </row>
    <row r="1864" spans="1:4" hidden="1" x14ac:dyDescent="0.25">
      <c r="A1864" s="32" t="s">
        <v>2588</v>
      </c>
      <c r="B1864" s="306" t="str">
        <f>IF((COUNTBLANK(G1864)=0),Stats!$E$7,IF((COUNTBLANK(E1864)=0),IF((COUNTBLANK(F1864)=0),IF((COUNTBLANK(U1864)=0),Stats!$E$6,Stats!$E$5),Stats!$E$4),""))</f>
        <v/>
      </c>
      <c r="C1864" s="41"/>
      <c r="D1864" s="306" t="str">
        <f>IF(B1864=Stats!$E$6,Stats!$E$11,"")</f>
        <v/>
      </c>
    </row>
    <row r="1865" spans="1:4" hidden="1" x14ac:dyDescent="0.25">
      <c r="A1865" s="32" t="s">
        <v>2589</v>
      </c>
      <c r="B1865" s="306" t="str">
        <f>IF((COUNTBLANK(G1865)=0),Stats!$E$7,IF((COUNTBLANK(E1865)=0),IF((COUNTBLANK(F1865)=0),IF((COUNTBLANK(U1865)=0),Stats!$E$6,Stats!$E$5),Stats!$E$4),""))</f>
        <v/>
      </c>
      <c r="C1865" s="41"/>
      <c r="D1865" s="306" t="str">
        <f>IF(B1865=Stats!$E$6,Stats!$E$11,"")</f>
        <v/>
      </c>
    </row>
    <row r="1866" spans="1:4" hidden="1" x14ac:dyDescent="0.25">
      <c r="A1866" s="32" t="s">
        <v>2590</v>
      </c>
      <c r="B1866" s="306" t="str">
        <f>IF((COUNTBLANK(G1866)=0),Stats!$E$7,IF((COUNTBLANK(E1866)=0),IF((COUNTBLANK(F1866)=0),IF((COUNTBLANK(U1866)=0),Stats!$E$6,Stats!$E$5),Stats!$E$4),""))</f>
        <v/>
      </c>
      <c r="C1866" s="41"/>
      <c r="D1866" s="306" t="str">
        <f>IF(B1866=Stats!$E$6,Stats!$E$11,"")</f>
        <v/>
      </c>
    </row>
    <row r="1867" spans="1:4" hidden="1" x14ac:dyDescent="0.25">
      <c r="A1867" s="32" t="s">
        <v>2591</v>
      </c>
      <c r="B1867" s="306" t="str">
        <f>IF((COUNTBLANK(G1867)=0),Stats!$E$7,IF((COUNTBLANK(E1867)=0),IF((COUNTBLANK(F1867)=0),IF((COUNTBLANK(U1867)=0),Stats!$E$6,Stats!$E$5),Stats!$E$4),""))</f>
        <v/>
      </c>
      <c r="C1867" s="41"/>
      <c r="D1867" s="306" t="str">
        <f>IF(B1867=Stats!$E$6,Stats!$E$11,"")</f>
        <v/>
      </c>
    </row>
    <row r="1868" spans="1:4" hidden="1" x14ac:dyDescent="0.25">
      <c r="A1868" s="32" t="s">
        <v>2592</v>
      </c>
      <c r="B1868" s="306" t="str">
        <f>IF((COUNTBLANK(G1868)=0),Stats!$E$7,IF((COUNTBLANK(E1868)=0),IF((COUNTBLANK(F1868)=0),IF((COUNTBLANK(U1868)=0),Stats!$E$6,Stats!$E$5),Stats!$E$4),""))</f>
        <v/>
      </c>
      <c r="C1868" s="41"/>
      <c r="D1868" s="306" t="str">
        <f>IF(B1868=Stats!$E$6,Stats!$E$11,"")</f>
        <v/>
      </c>
    </row>
    <row r="1869" spans="1:4" hidden="1" x14ac:dyDescent="0.25">
      <c r="A1869" s="32" t="s">
        <v>2593</v>
      </c>
      <c r="B1869" s="306" t="str">
        <f>IF((COUNTBLANK(G1869)=0),Stats!$E$7,IF((COUNTBLANK(E1869)=0),IF((COUNTBLANK(F1869)=0),IF((COUNTBLANK(U1869)=0),Stats!$E$6,Stats!$E$5),Stats!$E$4),""))</f>
        <v/>
      </c>
      <c r="C1869" s="41"/>
      <c r="D1869" s="306" t="str">
        <f>IF(B1869=Stats!$E$6,Stats!$E$11,"")</f>
        <v/>
      </c>
    </row>
    <row r="1870" spans="1:4" hidden="1" x14ac:dyDescent="0.25">
      <c r="A1870" s="32" t="s">
        <v>2594</v>
      </c>
      <c r="B1870" s="306" t="str">
        <f>IF((COUNTBLANK(G1870)=0),Stats!$E$7,IF((COUNTBLANK(E1870)=0),IF((COUNTBLANK(F1870)=0),IF((COUNTBLANK(U1870)=0),Stats!$E$6,Stats!$E$5),Stats!$E$4),""))</f>
        <v/>
      </c>
      <c r="C1870" s="41"/>
      <c r="D1870" s="306" t="str">
        <f>IF(B1870=Stats!$E$6,Stats!$E$11,"")</f>
        <v/>
      </c>
    </row>
    <row r="1871" spans="1:4" hidden="1" x14ac:dyDescent="0.25">
      <c r="A1871" s="32" t="s">
        <v>2595</v>
      </c>
      <c r="B1871" s="306" t="str">
        <f>IF((COUNTBLANK(G1871)=0),Stats!$E$7,IF((COUNTBLANK(E1871)=0),IF((COUNTBLANK(F1871)=0),IF((COUNTBLANK(U1871)=0),Stats!$E$6,Stats!$E$5),Stats!$E$4),""))</f>
        <v/>
      </c>
      <c r="C1871" s="41"/>
      <c r="D1871" s="306" t="str">
        <f>IF(B1871=Stats!$E$6,Stats!$E$11,"")</f>
        <v/>
      </c>
    </row>
    <row r="1872" spans="1:4" hidden="1" x14ac:dyDescent="0.25">
      <c r="A1872" s="32" t="s">
        <v>2596</v>
      </c>
      <c r="B1872" s="306" t="str">
        <f>IF((COUNTBLANK(G1872)=0),Stats!$E$7,IF((COUNTBLANK(E1872)=0),IF((COUNTBLANK(F1872)=0),IF((COUNTBLANK(U1872)=0),Stats!$E$6,Stats!$E$5),Stats!$E$4),""))</f>
        <v/>
      </c>
      <c r="C1872" s="41"/>
      <c r="D1872" s="306" t="str">
        <f>IF(B1872=Stats!$E$6,Stats!$E$11,"")</f>
        <v/>
      </c>
    </row>
    <row r="1873" spans="1:4" hidden="1" x14ac:dyDescent="0.25">
      <c r="A1873" s="32" t="s">
        <v>2597</v>
      </c>
      <c r="B1873" s="306" t="str">
        <f>IF((COUNTBLANK(G1873)=0),Stats!$E$7,IF((COUNTBLANK(E1873)=0),IF((COUNTBLANK(F1873)=0),IF((COUNTBLANK(U1873)=0),Stats!$E$6,Stats!$E$5),Stats!$E$4),""))</f>
        <v/>
      </c>
      <c r="C1873" s="41"/>
      <c r="D1873" s="306" t="str">
        <f>IF(B1873=Stats!$E$6,Stats!$E$11,"")</f>
        <v/>
      </c>
    </row>
    <row r="1874" spans="1:4" hidden="1" x14ac:dyDescent="0.25">
      <c r="A1874" s="32" t="s">
        <v>2598</v>
      </c>
      <c r="B1874" s="306" t="str">
        <f>IF((COUNTBLANK(G1874)=0),Stats!$E$7,IF((COUNTBLANK(E1874)=0),IF((COUNTBLANK(F1874)=0),IF((COUNTBLANK(U1874)=0),Stats!$E$6,Stats!$E$5),Stats!$E$4),""))</f>
        <v/>
      </c>
      <c r="C1874" s="41"/>
      <c r="D1874" s="306" t="str">
        <f>IF(B1874=Stats!$E$6,Stats!$E$11,"")</f>
        <v/>
      </c>
    </row>
    <row r="1875" spans="1:4" hidden="1" x14ac:dyDescent="0.25">
      <c r="A1875" s="32" t="s">
        <v>2599</v>
      </c>
      <c r="B1875" s="306" t="str">
        <f>IF((COUNTBLANK(G1875)=0),Stats!$E$7,IF((COUNTBLANK(E1875)=0),IF((COUNTBLANK(F1875)=0),IF((COUNTBLANK(U1875)=0),Stats!$E$6,Stats!$E$5),Stats!$E$4),""))</f>
        <v/>
      </c>
      <c r="C1875" s="41"/>
      <c r="D1875" s="306" t="str">
        <f>IF(B1875=Stats!$E$6,Stats!$E$11,"")</f>
        <v/>
      </c>
    </row>
    <row r="1876" spans="1:4" hidden="1" x14ac:dyDescent="0.25">
      <c r="A1876" s="32" t="s">
        <v>2600</v>
      </c>
      <c r="B1876" s="306" t="str">
        <f>IF((COUNTBLANK(G1876)=0),Stats!$E$7,IF((COUNTBLANK(E1876)=0),IF((COUNTBLANK(F1876)=0),IF((COUNTBLANK(U1876)=0),Stats!$E$6,Stats!$E$5),Stats!$E$4),""))</f>
        <v/>
      </c>
      <c r="C1876" s="41"/>
      <c r="D1876" s="306" t="str">
        <f>IF(B1876=Stats!$E$6,Stats!$E$11,"")</f>
        <v/>
      </c>
    </row>
    <row r="1877" spans="1:4" hidden="1" x14ac:dyDescent="0.25">
      <c r="A1877" s="32" t="s">
        <v>2601</v>
      </c>
      <c r="B1877" s="306" t="str">
        <f>IF((COUNTBLANK(G1877)=0),Stats!$E$7,IF((COUNTBLANK(E1877)=0),IF((COUNTBLANK(F1877)=0),IF((COUNTBLANK(U1877)=0),Stats!$E$6,Stats!$E$5),Stats!$E$4),""))</f>
        <v/>
      </c>
      <c r="C1877" s="41"/>
      <c r="D1877" s="306" t="str">
        <f>IF(B1877=Stats!$E$6,Stats!$E$11,"")</f>
        <v/>
      </c>
    </row>
    <row r="1878" spans="1:4" hidden="1" x14ac:dyDescent="0.25">
      <c r="A1878" s="32" t="s">
        <v>2602</v>
      </c>
      <c r="B1878" s="306" t="str">
        <f>IF((COUNTBLANK(G1878)=0),Stats!$E$7,IF((COUNTBLANK(E1878)=0),IF((COUNTBLANK(F1878)=0),IF((COUNTBLANK(U1878)=0),Stats!$E$6,Stats!$E$5),Stats!$E$4),""))</f>
        <v/>
      </c>
      <c r="C1878" s="41"/>
      <c r="D1878" s="306" t="str">
        <f>IF(B1878=Stats!$E$6,Stats!$E$11,"")</f>
        <v/>
      </c>
    </row>
    <row r="1879" spans="1:4" hidden="1" x14ac:dyDescent="0.25">
      <c r="A1879" s="32" t="s">
        <v>2603</v>
      </c>
      <c r="B1879" s="306" t="str">
        <f>IF((COUNTBLANK(G1879)=0),Stats!$E$7,IF((COUNTBLANK(E1879)=0),IF((COUNTBLANK(F1879)=0),IF((COUNTBLANK(U1879)=0),Stats!$E$6,Stats!$E$5),Stats!$E$4),""))</f>
        <v/>
      </c>
      <c r="C1879" s="41"/>
      <c r="D1879" s="306" t="str">
        <f>IF(B1879=Stats!$E$6,Stats!$E$11,"")</f>
        <v/>
      </c>
    </row>
    <row r="1880" spans="1:4" hidden="1" x14ac:dyDescent="0.25">
      <c r="A1880" s="32" t="s">
        <v>2604</v>
      </c>
      <c r="B1880" s="306" t="str">
        <f>IF((COUNTBLANK(G1880)=0),Stats!$E$7,IF((COUNTBLANK(E1880)=0),IF((COUNTBLANK(F1880)=0),IF((COUNTBLANK(U1880)=0),Stats!$E$6,Stats!$E$5),Stats!$E$4),""))</f>
        <v/>
      </c>
      <c r="C1880" s="41"/>
      <c r="D1880" s="306" t="str">
        <f>IF(B1880=Stats!$E$6,Stats!$E$11,"")</f>
        <v/>
      </c>
    </row>
    <row r="1881" spans="1:4" hidden="1" x14ac:dyDescent="0.25">
      <c r="A1881" s="32" t="s">
        <v>2605</v>
      </c>
      <c r="B1881" s="306" t="str">
        <f>IF((COUNTBLANK(G1881)=0),Stats!$E$7,IF((COUNTBLANK(E1881)=0),IF((COUNTBLANK(F1881)=0),IF((COUNTBLANK(U1881)=0),Stats!$E$6,Stats!$E$5),Stats!$E$4),""))</f>
        <v/>
      </c>
      <c r="C1881" s="41"/>
      <c r="D1881" s="306" t="str">
        <f>IF(B1881=Stats!$E$6,Stats!$E$11,"")</f>
        <v/>
      </c>
    </row>
    <row r="1882" spans="1:4" hidden="1" x14ac:dyDescent="0.25">
      <c r="A1882" s="32" t="s">
        <v>2606</v>
      </c>
      <c r="B1882" s="306" t="str">
        <f>IF((COUNTBLANK(G1882)=0),Stats!$E$7,IF((COUNTBLANK(E1882)=0),IF((COUNTBLANK(F1882)=0),IF((COUNTBLANK(U1882)=0),Stats!$E$6,Stats!$E$5),Stats!$E$4),""))</f>
        <v/>
      </c>
      <c r="C1882" s="41"/>
      <c r="D1882" s="306" t="str">
        <f>IF(B1882=Stats!$E$6,Stats!$E$11,"")</f>
        <v/>
      </c>
    </row>
    <row r="1883" spans="1:4" hidden="1" x14ac:dyDescent="0.25">
      <c r="A1883" s="32" t="s">
        <v>2607</v>
      </c>
      <c r="B1883" s="306" t="str">
        <f>IF((COUNTBLANK(G1883)=0),Stats!$E$7,IF((COUNTBLANK(E1883)=0),IF((COUNTBLANK(F1883)=0),IF((COUNTBLANK(U1883)=0),Stats!$E$6,Stats!$E$5),Stats!$E$4),""))</f>
        <v/>
      </c>
      <c r="C1883" s="41"/>
      <c r="D1883" s="306" t="str">
        <f>IF(B1883=Stats!$E$6,Stats!$E$11,"")</f>
        <v/>
      </c>
    </row>
    <row r="1884" spans="1:4" hidden="1" x14ac:dyDescent="0.25">
      <c r="A1884" s="32" t="s">
        <v>2608</v>
      </c>
      <c r="B1884" s="306" t="str">
        <f>IF((COUNTBLANK(G1884)=0),Stats!$E$7,IF((COUNTBLANK(E1884)=0),IF((COUNTBLANK(F1884)=0),IF((COUNTBLANK(U1884)=0),Stats!$E$6,Stats!$E$5),Stats!$E$4),""))</f>
        <v/>
      </c>
      <c r="C1884" s="41"/>
      <c r="D1884" s="306" t="str">
        <f>IF(B1884=Stats!$E$6,Stats!$E$11,"")</f>
        <v/>
      </c>
    </row>
    <row r="1885" spans="1:4" hidden="1" x14ac:dyDescent="0.25">
      <c r="A1885" s="32" t="s">
        <v>2609</v>
      </c>
      <c r="B1885" s="306" t="str">
        <f>IF((COUNTBLANK(G1885)=0),Stats!$E$7,IF((COUNTBLANK(E1885)=0),IF((COUNTBLANK(F1885)=0),IF((COUNTBLANK(U1885)=0),Stats!$E$6,Stats!$E$5),Stats!$E$4),""))</f>
        <v/>
      </c>
      <c r="C1885" s="41"/>
      <c r="D1885" s="306" t="str">
        <f>IF(B1885=Stats!$E$6,Stats!$E$11,"")</f>
        <v/>
      </c>
    </row>
    <row r="1886" spans="1:4" hidden="1" x14ac:dyDescent="0.25">
      <c r="A1886" s="32" t="s">
        <v>2610</v>
      </c>
      <c r="B1886" s="306" t="str">
        <f>IF((COUNTBLANK(G1886)=0),Stats!$E$7,IF((COUNTBLANK(E1886)=0),IF((COUNTBLANK(F1886)=0),IF((COUNTBLANK(U1886)=0),Stats!$E$6,Stats!$E$5),Stats!$E$4),""))</f>
        <v/>
      </c>
      <c r="C1886" s="41"/>
      <c r="D1886" s="306" t="str">
        <f>IF(B1886=Stats!$E$6,Stats!$E$11,"")</f>
        <v/>
      </c>
    </row>
    <row r="1887" spans="1:4" hidden="1" x14ac:dyDescent="0.25">
      <c r="A1887" s="32" t="s">
        <v>2611</v>
      </c>
      <c r="B1887" s="306" t="str">
        <f>IF((COUNTBLANK(G1887)=0),Stats!$E$7,IF((COUNTBLANK(E1887)=0),IF((COUNTBLANK(F1887)=0),IF((COUNTBLANK(U1887)=0),Stats!$E$6,Stats!$E$5),Stats!$E$4),""))</f>
        <v/>
      </c>
      <c r="C1887" s="41"/>
      <c r="D1887" s="306" t="str">
        <f>IF(B1887=Stats!$E$6,Stats!$E$11,"")</f>
        <v/>
      </c>
    </row>
    <row r="1888" spans="1:4" hidden="1" x14ac:dyDescent="0.25">
      <c r="A1888" s="32" t="s">
        <v>2612</v>
      </c>
      <c r="B1888" s="306" t="str">
        <f>IF((COUNTBLANK(G1888)=0),Stats!$E$7,IF((COUNTBLANK(E1888)=0),IF((COUNTBLANK(F1888)=0),IF((COUNTBLANK(U1888)=0),Stats!$E$6,Stats!$E$5),Stats!$E$4),""))</f>
        <v/>
      </c>
      <c r="C1888" s="41"/>
      <c r="D1888" s="306" t="str">
        <f>IF(B1888=Stats!$E$6,Stats!$E$11,"")</f>
        <v/>
      </c>
    </row>
    <row r="1889" spans="1:4" hidden="1" x14ac:dyDescent="0.25">
      <c r="A1889" s="32" t="s">
        <v>2613</v>
      </c>
      <c r="B1889" s="306" t="str">
        <f>IF((COUNTBLANK(G1889)=0),Stats!$E$7,IF((COUNTBLANK(E1889)=0),IF((COUNTBLANK(F1889)=0),IF((COUNTBLANK(U1889)=0),Stats!$E$6,Stats!$E$5),Stats!$E$4),""))</f>
        <v/>
      </c>
      <c r="C1889" s="41"/>
      <c r="D1889" s="306" t="str">
        <f>IF(B1889=Stats!$E$6,Stats!$E$11,"")</f>
        <v/>
      </c>
    </row>
    <row r="1890" spans="1:4" hidden="1" x14ac:dyDescent="0.25">
      <c r="A1890" s="32" t="s">
        <v>2614</v>
      </c>
      <c r="B1890" s="306" t="str">
        <f>IF((COUNTBLANK(G1890)=0),Stats!$E$7,IF((COUNTBLANK(E1890)=0),IF((COUNTBLANK(F1890)=0),IF((COUNTBLANK(U1890)=0),Stats!$E$6,Stats!$E$5),Stats!$E$4),""))</f>
        <v/>
      </c>
      <c r="C1890" s="41"/>
      <c r="D1890" s="306" t="str">
        <f>IF(B1890=Stats!$E$6,Stats!$E$11,"")</f>
        <v/>
      </c>
    </row>
    <row r="1891" spans="1:4" hidden="1" x14ac:dyDescent="0.25">
      <c r="A1891" s="32" t="s">
        <v>2615</v>
      </c>
      <c r="B1891" s="306" t="str">
        <f>IF((COUNTBLANK(G1891)=0),Stats!$E$7,IF((COUNTBLANK(E1891)=0),IF((COUNTBLANK(F1891)=0),IF((COUNTBLANK(U1891)=0),Stats!$E$6,Stats!$E$5),Stats!$E$4),""))</f>
        <v/>
      </c>
      <c r="C1891" s="41"/>
      <c r="D1891" s="306" t="str">
        <f>IF(B1891=Stats!$E$6,Stats!$E$11,"")</f>
        <v/>
      </c>
    </row>
    <row r="1892" spans="1:4" hidden="1" x14ac:dyDescent="0.25">
      <c r="A1892" s="32" t="s">
        <v>2616</v>
      </c>
      <c r="B1892" s="306" t="str">
        <f>IF((COUNTBLANK(G1892)=0),Stats!$E$7,IF((COUNTBLANK(E1892)=0),IF((COUNTBLANK(F1892)=0),IF((COUNTBLANK(U1892)=0),Stats!$E$6,Stats!$E$5),Stats!$E$4),""))</f>
        <v/>
      </c>
      <c r="C1892" s="41"/>
      <c r="D1892" s="306" t="str">
        <f>IF(B1892=Stats!$E$6,Stats!$E$11,"")</f>
        <v/>
      </c>
    </row>
    <row r="1893" spans="1:4" hidden="1" x14ac:dyDescent="0.25">
      <c r="A1893" s="32" t="s">
        <v>2617</v>
      </c>
      <c r="B1893" s="306" t="str">
        <f>IF((COUNTBLANK(G1893)=0),Stats!$E$7,IF((COUNTBLANK(E1893)=0),IF((COUNTBLANK(F1893)=0),IF((COUNTBLANK(U1893)=0),Stats!$E$6,Stats!$E$5),Stats!$E$4),""))</f>
        <v/>
      </c>
      <c r="C1893" s="41"/>
      <c r="D1893" s="306" t="str">
        <f>IF(B1893=Stats!$E$6,Stats!$E$11,"")</f>
        <v/>
      </c>
    </row>
    <row r="1894" spans="1:4" hidden="1" x14ac:dyDescent="0.25">
      <c r="A1894" s="32" t="s">
        <v>2618</v>
      </c>
      <c r="B1894" s="306" t="str">
        <f>IF((COUNTBLANK(G1894)=0),Stats!$E$7,IF((COUNTBLANK(E1894)=0),IF((COUNTBLANK(F1894)=0),IF((COUNTBLANK(U1894)=0),Stats!$E$6,Stats!$E$5),Stats!$E$4),""))</f>
        <v/>
      </c>
      <c r="C1894" s="41"/>
      <c r="D1894" s="306" t="str">
        <f>IF(B1894=Stats!$E$6,Stats!$E$11,"")</f>
        <v/>
      </c>
    </row>
    <row r="1895" spans="1:4" hidden="1" x14ac:dyDescent="0.25">
      <c r="A1895" s="32" t="s">
        <v>2619</v>
      </c>
      <c r="B1895" s="306" t="str">
        <f>IF((COUNTBLANK(G1895)=0),Stats!$E$7,IF((COUNTBLANK(E1895)=0),IF((COUNTBLANK(F1895)=0),IF((COUNTBLANK(U1895)=0),Stats!$E$6,Stats!$E$5),Stats!$E$4),""))</f>
        <v/>
      </c>
      <c r="C1895" s="41"/>
      <c r="D1895" s="306" t="str">
        <f>IF(B1895=Stats!$E$6,Stats!$E$11,"")</f>
        <v/>
      </c>
    </row>
    <row r="1896" spans="1:4" hidden="1" x14ac:dyDescent="0.25">
      <c r="A1896" s="32" t="s">
        <v>2620</v>
      </c>
      <c r="B1896" s="306" t="str">
        <f>IF((COUNTBLANK(G1896)=0),Stats!$E$7,IF((COUNTBLANK(E1896)=0),IF((COUNTBLANK(F1896)=0),IF((COUNTBLANK(U1896)=0),Stats!$E$6,Stats!$E$5),Stats!$E$4),""))</f>
        <v/>
      </c>
      <c r="C1896" s="41"/>
      <c r="D1896" s="306" t="str">
        <f>IF(B1896=Stats!$E$6,Stats!$E$11,"")</f>
        <v/>
      </c>
    </row>
    <row r="1897" spans="1:4" hidden="1" x14ac:dyDescent="0.25">
      <c r="A1897" s="32" t="s">
        <v>2621</v>
      </c>
      <c r="B1897" s="306" t="str">
        <f>IF((COUNTBLANK(G1897)=0),Stats!$E$7,IF((COUNTBLANK(E1897)=0),IF((COUNTBLANK(F1897)=0),IF((COUNTBLANK(U1897)=0),Stats!$E$6,Stats!$E$5),Stats!$E$4),""))</f>
        <v/>
      </c>
      <c r="C1897" s="41"/>
      <c r="D1897" s="306" t="str">
        <f>IF(B1897=Stats!$E$6,Stats!$E$11,"")</f>
        <v/>
      </c>
    </row>
    <row r="1898" spans="1:4" hidden="1" x14ac:dyDescent="0.25">
      <c r="A1898" s="32" t="s">
        <v>2622</v>
      </c>
      <c r="B1898" s="306" t="str">
        <f>IF((COUNTBLANK(G1898)=0),Stats!$E$7,IF((COUNTBLANK(E1898)=0),IF((COUNTBLANK(F1898)=0),IF((COUNTBLANK(U1898)=0),Stats!$E$6,Stats!$E$5),Stats!$E$4),""))</f>
        <v/>
      </c>
      <c r="C1898" s="41"/>
      <c r="D1898" s="306" t="str">
        <f>IF(B1898=Stats!$E$6,Stats!$E$11,"")</f>
        <v/>
      </c>
    </row>
    <row r="1899" spans="1:4" hidden="1" x14ac:dyDescent="0.25">
      <c r="A1899" s="32" t="s">
        <v>2623</v>
      </c>
      <c r="B1899" s="306" t="str">
        <f>IF((COUNTBLANK(G1899)=0),Stats!$E$7,IF((COUNTBLANK(E1899)=0),IF((COUNTBLANK(F1899)=0),IF((COUNTBLANK(U1899)=0),Stats!$E$6,Stats!$E$5),Stats!$E$4),""))</f>
        <v/>
      </c>
      <c r="C1899" s="41"/>
      <c r="D1899" s="306" t="str">
        <f>IF(B1899=Stats!$E$6,Stats!$E$11,"")</f>
        <v/>
      </c>
    </row>
    <row r="1900" spans="1:4" hidden="1" x14ac:dyDescent="0.25">
      <c r="A1900" s="32" t="s">
        <v>2624</v>
      </c>
      <c r="B1900" s="306" t="str">
        <f>IF((COUNTBLANK(G1900)=0),Stats!$E$7,IF((COUNTBLANK(E1900)=0),IF((COUNTBLANK(F1900)=0),IF((COUNTBLANK(U1900)=0),Stats!$E$6,Stats!$E$5),Stats!$E$4),""))</f>
        <v/>
      </c>
      <c r="C1900" s="41"/>
      <c r="D1900" s="306" t="str">
        <f>IF(B1900=Stats!$E$6,Stats!$E$11,"")</f>
        <v/>
      </c>
    </row>
    <row r="1901" spans="1:4" hidden="1" x14ac:dyDescent="0.25">
      <c r="A1901" s="32" t="s">
        <v>2625</v>
      </c>
      <c r="B1901" s="306" t="str">
        <f>IF((COUNTBLANK(G1901)=0),Stats!$E$7,IF((COUNTBLANK(E1901)=0),IF((COUNTBLANK(F1901)=0),IF((COUNTBLANK(U1901)=0),Stats!$E$6,Stats!$E$5),Stats!$E$4),""))</f>
        <v/>
      </c>
      <c r="C1901" s="41"/>
      <c r="D1901" s="306" t="str">
        <f>IF(B1901=Stats!$E$6,Stats!$E$11,"")</f>
        <v/>
      </c>
    </row>
    <row r="1902" spans="1:4" hidden="1" x14ac:dyDescent="0.25">
      <c r="A1902" s="32" t="s">
        <v>2626</v>
      </c>
      <c r="B1902" s="306" t="str">
        <f>IF((COUNTBLANK(G1902)=0),Stats!$E$7,IF((COUNTBLANK(E1902)=0),IF((COUNTBLANK(F1902)=0),IF((COUNTBLANK(U1902)=0),Stats!$E$6,Stats!$E$5),Stats!$E$4),""))</f>
        <v/>
      </c>
      <c r="C1902" s="41"/>
      <c r="D1902" s="306" t="str">
        <f>IF(B1902=Stats!$E$6,Stats!$E$11,"")</f>
        <v/>
      </c>
    </row>
    <row r="1903" spans="1:4" hidden="1" x14ac:dyDescent="0.25">
      <c r="A1903" s="32" t="s">
        <v>2627</v>
      </c>
      <c r="B1903" s="306" t="str">
        <f>IF((COUNTBLANK(G1903)=0),Stats!$E$7,IF((COUNTBLANK(E1903)=0),IF((COUNTBLANK(F1903)=0),IF((COUNTBLANK(U1903)=0),Stats!$E$6,Stats!$E$5),Stats!$E$4),""))</f>
        <v/>
      </c>
      <c r="C1903" s="41"/>
      <c r="D1903" s="306" t="str">
        <f>IF(B1903=Stats!$E$6,Stats!$E$11,"")</f>
        <v/>
      </c>
    </row>
    <row r="1904" spans="1:4" hidden="1" x14ac:dyDescent="0.25">
      <c r="A1904" s="32" t="s">
        <v>2628</v>
      </c>
      <c r="B1904" s="306" t="str">
        <f>IF((COUNTBLANK(G1904)=0),Stats!$E$7,IF((COUNTBLANK(E1904)=0),IF((COUNTBLANK(F1904)=0),IF((COUNTBLANK(U1904)=0),Stats!$E$6,Stats!$E$5),Stats!$E$4),""))</f>
        <v/>
      </c>
      <c r="C1904" s="41"/>
      <c r="D1904" s="306" t="str">
        <f>IF(B1904=Stats!$E$6,Stats!$E$11,"")</f>
        <v/>
      </c>
    </row>
    <row r="1905" spans="1:4" hidden="1" x14ac:dyDescent="0.25">
      <c r="A1905" s="32" t="s">
        <v>2629</v>
      </c>
      <c r="B1905" s="306" t="str">
        <f>IF((COUNTBLANK(G1905)=0),Stats!$E$7,IF((COUNTBLANK(E1905)=0),IF((COUNTBLANK(F1905)=0),IF((COUNTBLANK(U1905)=0),Stats!$E$6,Stats!$E$5),Stats!$E$4),""))</f>
        <v/>
      </c>
      <c r="C1905" s="41"/>
      <c r="D1905" s="306" t="str">
        <f>IF(B1905=Stats!$E$6,Stats!$E$11,"")</f>
        <v/>
      </c>
    </row>
    <row r="1906" spans="1:4" hidden="1" x14ac:dyDescent="0.25">
      <c r="A1906" s="32" t="s">
        <v>2630</v>
      </c>
      <c r="B1906" s="306" t="str">
        <f>IF((COUNTBLANK(G1906)=0),Stats!$E$7,IF((COUNTBLANK(E1906)=0),IF((COUNTBLANK(F1906)=0),IF((COUNTBLANK(U1906)=0),Stats!$E$6,Stats!$E$5),Stats!$E$4),""))</f>
        <v/>
      </c>
      <c r="C1906" s="41"/>
      <c r="D1906" s="306" t="str">
        <f>IF(B1906=Stats!$E$6,Stats!$E$11,"")</f>
        <v/>
      </c>
    </row>
    <row r="1907" spans="1:4" hidden="1" x14ac:dyDescent="0.25">
      <c r="A1907" s="32" t="s">
        <v>2631</v>
      </c>
      <c r="B1907" s="306" t="str">
        <f>IF((COUNTBLANK(G1907)=0),Stats!$E$7,IF((COUNTBLANK(E1907)=0),IF((COUNTBLANK(F1907)=0),IF((COUNTBLANK(U1907)=0),Stats!$E$6,Stats!$E$5),Stats!$E$4),""))</f>
        <v/>
      </c>
      <c r="C1907" s="41"/>
      <c r="D1907" s="306" t="str">
        <f>IF(B1907=Stats!$E$6,Stats!$E$11,"")</f>
        <v/>
      </c>
    </row>
    <row r="1908" spans="1:4" hidden="1" x14ac:dyDescent="0.25">
      <c r="A1908" s="32" t="s">
        <v>2632</v>
      </c>
      <c r="B1908" s="306" t="str">
        <f>IF((COUNTBLANK(G1908)=0),Stats!$E$7,IF((COUNTBLANK(E1908)=0),IF((COUNTBLANK(F1908)=0),IF((COUNTBLANK(U1908)=0),Stats!$E$6,Stats!$E$5),Stats!$E$4),""))</f>
        <v/>
      </c>
      <c r="C1908" s="41"/>
      <c r="D1908" s="306" t="str">
        <f>IF(B1908=Stats!$E$6,Stats!$E$11,"")</f>
        <v/>
      </c>
    </row>
    <row r="1909" spans="1:4" hidden="1" x14ac:dyDescent="0.25">
      <c r="A1909" s="32" t="s">
        <v>2633</v>
      </c>
      <c r="B1909" s="306" t="str">
        <f>IF((COUNTBLANK(G1909)=0),Stats!$E$7,IF((COUNTBLANK(E1909)=0),IF((COUNTBLANK(F1909)=0),IF((COUNTBLANK(U1909)=0),Stats!$E$6,Stats!$E$5),Stats!$E$4),""))</f>
        <v/>
      </c>
      <c r="C1909" s="41"/>
      <c r="D1909" s="306" t="str">
        <f>IF(B1909=Stats!$E$6,Stats!$E$11,"")</f>
        <v/>
      </c>
    </row>
    <row r="1910" spans="1:4" hidden="1" x14ac:dyDescent="0.25">
      <c r="A1910" s="32" t="s">
        <v>2634</v>
      </c>
      <c r="B1910" s="306" t="str">
        <f>IF((COUNTBLANK(G1910)=0),Stats!$E$7,IF((COUNTBLANK(E1910)=0),IF((COUNTBLANK(F1910)=0),IF((COUNTBLANK(U1910)=0),Stats!$E$6,Stats!$E$5),Stats!$E$4),""))</f>
        <v/>
      </c>
      <c r="C1910" s="41"/>
      <c r="D1910" s="306" t="str">
        <f>IF(B1910=Stats!$E$6,Stats!$E$11,"")</f>
        <v/>
      </c>
    </row>
    <row r="1911" spans="1:4" hidden="1" x14ac:dyDescent="0.25">
      <c r="A1911" s="32" t="s">
        <v>2635</v>
      </c>
      <c r="B1911" s="306" t="str">
        <f>IF((COUNTBLANK(G1911)=0),Stats!$E$7,IF((COUNTBLANK(E1911)=0),IF((COUNTBLANK(F1911)=0),IF((COUNTBLANK(U1911)=0),Stats!$E$6,Stats!$E$5),Stats!$E$4),""))</f>
        <v/>
      </c>
      <c r="C1911" s="41"/>
      <c r="D1911" s="306" t="str">
        <f>IF(B1911=Stats!$E$6,Stats!$E$11,"")</f>
        <v/>
      </c>
    </row>
    <row r="1912" spans="1:4" hidden="1" x14ac:dyDescent="0.25">
      <c r="A1912" s="32" t="s">
        <v>2636</v>
      </c>
      <c r="B1912" s="306" t="str">
        <f>IF((COUNTBLANK(G1912)=0),Stats!$E$7,IF((COUNTBLANK(E1912)=0),IF((COUNTBLANK(F1912)=0),IF((COUNTBLANK(U1912)=0),Stats!$E$6,Stats!$E$5),Stats!$E$4),""))</f>
        <v/>
      </c>
      <c r="C1912" s="41"/>
      <c r="D1912" s="306" t="str">
        <f>IF(B1912=Stats!$E$6,Stats!$E$11,"")</f>
        <v/>
      </c>
    </row>
    <row r="1913" spans="1:4" hidden="1" x14ac:dyDescent="0.25">
      <c r="A1913" s="32" t="s">
        <v>2637</v>
      </c>
      <c r="B1913" s="306" t="str">
        <f>IF((COUNTBLANK(G1913)=0),Stats!$E$7,IF((COUNTBLANK(E1913)=0),IF((COUNTBLANK(F1913)=0),IF((COUNTBLANK(U1913)=0),Stats!$E$6,Stats!$E$5),Stats!$E$4),""))</f>
        <v/>
      </c>
      <c r="C1913" s="41"/>
      <c r="D1913" s="306" t="str">
        <f>IF(B1913=Stats!$E$6,Stats!$E$11,"")</f>
        <v/>
      </c>
    </row>
    <row r="1914" spans="1:4" hidden="1" x14ac:dyDescent="0.25">
      <c r="A1914" s="32" t="s">
        <v>2638</v>
      </c>
      <c r="B1914" s="306" t="str">
        <f>IF((COUNTBLANK(G1914)=0),Stats!$E$7,IF((COUNTBLANK(E1914)=0),IF((COUNTBLANK(F1914)=0),IF((COUNTBLANK(U1914)=0),Stats!$E$6,Stats!$E$5),Stats!$E$4),""))</f>
        <v/>
      </c>
      <c r="C1914" s="41"/>
      <c r="D1914" s="306" t="str">
        <f>IF(B1914=Stats!$E$6,Stats!$E$11,"")</f>
        <v/>
      </c>
    </row>
    <row r="1915" spans="1:4" hidden="1" x14ac:dyDescent="0.25">
      <c r="A1915" s="32" t="s">
        <v>2639</v>
      </c>
      <c r="B1915" s="306" t="str">
        <f>IF((COUNTBLANK(G1915)=0),Stats!$E$7,IF((COUNTBLANK(E1915)=0),IF((COUNTBLANK(F1915)=0),IF((COUNTBLANK(U1915)=0),Stats!$E$6,Stats!$E$5),Stats!$E$4),""))</f>
        <v/>
      </c>
      <c r="C1915" s="41"/>
      <c r="D1915" s="306" t="str">
        <f>IF(B1915=Stats!$E$6,Stats!$E$11,"")</f>
        <v/>
      </c>
    </row>
    <row r="1916" spans="1:4" hidden="1" x14ac:dyDescent="0.25">
      <c r="A1916" s="32" t="s">
        <v>2640</v>
      </c>
      <c r="B1916" s="306" t="str">
        <f>IF((COUNTBLANK(G1916)=0),Stats!$E$7,IF((COUNTBLANK(E1916)=0),IF((COUNTBLANK(F1916)=0),IF((COUNTBLANK(U1916)=0),Stats!$E$6,Stats!$E$5),Stats!$E$4),""))</f>
        <v/>
      </c>
      <c r="C1916" s="41"/>
      <c r="D1916" s="306" t="str">
        <f>IF(B1916=Stats!$E$6,Stats!$E$11,"")</f>
        <v/>
      </c>
    </row>
    <row r="1917" spans="1:4" hidden="1" x14ac:dyDescent="0.25">
      <c r="A1917" s="32" t="s">
        <v>2641</v>
      </c>
      <c r="B1917" s="306" t="str">
        <f>IF((COUNTBLANK(G1917)=0),Stats!$E$7,IF((COUNTBLANK(E1917)=0),IF((COUNTBLANK(F1917)=0),IF((COUNTBLANK(U1917)=0),Stats!$E$6,Stats!$E$5),Stats!$E$4),""))</f>
        <v/>
      </c>
      <c r="C1917" s="41"/>
      <c r="D1917" s="306" t="str">
        <f>IF(B1917=Stats!$E$6,Stats!$E$11,"")</f>
        <v/>
      </c>
    </row>
    <row r="1918" spans="1:4" hidden="1" x14ac:dyDescent="0.25">
      <c r="A1918" s="32" t="s">
        <v>2642</v>
      </c>
      <c r="B1918" s="306" t="str">
        <f>IF((COUNTBLANK(G1918)=0),Stats!$E$7,IF((COUNTBLANK(E1918)=0),IF((COUNTBLANK(F1918)=0),IF((COUNTBLANK(U1918)=0),Stats!$E$6,Stats!$E$5),Stats!$E$4),""))</f>
        <v/>
      </c>
      <c r="C1918" s="41"/>
      <c r="D1918" s="306" t="str">
        <f>IF(B1918=Stats!$E$6,Stats!$E$11,"")</f>
        <v/>
      </c>
    </row>
    <row r="1919" spans="1:4" hidden="1" x14ac:dyDescent="0.25">
      <c r="A1919" s="32" t="s">
        <v>2643</v>
      </c>
      <c r="B1919" s="306" t="str">
        <f>IF((COUNTBLANK(G1919)=0),Stats!$E$7,IF((COUNTBLANK(E1919)=0),IF((COUNTBLANK(F1919)=0),IF((COUNTBLANK(U1919)=0),Stats!$E$6,Stats!$E$5),Stats!$E$4),""))</f>
        <v/>
      </c>
      <c r="C1919" s="41"/>
      <c r="D1919" s="306" t="str">
        <f>IF(B1919=Stats!$E$6,Stats!$E$11,"")</f>
        <v/>
      </c>
    </row>
    <row r="1920" spans="1:4" hidden="1" x14ac:dyDescent="0.25">
      <c r="A1920" s="32" t="s">
        <v>2644</v>
      </c>
      <c r="B1920" s="306" t="str">
        <f>IF((COUNTBLANK(G1920)=0),Stats!$E$7,IF((COUNTBLANK(E1920)=0),IF((COUNTBLANK(F1920)=0),IF((COUNTBLANK(U1920)=0),Stats!$E$6,Stats!$E$5),Stats!$E$4),""))</f>
        <v/>
      </c>
      <c r="C1920" s="41"/>
      <c r="D1920" s="306" t="str">
        <f>IF(B1920=Stats!$E$6,Stats!$E$11,"")</f>
        <v/>
      </c>
    </row>
    <row r="1921" spans="1:4" hidden="1" x14ac:dyDescent="0.25">
      <c r="A1921" s="32" t="s">
        <v>2645</v>
      </c>
      <c r="B1921" s="306" t="str">
        <f>IF((COUNTBLANK(G1921)=0),Stats!$E$7,IF((COUNTBLANK(E1921)=0),IF((COUNTBLANK(F1921)=0),IF((COUNTBLANK(U1921)=0),Stats!$E$6,Stats!$E$5),Stats!$E$4),""))</f>
        <v/>
      </c>
      <c r="C1921" s="41"/>
      <c r="D1921" s="306" t="str">
        <f>IF(B1921=Stats!$E$6,Stats!$E$11,"")</f>
        <v/>
      </c>
    </row>
    <row r="1922" spans="1:4" hidden="1" x14ac:dyDescent="0.25">
      <c r="A1922" s="32" t="s">
        <v>2646</v>
      </c>
      <c r="B1922" s="306" t="str">
        <f>IF((COUNTBLANK(G1922)=0),Stats!$E$7,IF((COUNTBLANK(E1922)=0),IF((COUNTBLANK(F1922)=0),IF((COUNTBLANK(U1922)=0),Stats!$E$6,Stats!$E$5),Stats!$E$4),""))</f>
        <v/>
      </c>
      <c r="C1922" s="41"/>
      <c r="D1922" s="306" t="str">
        <f>IF(B1922=Stats!$E$6,Stats!$E$11,"")</f>
        <v/>
      </c>
    </row>
    <row r="1923" spans="1:4" hidden="1" x14ac:dyDescent="0.25">
      <c r="A1923" s="32" t="s">
        <v>2647</v>
      </c>
      <c r="B1923" s="306" t="str">
        <f>IF((COUNTBLANK(G1923)=0),Stats!$E$7,IF((COUNTBLANK(E1923)=0),IF((COUNTBLANK(F1923)=0),IF((COUNTBLANK(U1923)=0),Stats!$E$6,Stats!$E$5),Stats!$E$4),""))</f>
        <v/>
      </c>
      <c r="C1923" s="41"/>
      <c r="D1923" s="306" t="str">
        <f>IF(B1923=Stats!$E$6,Stats!$E$11,"")</f>
        <v/>
      </c>
    </row>
    <row r="1924" spans="1:4" hidden="1" x14ac:dyDescent="0.25">
      <c r="A1924" s="32" t="s">
        <v>2648</v>
      </c>
      <c r="B1924" s="306" t="str">
        <f>IF((COUNTBLANK(G1924)=0),Stats!$E$7,IF((COUNTBLANK(E1924)=0),IF((COUNTBLANK(F1924)=0),IF((COUNTBLANK(U1924)=0),Stats!$E$6,Stats!$E$5),Stats!$E$4),""))</f>
        <v/>
      </c>
      <c r="C1924" s="41"/>
      <c r="D1924" s="306" t="str">
        <f>IF(B1924=Stats!$E$6,Stats!$E$11,"")</f>
        <v/>
      </c>
    </row>
    <row r="1925" spans="1:4" hidden="1" x14ac:dyDescent="0.25">
      <c r="A1925" s="32" t="s">
        <v>2649</v>
      </c>
      <c r="B1925" s="306" t="str">
        <f>IF((COUNTBLANK(G1925)=0),Stats!$E$7,IF((COUNTBLANK(E1925)=0),IF((COUNTBLANK(F1925)=0),IF((COUNTBLANK(U1925)=0),Stats!$E$6,Stats!$E$5),Stats!$E$4),""))</f>
        <v/>
      </c>
      <c r="C1925" s="41"/>
      <c r="D1925" s="306" t="str">
        <f>IF(B1925=Stats!$E$6,Stats!$E$11,"")</f>
        <v/>
      </c>
    </row>
    <row r="1926" spans="1:4" hidden="1" x14ac:dyDescent="0.25">
      <c r="A1926" s="32" t="s">
        <v>2650</v>
      </c>
      <c r="B1926" s="306" t="str">
        <f>IF((COUNTBLANK(G1926)=0),Stats!$E$7,IF((COUNTBLANK(E1926)=0),IF((COUNTBLANK(F1926)=0),IF((COUNTBLANK(U1926)=0),Stats!$E$6,Stats!$E$5),Stats!$E$4),""))</f>
        <v/>
      </c>
      <c r="C1926" s="41"/>
      <c r="D1926" s="306" t="str">
        <f>IF(B1926=Stats!$E$6,Stats!$E$11,"")</f>
        <v/>
      </c>
    </row>
    <row r="1927" spans="1:4" hidden="1" x14ac:dyDescent="0.25">
      <c r="A1927" s="32" t="s">
        <v>2651</v>
      </c>
      <c r="B1927" s="306" t="str">
        <f>IF((COUNTBLANK(G1927)=0),Stats!$E$7,IF((COUNTBLANK(E1927)=0),IF((COUNTBLANK(F1927)=0),IF((COUNTBLANK(U1927)=0),Stats!$E$6,Stats!$E$5),Stats!$E$4),""))</f>
        <v/>
      </c>
      <c r="C1927" s="41"/>
      <c r="D1927" s="306" t="str">
        <f>IF(B1927=Stats!$E$6,Stats!$E$11,"")</f>
        <v/>
      </c>
    </row>
    <row r="1928" spans="1:4" hidden="1" x14ac:dyDescent="0.25">
      <c r="A1928" s="32" t="s">
        <v>2652</v>
      </c>
      <c r="B1928" s="306" t="str">
        <f>IF((COUNTBLANK(G1928)=0),Stats!$E$7,IF((COUNTBLANK(E1928)=0),IF((COUNTBLANK(F1928)=0),IF((COUNTBLANK(U1928)=0),Stats!$E$6,Stats!$E$5),Stats!$E$4),""))</f>
        <v/>
      </c>
      <c r="C1928" s="41"/>
      <c r="D1928" s="306" t="str">
        <f>IF(B1928=Stats!$E$6,Stats!$E$11,"")</f>
        <v/>
      </c>
    </row>
    <row r="1929" spans="1:4" hidden="1" x14ac:dyDescent="0.25">
      <c r="A1929" s="32" t="s">
        <v>2653</v>
      </c>
      <c r="B1929" s="306" t="str">
        <f>IF((COUNTBLANK(G1929)=0),Stats!$E$7,IF((COUNTBLANK(E1929)=0),IF((COUNTBLANK(F1929)=0),IF((COUNTBLANK(U1929)=0),Stats!$E$6,Stats!$E$5),Stats!$E$4),""))</f>
        <v/>
      </c>
      <c r="C1929" s="41"/>
      <c r="D1929" s="306" t="str">
        <f>IF(B1929=Stats!$E$6,Stats!$E$11,"")</f>
        <v/>
      </c>
    </row>
    <row r="1930" spans="1:4" hidden="1" x14ac:dyDescent="0.25">
      <c r="A1930" s="32" t="s">
        <v>2654</v>
      </c>
      <c r="B1930" s="306" t="str">
        <f>IF((COUNTBLANK(G1930)=0),Stats!$E$7,IF((COUNTBLANK(E1930)=0),IF((COUNTBLANK(F1930)=0),IF((COUNTBLANK(U1930)=0),Stats!$E$6,Stats!$E$5),Stats!$E$4),""))</f>
        <v/>
      </c>
      <c r="C1930" s="41"/>
      <c r="D1930" s="306" t="str">
        <f>IF(B1930=Stats!$E$6,Stats!$E$11,"")</f>
        <v/>
      </c>
    </row>
    <row r="1931" spans="1:4" hidden="1" x14ac:dyDescent="0.25">
      <c r="A1931" s="32" t="s">
        <v>2655</v>
      </c>
      <c r="B1931" s="306" t="str">
        <f>IF((COUNTBLANK(G1931)=0),Stats!$E$7,IF((COUNTBLANK(E1931)=0),IF((COUNTBLANK(F1931)=0),IF((COUNTBLANK(U1931)=0),Stats!$E$6,Stats!$E$5),Stats!$E$4),""))</f>
        <v/>
      </c>
      <c r="C1931" s="41"/>
      <c r="D1931" s="306" t="str">
        <f>IF(B1931=Stats!$E$6,Stats!$E$11,"")</f>
        <v/>
      </c>
    </row>
    <row r="1932" spans="1:4" hidden="1" x14ac:dyDescent="0.25">
      <c r="A1932" s="32" t="s">
        <v>2656</v>
      </c>
      <c r="B1932" s="306" t="str">
        <f>IF((COUNTBLANK(G1932)=0),Stats!$E$7,IF((COUNTBLANK(E1932)=0),IF((COUNTBLANK(F1932)=0),IF((COUNTBLANK(U1932)=0),Stats!$E$6,Stats!$E$5),Stats!$E$4),""))</f>
        <v/>
      </c>
      <c r="C1932" s="41"/>
      <c r="D1932" s="306" t="str">
        <f>IF(B1932=Stats!$E$6,Stats!$E$11,"")</f>
        <v/>
      </c>
    </row>
    <row r="1933" spans="1:4" hidden="1" x14ac:dyDescent="0.25">
      <c r="A1933" s="32" t="s">
        <v>2657</v>
      </c>
      <c r="B1933" s="306" t="str">
        <f>IF((COUNTBLANK(G1933)=0),Stats!$E$7,IF((COUNTBLANK(E1933)=0),IF((COUNTBLANK(F1933)=0),IF((COUNTBLANK(U1933)=0),Stats!$E$6,Stats!$E$5),Stats!$E$4),""))</f>
        <v/>
      </c>
      <c r="C1933" s="41"/>
      <c r="D1933" s="306" t="str">
        <f>IF(B1933=Stats!$E$6,Stats!$E$11,"")</f>
        <v/>
      </c>
    </row>
    <row r="1934" spans="1:4" hidden="1" x14ac:dyDescent="0.25">
      <c r="A1934" s="32" t="s">
        <v>2658</v>
      </c>
      <c r="B1934" s="306" t="str">
        <f>IF((COUNTBLANK(G1934)=0),Stats!$E$7,IF((COUNTBLANK(E1934)=0),IF((COUNTBLANK(F1934)=0),IF((COUNTBLANK(U1934)=0),Stats!$E$6,Stats!$E$5),Stats!$E$4),""))</f>
        <v/>
      </c>
      <c r="C1934" s="41"/>
      <c r="D1934" s="306" t="str">
        <f>IF(B1934=Stats!$E$6,Stats!$E$11,"")</f>
        <v/>
      </c>
    </row>
    <row r="1935" spans="1:4" hidden="1" x14ac:dyDescent="0.25">
      <c r="A1935" s="32" t="s">
        <v>2659</v>
      </c>
      <c r="B1935" s="306" t="str">
        <f>IF((COUNTBLANK(G1935)=0),Stats!$E$7,IF((COUNTBLANK(E1935)=0),IF((COUNTBLANK(F1935)=0),IF((COUNTBLANK(U1935)=0),Stats!$E$6,Stats!$E$5),Stats!$E$4),""))</f>
        <v/>
      </c>
      <c r="C1935" s="41"/>
      <c r="D1935" s="306" t="str">
        <f>IF(B1935=Stats!$E$6,Stats!$E$11,"")</f>
        <v/>
      </c>
    </row>
    <row r="1936" spans="1:4" hidden="1" x14ac:dyDescent="0.25">
      <c r="A1936" s="32" t="s">
        <v>2660</v>
      </c>
      <c r="B1936" s="306" t="str">
        <f>IF((COUNTBLANK(G1936)=0),Stats!$E$7,IF((COUNTBLANK(E1936)=0),IF((COUNTBLANK(F1936)=0),IF((COUNTBLANK(U1936)=0),Stats!$E$6,Stats!$E$5),Stats!$E$4),""))</f>
        <v/>
      </c>
      <c r="C1936" s="41"/>
      <c r="D1936" s="306" t="str">
        <f>IF(B1936=Stats!$E$6,Stats!$E$11,"")</f>
        <v/>
      </c>
    </row>
    <row r="1937" spans="1:4" hidden="1" x14ac:dyDescent="0.25">
      <c r="A1937" s="32" t="s">
        <v>2661</v>
      </c>
      <c r="B1937" s="306" t="str">
        <f>IF((COUNTBLANK(G1937)=0),Stats!$E$7,IF((COUNTBLANK(E1937)=0),IF((COUNTBLANK(F1937)=0),IF((COUNTBLANK(U1937)=0),Stats!$E$6,Stats!$E$5),Stats!$E$4),""))</f>
        <v/>
      </c>
      <c r="C1937" s="41"/>
      <c r="D1937" s="306" t="str">
        <f>IF(B1937=Stats!$E$6,Stats!$E$11,"")</f>
        <v/>
      </c>
    </row>
    <row r="1938" spans="1:4" hidden="1" x14ac:dyDescent="0.25">
      <c r="A1938" s="32" t="s">
        <v>2662</v>
      </c>
      <c r="B1938" s="306" t="str">
        <f>IF((COUNTBLANK(G1938)=0),Stats!$E$7,IF((COUNTBLANK(E1938)=0),IF((COUNTBLANK(F1938)=0),IF((COUNTBLANK(U1938)=0),Stats!$E$6,Stats!$E$5),Stats!$E$4),""))</f>
        <v/>
      </c>
      <c r="C1938" s="41"/>
      <c r="D1938" s="306" t="str">
        <f>IF(B1938=Stats!$E$6,Stats!$E$11,"")</f>
        <v/>
      </c>
    </row>
    <row r="1939" spans="1:4" hidden="1" x14ac:dyDescent="0.25">
      <c r="A1939" s="32" t="s">
        <v>2663</v>
      </c>
      <c r="B1939" s="306" t="str">
        <f>IF((COUNTBLANK(G1939)=0),Stats!$E$7,IF((COUNTBLANK(E1939)=0),IF((COUNTBLANK(F1939)=0),IF((COUNTBLANK(U1939)=0),Stats!$E$6,Stats!$E$5),Stats!$E$4),""))</f>
        <v/>
      </c>
      <c r="C1939" s="41"/>
      <c r="D1939" s="306" t="str">
        <f>IF(B1939=Stats!$E$6,Stats!$E$11,"")</f>
        <v/>
      </c>
    </row>
    <row r="1940" spans="1:4" hidden="1" x14ac:dyDescent="0.25">
      <c r="A1940" s="32" t="s">
        <v>2664</v>
      </c>
      <c r="B1940" s="306" t="str">
        <f>IF((COUNTBLANK(G1940)=0),Stats!$E$7,IF((COUNTBLANK(E1940)=0),IF((COUNTBLANK(F1940)=0),IF((COUNTBLANK(U1940)=0),Stats!$E$6,Stats!$E$5),Stats!$E$4),""))</f>
        <v/>
      </c>
      <c r="C1940" s="41"/>
      <c r="D1940" s="306" t="str">
        <f>IF(B1940=Stats!$E$6,Stats!$E$11,"")</f>
        <v/>
      </c>
    </row>
    <row r="1941" spans="1:4" hidden="1" x14ac:dyDescent="0.25">
      <c r="A1941" s="32" t="s">
        <v>2665</v>
      </c>
      <c r="B1941" s="306" t="str">
        <f>IF((COUNTBLANK(G1941)=0),Stats!$E$7,IF((COUNTBLANK(E1941)=0),IF((COUNTBLANK(F1941)=0),IF((COUNTBLANK(U1941)=0),Stats!$E$6,Stats!$E$5),Stats!$E$4),""))</f>
        <v/>
      </c>
      <c r="C1941" s="41"/>
      <c r="D1941" s="306" t="str">
        <f>IF(B1941=Stats!$E$6,Stats!$E$11,"")</f>
        <v/>
      </c>
    </row>
    <row r="1942" spans="1:4" hidden="1" x14ac:dyDescent="0.25">
      <c r="A1942" s="32" t="s">
        <v>2666</v>
      </c>
      <c r="B1942" s="306" t="str">
        <f>IF((COUNTBLANK(G1942)=0),Stats!$E$7,IF((COUNTBLANK(E1942)=0),IF((COUNTBLANK(F1942)=0),IF((COUNTBLANK(U1942)=0),Stats!$E$6,Stats!$E$5),Stats!$E$4),""))</f>
        <v/>
      </c>
      <c r="C1942" s="41"/>
      <c r="D1942" s="306" t="str">
        <f>IF(B1942=Stats!$E$6,Stats!$E$11,"")</f>
        <v/>
      </c>
    </row>
    <row r="1943" spans="1:4" hidden="1" x14ac:dyDescent="0.25">
      <c r="A1943" s="32" t="s">
        <v>2667</v>
      </c>
      <c r="B1943" s="306" t="str">
        <f>IF((COUNTBLANK(G1943)=0),Stats!$E$7,IF((COUNTBLANK(E1943)=0),IF((COUNTBLANK(F1943)=0),IF((COUNTBLANK(U1943)=0),Stats!$E$6,Stats!$E$5),Stats!$E$4),""))</f>
        <v/>
      </c>
      <c r="C1943" s="41"/>
      <c r="D1943" s="306" t="str">
        <f>IF(B1943=Stats!$E$6,Stats!$E$11,"")</f>
        <v/>
      </c>
    </row>
    <row r="1944" spans="1:4" hidden="1" x14ac:dyDescent="0.25">
      <c r="A1944" s="32" t="s">
        <v>2668</v>
      </c>
      <c r="B1944" s="306" t="str">
        <f>IF((COUNTBLANK(G1944)=0),Stats!$E$7,IF((COUNTBLANK(E1944)=0),IF((COUNTBLANK(F1944)=0),IF((COUNTBLANK(U1944)=0),Stats!$E$6,Stats!$E$5),Stats!$E$4),""))</f>
        <v/>
      </c>
      <c r="C1944" s="41"/>
      <c r="D1944" s="306" t="str">
        <f>IF(B1944=Stats!$E$6,Stats!$E$11,"")</f>
        <v/>
      </c>
    </row>
    <row r="1945" spans="1:4" hidden="1" x14ac:dyDescent="0.25">
      <c r="A1945" s="32" t="s">
        <v>2669</v>
      </c>
      <c r="B1945" s="306" t="str">
        <f>IF((COUNTBLANK(G1945)=0),Stats!$E$7,IF((COUNTBLANK(E1945)=0),IF((COUNTBLANK(F1945)=0),IF((COUNTBLANK(U1945)=0),Stats!$E$6,Stats!$E$5),Stats!$E$4),""))</f>
        <v/>
      </c>
      <c r="C1945" s="41"/>
      <c r="D1945" s="306" t="str">
        <f>IF(B1945=Stats!$E$6,Stats!$E$11,"")</f>
        <v/>
      </c>
    </row>
    <row r="1946" spans="1:4" hidden="1" x14ac:dyDescent="0.25">
      <c r="A1946" s="32" t="s">
        <v>2670</v>
      </c>
      <c r="B1946" s="306" t="str">
        <f>IF((COUNTBLANK(G1946)=0),Stats!$E$7,IF((COUNTBLANK(E1946)=0),IF((COUNTBLANK(F1946)=0),IF((COUNTBLANK(U1946)=0),Stats!$E$6,Stats!$E$5),Stats!$E$4),""))</f>
        <v/>
      </c>
      <c r="C1946" s="41"/>
      <c r="D1946" s="306" t="str">
        <f>IF(B1946=Stats!$E$6,Stats!$E$11,"")</f>
        <v/>
      </c>
    </row>
    <row r="1947" spans="1:4" hidden="1" x14ac:dyDescent="0.25">
      <c r="A1947" s="32" t="s">
        <v>2671</v>
      </c>
      <c r="B1947" s="306" t="str">
        <f>IF((COUNTBLANK(G1947)=0),Stats!$E$7,IF((COUNTBLANK(E1947)=0),IF((COUNTBLANK(F1947)=0),IF((COUNTBLANK(U1947)=0),Stats!$E$6,Stats!$E$5),Stats!$E$4),""))</f>
        <v/>
      </c>
      <c r="C1947" s="41"/>
      <c r="D1947" s="306" t="str">
        <f>IF(B1947=Stats!$E$6,Stats!$E$11,"")</f>
        <v/>
      </c>
    </row>
    <row r="1948" spans="1:4" hidden="1" x14ac:dyDescent="0.25">
      <c r="A1948" s="32" t="s">
        <v>2672</v>
      </c>
      <c r="B1948" s="306" t="str">
        <f>IF((COUNTBLANK(G1948)=0),Stats!$E$7,IF((COUNTBLANK(E1948)=0),IF((COUNTBLANK(F1948)=0),IF((COUNTBLANK(U1948)=0),Stats!$E$6,Stats!$E$5),Stats!$E$4),""))</f>
        <v/>
      </c>
      <c r="C1948" s="41"/>
      <c r="D1948" s="306" t="str">
        <f>IF(B1948=Stats!$E$6,Stats!$E$11,"")</f>
        <v/>
      </c>
    </row>
    <row r="1949" spans="1:4" hidden="1" x14ac:dyDescent="0.25">
      <c r="A1949" s="32" t="s">
        <v>2673</v>
      </c>
      <c r="B1949" s="306" t="str">
        <f>IF((COUNTBLANK(G1949)=0),Stats!$E$7,IF((COUNTBLANK(E1949)=0),IF((COUNTBLANK(F1949)=0),IF((COUNTBLANK(U1949)=0),Stats!$E$6,Stats!$E$5),Stats!$E$4),""))</f>
        <v/>
      </c>
      <c r="C1949" s="41"/>
      <c r="D1949" s="306" t="str">
        <f>IF(B1949=Stats!$E$6,Stats!$E$11,"")</f>
        <v/>
      </c>
    </row>
    <row r="1950" spans="1:4" hidden="1" x14ac:dyDescent="0.25">
      <c r="A1950" s="32" t="s">
        <v>2674</v>
      </c>
      <c r="B1950" s="306" t="str">
        <f>IF((COUNTBLANK(G1950)=0),Stats!$E$7,IF((COUNTBLANK(E1950)=0),IF((COUNTBLANK(F1950)=0),IF((COUNTBLANK(U1950)=0),Stats!$E$6,Stats!$E$5),Stats!$E$4),""))</f>
        <v/>
      </c>
      <c r="C1950" s="41"/>
      <c r="D1950" s="306" t="str">
        <f>IF(B1950=Stats!$E$6,Stats!$E$11,"")</f>
        <v/>
      </c>
    </row>
    <row r="1951" spans="1:4" hidden="1" x14ac:dyDescent="0.25">
      <c r="A1951" s="32" t="s">
        <v>2675</v>
      </c>
      <c r="B1951" s="306" t="str">
        <f>IF((COUNTBLANK(G1951)=0),Stats!$E$7,IF((COUNTBLANK(E1951)=0),IF((COUNTBLANK(F1951)=0),IF((COUNTBLANK(U1951)=0),Stats!$E$6,Stats!$E$5),Stats!$E$4),""))</f>
        <v/>
      </c>
      <c r="C1951" s="41"/>
      <c r="D1951" s="306" t="str">
        <f>IF(B1951=Stats!$E$6,Stats!$E$11,"")</f>
        <v/>
      </c>
    </row>
    <row r="1952" spans="1:4" hidden="1" x14ac:dyDescent="0.25">
      <c r="A1952" s="32" t="s">
        <v>2676</v>
      </c>
      <c r="B1952" s="306" t="str">
        <f>IF((COUNTBLANK(G1952)=0),Stats!$E$7,IF((COUNTBLANK(E1952)=0),IF((COUNTBLANK(F1952)=0),IF((COUNTBLANK(U1952)=0),Stats!$E$6,Stats!$E$5),Stats!$E$4),""))</f>
        <v/>
      </c>
      <c r="C1952" s="41"/>
      <c r="D1952" s="306" t="str">
        <f>IF(B1952=Stats!$E$6,Stats!$E$11,"")</f>
        <v/>
      </c>
    </row>
    <row r="1953" spans="1:4" hidden="1" x14ac:dyDescent="0.25">
      <c r="A1953" s="32" t="s">
        <v>2677</v>
      </c>
      <c r="B1953" s="306" t="str">
        <f>IF((COUNTBLANK(G1953)=0),Stats!$E$7,IF((COUNTBLANK(E1953)=0),IF((COUNTBLANK(F1953)=0),IF((COUNTBLANK(U1953)=0),Stats!$E$6,Stats!$E$5),Stats!$E$4),""))</f>
        <v/>
      </c>
      <c r="C1953" s="41"/>
      <c r="D1953" s="306" t="str">
        <f>IF(B1953=Stats!$E$6,Stats!$E$11,"")</f>
        <v/>
      </c>
    </row>
    <row r="1954" spans="1:4" hidden="1" x14ac:dyDescent="0.25">
      <c r="A1954" s="32" t="s">
        <v>2678</v>
      </c>
      <c r="B1954" s="306" t="str">
        <f>IF((COUNTBLANK(G1954)=0),Stats!$E$7,IF((COUNTBLANK(E1954)=0),IF((COUNTBLANK(F1954)=0),IF((COUNTBLANK(U1954)=0),Stats!$E$6,Stats!$E$5),Stats!$E$4),""))</f>
        <v/>
      </c>
      <c r="C1954" s="41"/>
      <c r="D1954" s="306" t="str">
        <f>IF(B1954=Stats!$E$6,Stats!$E$11,"")</f>
        <v/>
      </c>
    </row>
    <row r="1955" spans="1:4" hidden="1" x14ac:dyDescent="0.25">
      <c r="A1955" s="32" t="s">
        <v>2679</v>
      </c>
      <c r="B1955" s="306" t="str">
        <f>IF((COUNTBLANK(G1955)=0),Stats!$E$7,IF((COUNTBLANK(E1955)=0),IF((COUNTBLANK(F1955)=0),IF((COUNTBLANK(U1955)=0),Stats!$E$6,Stats!$E$5),Stats!$E$4),""))</f>
        <v/>
      </c>
      <c r="C1955" s="41"/>
      <c r="D1955" s="306" t="str">
        <f>IF(B1955=Stats!$E$6,Stats!$E$11,"")</f>
        <v/>
      </c>
    </row>
    <row r="1956" spans="1:4" hidden="1" x14ac:dyDescent="0.25">
      <c r="A1956" s="32" t="s">
        <v>2680</v>
      </c>
      <c r="B1956" s="306" t="str">
        <f>IF((COUNTBLANK(G1956)=0),Stats!$E$7,IF((COUNTBLANK(E1956)=0),IF((COUNTBLANK(F1956)=0),IF((COUNTBLANK(U1956)=0),Stats!$E$6,Stats!$E$5),Stats!$E$4),""))</f>
        <v/>
      </c>
      <c r="C1956" s="41"/>
      <c r="D1956" s="306" t="str">
        <f>IF(B1956=Stats!$E$6,Stats!$E$11,"")</f>
        <v/>
      </c>
    </row>
    <row r="1957" spans="1:4" hidden="1" x14ac:dyDescent="0.25">
      <c r="A1957" s="32" t="s">
        <v>2681</v>
      </c>
      <c r="B1957" s="306" t="str">
        <f>IF((COUNTBLANK(G1957)=0),Stats!$E$7,IF((COUNTBLANK(E1957)=0),IF((COUNTBLANK(F1957)=0),IF((COUNTBLANK(U1957)=0),Stats!$E$6,Stats!$E$5),Stats!$E$4),""))</f>
        <v/>
      </c>
      <c r="C1957" s="41"/>
      <c r="D1957" s="306" t="str">
        <f>IF(B1957=Stats!$E$6,Stats!$E$11,"")</f>
        <v/>
      </c>
    </row>
    <row r="1958" spans="1:4" hidden="1" x14ac:dyDescent="0.25">
      <c r="A1958" s="32" t="s">
        <v>2682</v>
      </c>
      <c r="B1958" s="306" t="str">
        <f>IF((COUNTBLANK(G1958)=0),Stats!$E$7,IF((COUNTBLANK(E1958)=0),IF((COUNTBLANK(F1958)=0),IF((COUNTBLANK(U1958)=0),Stats!$E$6,Stats!$E$5),Stats!$E$4),""))</f>
        <v/>
      </c>
      <c r="C1958" s="41"/>
      <c r="D1958" s="306" t="str">
        <f>IF(B1958=Stats!$E$6,Stats!$E$11,"")</f>
        <v/>
      </c>
    </row>
    <row r="1959" spans="1:4" hidden="1" x14ac:dyDescent="0.25">
      <c r="A1959" s="32" t="s">
        <v>2683</v>
      </c>
      <c r="B1959" s="306" t="str">
        <f>IF((COUNTBLANK(G1959)=0),Stats!$E$7,IF((COUNTBLANK(E1959)=0),IF((COUNTBLANK(F1959)=0),IF((COUNTBLANK(U1959)=0),Stats!$E$6,Stats!$E$5),Stats!$E$4),""))</f>
        <v/>
      </c>
      <c r="C1959" s="41"/>
      <c r="D1959" s="306" t="str">
        <f>IF(B1959=Stats!$E$6,Stats!$E$11,"")</f>
        <v/>
      </c>
    </row>
    <row r="1960" spans="1:4" hidden="1" x14ac:dyDescent="0.25">
      <c r="A1960" s="32" t="s">
        <v>2684</v>
      </c>
      <c r="B1960" s="306" t="str">
        <f>IF((COUNTBLANK(G1960)=0),Stats!$E$7,IF((COUNTBLANK(E1960)=0),IF((COUNTBLANK(F1960)=0),IF((COUNTBLANK(U1960)=0),Stats!$E$6,Stats!$E$5),Stats!$E$4),""))</f>
        <v/>
      </c>
      <c r="C1960" s="41"/>
      <c r="D1960" s="306" t="str">
        <f>IF(B1960=Stats!$E$6,Stats!$E$11,"")</f>
        <v/>
      </c>
    </row>
    <row r="1961" spans="1:4" hidden="1" x14ac:dyDescent="0.25">
      <c r="A1961" s="32" t="s">
        <v>2685</v>
      </c>
      <c r="B1961" s="306" t="str">
        <f>IF((COUNTBLANK(G1961)=0),Stats!$E$7,IF((COUNTBLANK(E1961)=0),IF((COUNTBLANK(F1961)=0),IF((COUNTBLANK(U1961)=0),Stats!$E$6,Stats!$E$5),Stats!$E$4),""))</f>
        <v/>
      </c>
      <c r="C1961" s="41"/>
      <c r="D1961" s="306" t="str">
        <f>IF(B1961=Stats!$E$6,Stats!$E$11,"")</f>
        <v/>
      </c>
    </row>
    <row r="1962" spans="1:4" hidden="1" x14ac:dyDescent="0.25">
      <c r="A1962" s="32" t="s">
        <v>2686</v>
      </c>
      <c r="B1962" s="306" t="str">
        <f>IF((COUNTBLANK(G1962)=0),Stats!$E$7,IF((COUNTBLANK(E1962)=0),IF((COUNTBLANK(F1962)=0),IF((COUNTBLANK(U1962)=0),Stats!$E$6,Stats!$E$5),Stats!$E$4),""))</f>
        <v/>
      </c>
      <c r="C1962" s="41"/>
      <c r="D1962" s="306" t="str">
        <f>IF(B1962=Stats!$E$6,Stats!$E$11,"")</f>
        <v/>
      </c>
    </row>
    <row r="1963" spans="1:4" hidden="1" x14ac:dyDescent="0.25">
      <c r="A1963" s="32" t="s">
        <v>2687</v>
      </c>
      <c r="B1963" s="306" t="str">
        <f>IF((COUNTBLANK(G1963)=0),Stats!$E$7,IF((COUNTBLANK(E1963)=0),IF((COUNTBLANK(F1963)=0),IF((COUNTBLANK(U1963)=0),Stats!$E$6,Stats!$E$5),Stats!$E$4),""))</f>
        <v/>
      </c>
      <c r="C1963" s="41"/>
      <c r="D1963" s="306" t="str">
        <f>IF(B1963=Stats!$E$6,Stats!$E$11,"")</f>
        <v/>
      </c>
    </row>
    <row r="1964" spans="1:4" hidden="1" x14ac:dyDescent="0.25">
      <c r="A1964" s="32" t="s">
        <v>2688</v>
      </c>
      <c r="B1964" s="306" t="str">
        <f>IF((COUNTBLANK(G1964)=0),Stats!$E$7,IF((COUNTBLANK(E1964)=0),IF((COUNTBLANK(F1964)=0),IF((COUNTBLANK(U1964)=0),Stats!$E$6,Stats!$E$5),Stats!$E$4),""))</f>
        <v/>
      </c>
      <c r="C1964" s="41"/>
      <c r="D1964" s="306" t="str">
        <f>IF(B1964=Stats!$E$6,Stats!$E$11,"")</f>
        <v/>
      </c>
    </row>
    <row r="1965" spans="1:4" hidden="1" x14ac:dyDescent="0.25">
      <c r="A1965" s="32" t="s">
        <v>2689</v>
      </c>
      <c r="B1965" s="306" t="str">
        <f>IF((COUNTBLANK(G1965)=0),Stats!$E$7,IF((COUNTBLANK(E1965)=0),IF((COUNTBLANK(F1965)=0),IF((COUNTBLANK(U1965)=0),Stats!$E$6,Stats!$E$5),Stats!$E$4),""))</f>
        <v/>
      </c>
      <c r="C1965" s="41"/>
      <c r="D1965" s="306" t="str">
        <f>IF(B1965=Stats!$E$6,Stats!$E$11,"")</f>
        <v/>
      </c>
    </row>
    <row r="1966" spans="1:4" hidden="1" x14ac:dyDescent="0.25">
      <c r="A1966" s="32" t="s">
        <v>2690</v>
      </c>
      <c r="B1966" s="306" t="str">
        <f>IF((COUNTBLANK(G1966)=0),Stats!$E$7,IF((COUNTBLANK(E1966)=0),IF((COUNTBLANK(F1966)=0),IF((COUNTBLANK(U1966)=0),Stats!$E$6,Stats!$E$5),Stats!$E$4),""))</f>
        <v/>
      </c>
      <c r="C1966" s="41"/>
      <c r="D1966" s="306" t="str">
        <f>IF(B1966=Stats!$E$6,Stats!$E$11,"")</f>
        <v/>
      </c>
    </row>
    <row r="1967" spans="1:4" hidden="1" x14ac:dyDescent="0.25">
      <c r="A1967" s="32" t="s">
        <v>2691</v>
      </c>
      <c r="B1967" s="306" t="str">
        <f>IF((COUNTBLANK(G1967)=0),Stats!$E$7,IF((COUNTBLANK(E1967)=0),IF((COUNTBLANK(F1967)=0),IF((COUNTBLANK(U1967)=0),Stats!$E$6,Stats!$E$5),Stats!$E$4),""))</f>
        <v/>
      </c>
      <c r="C1967" s="41"/>
      <c r="D1967" s="306" t="str">
        <f>IF(B1967=Stats!$E$6,Stats!$E$11,"")</f>
        <v/>
      </c>
    </row>
    <row r="1968" spans="1:4" hidden="1" x14ac:dyDescent="0.25">
      <c r="A1968" s="32" t="s">
        <v>2692</v>
      </c>
      <c r="B1968" s="306" t="str">
        <f>IF((COUNTBLANK(G1968)=0),Stats!$E$7,IF((COUNTBLANK(E1968)=0),IF((COUNTBLANK(F1968)=0),IF((COUNTBLANK(U1968)=0),Stats!$E$6,Stats!$E$5),Stats!$E$4),""))</f>
        <v/>
      </c>
      <c r="C1968" s="41"/>
      <c r="D1968" s="306" t="str">
        <f>IF(B1968=Stats!$E$6,Stats!$E$11,"")</f>
        <v/>
      </c>
    </row>
    <row r="1969" spans="1:4" hidden="1" x14ac:dyDescent="0.25">
      <c r="A1969" s="32" t="s">
        <v>2693</v>
      </c>
      <c r="B1969" s="306" t="str">
        <f>IF((COUNTBLANK(G1969)=0),Stats!$E$7,IF((COUNTBLANK(E1969)=0),IF((COUNTBLANK(F1969)=0),IF((COUNTBLANK(U1969)=0),Stats!$E$6,Stats!$E$5),Stats!$E$4),""))</f>
        <v/>
      </c>
      <c r="C1969" s="41"/>
      <c r="D1969" s="306" t="str">
        <f>IF(B1969=Stats!$E$6,Stats!$E$11,"")</f>
        <v/>
      </c>
    </row>
    <row r="1970" spans="1:4" hidden="1" x14ac:dyDescent="0.25">
      <c r="A1970" s="32" t="s">
        <v>2694</v>
      </c>
      <c r="B1970" s="306" t="str">
        <f>IF((COUNTBLANK(G1970)=0),Stats!$E$7,IF((COUNTBLANK(E1970)=0),IF((COUNTBLANK(F1970)=0),IF((COUNTBLANK(U1970)=0),Stats!$E$6,Stats!$E$5),Stats!$E$4),""))</f>
        <v/>
      </c>
      <c r="C1970" s="41"/>
      <c r="D1970" s="306" t="str">
        <f>IF(B1970=Stats!$E$6,Stats!$E$11,"")</f>
        <v/>
      </c>
    </row>
    <row r="1971" spans="1:4" hidden="1" x14ac:dyDescent="0.25">
      <c r="A1971" s="32" t="s">
        <v>2695</v>
      </c>
      <c r="B1971" s="306" t="str">
        <f>IF((COUNTBLANK(G1971)=0),Stats!$E$7,IF((COUNTBLANK(E1971)=0),IF((COUNTBLANK(F1971)=0),IF((COUNTBLANK(U1971)=0),Stats!$E$6,Stats!$E$5),Stats!$E$4),""))</f>
        <v/>
      </c>
      <c r="C1971" s="41"/>
      <c r="D1971" s="306" t="str">
        <f>IF(B1971=Stats!$E$6,Stats!$E$11,"")</f>
        <v/>
      </c>
    </row>
    <row r="1972" spans="1:4" hidden="1" x14ac:dyDescent="0.25">
      <c r="A1972" s="32" t="s">
        <v>2696</v>
      </c>
      <c r="B1972" s="306" t="str">
        <f>IF((COUNTBLANK(G1972)=0),Stats!$E$7,IF((COUNTBLANK(E1972)=0),IF((COUNTBLANK(F1972)=0),IF((COUNTBLANK(U1972)=0),Stats!$E$6,Stats!$E$5),Stats!$E$4),""))</f>
        <v/>
      </c>
      <c r="C1972" s="41"/>
      <c r="D1972" s="306" t="str">
        <f>IF(B1972=Stats!$E$6,Stats!$E$11,"")</f>
        <v/>
      </c>
    </row>
    <row r="1973" spans="1:4" hidden="1" x14ac:dyDescent="0.25">
      <c r="A1973" s="32" t="s">
        <v>2697</v>
      </c>
      <c r="B1973" s="306" t="str">
        <f>IF((COUNTBLANK(G1973)=0),Stats!$E$7,IF((COUNTBLANK(E1973)=0),IF((COUNTBLANK(F1973)=0),IF((COUNTBLANK(U1973)=0),Stats!$E$6,Stats!$E$5),Stats!$E$4),""))</f>
        <v/>
      </c>
      <c r="C1973" s="41"/>
      <c r="D1973" s="306" t="str">
        <f>IF(B1973=Stats!$E$6,Stats!$E$11,"")</f>
        <v/>
      </c>
    </row>
    <row r="1974" spans="1:4" hidden="1" x14ac:dyDescent="0.25">
      <c r="A1974" s="32" t="s">
        <v>2698</v>
      </c>
      <c r="B1974" s="306" t="str">
        <f>IF((COUNTBLANK(G1974)=0),Stats!$E$7,IF((COUNTBLANK(E1974)=0),IF((COUNTBLANK(F1974)=0),IF((COUNTBLANK(U1974)=0),Stats!$E$6,Stats!$E$5),Stats!$E$4),""))</f>
        <v/>
      </c>
      <c r="C1974" s="41"/>
      <c r="D1974" s="306" t="str">
        <f>IF(B1974=Stats!$E$6,Stats!$E$11,"")</f>
        <v/>
      </c>
    </row>
    <row r="1975" spans="1:4" hidden="1" x14ac:dyDescent="0.25">
      <c r="A1975" s="32" t="s">
        <v>2699</v>
      </c>
      <c r="B1975" s="306" t="str">
        <f>IF((COUNTBLANK(G1975)=0),Stats!$E$7,IF((COUNTBLANK(E1975)=0),IF((COUNTBLANK(F1975)=0),IF((COUNTBLANK(U1975)=0),Stats!$E$6,Stats!$E$5),Stats!$E$4),""))</f>
        <v/>
      </c>
      <c r="C1975" s="41"/>
      <c r="D1975" s="306" t="str">
        <f>IF(B1975=Stats!$E$6,Stats!$E$11,"")</f>
        <v/>
      </c>
    </row>
    <row r="1976" spans="1:4" hidden="1" x14ac:dyDescent="0.25">
      <c r="A1976" s="32" t="s">
        <v>2700</v>
      </c>
      <c r="B1976" s="306" t="str">
        <f>IF((COUNTBLANK(G1976)=0),Stats!$E$7,IF((COUNTBLANK(E1976)=0),IF((COUNTBLANK(F1976)=0),IF((COUNTBLANK(U1976)=0),Stats!$E$6,Stats!$E$5),Stats!$E$4),""))</f>
        <v/>
      </c>
      <c r="C1976" s="41"/>
      <c r="D1976" s="306" t="str">
        <f>IF(B1976=Stats!$E$6,Stats!$E$11,"")</f>
        <v/>
      </c>
    </row>
    <row r="1977" spans="1:4" hidden="1" x14ac:dyDescent="0.25">
      <c r="A1977" s="32" t="s">
        <v>2701</v>
      </c>
      <c r="B1977" s="306" t="str">
        <f>IF((COUNTBLANK(G1977)=0),Stats!$E$7,IF((COUNTBLANK(E1977)=0),IF((COUNTBLANK(F1977)=0),IF((COUNTBLANK(U1977)=0),Stats!$E$6,Stats!$E$5),Stats!$E$4),""))</f>
        <v/>
      </c>
      <c r="C1977" s="41"/>
      <c r="D1977" s="306" t="str">
        <f>IF(B1977=Stats!$E$6,Stats!$E$11,"")</f>
        <v/>
      </c>
    </row>
    <row r="1978" spans="1:4" hidden="1" x14ac:dyDescent="0.25">
      <c r="A1978" s="32" t="s">
        <v>2702</v>
      </c>
      <c r="B1978" s="306" t="str">
        <f>IF((COUNTBLANK(G1978)=0),Stats!$E$7,IF((COUNTBLANK(E1978)=0),IF((COUNTBLANK(F1978)=0),IF((COUNTBLANK(U1978)=0),Stats!$E$6,Stats!$E$5),Stats!$E$4),""))</f>
        <v/>
      </c>
      <c r="C1978" s="41"/>
      <c r="D1978" s="306" t="str">
        <f>IF(B1978=Stats!$E$6,Stats!$E$11,"")</f>
        <v/>
      </c>
    </row>
    <row r="1979" spans="1:4" hidden="1" x14ac:dyDescent="0.25">
      <c r="A1979" s="32" t="s">
        <v>2703</v>
      </c>
      <c r="B1979" s="306" t="str">
        <f>IF((COUNTBLANK(G1979)=0),Stats!$E$7,IF((COUNTBLANK(E1979)=0),IF((COUNTBLANK(F1979)=0),IF((COUNTBLANK(U1979)=0),Stats!$E$6,Stats!$E$5),Stats!$E$4),""))</f>
        <v/>
      </c>
      <c r="C1979" s="41"/>
      <c r="D1979" s="306" t="str">
        <f>IF(B1979=Stats!$E$6,Stats!$E$11,"")</f>
        <v/>
      </c>
    </row>
    <row r="1980" spans="1:4" hidden="1" x14ac:dyDescent="0.25">
      <c r="A1980" s="32" t="s">
        <v>2704</v>
      </c>
      <c r="B1980" s="306" t="str">
        <f>IF((COUNTBLANK(G1980)=0),Stats!$E$7,IF((COUNTBLANK(E1980)=0),IF((COUNTBLANK(F1980)=0),IF((COUNTBLANK(U1980)=0),Stats!$E$6,Stats!$E$5),Stats!$E$4),""))</f>
        <v/>
      </c>
      <c r="C1980" s="41"/>
      <c r="D1980" s="306" t="str">
        <f>IF(B1980=Stats!$E$6,Stats!$E$11,"")</f>
        <v/>
      </c>
    </row>
    <row r="1981" spans="1:4" hidden="1" x14ac:dyDescent="0.25">
      <c r="A1981" s="32" t="s">
        <v>2705</v>
      </c>
      <c r="B1981" s="306" t="str">
        <f>IF((COUNTBLANK(G1981)=0),Stats!$E$7,IF((COUNTBLANK(E1981)=0),IF((COUNTBLANK(F1981)=0),IF((COUNTBLANK(U1981)=0),Stats!$E$6,Stats!$E$5),Stats!$E$4),""))</f>
        <v/>
      </c>
      <c r="C1981" s="41"/>
      <c r="D1981" s="306" t="str">
        <f>IF(B1981=Stats!$E$6,Stats!$E$11,"")</f>
        <v/>
      </c>
    </row>
    <row r="1982" spans="1:4" hidden="1" x14ac:dyDescent="0.25">
      <c r="A1982" s="32" t="s">
        <v>2706</v>
      </c>
      <c r="B1982" s="306" t="str">
        <f>IF((COUNTBLANK(G1982)=0),Stats!$E$7,IF((COUNTBLANK(E1982)=0),IF((COUNTBLANK(F1982)=0),IF((COUNTBLANK(U1982)=0),Stats!$E$6,Stats!$E$5),Stats!$E$4),""))</f>
        <v/>
      </c>
      <c r="C1982" s="41"/>
      <c r="D1982" s="306" t="str">
        <f>IF(B1982=Stats!$E$6,Stats!$E$11,"")</f>
        <v/>
      </c>
    </row>
    <row r="1983" spans="1:4" hidden="1" x14ac:dyDescent="0.25">
      <c r="A1983" s="32" t="s">
        <v>2707</v>
      </c>
      <c r="B1983" s="306" t="str">
        <f>IF((COUNTBLANK(G1983)=0),Stats!$E$7,IF((COUNTBLANK(E1983)=0),IF((COUNTBLANK(F1983)=0),IF((COUNTBLANK(U1983)=0),Stats!$E$6,Stats!$E$5),Stats!$E$4),""))</f>
        <v/>
      </c>
      <c r="C1983" s="41"/>
      <c r="D1983" s="306" t="str">
        <f>IF(B1983=Stats!$E$6,Stats!$E$11,"")</f>
        <v/>
      </c>
    </row>
    <row r="1984" spans="1:4" hidden="1" x14ac:dyDescent="0.25">
      <c r="A1984" s="32" t="s">
        <v>2708</v>
      </c>
      <c r="B1984" s="306" t="str">
        <f>IF((COUNTBLANK(G1984)=0),Stats!$E$7,IF((COUNTBLANK(E1984)=0),IF((COUNTBLANK(F1984)=0),IF((COUNTBLANK(U1984)=0),Stats!$E$6,Stats!$E$5),Stats!$E$4),""))</f>
        <v/>
      </c>
      <c r="C1984" s="41"/>
      <c r="D1984" s="306" t="str">
        <f>IF(B1984=Stats!$E$6,Stats!$E$11,"")</f>
        <v/>
      </c>
    </row>
    <row r="1985" spans="1:4" hidden="1" x14ac:dyDescent="0.25">
      <c r="A1985" s="32" t="s">
        <v>2709</v>
      </c>
      <c r="B1985" s="306" t="str">
        <f>IF((COUNTBLANK(G1985)=0),Stats!$E$7,IF((COUNTBLANK(E1985)=0),IF((COUNTBLANK(F1985)=0),IF((COUNTBLANK(U1985)=0),Stats!$E$6,Stats!$E$5),Stats!$E$4),""))</f>
        <v/>
      </c>
      <c r="C1985" s="41"/>
      <c r="D1985" s="306" t="str">
        <f>IF(B1985=Stats!$E$6,Stats!$E$11,"")</f>
        <v/>
      </c>
    </row>
    <row r="1986" spans="1:4" hidden="1" x14ac:dyDescent="0.25">
      <c r="A1986" s="32" t="s">
        <v>2710</v>
      </c>
      <c r="B1986" s="306" t="str">
        <f>IF((COUNTBLANK(G1986)=0),Stats!$E$7,IF((COUNTBLANK(E1986)=0),IF((COUNTBLANK(F1986)=0),IF((COUNTBLANK(U1986)=0),Stats!$E$6,Stats!$E$5),Stats!$E$4),""))</f>
        <v/>
      </c>
      <c r="C1986" s="41"/>
      <c r="D1986" s="306" t="str">
        <f>IF(B1986=Stats!$E$6,Stats!$E$11,"")</f>
        <v/>
      </c>
    </row>
    <row r="1987" spans="1:4" hidden="1" x14ac:dyDescent="0.25">
      <c r="A1987" s="32" t="s">
        <v>2711</v>
      </c>
      <c r="B1987" s="306" t="str">
        <f>IF((COUNTBLANK(G1987)=0),Stats!$E$7,IF((COUNTBLANK(E1987)=0),IF((COUNTBLANK(F1987)=0),IF((COUNTBLANK(U1987)=0),Stats!$E$6,Stats!$E$5),Stats!$E$4),""))</f>
        <v/>
      </c>
      <c r="C1987" s="41"/>
      <c r="D1987" s="306" t="str">
        <f>IF(B1987=Stats!$E$6,Stats!$E$11,"")</f>
        <v/>
      </c>
    </row>
    <row r="1988" spans="1:4" hidden="1" x14ac:dyDescent="0.25">
      <c r="A1988" s="32" t="s">
        <v>2712</v>
      </c>
      <c r="B1988" s="306" t="str">
        <f>IF((COUNTBLANK(G1988)=0),Stats!$E$7,IF((COUNTBLANK(E1988)=0),IF((COUNTBLANK(F1988)=0),IF((COUNTBLANK(U1988)=0),Stats!$E$6,Stats!$E$5),Stats!$E$4),""))</f>
        <v/>
      </c>
      <c r="C1988" s="41"/>
      <c r="D1988" s="306" t="str">
        <f>IF(B1988=Stats!$E$6,Stats!$E$11,"")</f>
        <v/>
      </c>
    </row>
    <row r="1989" spans="1:4" hidden="1" x14ac:dyDescent="0.25">
      <c r="A1989" s="32" t="s">
        <v>2713</v>
      </c>
      <c r="B1989" s="306" t="str">
        <f>IF((COUNTBLANK(G1989)=0),Stats!$E$7,IF((COUNTBLANK(E1989)=0),IF((COUNTBLANK(F1989)=0),IF((COUNTBLANK(U1989)=0),Stats!$E$6,Stats!$E$5),Stats!$E$4),""))</f>
        <v/>
      </c>
      <c r="C1989" s="41"/>
      <c r="D1989" s="306" t="str">
        <f>IF(B1989=Stats!$E$6,Stats!$E$11,"")</f>
        <v/>
      </c>
    </row>
    <row r="1990" spans="1:4" hidden="1" x14ac:dyDescent="0.25">
      <c r="A1990" s="32" t="s">
        <v>2714</v>
      </c>
      <c r="B1990" s="306" t="str">
        <f>IF((COUNTBLANK(G1990)=0),Stats!$E$7,IF((COUNTBLANK(E1990)=0),IF((COUNTBLANK(F1990)=0),IF((COUNTBLANK(U1990)=0),Stats!$E$6,Stats!$E$5),Stats!$E$4),""))</f>
        <v/>
      </c>
      <c r="C1990" s="41"/>
      <c r="D1990" s="306" t="str">
        <f>IF(B1990=Stats!$E$6,Stats!$E$11,"")</f>
        <v/>
      </c>
    </row>
    <row r="1991" spans="1:4" hidden="1" x14ac:dyDescent="0.25">
      <c r="A1991" s="32" t="s">
        <v>2715</v>
      </c>
      <c r="B1991" s="306" t="str">
        <f>IF((COUNTBLANK(G1991)=0),Stats!$E$7,IF((COUNTBLANK(E1991)=0),IF((COUNTBLANK(F1991)=0),IF((COUNTBLANK(U1991)=0),Stats!$E$6,Stats!$E$5),Stats!$E$4),""))</f>
        <v/>
      </c>
      <c r="C1991" s="41"/>
      <c r="D1991" s="306" t="str">
        <f>IF(B1991=Stats!$E$6,Stats!$E$11,"")</f>
        <v/>
      </c>
    </row>
    <row r="1992" spans="1:4" hidden="1" x14ac:dyDescent="0.25">
      <c r="A1992" s="32" t="s">
        <v>2716</v>
      </c>
      <c r="B1992" s="306" t="str">
        <f>IF((COUNTBLANK(G1992)=0),Stats!$E$7,IF((COUNTBLANK(E1992)=0),IF((COUNTBLANK(F1992)=0),IF((COUNTBLANK(U1992)=0),Stats!$E$6,Stats!$E$5),Stats!$E$4),""))</f>
        <v/>
      </c>
      <c r="C1992" s="41"/>
      <c r="D1992" s="306" t="str">
        <f>IF(B1992=Stats!$E$6,Stats!$E$11,"")</f>
        <v/>
      </c>
    </row>
    <row r="1993" spans="1:4" hidden="1" x14ac:dyDescent="0.25">
      <c r="A1993" s="32" t="s">
        <v>2717</v>
      </c>
      <c r="B1993" s="306" t="str">
        <f>IF((COUNTBLANK(G1993)=0),Stats!$E$7,IF((COUNTBLANK(E1993)=0),IF((COUNTBLANK(F1993)=0),IF((COUNTBLANK(U1993)=0),Stats!$E$6,Stats!$E$5),Stats!$E$4),""))</f>
        <v/>
      </c>
      <c r="C1993" s="41"/>
      <c r="D1993" s="306" t="str">
        <f>IF(B1993=Stats!$E$6,Stats!$E$11,"")</f>
        <v/>
      </c>
    </row>
    <row r="1994" spans="1:4" hidden="1" x14ac:dyDescent="0.25">
      <c r="A1994" s="32" t="s">
        <v>2718</v>
      </c>
      <c r="B1994" s="306" t="str">
        <f>IF((COUNTBLANK(G1994)=0),Stats!$E$7,IF((COUNTBLANK(E1994)=0),IF((COUNTBLANK(F1994)=0),IF((COUNTBLANK(U1994)=0),Stats!$E$6,Stats!$E$5),Stats!$E$4),""))</f>
        <v/>
      </c>
      <c r="C1994" s="41"/>
      <c r="D1994" s="306" t="str">
        <f>IF(B1994=Stats!$E$6,Stats!$E$11,"")</f>
        <v/>
      </c>
    </row>
    <row r="1995" spans="1:4" hidden="1" x14ac:dyDescent="0.25">
      <c r="A1995" s="32" t="s">
        <v>2719</v>
      </c>
      <c r="B1995" s="306" t="str">
        <f>IF((COUNTBLANK(G1995)=0),Stats!$E$7,IF((COUNTBLANK(E1995)=0),IF((COUNTBLANK(F1995)=0),IF((COUNTBLANK(U1995)=0),Stats!$E$6,Stats!$E$5),Stats!$E$4),""))</f>
        <v/>
      </c>
      <c r="C1995" s="41"/>
      <c r="D1995" s="306" t="str">
        <f>IF(B1995=Stats!$E$6,Stats!$E$11,"")</f>
        <v/>
      </c>
    </row>
    <row r="1996" spans="1:4" hidden="1" x14ac:dyDescent="0.25">
      <c r="A1996" s="32" t="s">
        <v>2720</v>
      </c>
      <c r="B1996" s="306" t="str">
        <f>IF((COUNTBLANK(G1996)=0),Stats!$E$7,IF((COUNTBLANK(E1996)=0),IF((COUNTBLANK(F1996)=0),IF((COUNTBLANK(U1996)=0),Stats!$E$6,Stats!$E$5),Stats!$E$4),""))</f>
        <v/>
      </c>
      <c r="C1996" s="41"/>
      <c r="D1996" s="306" t="str">
        <f>IF(B1996=Stats!$E$6,Stats!$E$11,"")</f>
        <v/>
      </c>
    </row>
    <row r="1997" spans="1:4" hidden="1" x14ac:dyDescent="0.25">
      <c r="A1997" s="32" t="s">
        <v>2721</v>
      </c>
      <c r="B1997" s="306" t="str">
        <f>IF((COUNTBLANK(G1997)=0),Stats!$E$7,IF((COUNTBLANK(E1997)=0),IF((COUNTBLANK(F1997)=0),IF((COUNTBLANK(U1997)=0),Stats!$E$6,Stats!$E$5),Stats!$E$4),""))</f>
        <v/>
      </c>
      <c r="C1997" s="41"/>
      <c r="D1997" s="306" t="str">
        <f>IF(B1997=Stats!$E$6,Stats!$E$11,"")</f>
        <v/>
      </c>
    </row>
    <row r="1998" spans="1:4" hidden="1" x14ac:dyDescent="0.25">
      <c r="A1998" s="32" t="s">
        <v>2722</v>
      </c>
      <c r="B1998" s="306" t="str">
        <f>IF((COUNTBLANK(G1998)=0),Stats!$E$7,IF((COUNTBLANK(E1998)=0),IF((COUNTBLANK(F1998)=0),IF((COUNTBLANK(U1998)=0),Stats!$E$6,Stats!$E$5),Stats!$E$4),""))</f>
        <v/>
      </c>
      <c r="C1998" s="41"/>
      <c r="D1998" s="306" t="str">
        <f>IF(B1998=Stats!$E$6,Stats!$E$11,"")</f>
        <v/>
      </c>
    </row>
    <row r="1999" spans="1:4" hidden="1" x14ac:dyDescent="0.25">
      <c r="A1999" s="32" t="s">
        <v>2723</v>
      </c>
      <c r="B1999" s="306" t="str">
        <f>IF((COUNTBLANK(G1999)=0),Stats!$E$7,IF((COUNTBLANK(E1999)=0),IF((COUNTBLANK(F1999)=0),IF((COUNTBLANK(U1999)=0),Stats!$E$6,Stats!$E$5),Stats!$E$4),""))</f>
        <v/>
      </c>
      <c r="C1999" s="41"/>
      <c r="D1999" s="306" t="str">
        <f>IF(B1999=Stats!$E$6,Stats!$E$11,"")</f>
        <v/>
      </c>
    </row>
    <row r="2000" spans="1:4" hidden="1" x14ac:dyDescent="0.25">
      <c r="A2000" s="32" t="s">
        <v>2724</v>
      </c>
      <c r="B2000" s="306" t="str">
        <f>IF((COUNTBLANK(G2000)=0),Stats!$E$7,IF((COUNTBLANK(E2000)=0),IF((COUNTBLANK(F2000)=0),IF((COUNTBLANK(U2000)=0),Stats!$E$6,Stats!$E$5),Stats!$E$4),""))</f>
        <v/>
      </c>
      <c r="C2000" s="41"/>
      <c r="D2000" s="306" t="str">
        <f>IF(B2000=Stats!$E$6,Stats!$E$11,"")</f>
        <v/>
      </c>
    </row>
    <row r="2001" spans="1:4" hidden="1" x14ac:dyDescent="0.25">
      <c r="A2001" s="32" t="s">
        <v>2725</v>
      </c>
      <c r="B2001" s="306" t="str">
        <f>IF((COUNTBLANK(G2001)=0),Stats!$E$7,IF((COUNTBLANK(E2001)=0),IF((COUNTBLANK(F2001)=0),IF((COUNTBLANK(U2001)=0),Stats!$E$6,Stats!$E$5),Stats!$E$4),""))</f>
        <v/>
      </c>
      <c r="C2001" s="41"/>
      <c r="D2001" s="306" t="str">
        <f>IF(B2001=Stats!$E$6,Stats!$E$11,"")</f>
        <v/>
      </c>
    </row>
    <row r="2002" spans="1:4" hidden="1" x14ac:dyDescent="0.25">
      <c r="A2002" s="32" t="s">
        <v>2726</v>
      </c>
      <c r="B2002" s="306" t="str">
        <f>IF((COUNTBLANK(G2002)=0),Stats!$E$7,IF((COUNTBLANK(E2002)=0),IF((COUNTBLANK(F2002)=0),IF((COUNTBLANK(U2002)=0),Stats!$E$6,Stats!$E$5),Stats!$E$4),""))</f>
        <v/>
      </c>
      <c r="C2002" s="41"/>
      <c r="D2002" s="306" t="str">
        <f>IF(B2002=Stats!$E$6,Stats!$E$11,"")</f>
        <v/>
      </c>
    </row>
    <row r="2003" spans="1:4" hidden="1" x14ac:dyDescent="0.25">
      <c r="A2003" s="32" t="s">
        <v>2727</v>
      </c>
      <c r="B2003" s="306" t="str">
        <f>IF((COUNTBLANK(G2003)=0),Stats!$E$7,IF((COUNTBLANK(E2003)=0),IF((COUNTBLANK(F2003)=0),IF((COUNTBLANK(U2003)=0),Stats!$E$6,Stats!$E$5),Stats!$E$4),""))</f>
        <v/>
      </c>
      <c r="C2003" s="41"/>
      <c r="D2003" s="306" t="str">
        <f>IF(B2003=Stats!$E$6,Stats!$E$11,"")</f>
        <v/>
      </c>
    </row>
    <row r="2004" spans="1:4" hidden="1" x14ac:dyDescent="0.25">
      <c r="A2004" s="32" t="s">
        <v>2728</v>
      </c>
      <c r="B2004" s="306" t="str">
        <f>IF((COUNTBLANK(G2004)=0),Stats!$E$7,IF((COUNTBLANK(E2004)=0),IF((COUNTBLANK(F2004)=0),IF((COUNTBLANK(U2004)=0),Stats!$E$6,Stats!$E$5),Stats!$E$4),""))</f>
        <v/>
      </c>
      <c r="C2004" s="41"/>
      <c r="D2004" s="306" t="str">
        <f>IF(B2004=Stats!$E$6,Stats!$E$11,"")</f>
        <v/>
      </c>
    </row>
    <row r="2005" spans="1:4" hidden="1" x14ac:dyDescent="0.25">
      <c r="A2005" s="32" t="s">
        <v>2729</v>
      </c>
      <c r="B2005" s="306" t="str">
        <f>IF((COUNTBLANK(G2005)=0),Stats!$E$7,IF((COUNTBLANK(E2005)=0),IF((COUNTBLANK(F2005)=0),IF((COUNTBLANK(U2005)=0),Stats!$E$6,Stats!$E$5),Stats!$E$4),""))</f>
        <v/>
      </c>
      <c r="C2005" s="41"/>
      <c r="D2005" s="306" t="str">
        <f>IF(B2005=Stats!$E$6,Stats!$E$11,"")</f>
        <v/>
      </c>
    </row>
    <row r="2006" spans="1:4" hidden="1" x14ac:dyDescent="0.25">
      <c r="A2006" s="32" t="s">
        <v>2730</v>
      </c>
      <c r="B2006" s="306" t="str">
        <f>IF((COUNTBLANK(G2006)=0),Stats!$E$7,IF((COUNTBLANK(E2006)=0),IF((COUNTBLANK(F2006)=0),IF((COUNTBLANK(U2006)=0),Stats!$E$6,Stats!$E$5),Stats!$E$4),""))</f>
        <v/>
      </c>
      <c r="C2006" s="41"/>
      <c r="D2006" s="306" t="str">
        <f>IF(B2006=Stats!$E$6,Stats!$E$11,"")</f>
        <v/>
      </c>
    </row>
    <row r="2007" spans="1:4" hidden="1" x14ac:dyDescent="0.25">
      <c r="A2007" s="32" t="s">
        <v>2731</v>
      </c>
      <c r="B2007" s="306" t="str">
        <f>IF((COUNTBLANK(G2007)=0),Stats!$E$7,IF((COUNTBLANK(E2007)=0),IF((COUNTBLANK(F2007)=0),IF((COUNTBLANK(U2007)=0),Stats!$E$6,Stats!$E$5),Stats!$E$4),""))</f>
        <v/>
      </c>
      <c r="C2007" s="41"/>
      <c r="D2007" s="306" t="str">
        <f>IF(B2007=Stats!$E$6,Stats!$E$11,"")</f>
        <v/>
      </c>
    </row>
    <row r="2008" spans="1:4" hidden="1" x14ac:dyDescent="0.25">
      <c r="A2008" s="32" t="s">
        <v>2732</v>
      </c>
      <c r="B2008" s="306" t="str">
        <f>IF((COUNTBLANK(G2008)=0),Stats!$E$7,IF((COUNTBLANK(E2008)=0),IF((COUNTBLANK(F2008)=0),IF((COUNTBLANK(U2008)=0),Stats!$E$6,Stats!$E$5),Stats!$E$4),""))</f>
        <v/>
      </c>
      <c r="C2008" s="41"/>
      <c r="D2008" s="306" t="str">
        <f>IF(B2008=Stats!$E$6,Stats!$E$11,"")</f>
        <v/>
      </c>
    </row>
    <row r="2009" spans="1:4" hidden="1" x14ac:dyDescent="0.25">
      <c r="A2009" s="32" t="s">
        <v>2733</v>
      </c>
      <c r="B2009" s="306" t="str">
        <f>IF((COUNTBLANK(G2009)=0),Stats!$E$7,IF((COUNTBLANK(E2009)=0),IF((COUNTBLANK(F2009)=0),IF((COUNTBLANK(U2009)=0),Stats!$E$6,Stats!$E$5),Stats!$E$4),""))</f>
        <v/>
      </c>
      <c r="C2009" s="41"/>
      <c r="D2009" s="306" t="str">
        <f>IF(B2009=Stats!$E$6,Stats!$E$11,"")</f>
        <v/>
      </c>
    </row>
    <row r="2010" spans="1:4" hidden="1" x14ac:dyDescent="0.25">
      <c r="A2010" s="32" t="s">
        <v>2734</v>
      </c>
      <c r="B2010" s="306" t="str">
        <f>IF((COUNTBLANK(G2010)=0),Stats!$E$7,IF((COUNTBLANK(E2010)=0),IF((COUNTBLANK(F2010)=0),IF((COUNTBLANK(U2010)=0),Stats!$E$6,Stats!$E$5),Stats!$E$4),""))</f>
        <v/>
      </c>
      <c r="C2010" s="41"/>
      <c r="D2010" s="306" t="str">
        <f>IF(B2010=Stats!$E$6,Stats!$E$11,"")</f>
        <v/>
      </c>
    </row>
    <row r="2011" spans="1:4" hidden="1" x14ac:dyDescent="0.25">
      <c r="A2011" s="32" t="s">
        <v>2735</v>
      </c>
      <c r="B2011" s="306" t="str">
        <f>IF((COUNTBLANK(G2011)=0),Stats!$E$7,IF((COUNTBLANK(E2011)=0),IF((COUNTBLANK(F2011)=0),IF((COUNTBLANK(U2011)=0),Stats!$E$6,Stats!$E$5),Stats!$E$4),""))</f>
        <v/>
      </c>
      <c r="C2011" s="41"/>
      <c r="D2011" s="306" t="str">
        <f>IF(B2011=Stats!$E$6,Stats!$E$11,"")</f>
        <v/>
      </c>
    </row>
    <row r="2012" spans="1:4" hidden="1" x14ac:dyDescent="0.25">
      <c r="A2012" s="32" t="s">
        <v>2736</v>
      </c>
      <c r="B2012" s="306" t="str">
        <f>IF((COUNTBLANK(G2012)=0),Stats!$E$7,IF((COUNTBLANK(E2012)=0),IF((COUNTBLANK(F2012)=0),IF((COUNTBLANK(U2012)=0),Stats!$E$6,Stats!$E$5),Stats!$E$4),""))</f>
        <v/>
      </c>
      <c r="C2012" s="41"/>
      <c r="D2012" s="306" t="str">
        <f>IF(B2012=Stats!$E$6,Stats!$E$11,"")</f>
        <v/>
      </c>
    </row>
    <row r="2013" spans="1:4" hidden="1" x14ac:dyDescent="0.25">
      <c r="A2013" s="32" t="s">
        <v>2737</v>
      </c>
      <c r="B2013" s="306" t="str">
        <f>IF((COUNTBLANK(G2013)=0),Stats!$E$7,IF((COUNTBLANK(E2013)=0),IF((COUNTBLANK(F2013)=0),IF((COUNTBLANK(U2013)=0),Stats!$E$6,Stats!$E$5),Stats!$E$4),""))</f>
        <v/>
      </c>
      <c r="C2013" s="41"/>
      <c r="D2013" s="306" t="str">
        <f>IF(B2013=Stats!$E$6,Stats!$E$11,"")</f>
        <v/>
      </c>
    </row>
    <row r="2014" spans="1:4" hidden="1" x14ac:dyDescent="0.25">
      <c r="A2014" s="32" t="s">
        <v>2738</v>
      </c>
      <c r="B2014" s="306" t="str">
        <f>IF((COUNTBLANK(G2014)=0),Stats!$E$7,IF((COUNTBLANK(E2014)=0),IF((COUNTBLANK(F2014)=0),IF((COUNTBLANK(U2014)=0),Stats!$E$6,Stats!$E$5),Stats!$E$4),""))</f>
        <v/>
      </c>
      <c r="C2014" s="41"/>
      <c r="D2014" s="306" t="str">
        <f>IF(B2014=Stats!$E$6,Stats!$E$11,"")</f>
        <v/>
      </c>
    </row>
    <row r="2015" spans="1:4" hidden="1" x14ac:dyDescent="0.25">
      <c r="A2015" s="32" t="s">
        <v>2739</v>
      </c>
      <c r="B2015" s="306" t="str">
        <f>IF((COUNTBLANK(G2015)=0),Stats!$E$7,IF((COUNTBLANK(E2015)=0),IF((COUNTBLANK(F2015)=0),IF((COUNTBLANK(U2015)=0),Stats!$E$6,Stats!$E$5),Stats!$E$4),""))</f>
        <v/>
      </c>
      <c r="C2015" s="41"/>
      <c r="D2015" s="306" t="str">
        <f>IF(B2015=Stats!$E$6,Stats!$E$11,"")</f>
        <v/>
      </c>
    </row>
    <row r="2016" spans="1:4" hidden="1" x14ac:dyDescent="0.25">
      <c r="A2016" s="32" t="s">
        <v>2740</v>
      </c>
      <c r="B2016" s="306" t="str">
        <f>IF((COUNTBLANK(G2016)=0),Stats!$E$7,IF((COUNTBLANK(E2016)=0),IF((COUNTBLANK(F2016)=0),IF((COUNTBLANK(U2016)=0),Stats!$E$6,Stats!$E$5),Stats!$E$4),""))</f>
        <v/>
      </c>
      <c r="C2016" s="41"/>
      <c r="D2016" s="306" t="str">
        <f>IF(B2016=Stats!$E$6,Stats!$E$11,"")</f>
        <v/>
      </c>
    </row>
    <row r="2017" spans="1:4" hidden="1" x14ac:dyDescent="0.25">
      <c r="A2017" s="32" t="s">
        <v>2741</v>
      </c>
      <c r="B2017" s="306" t="str">
        <f>IF((COUNTBLANK(G2017)=0),Stats!$E$7,IF((COUNTBLANK(E2017)=0),IF((COUNTBLANK(F2017)=0),IF((COUNTBLANK(U2017)=0),Stats!$E$6,Stats!$E$5),Stats!$E$4),""))</f>
        <v/>
      </c>
      <c r="C2017" s="41"/>
      <c r="D2017" s="306" t="str">
        <f>IF(B2017=Stats!$E$6,Stats!$E$11,"")</f>
        <v/>
      </c>
    </row>
    <row r="2018" spans="1:4" hidden="1" x14ac:dyDescent="0.25">
      <c r="A2018" s="32" t="s">
        <v>2742</v>
      </c>
      <c r="B2018" s="306" t="str">
        <f>IF((COUNTBLANK(G2018)=0),Stats!$E$7,IF((COUNTBLANK(E2018)=0),IF((COUNTBLANK(F2018)=0),IF((COUNTBLANK(U2018)=0),Stats!$E$6,Stats!$E$5),Stats!$E$4),""))</f>
        <v/>
      </c>
      <c r="C2018" s="41"/>
      <c r="D2018" s="306" t="str">
        <f>IF(B2018=Stats!$E$6,Stats!$E$11,"")</f>
        <v/>
      </c>
    </row>
    <row r="2019" spans="1:4" hidden="1" x14ac:dyDescent="0.25">
      <c r="A2019" s="32" t="s">
        <v>2743</v>
      </c>
      <c r="B2019" s="306" t="str">
        <f>IF((COUNTBLANK(G2019)=0),Stats!$E$7,IF((COUNTBLANK(E2019)=0),IF((COUNTBLANK(F2019)=0),IF((COUNTBLANK(U2019)=0),Stats!$E$6,Stats!$E$5),Stats!$E$4),""))</f>
        <v/>
      </c>
      <c r="C2019" s="41"/>
      <c r="D2019" s="306" t="str">
        <f>IF(B2019=Stats!$E$6,Stats!$E$11,"")</f>
        <v/>
      </c>
    </row>
    <row r="2020" spans="1:4" hidden="1" x14ac:dyDescent="0.25">
      <c r="A2020" s="32" t="s">
        <v>2744</v>
      </c>
      <c r="B2020" s="306" t="str">
        <f>IF((COUNTBLANK(G2020)=0),Stats!$E$7,IF((COUNTBLANK(E2020)=0),IF((COUNTBLANK(F2020)=0),IF((COUNTBLANK(U2020)=0),Stats!$E$6,Stats!$E$5),Stats!$E$4),""))</f>
        <v/>
      </c>
      <c r="C2020" s="41"/>
      <c r="D2020" s="306" t="str">
        <f>IF(B2020=Stats!$E$6,Stats!$E$11,"")</f>
        <v/>
      </c>
    </row>
    <row r="2021" spans="1:4" hidden="1" x14ac:dyDescent="0.25">
      <c r="A2021" s="32" t="s">
        <v>2745</v>
      </c>
      <c r="B2021" s="306" t="str">
        <f>IF((COUNTBLANK(G2021)=0),Stats!$E$7,IF((COUNTBLANK(E2021)=0),IF((COUNTBLANK(F2021)=0),IF((COUNTBLANK(U2021)=0),Stats!$E$6,Stats!$E$5),Stats!$E$4),""))</f>
        <v/>
      </c>
      <c r="C2021" s="41"/>
      <c r="D2021" s="306" t="str">
        <f>IF(B2021=Stats!$E$6,Stats!$E$11,"")</f>
        <v/>
      </c>
    </row>
    <row r="2022" spans="1:4" hidden="1" x14ac:dyDescent="0.25">
      <c r="A2022" s="32" t="s">
        <v>2746</v>
      </c>
      <c r="B2022" s="306" t="str">
        <f>IF((COUNTBLANK(G2022)=0),Stats!$E$7,IF((COUNTBLANK(E2022)=0),IF((COUNTBLANK(F2022)=0),IF((COUNTBLANK(U2022)=0),Stats!$E$6,Stats!$E$5),Stats!$E$4),""))</f>
        <v/>
      </c>
      <c r="C2022" s="41"/>
      <c r="D2022" s="306" t="str">
        <f>IF(B2022=Stats!$E$6,Stats!$E$11,"")</f>
        <v/>
      </c>
    </row>
    <row r="2023" spans="1:4" hidden="1" x14ac:dyDescent="0.25">
      <c r="A2023" s="32" t="s">
        <v>2747</v>
      </c>
      <c r="B2023" s="306" t="str">
        <f>IF((COUNTBLANK(G2023)=0),Stats!$E$7,IF((COUNTBLANK(E2023)=0),IF((COUNTBLANK(F2023)=0),IF((COUNTBLANK(U2023)=0),Stats!$E$6,Stats!$E$5),Stats!$E$4),""))</f>
        <v/>
      </c>
      <c r="C2023" s="41"/>
      <c r="D2023" s="306" t="str">
        <f>IF(B2023=Stats!$E$6,Stats!$E$11,"")</f>
        <v/>
      </c>
    </row>
    <row r="2024" spans="1:4" hidden="1" x14ac:dyDescent="0.25">
      <c r="A2024" s="32" t="s">
        <v>2748</v>
      </c>
      <c r="B2024" s="306" t="str">
        <f>IF((COUNTBLANK(G2024)=0),Stats!$E$7,IF((COUNTBLANK(E2024)=0),IF((COUNTBLANK(F2024)=0),IF((COUNTBLANK(U2024)=0),Stats!$E$6,Stats!$E$5),Stats!$E$4),""))</f>
        <v/>
      </c>
      <c r="C2024" s="41"/>
      <c r="D2024" s="306" t="str">
        <f>IF(B2024=Stats!$E$6,Stats!$E$11,"")</f>
        <v/>
      </c>
    </row>
    <row r="2025" spans="1:4" hidden="1" x14ac:dyDescent="0.25">
      <c r="A2025" s="32" t="s">
        <v>2749</v>
      </c>
      <c r="B2025" s="306" t="str">
        <f>IF((COUNTBLANK(G2025)=0),Stats!$E$7,IF((COUNTBLANK(E2025)=0),IF((COUNTBLANK(F2025)=0),IF((COUNTBLANK(U2025)=0),Stats!$E$6,Stats!$E$5),Stats!$E$4),""))</f>
        <v/>
      </c>
      <c r="C2025" s="41"/>
      <c r="D2025" s="306" t="str">
        <f>IF(B2025=Stats!$E$6,Stats!$E$11,"")</f>
        <v/>
      </c>
    </row>
    <row r="2026" spans="1:4" hidden="1" x14ac:dyDescent="0.25">
      <c r="A2026" s="32" t="s">
        <v>2750</v>
      </c>
      <c r="B2026" s="306" t="str">
        <f>IF((COUNTBLANK(G2026)=0),Stats!$E$7,IF((COUNTBLANK(E2026)=0),IF((COUNTBLANK(F2026)=0),IF((COUNTBLANK(U2026)=0),Stats!$E$6,Stats!$E$5),Stats!$E$4),""))</f>
        <v/>
      </c>
      <c r="C2026" s="41"/>
      <c r="D2026" s="306" t="str">
        <f>IF(B2026=Stats!$E$6,Stats!$E$11,"")</f>
        <v/>
      </c>
    </row>
    <row r="2027" spans="1:4" hidden="1" x14ac:dyDescent="0.25">
      <c r="A2027" s="32" t="s">
        <v>2751</v>
      </c>
      <c r="B2027" s="306" t="str">
        <f>IF((COUNTBLANK(G2027)=0),Stats!$E$7,IF((COUNTBLANK(E2027)=0),IF((COUNTBLANK(F2027)=0),IF((COUNTBLANK(U2027)=0),Stats!$E$6,Stats!$E$5),Stats!$E$4),""))</f>
        <v/>
      </c>
      <c r="C2027" s="41"/>
      <c r="D2027" s="306" t="str">
        <f>IF(B2027=Stats!$E$6,Stats!$E$11,"")</f>
        <v/>
      </c>
    </row>
    <row r="2028" spans="1:4" hidden="1" x14ac:dyDescent="0.25">
      <c r="A2028" s="32" t="s">
        <v>2752</v>
      </c>
      <c r="B2028" s="306" t="str">
        <f>IF((COUNTBLANK(G2028)=0),Stats!$E$7,IF((COUNTBLANK(E2028)=0),IF((COUNTBLANK(F2028)=0),IF((COUNTBLANK(U2028)=0),Stats!$E$6,Stats!$E$5),Stats!$E$4),""))</f>
        <v/>
      </c>
      <c r="C2028" s="41"/>
      <c r="D2028" s="306" t="str">
        <f>IF(B2028=Stats!$E$6,Stats!$E$11,"")</f>
        <v/>
      </c>
    </row>
    <row r="2029" spans="1:4" hidden="1" x14ac:dyDescent="0.25">
      <c r="A2029" s="32" t="s">
        <v>2753</v>
      </c>
      <c r="B2029" s="306" t="str">
        <f>IF((COUNTBLANK(G2029)=0),Stats!$E$7,IF((COUNTBLANK(E2029)=0),IF((COUNTBLANK(F2029)=0),IF((COUNTBLANK(U2029)=0),Stats!$E$6,Stats!$E$5),Stats!$E$4),""))</f>
        <v/>
      </c>
      <c r="C2029" s="41"/>
      <c r="D2029" s="306" t="str">
        <f>IF(B2029=Stats!$E$6,Stats!$E$11,"")</f>
        <v/>
      </c>
    </row>
    <row r="2030" spans="1:4" hidden="1" x14ac:dyDescent="0.25">
      <c r="A2030" s="32" t="s">
        <v>2754</v>
      </c>
      <c r="B2030" s="306" t="str">
        <f>IF((COUNTBLANK(G2030)=0),Stats!$E$7,IF((COUNTBLANK(E2030)=0),IF((COUNTBLANK(F2030)=0),IF((COUNTBLANK(U2030)=0),Stats!$E$6,Stats!$E$5),Stats!$E$4),""))</f>
        <v/>
      </c>
      <c r="C2030" s="41"/>
      <c r="D2030" s="306" t="str">
        <f>IF(B2030=Stats!$E$6,Stats!$E$11,"")</f>
        <v/>
      </c>
    </row>
    <row r="2031" spans="1:4" hidden="1" x14ac:dyDescent="0.25">
      <c r="A2031" s="32" t="s">
        <v>2755</v>
      </c>
      <c r="B2031" s="306" t="str">
        <f>IF((COUNTBLANK(G2031)=0),Stats!$E$7,IF((COUNTBLANK(E2031)=0),IF((COUNTBLANK(F2031)=0),IF((COUNTBLANK(U2031)=0),Stats!$E$6,Stats!$E$5),Stats!$E$4),""))</f>
        <v/>
      </c>
      <c r="C2031" s="41"/>
      <c r="D2031" s="306" t="str">
        <f>IF(B2031=Stats!$E$6,Stats!$E$11,"")</f>
        <v/>
      </c>
    </row>
    <row r="2032" spans="1:4" hidden="1" x14ac:dyDescent="0.25">
      <c r="A2032" s="32" t="s">
        <v>2756</v>
      </c>
      <c r="B2032" s="306" t="str">
        <f>IF((COUNTBLANK(G2032)=0),Stats!$E$7,IF((COUNTBLANK(E2032)=0),IF((COUNTBLANK(F2032)=0),IF((COUNTBLANK(U2032)=0),Stats!$E$6,Stats!$E$5),Stats!$E$4),""))</f>
        <v/>
      </c>
      <c r="C2032" s="41"/>
      <c r="D2032" s="306" t="str">
        <f>IF(B2032=Stats!$E$6,Stats!$E$11,"")</f>
        <v/>
      </c>
    </row>
    <row r="2033" spans="1:4" hidden="1" x14ac:dyDescent="0.25">
      <c r="A2033" s="32" t="s">
        <v>2757</v>
      </c>
      <c r="B2033" s="306" t="str">
        <f>IF((COUNTBLANK(G2033)=0),Stats!$E$7,IF((COUNTBLANK(E2033)=0),IF((COUNTBLANK(F2033)=0),IF((COUNTBLANK(U2033)=0),Stats!$E$6,Stats!$E$5),Stats!$E$4),""))</f>
        <v/>
      </c>
      <c r="C2033" s="41"/>
      <c r="D2033" s="306" t="str">
        <f>IF(B2033=Stats!$E$6,Stats!$E$11,"")</f>
        <v/>
      </c>
    </row>
    <row r="2034" spans="1:4" hidden="1" x14ac:dyDescent="0.25">
      <c r="A2034" s="32" t="s">
        <v>2758</v>
      </c>
      <c r="B2034" s="306" t="str">
        <f>IF((COUNTBLANK(G2034)=0),Stats!$E$7,IF((COUNTBLANK(E2034)=0),IF((COUNTBLANK(F2034)=0),IF((COUNTBLANK(U2034)=0),Stats!$E$6,Stats!$E$5),Stats!$E$4),""))</f>
        <v/>
      </c>
      <c r="C2034" s="41"/>
      <c r="D2034" s="306" t="str">
        <f>IF(B2034=Stats!$E$6,Stats!$E$11,"")</f>
        <v/>
      </c>
    </row>
    <row r="2035" spans="1:4" hidden="1" x14ac:dyDescent="0.25">
      <c r="A2035" s="32" t="s">
        <v>2759</v>
      </c>
      <c r="B2035" s="306" t="str">
        <f>IF((COUNTBLANK(G2035)=0),Stats!$E$7,IF((COUNTBLANK(E2035)=0),IF((COUNTBLANK(F2035)=0),IF((COUNTBLANK(U2035)=0),Stats!$E$6,Stats!$E$5),Stats!$E$4),""))</f>
        <v/>
      </c>
      <c r="C2035" s="41"/>
      <c r="D2035" s="306" t="str">
        <f>IF(B2035=Stats!$E$6,Stats!$E$11,"")</f>
        <v/>
      </c>
    </row>
    <row r="2036" spans="1:4" hidden="1" x14ac:dyDescent="0.25">
      <c r="A2036" s="32" t="s">
        <v>2760</v>
      </c>
      <c r="B2036" s="306" t="str">
        <f>IF((COUNTBLANK(G2036)=0),Stats!$E$7,IF((COUNTBLANK(E2036)=0),IF((COUNTBLANK(F2036)=0),IF((COUNTBLANK(U2036)=0),Stats!$E$6,Stats!$E$5),Stats!$E$4),""))</f>
        <v/>
      </c>
      <c r="C2036" s="41"/>
      <c r="D2036" s="306" t="str">
        <f>IF(B2036=Stats!$E$6,Stats!$E$11,"")</f>
        <v/>
      </c>
    </row>
    <row r="2037" spans="1:4" hidden="1" x14ac:dyDescent="0.25">
      <c r="A2037" s="32" t="s">
        <v>2761</v>
      </c>
      <c r="B2037" s="306" t="str">
        <f>IF((COUNTBLANK(G2037)=0),Stats!$E$7,IF((COUNTBLANK(E2037)=0),IF((COUNTBLANK(F2037)=0),IF((COUNTBLANK(U2037)=0),Stats!$E$6,Stats!$E$5),Stats!$E$4),""))</f>
        <v/>
      </c>
      <c r="C2037" s="41"/>
      <c r="D2037" s="306" t="str">
        <f>IF(B2037=Stats!$E$6,Stats!$E$11,"")</f>
        <v/>
      </c>
    </row>
    <row r="2038" spans="1:4" hidden="1" x14ac:dyDescent="0.25">
      <c r="A2038" s="32" t="s">
        <v>2762</v>
      </c>
      <c r="B2038" s="306" t="str">
        <f>IF((COUNTBLANK(G2038)=0),Stats!$E$7,IF((COUNTBLANK(E2038)=0),IF((COUNTBLANK(F2038)=0),IF((COUNTBLANK(U2038)=0),Stats!$E$6,Stats!$E$5),Stats!$E$4),""))</f>
        <v/>
      </c>
      <c r="C2038" s="41"/>
      <c r="D2038" s="306" t="str">
        <f>IF(B2038=Stats!$E$6,Stats!$E$11,"")</f>
        <v/>
      </c>
    </row>
    <row r="2039" spans="1:4" hidden="1" x14ac:dyDescent="0.25">
      <c r="A2039" s="32" t="s">
        <v>2763</v>
      </c>
      <c r="B2039" s="306" t="str">
        <f>IF((COUNTBLANK(G2039)=0),Stats!$E$7,IF((COUNTBLANK(E2039)=0),IF((COUNTBLANK(F2039)=0),IF((COUNTBLANK(U2039)=0),Stats!$E$6,Stats!$E$5),Stats!$E$4),""))</f>
        <v/>
      </c>
      <c r="C2039" s="41"/>
      <c r="D2039" s="306" t="str">
        <f>IF(B2039=Stats!$E$6,Stats!$E$11,"")</f>
        <v/>
      </c>
    </row>
    <row r="2040" spans="1:4" hidden="1" x14ac:dyDescent="0.25">
      <c r="A2040" s="32" t="s">
        <v>2764</v>
      </c>
      <c r="B2040" s="306" t="str">
        <f>IF((COUNTBLANK(G2040)=0),Stats!$E$7,IF((COUNTBLANK(E2040)=0),IF((COUNTBLANK(F2040)=0),IF((COUNTBLANK(U2040)=0),Stats!$E$6,Stats!$E$5),Stats!$E$4),""))</f>
        <v/>
      </c>
      <c r="C2040" s="41"/>
      <c r="D2040" s="306" t="str">
        <f>IF(B2040=Stats!$E$6,Stats!$E$11,"")</f>
        <v/>
      </c>
    </row>
    <row r="2041" spans="1:4" hidden="1" x14ac:dyDescent="0.25">
      <c r="A2041" s="32" t="s">
        <v>2765</v>
      </c>
      <c r="B2041" s="306" t="str">
        <f>IF((COUNTBLANK(G2041)=0),Stats!$E$7,IF((COUNTBLANK(E2041)=0),IF((COUNTBLANK(F2041)=0),IF((COUNTBLANK(U2041)=0),Stats!$E$6,Stats!$E$5),Stats!$E$4),""))</f>
        <v/>
      </c>
      <c r="C2041" s="41"/>
      <c r="D2041" s="306" t="str">
        <f>IF(B2041=Stats!$E$6,Stats!$E$11,"")</f>
        <v/>
      </c>
    </row>
    <row r="2042" spans="1:4" hidden="1" x14ac:dyDescent="0.25">
      <c r="A2042" s="32" t="s">
        <v>2766</v>
      </c>
      <c r="B2042" s="306" t="str">
        <f>IF((COUNTBLANK(G2042)=0),Stats!$E$7,IF((COUNTBLANK(E2042)=0),IF((COUNTBLANK(F2042)=0),IF((COUNTBLANK(U2042)=0),Stats!$E$6,Stats!$E$5),Stats!$E$4),""))</f>
        <v/>
      </c>
      <c r="C2042" s="41"/>
      <c r="D2042" s="306" t="str">
        <f>IF(B2042=Stats!$E$6,Stats!$E$11,"")</f>
        <v/>
      </c>
    </row>
    <row r="2043" spans="1:4" hidden="1" x14ac:dyDescent="0.25">
      <c r="A2043" s="32" t="s">
        <v>2767</v>
      </c>
      <c r="B2043" s="306" t="str">
        <f>IF((COUNTBLANK(G2043)=0),Stats!$E$7,IF((COUNTBLANK(E2043)=0),IF((COUNTBLANK(F2043)=0),IF((COUNTBLANK(U2043)=0),Stats!$E$6,Stats!$E$5),Stats!$E$4),""))</f>
        <v/>
      </c>
      <c r="C2043" s="41"/>
      <c r="D2043" s="306" t="str">
        <f>IF(B2043=Stats!$E$6,Stats!$E$11,"")</f>
        <v/>
      </c>
    </row>
    <row r="2044" spans="1:4" hidden="1" x14ac:dyDescent="0.25">
      <c r="A2044" s="32" t="s">
        <v>2768</v>
      </c>
      <c r="B2044" s="306" t="str">
        <f>IF((COUNTBLANK(G2044)=0),Stats!$E$7,IF((COUNTBLANK(E2044)=0),IF((COUNTBLANK(F2044)=0),IF((COUNTBLANK(U2044)=0),Stats!$E$6,Stats!$E$5),Stats!$E$4),""))</f>
        <v/>
      </c>
      <c r="C2044" s="41"/>
      <c r="D2044" s="306" t="str">
        <f>IF(B2044=Stats!$E$6,Stats!$E$11,"")</f>
        <v/>
      </c>
    </row>
    <row r="2045" spans="1:4" hidden="1" x14ac:dyDescent="0.25">
      <c r="A2045" s="32" t="s">
        <v>2769</v>
      </c>
      <c r="B2045" s="306" t="str">
        <f>IF((COUNTBLANK(G2045)=0),Stats!$E$7,IF((COUNTBLANK(E2045)=0),IF((COUNTBLANK(F2045)=0),IF((COUNTBLANK(U2045)=0),Stats!$E$6,Stats!$E$5),Stats!$E$4),""))</f>
        <v/>
      </c>
      <c r="C2045" s="41"/>
      <c r="D2045" s="306" t="str">
        <f>IF(B2045=Stats!$E$6,Stats!$E$11,"")</f>
        <v/>
      </c>
    </row>
    <row r="2046" spans="1:4" hidden="1" x14ac:dyDescent="0.25">
      <c r="A2046" s="32" t="s">
        <v>2770</v>
      </c>
      <c r="B2046" s="306" t="str">
        <f>IF((COUNTBLANK(G2046)=0),Stats!$E$7,IF((COUNTBLANK(E2046)=0),IF((COUNTBLANK(F2046)=0),IF((COUNTBLANK(U2046)=0),Stats!$E$6,Stats!$E$5),Stats!$E$4),""))</f>
        <v/>
      </c>
      <c r="C2046" s="41"/>
      <c r="D2046" s="306" t="str">
        <f>IF(B2046=Stats!$E$6,Stats!$E$11,"")</f>
        <v/>
      </c>
    </row>
    <row r="2047" spans="1:4" hidden="1" x14ac:dyDescent="0.25">
      <c r="A2047" s="32" t="s">
        <v>2771</v>
      </c>
      <c r="B2047" s="306" t="str">
        <f>IF((COUNTBLANK(G2047)=0),Stats!$E$7,IF((COUNTBLANK(E2047)=0),IF((COUNTBLANK(F2047)=0),IF((COUNTBLANK(U2047)=0),Stats!$E$6,Stats!$E$5),Stats!$E$4),""))</f>
        <v/>
      </c>
      <c r="C2047" s="41"/>
      <c r="D2047" s="306" t="str">
        <f>IF(B2047=Stats!$E$6,Stats!$E$11,"")</f>
        <v/>
      </c>
    </row>
    <row r="2048" spans="1:4" hidden="1" x14ac:dyDescent="0.25">
      <c r="A2048" s="32" t="s">
        <v>2772</v>
      </c>
      <c r="B2048" s="306" t="str">
        <f>IF((COUNTBLANK(G2048)=0),Stats!$E$7,IF((COUNTBLANK(E2048)=0),IF((COUNTBLANK(F2048)=0),IF((COUNTBLANK(U2048)=0),Stats!$E$6,Stats!$E$5),Stats!$E$4),""))</f>
        <v/>
      </c>
      <c r="C2048" s="41"/>
      <c r="D2048" s="306" t="str">
        <f>IF(B2048=Stats!$E$6,Stats!$E$11,"")</f>
        <v/>
      </c>
    </row>
    <row r="2049" spans="1:4" hidden="1" x14ac:dyDescent="0.25">
      <c r="A2049" s="32" t="s">
        <v>2773</v>
      </c>
      <c r="B2049" s="306" t="str">
        <f>IF((COUNTBLANK(G2049)=0),Stats!$E$7,IF((COUNTBLANK(E2049)=0),IF((COUNTBLANK(F2049)=0),IF((COUNTBLANK(U2049)=0),Stats!$E$6,Stats!$E$5),Stats!$E$4),""))</f>
        <v/>
      </c>
      <c r="C2049" s="41"/>
      <c r="D2049" s="306" t="str">
        <f>IF(B2049=Stats!$E$6,Stats!$E$11,"")</f>
        <v/>
      </c>
    </row>
    <row r="2050" spans="1:4" hidden="1" x14ac:dyDescent="0.25">
      <c r="A2050" s="32" t="s">
        <v>2774</v>
      </c>
      <c r="B2050" s="306" t="str">
        <f>IF((COUNTBLANK(G2050)=0),Stats!$E$7,IF((COUNTBLANK(E2050)=0),IF((COUNTBLANK(F2050)=0),IF((COUNTBLANK(U2050)=0),Stats!$E$6,Stats!$E$5),Stats!$E$4),""))</f>
        <v/>
      </c>
      <c r="C2050" s="41"/>
      <c r="D2050" s="306" t="str">
        <f>IF(B2050=Stats!$E$6,Stats!$E$11,"")</f>
        <v/>
      </c>
    </row>
    <row r="2051" spans="1:4" hidden="1" x14ac:dyDescent="0.25">
      <c r="A2051" s="32" t="s">
        <v>2775</v>
      </c>
      <c r="B2051" s="306" t="str">
        <f>IF((COUNTBLANK(G2051)=0),Stats!$E$7,IF((COUNTBLANK(E2051)=0),IF((COUNTBLANK(F2051)=0),IF((COUNTBLANK(U2051)=0),Stats!$E$6,Stats!$E$5),Stats!$E$4),""))</f>
        <v/>
      </c>
      <c r="C2051" s="41"/>
      <c r="D2051" s="306" t="str">
        <f>IF(B2051=Stats!$E$6,Stats!$E$11,"")</f>
        <v/>
      </c>
    </row>
    <row r="2052" spans="1:4" hidden="1" x14ac:dyDescent="0.25">
      <c r="A2052" s="32" t="s">
        <v>2776</v>
      </c>
      <c r="B2052" s="306" t="str">
        <f>IF((COUNTBLANK(G2052)=0),Stats!$E$7,IF((COUNTBLANK(E2052)=0),IF((COUNTBLANK(F2052)=0),IF((COUNTBLANK(U2052)=0),Stats!$E$6,Stats!$E$5),Stats!$E$4),""))</f>
        <v/>
      </c>
      <c r="C2052" s="41"/>
      <c r="D2052" s="306" t="str">
        <f>IF(B2052=Stats!$E$6,Stats!$E$11,"")</f>
        <v/>
      </c>
    </row>
    <row r="2053" spans="1:4" hidden="1" x14ac:dyDescent="0.25">
      <c r="A2053" s="32" t="s">
        <v>2777</v>
      </c>
      <c r="B2053" s="306" t="str">
        <f>IF((COUNTBLANK(G2053)=0),Stats!$E$7,IF((COUNTBLANK(E2053)=0),IF((COUNTBLANK(F2053)=0),IF((COUNTBLANK(U2053)=0),Stats!$E$6,Stats!$E$5),Stats!$E$4),""))</f>
        <v/>
      </c>
      <c r="C2053" s="41"/>
      <c r="D2053" s="306" t="str">
        <f>IF(B2053=Stats!$E$6,Stats!$E$11,"")</f>
        <v/>
      </c>
    </row>
    <row r="2054" spans="1:4" hidden="1" x14ac:dyDescent="0.25">
      <c r="A2054" s="32" t="s">
        <v>2778</v>
      </c>
      <c r="B2054" s="306" t="str">
        <f>IF((COUNTBLANK(G2054)=0),Stats!$E$7,IF((COUNTBLANK(E2054)=0),IF((COUNTBLANK(F2054)=0),IF((COUNTBLANK(U2054)=0),Stats!$E$6,Stats!$E$5),Stats!$E$4),""))</f>
        <v/>
      </c>
      <c r="C2054" s="41"/>
      <c r="D2054" s="306" t="str">
        <f>IF(B2054=Stats!$E$6,Stats!$E$11,"")</f>
        <v/>
      </c>
    </row>
    <row r="2055" spans="1:4" hidden="1" x14ac:dyDescent="0.25">
      <c r="A2055" s="32" t="s">
        <v>2779</v>
      </c>
      <c r="B2055" s="306" t="str">
        <f>IF((COUNTBLANK(G2055)=0),Stats!$E$7,IF((COUNTBLANK(E2055)=0),IF((COUNTBLANK(F2055)=0),IF((COUNTBLANK(U2055)=0),Stats!$E$6,Stats!$E$5),Stats!$E$4),""))</f>
        <v/>
      </c>
      <c r="C2055" s="41"/>
      <c r="D2055" s="306" t="str">
        <f>IF(B2055=Stats!$E$6,Stats!$E$11,"")</f>
        <v/>
      </c>
    </row>
    <row r="2056" spans="1:4" hidden="1" x14ac:dyDescent="0.25">
      <c r="A2056" s="32" t="s">
        <v>2780</v>
      </c>
      <c r="B2056" s="306" t="str">
        <f>IF((COUNTBLANK(G2056)=0),Stats!$E$7,IF((COUNTBLANK(E2056)=0),IF((COUNTBLANK(F2056)=0),IF((COUNTBLANK(U2056)=0),Stats!$E$6,Stats!$E$5),Stats!$E$4),""))</f>
        <v/>
      </c>
      <c r="C2056" s="41"/>
      <c r="D2056" s="306" t="str">
        <f>IF(B2056=Stats!$E$6,Stats!$E$11,"")</f>
        <v/>
      </c>
    </row>
    <row r="2057" spans="1:4" hidden="1" x14ac:dyDescent="0.25">
      <c r="A2057" s="32" t="s">
        <v>2781</v>
      </c>
      <c r="B2057" s="306" t="str">
        <f>IF((COUNTBLANK(G2057)=0),Stats!$E$7,IF((COUNTBLANK(E2057)=0),IF((COUNTBLANK(F2057)=0),IF((COUNTBLANK(U2057)=0),Stats!$E$6,Stats!$E$5),Stats!$E$4),""))</f>
        <v/>
      </c>
      <c r="C2057" s="41"/>
      <c r="D2057" s="306" t="str">
        <f>IF(B2057=Stats!$E$6,Stats!$E$11,"")</f>
        <v/>
      </c>
    </row>
    <row r="2058" spans="1:4" hidden="1" x14ac:dyDescent="0.25">
      <c r="A2058" s="32" t="s">
        <v>2782</v>
      </c>
      <c r="B2058" s="306" t="str">
        <f>IF((COUNTBLANK(G2058)=0),Stats!$E$7,IF((COUNTBLANK(E2058)=0),IF((COUNTBLANK(F2058)=0),IF((COUNTBLANK(U2058)=0),Stats!$E$6,Stats!$E$5),Stats!$E$4),""))</f>
        <v/>
      </c>
      <c r="C2058" s="41"/>
      <c r="D2058" s="306" t="str">
        <f>IF(B2058=Stats!$E$6,Stats!$E$11,"")</f>
        <v/>
      </c>
    </row>
    <row r="2059" spans="1:4" hidden="1" x14ac:dyDescent="0.25">
      <c r="A2059" s="32" t="s">
        <v>2783</v>
      </c>
      <c r="B2059" s="306" t="str">
        <f>IF((COUNTBLANK(G2059)=0),Stats!$E$7,IF((COUNTBLANK(E2059)=0),IF((COUNTBLANK(F2059)=0),IF((COUNTBLANK(U2059)=0),Stats!$E$6,Stats!$E$5),Stats!$E$4),""))</f>
        <v/>
      </c>
      <c r="C2059" s="41"/>
      <c r="D2059" s="306" t="str">
        <f>IF(B2059=Stats!$E$6,Stats!$E$11,"")</f>
        <v/>
      </c>
    </row>
    <row r="2060" spans="1:4" hidden="1" x14ac:dyDescent="0.25">
      <c r="A2060" s="32" t="s">
        <v>2784</v>
      </c>
      <c r="B2060" s="306" t="str">
        <f>IF((COUNTBLANK(G2060)=0),Stats!$E$7,IF((COUNTBLANK(E2060)=0),IF((COUNTBLANK(F2060)=0),IF((COUNTBLANK(U2060)=0),Stats!$E$6,Stats!$E$5),Stats!$E$4),""))</f>
        <v/>
      </c>
      <c r="C2060" s="41"/>
      <c r="D2060" s="306" t="str">
        <f>IF(B2060=Stats!$E$6,Stats!$E$11,"")</f>
        <v/>
      </c>
    </row>
    <row r="2061" spans="1:4" hidden="1" x14ac:dyDescent="0.25">
      <c r="A2061" s="32" t="s">
        <v>2785</v>
      </c>
      <c r="B2061" s="306" t="str">
        <f>IF((COUNTBLANK(G2061)=0),Stats!$E$7,IF((COUNTBLANK(E2061)=0),IF((COUNTBLANK(F2061)=0),IF((COUNTBLANK(U2061)=0),Stats!$E$6,Stats!$E$5),Stats!$E$4),""))</f>
        <v/>
      </c>
      <c r="C2061" s="41"/>
      <c r="D2061" s="306" t="str">
        <f>IF(B2061=Stats!$E$6,Stats!$E$11,"")</f>
        <v/>
      </c>
    </row>
    <row r="2062" spans="1:4" hidden="1" x14ac:dyDescent="0.25">
      <c r="A2062" s="32" t="s">
        <v>2786</v>
      </c>
      <c r="B2062" s="306" t="str">
        <f>IF((COUNTBLANK(G2062)=0),Stats!$E$7,IF((COUNTBLANK(E2062)=0),IF((COUNTBLANK(F2062)=0),IF((COUNTBLANK(U2062)=0),Stats!$E$6,Stats!$E$5),Stats!$E$4),""))</f>
        <v/>
      </c>
      <c r="C2062" s="41"/>
      <c r="D2062" s="306" t="str">
        <f>IF(B2062=Stats!$E$6,Stats!$E$11,"")</f>
        <v/>
      </c>
    </row>
    <row r="2063" spans="1:4" hidden="1" x14ac:dyDescent="0.25">
      <c r="A2063" s="32" t="s">
        <v>2787</v>
      </c>
      <c r="B2063" s="306" t="str">
        <f>IF((COUNTBLANK(G2063)=0),Stats!$E$7,IF((COUNTBLANK(E2063)=0),IF((COUNTBLANK(F2063)=0),IF((COUNTBLANK(U2063)=0),Stats!$E$6,Stats!$E$5),Stats!$E$4),""))</f>
        <v/>
      </c>
      <c r="C2063" s="41"/>
      <c r="D2063" s="306" t="str">
        <f>IF(B2063=Stats!$E$6,Stats!$E$11,"")</f>
        <v/>
      </c>
    </row>
    <row r="2064" spans="1:4" hidden="1" x14ac:dyDescent="0.25">
      <c r="A2064" s="32" t="s">
        <v>2788</v>
      </c>
      <c r="B2064" s="306" t="str">
        <f>IF((COUNTBLANK(G2064)=0),Stats!$E$7,IF((COUNTBLANK(E2064)=0),IF((COUNTBLANK(F2064)=0),IF((COUNTBLANK(U2064)=0),Stats!$E$6,Stats!$E$5),Stats!$E$4),""))</f>
        <v/>
      </c>
      <c r="C2064" s="41"/>
      <c r="D2064" s="306" t="str">
        <f>IF(B2064=Stats!$E$6,Stats!$E$11,"")</f>
        <v/>
      </c>
    </row>
    <row r="2065" spans="1:4" hidden="1" x14ac:dyDescent="0.25">
      <c r="A2065" s="32" t="s">
        <v>2789</v>
      </c>
      <c r="B2065" s="306" t="str">
        <f>IF((COUNTBLANK(G2065)=0),Stats!$E$7,IF((COUNTBLANK(E2065)=0),IF((COUNTBLANK(F2065)=0),IF((COUNTBLANK(U2065)=0),Stats!$E$6,Stats!$E$5),Stats!$E$4),""))</f>
        <v/>
      </c>
      <c r="C2065" s="41"/>
      <c r="D2065" s="306" t="str">
        <f>IF(B2065=Stats!$E$6,Stats!$E$11,"")</f>
        <v/>
      </c>
    </row>
    <row r="2066" spans="1:4" hidden="1" x14ac:dyDescent="0.25">
      <c r="A2066" s="32" t="s">
        <v>2790</v>
      </c>
      <c r="B2066" s="306" t="str">
        <f>IF((COUNTBLANK(G2066)=0),Stats!$E$7,IF((COUNTBLANK(E2066)=0),IF((COUNTBLANK(F2066)=0),IF((COUNTBLANK(U2066)=0),Stats!$E$6,Stats!$E$5),Stats!$E$4),""))</f>
        <v/>
      </c>
      <c r="C2066" s="41"/>
      <c r="D2066" s="306" t="str">
        <f>IF(B2066=Stats!$E$6,Stats!$E$11,"")</f>
        <v/>
      </c>
    </row>
    <row r="2067" spans="1:4" hidden="1" x14ac:dyDescent="0.25">
      <c r="A2067" s="32" t="s">
        <v>2791</v>
      </c>
      <c r="B2067" s="306" t="str">
        <f>IF((COUNTBLANK(G2067)=0),Stats!$E$7,IF((COUNTBLANK(E2067)=0),IF((COUNTBLANK(F2067)=0),IF((COUNTBLANK(U2067)=0),Stats!$E$6,Stats!$E$5),Stats!$E$4),""))</f>
        <v/>
      </c>
      <c r="C2067" s="41"/>
      <c r="D2067" s="306" t="str">
        <f>IF(B2067=Stats!$E$6,Stats!$E$11,"")</f>
        <v/>
      </c>
    </row>
    <row r="2068" spans="1:4" hidden="1" x14ac:dyDescent="0.25">
      <c r="A2068" s="32" t="s">
        <v>2792</v>
      </c>
      <c r="B2068" s="306" t="str">
        <f>IF((COUNTBLANK(G2068)=0),Stats!$E$7,IF((COUNTBLANK(E2068)=0),IF((COUNTBLANK(F2068)=0),IF((COUNTBLANK(U2068)=0),Stats!$E$6,Stats!$E$5),Stats!$E$4),""))</f>
        <v/>
      </c>
      <c r="C2068" s="41"/>
      <c r="D2068" s="306" t="str">
        <f>IF(B2068=Stats!$E$6,Stats!$E$11,"")</f>
        <v/>
      </c>
    </row>
    <row r="2069" spans="1:4" hidden="1" x14ac:dyDescent="0.25">
      <c r="A2069" s="32" t="s">
        <v>2793</v>
      </c>
      <c r="B2069" s="306" t="str">
        <f>IF((COUNTBLANK(G2069)=0),Stats!$E$7,IF((COUNTBLANK(E2069)=0),IF((COUNTBLANK(F2069)=0),IF((COUNTBLANK(U2069)=0),Stats!$E$6,Stats!$E$5),Stats!$E$4),""))</f>
        <v/>
      </c>
      <c r="C2069" s="41"/>
      <c r="D2069" s="306" t="str">
        <f>IF(B2069=Stats!$E$6,Stats!$E$11,"")</f>
        <v/>
      </c>
    </row>
    <row r="2070" spans="1:4" hidden="1" x14ac:dyDescent="0.25">
      <c r="A2070" s="32" t="s">
        <v>2794</v>
      </c>
      <c r="B2070" s="306" t="str">
        <f>IF((COUNTBLANK(G2070)=0),Stats!$E$7,IF((COUNTBLANK(E2070)=0),IF((COUNTBLANK(F2070)=0),IF((COUNTBLANK(U2070)=0),Stats!$E$6,Stats!$E$5),Stats!$E$4),""))</f>
        <v/>
      </c>
      <c r="C2070" s="41"/>
      <c r="D2070" s="306" t="str">
        <f>IF(B2070=Stats!$E$6,Stats!$E$11,"")</f>
        <v/>
      </c>
    </row>
    <row r="2071" spans="1:4" hidden="1" x14ac:dyDescent="0.25">
      <c r="A2071" s="32" t="s">
        <v>2795</v>
      </c>
      <c r="B2071" s="306" t="str">
        <f>IF((COUNTBLANK(G2071)=0),Stats!$E$7,IF((COUNTBLANK(E2071)=0),IF((COUNTBLANK(F2071)=0),IF((COUNTBLANK(U2071)=0),Stats!$E$6,Stats!$E$5),Stats!$E$4),""))</f>
        <v/>
      </c>
      <c r="C2071" s="41"/>
      <c r="D2071" s="306" t="str">
        <f>IF(B2071=Stats!$E$6,Stats!$E$11,"")</f>
        <v/>
      </c>
    </row>
    <row r="2072" spans="1:4" hidden="1" x14ac:dyDescent="0.25">
      <c r="A2072" s="32" t="s">
        <v>2796</v>
      </c>
      <c r="B2072" s="306" t="str">
        <f>IF((COUNTBLANK(G2072)=0),Stats!$E$7,IF((COUNTBLANK(E2072)=0),IF((COUNTBLANK(F2072)=0),IF((COUNTBLANK(U2072)=0),Stats!$E$6,Stats!$E$5),Stats!$E$4),""))</f>
        <v/>
      </c>
      <c r="C2072" s="41"/>
      <c r="D2072" s="306" t="str">
        <f>IF(B2072=Stats!$E$6,Stats!$E$11,"")</f>
        <v/>
      </c>
    </row>
    <row r="2073" spans="1:4" hidden="1" x14ac:dyDescent="0.25">
      <c r="A2073" s="32" t="s">
        <v>2797</v>
      </c>
      <c r="B2073" s="306" t="str">
        <f>IF((COUNTBLANK(G2073)=0),Stats!$E$7,IF((COUNTBLANK(E2073)=0),IF((COUNTBLANK(F2073)=0),IF((COUNTBLANK(U2073)=0),Stats!$E$6,Stats!$E$5),Stats!$E$4),""))</f>
        <v/>
      </c>
      <c r="C2073" s="41"/>
      <c r="D2073" s="306" t="str">
        <f>IF(B2073=Stats!$E$6,Stats!$E$11,"")</f>
        <v/>
      </c>
    </row>
    <row r="2074" spans="1:4" hidden="1" x14ac:dyDescent="0.25">
      <c r="A2074" s="32" t="s">
        <v>2798</v>
      </c>
      <c r="B2074" s="306" t="str">
        <f>IF((COUNTBLANK(G2074)=0),Stats!$E$7,IF((COUNTBLANK(E2074)=0),IF((COUNTBLANK(F2074)=0),IF((COUNTBLANK(U2074)=0),Stats!$E$6,Stats!$E$5),Stats!$E$4),""))</f>
        <v/>
      </c>
      <c r="C2074" s="41"/>
      <c r="D2074" s="306" t="str">
        <f>IF(B2074=Stats!$E$6,Stats!$E$11,"")</f>
        <v/>
      </c>
    </row>
    <row r="2075" spans="1:4" hidden="1" x14ac:dyDescent="0.25">
      <c r="A2075" s="32" t="s">
        <v>2799</v>
      </c>
      <c r="B2075" s="306" t="str">
        <f>IF((COUNTBLANK(G2075)=0),Stats!$E$7,IF((COUNTBLANK(E2075)=0),IF((COUNTBLANK(F2075)=0),IF((COUNTBLANK(U2075)=0),Stats!$E$6,Stats!$E$5),Stats!$E$4),""))</f>
        <v/>
      </c>
      <c r="C2075" s="41"/>
      <c r="D2075" s="306" t="str">
        <f>IF(B2075=Stats!$E$6,Stats!$E$11,"")</f>
        <v/>
      </c>
    </row>
    <row r="2076" spans="1:4" hidden="1" x14ac:dyDescent="0.25">
      <c r="A2076" s="32" t="s">
        <v>2800</v>
      </c>
      <c r="B2076" s="306" t="str">
        <f>IF((COUNTBLANK(G2076)=0),Stats!$E$7,IF((COUNTBLANK(E2076)=0),IF((COUNTBLANK(F2076)=0),IF((COUNTBLANK(U2076)=0),Stats!$E$6,Stats!$E$5),Stats!$E$4),""))</f>
        <v/>
      </c>
      <c r="C2076" s="41"/>
      <c r="D2076" s="306" t="str">
        <f>IF(B2076=Stats!$E$6,Stats!$E$11,"")</f>
        <v/>
      </c>
    </row>
    <row r="2077" spans="1:4" hidden="1" x14ac:dyDescent="0.25">
      <c r="A2077" s="32" t="s">
        <v>2801</v>
      </c>
      <c r="B2077" s="306" t="str">
        <f>IF((COUNTBLANK(G2077)=0),Stats!$E$7,IF((COUNTBLANK(E2077)=0),IF((COUNTBLANK(F2077)=0),IF((COUNTBLANK(U2077)=0),Stats!$E$6,Stats!$E$5),Stats!$E$4),""))</f>
        <v/>
      </c>
      <c r="C2077" s="41"/>
      <c r="D2077" s="306" t="str">
        <f>IF(B2077=Stats!$E$6,Stats!$E$11,"")</f>
        <v/>
      </c>
    </row>
    <row r="2078" spans="1:4" hidden="1" x14ac:dyDescent="0.25">
      <c r="A2078" s="32" t="s">
        <v>2802</v>
      </c>
      <c r="B2078" s="306" t="str">
        <f>IF((COUNTBLANK(G2078)=0),Stats!$E$7,IF((COUNTBLANK(E2078)=0),IF((COUNTBLANK(F2078)=0),IF((COUNTBLANK(U2078)=0),Stats!$E$6,Stats!$E$5),Stats!$E$4),""))</f>
        <v/>
      </c>
      <c r="C2078" s="41"/>
      <c r="D2078" s="306" t="str">
        <f>IF(B2078=Stats!$E$6,Stats!$E$11,"")</f>
        <v/>
      </c>
    </row>
    <row r="2079" spans="1:4" hidden="1" x14ac:dyDescent="0.25">
      <c r="A2079" s="32" t="s">
        <v>2803</v>
      </c>
      <c r="B2079" s="306" t="str">
        <f>IF((COUNTBLANK(G2079)=0),Stats!$E$7,IF((COUNTBLANK(E2079)=0),IF((COUNTBLANK(F2079)=0),IF((COUNTBLANK(U2079)=0),Stats!$E$6,Stats!$E$5),Stats!$E$4),""))</f>
        <v/>
      </c>
      <c r="C2079" s="41"/>
      <c r="D2079" s="306" t="str">
        <f>IF(B2079=Stats!$E$6,Stats!$E$11,"")</f>
        <v/>
      </c>
    </row>
    <row r="2080" spans="1:4" hidden="1" x14ac:dyDescent="0.25">
      <c r="A2080" s="32" t="s">
        <v>2804</v>
      </c>
      <c r="B2080" s="306" t="str">
        <f>IF((COUNTBLANK(G2080)=0),Stats!$E$7,IF((COUNTBLANK(E2080)=0),IF((COUNTBLANK(F2080)=0),IF((COUNTBLANK(U2080)=0),Stats!$E$6,Stats!$E$5),Stats!$E$4),""))</f>
        <v/>
      </c>
      <c r="C2080" s="41"/>
      <c r="D2080" s="306" t="str">
        <f>IF(B2080=Stats!$E$6,Stats!$E$11,"")</f>
        <v/>
      </c>
    </row>
    <row r="2081" spans="1:4" hidden="1" x14ac:dyDescent="0.25">
      <c r="A2081" s="32" t="s">
        <v>2805</v>
      </c>
      <c r="B2081" s="306" t="str">
        <f>IF((COUNTBLANK(G2081)=0),Stats!$E$7,IF((COUNTBLANK(E2081)=0),IF((COUNTBLANK(F2081)=0),IF((COUNTBLANK(U2081)=0),Stats!$E$6,Stats!$E$5),Stats!$E$4),""))</f>
        <v/>
      </c>
      <c r="C2081" s="41"/>
      <c r="D2081" s="306" t="str">
        <f>IF(B2081=Stats!$E$6,Stats!$E$11,"")</f>
        <v/>
      </c>
    </row>
    <row r="2082" spans="1:4" hidden="1" x14ac:dyDescent="0.25">
      <c r="A2082" s="32" t="s">
        <v>2806</v>
      </c>
      <c r="B2082" s="306" t="str">
        <f>IF((COUNTBLANK(G2082)=0),Stats!$E$7,IF((COUNTBLANK(E2082)=0),IF((COUNTBLANK(F2082)=0),IF((COUNTBLANK(U2082)=0),Stats!$E$6,Stats!$E$5),Stats!$E$4),""))</f>
        <v/>
      </c>
      <c r="C2082" s="41"/>
      <c r="D2082" s="306" t="str">
        <f>IF(B2082=Stats!$E$6,Stats!$E$11,"")</f>
        <v/>
      </c>
    </row>
    <row r="2083" spans="1:4" hidden="1" x14ac:dyDescent="0.25">
      <c r="A2083" s="32" t="s">
        <v>2807</v>
      </c>
      <c r="B2083" s="306" t="str">
        <f>IF((COUNTBLANK(G2083)=0),Stats!$E$7,IF((COUNTBLANK(E2083)=0),IF((COUNTBLANK(F2083)=0),IF((COUNTBLANK(U2083)=0),Stats!$E$6,Stats!$E$5),Stats!$E$4),""))</f>
        <v/>
      </c>
      <c r="C2083" s="41"/>
      <c r="D2083" s="306" t="str">
        <f>IF(B2083=Stats!$E$6,Stats!$E$11,"")</f>
        <v/>
      </c>
    </row>
    <row r="2084" spans="1:4" hidden="1" x14ac:dyDescent="0.25">
      <c r="A2084" s="32" t="s">
        <v>2808</v>
      </c>
      <c r="B2084" s="306" t="str">
        <f>IF((COUNTBLANK(G2084)=0),Stats!$E$7,IF((COUNTBLANK(E2084)=0),IF((COUNTBLANK(F2084)=0),IF((COUNTBLANK(U2084)=0),Stats!$E$6,Stats!$E$5),Stats!$E$4),""))</f>
        <v/>
      </c>
      <c r="C2084" s="41"/>
      <c r="D2084" s="306" t="str">
        <f>IF(B2084=Stats!$E$6,Stats!$E$11,"")</f>
        <v/>
      </c>
    </row>
    <row r="2085" spans="1:4" hidden="1" x14ac:dyDescent="0.25">
      <c r="A2085" s="32" t="s">
        <v>2809</v>
      </c>
      <c r="B2085" s="306" t="str">
        <f>IF((COUNTBLANK(G2085)=0),Stats!$E$7,IF((COUNTBLANK(E2085)=0),IF((COUNTBLANK(F2085)=0),IF((COUNTBLANK(U2085)=0),Stats!$E$6,Stats!$E$5),Stats!$E$4),""))</f>
        <v/>
      </c>
      <c r="C2085" s="41"/>
      <c r="D2085" s="306" t="str">
        <f>IF(B2085=Stats!$E$6,Stats!$E$11,"")</f>
        <v/>
      </c>
    </row>
    <row r="2086" spans="1:4" hidden="1" x14ac:dyDescent="0.25">
      <c r="A2086" s="32" t="s">
        <v>2810</v>
      </c>
      <c r="B2086" s="306" t="str">
        <f>IF((COUNTBLANK(G2086)=0),Stats!$E$7,IF((COUNTBLANK(E2086)=0),IF((COUNTBLANK(F2086)=0),IF((COUNTBLANK(U2086)=0),Stats!$E$6,Stats!$E$5),Stats!$E$4),""))</f>
        <v/>
      </c>
      <c r="C2086" s="41"/>
      <c r="D2086" s="306" t="str">
        <f>IF(B2086=Stats!$E$6,Stats!$E$11,"")</f>
        <v/>
      </c>
    </row>
    <row r="2087" spans="1:4" hidden="1" x14ac:dyDescent="0.25">
      <c r="A2087" s="32" t="s">
        <v>2811</v>
      </c>
      <c r="B2087" s="306" t="str">
        <f>IF((COUNTBLANK(G2087)=0),Stats!$E$7,IF((COUNTBLANK(E2087)=0),IF((COUNTBLANK(F2087)=0),IF((COUNTBLANK(U2087)=0),Stats!$E$6,Stats!$E$5),Stats!$E$4),""))</f>
        <v/>
      </c>
      <c r="C2087" s="41"/>
      <c r="D2087" s="306" t="str">
        <f>IF(B2087=Stats!$E$6,Stats!$E$11,"")</f>
        <v/>
      </c>
    </row>
    <row r="2088" spans="1:4" hidden="1" x14ac:dyDescent="0.25">
      <c r="A2088" s="32" t="s">
        <v>2812</v>
      </c>
      <c r="B2088" s="306" t="str">
        <f>IF((COUNTBLANK(G2088)=0),Stats!$E$7,IF((COUNTBLANK(E2088)=0),IF((COUNTBLANK(F2088)=0),IF((COUNTBLANK(U2088)=0),Stats!$E$6,Stats!$E$5),Stats!$E$4),""))</f>
        <v/>
      </c>
      <c r="C2088" s="41"/>
      <c r="D2088" s="306" t="str">
        <f>IF(B2088=Stats!$E$6,Stats!$E$11,"")</f>
        <v/>
      </c>
    </row>
    <row r="2089" spans="1:4" hidden="1" x14ac:dyDescent="0.25">
      <c r="A2089" s="32" t="s">
        <v>2813</v>
      </c>
      <c r="B2089" s="306" t="str">
        <f>IF((COUNTBLANK(G2089)=0),Stats!$E$7,IF((COUNTBLANK(E2089)=0),IF((COUNTBLANK(F2089)=0),IF((COUNTBLANK(U2089)=0),Stats!$E$6,Stats!$E$5),Stats!$E$4),""))</f>
        <v/>
      </c>
      <c r="C2089" s="41"/>
      <c r="D2089" s="306" t="str">
        <f>IF(B2089=Stats!$E$6,Stats!$E$11,"")</f>
        <v/>
      </c>
    </row>
    <row r="2090" spans="1:4" hidden="1" x14ac:dyDescent="0.25">
      <c r="A2090" s="32" t="s">
        <v>2814</v>
      </c>
      <c r="B2090" s="306" t="str">
        <f>IF((COUNTBLANK(G2090)=0),Stats!$E$7,IF((COUNTBLANK(E2090)=0),IF((COUNTBLANK(F2090)=0),IF((COUNTBLANK(U2090)=0),Stats!$E$6,Stats!$E$5),Stats!$E$4),""))</f>
        <v/>
      </c>
      <c r="C2090" s="41"/>
      <c r="D2090" s="306" t="str">
        <f>IF(B2090=Stats!$E$6,Stats!$E$11,"")</f>
        <v/>
      </c>
    </row>
    <row r="2091" spans="1:4" hidden="1" x14ac:dyDescent="0.25">
      <c r="A2091" s="32" t="s">
        <v>2815</v>
      </c>
      <c r="B2091" s="306" t="str">
        <f>IF((COUNTBLANK(G2091)=0),Stats!$E$7,IF((COUNTBLANK(E2091)=0),IF((COUNTBLANK(F2091)=0),IF((COUNTBLANK(U2091)=0),Stats!$E$6,Stats!$E$5),Stats!$E$4),""))</f>
        <v/>
      </c>
      <c r="C2091" s="41"/>
      <c r="D2091" s="306" t="str">
        <f>IF(B2091=Stats!$E$6,Stats!$E$11,"")</f>
        <v/>
      </c>
    </row>
    <row r="2092" spans="1:4" hidden="1" x14ac:dyDescent="0.25">
      <c r="A2092" s="32" t="s">
        <v>2816</v>
      </c>
      <c r="B2092" s="306" t="str">
        <f>IF((COUNTBLANK(G2092)=0),Stats!$E$7,IF((COUNTBLANK(E2092)=0),IF((COUNTBLANK(F2092)=0),IF((COUNTBLANK(U2092)=0),Stats!$E$6,Stats!$E$5),Stats!$E$4),""))</f>
        <v/>
      </c>
      <c r="C2092" s="41"/>
      <c r="D2092" s="306" t="str">
        <f>IF(B2092=Stats!$E$6,Stats!$E$11,"")</f>
        <v/>
      </c>
    </row>
    <row r="2093" spans="1:4" hidden="1" x14ac:dyDescent="0.25">
      <c r="A2093" s="32" t="s">
        <v>2817</v>
      </c>
      <c r="B2093" s="306" t="str">
        <f>IF((COUNTBLANK(G2093)=0),Stats!$E$7,IF((COUNTBLANK(E2093)=0),IF((COUNTBLANK(F2093)=0),IF((COUNTBLANK(U2093)=0),Stats!$E$6,Stats!$E$5),Stats!$E$4),""))</f>
        <v/>
      </c>
      <c r="C2093" s="41"/>
      <c r="D2093" s="306" t="str">
        <f>IF(B2093=Stats!$E$6,Stats!$E$11,"")</f>
        <v/>
      </c>
    </row>
    <row r="2094" spans="1:4" hidden="1" x14ac:dyDescent="0.25">
      <c r="A2094" s="32" t="s">
        <v>2818</v>
      </c>
      <c r="B2094" s="306" t="str">
        <f>IF((COUNTBLANK(G2094)=0),Stats!$E$7,IF((COUNTBLANK(E2094)=0),IF((COUNTBLANK(F2094)=0),IF((COUNTBLANK(U2094)=0),Stats!$E$6,Stats!$E$5),Stats!$E$4),""))</f>
        <v/>
      </c>
      <c r="C2094" s="41"/>
      <c r="D2094" s="306" t="str">
        <f>IF(B2094=Stats!$E$6,Stats!$E$11,"")</f>
        <v/>
      </c>
    </row>
    <row r="2095" spans="1:4" hidden="1" x14ac:dyDescent="0.25">
      <c r="A2095" s="32" t="s">
        <v>2819</v>
      </c>
      <c r="B2095" s="306" t="str">
        <f>IF((COUNTBLANK(G2095)=0),Stats!$E$7,IF((COUNTBLANK(E2095)=0),IF((COUNTBLANK(F2095)=0),IF((COUNTBLANK(U2095)=0),Stats!$E$6,Stats!$E$5),Stats!$E$4),""))</f>
        <v/>
      </c>
      <c r="C2095" s="41"/>
      <c r="D2095" s="306" t="str">
        <f>IF(B2095=Stats!$E$6,Stats!$E$11,"")</f>
        <v/>
      </c>
    </row>
    <row r="2096" spans="1:4" hidden="1" x14ac:dyDescent="0.25">
      <c r="A2096" s="32" t="s">
        <v>2820</v>
      </c>
      <c r="B2096" s="306" t="str">
        <f>IF((COUNTBLANK(G2096)=0),Stats!$E$7,IF((COUNTBLANK(E2096)=0),IF((COUNTBLANK(F2096)=0),IF((COUNTBLANK(U2096)=0),Stats!$E$6,Stats!$E$5),Stats!$E$4),""))</f>
        <v/>
      </c>
      <c r="C2096" s="41"/>
      <c r="D2096" s="306" t="str">
        <f>IF(B2096=Stats!$E$6,Stats!$E$11,"")</f>
        <v/>
      </c>
    </row>
    <row r="2097" spans="1:4" hidden="1" x14ac:dyDescent="0.25">
      <c r="A2097" s="32" t="s">
        <v>2821</v>
      </c>
      <c r="B2097" s="306" t="str">
        <f>IF((COUNTBLANK(G2097)=0),Stats!$E$7,IF((COUNTBLANK(E2097)=0),IF((COUNTBLANK(F2097)=0),IF((COUNTBLANK(U2097)=0),Stats!$E$6,Stats!$E$5),Stats!$E$4),""))</f>
        <v/>
      </c>
      <c r="C2097" s="41"/>
      <c r="D2097" s="306" t="str">
        <f>IF(B2097=Stats!$E$6,Stats!$E$11,"")</f>
        <v/>
      </c>
    </row>
    <row r="2098" spans="1:4" hidden="1" x14ac:dyDescent="0.25">
      <c r="A2098" s="32" t="s">
        <v>2822</v>
      </c>
      <c r="B2098" s="306" t="str">
        <f>IF((COUNTBLANK(G2098)=0),Stats!$E$7,IF((COUNTBLANK(E2098)=0),IF((COUNTBLANK(F2098)=0),IF((COUNTBLANK(U2098)=0),Stats!$E$6,Stats!$E$5),Stats!$E$4),""))</f>
        <v/>
      </c>
      <c r="C2098" s="41"/>
      <c r="D2098" s="306" t="str">
        <f>IF(B2098=Stats!$E$6,Stats!$E$11,"")</f>
        <v/>
      </c>
    </row>
    <row r="2099" spans="1:4" hidden="1" x14ac:dyDescent="0.25">
      <c r="A2099" s="32" t="s">
        <v>2823</v>
      </c>
      <c r="B2099" s="306" t="str">
        <f>IF((COUNTBLANK(G2099)=0),Stats!$E$7,IF((COUNTBLANK(E2099)=0),IF((COUNTBLANK(F2099)=0),IF((COUNTBLANK(U2099)=0),Stats!$E$6,Stats!$E$5),Stats!$E$4),""))</f>
        <v/>
      </c>
      <c r="C2099" s="41"/>
      <c r="D2099" s="306" t="str">
        <f>IF(B2099=Stats!$E$6,Stats!$E$11,"")</f>
        <v/>
      </c>
    </row>
    <row r="2100" spans="1:4" hidden="1" x14ac:dyDescent="0.25">
      <c r="A2100" s="32" t="s">
        <v>2824</v>
      </c>
      <c r="B2100" s="306" t="str">
        <f>IF((COUNTBLANK(G2100)=0),Stats!$E$7,IF((COUNTBLANK(E2100)=0),IF((COUNTBLANK(F2100)=0),IF((COUNTBLANK(U2100)=0),Stats!$E$6,Stats!$E$5),Stats!$E$4),""))</f>
        <v/>
      </c>
      <c r="C2100" s="41"/>
      <c r="D2100" s="306" t="str">
        <f>IF(B2100=Stats!$E$6,Stats!$E$11,"")</f>
        <v/>
      </c>
    </row>
    <row r="2101" spans="1:4" hidden="1" x14ac:dyDescent="0.25">
      <c r="A2101" s="32" t="s">
        <v>2825</v>
      </c>
      <c r="B2101" s="306" t="str">
        <f>IF((COUNTBLANK(G2101)=0),Stats!$E$7,IF((COUNTBLANK(E2101)=0),IF((COUNTBLANK(F2101)=0),IF((COUNTBLANK(U2101)=0),Stats!$E$6,Stats!$E$5),Stats!$E$4),""))</f>
        <v/>
      </c>
      <c r="C2101" s="41"/>
      <c r="D2101" s="306" t="str">
        <f>IF(B2101=Stats!$E$6,Stats!$E$11,"")</f>
        <v/>
      </c>
    </row>
    <row r="2102" spans="1:4" hidden="1" x14ac:dyDescent="0.25">
      <c r="A2102" s="32" t="s">
        <v>2826</v>
      </c>
      <c r="B2102" s="306" t="str">
        <f>IF((COUNTBLANK(G2102)=0),Stats!$E$7,IF((COUNTBLANK(E2102)=0),IF((COUNTBLANK(F2102)=0),IF((COUNTBLANK(U2102)=0),Stats!$E$6,Stats!$E$5),Stats!$E$4),""))</f>
        <v/>
      </c>
      <c r="C2102" s="41"/>
      <c r="D2102" s="306" t="str">
        <f>IF(B2102=Stats!$E$6,Stats!$E$11,"")</f>
        <v/>
      </c>
    </row>
    <row r="2103" spans="1:4" hidden="1" x14ac:dyDescent="0.25">
      <c r="A2103" s="32" t="s">
        <v>2827</v>
      </c>
      <c r="B2103" s="306" t="str">
        <f>IF((COUNTBLANK(G2103)=0),Stats!$E$7,IF((COUNTBLANK(E2103)=0),IF((COUNTBLANK(F2103)=0),IF((COUNTBLANK(U2103)=0),Stats!$E$6,Stats!$E$5),Stats!$E$4),""))</f>
        <v/>
      </c>
      <c r="C2103" s="41"/>
      <c r="D2103" s="306" t="str">
        <f>IF(B2103=Stats!$E$6,Stats!$E$11,"")</f>
        <v/>
      </c>
    </row>
    <row r="2104" spans="1:4" hidden="1" x14ac:dyDescent="0.25">
      <c r="A2104" s="32" t="s">
        <v>2828</v>
      </c>
      <c r="B2104" s="306" t="str">
        <f>IF((COUNTBLANK(G2104)=0),Stats!$E$7,IF((COUNTBLANK(E2104)=0),IF((COUNTBLANK(F2104)=0),IF((COUNTBLANK(U2104)=0),Stats!$E$6,Stats!$E$5),Stats!$E$4),""))</f>
        <v/>
      </c>
      <c r="C2104" s="41"/>
      <c r="D2104" s="306" t="str">
        <f>IF(B2104=Stats!$E$6,Stats!$E$11,"")</f>
        <v/>
      </c>
    </row>
    <row r="2105" spans="1:4" hidden="1" x14ac:dyDescent="0.25">
      <c r="A2105" s="32" t="s">
        <v>2829</v>
      </c>
      <c r="B2105" s="306" t="str">
        <f>IF((COUNTBLANK(G2105)=0),Stats!$E$7,IF((COUNTBLANK(E2105)=0),IF((COUNTBLANK(F2105)=0),IF((COUNTBLANK(U2105)=0),Stats!$E$6,Stats!$E$5),Stats!$E$4),""))</f>
        <v/>
      </c>
      <c r="C2105" s="41"/>
      <c r="D2105" s="306" t="str">
        <f>IF(B2105=Stats!$E$6,Stats!$E$11,"")</f>
        <v/>
      </c>
    </row>
    <row r="2106" spans="1:4" hidden="1" x14ac:dyDescent="0.25">
      <c r="A2106" s="32" t="s">
        <v>2830</v>
      </c>
      <c r="B2106" s="306" t="str">
        <f>IF((COUNTBLANK(G2106)=0),Stats!$E$7,IF((COUNTBLANK(E2106)=0),IF((COUNTBLANK(F2106)=0),IF((COUNTBLANK(U2106)=0),Stats!$E$6,Stats!$E$5),Stats!$E$4),""))</f>
        <v/>
      </c>
      <c r="C2106" s="41"/>
      <c r="D2106" s="306" t="str">
        <f>IF(B2106=Stats!$E$6,Stats!$E$11,"")</f>
        <v/>
      </c>
    </row>
    <row r="2107" spans="1:4" hidden="1" x14ac:dyDescent="0.25">
      <c r="A2107" s="32" t="s">
        <v>2831</v>
      </c>
      <c r="B2107" s="306" t="str">
        <f>IF((COUNTBLANK(G2107)=0),Stats!$E$7,IF((COUNTBLANK(E2107)=0),IF((COUNTBLANK(F2107)=0),IF((COUNTBLANK(U2107)=0),Stats!$E$6,Stats!$E$5),Stats!$E$4),""))</f>
        <v/>
      </c>
      <c r="C2107" s="41"/>
      <c r="D2107" s="306" t="str">
        <f>IF(B2107=Stats!$E$6,Stats!$E$11,"")</f>
        <v/>
      </c>
    </row>
    <row r="2108" spans="1:4" hidden="1" x14ac:dyDescent="0.25">
      <c r="A2108" s="32" t="s">
        <v>2832</v>
      </c>
      <c r="B2108" s="306" t="str">
        <f>IF((COUNTBLANK(G2108)=0),Stats!$E$7,IF((COUNTBLANK(E2108)=0),IF((COUNTBLANK(F2108)=0),IF((COUNTBLANK(U2108)=0),Stats!$E$6,Stats!$E$5),Stats!$E$4),""))</f>
        <v/>
      </c>
      <c r="C2108" s="41"/>
      <c r="D2108" s="306" t="str">
        <f>IF(B2108=Stats!$E$6,Stats!$E$11,"")</f>
        <v/>
      </c>
    </row>
    <row r="2109" spans="1:4" hidden="1" x14ac:dyDescent="0.25">
      <c r="A2109" s="32" t="s">
        <v>2833</v>
      </c>
      <c r="B2109" s="306" t="str">
        <f>IF((COUNTBLANK(G2109)=0),Stats!$E$7,IF((COUNTBLANK(E2109)=0),IF((COUNTBLANK(F2109)=0),IF((COUNTBLANK(U2109)=0),Stats!$E$6,Stats!$E$5),Stats!$E$4),""))</f>
        <v/>
      </c>
      <c r="C2109" s="41"/>
      <c r="D2109" s="306" t="str">
        <f>IF(B2109=Stats!$E$6,Stats!$E$11,"")</f>
        <v/>
      </c>
    </row>
    <row r="2110" spans="1:4" hidden="1" x14ac:dyDescent="0.25">
      <c r="A2110" s="32" t="s">
        <v>2834</v>
      </c>
      <c r="B2110" s="306" t="str">
        <f>IF((COUNTBLANK(G2110)=0),Stats!$E$7,IF((COUNTBLANK(E2110)=0),IF((COUNTBLANK(F2110)=0),IF((COUNTBLANK(U2110)=0),Stats!$E$6,Stats!$E$5),Stats!$E$4),""))</f>
        <v/>
      </c>
      <c r="C2110" s="41"/>
      <c r="D2110" s="306" t="str">
        <f>IF(B2110=Stats!$E$6,Stats!$E$11,"")</f>
        <v/>
      </c>
    </row>
    <row r="2111" spans="1:4" hidden="1" x14ac:dyDescent="0.25">
      <c r="A2111" s="32" t="s">
        <v>2835</v>
      </c>
      <c r="B2111" s="306" t="str">
        <f>IF((COUNTBLANK(G2111)=0),Stats!$E$7,IF((COUNTBLANK(E2111)=0),IF((COUNTBLANK(F2111)=0),IF((COUNTBLANK(U2111)=0),Stats!$E$6,Stats!$E$5),Stats!$E$4),""))</f>
        <v/>
      </c>
      <c r="C2111" s="41"/>
      <c r="D2111" s="306" t="str">
        <f>IF(B2111=Stats!$E$6,Stats!$E$11,"")</f>
        <v/>
      </c>
    </row>
    <row r="2112" spans="1:4" hidden="1" x14ac:dyDescent="0.25">
      <c r="A2112" s="32" t="s">
        <v>2836</v>
      </c>
      <c r="B2112" s="306" t="str">
        <f>IF((COUNTBLANK(G2112)=0),Stats!$E$7,IF((COUNTBLANK(E2112)=0),IF((COUNTBLANK(F2112)=0),IF((COUNTBLANK(U2112)=0),Stats!$E$6,Stats!$E$5),Stats!$E$4),""))</f>
        <v/>
      </c>
      <c r="C2112" s="41"/>
      <c r="D2112" s="306" t="str">
        <f>IF(B2112=Stats!$E$6,Stats!$E$11,"")</f>
        <v/>
      </c>
    </row>
    <row r="2113" spans="1:4" hidden="1" x14ac:dyDescent="0.25">
      <c r="A2113" s="32" t="s">
        <v>2837</v>
      </c>
      <c r="B2113" s="306" t="str">
        <f>IF((COUNTBLANK(G2113)=0),Stats!$E$7,IF((COUNTBLANK(E2113)=0),IF((COUNTBLANK(F2113)=0),IF((COUNTBLANK(U2113)=0),Stats!$E$6,Stats!$E$5),Stats!$E$4),""))</f>
        <v/>
      </c>
      <c r="C2113" s="41"/>
      <c r="D2113" s="306" t="str">
        <f>IF(B2113=Stats!$E$6,Stats!$E$11,"")</f>
        <v/>
      </c>
    </row>
    <row r="2114" spans="1:4" hidden="1" x14ac:dyDescent="0.25">
      <c r="A2114" s="32" t="s">
        <v>2838</v>
      </c>
      <c r="B2114" s="306" t="str">
        <f>IF((COUNTBLANK(G2114)=0),Stats!$E$7,IF((COUNTBLANK(E2114)=0),IF((COUNTBLANK(F2114)=0),IF((COUNTBLANK(U2114)=0),Stats!$E$6,Stats!$E$5),Stats!$E$4),""))</f>
        <v/>
      </c>
      <c r="C2114" s="41"/>
      <c r="D2114" s="306" t="str">
        <f>IF(B2114=Stats!$E$6,Stats!$E$11,"")</f>
        <v/>
      </c>
    </row>
    <row r="2115" spans="1:4" hidden="1" x14ac:dyDescent="0.25">
      <c r="A2115" s="32" t="s">
        <v>2839</v>
      </c>
      <c r="B2115" s="306" t="str">
        <f>IF((COUNTBLANK(G2115)=0),Stats!$E$7,IF((COUNTBLANK(E2115)=0),IF((COUNTBLANK(F2115)=0),IF((COUNTBLANK(U2115)=0),Stats!$E$6,Stats!$E$5),Stats!$E$4),""))</f>
        <v/>
      </c>
      <c r="C2115" s="41"/>
      <c r="D2115" s="306" t="str">
        <f>IF(B2115=Stats!$E$6,Stats!$E$11,"")</f>
        <v/>
      </c>
    </row>
    <row r="2116" spans="1:4" hidden="1" x14ac:dyDescent="0.25">
      <c r="A2116" s="32" t="s">
        <v>2840</v>
      </c>
      <c r="B2116" s="306" t="str">
        <f>IF((COUNTBLANK(G2116)=0),Stats!$E$7,IF((COUNTBLANK(E2116)=0),IF((COUNTBLANK(F2116)=0),IF((COUNTBLANK(U2116)=0),Stats!$E$6,Stats!$E$5),Stats!$E$4),""))</f>
        <v/>
      </c>
      <c r="C2116" s="41"/>
      <c r="D2116" s="306" t="str">
        <f>IF(B2116=Stats!$E$6,Stats!$E$11,"")</f>
        <v/>
      </c>
    </row>
    <row r="2117" spans="1:4" hidden="1" x14ac:dyDescent="0.25">
      <c r="A2117" s="32" t="s">
        <v>2841</v>
      </c>
      <c r="B2117" s="306" t="str">
        <f>IF((COUNTBLANK(G2117)=0),Stats!$E$7,IF((COUNTBLANK(E2117)=0),IF((COUNTBLANK(F2117)=0),IF((COUNTBLANK(U2117)=0),Stats!$E$6,Stats!$E$5),Stats!$E$4),""))</f>
        <v/>
      </c>
      <c r="C2117" s="41"/>
      <c r="D2117" s="306" t="str">
        <f>IF(B2117=Stats!$E$6,Stats!$E$11,"")</f>
        <v/>
      </c>
    </row>
    <row r="2118" spans="1:4" hidden="1" x14ac:dyDescent="0.25">
      <c r="A2118" s="32" t="s">
        <v>2842</v>
      </c>
      <c r="B2118" s="306" t="str">
        <f>IF((COUNTBLANK(G2118)=0),Stats!$E$7,IF((COUNTBLANK(E2118)=0),IF((COUNTBLANK(F2118)=0),IF((COUNTBLANK(U2118)=0),Stats!$E$6,Stats!$E$5),Stats!$E$4),""))</f>
        <v/>
      </c>
      <c r="C2118" s="41"/>
      <c r="D2118" s="306" t="str">
        <f>IF(B2118=Stats!$E$6,Stats!$E$11,"")</f>
        <v/>
      </c>
    </row>
    <row r="2119" spans="1:4" hidden="1" x14ac:dyDescent="0.25">
      <c r="A2119" s="32" t="s">
        <v>2843</v>
      </c>
      <c r="B2119" s="306" t="str">
        <f>IF((COUNTBLANK(G2119)=0),Stats!$E$7,IF((COUNTBLANK(E2119)=0),IF((COUNTBLANK(F2119)=0),IF((COUNTBLANK(U2119)=0),Stats!$E$6,Stats!$E$5),Stats!$E$4),""))</f>
        <v/>
      </c>
      <c r="C2119" s="41"/>
      <c r="D2119" s="306" t="str">
        <f>IF(B2119=Stats!$E$6,Stats!$E$11,"")</f>
        <v/>
      </c>
    </row>
    <row r="2120" spans="1:4" hidden="1" x14ac:dyDescent="0.25">
      <c r="A2120" s="32" t="s">
        <v>2844</v>
      </c>
      <c r="B2120" s="306" t="str">
        <f>IF((COUNTBLANK(G2120)=0),Stats!$E$7,IF((COUNTBLANK(E2120)=0),IF((COUNTBLANK(F2120)=0),IF((COUNTBLANK(U2120)=0),Stats!$E$6,Stats!$E$5),Stats!$E$4),""))</f>
        <v/>
      </c>
      <c r="C2120" s="41"/>
      <c r="D2120" s="306" t="str">
        <f>IF(B2120=Stats!$E$6,Stats!$E$11,"")</f>
        <v/>
      </c>
    </row>
    <row r="2121" spans="1:4" hidden="1" x14ac:dyDescent="0.25">
      <c r="A2121" s="32" t="s">
        <v>2845</v>
      </c>
      <c r="B2121" s="306" t="str">
        <f>IF((COUNTBLANK(G2121)=0),Stats!$E$7,IF((COUNTBLANK(E2121)=0),IF((COUNTBLANK(F2121)=0),IF((COUNTBLANK(U2121)=0),Stats!$E$6,Stats!$E$5),Stats!$E$4),""))</f>
        <v/>
      </c>
      <c r="C2121" s="41"/>
      <c r="D2121" s="306" t="str">
        <f>IF(B2121=Stats!$E$6,Stats!$E$11,"")</f>
        <v/>
      </c>
    </row>
    <row r="2122" spans="1:4" hidden="1" x14ac:dyDescent="0.25">
      <c r="A2122" s="32" t="s">
        <v>2846</v>
      </c>
      <c r="B2122" s="306" t="str">
        <f>IF((COUNTBLANK(G2122)=0),Stats!$E$7,IF((COUNTBLANK(E2122)=0),IF((COUNTBLANK(F2122)=0),IF((COUNTBLANK(U2122)=0),Stats!$E$6,Stats!$E$5),Stats!$E$4),""))</f>
        <v/>
      </c>
      <c r="C2122" s="41"/>
      <c r="D2122" s="306" t="str">
        <f>IF(B2122=Stats!$E$6,Stats!$E$11,"")</f>
        <v/>
      </c>
    </row>
    <row r="2123" spans="1:4" hidden="1" x14ac:dyDescent="0.25">
      <c r="A2123" s="32" t="s">
        <v>2847</v>
      </c>
      <c r="B2123" s="306" t="str">
        <f>IF((COUNTBLANK(G2123)=0),Stats!$E$7,IF((COUNTBLANK(E2123)=0),IF((COUNTBLANK(F2123)=0),IF((COUNTBLANK(U2123)=0),Stats!$E$6,Stats!$E$5),Stats!$E$4),""))</f>
        <v/>
      </c>
      <c r="C2123" s="41"/>
      <c r="D2123" s="306" t="str">
        <f>IF(B2123=Stats!$E$6,Stats!$E$11,"")</f>
        <v/>
      </c>
    </row>
    <row r="2124" spans="1:4" hidden="1" x14ac:dyDescent="0.25">
      <c r="A2124" s="32" t="s">
        <v>2848</v>
      </c>
      <c r="B2124" s="306" t="str">
        <f>IF((COUNTBLANK(G2124)=0),Stats!$E$7,IF((COUNTBLANK(E2124)=0),IF((COUNTBLANK(F2124)=0),IF((COUNTBLANK(U2124)=0),Stats!$E$6,Stats!$E$5),Stats!$E$4),""))</f>
        <v/>
      </c>
      <c r="C2124" s="41"/>
      <c r="D2124" s="306" t="str">
        <f>IF(B2124=Stats!$E$6,Stats!$E$11,"")</f>
        <v/>
      </c>
    </row>
    <row r="2125" spans="1:4" hidden="1" x14ac:dyDescent="0.25">
      <c r="A2125" s="32" t="s">
        <v>2849</v>
      </c>
      <c r="B2125" s="306" t="str">
        <f>IF((COUNTBLANK(G2125)=0),Stats!$E$7,IF((COUNTBLANK(E2125)=0),IF((COUNTBLANK(F2125)=0),IF((COUNTBLANK(U2125)=0),Stats!$E$6,Stats!$E$5),Stats!$E$4),""))</f>
        <v/>
      </c>
      <c r="C2125" s="41"/>
      <c r="D2125" s="306" t="str">
        <f>IF(B2125=Stats!$E$6,Stats!$E$11,"")</f>
        <v/>
      </c>
    </row>
    <row r="2126" spans="1:4" hidden="1" x14ac:dyDescent="0.25">
      <c r="A2126" s="32" t="s">
        <v>2850</v>
      </c>
      <c r="B2126" s="306" t="str">
        <f>IF((COUNTBLANK(G2126)=0),Stats!$E$7,IF((COUNTBLANK(E2126)=0),IF((COUNTBLANK(F2126)=0),IF((COUNTBLANK(U2126)=0),Stats!$E$6,Stats!$E$5),Stats!$E$4),""))</f>
        <v/>
      </c>
      <c r="C2126" s="41"/>
      <c r="D2126" s="306" t="str">
        <f>IF(B2126=Stats!$E$6,Stats!$E$11,"")</f>
        <v/>
      </c>
    </row>
    <row r="2127" spans="1:4" hidden="1" x14ac:dyDescent="0.25">
      <c r="A2127" s="32" t="s">
        <v>2851</v>
      </c>
      <c r="B2127" s="306" t="str">
        <f>IF((COUNTBLANK(G2127)=0),Stats!$E$7,IF((COUNTBLANK(E2127)=0),IF((COUNTBLANK(F2127)=0),IF((COUNTBLANK(U2127)=0),Stats!$E$6,Stats!$E$5),Stats!$E$4),""))</f>
        <v/>
      </c>
      <c r="C2127" s="41"/>
      <c r="D2127" s="306" t="str">
        <f>IF(B2127=Stats!$E$6,Stats!$E$11,"")</f>
        <v/>
      </c>
    </row>
    <row r="2128" spans="1:4" hidden="1" x14ac:dyDescent="0.25">
      <c r="A2128" s="32" t="s">
        <v>2852</v>
      </c>
      <c r="B2128" s="306" t="str">
        <f>IF((COUNTBLANK(G2128)=0),Stats!$E$7,IF((COUNTBLANK(E2128)=0),IF((COUNTBLANK(F2128)=0),IF((COUNTBLANK(U2128)=0),Stats!$E$6,Stats!$E$5),Stats!$E$4),""))</f>
        <v/>
      </c>
      <c r="C2128" s="41"/>
      <c r="D2128" s="306" t="str">
        <f>IF(B2128=Stats!$E$6,Stats!$E$11,"")</f>
        <v/>
      </c>
    </row>
    <row r="2129" spans="1:4" hidden="1" x14ac:dyDescent="0.25">
      <c r="A2129" s="32" t="s">
        <v>2853</v>
      </c>
      <c r="B2129" s="306" t="str">
        <f>IF((COUNTBLANK(G2129)=0),Stats!$E$7,IF((COUNTBLANK(E2129)=0),IF((COUNTBLANK(F2129)=0),IF((COUNTBLANK(U2129)=0),Stats!$E$6,Stats!$E$5),Stats!$E$4),""))</f>
        <v/>
      </c>
      <c r="C2129" s="41"/>
      <c r="D2129" s="306" t="str">
        <f>IF(B2129=Stats!$E$6,Stats!$E$11,"")</f>
        <v/>
      </c>
    </row>
    <row r="2130" spans="1:4" hidden="1" x14ac:dyDescent="0.25">
      <c r="A2130" s="32" t="s">
        <v>2854</v>
      </c>
      <c r="B2130" s="306" t="str">
        <f>IF((COUNTBLANK(G2130)=0),Stats!$E$7,IF((COUNTBLANK(E2130)=0),IF((COUNTBLANK(F2130)=0),IF((COUNTBLANK(U2130)=0),Stats!$E$6,Stats!$E$5),Stats!$E$4),""))</f>
        <v/>
      </c>
      <c r="C2130" s="41"/>
      <c r="D2130" s="306" t="str">
        <f>IF(B2130=Stats!$E$6,Stats!$E$11,"")</f>
        <v/>
      </c>
    </row>
    <row r="2131" spans="1:4" hidden="1" x14ac:dyDescent="0.25">
      <c r="A2131" s="32" t="s">
        <v>2855</v>
      </c>
      <c r="B2131" s="306" t="str">
        <f>IF((COUNTBLANK(G2131)=0),Stats!$E$7,IF((COUNTBLANK(E2131)=0),IF((COUNTBLANK(F2131)=0),IF((COUNTBLANK(U2131)=0),Stats!$E$6,Stats!$E$5),Stats!$E$4),""))</f>
        <v/>
      </c>
      <c r="C2131" s="41"/>
      <c r="D2131" s="306" t="str">
        <f>IF(B2131=Stats!$E$6,Stats!$E$11,"")</f>
        <v/>
      </c>
    </row>
    <row r="2132" spans="1:4" hidden="1" x14ac:dyDescent="0.25">
      <c r="A2132" s="32" t="s">
        <v>2856</v>
      </c>
      <c r="B2132" s="306" t="str">
        <f>IF((COUNTBLANK(G2132)=0),Stats!$E$7,IF((COUNTBLANK(E2132)=0),IF((COUNTBLANK(F2132)=0),IF((COUNTBLANK(U2132)=0),Stats!$E$6,Stats!$E$5),Stats!$E$4),""))</f>
        <v/>
      </c>
      <c r="C2132" s="41"/>
      <c r="D2132" s="306" t="str">
        <f>IF(B2132=Stats!$E$6,Stats!$E$11,"")</f>
        <v/>
      </c>
    </row>
    <row r="2133" spans="1:4" hidden="1" x14ac:dyDescent="0.25">
      <c r="A2133" s="32" t="s">
        <v>2857</v>
      </c>
      <c r="B2133" s="306" t="str">
        <f>IF((COUNTBLANK(G2133)=0),Stats!$E$7,IF((COUNTBLANK(E2133)=0),IF((COUNTBLANK(F2133)=0),IF((COUNTBLANK(U2133)=0),Stats!$E$6,Stats!$E$5),Stats!$E$4),""))</f>
        <v/>
      </c>
      <c r="C2133" s="41"/>
      <c r="D2133" s="306" t="str">
        <f>IF(B2133=Stats!$E$6,Stats!$E$11,"")</f>
        <v/>
      </c>
    </row>
    <row r="2134" spans="1:4" hidden="1" x14ac:dyDescent="0.25">
      <c r="A2134" s="32" t="s">
        <v>2858</v>
      </c>
      <c r="B2134" s="306" t="str">
        <f>IF((COUNTBLANK(G2134)=0),Stats!$E$7,IF((COUNTBLANK(E2134)=0),IF((COUNTBLANK(F2134)=0),IF((COUNTBLANK(U2134)=0),Stats!$E$6,Stats!$E$5),Stats!$E$4),""))</f>
        <v/>
      </c>
      <c r="C2134" s="41"/>
      <c r="D2134" s="306" t="str">
        <f>IF(B2134=Stats!$E$6,Stats!$E$11,"")</f>
        <v/>
      </c>
    </row>
    <row r="2135" spans="1:4" hidden="1" x14ac:dyDescent="0.25">
      <c r="A2135" s="32" t="s">
        <v>2859</v>
      </c>
      <c r="B2135" s="306" t="str">
        <f>IF((COUNTBLANK(G2135)=0),Stats!$E$7,IF((COUNTBLANK(E2135)=0),IF((COUNTBLANK(F2135)=0),IF((COUNTBLANK(U2135)=0),Stats!$E$6,Stats!$E$5),Stats!$E$4),""))</f>
        <v/>
      </c>
      <c r="C2135" s="41"/>
      <c r="D2135" s="306" t="str">
        <f>IF(B2135=Stats!$E$6,Stats!$E$11,"")</f>
        <v/>
      </c>
    </row>
    <row r="2136" spans="1:4" hidden="1" x14ac:dyDescent="0.25">
      <c r="A2136" s="32" t="s">
        <v>2860</v>
      </c>
      <c r="B2136" s="306" t="str">
        <f>IF((COUNTBLANK(G2136)=0),Stats!$E$7,IF((COUNTBLANK(E2136)=0),IF((COUNTBLANK(F2136)=0),IF((COUNTBLANK(U2136)=0),Stats!$E$6,Stats!$E$5),Stats!$E$4),""))</f>
        <v/>
      </c>
      <c r="C2136" s="41"/>
      <c r="D2136" s="306" t="str">
        <f>IF(B2136=Stats!$E$6,Stats!$E$11,"")</f>
        <v/>
      </c>
    </row>
    <row r="2137" spans="1:4" hidden="1" x14ac:dyDescent="0.25">
      <c r="A2137" s="32" t="s">
        <v>2861</v>
      </c>
      <c r="B2137" s="306" t="str">
        <f>IF((COUNTBLANK(G2137)=0),Stats!$E$7,IF((COUNTBLANK(E2137)=0),IF((COUNTBLANK(F2137)=0),IF((COUNTBLANK(U2137)=0),Stats!$E$6,Stats!$E$5),Stats!$E$4),""))</f>
        <v/>
      </c>
      <c r="C2137" s="41"/>
      <c r="D2137" s="306" t="str">
        <f>IF(B2137=Stats!$E$6,Stats!$E$11,"")</f>
        <v/>
      </c>
    </row>
    <row r="2138" spans="1:4" hidden="1" x14ac:dyDescent="0.25">
      <c r="A2138" s="32" t="s">
        <v>2862</v>
      </c>
      <c r="B2138" s="306" t="str">
        <f>IF((COUNTBLANK(G2138)=0),Stats!$E$7,IF((COUNTBLANK(E2138)=0),IF((COUNTBLANK(F2138)=0),IF((COUNTBLANK(U2138)=0),Stats!$E$6,Stats!$E$5),Stats!$E$4),""))</f>
        <v/>
      </c>
      <c r="C2138" s="41"/>
      <c r="D2138" s="306" t="str">
        <f>IF(B2138=Stats!$E$6,Stats!$E$11,"")</f>
        <v/>
      </c>
    </row>
    <row r="2139" spans="1:4" hidden="1" x14ac:dyDescent="0.25">
      <c r="A2139" s="32" t="s">
        <v>2863</v>
      </c>
      <c r="B2139" s="306" t="str">
        <f>IF((COUNTBLANK(G2139)=0),Stats!$E$7,IF((COUNTBLANK(E2139)=0),IF((COUNTBLANK(F2139)=0),IF((COUNTBLANK(U2139)=0),Stats!$E$6,Stats!$E$5),Stats!$E$4),""))</f>
        <v/>
      </c>
      <c r="C2139" s="41"/>
      <c r="D2139" s="306" t="str">
        <f>IF(B2139=Stats!$E$6,Stats!$E$11,"")</f>
        <v/>
      </c>
    </row>
    <row r="2140" spans="1:4" hidden="1" x14ac:dyDescent="0.25">
      <c r="A2140" s="32" t="s">
        <v>2864</v>
      </c>
      <c r="B2140" s="306" t="str">
        <f>IF((COUNTBLANK(G2140)=0),Stats!$E$7,IF((COUNTBLANK(E2140)=0),IF((COUNTBLANK(F2140)=0),IF((COUNTBLANK(U2140)=0),Stats!$E$6,Stats!$E$5),Stats!$E$4),""))</f>
        <v/>
      </c>
      <c r="C2140" s="41"/>
      <c r="D2140" s="306" t="str">
        <f>IF(B2140=Stats!$E$6,Stats!$E$11,"")</f>
        <v/>
      </c>
    </row>
    <row r="2141" spans="1:4" hidden="1" x14ac:dyDescent="0.25">
      <c r="A2141" s="32" t="s">
        <v>2865</v>
      </c>
      <c r="B2141" s="306" t="str">
        <f>IF((COUNTBLANK(G2141)=0),Stats!$E$7,IF((COUNTBLANK(E2141)=0),IF((COUNTBLANK(F2141)=0),IF((COUNTBLANK(U2141)=0),Stats!$E$6,Stats!$E$5),Stats!$E$4),""))</f>
        <v/>
      </c>
      <c r="C2141" s="41"/>
      <c r="D2141" s="306" t="str">
        <f>IF(B2141=Stats!$E$6,Stats!$E$11,"")</f>
        <v/>
      </c>
    </row>
    <row r="2142" spans="1:4" hidden="1" x14ac:dyDescent="0.25">
      <c r="A2142" s="32" t="s">
        <v>2866</v>
      </c>
      <c r="B2142" s="306" t="str">
        <f>IF((COUNTBLANK(G2142)=0),Stats!$E$7,IF((COUNTBLANK(E2142)=0),IF((COUNTBLANK(F2142)=0),IF((COUNTBLANK(U2142)=0),Stats!$E$6,Stats!$E$5),Stats!$E$4),""))</f>
        <v/>
      </c>
      <c r="C2142" s="41"/>
      <c r="D2142" s="306" t="str">
        <f>IF(B2142=Stats!$E$6,Stats!$E$11,"")</f>
        <v/>
      </c>
    </row>
    <row r="2143" spans="1:4" hidden="1" x14ac:dyDescent="0.25">
      <c r="A2143" s="32" t="s">
        <v>2867</v>
      </c>
      <c r="B2143" s="306" t="str">
        <f>IF((COUNTBLANK(G2143)=0),Stats!$E$7,IF((COUNTBLANK(E2143)=0),IF((COUNTBLANK(F2143)=0),IF((COUNTBLANK(U2143)=0),Stats!$E$6,Stats!$E$5),Stats!$E$4),""))</f>
        <v/>
      </c>
      <c r="C2143" s="41"/>
      <c r="D2143" s="306" t="str">
        <f>IF(B2143=Stats!$E$6,Stats!$E$11,"")</f>
        <v/>
      </c>
    </row>
    <row r="2144" spans="1:4" hidden="1" x14ac:dyDescent="0.25">
      <c r="A2144" s="32" t="s">
        <v>2868</v>
      </c>
      <c r="B2144" s="306" t="str">
        <f>IF((COUNTBLANK(G2144)=0),Stats!$E$7,IF((COUNTBLANK(E2144)=0),IF((COUNTBLANK(F2144)=0),IF((COUNTBLANK(U2144)=0),Stats!$E$6,Stats!$E$5),Stats!$E$4),""))</f>
        <v/>
      </c>
      <c r="C2144" s="41"/>
      <c r="D2144" s="306" t="str">
        <f>IF(B2144=Stats!$E$6,Stats!$E$11,"")</f>
        <v/>
      </c>
    </row>
    <row r="2145" spans="1:4" hidden="1" x14ac:dyDescent="0.25">
      <c r="A2145" s="32" t="s">
        <v>2869</v>
      </c>
      <c r="B2145" s="306" t="str">
        <f>IF((COUNTBLANK(G2145)=0),Stats!$E$7,IF((COUNTBLANK(E2145)=0),IF((COUNTBLANK(F2145)=0),IF((COUNTBLANK(U2145)=0),Stats!$E$6,Stats!$E$5),Stats!$E$4),""))</f>
        <v/>
      </c>
      <c r="C2145" s="41"/>
      <c r="D2145" s="306" t="str">
        <f>IF(B2145=Stats!$E$6,Stats!$E$11,"")</f>
        <v/>
      </c>
    </row>
    <row r="2146" spans="1:4" hidden="1" x14ac:dyDescent="0.25">
      <c r="A2146" s="32" t="s">
        <v>2870</v>
      </c>
      <c r="B2146" s="306" t="str">
        <f>IF((COUNTBLANK(G2146)=0),Stats!$E$7,IF((COUNTBLANK(E2146)=0),IF((COUNTBLANK(F2146)=0),IF((COUNTBLANK(U2146)=0),Stats!$E$6,Stats!$E$5),Stats!$E$4),""))</f>
        <v/>
      </c>
      <c r="C2146" s="41"/>
      <c r="D2146" s="306" t="str">
        <f>IF(B2146=Stats!$E$6,Stats!$E$11,"")</f>
        <v/>
      </c>
    </row>
    <row r="2147" spans="1:4" hidden="1" x14ac:dyDescent="0.25">
      <c r="A2147" s="32" t="s">
        <v>2871</v>
      </c>
      <c r="B2147" s="306" t="str">
        <f>IF((COUNTBLANK(G2147)=0),Stats!$E$7,IF((COUNTBLANK(E2147)=0),IF((COUNTBLANK(F2147)=0),IF((COUNTBLANK(U2147)=0),Stats!$E$6,Stats!$E$5),Stats!$E$4),""))</f>
        <v/>
      </c>
      <c r="C2147" s="41"/>
      <c r="D2147" s="306" t="str">
        <f>IF(B2147=Stats!$E$6,Stats!$E$11,"")</f>
        <v/>
      </c>
    </row>
    <row r="2148" spans="1:4" hidden="1" x14ac:dyDescent="0.25">
      <c r="A2148" s="32" t="s">
        <v>2872</v>
      </c>
      <c r="B2148" s="306" t="str">
        <f>IF((COUNTBLANK(G2148)=0),Stats!$E$7,IF((COUNTBLANK(E2148)=0),IF((COUNTBLANK(F2148)=0),IF((COUNTBLANK(U2148)=0),Stats!$E$6,Stats!$E$5),Stats!$E$4),""))</f>
        <v/>
      </c>
      <c r="C2148" s="41"/>
      <c r="D2148" s="306" t="str">
        <f>IF(B2148=Stats!$E$6,Stats!$E$11,"")</f>
        <v/>
      </c>
    </row>
    <row r="2149" spans="1:4" hidden="1" x14ac:dyDescent="0.25">
      <c r="A2149" s="32" t="s">
        <v>2873</v>
      </c>
      <c r="B2149" s="306" t="str">
        <f>IF((COUNTBLANK(G2149)=0),Stats!$E$7,IF((COUNTBLANK(E2149)=0),IF((COUNTBLANK(F2149)=0),IF((COUNTBLANK(U2149)=0),Stats!$E$6,Stats!$E$5),Stats!$E$4),""))</f>
        <v/>
      </c>
      <c r="C2149" s="41"/>
      <c r="D2149" s="306" t="str">
        <f>IF(B2149=Stats!$E$6,Stats!$E$11,"")</f>
        <v/>
      </c>
    </row>
    <row r="2150" spans="1:4" hidden="1" x14ac:dyDescent="0.25">
      <c r="A2150" s="32" t="s">
        <v>2874</v>
      </c>
      <c r="B2150" s="306" t="str">
        <f>IF((COUNTBLANK(G2150)=0),Stats!$E$7,IF((COUNTBLANK(E2150)=0),IF((COUNTBLANK(F2150)=0),IF((COUNTBLANK(U2150)=0),Stats!$E$6,Stats!$E$5),Stats!$E$4),""))</f>
        <v/>
      </c>
      <c r="C2150" s="41"/>
      <c r="D2150" s="306" t="str">
        <f>IF(B2150=Stats!$E$6,Stats!$E$11,"")</f>
        <v/>
      </c>
    </row>
    <row r="2151" spans="1:4" hidden="1" x14ac:dyDescent="0.25">
      <c r="A2151" s="32" t="s">
        <v>2875</v>
      </c>
      <c r="B2151" s="306" t="str">
        <f>IF((COUNTBLANK(G2151)=0),Stats!$E$7,IF((COUNTBLANK(E2151)=0),IF((COUNTBLANK(F2151)=0),IF((COUNTBLANK(U2151)=0),Stats!$E$6,Stats!$E$5),Stats!$E$4),""))</f>
        <v/>
      </c>
      <c r="C2151" s="41"/>
      <c r="D2151" s="306" t="str">
        <f>IF(B2151=Stats!$E$6,Stats!$E$11,"")</f>
        <v/>
      </c>
    </row>
    <row r="2152" spans="1:4" hidden="1" x14ac:dyDescent="0.25">
      <c r="A2152" s="32" t="s">
        <v>2876</v>
      </c>
      <c r="B2152" s="306" t="str">
        <f>IF((COUNTBLANK(G2152)=0),Stats!$E$7,IF((COUNTBLANK(E2152)=0),IF((COUNTBLANK(F2152)=0),IF((COUNTBLANK(U2152)=0),Stats!$E$6,Stats!$E$5),Stats!$E$4),""))</f>
        <v/>
      </c>
      <c r="C2152" s="41"/>
      <c r="D2152" s="306" t="str">
        <f>IF(B2152=Stats!$E$6,Stats!$E$11,"")</f>
        <v/>
      </c>
    </row>
    <row r="2153" spans="1:4" hidden="1" x14ac:dyDescent="0.25">
      <c r="A2153" s="32" t="s">
        <v>2877</v>
      </c>
      <c r="B2153" s="306" t="str">
        <f>IF((COUNTBLANK(G2153)=0),Stats!$E$7,IF((COUNTBLANK(E2153)=0),IF((COUNTBLANK(F2153)=0),IF((COUNTBLANK(U2153)=0),Stats!$E$6,Stats!$E$5),Stats!$E$4),""))</f>
        <v/>
      </c>
      <c r="C2153" s="41"/>
      <c r="D2153" s="306" t="str">
        <f>IF(B2153=Stats!$E$6,Stats!$E$11,"")</f>
        <v/>
      </c>
    </row>
    <row r="2154" spans="1:4" hidden="1" x14ac:dyDescent="0.25">
      <c r="A2154" s="32" t="s">
        <v>2878</v>
      </c>
      <c r="B2154" s="306" t="str">
        <f>IF((COUNTBLANK(G2154)=0),Stats!$E$7,IF((COUNTBLANK(E2154)=0),IF((COUNTBLANK(F2154)=0),IF((COUNTBLANK(U2154)=0),Stats!$E$6,Stats!$E$5),Stats!$E$4),""))</f>
        <v/>
      </c>
      <c r="C2154" s="41"/>
      <c r="D2154" s="306" t="str">
        <f>IF(B2154=Stats!$E$6,Stats!$E$11,"")</f>
        <v/>
      </c>
    </row>
    <row r="2155" spans="1:4" hidden="1" x14ac:dyDescent="0.25">
      <c r="A2155" s="32" t="s">
        <v>2879</v>
      </c>
      <c r="B2155" s="306" t="str">
        <f>IF((COUNTBLANK(G2155)=0),Stats!$E$7,IF((COUNTBLANK(E2155)=0),IF((COUNTBLANK(F2155)=0),IF((COUNTBLANK(U2155)=0),Stats!$E$6,Stats!$E$5),Stats!$E$4),""))</f>
        <v/>
      </c>
      <c r="C2155" s="41"/>
      <c r="D2155" s="306" t="str">
        <f>IF(B2155=Stats!$E$6,Stats!$E$11,"")</f>
        <v/>
      </c>
    </row>
    <row r="2156" spans="1:4" hidden="1" x14ac:dyDescent="0.25">
      <c r="A2156" s="32" t="s">
        <v>2880</v>
      </c>
      <c r="B2156" s="306" t="str">
        <f>IF((COUNTBLANK(G2156)=0),Stats!$E$7,IF((COUNTBLANK(E2156)=0),IF((COUNTBLANK(F2156)=0),IF((COUNTBLANK(U2156)=0),Stats!$E$6,Stats!$E$5),Stats!$E$4),""))</f>
        <v/>
      </c>
      <c r="C2156" s="41"/>
      <c r="D2156" s="306" t="str">
        <f>IF(B2156=Stats!$E$6,Stats!$E$11,"")</f>
        <v/>
      </c>
    </row>
    <row r="2157" spans="1:4" hidden="1" x14ac:dyDescent="0.25">
      <c r="A2157" s="32" t="s">
        <v>2881</v>
      </c>
      <c r="B2157" s="306" t="str">
        <f>IF((COUNTBLANK(G2157)=0),Stats!$E$7,IF((COUNTBLANK(E2157)=0),IF((COUNTBLANK(F2157)=0),IF((COUNTBLANK(U2157)=0),Stats!$E$6,Stats!$E$5),Stats!$E$4),""))</f>
        <v/>
      </c>
      <c r="C2157" s="41"/>
      <c r="D2157" s="306" t="str">
        <f>IF(B2157=Stats!$E$6,Stats!$E$11,"")</f>
        <v/>
      </c>
    </row>
    <row r="2158" spans="1:4" hidden="1" x14ac:dyDescent="0.25">
      <c r="A2158" s="32" t="s">
        <v>2882</v>
      </c>
      <c r="B2158" s="306" t="str">
        <f>IF((COUNTBLANK(G2158)=0),Stats!$E$7,IF((COUNTBLANK(E2158)=0),IF((COUNTBLANK(F2158)=0),IF((COUNTBLANK(U2158)=0),Stats!$E$6,Stats!$E$5),Stats!$E$4),""))</f>
        <v/>
      </c>
      <c r="C2158" s="41"/>
      <c r="D2158" s="306" t="str">
        <f>IF(B2158=Stats!$E$6,Stats!$E$11,"")</f>
        <v/>
      </c>
    </row>
    <row r="2159" spans="1:4" hidden="1" x14ac:dyDescent="0.25">
      <c r="A2159" s="32" t="s">
        <v>2883</v>
      </c>
      <c r="B2159" s="306" t="str">
        <f>IF((COUNTBLANK(G2159)=0),Stats!$E$7,IF((COUNTBLANK(E2159)=0),IF((COUNTBLANK(F2159)=0),IF((COUNTBLANK(U2159)=0),Stats!$E$6,Stats!$E$5),Stats!$E$4),""))</f>
        <v/>
      </c>
      <c r="C2159" s="41"/>
      <c r="D2159" s="306" t="str">
        <f>IF(B2159=Stats!$E$6,Stats!$E$11,"")</f>
        <v/>
      </c>
    </row>
    <row r="2160" spans="1:4" hidden="1" x14ac:dyDescent="0.25">
      <c r="A2160" s="32" t="s">
        <v>2884</v>
      </c>
      <c r="B2160" s="306" t="str">
        <f>IF((COUNTBLANK(G2160)=0),Stats!$E$7,IF((COUNTBLANK(E2160)=0),IF((COUNTBLANK(F2160)=0),IF((COUNTBLANK(U2160)=0),Stats!$E$6,Stats!$E$5),Stats!$E$4),""))</f>
        <v/>
      </c>
      <c r="C2160" s="41"/>
      <c r="D2160" s="306" t="str">
        <f>IF(B2160=Stats!$E$6,Stats!$E$11,"")</f>
        <v/>
      </c>
    </row>
    <row r="2161" spans="1:4" hidden="1" x14ac:dyDescent="0.25">
      <c r="A2161" s="32" t="s">
        <v>2885</v>
      </c>
      <c r="B2161" s="306" t="str">
        <f>IF((COUNTBLANK(G2161)=0),Stats!$E$7,IF((COUNTBLANK(E2161)=0),IF((COUNTBLANK(F2161)=0),IF((COUNTBLANK(U2161)=0),Stats!$E$6,Stats!$E$5),Stats!$E$4),""))</f>
        <v/>
      </c>
      <c r="C2161" s="41"/>
      <c r="D2161" s="306" t="str">
        <f>IF(B2161=Stats!$E$6,Stats!$E$11,"")</f>
        <v/>
      </c>
    </row>
    <row r="2162" spans="1:4" hidden="1" x14ac:dyDescent="0.25">
      <c r="A2162" s="32" t="s">
        <v>2886</v>
      </c>
      <c r="B2162" s="306" t="str">
        <f>IF((COUNTBLANK(G2162)=0),Stats!$E$7,IF((COUNTBLANK(E2162)=0),IF((COUNTBLANK(F2162)=0),IF((COUNTBLANK(U2162)=0),Stats!$E$6,Stats!$E$5),Stats!$E$4),""))</f>
        <v/>
      </c>
      <c r="C2162" s="41"/>
      <c r="D2162" s="306" t="str">
        <f>IF(B2162=Stats!$E$6,Stats!$E$11,"")</f>
        <v/>
      </c>
    </row>
    <row r="2163" spans="1:4" hidden="1" x14ac:dyDescent="0.25">
      <c r="A2163" s="32" t="s">
        <v>2887</v>
      </c>
      <c r="B2163" s="306" t="str">
        <f>IF((COUNTBLANK(G2163)=0),Stats!$E$7,IF((COUNTBLANK(E2163)=0),IF((COUNTBLANK(F2163)=0),IF((COUNTBLANK(U2163)=0),Stats!$E$6,Stats!$E$5),Stats!$E$4),""))</f>
        <v/>
      </c>
      <c r="C2163" s="41"/>
      <c r="D2163" s="306" t="str">
        <f>IF(B2163=Stats!$E$6,Stats!$E$11,"")</f>
        <v/>
      </c>
    </row>
    <row r="2164" spans="1:4" hidden="1" x14ac:dyDescent="0.25">
      <c r="A2164" s="32" t="s">
        <v>2888</v>
      </c>
      <c r="B2164" s="306" t="str">
        <f>IF((COUNTBLANK(G2164)=0),Stats!$E$7,IF((COUNTBLANK(E2164)=0),IF((COUNTBLANK(F2164)=0),IF((COUNTBLANK(U2164)=0),Stats!$E$6,Stats!$E$5),Stats!$E$4),""))</f>
        <v/>
      </c>
      <c r="C2164" s="41"/>
      <c r="D2164" s="306" t="str">
        <f>IF(B2164=Stats!$E$6,Stats!$E$11,"")</f>
        <v/>
      </c>
    </row>
    <row r="2165" spans="1:4" hidden="1" x14ac:dyDescent="0.25">
      <c r="A2165" s="32" t="s">
        <v>2889</v>
      </c>
      <c r="B2165" s="306" t="str">
        <f>IF((COUNTBLANK(G2165)=0),Stats!$E$7,IF((COUNTBLANK(E2165)=0),IF((COUNTBLANK(F2165)=0),IF((COUNTBLANK(U2165)=0),Stats!$E$6,Stats!$E$5),Stats!$E$4),""))</f>
        <v/>
      </c>
      <c r="C2165" s="41"/>
      <c r="D2165" s="306" t="str">
        <f>IF(B2165=Stats!$E$6,Stats!$E$11,"")</f>
        <v/>
      </c>
    </row>
    <row r="2166" spans="1:4" hidden="1" x14ac:dyDescent="0.25">
      <c r="A2166" s="32" t="s">
        <v>2890</v>
      </c>
      <c r="B2166" s="306" t="str">
        <f>IF((COUNTBLANK(G2166)=0),Stats!$E$7,IF((COUNTBLANK(E2166)=0),IF((COUNTBLANK(F2166)=0),IF((COUNTBLANK(U2166)=0),Stats!$E$6,Stats!$E$5),Stats!$E$4),""))</f>
        <v/>
      </c>
      <c r="C2166" s="41"/>
      <c r="D2166" s="306" t="str">
        <f>IF(B2166=Stats!$E$6,Stats!$E$11,"")</f>
        <v/>
      </c>
    </row>
    <row r="2167" spans="1:4" hidden="1" x14ac:dyDescent="0.25">
      <c r="A2167" s="32" t="s">
        <v>2891</v>
      </c>
      <c r="B2167" s="306" t="str">
        <f>IF((COUNTBLANK(G2167)=0),Stats!$E$7,IF((COUNTBLANK(E2167)=0),IF((COUNTBLANK(F2167)=0),IF((COUNTBLANK(U2167)=0),Stats!$E$6,Stats!$E$5),Stats!$E$4),""))</f>
        <v/>
      </c>
      <c r="C2167" s="41"/>
      <c r="D2167" s="306" t="str">
        <f>IF(B2167=Stats!$E$6,Stats!$E$11,"")</f>
        <v/>
      </c>
    </row>
    <row r="2168" spans="1:4" hidden="1" x14ac:dyDescent="0.25">
      <c r="A2168" s="32" t="s">
        <v>2892</v>
      </c>
      <c r="B2168" s="306" t="str">
        <f>IF((COUNTBLANK(G2168)=0),Stats!$E$7,IF((COUNTBLANK(E2168)=0),IF((COUNTBLANK(F2168)=0),IF((COUNTBLANK(U2168)=0),Stats!$E$6,Stats!$E$5),Stats!$E$4),""))</f>
        <v/>
      </c>
      <c r="C2168" s="41"/>
      <c r="D2168" s="306" t="str">
        <f>IF(B2168=Stats!$E$6,Stats!$E$11,"")</f>
        <v/>
      </c>
    </row>
    <row r="2169" spans="1:4" hidden="1" x14ac:dyDescent="0.25">
      <c r="A2169" s="32" t="s">
        <v>2893</v>
      </c>
      <c r="B2169" s="306" t="str">
        <f>IF((COUNTBLANK(G2169)=0),Stats!$E$7,IF((COUNTBLANK(E2169)=0),IF((COUNTBLANK(F2169)=0),IF((COUNTBLANK(U2169)=0),Stats!$E$6,Stats!$E$5),Stats!$E$4),""))</f>
        <v/>
      </c>
      <c r="C2169" s="41"/>
      <c r="D2169" s="306" t="str">
        <f>IF(B2169=Stats!$E$6,Stats!$E$11,"")</f>
        <v/>
      </c>
    </row>
    <row r="2170" spans="1:4" hidden="1" x14ac:dyDescent="0.25">
      <c r="A2170" s="32" t="s">
        <v>2894</v>
      </c>
      <c r="B2170" s="306" t="str">
        <f>IF((COUNTBLANK(G2170)=0),Stats!$E$7,IF((COUNTBLANK(E2170)=0),IF((COUNTBLANK(F2170)=0),IF((COUNTBLANK(U2170)=0),Stats!$E$6,Stats!$E$5),Stats!$E$4),""))</f>
        <v/>
      </c>
      <c r="C2170" s="41"/>
      <c r="D2170" s="306" t="str">
        <f>IF(B2170=Stats!$E$6,Stats!$E$11,"")</f>
        <v/>
      </c>
    </row>
    <row r="2171" spans="1:4" hidden="1" x14ac:dyDescent="0.25">
      <c r="A2171" s="32" t="s">
        <v>2895</v>
      </c>
      <c r="B2171" s="306" t="str">
        <f>IF((COUNTBLANK(G2171)=0),Stats!$E$7,IF((COUNTBLANK(E2171)=0),IF((COUNTBLANK(F2171)=0),IF((COUNTBLANK(U2171)=0),Stats!$E$6,Stats!$E$5),Stats!$E$4),""))</f>
        <v/>
      </c>
      <c r="C2171" s="41"/>
      <c r="D2171" s="306" t="str">
        <f>IF(B2171=Stats!$E$6,Stats!$E$11,"")</f>
        <v/>
      </c>
    </row>
    <row r="2172" spans="1:4" hidden="1" x14ac:dyDescent="0.25">
      <c r="A2172" s="32" t="s">
        <v>2896</v>
      </c>
      <c r="B2172" s="306" t="str">
        <f>IF((COUNTBLANK(G2172)=0),Stats!$E$7,IF((COUNTBLANK(E2172)=0),IF((COUNTBLANK(F2172)=0),IF((COUNTBLANK(U2172)=0),Stats!$E$6,Stats!$E$5),Stats!$E$4),""))</f>
        <v/>
      </c>
      <c r="C2172" s="41"/>
      <c r="D2172" s="306" t="str">
        <f>IF(B2172=Stats!$E$6,Stats!$E$11,"")</f>
        <v/>
      </c>
    </row>
    <row r="2173" spans="1:4" hidden="1" x14ac:dyDescent="0.25">
      <c r="A2173" s="32" t="s">
        <v>2897</v>
      </c>
      <c r="B2173" s="306" t="str">
        <f>IF((COUNTBLANK(G2173)=0),Stats!$E$7,IF((COUNTBLANK(E2173)=0),IF((COUNTBLANK(F2173)=0),IF((COUNTBLANK(U2173)=0),Stats!$E$6,Stats!$E$5),Stats!$E$4),""))</f>
        <v/>
      </c>
      <c r="C2173" s="41"/>
      <c r="D2173" s="306" t="str">
        <f>IF(B2173=Stats!$E$6,Stats!$E$11,"")</f>
        <v/>
      </c>
    </row>
    <row r="2174" spans="1:4" hidden="1" x14ac:dyDescent="0.25">
      <c r="A2174" s="32" t="s">
        <v>2898</v>
      </c>
      <c r="B2174" s="306" t="str">
        <f>IF((COUNTBLANK(G2174)=0),Stats!$E$7,IF((COUNTBLANK(E2174)=0),IF((COUNTBLANK(F2174)=0),IF((COUNTBLANK(U2174)=0),Stats!$E$6,Stats!$E$5),Stats!$E$4),""))</f>
        <v/>
      </c>
      <c r="C2174" s="41"/>
      <c r="D2174" s="306" t="str">
        <f>IF(B2174=Stats!$E$6,Stats!$E$11,"")</f>
        <v/>
      </c>
    </row>
    <row r="2175" spans="1:4" hidden="1" x14ac:dyDescent="0.25">
      <c r="A2175" s="32" t="s">
        <v>2899</v>
      </c>
      <c r="B2175" s="306" t="str">
        <f>IF((COUNTBLANK(G2175)=0),Stats!$E$7,IF((COUNTBLANK(E2175)=0),IF((COUNTBLANK(F2175)=0),IF((COUNTBLANK(U2175)=0),Stats!$E$6,Stats!$E$5),Stats!$E$4),""))</f>
        <v/>
      </c>
      <c r="C2175" s="41"/>
      <c r="D2175" s="306" t="str">
        <f>IF(B2175=Stats!$E$6,Stats!$E$11,"")</f>
        <v/>
      </c>
    </row>
    <row r="2176" spans="1:4" hidden="1" x14ac:dyDescent="0.25">
      <c r="A2176" s="32" t="s">
        <v>2893</v>
      </c>
      <c r="B2176" s="306" t="str">
        <f>IF((COUNTBLANK(G2176)=0),Stats!$E$7,IF((COUNTBLANK(E2176)=0),IF((COUNTBLANK(F2176)=0),IF((COUNTBLANK(U2176)=0),Stats!$E$6,Stats!$E$5),Stats!$E$4),""))</f>
        <v/>
      </c>
      <c r="C2176" s="41"/>
      <c r="D2176" s="306" t="str">
        <f>IF(B2176=Stats!$E$6,Stats!$E$11,"")</f>
        <v/>
      </c>
    </row>
    <row r="2177" spans="1:4" hidden="1" x14ac:dyDescent="0.25">
      <c r="A2177" s="32" t="s">
        <v>2894</v>
      </c>
      <c r="B2177" s="306" t="str">
        <f>IF((COUNTBLANK(G2177)=0),Stats!$E$7,IF((COUNTBLANK(E2177)=0),IF((COUNTBLANK(F2177)=0),IF((COUNTBLANK(U2177)=0),Stats!$E$6,Stats!$E$5),Stats!$E$4),""))</f>
        <v/>
      </c>
      <c r="C2177" s="41"/>
      <c r="D2177" s="306" t="str">
        <f>IF(B2177=Stats!$E$6,Stats!$E$11,"")</f>
        <v/>
      </c>
    </row>
    <row r="2178" spans="1:4" hidden="1" x14ac:dyDescent="0.25">
      <c r="A2178" s="32" t="s">
        <v>2895</v>
      </c>
      <c r="B2178" s="306" t="str">
        <f>IF((COUNTBLANK(G2178)=0),Stats!$E$7,IF((COUNTBLANK(E2178)=0),IF((COUNTBLANK(F2178)=0),IF((COUNTBLANK(U2178)=0),Stats!$E$6,Stats!$E$5),Stats!$E$4),""))</f>
        <v/>
      </c>
      <c r="C2178" s="41"/>
      <c r="D2178" s="306" t="str">
        <f>IF(B2178=Stats!$E$6,Stats!$E$11,"")</f>
        <v/>
      </c>
    </row>
    <row r="2179" spans="1:4" hidden="1" x14ac:dyDescent="0.25">
      <c r="A2179" s="32" t="s">
        <v>2896</v>
      </c>
      <c r="B2179" s="306" t="str">
        <f>IF((COUNTBLANK(G2179)=0),Stats!$E$7,IF((COUNTBLANK(E2179)=0),IF((COUNTBLANK(F2179)=0),IF((COUNTBLANK(U2179)=0),Stats!$E$6,Stats!$E$5),Stats!$E$4),""))</f>
        <v/>
      </c>
      <c r="C2179" s="41"/>
      <c r="D2179" s="306" t="str">
        <f>IF(B2179=Stats!$E$6,Stats!$E$11,"")</f>
        <v/>
      </c>
    </row>
    <row r="2180" spans="1:4" hidden="1" x14ac:dyDescent="0.25">
      <c r="A2180" s="32" t="s">
        <v>2897</v>
      </c>
      <c r="B2180" s="306" t="str">
        <f>IF((COUNTBLANK(G2180)=0),Stats!$E$7,IF((COUNTBLANK(E2180)=0),IF((COUNTBLANK(F2180)=0),IF((COUNTBLANK(U2180)=0),Stats!$E$6,Stats!$E$5),Stats!$E$4),""))</f>
        <v/>
      </c>
      <c r="C2180" s="41"/>
      <c r="D2180" s="306" t="str">
        <f>IF(B2180=Stats!$E$6,Stats!$E$11,"")</f>
        <v/>
      </c>
    </row>
    <row r="2181" spans="1:4" hidden="1" x14ac:dyDescent="0.25">
      <c r="A2181" s="32" t="s">
        <v>2898</v>
      </c>
      <c r="B2181" s="306" t="str">
        <f>IF((COUNTBLANK(G2181)=0),Stats!$E$7,IF((COUNTBLANK(E2181)=0),IF((COUNTBLANK(F2181)=0),IF((COUNTBLANK(U2181)=0),Stats!$E$6,Stats!$E$5),Stats!$E$4),""))</f>
        <v/>
      </c>
      <c r="C2181" s="41"/>
      <c r="D2181" s="306" t="str">
        <f>IF(B2181=Stats!$E$6,Stats!$E$11,"")</f>
        <v/>
      </c>
    </row>
    <row r="2182" spans="1:4" hidden="1" x14ac:dyDescent="0.25">
      <c r="A2182" s="32" t="s">
        <v>2899</v>
      </c>
      <c r="B2182" s="306" t="str">
        <f>IF((COUNTBLANK(G2182)=0),Stats!$E$7,IF((COUNTBLANK(E2182)=0),IF((COUNTBLANK(F2182)=0),IF((COUNTBLANK(U2182)=0),Stats!$E$6,Stats!$E$5),Stats!$E$4),""))</f>
        <v/>
      </c>
      <c r="C2182" s="41"/>
      <c r="D2182" s="306" t="str">
        <f>IF(B2182=Stats!$E$6,Stats!$E$11,"")</f>
        <v/>
      </c>
    </row>
    <row r="2183" spans="1:4" hidden="1" x14ac:dyDescent="0.25">
      <c r="A2183" s="32" t="s">
        <v>2900</v>
      </c>
      <c r="B2183" s="306" t="str">
        <f>IF((COUNTBLANK(G2183)=0),Stats!$E$7,IF((COUNTBLANK(E2183)=0),IF((COUNTBLANK(F2183)=0),IF((COUNTBLANK(U2183)=0),Stats!$E$6,Stats!$E$5),Stats!$E$4),""))</f>
        <v/>
      </c>
      <c r="C2183" s="41"/>
      <c r="D2183" s="306" t="str">
        <f>IF(B2183=Stats!$E$6,Stats!$E$11,"")</f>
        <v/>
      </c>
    </row>
    <row r="2184" spans="1:4" hidden="1" x14ac:dyDescent="0.25">
      <c r="A2184" s="32" t="s">
        <v>2901</v>
      </c>
      <c r="B2184" s="306" t="str">
        <f>IF((COUNTBLANK(G2184)=0),Stats!$E$7,IF((COUNTBLANK(E2184)=0),IF((COUNTBLANK(F2184)=0),IF((COUNTBLANK(U2184)=0),Stats!$E$6,Stats!$E$5),Stats!$E$4),""))</f>
        <v/>
      </c>
      <c r="C2184" s="41"/>
      <c r="D2184" s="306" t="str">
        <f>IF(B2184=Stats!$E$6,Stats!$E$11,"")</f>
        <v/>
      </c>
    </row>
    <row r="2185" spans="1:4" hidden="1" x14ac:dyDescent="0.25">
      <c r="A2185" s="32" t="s">
        <v>2902</v>
      </c>
      <c r="B2185" s="306" t="str">
        <f>IF((COUNTBLANK(G2185)=0),Stats!$E$7,IF((COUNTBLANK(E2185)=0),IF((COUNTBLANK(F2185)=0),IF((COUNTBLANK(U2185)=0),Stats!$E$6,Stats!$E$5),Stats!$E$4),""))</f>
        <v/>
      </c>
      <c r="C2185" s="41"/>
      <c r="D2185" s="306" t="str">
        <f>IF(B2185=Stats!$E$6,Stats!$E$11,"")</f>
        <v/>
      </c>
    </row>
    <row r="2186" spans="1:4" hidden="1" x14ac:dyDescent="0.25">
      <c r="A2186" s="32" t="s">
        <v>2903</v>
      </c>
      <c r="B2186" s="306" t="str">
        <f>IF((COUNTBLANK(G2186)=0),Stats!$E$7,IF((COUNTBLANK(E2186)=0),IF((COUNTBLANK(F2186)=0),IF((COUNTBLANK(U2186)=0),Stats!$E$6,Stats!$E$5),Stats!$E$4),""))</f>
        <v/>
      </c>
      <c r="C2186" s="41"/>
      <c r="D2186" s="306" t="str">
        <f>IF(B2186=Stats!$E$6,Stats!$E$11,"")</f>
        <v/>
      </c>
    </row>
    <row r="2187" spans="1:4" hidden="1" x14ac:dyDescent="0.25">
      <c r="A2187" s="32" t="s">
        <v>2904</v>
      </c>
      <c r="B2187" s="306" t="str">
        <f>IF((COUNTBLANK(G2187)=0),Stats!$E$7,IF((COUNTBLANK(E2187)=0),IF((COUNTBLANK(F2187)=0),IF((COUNTBLANK(U2187)=0),Stats!$E$6,Stats!$E$5),Stats!$E$4),""))</f>
        <v/>
      </c>
      <c r="C2187" s="41"/>
      <c r="D2187" s="306" t="str">
        <f>IF(B2187=Stats!$E$6,Stats!$E$11,"")</f>
        <v/>
      </c>
    </row>
    <row r="2188" spans="1:4" hidden="1" x14ac:dyDescent="0.25">
      <c r="A2188" s="32" t="s">
        <v>2905</v>
      </c>
      <c r="B2188" s="306" t="str">
        <f>IF((COUNTBLANK(G2188)=0),Stats!$E$7,IF((COUNTBLANK(E2188)=0),IF((COUNTBLANK(F2188)=0),IF((COUNTBLANK(U2188)=0),Stats!$E$6,Stats!$E$5),Stats!$E$4),""))</f>
        <v/>
      </c>
      <c r="C2188" s="41"/>
      <c r="D2188" s="306" t="str">
        <f>IF(B2188=Stats!$E$6,Stats!$E$11,"")</f>
        <v/>
      </c>
    </row>
    <row r="2189" spans="1:4" hidden="1" x14ac:dyDescent="0.25">
      <c r="A2189" s="32" t="s">
        <v>2906</v>
      </c>
      <c r="B2189" s="306" t="str">
        <f>IF((COUNTBLANK(G2189)=0),Stats!$E$7,IF((COUNTBLANK(E2189)=0),IF((COUNTBLANK(F2189)=0),IF((COUNTBLANK(U2189)=0),Stats!$E$6,Stats!$E$5),Stats!$E$4),""))</f>
        <v/>
      </c>
      <c r="C2189" s="41"/>
      <c r="D2189" s="306" t="str">
        <f>IF(B2189=Stats!$E$6,Stats!$E$11,"")</f>
        <v/>
      </c>
    </row>
    <row r="2190" spans="1:4" hidden="1" x14ac:dyDescent="0.25">
      <c r="A2190" s="32" t="s">
        <v>2907</v>
      </c>
      <c r="B2190" s="306" t="str">
        <f>IF((COUNTBLANK(G2190)=0),Stats!$E$7,IF((COUNTBLANK(E2190)=0),IF((COUNTBLANK(F2190)=0),IF((COUNTBLANK(U2190)=0),Stats!$E$6,Stats!$E$5),Stats!$E$4),""))</f>
        <v/>
      </c>
      <c r="C2190" s="41"/>
      <c r="D2190" s="306" t="str">
        <f>IF(B2190=Stats!$E$6,Stats!$E$11,"")</f>
        <v/>
      </c>
    </row>
    <row r="2191" spans="1:4" hidden="1" x14ac:dyDescent="0.25">
      <c r="A2191" s="32" t="s">
        <v>2908</v>
      </c>
      <c r="B2191" s="306" t="str">
        <f>IF((COUNTBLANK(G2191)=0),Stats!$E$7,IF((COUNTBLANK(E2191)=0),IF((COUNTBLANK(F2191)=0),IF((COUNTBLANK(U2191)=0),Stats!$E$6,Stats!$E$5),Stats!$E$4),""))</f>
        <v/>
      </c>
      <c r="C2191" s="41"/>
      <c r="D2191" s="306" t="str">
        <f>IF(B2191=Stats!$E$6,Stats!$E$11,"")</f>
        <v/>
      </c>
    </row>
    <row r="2192" spans="1:4" hidden="1" x14ac:dyDescent="0.25">
      <c r="A2192" s="32" t="s">
        <v>2909</v>
      </c>
      <c r="B2192" s="306" t="str">
        <f>IF((COUNTBLANK(G2192)=0),Stats!$E$7,IF((COUNTBLANK(E2192)=0),IF((COUNTBLANK(F2192)=0),IF((COUNTBLANK(U2192)=0),Stats!$E$6,Stats!$E$5),Stats!$E$4),""))</f>
        <v/>
      </c>
      <c r="C2192" s="41"/>
      <c r="D2192" s="306" t="str">
        <f>IF(B2192=Stats!$E$6,Stats!$E$11,"")</f>
        <v/>
      </c>
    </row>
    <row r="2193" spans="1:4" hidden="1" x14ac:dyDescent="0.25">
      <c r="A2193" s="32" t="s">
        <v>2910</v>
      </c>
      <c r="B2193" s="306" t="str">
        <f>IF((COUNTBLANK(G2193)=0),Stats!$E$7,IF((COUNTBLANK(E2193)=0),IF((COUNTBLANK(F2193)=0),IF((COUNTBLANK(U2193)=0),Stats!$E$6,Stats!$E$5),Stats!$E$4),""))</f>
        <v/>
      </c>
      <c r="C2193" s="41"/>
      <c r="D2193" s="306" t="str">
        <f>IF(B2193=Stats!$E$6,Stats!$E$11,"")</f>
        <v/>
      </c>
    </row>
    <row r="2194" spans="1:4" hidden="1" x14ac:dyDescent="0.25">
      <c r="A2194" s="32" t="s">
        <v>2911</v>
      </c>
      <c r="B2194" s="306" t="str">
        <f>IF((COUNTBLANK(G2194)=0),Stats!$E$7,IF((COUNTBLANK(E2194)=0),IF((COUNTBLANK(F2194)=0),IF((COUNTBLANK(U2194)=0),Stats!$E$6,Stats!$E$5),Stats!$E$4),""))</f>
        <v/>
      </c>
      <c r="C2194" s="41"/>
      <c r="D2194" s="306" t="str">
        <f>IF(B2194=Stats!$E$6,Stats!$E$11,"")</f>
        <v/>
      </c>
    </row>
    <row r="2195" spans="1:4" hidden="1" x14ac:dyDescent="0.25">
      <c r="A2195" s="32" t="s">
        <v>2912</v>
      </c>
      <c r="B2195" s="306" t="str">
        <f>IF((COUNTBLANK(G2195)=0),Stats!$E$7,IF((COUNTBLANK(E2195)=0),IF((COUNTBLANK(F2195)=0),IF((COUNTBLANK(U2195)=0),Stats!$E$6,Stats!$E$5),Stats!$E$4),""))</f>
        <v/>
      </c>
      <c r="C2195" s="41"/>
      <c r="D2195" s="306" t="str">
        <f>IF(B2195=Stats!$E$6,Stats!$E$11,"")</f>
        <v/>
      </c>
    </row>
    <row r="2196" spans="1:4" hidden="1" x14ac:dyDescent="0.25">
      <c r="A2196" s="32" t="s">
        <v>2913</v>
      </c>
      <c r="B2196" s="306" t="str">
        <f>IF((COUNTBLANK(G2196)=0),Stats!$E$7,IF((COUNTBLANK(E2196)=0),IF((COUNTBLANK(F2196)=0),IF((COUNTBLANK(U2196)=0),Stats!$E$6,Stats!$E$5),Stats!$E$4),""))</f>
        <v/>
      </c>
      <c r="C2196" s="41"/>
      <c r="D2196" s="306" t="str">
        <f>IF(B2196=Stats!$E$6,Stats!$E$11,"")</f>
        <v/>
      </c>
    </row>
    <row r="2197" spans="1:4" hidden="1" x14ac:dyDescent="0.25">
      <c r="A2197" s="32" t="s">
        <v>2914</v>
      </c>
      <c r="B2197" s="306" t="str">
        <f>IF((COUNTBLANK(G2197)=0),Stats!$E$7,IF((COUNTBLANK(E2197)=0),IF((COUNTBLANK(F2197)=0),IF((COUNTBLANK(U2197)=0),Stats!$E$6,Stats!$E$5),Stats!$E$4),""))</f>
        <v/>
      </c>
      <c r="C2197" s="41"/>
      <c r="D2197" s="306" t="str">
        <f>IF(B2197=Stats!$E$6,Stats!$E$11,"")</f>
        <v/>
      </c>
    </row>
    <row r="2198" spans="1:4" hidden="1" x14ac:dyDescent="0.25">
      <c r="A2198" s="32" t="s">
        <v>2915</v>
      </c>
      <c r="B2198" s="306" t="str">
        <f>IF((COUNTBLANK(G2198)=0),Stats!$E$7,IF((COUNTBLANK(E2198)=0),IF((COUNTBLANK(F2198)=0),IF((COUNTBLANK(U2198)=0),Stats!$E$6,Stats!$E$5),Stats!$E$4),""))</f>
        <v/>
      </c>
      <c r="C2198" s="41"/>
      <c r="D2198" s="306" t="str">
        <f>IF(B2198=Stats!$E$6,Stats!$E$11,"")</f>
        <v/>
      </c>
    </row>
    <row r="2199" spans="1:4" hidden="1" x14ac:dyDescent="0.25">
      <c r="A2199" s="32" t="s">
        <v>2916</v>
      </c>
      <c r="B2199" s="306" t="str">
        <f>IF((COUNTBLANK(G2199)=0),Stats!$E$7,IF((COUNTBLANK(E2199)=0),IF((COUNTBLANK(F2199)=0),IF((COUNTBLANK(U2199)=0),Stats!$E$6,Stats!$E$5),Stats!$E$4),""))</f>
        <v/>
      </c>
      <c r="C2199" s="41"/>
      <c r="D2199" s="306" t="str">
        <f>IF(B2199=Stats!$E$6,Stats!$E$11,"")</f>
        <v/>
      </c>
    </row>
    <row r="2200" spans="1:4" hidden="1" x14ac:dyDescent="0.25">
      <c r="A2200" s="32" t="s">
        <v>2917</v>
      </c>
      <c r="B2200" s="306" t="str">
        <f>IF((COUNTBLANK(G2200)=0),Stats!$E$7,IF((COUNTBLANK(E2200)=0),IF((COUNTBLANK(F2200)=0),IF((COUNTBLANK(U2200)=0),Stats!$E$6,Stats!$E$5),Stats!$E$4),""))</f>
        <v/>
      </c>
      <c r="C2200" s="41"/>
      <c r="D2200" s="306" t="str">
        <f>IF(B2200=Stats!$E$6,Stats!$E$11,"")</f>
        <v/>
      </c>
    </row>
    <row r="2201" spans="1:4" hidden="1" x14ac:dyDescent="0.25">
      <c r="A2201" s="32" t="s">
        <v>2918</v>
      </c>
      <c r="B2201" s="306" t="str">
        <f>IF((COUNTBLANK(G2201)=0),Stats!$E$7,IF((COUNTBLANK(E2201)=0),IF((COUNTBLANK(F2201)=0),IF((COUNTBLANK(U2201)=0),Stats!$E$6,Stats!$E$5),Stats!$E$4),""))</f>
        <v/>
      </c>
      <c r="C2201" s="41"/>
      <c r="D2201" s="306" t="str">
        <f>IF(B2201=Stats!$E$6,Stats!$E$11,"")</f>
        <v/>
      </c>
    </row>
    <row r="2202" spans="1:4" hidden="1" x14ac:dyDescent="0.25">
      <c r="A2202" s="32" t="s">
        <v>2919</v>
      </c>
      <c r="B2202" s="306" t="str">
        <f>IF((COUNTBLANK(G2202)=0),Stats!$E$7,IF((COUNTBLANK(E2202)=0),IF((COUNTBLANK(F2202)=0),IF((COUNTBLANK(U2202)=0),Stats!$E$6,Stats!$E$5),Stats!$E$4),""))</f>
        <v/>
      </c>
      <c r="C2202" s="41"/>
      <c r="D2202" s="306" t="str">
        <f>IF(B2202=Stats!$E$6,Stats!$E$11,"")</f>
        <v/>
      </c>
    </row>
    <row r="2203" spans="1:4" hidden="1" x14ac:dyDescent="0.25">
      <c r="A2203" s="32" t="s">
        <v>2920</v>
      </c>
      <c r="B2203" s="306" t="str">
        <f>IF((COUNTBLANK(G2203)=0),Stats!$E$7,IF((COUNTBLANK(E2203)=0),IF((COUNTBLANK(F2203)=0),IF((COUNTBLANK(U2203)=0),Stats!$E$6,Stats!$E$5),Stats!$E$4),""))</f>
        <v/>
      </c>
      <c r="C2203" s="41"/>
      <c r="D2203" s="306" t="str">
        <f>IF(B2203=Stats!$E$6,Stats!$E$11,"")</f>
        <v/>
      </c>
    </row>
    <row r="2204" spans="1:4" hidden="1" x14ac:dyDescent="0.25">
      <c r="A2204" s="32" t="s">
        <v>2921</v>
      </c>
      <c r="B2204" s="306" t="str">
        <f>IF((COUNTBLANK(G2204)=0),Stats!$E$7,IF((COUNTBLANK(E2204)=0),IF((COUNTBLANK(F2204)=0),IF((COUNTBLANK(U2204)=0),Stats!$E$6,Stats!$E$5),Stats!$E$4),""))</f>
        <v/>
      </c>
      <c r="C2204" s="41"/>
      <c r="D2204" s="306" t="str">
        <f>IF(B2204=Stats!$E$6,Stats!$E$11,"")</f>
        <v/>
      </c>
    </row>
    <row r="2205" spans="1:4" hidden="1" x14ac:dyDescent="0.25">
      <c r="A2205" s="32" t="s">
        <v>2922</v>
      </c>
      <c r="B2205" s="306" t="str">
        <f>IF((COUNTBLANK(G2205)=0),Stats!$E$7,IF((COUNTBLANK(E2205)=0),IF((COUNTBLANK(F2205)=0),IF((COUNTBLANK(U2205)=0),Stats!$E$6,Stats!$E$5),Stats!$E$4),""))</f>
        <v/>
      </c>
      <c r="C2205" s="41"/>
      <c r="D2205" s="306" t="str">
        <f>IF(B2205=Stats!$E$6,Stats!$E$11,"")</f>
        <v/>
      </c>
    </row>
    <row r="2206" spans="1:4" hidden="1" x14ac:dyDescent="0.25">
      <c r="A2206" s="32" t="s">
        <v>2923</v>
      </c>
      <c r="B2206" s="306" t="str">
        <f>IF((COUNTBLANK(G2206)=0),Stats!$E$7,IF((COUNTBLANK(E2206)=0),IF((COUNTBLANK(F2206)=0),IF((COUNTBLANK(U2206)=0),Stats!$E$6,Stats!$E$5),Stats!$E$4),""))</f>
        <v/>
      </c>
      <c r="C2206" s="41"/>
      <c r="D2206" s="306" t="str">
        <f>IF(B2206=Stats!$E$6,Stats!$E$11,"")</f>
        <v/>
      </c>
    </row>
    <row r="2207" spans="1:4" hidden="1" x14ac:dyDescent="0.25">
      <c r="A2207" s="32" t="s">
        <v>2924</v>
      </c>
      <c r="B2207" s="306" t="str">
        <f>IF((COUNTBLANK(G2207)=0),Stats!$E$7,IF((COUNTBLANK(E2207)=0),IF((COUNTBLANK(F2207)=0),IF((COUNTBLANK(U2207)=0),Stats!$E$6,Stats!$E$5),Stats!$E$4),""))</f>
        <v/>
      </c>
      <c r="C2207" s="41"/>
      <c r="D2207" s="306" t="str">
        <f>IF(B2207=Stats!$E$6,Stats!$E$11,"")</f>
        <v/>
      </c>
    </row>
    <row r="2208" spans="1:4" hidden="1" x14ac:dyDescent="0.25">
      <c r="A2208" s="32" t="s">
        <v>2925</v>
      </c>
      <c r="B2208" s="306" t="str">
        <f>IF((COUNTBLANK(G2208)=0),Stats!$E$7,IF((COUNTBLANK(E2208)=0),IF((COUNTBLANK(F2208)=0),IF((COUNTBLANK(U2208)=0),Stats!$E$6,Stats!$E$5),Stats!$E$4),""))</f>
        <v/>
      </c>
      <c r="C2208" s="41"/>
      <c r="D2208" s="306" t="str">
        <f>IF(B2208=Stats!$E$6,Stats!$E$11,"")</f>
        <v/>
      </c>
    </row>
    <row r="2209" spans="1:4" hidden="1" x14ac:dyDescent="0.25">
      <c r="A2209" s="32" t="s">
        <v>2926</v>
      </c>
      <c r="B2209" s="306" t="str">
        <f>IF((COUNTBLANK(G2209)=0),Stats!$E$7,IF((COUNTBLANK(E2209)=0),IF((COUNTBLANK(F2209)=0),IF((COUNTBLANK(U2209)=0),Stats!$E$6,Stats!$E$5),Stats!$E$4),""))</f>
        <v/>
      </c>
      <c r="C2209" s="41"/>
      <c r="D2209" s="306" t="str">
        <f>IF(B2209=Stats!$E$6,Stats!$E$11,"")</f>
        <v/>
      </c>
    </row>
    <row r="2210" spans="1:4" hidden="1" x14ac:dyDescent="0.25">
      <c r="A2210" s="32" t="s">
        <v>2927</v>
      </c>
      <c r="B2210" s="306" t="str">
        <f>IF((COUNTBLANK(G2210)=0),Stats!$E$7,IF((COUNTBLANK(E2210)=0),IF((COUNTBLANK(F2210)=0),IF((COUNTBLANK(U2210)=0),Stats!$E$6,Stats!$E$5),Stats!$E$4),""))</f>
        <v/>
      </c>
      <c r="C2210" s="41"/>
      <c r="D2210" s="306" t="str">
        <f>IF(B2210=Stats!$E$6,Stats!$E$11,"")</f>
        <v/>
      </c>
    </row>
    <row r="2211" spans="1:4" hidden="1" x14ac:dyDescent="0.25">
      <c r="A2211" s="32" t="s">
        <v>2928</v>
      </c>
      <c r="B2211" s="306" t="str">
        <f>IF((COUNTBLANK(G2211)=0),Stats!$E$7,IF((COUNTBLANK(E2211)=0),IF((COUNTBLANK(F2211)=0),IF((COUNTBLANK(U2211)=0),Stats!$E$6,Stats!$E$5),Stats!$E$4),""))</f>
        <v/>
      </c>
      <c r="C2211" s="41"/>
      <c r="D2211" s="306" t="str">
        <f>IF(B2211=Stats!$E$6,Stats!$E$11,"")</f>
        <v/>
      </c>
    </row>
    <row r="2212" spans="1:4" hidden="1" x14ac:dyDescent="0.25">
      <c r="A2212" s="32" t="s">
        <v>2929</v>
      </c>
      <c r="B2212" s="306" t="str">
        <f>IF((COUNTBLANK(G2212)=0),Stats!$E$7,IF((COUNTBLANK(E2212)=0),IF((COUNTBLANK(F2212)=0),IF((COUNTBLANK(U2212)=0),Stats!$E$6,Stats!$E$5),Stats!$E$4),""))</f>
        <v/>
      </c>
      <c r="C2212" s="41"/>
      <c r="D2212" s="306" t="str">
        <f>IF(B2212=Stats!$E$6,Stats!$E$11,"")</f>
        <v/>
      </c>
    </row>
    <row r="2213" spans="1:4" hidden="1" x14ac:dyDescent="0.25">
      <c r="A2213" s="32" t="s">
        <v>2930</v>
      </c>
      <c r="B2213" s="306" t="str">
        <f>IF((COUNTBLANK(G2213)=0),Stats!$E$7,IF((COUNTBLANK(E2213)=0),IF((COUNTBLANK(F2213)=0),IF((COUNTBLANK(U2213)=0),Stats!$E$6,Stats!$E$5),Stats!$E$4),""))</f>
        <v/>
      </c>
      <c r="C2213" s="41"/>
      <c r="D2213" s="306" t="str">
        <f>IF(B2213=Stats!$E$6,Stats!$E$11,"")</f>
        <v/>
      </c>
    </row>
    <row r="2214" spans="1:4" hidden="1" x14ac:dyDescent="0.25">
      <c r="A2214" s="32" t="s">
        <v>2931</v>
      </c>
      <c r="B2214" s="306" t="str">
        <f>IF((COUNTBLANK(G2214)=0),Stats!$E$7,IF((COUNTBLANK(E2214)=0),IF((COUNTBLANK(F2214)=0),IF((COUNTBLANK(U2214)=0),Stats!$E$6,Stats!$E$5),Stats!$E$4),""))</f>
        <v/>
      </c>
      <c r="C2214" s="41"/>
      <c r="D2214" s="306" t="str">
        <f>IF(B2214=Stats!$E$6,Stats!$E$11,"")</f>
        <v/>
      </c>
    </row>
    <row r="2215" spans="1:4" hidden="1" x14ac:dyDescent="0.25">
      <c r="A2215" s="32" t="s">
        <v>2932</v>
      </c>
      <c r="B2215" s="306" t="str">
        <f>IF((COUNTBLANK(G2215)=0),Stats!$E$7,IF((COUNTBLANK(E2215)=0),IF((COUNTBLANK(F2215)=0),IF((COUNTBLANK(U2215)=0),Stats!$E$6,Stats!$E$5),Stats!$E$4),""))</f>
        <v/>
      </c>
      <c r="C2215" s="41"/>
      <c r="D2215" s="306" t="str">
        <f>IF(B2215=Stats!$E$6,Stats!$E$11,"")</f>
        <v/>
      </c>
    </row>
    <row r="2216" spans="1:4" hidden="1" x14ac:dyDescent="0.25">
      <c r="A2216" s="32" t="s">
        <v>2933</v>
      </c>
      <c r="B2216" s="306" t="str">
        <f>IF((COUNTBLANK(G2216)=0),Stats!$E$7,IF((COUNTBLANK(E2216)=0),IF((COUNTBLANK(F2216)=0),IF((COUNTBLANK(U2216)=0),Stats!$E$6,Stats!$E$5),Stats!$E$4),""))</f>
        <v/>
      </c>
      <c r="C2216" s="41"/>
      <c r="D2216" s="306" t="str">
        <f>IF(B2216=Stats!$E$6,Stats!$E$11,"")</f>
        <v/>
      </c>
    </row>
    <row r="2217" spans="1:4" hidden="1" x14ac:dyDescent="0.25">
      <c r="A2217" s="32" t="s">
        <v>2934</v>
      </c>
      <c r="B2217" s="306" t="str">
        <f>IF((COUNTBLANK(G2217)=0),Stats!$E$7,IF((COUNTBLANK(E2217)=0),IF((COUNTBLANK(F2217)=0),IF((COUNTBLANK(U2217)=0),Stats!$E$6,Stats!$E$5),Stats!$E$4),""))</f>
        <v/>
      </c>
      <c r="C2217" s="41"/>
      <c r="D2217" s="306" t="str">
        <f>IF(B2217=Stats!$E$6,Stats!$E$11,"")</f>
        <v/>
      </c>
    </row>
    <row r="2218" spans="1:4" hidden="1" x14ac:dyDescent="0.25">
      <c r="A2218" s="32" t="s">
        <v>2935</v>
      </c>
      <c r="B2218" s="306" t="str">
        <f>IF((COUNTBLANK(G2218)=0),Stats!$E$7,IF((COUNTBLANK(E2218)=0),IF((COUNTBLANK(F2218)=0),IF((COUNTBLANK(U2218)=0),Stats!$E$6,Stats!$E$5),Stats!$E$4),""))</f>
        <v/>
      </c>
      <c r="C2218" s="41"/>
      <c r="D2218" s="306" t="str">
        <f>IF(B2218=Stats!$E$6,Stats!$E$11,"")</f>
        <v/>
      </c>
    </row>
    <row r="2219" spans="1:4" hidden="1" x14ac:dyDescent="0.25">
      <c r="A2219" s="32" t="s">
        <v>2936</v>
      </c>
      <c r="B2219" s="306" t="str">
        <f>IF((COUNTBLANK(G2219)=0),Stats!$E$7,IF((COUNTBLANK(E2219)=0),IF((COUNTBLANK(F2219)=0),IF((COUNTBLANK(U2219)=0),Stats!$E$6,Stats!$E$5),Stats!$E$4),""))</f>
        <v/>
      </c>
      <c r="C2219" s="41"/>
      <c r="D2219" s="306" t="str">
        <f>IF(B2219=Stats!$E$6,Stats!$E$11,"")</f>
        <v/>
      </c>
    </row>
    <row r="2220" spans="1:4" hidden="1" x14ac:dyDescent="0.25">
      <c r="A2220" s="32" t="s">
        <v>2937</v>
      </c>
      <c r="B2220" s="306" t="str">
        <f>IF((COUNTBLANK(G2220)=0),Stats!$E$7,IF((COUNTBLANK(E2220)=0),IF((COUNTBLANK(F2220)=0),IF((COUNTBLANK(U2220)=0),Stats!$E$6,Stats!$E$5),Stats!$E$4),""))</f>
        <v/>
      </c>
      <c r="C2220" s="41"/>
      <c r="D2220" s="306" t="str">
        <f>IF(B2220=Stats!$E$6,Stats!$E$11,"")</f>
        <v/>
      </c>
    </row>
    <row r="2221" spans="1:4" hidden="1" x14ac:dyDescent="0.25">
      <c r="A2221" s="32" t="s">
        <v>2938</v>
      </c>
      <c r="B2221" s="306" t="str">
        <f>IF((COUNTBLANK(G2221)=0),Stats!$E$7,IF((COUNTBLANK(E2221)=0),IF((COUNTBLANK(F2221)=0),IF((COUNTBLANK(U2221)=0),Stats!$E$6,Stats!$E$5),Stats!$E$4),""))</f>
        <v/>
      </c>
      <c r="C2221" s="41"/>
      <c r="D2221" s="306" t="str">
        <f>IF(B2221=Stats!$E$6,Stats!$E$11,"")</f>
        <v/>
      </c>
    </row>
    <row r="2222" spans="1:4" hidden="1" x14ac:dyDescent="0.25">
      <c r="A2222" s="32" t="s">
        <v>2939</v>
      </c>
      <c r="B2222" s="306" t="str">
        <f>IF((COUNTBLANK(G2222)=0),Stats!$E$7,IF((COUNTBLANK(E2222)=0),IF((COUNTBLANK(F2222)=0),IF((COUNTBLANK(U2222)=0),Stats!$E$6,Stats!$E$5),Stats!$E$4),""))</f>
        <v/>
      </c>
      <c r="C2222" s="41"/>
      <c r="D2222" s="306" t="str">
        <f>IF(B2222=Stats!$E$6,Stats!$E$11,"")</f>
        <v/>
      </c>
    </row>
    <row r="2223" spans="1:4" hidden="1" x14ac:dyDescent="0.25">
      <c r="A2223" s="32" t="s">
        <v>2940</v>
      </c>
      <c r="B2223" s="306" t="str">
        <f>IF((COUNTBLANK(G2223)=0),Stats!$E$7,IF((COUNTBLANK(E2223)=0),IF((COUNTBLANK(F2223)=0),IF((COUNTBLANK(U2223)=0),Stats!$E$6,Stats!$E$5),Stats!$E$4),""))</f>
        <v/>
      </c>
      <c r="C2223" s="41"/>
      <c r="D2223" s="306" t="str">
        <f>IF(B2223=Stats!$E$6,Stats!$E$11,"")</f>
        <v/>
      </c>
    </row>
    <row r="2224" spans="1:4" hidden="1" x14ac:dyDescent="0.25">
      <c r="A2224" s="32" t="s">
        <v>2941</v>
      </c>
      <c r="B2224" s="306" t="str">
        <f>IF((COUNTBLANK(G2224)=0),Stats!$E$7,IF((COUNTBLANK(E2224)=0),IF((COUNTBLANK(F2224)=0),IF((COUNTBLANK(U2224)=0),Stats!$E$6,Stats!$E$5),Stats!$E$4),""))</f>
        <v/>
      </c>
      <c r="C2224" s="41"/>
      <c r="D2224" s="306" t="str">
        <f>IF(B2224=Stats!$E$6,Stats!$E$11,"")</f>
        <v/>
      </c>
    </row>
    <row r="2225" spans="1:4" hidden="1" x14ac:dyDescent="0.25">
      <c r="A2225" s="32" t="s">
        <v>2942</v>
      </c>
      <c r="B2225" s="306" t="str">
        <f>IF((COUNTBLANK(G2225)=0),Stats!$E$7,IF((COUNTBLANK(E2225)=0),IF((COUNTBLANK(F2225)=0),IF((COUNTBLANK(U2225)=0),Stats!$E$6,Stats!$E$5),Stats!$E$4),""))</f>
        <v/>
      </c>
      <c r="C2225" s="41"/>
      <c r="D2225" s="306" t="str">
        <f>IF(B2225=Stats!$E$6,Stats!$E$11,"")</f>
        <v/>
      </c>
    </row>
    <row r="2226" spans="1:4" hidden="1" x14ac:dyDescent="0.25">
      <c r="A2226" s="32" t="s">
        <v>2943</v>
      </c>
      <c r="B2226" s="306" t="str">
        <f>IF((COUNTBLANK(G2226)=0),Stats!$E$7,IF((COUNTBLANK(E2226)=0),IF((COUNTBLANK(F2226)=0),IF((COUNTBLANK(U2226)=0),Stats!$E$6,Stats!$E$5),Stats!$E$4),""))</f>
        <v/>
      </c>
      <c r="C2226" s="41"/>
      <c r="D2226" s="306" t="str">
        <f>IF(B2226=Stats!$E$6,Stats!$E$11,"")</f>
        <v/>
      </c>
    </row>
    <row r="2227" spans="1:4" hidden="1" x14ac:dyDescent="0.25">
      <c r="A2227" s="32" t="s">
        <v>2944</v>
      </c>
      <c r="B2227" s="306" t="str">
        <f>IF((COUNTBLANK(G2227)=0),Stats!$E$7,IF((COUNTBLANK(E2227)=0),IF((COUNTBLANK(F2227)=0),IF((COUNTBLANK(U2227)=0),Stats!$E$6,Stats!$E$5),Stats!$E$4),""))</f>
        <v/>
      </c>
      <c r="C2227" s="41"/>
      <c r="D2227" s="306" t="str">
        <f>IF(B2227=Stats!$E$6,Stats!$E$11,"")</f>
        <v/>
      </c>
    </row>
    <row r="2228" spans="1:4" hidden="1" x14ac:dyDescent="0.25">
      <c r="A2228" s="32" t="s">
        <v>2945</v>
      </c>
      <c r="B2228" s="306" t="str">
        <f>IF((COUNTBLANK(G2228)=0),Stats!$E$7,IF((COUNTBLANK(E2228)=0),IF((COUNTBLANK(F2228)=0),IF((COUNTBLANK(U2228)=0),Stats!$E$6,Stats!$E$5),Stats!$E$4),""))</f>
        <v/>
      </c>
      <c r="C2228" s="41"/>
      <c r="D2228" s="306" t="str">
        <f>IF(B2228=Stats!$E$6,Stats!$E$11,"")</f>
        <v/>
      </c>
    </row>
    <row r="2229" spans="1:4" hidden="1" x14ac:dyDescent="0.25">
      <c r="A2229" s="32" t="s">
        <v>2946</v>
      </c>
      <c r="B2229" s="306" t="str">
        <f>IF((COUNTBLANK(G2229)=0),Stats!$E$7,IF((COUNTBLANK(E2229)=0),IF((COUNTBLANK(F2229)=0),IF((COUNTBLANK(U2229)=0),Stats!$E$6,Stats!$E$5),Stats!$E$4),""))</f>
        <v/>
      </c>
      <c r="C2229" s="41"/>
      <c r="D2229" s="306" t="str">
        <f>IF(B2229=Stats!$E$6,Stats!$E$11,"")</f>
        <v/>
      </c>
    </row>
    <row r="2230" spans="1:4" hidden="1" x14ac:dyDescent="0.25">
      <c r="A2230" s="32" t="s">
        <v>2947</v>
      </c>
      <c r="B2230" s="306" t="str">
        <f>IF((COUNTBLANK(G2230)=0),Stats!$E$7,IF((COUNTBLANK(E2230)=0),IF((COUNTBLANK(F2230)=0),IF((COUNTBLANK(U2230)=0),Stats!$E$6,Stats!$E$5),Stats!$E$4),""))</f>
        <v/>
      </c>
      <c r="C2230" s="41"/>
      <c r="D2230" s="306" t="str">
        <f>IF(B2230=Stats!$E$6,Stats!$E$11,"")</f>
        <v/>
      </c>
    </row>
    <row r="2231" spans="1:4" hidden="1" x14ac:dyDescent="0.25">
      <c r="A2231" s="32" t="s">
        <v>2948</v>
      </c>
      <c r="B2231" s="306" t="str">
        <f>IF((COUNTBLANK(G2231)=0),Stats!$E$7,IF((COUNTBLANK(E2231)=0),IF((COUNTBLANK(F2231)=0),IF((COUNTBLANK(U2231)=0),Stats!$E$6,Stats!$E$5),Stats!$E$4),""))</f>
        <v/>
      </c>
      <c r="C2231" s="41"/>
      <c r="D2231" s="306" t="str">
        <f>IF(B2231=Stats!$E$6,Stats!$E$11,"")</f>
        <v/>
      </c>
    </row>
    <row r="2232" spans="1:4" hidden="1" x14ac:dyDescent="0.25">
      <c r="A2232" s="32" t="s">
        <v>2949</v>
      </c>
      <c r="B2232" s="306" t="str">
        <f>IF((COUNTBLANK(G2232)=0),Stats!$E$7,IF((COUNTBLANK(E2232)=0),IF((COUNTBLANK(F2232)=0),IF((COUNTBLANK(U2232)=0),Stats!$E$6,Stats!$E$5),Stats!$E$4),""))</f>
        <v/>
      </c>
      <c r="C2232" s="41"/>
      <c r="D2232" s="306" t="str">
        <f>IF(B2232=Stats!$E$6,Stats!$E$11,"")</f>
        <v/>
      </c>
    </row>
    <row r="2233" spans="1:4" hidden="1" x14ac:dyDescent="0.25">
      <c r="A2233" s="32" t="s">
        <v>2950</v>
      </c>
      <c r="B2233" s="306" t="str">
        <f>IF((COUNTBLANK(G2233)=0),Stats!$E$7,IF((COUNTBLANK(E2233)=0),IF((COUNTBLANK(F2233)=0),IF((COUNTBLANK(U2233)=0),Stats!$E$6,Stats!$E$5),Stats!$E$4),""))</f>
        <v/>
      </c>
      <c r="C2233" s="41"/>
      <c r="D2233" s="306" t="str">
        <f>IF(B2233=Stats!$E$6,Stats!$E$11,"")</f>
        <v/>
      </c>
    </row>
    <row r="2234" spans="1:4" hidden="1" x14ac:dyDescent="0.25">
      <c r="A2234" s="32" t="s">
        <v>2951</v>
      </c>
      <c r="B2234" s="306" t="str">
        <f>IF((COUNTBLANK(G2234)=0),Stats!$E$7,IF((COUNTBLANK(E2234)=0),IF((COUNTBLANK(F2234)=0),IF((COUNTBLANK(U2234)=0),Stats!$E$6,Stats!$E$5),Stats!$E$4),""))</f>
        <v/>
      </c>
      <c r="C2234" s="41"/>
      <c r="D2234" s="306" t="str">
        <f>IF(B2234=Stats!$E$6,Stats!$E$11,"")</f>
        <v/>
      </c>
    </row>
    <row r="2235" spans="1:4" hidden="1" x14ac:dyDescent="0.25">
      <c r="A2235" s="32" t="s">
        <v>2952</v>
      </c>
      <c r="B2235" s="306" t="str">
        <f>IF((COUNTBLANK(G2235)=0),Stats!$E$7,IF((COUNTBLANK(E2235)=0),IF((COUNTBLANK(F2235)=0),IF((COUNTBLANK(U2235)=0),Stats!$E$6,Stats!$E$5),Stats!$E$4),""))</f>
        <v/>
      </c>
      <c r="C2235" s="41"/>
      <c r="D2235" s="306" t="str">
        <f>IF(B2235=Stats!$E$6,Stats!$E$11,"")</f>
        <v/>
      </c>
    </row>
    <row r="2236" spans="1:4" hidden="1" x14ac:dyDescent="0.25">
      <c r="A2236" s="32" t="s">
        <v>2953</v>
      </c>
      <c r="B2236" s="306" t="str">
        <f>IF((COUNTBLANK(G2236)=0),Stats!$E$7,IF((COUNTBLANK(E2236)=0),IF((COUNTBLANK(F2236)=0),IF((COUNTBLANK(U2236)=0),Stats!$E$6,Stats!$E$5),Stats!$E$4),""))</f>
        <v/>
      </c>
      <c r="C2236" s="41"/>
      <c r="D2236" s="306" t="str">
        <f>IF(B2236=Stats!$E$6,Stats!$E$11,"")</f>
        <v/>
      </c>
    </row>
    <row r="2237" spans="1:4" hidden="1" x14ac:dyDescent="0.25">
      <c r="A2237" s="32" t="s">
        <v>2954</v>
      </c>
      <c r="B2237" s="306" t="str">
        <f>IF((COUNTBLANK(G2237)=0),Stats!$E$7,IF((COUNTBLANK(E2237)=0),IF((COUNTBLANK(F2237)=0),IF((COUNTBLANK(U2237)=0),Stats!$E$6,Stats!$E$5),Stats!$E$4),""))</f>
        <v/>
      </c>
      <c r="C2237" s="41"/>
      <c r="D2237" s="306" t="str">
        <f>IF(B2237=Stats!$E$6,Stats!$E$11,"")</f>
        <v/>
      </c>
    </row>
    <row r="2238" spans="1:4" hidden="1" x14ac:dyDescent="0.25">
      <c r="A2238" s="32" t="s">
        <v>2955</v>
      </c>
      <c r="B2238" s="306" t="str">
        <f>IF((COUNTBLANK(G2238)=0),Stats!$E$7,IF((COUNTBLANK(E2238)=0),IF((COUNTBLANK(F2238)=0),IF((COUNTBLANK(U2238)=0),Stats!$E$6,Stats!$E$5),Stats!$E$4),""))</f>
        <v/>
      </c>
      <c r="C2238" s="41"/>
      <c r="D2238" s="306" t="str">
        <f>IF(B2238=Stats!$E$6,Stats!$E$11,"")</f>
        <v/>
      </c>
    </row>
    <row r="2239" spans="1:4" hidden="1" x14ac:dyDescent="0.25">
      <c r="A2239" s="32" t="s">
        <v>2956</v>
      </c>
      <c r="B2239" s="306" t="str">
        <f>IF((COUNTBLANK(G2239)=0),Stats!$E$7,IF((COUNTBLANK(E2239)=0),IF((COUNTBLANK(F2239)=0),IF((COUNTBLANK(U2239)=0),Stats!$E$6,Stats!$E$5),Stats!$E$4),""))</f>
        <v/>
      </c>
      <c r="C2239" s="41"/>
      <c r="D2239" s="306" t="str">
        <f>IF(B2239=Stats!$E$6,Stats!$E$11,"")</f>
        <v/>
      </c>
    </row>
    <row r="2240" spans="1:4" hidden="1" x14ac:dyDescent="0.25">
      <c r="A2240" s="32" t="s">
        <v>2957</v>
      </c>
      <c r="B2240" s="306" t="str">
        <f>IF((COUNTBLANK(G2240)=0),Stats!$E$7,IF((COUNTBLANK(E2240)=0),IF((COUNTBLANK(F2240)=0),IF((COUNTBLANK(U2240)=0),Stats!$E$6,Stats!$E$5),Stats!$E$4),""))</f>
        <v/>
      </c>
      <c r="C2240" s="41"/>
      <c r="D2240" s="306" t="str">
        <f>IF(B2240=Stats!$E$6,Stats!$E$11,"")</f>
        <v/>
      </c>
    </row>
    <row r="2241" spans="1:4" hidden="1" x14ac:dyDescent="0.25">
      <c r="A2241" s="32" t="s">
        <v>2958</v>
      </c>
      <c r="B2241" s="306" t="str">
        <f>IF((COUNTBLANK(G2241)=0),Stats!$E$7,IF((COUNTBLANK(E2241)=0),IF((COUNTBLANK(F2241)=0),IF((COUNTBLANK(U2241)=0),Stats!$E$6,Stats!$E$5),Stats!$E$4),""))</f>
        <v/>
      </c>
      <c r="C2241" s="41"/>
      <c r="D2241" s="306" t="str">
        <f>IF(B2241=Stats!$E$6,Stats!$E$11,"")</f>
        <v/>
      </c>
    </row>
    <row r="2242" spans="1:4" hidden="1" x14ac:dyDescent="0.25">
      <c r="A2242" s="32" t="s">
        <v>2959</v>
      </c>
      <c r="B2242" s="306" t="str">
        <f>IF((COUNTBLANK(G2242)=0),Stats!$E$7,IF((COUNTBLANK(E2242)=0),IF((COUNTBLANK(F2242)=0),IF((COUNTBLANK(U2242)=0),Stats!$E$6,Stats!$E$5),Stats!$E$4),""))</f>
        <v/>
      </c>
      <c r="C2242" s="41"/>
      <c r="D2242" s="306" t="str">
        <f>IF(B2242=Stats!$E$6,Stats!$E$11,"")</f>
        <v/>
      </c>
    </row>
    <row r="2243" spans="1:4" hidden="1" x14ac:dyDescent="0.25">
      <c r="A2243" s="32" t="s">
        <v>2960</v>
      </c>
      <c r="B2243" s="306" t="str">
        <f>IF((COUNTBLANK(G2243)=0),Stats!$E$7,IF((COUNTBLANK(E2243)=0),IF((COUNTBLANK(F2243)=0),IF((COUNTBLANK(U2243)=0),Stats!$E$6,Stats!$E$5),Stats!$E$4),""))</f>
        <v/>
      </c>
      <c r="C2243" s="41"/>
      <c r="D2243" s="306" t="str">
        <f>IF(B2243=Stats!$E$6,Stats!$E$11,"")</f>
        <v/>
      </c>
    </row>
    <row r="2244" spans="1:4" hidden="1" x14ac:dyDescent="0.25">
      <c r="A2244" s="32" t="s">
        <v>2961</v>
      </c>
      <c r="B2244" s="306" t="str">
        <f>IF((COUNTBLANK(G2244)=0),Stats!$E$7,IF((COUNTBLANK(E2244)=0),IF((COUNTBLANK(F2244)=0),IF((COUNTBLANK(U2244)=0),Stats!$E$6,Stats!$E$5),Stats!$E$4),""))</f>
        <v/>
      </c>
      <c r="C2244" s="41"/>
      <c r="D2244" s="306" t="str">
        <f>IF(B2244=Stats!$E$6,Stats!$E$11,"")</f>
        <v/>
      </c>
    </row>
    <row r="2245" spans="1:4" hidden="1" x14ac:dyDescent="0.25">
      <c r="A2245" s="32" t="s">
        <v>2962</v>
      </c>
      <c r="B2245" s="306" t="str">
        <f>IF((COUNTBLANK(G2245)=0),Stats!$E$7,IF((COUNTBLANK(E2245)=0),IF((COUNTBLANK(F2245)=0),IF((COUNTBLANK(U2245)=0),Stats!$E$6,Stats!$E$5),Stats!$E$4),""))</f>
        <v/>
      </c>
      <c r="C2245" s="41"/>
      <c r="D2245" s="306" t="str">
        <f>IF(B2245=Stats!$E$6,Stats!$E$11,"")</f>
        <v/>
      </c>
    </row>
    <row r="2246" spans="1:4" hidden="1" x14ac:dyDescent="0.25">
      <c r="A2246" s="32" t="s">
        <v>2963</v>
      </c>
      <c r="B2246" s="306" t="str">
        <f>IF((COUNTBLANK(G2246)=0),Stats!$E$7,IF((COUNTBLANK(E2246)=0),IF((COUNTBLANK(F2246)=0),IF((COUNTBLANK(U2246)=0),Stats!$E$6,Stats!$E$5),Stats!$E$4),""))</f>
        <v/>
      </c>
      <c r="C2246" s="41"/>
      <c r="D2246" s="306" t="str">
        <f>IF(B2246=Stats!$E$6,Stats!$E$11,"")</f>
        <v/>
      </c>
    </row>
    <row r="2247" spans="1:4" hidden="1" x14ac:dyDescent="0.25">
      <c r="A2247" s="32" t="s">
        <v>2964</v>
      </c>
      <c r="B2247" s="306" t="str">
        <f>IF((COUNTBLANK(G2247)=0),Stats!$E$7,IF((COUNTBLANK(E2247)=0),IF((COUNTBLANK(F2247)=0),IF((COUNTBLANK(U2247)=0),Stats!$E$6,Stats!$E$5),Stats!$E$4),""))</f>
        <v/>
      </c>
      <c r="C2247" s="41"/>
      <c r="D2247" s="306" t="str">
        <f>IF(B2247=Stats!$E$6,Stats!$E$11,"")</f>
        <v/>
      </c>
    </row>
    <row r="2248" spans="1:4" hidden="1" x14ac:dyDescent="0.25">
      <c r="A2248" s="32" t="s">
        <v>2965</v>
      </c>
      <c r="B2248" s="306" t="str">
        <f>IF((COUNTBLANK(G2248)=0),Stats!$E$7,IF((COUNTBLANK(E2248)=0),IF((COUNTBLANK(F2248)=0),IF((COUNTBLANK(U2248)=0),Stats!$E$6,Stats!$E$5),Stats!$E$4),""))</f>
        <v/>
      </c>
      <c r="C2248" s="41"/>
      <c r="D2248" s="306" t="str">
        <f>IF(B2248=Stats!$E$6,Stats!$E$11,"")</f>
        <v/>
      </c>
    </row>
    <row r="2249" spans="1:4" hidden="1" x14ac:dyDescent="0.25">
      <c r="A2249" s="32" t="s">
        <v>2966</v>
      </c>
      <c r="B2249" s="306" t="str">
        <f>IF((COUNTBLANK(G2249)=0),Stats!$E$7,IF((COUNTBLANK(E2249)=0),IF((COUNTBLANK(F2249)=0),IF((COUNTBLANK(U2249)=0),Stats!$E$6,Stats!$E$5),Stats!$E$4),""))</f>
        <v/>
      </c>
      <c r="C2249" s="41"/>
      <c r="D2249" s="306" t="str">
        <f>IF(B2249=Stats!$E$6,Stats!$E$11,"")</f>
        <v/>
      </c>
    </row>
    <row r="2250" spans="1:4" hidden="1" x14ac:dyDescent="0.25">
      <c r="A2250" s="32" t="s">
        <v>2967</v>
      </c>
      <c r="B2250" s="306" t="str">
        <f>IF((COUNTBLANK(G2250)=0),Stats!$E$7,IF((COUNTBLANK(E2250)=0),IF((COUNTBLANK(F2250)=0),IF((COUNTBLANK(U2250)=0),Stats!$E$6,Stats!$E$5),Stats!$E$4),""))</f>
        <v/>
      </c>
      <c r="C2250" s="41"/>
      <c r="D2250" s="306" t="str">
        <f>IF(B2250=Stats!$E$6,Stats!$E$11,"")</f>
        <v/>
      </c>
    </row>
    <row r="2251" spans="1:4" hidden="1" x14ac:dyDescent="0.25">
      <c r="A2251" s="32" t="s">
        <v>2968</v>
      </c>
      <c r="B2251" s="306" t="str">
        <f>IF((COUNTBLANK(G2251)=0),Stats!$E$7,IF((COUNTBLANK(E2251)=0),IF((COUNTBLANK(F2251)=0),IF((COUNTBLANK(U2251)=0),Stats!$E$6,Stats!$E$5),Stats!$E$4),""))</f>
        <v/>
      </c>
      <c r="C2251" s="41"/>
      <c r="D2251" s="306" t="str">
        <f>IF(B2251=Stats!$E$6,Stats!$E$11,"")</f>
        <v/>
      </c>
    </row>
    <row r="2252" spans="1:4" hidden="1" x14ac:dyDescent="0.25">
      <c r="A2252" s="32" t="s">
        <v>2969</v>
      </c>
      <c r="B2252" s="306" t="str">
        <f>IF((COUNTBLANK(G2252)=0),Stats!$E$7,IF((COUNTBLANK(E2252)=0),IF((COUNTBLANK(F2252)=0),IF((COUNTBLANK(U2252)=0),Stats!$E$6,Stats!$E$5),Stats!$E$4),""))</f>
        <v/>
      </c>
      <c r="C2252" s="41"/>
      <c r="D2252" s="306" t="str">
        <f>IF(B2252=Stats!$E$6,Stats!$E$11,"")</f>
        <v/>
      </c>
    </row>
    <row r="2253" spans="1:4" hidden="1" x14ac:dyDescent="0.25">
      <c r="A2253" s="32" t="s">
        <v>2970</v>
      </c>
      <c r="B2253" s="306" t="str">
        <f>IF((COUNTBLANK(G2253)=0),Stats!$E$7,IF((COUNTBLANK(E2253)=0),IF((COUNTBLANK(F2253)=0),IF((COUNTBLANK(U2253)=0),Stats!$E$6,Stats!$E$5),Stats!$E$4),""))</f>
        <v/>
      </c>
      <c r="C2253" s="41"/>
      <c r="D2253" s="306" t="str">
        <f>IF(B2253=Stats!$E$6,Stats!$E$11,"")</f>
        <v/>
      </c>
    </row>
    <row r="2254" spans="1:4" hidden="1" x14ac:dyDescent="0.25">
      <c r="A2254" s="32" t="s">
        <v>2971</v>
      </c>
      <c r="B2254" s="306" t="str">
        <f>IF((COUNTBLANK(G2254)=0),Stats!$E$7,IF((COUNTBLANK(E2254)=0),IF((COUNTBLANK(F2254)=0),IF((COUNTBLANK(U2254)=0),Stats!$E$6,Stats!$E$5),Stats!$E$4),""))</f>
        <v/>
      </c>
      <c r="C2254" s="41"/>
      <c r="D2254" s="306" t="str">
        <f>IF(B2254=Stats!$E$6,Stats!$E$11,"")</f>
        <v/>
      </c>
    </row>
    <row r="2255" spans="1:4" hidden="1" x14ac:dyDescent="0.25">
      <c r="A2255" s="32" t="s">
        <v>2972</v>
      </c>
      <c r="B2255" s="306" t="str">
        <f>IF((COUNTBLANK(G2255)=0),Stats!$E$7,IF((COUNTBLANK(E2255)=0),IF((COUNTBLANK(F2255)=0),IF((COUNTBLANK(U2255)=0),Stats!$E$6,Stats!$E$5),Stats!$E$4),""))</f>
        <v/>
      </c>
      <c r="C2255" s="41"/>
      <c r="D2255" s="306" t="str">
        <f>IF(B2255=Stats!$E$6,Stats!$E$11,"")</f>
        <v/>
      </c>
    </row>
    <row r="2256" spans="1:4" hidden="1" x14ac:dyDescent="0.25">
      <c r="A2256" s="32" t="s">
        <v>2973</v>
      </c>
      <c r="B2256" s="306" t="str">
        <f>IF((COUNTBLANK(G2256)=0),Stats!$E$7,IF((COUNTBLANK(E2256)=0),IF((COUNTBLANK(F2256)=0),IF((COUNTBLANK(U2256)=0),Stats!$E$6,Stats!$E$5),Stats!$E$4),""))</f>
        <v/>
      </c>
      <c r="C2256" s="41"/>
      <c r="D2256" s="306" t="str">
        <f>IF(B2256=Stats!$E$6,Stats!$E$11,"")</f>
        <v/>
      </c>
    </row>
    <row r="2257" spans="1:4" hidden="1" x14ac:dyDescent="0.25">
      <c r="A2257" s="32" t="s">
        <v>2974</v>
      </c>
      <c r="B2257" s="306" t="str">
        <f>IF((COUNTBLANK(G2257)=0),Stats!$E$7,IF((COUNTBLANK(E2257)=0),IF((COUNTBLANK(F2257)=0),IF((COUNTBLANK(U2257)=0),Stats!$E$6,Stats!$E$5),Stats!$E$4),""))</f>
        <v/>
      </c>
      <c r="C2257" s="41"/>
      <c r="D2257" s="306" t="str">
        <f>IF(B2257=Stats!$E$6,Stats!$E$11,"")</f>
        <v/>
      </c>
    </row>
    <row r="2258" spans="1:4" hidden="1" x14ac:dyDescent="0.25">
      <c r="A2258" s="32" t="s">
        <v>2975</v>
      </c>
      <c r="B2258" s="306" t="str">
        <f>IF((COUNTBLANK(G2258)=0),Stats!$E$7,IF((COUNTBLANK(E2258)=0),IF((COUNTBLANK(F2258)=0),IF((COUNTBLANK(U2258)=0),Stats!$E$6,Stats!$E$5),Stats!$E$4),""))</f>
        <v/>
      </c>
      <c r="C2258" s="41"/>
      <c r="D2258" s="306" t="str">
        <f>IF(B2258=Stats!$E$6,Stats!$E$11,"")</f>
        <v/>
      </c>
    </row>
    <row r="2259" spans="1:4" hidden="1" x14ac:dyDescent="0.25">
      <c r="A2259" s="32" t="s">
        <v>2976</v>
      </c>
      <c r="B2259" s="306" t="str">
        <f>IF((COUNTBLANK(G2259)=0),Stats!$E$7,IF((COUNTBLANK(E2259)=0),IF((COUNTBLANK(F2259)=0),IF((COUNTBLANK(U2259)=0),Stats!$E$6,Stats!$E$5),Stats!$E$4),""))</f>
        <v/>
      </c>
      <c r="C2259" s="41"/>
      <c r="D2259" s="306" t="str">
        <f>IF(B2259=Stats!$E$6,Stats!$E$11,"")</f>
        <v/>
      </c>
    </row>
    <row r="2260" spans="1:4" hidden="1" x14ac:dyDescent="0.25">
      <c r="A2260" s="32" t="s">
        <v>2977</v>
      </c>
      <c r="B2260" s="306" t="str">
        <f>IF((COUNTBLANK(G2260)=0),Stats!$E$7,IF((COUNTBLANK(E2260)=0),IF((COUNTBLANK(F2260)=0),IF((COUNTBLANK(U2260)=0),Stats!$E$6,Stats!$E$5),Stats!$E$4),""))</f>
        <v/>
      </c>
      <c r="C2260" s="41"/>
      <c r="D2260" s="306" t="str">
        <f>IF(B2260=Stats!$E$6,Stats!$E$11,"")</f>
        <v/>
      </c>
    </row>
    <row r="2261" spans="1:4" hidden="1" x14ac:dyDescent="0.25">
      <c r="A2261" s="32" t="s">
        <v>2978</v>
      </c>
      <c r="B2261" s="306" t="str">
        <f>IF((COUNTBLANK(G2261)=0),Stats!$E$7,IF((COUNTBLANK(E2261)=0),IF((COUNTBLANK(F2261)=0),IF((COUNTBLANK(U2261)=0),Stats!$E$6,Stats!$E$5),Stats!$E$4),""))</f>
        <v/>
      </c>
      <c r="C2261" s="41"/>
      <c r="D2261" s="306" t="str">
        <f>IF(B2261=Stats!$E$6,Stats!$E$11,"")</f>
        <v/>
      </c>
    </row>
    <row r="2262" spans="1:4" hidden="1" x14ac:dyDescent="0.25">
      <c r="A2262" s="32" t="s">
        <v>2979</v>
      </c>
      <c r="B2262" s="306" t="str">
        <f>IF((COUNTBLANK(G2262)=0),Stats!$E$7,IF((COUNTBLANK(E2262)=0),IF((COUNTBLANK(F2262)=0),IF((COUNTBLANK(U2262)=0),Stats!$E$6,Stats!$E$5),Stats!$E$4),""))</f>
        <v/>
      </c>
      <c r="C2262" s="41"/>
      <c r="D2262" s="306" t="str">
        <f>IF(B2262=Stats!$E$6,Stats!$E$11,"")</f>
        <v/>
      </c>
    </row>
    <row r="2263" spans="1:4" hidden="1" x14ac:dyDescent="0.25">
      <c r="A2263" s="32" t="s">
        <v>2980</v>
      </c>
      <c r="B2263" s="306" t="str">
        <f>IF((COUNTBLANK(G2263)=0),Stats!$E$7,IF((COUNTBLANK(E2263)=0),IF((COUNTBLANK(F2263)=0),IF((COUNTBLANK(U2263)=0),Stats!$E$6,Stats!$E$5),Stats!$E$4),""))</f>
        <v/>
      </c>
      <c r="C2263" s="41"/>
      <c r="D2263" s="306" t="str">
        <f>IF(B2263=Stats!$E$6,Stats!$E$11,"")</f>
        <v/>
      </c>
    </row>
    <row r="2264" spans="1:4" hidden="1" x14ac:dyDescent="0.25">
      <c r="A2264" s="32" t="s">
        <v>2981</v>
      </c>
      <c r="B2264" s="306" t="str">
        <f>IF((COUNTBLANK(G2264)=0),Stats!$E$7,IF((COUNTBLANK(E2264)=0),IF((COUNTBLANK(F2264)=0),IF((COUNTBLANK(U2264)=0),Stats!$E$6,Stats!$E$5),Stats!$E$4),""))</f>
        <v/>
      </c>
      <c r="C2264" s="41"/>
      <c r="D2264" s="306" t="str">
        <f>IF(B2264=Stats!$E$6,Stats!$E$11,"")</f>
        <v/>
      </c>
    </row>
    <row r="2265" spans="1:4" hidden="1" x14ac:dyDescent="0.25">
      <c r="A2265" s="32" t="s">
        <v>2982</v>
      </c>
      <c r="B2265" s="306" t="str">
        <f>IF((COUNTBLANK(G2265)=0),Stats!$E$7,IF((COUNTBLANK(E2265)=0),IF((COUNTBLANK(F2265)=0),IF((COUNTBLANK(U2265)=0),Stats!$E$6,Stats!$E$5),Stats!$E$4),""))</f>
        <v/>
      </c>
      <c r="C2265" s="41"/>
      <c r="D2265" s="306" t="str">
        <f>IF(B2265=Stats!$E$6,Stats!$E$11,"")</f>
        <v/>
      </c>
    </row>
    <row r="2266" spans="1:4" hidden="1" x14ac:dyDescent="0.25">
      <c r="A2266" s="32" t="s">
        <v>2983</v>
      </c>
      <c r="B2266" s="306" t="str">
        <f>IF((COUNTBLANK(G2266)=0),Stats!$E$7,IF((COUNTBLANK(E2266)=0),IF((COUNTBLANK(F2266)=0),IF((COUNTBLANK(U2266)=0),Stats!$E$6,Stats!$E$5),Stats!$E$4),""))</f>
        <v/>
      </c>
      <c r="C2266" s="41"/>
      <c r="D2266" s="306" t="str">
        <f>IF(B2266=Stats!$E$6,Stats!$E$11,"")</f>
        <v/>
      </c>
    </row>
    <row r="2267" spans="1:4" hidden="1" x14ac:dyDescent="0.25">
      <c r="A2267" s="32" t="s">
        <v>2984</v>
      </c>
      <c r="B2267" s="306" t="str">
        <f>IF((COUNTBLANK(G2267)=0),Stats!$E$7,IF((COUNTBLANK(E2267)=0),IF((COUNTBLANK(F2267)=0),IF((COUNTBLANK(U2267)=0),Stats!$E$6,Stats!$E$5),Stats!$E$4),""))</f>
        <v/>
      </c>
      <c r="C2267" s="41"/>
      <c r="D2267" s="306" t="str">
        <f>IF(B2267=Stats!$E$6,Stats!$E$11,"")</f>
        <v/>
      </c>
    </row>
    <row r="2268" spans="1:4" hidden="1" x14ac:dyDescent="0.25">
      <c r="A2268" s="32" t="s">
        <v>2985</v>
      </c>
      <c r="B2268" s="306" t="str">
        <f>IF((COUNTBLANK(G2268)=0),Stats!$E$7,IF((COUNTBLANK(E2268)=0),IF((COUNTBLANK(F2268)=0),IF((COUNTBLANK(U2268)=0),Stats!$E$6,Stats!$E$5),Stats!$E$4),""))</f>
        <v/>
      </c>
      <c r="C2268" s="41"/>
      <c r="D2268" s="306" t="str">
        <f>IF(B2268=Stats!$E$6,Stats!$E$11,"")</f>
        <v/>
      </c>
    </row>
    <row r="2269" spans="1:4" hidden="1" x14ac:dyDescent="0.25">
      <c r="A2269" s="32" t="s">
        <v>2986</v>
      </c>
      <c r="B2269" s="306" t="str">
        <f>IF((COUNTBLANK(G2269)=0),Stats!$E$7,IF((COUNTBLANK(E2269)=0),IF((COUNTBLANK(F2269)=0),IF((COUNTBLANK(U2269)=0),Stats!$E$6,Stats!$E$5),Stats!$E$4),""))</f>
        <v/>
      </c>
      <c r="C2269" s="41"/>
      <c r="D2269" s="306" t="str">
        <f>IF(B2269=Stats!$E$6,Stats!$E$11,"")</f>
        <v/>
      </c>
    </row>
    <row r="2270" spans="1:4" hidden="1" x14ac:dyDescent="0.25">
      <c r="A2270" s="32" t="s">
        <v>2987</v>
      </c>
      <c r="B2270" s="306" t="str">
        <f>IF((COUNTBLANK(G2270)=0),Stats!$E$7,IF((COUNTBLANK(E2270)=0),IF((COUNTBLANK(F2270)=0),IF((COUNTBLANK(U2270)=0),Stats!$E$6,Stats!$E$5),Stats!$E$4),""))</f>
        <v/>
      </c>
      <c r="C2270" s="41"/>
      <c r="D2270" s="306" t="str">
        <f>IF(B2270=Stats!$E$6,Stats!$E$11,"")</f>
        <v/>
      </c>
    </row>
    <row r="2271" spans="1:4" hidden="1" x14ac:dyDescent="0.25">
      <c r="A2271" s="32" t="s">
        <v>2988</v>
      </c>
      <c r="B2271" s="306" t="str">
        <f>IF((COUNTBLANK(G2271)=0),Stats!$E$7,IF((COUNTBLANK(E2271)=0),IF((COUNTBLANK(F2271)=0),IF((COUNTBLANK(U2271)=0),Stats!$E$6,Stats!$E$5),Stats!$E$4),""))</f>
        <v/>
      </c>
      <c r="C2271" s="41"/>
      <c r="D2271" s="306" t="str">
        <f>IF(B2271=Stats!$E$6,Stats!$E$11,"")</f>
        <v/>
      </c>
    </row>
    <row r="2272" spans="1:4" hidden="1" x14ac:dyDescent="0.25">
      <c r="A2272" s="32" t="s">
        <v>2989</v>
      </c>
      <c r="B2272" s="306" t="str">
        <f>IF((COUNTBLANK(G2272)=0),Stats!$E$7,IF((COUNTBLANK(E2272)=0),IF((COUNTBLANK(F2272)=0),IF((COUNTBLANK(U2272)=0),Stats!$E$6,Stats!$E$5),Stats!$E$4),""))</f>
        <v/>
      </c>
      <c r="C2272" s="41"/>
      <c r="D2272" s="306" t="str">
        <f>IF(B2272=Stats!$E$6,Stats!$E$11,"")</f>
        <v/>
      </c>
    </row>
    <row r="2273" spans="1:4" hidden="1" x14ac:dyDescent="0.25">
      <c r="A2273" s="32" t="s">
        <v>2990</v>
      </c>
      <c r="B2273" s="306" t="str">
        <f>IF((COUNTBLANK(G2273)=0),Stats!$E$7,IF((COUNTBLANK(E2273)=0),IF((COUNTBLANK(F2273)=0),IF((COUNTBLANK(U2273)=0),Stats!$E$6,Stats!$E$5),Stats!$E$4),""))</f>
        <v/>
      </c>
      <c r="C2273" s="41"/>
      <c r="D2273" s="306" t="str">
        <f>IF(B2273=Stats!$E$6,Stats!$E$11,"")</f>
        <v/>
      </c>
    </row>
    <row r="2274" spans="1:4" hidden="1" x14ac:dyDescent="0.25">
      <c r="A2274" s="32" t="s">
        <v>2991</v>
      </c>
      <c r="B2274" s="306" t="str">
        <f>IF((COUNTBLANK(G2274)=0),Stats!$E$7,IF((COUNTBLANK(E2274)=0),IF((COUNTBLANK(F2274)=0),IF((COUNTBLANK(U2274)=0),Stats!$E$6,Stats!$E$5),Stats!$E$4),""))</f>
        <v/>
      </c>
      <c r="C2274" s="41"/>
      <c r="D2274" s="306" t="str">
        <f>IF(B2274=Stats!$E$6,Stats!$E$11,"")</f>
        <v/>
      </c>
    </row>
    <row r="2275" spans="1:4" hidden="1" x14ac:dyDescent="0.25">
      <c r="A2275" s="32" t="s">
        <v>2992</v>
      </c>
      <c r="B2275" s="306" t="str">
        <f>IF((COUNTBLANK(G2275)=0),Stats!$E$7,IF((COUNTBLANK(E2275)=0),IF((COUNTBLANK(F2275)=0),IF((COUNTBLANK(U2275)=0),Stats!$E$6,Stats!$E$5),Stats!$E$4),""))</f>
        <v/>
      </c>
      <c r="C2275" s="41"/>
      <c r="D2275" s="306" t="str">
        <f>IF(B2275=Stats!$E$6,Stats!$E$11,"")</f>
        <v/>
      </c>
    </row>
    <row r="2276" spans="1:4" hidden="1" x14ac:dyDescent="0.25">
      <c r="A2276" s="32" t="s">
        <v>2993</v>
      </c>
      <c r="B2276" s="306" t="str">
        <f>IF((COUNTBLANK(G2276)=0),Stats!$E$7,IF((COUNTBLANK(E2276)=0),IF((COUNTBLANK(F2276)=0),IF((COUNTBLANK(U2276)=0),Stats!$E$6,Stats!$E$5),Stats!$E$4),""))</f>
        <v/>
      </c>
      <c r="C2276" s="41"/>
      <c r="D2276" s="306" t="str">
        <f>IF(B2276=Stats!$E$6,Stats!$E$11,"")</f>
        <v/>
      </c>
    </row>
    <row r="2277" spans="1:4" hidden="1" x14ac:dyDescent="0.25">
      <c r="A2277" s="32" t="s">
        <v>2994</v>
      </c>
      <c r="B2277" s="306" t="str">
        <f>IF((COUNTBLANK(G2277)=0),Stats!$E$7,IF((COUNTBLANK(E2277)=0),IF((COUNTBLANK(F2277)=0),IF((COUNTBLANK(U2277)=0),Stats!$E$6,Stats!$E$5),Stats!$E$4),""))</f>
        <v/>
      </c>
      <c r="C2277" s="41"/>
      <c r="D2277" s="306" t="str">
        <f>IF(B2277=Stats!$E$6,Stats!$E$11,"")</f>
        <v/>
      </c>
    </row>
    <row r="2278" spans="1:4" hidden="1" x14ac:dyDescent="0.25">
      <c r="A2278" s="32" t="s">
        <v>2995</v>
      </c>
      <c r="B2278" s="306" t="str">
        <f>IF((COUNTBLANK(G2278)=0),Stats!$E$7,IF((COUNTBLANK(E2278)=0),IF((COUNTBLANK(F2278)=0),IF((COUNTBLANK(U2278)=0),Stats!$E$6,Stats!$E$5),Stats!$E$4),""))</f>
        <v/>
      </c>
      <c r="C2278" s="41"/>
      <c r="D2278" s="306" t="str">
        <f>IF(B2278=Stats!$E$6,Stats!$E$11,"")</f>
        <v/>
      </c>
    </row>
    <row r="2279" spans="1:4" hidden="1" x14ac:dyDescent="0.25">
      <c r="A2279" s="32" t="s">
        <v>2996</v>
      </c>
      <c r="B2279" s="306" t="str">
        <f>IF((COUNTBLANK(G2279)=0),Stats!$E$7,IF((COUNTBLANK(E2279)=0),IF((COUNTBLANK(F2279)=0),IF((COUNTBLANK(U2279)=0),Stats!$E$6,Stats!$E$5),Stats!$E$4),""))</f>
        <v/>
      </c>
      <c r="C2279" s="41"/>
      <c r="D2279" s="306" t="str">
        <f>IF(B2279=Stats!$E$6,Stats!$E$11,"")</f>
        <v/>
      </c>
    </row>
    <row r="2280" spans="1:4" hidden="1" x14ac:dyDescent="0.25">
      <c r="A2280" s="32" t="s">
        <v>2997</v>
      </c>
      <c r="B2280" s="306" t="str">
        <f>IF((COUNTBLANK(G2280)=0),Stats!$E$7,IF((COUNTBLANK(E2280)=0),IF((COUNTBLANK(F2280)=0),IF((COUNTBLANK(U2280)=0),Stats!$E$6,Stats!$E$5),Stats!$E$4),""))</f>
        <v/>
      </c>
      <c r="C2280" s="41"/>
      <c r="D2280" s="306" t="str">
        <f>IF(B2280=Stats!$E$6,Stats!$E$11,"")</f>
        <v/>
      </c>
    </row>
    <row r="2281" spans="1:4" hidden="1" x14ac:dyDescent="0.25">
      <c r="A2281" s="32" t="s">
        <v>2998</v>
      </c>
      <c r="B2281" s="306" t="str">
        <f>IF((COUNTBLANK(G2281)=0),Stats!$E$7,IF((COUNTBLANK(E2281)=0),IF((COUNTBLANK(F2281)=0),IF((COUNTBLANK(U2281)=0),Stats!$E$6,Stats!$E$5),Stats!$E$4),""))</f>
        <v/>
      </c>
      <c r="C2281" s="41"/>
      <c r="D2281" s="306" t="str">
        <f>IF(B2281=Stats!$E$6,Stats!$E$11,"")</f>
        <v/>
      </c>
    </row>
    <row r="2282" spans="1:4" hidden="1" x14ac:dyDescent="0.25">
      <c r="A2282" s="32" t="s">
        <v>2999</v>
      </c>
      <c r="B2282" s="306" t="str">
        <f>IF((COUNTBLANK(G2282)=0),Stats!$E$7,IF((COUNTBLANK(E2282)=0),IF((COUNTBLANK(F2282)=0),IF((COUNTBLANK(U2282)=0),Stats!$E$6,Stats!$E$5),Stats!$E$4),""))</f>
        <v/>
      </c>
      <c r="C2282" s="41"/>
      <c r="D2282" s="306" t="str">
        <f>IF(B2282=Stats!$E$6,Stats!$E$11,"")</f>
        <v/>
      </c>
    </row>
    <row r="2283" spans="1:4" hidden="1" x14ac:dyDescent="0.25">
      <c r="A2283" s="32" t="s">
        <v>3000</v>
      </c>
      <c r="B2283" s="306" t="str">
        <f>IF((COUNTBLANK(G2283)=0),Stats!$E$7,IF((COUNTBLANK(E2283)=0),IF((COUNTBLANK(F2283)=0),IF((COUNTBLANK(U2283)=0),Stats!$E$6,Stats!$E$5),Stats!$E$4),""))</f>
        <v/>
      </c>
      <c r="C2283" s="41"/>
      <c r="D2283" s="306" t="str">
        <f>IF(B2283=Stats!$E$6,Stats!$E$11,"")</f>
        <v/>
      </c>
    </row>
    <row r="2284" spans="1:4" hidden="1" x14ac:dyDescent="0.25">
      <c r="A2284" s="32" t="s">
        <v>3001</v>
      </c>
      <c r="B2284" s="306" t="str">
        <f>IF((COUNTBLANK(G2284)=0),Stats!$E$7,IF((COUNTBLANK(E2284)=0),IF((COUNTBLANK(F2284)=0),IF((COUNTBLANK(U2284)=0),Stats!$E$6,Stats!$E$5),Stats!$E$4),""))</f>
        <v/>
      </c>
      <c r="C2284" s="41"/>
      <c r="D2284" s="306" t="str">
        <f>IF(B2284=Stats!$E$6,Stats!$E$11,"")</f>
        <v/>
      </c>
    </row>
    <row r="2285" spans="1:4" hidden="1" x14ac:dyDescent="0.25">
      <c r="A2285" s="32" t="s">
        <v>3002</v>
      </c>
      <c r="B2285" s="306" t="str">
        <f>IF((COUNTBLANK(G2285)=0),Stats!$E$7,IF((COUNTBLANK(E2285)=0),IF((COUNTBLANK(F2285)=0),IF((COUNTBLANK(U2285)=0),Stats!$E$6,Stats!$E$5),Stats!$E$4),""))</f>
        <v/>
      </c>
      <c r="C2285" s="41"/>
      <c r="D2285" s="306" t="str">
        <f>IF(B2285=Stats!$E$6,Stats!$E$11,"")</f>
        <v/>
      </c>
    </row>
    <row r="2286" spans="1:4" hidden="1" x14ac:dyDescent="0.25">
      <c r="A2286" s="32" t="s">
        <v>3003</v>
      </c>
      <c r="B2286" s="306" t="str">
        <f>IF((COUNTBLANK(G2286)=0),Stats!$E$7,IF((COUNTBLANK(E2286)=0),IF((COUNTBLANK(F2286)=0),IF((COUNTBLANK(U2286)=0),Stats!$E$6,Stats!$E$5),Stats!$E$4),""))</f>
        <v/>
      </c>
      <c r="C2286" s="41"/>
      <c r="D2286" s="306" t="str">
        <f>IF(B2286=Stats!$E$6,Stats!$E$11,"")</f>
        <v/>
      </c>
    </row>
    <row r="2287" spans="1:4" hidden="1" x14ac:dyDescent="0.25">
      <c r="A2287" s="32" t="s">
        <v>3004</v>
      </c>
      <c r="B2287" s="306" t="str">
        <f>IF((COUNTBLANK(G2287)=0),Stats!$E$7,IF((COUNTBLANK(E2287)=0),IF((COUNTBLANK(F2287)=0),IF((COUNTBLANK(U2287)=0),Stats!$E$6,Stats!$E$5),Stats!$E$4),""))</f>
        <v/>
      </c>
      <c r="C2287" s="41"/>
      <c r="D2287" s="306" t="str">
        <f>IF(B2287=Stats!$E$6,Stats!$E$11,"")</f>
        <v/>
      </c>
    </row>
    <row r="2288" spans="1:4" hidden="1" x14ac:dyDescent="0.25">
      <c r="A2288" s="32" t="s">
        <v>3005</v>
      </c>
      <c r="B2288" s="306" t="str">
        <f>IF((COUNTBLANK(G2288)=0),Stats!$E$7,IF((COUNTBLANK(E2288)=0),IF((COUNTBLANK(F2288)=0),IF((COUNTBLANK(U2288)=0),Stats!$E$6,Stats!$E$5),Stats!$E$4),""))</f>
        <v/>
      </c>
      <c r="C2288" s="41"/>
      <c r="D2288" s="306" t="str">
        <f>IF(B2288=Stats!$E$6,Stats!$E$11,"")</f>
        <v/>
      </c>
    </row>
    <row r="2289" spans="1:4" hidden="1" x14ac:dyDescent="0.25">
      <c r="A2289" s="32" t="s">
        <v>3006</v>
      </c>
      <c r="B2289" s="306" t="str">
        <f>IF((COUNTBLANK(G2289)=0),Stats!$E$7,IF((COUNTBLANK(E2289)=0),IF((COUNTBLANK(F2289)=0),IF((COUNTBLANK(U2289)=0),Stats!$E$6,Stats!$E$5),Stats!$E$4),""))</f>
        <v/>
      </c>
      <c r="C2289" s="41"/>
      <c r="D2289" s="306" t="str">
        <f>IF(B2289=Stats!$E$6,Stats!$E$11,"")</f>
        <v/>
      </c>
    </row>
    <row r="2290" spans="1:4" hidden="1" x14ac:dyDescent="0.25">
      <c r="A2290" s="32" t="s">
        <v>3007</v>
      </c>
      <c r="B2290" s="306" t="str">
        <f>IF((COUNTBLANK(G2290)=0),Stats!$E$7,IF((COUNTBLANK(E2290)=0),IF((COUNTBLANK(F2290)=0),IF((COUNTBLANK(U2290)=0),Stats!$E$6,Stats!$E$5),Stats!$E$4),""))</f>
        <v/>
      </c>
      <c r="C2290" s="41"/>
      <c r="D2290" s="306" t="str">
        <f>IF(B2290=Stats!$E$6,Stats!$E$11,"")</f>
        <v/>
      </c>
    </row>
    <row r="2291" spans="1:4" hidden="1" x14ac:dyDescent="0.25">
      <c r="A2291" s="32" t="s">
        <v>3008</v>
      </c>
      <c r="B2291" s="306" t="str">
        <f>IF((COUNTBLANK(G2291)=0),Stats!$E$7,IF((COUNTBLANK(E2291)=0),IF((COUNTBLANK(F2291)=0),IF((COUNTBLANK(U2291)=0),Stats!$E$6,Stats!$E$5),Stats!$E$4),""))</f>
        <v/>
      </c>
      <c r="C2291" s="41"/>
      <c r="D2291" s="306" t="str">
        <f>IF(B2291=Stats!$E$6,Stats!$E$11,"")</f>
        <v/>
      </c>
    </row>
    <row r="2292" spans="1:4" hidden="1" x14ac:dyDescent="0.25">
      <c r="A2292" s="32" t="s">
        <v>3009</v>
      </c>
      <c r="B2292" s="306" t="str">
        <f>IF((COUNTBLANK(G2292)=0),Stats!$E$7,IF((COUNTBLANK(E2292)=0),IF((COUNTBLANK(F2292)=0),IF((COUNTBLANK(U2292)=0),Stats!$E$6,Stats!$E$5),Stats!$E$4),""))</f>
        <v/>
      </c>
      <c r="C2292" s="41"/>
      <c r="D2292" s="306" t="str">
        <f>IF(B2292=Stats!$E$6,Stats!$E$11,"")</f>
        <v/>
      </c>
    </row>
    <row r="2293" spans="1:4" hidden="1" x14ac:dyDescent="0.25">
      <c r="A2293" s="32" t="s">
        <v>3010</v>
      </c>
      <c r="B2293" s="306" t="str">
        <f>IF((COUNTBLANK(G2293)=0),Stats!$E$7,IF((COUNTBLANK(E2293)=0),IF((COUNTBLANK(F2293)=0),IF((COUNTBLANK(U2293)=0),Stats!$E$6,Stats!$E$5),Stats!$E$4),""))</f>
        <v/>
      </c>
      <c r="C2293" s="41"/>
      <c r="D2293" s="306" t="str">
        <f>IF(B2293=Stats!$E$6,Stats!$E$11,"")</f>
        <v/>
      </c>
    </row>
    <row r="2294" spans="1:4" hidden="1" x14ac:dyDescent="0.25">
      <c r="A2294" s="32" t="s">
        <v>3011</v>
      </c>
      <c r="B2294" s="306" t="str">
        <f>IF((COUNTBLANK(G2294)=0),Stats!$E$7,IF((COUNTBLANK(E2294)=0),IF((COUNTBLANK(F2294)=0),IF((COUNTBLANK(U2294)=0),Stats!$E$6,Stats!$E$5),Stats!$E$4),""))</f>
        <v/>
      </c>
      <c r="C2294" s="41"/>
      <c r="D2294" s="306" t="str">
        <f>IF(B2294=Stats!$E$6,Stats!$E$11,"")</f>
        <v/>
      </c>
    </row>
    <row r="2295" spans="1:4" hidden="1" x14ac:dyDescent="0.25">
      <c r="A2295" s="32" t="s">
        <v>3012</v>
      </c>
      <c r="B2295" s="306" t="str">
        <f>IF((COUNTBLANK(G2295)=0),Stats!$E$7,IF((COUNTBLANK(E2295)=0),IF((COUNTBLANK(F2295)=0),IF((COUNTBLANK(U2295)=0),Stats!$E$6,Stats!$E$5),Stats!$E$4),""))</f>
        <v/>
      </c>
      <c r="C2295" s="41"/>
      <c r="D2295" s="306" t="str">
        <f>IF(B2295=Stats!$E$6,Stats!$E$11,"")</f>
        <v/>
      </c>
    </row>
    <row r="2296" spans="1:4" hidden="1" x14ac:dyDescent="0.25">
      <c r="A2296" s="32" t="s">
        <v>3013</v>
      </c>
      <c r="B2296" s="306" t="str">
        <f>IF((COUNTBLANK(G2296)=0),Stats!$E$7,IF((COUNTBLANK(E2296)=0),IF((COUNTBLANK(F2296)=0),IF((COUNTBLANK(U2296)=0),Stats!$E$6,Stats!$E$5),Stats!$E$4),""))</f>
        <v/>
      </c>
      <c r="C2296" s="41"/>
      <c r="D2296" s="306" t="str">
        <f>IF(B2296=Stats!$E$6,Stats!$E$11,"")</f>
        <v/>
      </c>
    </row>
    <row r="2297" spans="1:4" hidden="1" x14ac:dyDescent="0.25">
      <c r="A2297" s="32" t="s">
        <v>3014</v>
      </c>
      <c r="B2297" s="306" t="str">
        <f>IF((COUNTBLANK(G2297)=0),Stats!$E$7,IF((COUNTBLANK(E2297)=0),IF((COUNTBLANK(F2297)=0),IF((COUNTBLANK(U2297)=0),Stats!$E$6,Stats!$E$5),Stats!$E$4),""))</f>
        <v/>
      </c>
      <c r="C2297" s="41"/>
      <c r="D2297" s="306" t="str">
        <f>IF(B2297=Stats!$E$6,Stats!$E$11,"")</f>
        <v/>
      </c>
    </row>
    <row r="2298" spans="1:4" hidden="1" x14ac:dyDescent="0.25">
      <c r="A2298" s="32" t="s">
        <v>3015</v>
      </c>
      <c r="B2298" s="306" t="str">
        <f>IF((COUNTBLANK(G2298)=0),Stats!$E$7,IF((COUNTBLANK(E2298)=0),IF((COUNTBLANK(F2298)=0),IF((COUNTBLANK(U2298)=0),Stats!$E$6,Stats!$E$5),Stats!$E$4),""))</f>
        <v/>
      </c>
      <c r="C2298" s="41"/>
      <c r="D2298" s="306" t="str">
        <f>IF(B2298=Stats!$E$6,Stats!$E$11,"")</f>
        <v/>
      </c>
    </row>
    <row r="2299" spans="1:4" hidden="1" x14ac:dyDescent="0.25">
      <c r="A2299" s="32" t="s">
        <v>3016</v>
      </c>
      <c r="B2299" s="306" t="str">
        <f>IF((COUNTBLANK(G2299)=0),Stats!$E$7,IF((COUNTBLANK(E2299)=0),IF((COUNTBLANK(F2299)=0),IF((COUNTBLANK(U2299)=0),Stats!$E$6,Stats!$E$5),Stats!$E$4),""))</f>
        <v/>
      </c>
      <c r="C2299" s="41"/>
      <c r="D2299" s="306" t="str">
        <f>IF(B2299=Stats!$E$6,Stats!$E$11,"")</f>
        <v/>
      </c>
    </row>
    <row r="2300" spans="1:4" hidden="1" x14ac:dyDescent="0.25">
      <c r="A2300" s="32" t="s">
        <v>3017</v>
      </c>
      <c r="B2300" s="306" t="str">
        <f>IF((COUNTBLANK(G2300)=0),Stats!$E$7,IF((COUNTBLANK(E2300)=0),IF((COUNTBLANK(F2300)=0),IF((COUNTBLANK(U2300)=0),Stats!$E$6,Stats!$E$5),Stats!$E$4),""))</f>
        <v/>
      </c>
      <c r="C2300" s="41"/>
      <c r="D2300" s="306" t="str">
        <f>IF(B2300=Stats!$E$6,Stats!$E$11,"")</f>
        <v/>
      </c>
    </row>
    <row r="2301" spans="1:4" hidden="1" x14ac:dyDescent="0.25">
      <c r="A2301" s="32" t="s">
        <v>3018</v>
      </c>
      <c r="B2301" s="306" t="str">
        <f>IF((COUNTBLANK(G2301)=0),Stats!$E$7,IF((COUNTBLANK(E2301)=0),IF((COUNTBLANK(F2301)=0),IF((COUNTBLANK(U2301)=0),Stats!$E$6,Stats!$E$5),Stats!$E$4),""))</f>
        <v/>
      </c>
      <c r="C2301" s="41"/>
      <c r="D2301" s="306" t="str">
        <f>IF(B2301=Stats!$E$6,Stats!$E$11,"")</f>
        <v/>
      </c>
    </row>
    <row r="2302" spans="1:4" hidden="1" x14ac:dyDescent="0.25">
      <c r="A2302" s="32" t="s">
        <v>3019</v>
      </c>
      <c r="B2302" s="306" t="str">
        <f>IF((COUNTBLANK(G2302)=0),Stats!$E$7,IF((COUNTBLANK(E2302)=0),IF((COUNTBLANK(F2302)=0),IF((COUNTBLANK(U2302)=0),Stats!$E$6,Stats!$E$5),Stats!$E$4),""))</f>
        <v/>
      </c>
      <c r="C2302" s="41"/>
      <c r="D2302" s="306" t="str">
        <f>IF(B2302=Stats!$E$6,Stats!$E$11,"")</f>
        <v/>
      </c>
    </row>
    <row r="2303" spans="1:4" hidden="1" x14ac:dyDescent="0.25">
      <c r="A2303" s="32" t="s">
        <v>3020</v>
      </c>
      <c r="B2303" s="306" t="str">
        <f>IF((COUNTBLANK(G2303)=0),Stats!$E$7,IF((COUNTBLANK(E2303)=0),IF((COUNTBLANK(F2303)=0),IF((COUNTBLANK(U2303)=0),Stats!$E$6,Stats!$E$5),Stats!$E$4),""))</f>
        <v/>
      </c>
      <c r="C2303" s="41"/>
      <c r="D2303" s="306" t="str">
        <f>IF(B2303=Stats!$E$6,Stats!$E$11,"")</f>
        <v/>
      </c>
    </row>
    <row r="2304" spans="1:4" hidden="1" x14ac:dyDescent="0.25">
      <c r="A2304" s="32" t="s">
        <v>3021</v>
      </c>
      <c r="B2304" s="306" t="str">
        <f>IF((COUNTBLANK(G2304)=0),Stats!$E$7,IF((COUNTBLANK(E2304)=0),IF((COUNTBLANK(F2304)=0),IF((COUNTBLANK(U2304)=0),Stats!$E$6,Stats!$E$5),Stats!$E$4),""))</f>
        <v/>
      </c>
      <c r="C2304" s="41"/>
      <c r="D2304" s="306" t="str">
        <f>IF(B2304=Stats!$E$6,Stats!$E$11,"")</f>
        <v/>
      </c>
    </row>
    <row r="2305" spans="1:4" hidden="1" x14ac:dyDescent="0.25">
      <c r="A2305" s="32" t="s">
        <v>3022</v>
      </c>
      <c r="B2305" s="306" t="str">
        <f>IF((COUNTBLANK(G2305)=0),Stats!$E$7,IF((COUNTBLANK(E2305)=0),IF((COUNTBLANK(F2305)=0),IF((COUNTBLANK(U2305)=0),Stats!$E$6,Stats!$E$5),Stats!$E$4),""))</f>
        <v/>
      </c>
      <c r="C2305" s="41"/>
      <c r="D2305" s="306" t="str">
        <f>IF(B2305=Stats!$E$6,Stats!$E$11,"")</f>
        <v/>
      </c>
    </row>
    <row r="2306" spans="1:4" hidden="1" x14ac:dyDescent="0.25">
      <c r="A2306" s="32" t="s">
        <v>3023</v>
      </c>
      <c r="B2306" s="306" t="str">
        <f>IF((COUNTBLANK(G2306)=0),Stats!$E$7,IF((COUNTBLANK(E2306)=0),IF((COUNTBLANK(F2306)=0),IF((COUNTBLANK(U2306)=0),Stats!$E$6,Stats!$E$5),Stats!$E$4),""))</f>
        <v/>
      </c>
      <c r="C2306" s="41"/>
      <c r="D2306" s="306" t="str">
        <f>IF(B2306=Stats!$E$6,Stats!$E$11,"")</f>
        <v/>
      </c>
    </row>
    <row r="2307" spans="1:4" hidden="1" x14ac:dyDescent="0.25">
      <c r="A2307" s="32" t="s">
        <v>3024</v>
      </c>
      <c r="B2307" s="306" t="str">
        <f>IF((COUNTBLANK(G2307)=0),Stats!$E$7,IF((COUNTBLANK(E2307)=0),IF((COUNTBLANK(F2307)=0),IF((COUNTBLANK(U2307)=0),Stats!$E$6,Stats!$E$5),Stats!$E$4),""))</f>
        <v/>
      </c>
      <c r="C2307" s="41"/>
      <c r="D2307" s="306" t="str">
        <f>IF(B2307=Stats!$E$6,Stats!$E$11,"")</f>
        <v/>
      </c>
    </row>
    <row r="2308" spans="1:4" hidden="1" x14ac:dyDescent="0.25">
      <c r="A2308" s="32" t="s">
        <v>3025</v>
      </c>
      <c r="B2308" s="306" t="str">
        <f>IF((COUNTBLANK(G2308)=0),Stats!$E$7,IF((COUNTBLANK(E2308)=0),IF((COUNTBLANK(F2308)=0),IF((COUNTBLANK(U2308)=0),Stats!$E$6,Stats!$E$5),Stats!$E$4),""))</f>
        <v/>
      </c>
      <c r="C2308" s="41"/>
      <c r="D2308" s="306" t="str">
        <f>IF(B2308=Stats!$E$6,Stats!$E$11,"")</f>
        <v/>
      </c>
    </row>
    <row r="2309" spans="1:4" hidden="1" x14ac:dyDescent="0.25">
      <c r="A2309" s="32" t="s">
        <v>3026</v>
      </c>
      <c r="B2309" s="306" t="str">
        <f>IF((COUNTBLANK(G2309)=0),Stats!$E$7,IF((COUNTBLANK(E2309)=0),IF((COUNTBLANK(F2309)=0),IF((COUNTBLANK(U2309)=0),Stats!$E$6,Stats!$E$5),Stats!$E$4),""))</f>
        <v/>
      </c>
      <c r="C2309" s="41"/>
      <c r="D2309" s="306" t="str">
        <f>IF(B2309=Stats!$E$6,Stats!$E$11,"")</f>
        <v/>
      </c>
    </row>
    <row r="2310" spans="1:4" hidden="1" x14ac:dyDescent="0.25">
      <c r="A2310" s="32" t="s">
        <v>3027</v>
      </c>
      <c r="B2310" s="306" t="str">
        <f>IF((COUNTBLANK(G2310)=0),Stats!$E$7,IF((COUNTBLANK(E2310)=0),IF((COUNTBLANK(F2310)=0),IF((COUNTBLANK(U2310)=0),Stats!$E$6,Stats!$E$5),Stats!$E$4),""))</f>
        <v/>
      </c>
      <c r="C2310" s="41"/>
      <c r="D2310" s="306" t="str">
        <f>IF(B2310=Stats!$E$6,Stats!$E$11,"")</f>
        <v/>
      </c>
    </row>
    <row r="2311" spans="1:4" hidden="1" x14ac:dyDescent="0.25">
      <c r="A2311" s="32" t="s">
        <v>3028</v>
      </c>
      <c r="B2311" s="306" t="str">
        <f>IF((COUNTBLANK(G2311)=0),Stats!$E$7,IF((COUNTBLANK(E2311)=0),IF((COUNTBLANK(F2311)=0),IF((COUNTBLANK(U2311)=0),Stats!$E$6,Stats!$E$5),Stats!$E$4),""))</f>
        <v/>
      </c>
      <c r="C2311" s="41"/>
      <c r="D2311" s="306" t="str">
        <f>IF(B2311=Stats!$E$6,Stats!$E$11,"")</f>
        <v/>
      </c>
    </row>
    <row r="2312" spans="1:4" hidden="1" x14ac:dyDescent="0.25">
      <c r="A2312" s="32" t="s">
        <v>3029</v>
      </c>
      <c r="B2312" s="306" t="str">
        <f>IF((COUNTBLANK(G2312)=0),Stats!$E$7,IF((COUNTBLANK(E2312)=0),IF((COUNTBLANK(F2312)=0),IF((COUNTBLANK(U2312)=0),Stats!$E$6,Stats!$E$5),Stats!$E$4),""))</f>
        <v/>
      </c>
      <c r="C2312" s="41"/>
      <c r="D2312" s="306" t="str">
        <f>IF(B2312=Stats!$E$6,Stats!$E$11,"")</f>
        <v/>
      </c>
    </row>
    <row r="2313" spans="1:4" hidden="1" x14ac:dyDescent="0.25">
      <c r="A2313" s="32" t="s">
        <v>3030</v>
      </c>
      <c r="B2313" s="306" t="str">
        <f>IF((COUNTBLANK(G2313)=0),Stats!$E$7,IF((COUNTBLANK(E2313)=0),IF((COUNTBLANK(F2313)=0),IF((COUNTBLANK(U2313)=0),Stats!$E$6,Stats!$E$5),Stats!$E$4),""))</f>
        <v/>
      </c>
      <c r="C2313" s="41"/>
      <c r="D2313" s="306" t="str">
        <f>IF(B2313=Stats!$E$6,Stats!$E$11,"")</f>
        <v/>
      </c>
    </row>
    <row r="2314" spans="1:4" hidden="1" x14ac:dyDescent="0.25">
      <c r="A2314" s="32" t="s">
        <v>3031</v>
      </c>
      <c r="B2314" s="306" t="str">
        <f>IF((COUNTBLANK(G2314)=0),Stats!$E$7,IF((COUNTBLANK(E2314)=0),IF((COUNTBLANK(F2314)=0),IF((COUNTBLANK(U2314)=0),Stats!$E$6,Stats!$E$5),Stats!$E$4),""))</f>
        <v/>
      </c>
      <c r="C2314" s="41"/>
      <c r="D2314" s="306" t="str">
        <f>IF(B2314=Stats!$E$6,Stats!$E$11,"")</f>
        <v/>
      </c>
    </row>
    <row r="2315" spans="1:4" hidden="1" x14ac:dyDescent="0.25">
      <c r="A2315" s="32" t="s">
        <v>3032</v>
      </c>
      <c r="B2315" s="306" t="str">
        <f>IF((COUNTBLANK(G2315)=0),Stats!$E$7,IF((COUNTBLANK(E2315)=0),IF((COUNTBLANK(F2315)=0),IF((COUNTBLANK(U2315)=0),Stats!$E$6,Stats!$E$5),Stats!$E$4),""))</f>
        <v/>
      </c>
      <c r="C2315" s="41"/>
      <c r="D2315" s="306" t="str">
        <f>IF(B2315=Stats!$E$6,Stats!$E$11,"")</f>
        <v/>
      </c>
    </row>
    <row r="2316" spans="1:4" hidden="1" x14ac:dyDescent="0.25">
      <c r="A2316" s="32" t="s">
        <v>3033</v>
      </c>
      <c r="B2316" s="306" t="str">
        <f>IF((COUNTBLANK(G2316)=0),Stats!$E$7,IF((COUNTBLANK(E2316)=0),IF((COUNTBLANK(F2316)=0),IF((COUNTBLANK(U2316)=0),Stats!$E$6,Stats!$E$5),Stats!$E$4),""))</f>
        <v/>
      </c>
      <c r="C2316" s="41"/>
      <c r="D2316" s="306" t="str">
        <f>IF(B2316=Stats!$E$6,Stats!$E$11,"")</f>
        <v/>
      </c>
    </row>
    <row r="2317" spans="1:4" hidden="1" x14ac:dyDescent="0.25">
      <c r="A2317" s="32" t="s">
        <v>3034</v>
      </c>
      <c r="B2317" s="306" t="str">
        <f>IF((COUNTBLANK(G2317)=0),Stats!$E$7,IF((COUNTBLANK(E2317)=0),IF((COUNTBLANK(F2317)=0),IF((COUNTBLANK(U2317)=0),Stats!$E$6,Stats!$E$5),Stats!$E$4),""))</f>
        <v/>
      </c>
      <c r="C2317" s="41"/>
      <c r="D2317" s="306" t="str">
        <f>IF(B2317=Stats!$E$6,Stats!$E$11,"")</f>
        <v/>
      </c>
    </row>
    <row r="2318" spans="1:4" hidden="1" x14ac:dyDescent="0.25">
      <c r="A2318" s="32" t="s">
        <v>3035</v>
      </c>
      <c r="B2318" s="306" t="str">
        <f>IF((COUNTBLANK(G2318)=0),Stats!$E$7,IF((COUNTBLANK(E2318)=0),IF((COUNTBLANK(F2318)=0),IF((COUNTBLANK(U2318)=0),Stats!$E$6,Stats!$E$5),Stats!$E$4),""))</f>
        <v/>
      </c>
      <c r="C2318" s="41"/>
      <c r="D2318" s="306" t="str">
        <f>IF(B2318=Stats!$E$6,Stats!$E$11,"")</f>
        <v/>
      </c>
    </row>
    <row r="2319" spans="1:4" hidden="1" x14ac:dyDescent="0.25">
      <c r="A2319" s="32" t="s">
        <v>3036</v>
      </c>
      <c r="B2319" s="306" t="str">
        <f>IF((COUNTBLANK(G2319)=0),Stats!$E$7,IF((COUNTBLANK(E2319)=0),IF((COUNTBLANK(F2319)=0),IF((COUNTBLANK(U2319)=0),Stats!$E$6,Stats!$E$5),Stats!$E$4),""))</f>
        <v/>
      </c>
      <c r="C2319" s="41"/>
      <c r="D2319" s="306" t="str">
        <f>IF(B2319=Stats!$E$6,Stats!$E$11,"")</f>
        <v/>
      </c>
    </row>
    <row r="2320" spans="1:4" hidden="1" x14ac:dyDescent="0.25">
      <c r="A2320" s="32" t="s">
        <v>3037</v>
      </c>
      <c r="B2320" s="306" t="str">
        <f>IF((COUNTBLANK(G2320)=0),Stats!$E$7,IF((COUNTBLANK(E2320)=0),IF((COUNTBLANK(F2320)=0),IF((COUNTBLANK(U2320)=0),Stats!$E$6,Stats!$E$5),Stats!$E$4),""))</f>
        <v/>
      </c>
      <c r="C2320" s="41"/>
      <c r="D2320" s="306" t="str">
        <f>IF(B2320=Stats!$E$6,Stats!$E$11,"")</f>
        <v/>
      </c>
    </row>
    <row r="2321" spans="1:4" hidden="1" x14ac:dyDescent="0.25">
      <c r="A2321" s="32" t="s">
        <v>3038</v>
      </c>
      <c r="B2321" s="306" t="str">
        <f>IF((COUNTBLANK(G2321)=0),Stats!$E$7,IF((COUNTBLANK(E2321)=0),IF((COUNTBLANK(F2321)=0),IF((COUNTBLANK(U2321)=0),Stats!$E$6,Stats!$E$5),Stats!$E$4),""))</f>
        <v/>
      </c>
      <c r="C2321" s="41"/>
      <c r="D2321" s="306" t="str">
        <f>IF(B2321=Stats!$E$6,Stats!$E$11,"")</f>
        <v/>
      </c>
    </row>
    <row r="2322" spans="1:4" hidden="1" x14ac:dyDescent="0.25">
      <c r="A2322" s="32" t="s">
        <v>3039</v>
      </c>
      <c r="B2322" s="306" t="str">
        <f>IF((COUNTBLANK(G2322)=0),Stats!$E$7,IF((COUNTBLANK(E2322)=0),IF((COUNTBLANK(F2322)=0),IF((COUNTBLANK(U2322)=0),Stats!$E$6,Stats!$E$5),Stats!$E$4),""))</f>
        <v/>
      </c>
      <c r="C2322" s="41"/>
      <c r="D2322" s="306" t="str">
        <f>IF(B2322=Stats!$E$6,Stats!$E$11,"")</f>
        <v/>
      </c>
    </row>
    <row r="2323" spans="1:4" hidden="1" x14ac:dyDescent="0.25">
      <c r="A2323" s="32" t="s">
        <v>3040</v>
      </c>
      <c r="B2323" s="306" t="str">
        <f>IF((COUNTBLANK(G2323)=0),Stats!$E$7,IF((COUNTBLANK(E2323)=0),IF((COUNTBLANK(F2323)=0),IF((COUNTBLANK(U2323)=0),Stats!$E$6,Stats!$E$5),Stats!$E$4),""))</f>
        <v/>
      </c>
      <c r="C2323" s="41"/>
      <c r="D2323" s="306" t="str">
        <f>IF(B2323=Stats!$E$6,Stats!$E$11,"")</f>
        <v/>
      </c>
    </row>
    <row r="2324" spans="1:4" hidden="1" x14ac:dyDescent="0.25">
      <c r="A2324" s="32" t="s">
        <v>3041</v>
      </c>
      <c r="B2324" s="306" t="str">
        <f>IF((COUNTBLANK(G2324)=0),Stats!$E$7,IF((COUNTBLANK(E2324)=0),IF((COUNTBLANK(F2324)=0),IF((COUNTBLANK(U2324)=0),Stats!$E$6,Stats!$E$5),Stats!$E$4),""))</f>
        <v/>
      </c>
      <c r="C2324" s="41"/>
      <c r="D2324" s="306" t="str">
        <f>IF(B2324=Stats!$E$6,Stats!$E$11,"")</f>
        <v/>
      </c>
    </row>
    <row r="2325" spans="1:4" hidden="1" x14ac:dyDescent="0.25">
      <c r="A2325" s="32" t="s">
        <v>3042</v>
      </c>
      <c r="B2325" s="306" t="str">
        <f>IF((COUNTBLANK(G2325)=0),Stats!$E$7,IF((COUNTBLANK(E2325)=0),IF((COUNTBLANK(F2325)=0),IF((COUNTBLANK(U2325)=0),Stats!$E$6,Stats!$E$5),Stats!$E$4),""))</f>
        <v/>
      </c>
      <c r="C2325" s="41"/>
      <c r="D2325" s="306" t="str">
        <f>IF(B2325=Stats!$E$6,Stats!$E$11,"")</f>
        <v/>
      </c>
    </row>
    <row r="2326" spans="1:4" hidden="1" x14ac:dyDescent="0.25">
      <c r="A2326" s="32" t="s">
        <v>3043</v>
      </c>
      <c r="B2326" s="306" t="str">
        <f>IF((COUNTBLANK(G2326)=0),Stats!$E$7,IF((COUNTBLANK(E2326)=0),IF((COUNTBLANK(F2326)=0),IF((COUNTBLANK(U2326)=0),Stats!$E$6,Stats!$E$5),Stats!$E$4),""))</f>
        <v/>
      </c>
      <c r="C2326" s="41"/>
      <c r="D2326" s="306" t="str">
        <f>IF(B2326=Stats!$E$6,Stats!$E$11,"")</f>
        <v/>
      </c>
    </row>
    <row r="2327" spans="1:4" hidden="1" x14ac:dyDescent="0.25">
      <c r="A2327" s="32" t="s">
        <v>3044</v>
      </c>
      <c r="B2327" s="306" t="str">
        <f>IF((COUNTBLANK(G2327)=0),Stats!$E$7,IF((COUNTBLANK(E2327)=0),IF((COUNTBLANK(F2327)=0),IF((COUNTBLANK(U2327)=0),Stats!$E$6,Stats!$E$5),Stats!$E$4),""))</f>
        <v/>
      </c>
      <c r="C2327" s="41"/>
      <c r="D2327" s="306" t="str">
        <f>IF(B2327=Stats!$E$6,Stats!$E$11,"")</f>
        <v/>
      </c>
    </row>
    <row r="2328" spans="1:4" hidden="1" x14ac:dyDescent="0.25">
      <c r="A2328" s="32" t="s">
        <v>3045</v>
      </c>
      <c r="B2328" s="306" t="str">
        <f>IF((COUNTBLANK(G2328)=0),Stats!$E$7,IF((COUNTBLANK(E2328)=0),IF((COUNTBLANK(F2328)=0),IF((COUNTBLANK(U2328)=0),Stats!$E$6,Stats!$E$5),Stats!$E$4),""))</f>
        <v/>
      </c>
      <c r="C2328" s="41"/>
      <c r="D2328" s="306" t="str">
        <f>IF(B2328=Stats!$E$6,Stats!$E$11,"")</f>
        <v/>
      </c>
    </row>
    <row r="2329" spans="1:4" hidden="1" x14ac:dyDescent="0.25">
      <c r="A2329" s="32" t="s">
        <v>3046</v>
      </c>
      <c r="B2329" s="306" t="str">
        <f>IF((COUNTBLANK(G2329)=0),Stats!$E$7,IF((COUNTBLANK(E2329)=0),IF((COUNTBLANK(F2329)=0),IF((COUNTBLANK(U2329)=0),Stats!$E$6,Stats!$E$5),Stats!$E$4),""))</f>
        <v/>
      </c>
      <c r="C2329" s="41"/>
      <c r="D2329" s="306" t="str">
        <f>IF(B2329=Stats!$E$6,Stats!$E$11,"")</f>
        <v/>
      </c>
    </row>
    <row r="2330" spans="1:4" hidden="1" x14ac:dyDescent="0.25">
      <c r="A2330" s="32" t="s">
        <v>3047</v>
      </c>
      <c r="B2330" s="306" t="str">
        <f>IF((COUNTBLANK(G2330)=0),Stats!$E$7,IF((COUNTBLANK(E2330)=0),IF((COUNTBLANK(F2330)=0),IF((COUNTBLANK(U2330)=0),Stats!$E$6,Stats!$E$5),Stats!$E$4),""))</f>
        <v/>
      </c>
      <c r="C2330" s="41"/>
      <c r="D2330" s="306" t="str">
        <f>IF(B2330=Stats!$E$6,Stats!$E$11,"")</f>
        <v/>
      </c>
    </row>
    <row r="2331" spans="1:4" hidden="1" x14ac:dyDescent="0.25">
      <c r="A2331" s="32" t="s">
        <v>3048</v>
      </c>
      <c r="B2331" s="306" t="str">
        <f>IF((COUNTBLANK(G2331)=0),Stats!$E$7,IF((COUNTBLANK(E2331)=0),IF((COUNTBLANK(F2331)=0),IF((COUNTBLANK(U2331)=0),Stats!$E$6,Stats!$E$5),Stats!$E$4),""))</f>
        <v/>
      </c>
      <c r="C2331" s="41"/>
      <c r="D2331" s="306" t="str">
        <f>IF(B2331=Stats!$E$6,Stats!$E$11,"")</f>
        <v/>
      </c>
    </row>
    <row r="2332" spans="1:4" hidden="1" x14ac:dyDescent="0.25">
      <c r="A2332" s="32" t="s">
        <v>3049</v>
      </c>
      <c r="B2332" s="306" t="str">
        <f>IF((COUNTBLANK(G2332)=0),Stats!$E$7,IF((COUNTBLANK(E2332)=0),IF((COUNTBLANK(F2332)=0),IF((COUNTBLANK(U2332)=0),Stats!$E$6,Stats!$E$5),Stats!$E$4),""))</f>
        <v/>
      </c>
      <c r="C2332" s="41"/>
      <c r="D2332" s="306" t="str">
        <f>IF(B2332=Stats!$E$6,Stats!$E$11,"")</f>
        <v/>
      </c>
    </row>
    <row r="2333" spans="1:4" hidden="1" x14ac:dyDescent="0.25">
      <c r="A2333" s="32" t="s">
        <v>3050</v>
      </c>
      <c r="B2333" s="306" t="str">
        <f>IF((COUNTBLANK(G2333)=0),Stats!$E$7,IF((COUNTBLANK(E2333)=0),IF((COUNTBLANK(F2333)=0),IF((COUNTBLANK(U2333)=0),Stats!$E$6,Stats!$E$5),Stats!$E$4),""))</f>
        <v/>
      </c>
      <c r="C2333" s="41"/>
      <c r="D2333" s="306" t="str">
        <f>IF(B2333=Stats!$E$6,Stats!$E$11,"")</f>
        <v/>
      </c>
    </row>
    <row r="2334" spans="1:4" hidden="1" x14ac:dyDescent="0.25">
      <c r="A2334" s="32" t="s">
        <v>3051</v>
      </c>
      <c r="B2334" s="306" t="str">
        <f>IF((COUNTBLANK(G2334)=0),Stats!$E$7,IF((COUNTBLANK(E2334)=0),IF((COUNTBLANK(F2334)=0),IF((COUNTBLANK(U2334)=0),Stats!$E$6,Stats!$E$5),Stats!$E$4),""))</f>
        <v/>
      </c>
      <c r="C2334" s="41"/>
      <c r="D2334" s="306" t="str">
        <f>IF(B2334=Stats!$E$6,Stats!$E$11,"")</f>
        <v/>
      </c>
    </row>
    <row r="2335" spans="1:4" hidden="1" x14ac:dyDescent="0.25">
      <c r="A2335" s="32" t="s">
        <v>3052</v>
      </c>
      <c r="B2335" s="306" t="str">
        <f>IF((COUNTBLANK(G2335)=0),Stats!$E$7,IF((COUNTBLANK(E2335)=0),IF((COUNTBLANK(F2335)=0),IF((COUNTBLANK(U2335)=0),Stats!$E$6,Stats!$E$5),Stats!$E$4),""))</f>
        <v/>
      </c>
      <c r="C2335" s="41"/>
      <c r="D2335" s="306" t="str">
        <f>IF(B2335=Stats!$E$6,Stats!$E$11,"")</f>
        <v/>
      </c>
    </row>
    <row r="2336" spans="1:4" hidden="1" x14ac:dyDescent="0.25">
      <c r="B2336" s="306" t="str">
        <f>IF((COUNTBLANK(G2336)=0),Stats!$E$7,IF((COUNTBLANK(E2336)=0),IF((COUNTBLANK(F2336)=0),IF((COUNTBLANK(U2336)=0),Stats!$E$6,Stats!$E$5),Stats!$E$4),""))</f>
        <v/>
      </c>
      <c r="C2336" s="41"/>
      <c r="D2336" s="306" t="str">
        <f>IF(B2336=Stats!$E$6,Stats!$E$11,"")</f>
        <v/>
      </c>
    </row>
    <row r="2337" spans="2:4" hidden="1" x14ac:dyDescent="0.25">
      <c r="B2337" s="306" t="str">
        <f>IF((COUNTBLANK(G2337)=0),Stats!$E$7,IF((COUNTBLANK(E2337)=0),IF((COUNTBLANK(F2337)=0),IF((COUNTBLANK(U2337)=0),Stats!$E$6,Stats!$E$5),Stats!$E$4),""))</f>
        <v/>
      </c>
      <c r="C2337" s="41"/>
      <c r="D2337" s="306" t="str">
        <f>IF(B2337=Stats!$E$6,Stats!$E$11,"")</f>
        <v/>
      </c>
    </row>
    <row r="2338" spans="2:4" hidden="1" x14ac:dyDescent="0.25">
      <c r="B2338" s="306" t="str">
        <f>IF((COUNTBLANK(G2338)=0),Stats!$E$7,IF((COUNTBLANK(E2338)=0),IF((COUNTBLANK(F2338)=0),IF((COUNTBLANK(U2338)=0),Stats!$E$6,Stats!$E$5),Stats!$E$4),""))</f>
        <v/>
      </c>
      <c r="C2338" s="41"/>
      <c r="D2338" s="306" t="str">
        <f>IF(B2338=Stats!$E$6,Stats!$E$11,"")</f>
        <v/>
      </c>
    </row>
    <row r="2339" spans="2:4" hidden="1" x14ac:dyDescent="0.25">
      <c r="B2339" s="306" t="str">
        <f>IF((COUNTBLANK(G2339)=0),Stats!$E$7,IF((COUNTBLANK(E2339)=0),IF((COUNTBLANK(F2339)=0),IF((COUNTBLANK(U2339)=0),Stats!$E$6,Stats!$E$5),Stats!$E$4),""))</f>
        <v/>
      </c>
      <c r="C2339" s="41"/>
      <c r="D2339" s="306" t="str">
        <f>IF(B2339=Stats!$E$6,Stats!$E$11,"")</f>
        <v/>
      </c>
    </row>
    <row r="2340" spans="2:4" hidden="1" x14ac:dyDescent="0.25">
      <c r="B2340" s="306" t="str">
        <f>IF((COUNTBLANK(G2340)=0),Stats!$E$7,IF((COUNTBLANK(E2340)=0),IF((COUNTBLANK(F2340)=0),IF((COUNTBLANK(U2340)=0),Stats!$E$6,Stats!$E$5),Stats!$E$4),""))</f>
        <v/>
      </c>
      <c r="C2340" s="41"/>
      <c r="D2340" s="306" t="str">
        <f>IF(B2340=Stats!$E$6,Stats!$E$11,"")</f>
        <v/>
      </c>
    </row>
    <row r="2341" spans="2:4" hidden="1" x14ac:dyDescent="0.25">
      <c r="B2341" s="306" t="str">
        <f>IF((COUNTBLANK(G2341)=0),Stats!$E$7,IF((COUNTBLANK(E2341)=0),IF((COUNTBLANK(F2341)=0),IF((COUNTBLANK(U2341)=0),Stats!$E$6,Stats!$E$5),Stats!$E$4),""))</f>
        <v/>
      </c>
      <c r="C2341" s="41"/>
      <c r="D2341" s="306" t="str">
        <f>IF(B2341=Stats!$E$6,Stats!$E$11,"")</f>
        <v/>
      </c>
    </row>
    <row r="2342" spans="2:4" hidden="1" x14ac:dyDescent="0.25">
      <c r="B2342" s="306" t="str">
        <f>IF((COUNTBLANK(G2342)=0),Stats!$E$7,IF((COUNTBLANK(E2342)=0),IF((COUNTBLANK(F2342)=0),IF((COUNTBLANK(U2342)=0),Stats!$E$6,Stats!$E$5),Stats!$E$4),""))</f>
        <v/>
      </c>
      <c r="C2342" s="41"/>
      <c r="D2342" s="306" t="str">
        <f>IF(B2342=Stats!$E$6,Stats!$E$11,"")</f>
        <v/>
      </c>
    </row>
    <row r="2343" spans="2:4" hidden="1" x14ac:dyDescent="0.25">
      <c r="B2343" s="306" t="str">
        <f>IF((COUNTBLANK(G2343)=0),Stats!$E$7,IF((COUNTBLANK(E2343)=0),IF((COUNTBLANK(F2343)=0),IF((COUNTBLANK(U2343)=0),Stats!$E$6,Stats!$E$5),Stats!$E$4),""))</f>
        <v/>
      </c>
      <c r="C2343" s="41"/>
      <c r="D2343" s="306" t="str">
        <f>IF(B2343=Stats!$E$6,Stats!$E$11,"")</f>
        <v/>
      </c>
    </row>
    <row r="2344" spans="2:4" hidden="1" x14ac:dyDescent="0.25">
      <c r="B2344" s="306" t="str">
        <f>IF((COUNTBLANK(G2344)=0),Stats!$E$7,IF((COUNTBLANK(E2344)=0),IF((COUNTBLANK(F2344)=0),IF((COUNTBLANK(U2344)=0),Stats!$E$6,Stats!$E$5),Stats!$E$4),""))</f>
        <v/>
      </c>
      <c r="C2344" s="41"/>
      <c r="D2344" s="306" t="str">
        <f>IF(B2344=Stats!$E$6,Stats!$E$11,"")</f>
        <v/>
      </c>
    </row>
    <row r="2345" spans="2:4" hidden="1" x14ac:dyDescent="0.25">
      <c r="B2345" s="306" t="str">
        <f>IF((COUNTBLANK(G2345)=0),Stats!$E$7,IF((COUNTBLANK(E2345)=0),IF((COUNTBLANK(F2345)=0),IF((COUNTBLANK(U2345)=0),Stats!$E$6,Stats!$E$5),Stats!$E$4),""))</f>
        <v/>
      </c>
      <c r="C2345" s="41"/>
      <c r="D2345" s="306" t="str">
        <f>IF(B2345=Stats!$E$6,Stats!$E$11,"")</f>
        <v/>
      </c>
    </row>
    <row r="2346" spans="2:4" hidden="1" x14ac:dyDescent="0.25">
      <c r="B2346" s="306" t="str">
        <f>IF((COUNTBLANK(G2346)=0),Stats!$E$7,IF((COUNTBLANK(E2346)=0),IF((COUNTBLANK(F2346)=0),IF((COUNTBLANK(U2346)=0),Stats!$E$6,Stats!$E$5),Stats!$E$4),""))</f>
        <v/>
      </c>
      <c r="C2346" s="41"/>
      <c r="D2346" s="306" t="str">
        <f>IF(B2346=Stats!$E$6,Stats!$E$11,"")</f>
        <v/>
      </c>
    </row>
    <row r="2347" spans="2:4" hidden="1" x14ac:dyDescent="0.25">
      <c r="B2347" s="306" t="str">
        <f>IF((COUNTBLANK(G2347)=0),Stats!$E$7,IF((COUNTBLANK(E2347)=0),IF((COUNTBLANK(F2347)=0),IF((COUNTBLANK(U2347)=0),Stats!$E$6,Stats!$E$5),Stats!$E$4),""))</f>
        <v/>
      </c>
      <c r="C2347" s="41"/>
      <c r="D2347" s="306" t="str">
        <f>IF(B2347=Stats!$E$6,Stats!$E$11,"")</f>
        <v/>
      </c>
    </row>
    <row r="2348" spans="2:4" hidden="1" x14ac:dyDescent="0.25">
      <c r="B2348" s="306" t="str">
        <f>IF((COUNTBLANK(G2348)=0),Stats!$E$7,IF((COUNTBLANK(E2348)=0),IF((COUNTBLANK(F2348)=0),IF((COUNTBLANK(U2348)=0),Stats!$E$6,Stats!$E$5),Stats!$E$4),""))</f>
        <v/>
      </c>
      <c r="C2348" s="41"/>
      <c r="D2348" s="306" t="str">
        <f>IF(B2348=Stats!$E$6,Stats!$E$11,"")</f>
        <v/>
      </c>
    </row>
    <row r="2349" spans="2:4" hidden="1" x14ac:dyDescent="0.25">
      <c r="B2349" s="306" t="str">
        <f>IF((COUNTBLANK(G2349)=0),Stats!$E$7,IF((COUNTBLANK(E2349)=0),IF((COUNTBLANK(F2349)=0),IF((COUNTBLANK(U2349)=0),Stats!$E$6,Stats!$E$5),Stats!$E$4),""))</f>
        <v/>
      </c>
      <c r="C2349" s="41"/>
      <c r="D2349" s="306" t="str">
        <f>IF(B2349=Stats!$E$6,Stats!$E$11,"")</f>
        <v/>
      </c>
    </row>
    <row r="2350" spans="2:4" hidden="1" x14ac:dyDescent="0.25">
      <c r="B2350" s="306" t="str">
        <f>IF((COUNTBLANK(G2350)=0),Stats!$E$7,IF((COUNTBLANK(E2350)=0),IF((COUNTBLANK(F2350)=0),IF((COUNTBLANK(U2350)=0),Stats!$E$6,Stats!$E$5),Stats!$E$4),""))</f>
        <v/>
      </c>
      <c r="C2350" s="41"/>
      <c r="D2350" s="306" t="str">
        <f>IF(B2350=Stats!$E$6,Stats!$E$11,"")</f>
        <v/>
      </c>
    </row>
    <row r="2351" spans="2:4" hidden="1" x14ac:dyDescent="0.25">
      <c r="B2351" s="306" t="str">
        <f>IF((COUNTBLANK(G2351)=0),Stats!$E$7,IF((COUNTBLANK(E2351)=0),IF((COUNTBLANK(F2351)=0),IF((COUNTBLANK(U2351)=0),Stats!$E$6,Stats!$E$5),Stats!$E$4),""))</f>
        <v/>
      </c>
      <c r="C2351" s="41"/>
      <c r="D2351" s="306" t="str">
        <f>IF(B2351=Stats!$E$6,Stats!$E$11,"")</f>
        <v/>
      </c>
    </row>
    <row r="2352" spans="2:4" hidden="1" x14ac:dyDescent="0.25">
      <c r="B2352" s="306" t="str">
        <f>IF((COUNTBLANK(G2352)=0),Stats!$E$7,IF((COUNTBLANK(E2352)=0),IF((COUNTBLANK(F2352)=0),IF((COUNTBLANK(U2352)=0),Stats!$E$6,Stats!$E$5),Stats!$E$4),""))</f>
        <v/>
      </c>
      <c r="C2352" s="41"/>
      <c r="D2352" s="306" t="str">
        <f>IF(B2352=Stats!$E$6,Stats!$E$11,"")</f>
        <v/>
      </c>
    </row>
    <row r="2353" spans="2:4" hidden="1" x14ac:dyDescent="0.25">
      <c r="B2353" s="306" t="str">
        <f>IF((COUNTBLANK(G2353)=0),Stats!$E$7,IF((COUNTBLANK(E2353)=0),IF((COUNTBLANK(F2353)=0),IF((COUNTBLANK(U2353)=0),Stats!$E$6,Stats!$E$5),Stats!$E$4),""))</f>
        <v/>
      </c>
      <c r="C2353" s="41"/>
      <c r="D2353" s="306" t="str">
        <f>IF(B2353=Stats!$E$6,Stats!$E$11,"")</f>
        <v/>
      </c>
    </row>
    <row r="2354" spans="2:4" hidden="1" x14ac:dyDescent="0.25">
      <c r="B2354" s="306" t="str">
        <f>IF((COUNTBLANK(G2354)=0),Stats!$E$7,IF((COUNTBLANK(E2354)=0),IF((COUNTBLANK(F2354)=0),IF((COUNTBLANK(U2354)=0),Stats!$E$6,Stats!$E$5),Stats!$E$4),""))</f>
        <v/>
      </c>
      <c r="C2354" s="41"/>
      <c r="D2354" s="306" t="str">
        <f>IF(B2354=Stats!$E$6,Stats!$E$11,"")</f>
        <v/>
      </c>
    </row>
    <row r="2355" spans="2:4" hidden="1" x14ac:dyDescent="0.25">
      <c r="B2355" s="306" t="str">
        <f>IF((COUNTBLANK(G2355)=0),Stats!$E$7,IF((COUNTBLANK(E2355)=0),IF((COUNTBLANK(F2355)=0),IF((COUNTBLANK(U2355)=0),Stats!$E$6,Stats!$E$5),Stats!$E$4),""))</f>
        <v/>
      </c>
      <c r="C2355" s="41"/>
      <c r="D2355" s="306" t="str">
        <f>IF(B2355=Stats!$E$6,Stats!$E$11,"")</f>
        <v/>
      </c>
    </row>
    <row r="2356" spans="2:4" hidden="1" x14ac:dyDescent="0.25">
      <c r="B2356" s="306" t="str">
        <f>IF((COUNTBLANK(G2356)=0),Stats!$E$7,IF((COUNTBLANK(E2356)=0),IF((COUNTBLANK(F2356)=0),IF((COUNTBLANK(U2356)=0),Stats!$E$6,Stats!$E$5),Stats!$E$4),""))</f>
        <v/>
      </c>
      <c r="C2356" s="41"/>
      <c r="D2356" s="306" t="str">
        <f>IF(B2356=Stats!$E$6,Stats!$E$11,"")</f>
        <v/>
      </c>
    </row>
    <row r="2357" spans="2:4" hidden="1" x14ac:dyDescent="0.25">
      <c r="B2357" s="306" t="str">
        <f>IF((COUNTBLANK(G2357)=0),Stats!$E$7,IF((COUNTBLANK(E2357)=0),IF((COUNTBLANK(F2357)=0),IF((COUNTBLANK(U2357)=0),Stats!$E$6,Stats!$E$5),Stats!$E$4),""))</f>
        <v/>
      </c>
      <c r="C2357" s="41"/>
      <c r="D2357" s="306" t="str">
        <f>IF(B2357=Stats!$E$6,Stats!$E$11,"")</f>
        <v/>
      </c>
    </row>
    <row r="2358" spans="2:4" hidden="1" x14ac:dyDescent="0.25">
      <c r="B2358" s="306" t="str">
        <f>IF((COUNTBLANK(G2358)=0),Stats!$E$7,IF((COUNTBLANK(E2358)=0),IF((COUNTBLANK(F2358)=0),IF((COUNTBLANK(U2358)=0),Stats!$E$6,Stats!$E$5),Stats!$E$4),""))</f>
        <v/>
      </c>
      <c r="C2358" s="41"/>
      <c r="D2358" s="306" t="str">
        <f>IF(B2358=Stats!$E$6,Stats!$E$11,"")</f>
        <v/>
      </c>
    </row>
    <row r="2359" spans="2:4" hidden="1" x14ac:dyDescent="0.25">
      <c r="B2359" s="306" t="str">
        <f>IF((COUNTBLANK(G2359)=0),Stats!$E$7,IF((COUNTBLANK(E2359)=0),IF((COUNTBLANK(F2359)=0),IF((COUNTBLANK(U2359)=0),Stats!$E$6,Stats!$E$5),Stats!$E$4),""))</f>
        <v/>
      </c>
      <c r="C2359" s="41"/>
      <c r="D2359" s="306" t="str">
        <f>IF(B2359=Stats!$E$6,Stats!$E$11,"")</f>
        <v/>
      </c>
    </row>
    <row r="2360" spans="2:4" hidden="1" x14ac:dyDescent="0.25">
      <c r="B2360" s="306" t="str">
        <f>IF((COUNTBLANK(G2360)=0),Stats!$E$7,IF((COUNTBLANK(E2360)=0),IF((COUNTBLANK(F2360)=0),IF((COUNTBLANK(U2360)=0),Stats!$E$6,Stats!$E$5),Stats!$E$4),""))</f>
        <v/>
      </c>
      <c r="C2360" s="41"/>
      <c r="D2360" s="306" t="str">
        <f>IF(B2360=Stats!$E$6,Stats!$E$11,"")</f>
        <v/>
      </c>
    </row>
    <row r="2361" spans="2:4" hidden="1" x14ac:dyDescent="0.25">
      <c r="B2361" s="306" t="str">
        <f>IF((COUNTBLANK(G2361)=0),Stats!$E$7,IF((COUNTBLANK(E2361)=0),IF((COUNTBLANK(F2361)=0),IF((COUNTBLANK(U2361)=0),Stats!$E$6,Stats!$E$5),Stats!$E$4),""))</f>
        <v/>
      </c>
      <c r="C2361" s="41"/>
      <c r="D2361" s="306" t="str">
        <f>IF(B2361=Stats!$E$6,Stats!$E$11,"")</f>
        <v/>
      </c>
    </row>
    <row r="2362" spans="2:4" hidden="1" x14ac:dyDescent="0.25">
      <c r="B2362" s="306" t="str">
        <f>IF((COUNTBLANK(G2362)=0),Stats!$E$7,IF((COUNTBLANK(E2362)=0),IF((COUNTBLANK(F2362)=0),IF((COUNTBLANK(U2362)=0),Stats!$E$6,Stats!$E$5),Stats!$E$4),""))</f>
        <v/>
      </c>
      <c r="C2362" s="41"/>
      <c r="D2362" s="306" t="str">
        <f>IF(B2362=Stats!$E$6,Stats!$E$11,"")</f>
        <v/>
      </c>
    </row>
    <row r="2363" spans="2:4" hidden="1" x14ac:dyDescent="0.25">
      <c r="B2363" s="306" t="str">
        <f>IF((COUNTBLANK(G2363)=0),Stats!$E$7,IF((COUNTBLANK(E2363)=0),IF((COUNTBLANK(F2363)=0),IF((COUNTBLANK(U2363)=0),Stats!$E$6,Stats!$E$5),Stats!$E$4),""))</f>
        <v/>
      </c>
      <c r="C2363" s="41"/>
      <c r="D2363" s="306" t="str">
        <f>IF(B2363=Stats!$E$6,Stats!$E$11,"")</f>
        <v/>
      </c>
    </row>
    <row r="2364" spans="2:4" hidden="1" x14ac:dyDescent="0.25">
      <c r="B2364" s="306" t="str">
        <f>IF((COUNTBLANK(G2364)=0),Stats!$E$7,IF((COUNTBLANK(E2364)=0),IF((COUNTBLANK(F2364)=0),IF((COUNTBLANK(U2364)=0),Stats!$E$6,Stats!$E$5),Stats!$E$4),""))</f>
        <v/>
      </c>
      <c r="C2364" s="41"/>
      <c r="D2364" s="306" t="str">
        <f>IF(B2364=Stats!$E$6,Stats!$E$11,"")</f>
        <v/>
      </c>
    </row>
    <row r="2365" spans="2:4" hidden="1" x14ac:dyDescent="0.25">
      <c r="B2365" s="306" t="str">
        <f>IF((COUNTBLANK(G2365)=0),Stats!$E$7,IF((COUNTBLANK(E2365)=0),IF((COUNTBLANK(F2365)=0),IF((COUNTBLANK(U2365)=0),Stats!$E$6,Stats!$E$5),Stats!$E$4),""))</f>
        <v/>
      </c>
      <c r="C2365" s="41"/>
      <c r="D2365" s="306" t="str">
        <f>IF(B2365=Stats!$E$6,Stats!$E$11,"")</f>
        <v/>
      </c>
    </row>
    <row r="2366" spans="2:4" hidden="1" x14ac:dyDescent="0.25">
      <c r="B2366" s="306" t="str">
        <f>IF((COUNTBLANK(G2366)=0),Stats!$E$7,IF((COUNTBLANK(E2366)=0),IF((COUNTBLANK(F2366)=0),IF((COUNTBLANK(U2366)=0),Stats!$E$6,Stats!$E$5),Stats!$E$4),""))</f>
        <v/>
      </c>
      <c r="C2366" s="41"/>
      <c r="D2366" s="306" t="str">
        <f>IF(B2366=Stats!$E$6,Stats!$E$11,"")</f>
        <v/>
      </c>
    </row>
    <row r="2367" spans="2:4" hidden="1" x14ac:dyDescent="0.25">
      <c r="B2367" s="306" t="str">
        <f>IF((COUNTBLANK(G2367)=0),Stats!$E$7,IF((COUNTBLANK(E2367)=0),IF((COUNTBLANK(F2367)=0),IF((COUNTBLANK(U2367)=0),Stats!$E$6,Stats!$E$5),Stats!$E$4),""))</f>
        <v/>
      </c>
      <c r="C2367" s="41"/>
      <c r="D2367" s="306" t="str">
        <f>IF(B2367=Stats!$E$6,Stats!$E$11,"")</f>
        <v/>
      </c>
    </row>
    <row r="2368" spans="2:4" hidden="1" x14ac:dyDescent="0.25">
      <c r="B2368" s="306" t="str">
        <f>IF((COUNTBLANK(G2368)=0),Stats!$E$7,IF((COUNTBLANK(E2368)=0),IF((COUNTBLANK(F2368)=0),IF((COUNTBLANK(U2368)=0),Stats!$E$6,Stats!$E$5),Stats!$E$4),""))</f>
        <v/>
      </c>
      <c r="C2368" s="41"/>
      <c r="D2368" s="306" t="str">
        <f>IF(B2368=Stats!$E$6,Stats!$E$11,"")</f>
        <v/>
      </c>
    </row>
    <row r="2369" spans="2:4" hidden="1" x14ac:dyDescent="0.25">
      <c r="B2369" s="306" t="str">
        <f>IF((COUNTBLANK(G2369)=0),Stats!$E$7,IF((COUNTBLANK(E2369)=0),IF((COUNTBLANK(F2369)=0),IF((COUNTBLANK(U2369)=0),Stats!$E$6,Stats!$E$5),Stats!$E$4),""))</f>
        <v/>
      </c>
      <c r="C2369" s="41"/>
      <c r="D2369" s="306" t="str">
        <f>IF(B2369=Stats!$E$6,Stats!$E$11,"")</f>
        <v/>
      </c>
    </row>
    <row r="2370" spans="2:4" hidden="1" x14ac:dyDescent="0.25">
      <c r="B2370" s="306" t="str">
        <f>IF((COUNTBLANK(G2370)=0),Stats!$E$7,IF((COUNTBLANK(E2370)=0),IF((COUNTBLANK(F2370)=0),IF((COUNTBLANK(U2370)=0),Stats!$E$6,Stats!$E$5),Stats!$E$4),""))</f>
        <v/>
      </c>
      <c r="C2370" s="41"/>
      <c r="D2370" s="306" t="str">
        <f>IF(B2370=Stats!$E$6,Stats!$E$11,"")</f>
        <v/>
      </c>
    </row>
    <row r="2371" spans="2:4" hidden="1" x14ac:dyDescent="0.25">
      <c r="B2371" s="306" t="str">
        <f>IF((COUNTBLANK(G2371)=0),Stats!$E$7,IF((COUNTBLANK(E2371)=0),IF((COUNTBLANK(F2371)=0),IF((COUNTBLANK(U2371)=0),Stats!$E$6,Stats!$E$5),Stats!$E$4),""))</f>
        <v/>
      </c>
      <c r="C2371" s="41"/>
      <c r="D2371" s="306" t="str">
        <f>IF(B2371=Stats!$E$6,Stats!$E$11,"")</f>
        <v/>
      </c>
    </row>
    <row r="2372" spans="2:4" hidden="1" x14ac:dyDescent="0.25">
      <c r="B2372" s="306" t="str">
        <f>IF((COUNTBLANK(G2372)=0),Stats!$E$7,IF((COUNTBLANK(E2372)=0),IF((COUNTBLANK(F2372)=0),IF((COUNTBLANK(U2372)=0),Stats!$E$6,Stats!$E$5),Stats!$E$4),""))</f>
        <v/>
      </c>
      <c r="C2372" s="41"/>
      <c r="D2372" s="306" t="str">
        <f>IF(B2372=Stats!$E$6,Stats!$E$11,"")</f>
        <v/>
      </c>
    </row>
    <row r="2373" spans="2:4" hidden="1" x14ac:dyDescent="0.25">
      <c r="B2373" s="306" t="str">
        <f>IF((COUNTBLANK(G2373)=0),Stats!$E$7,IF((COUNTBLANK(E2373)=0),IF((COUNTBLANK(F2373)=0),IF((COUNTBLANK(U2373)=0),Stats!$E$6,Stats!$E$5),Stats!$E$4),""))</f>
        <v/>
      </c>
      <c r="C2373" s="41"/>
      <c r="D2373" s="306" t="str">
        <f>IF(B2373=Stats!$E$6,Stats!$E$11,"")</f>
        <v/>
      </c>
    </row>
    <row r="2374" spans="2:4" hidden="1" x14ac:dyDescent="0.25">
      <c r="B2374" s="306" t="str">
        <f>IF((COUNTBLANK(G2374)=0),Stats!$E$7,IF((COUNTBLANK(E2374)=0),IF((COUNTBLANK(F2374)=0),IF((COUNTBLANK(U2374)=0),Stats!$E$6,Stats!$E$5),Stats!$E$4),""))</f>
        <v/>
      </c>
      <c r="C2374" s="41"/>
      <c r="D2374" s="306" t="str">
        <f>IF(B2374=Stats!$E$6,Stats!$E$11,"")</f>
        <v/>
      </c>
    </row>
    <row r="2375" spans="2:4" hidden="1" x14ac:dyDescent="0.25">
      <c r="B2375" s="306" t="str">
        <f>IF((COUNTBLANK(G2375)=0),Stats!$E$7,IF((COUNTBLANK(E2375)=0),IF((COUNTBLANK(F2375)=0),IF((COUNTBLANK(U2375)=0),Stats!$E$6,Stats!$E$5),Stats!$E$4),""))</f>
        <v/>
      </c>
      <c r="C2375" s="41"/>
      <c r="D2375" s="306" t="str">
        <f>IF(B2375=Stats!$E$6,Stats!$E$11,"")</f>
        <v/>
      </c>
    </row>
    <row r="2376" spans="2:4" hidden="1" x14ac:dyDescent="0.25">
      <c r="B2376" s="306" t="str">
        <f>IF((COUNTBLANK(G2376)=0),Stats!$E$7,IF((COUNTBLANK(E2376)=0),IF((COUNTBLANK(F2376)=0),IF((COUNTBLANK(U2376)=0),Stats!$E$6,Stats!$E$5),Stats!$E$4),""))</f>
        <v/>
      </c>
      <c r="C2376" s="41"/>
      <c r="D2376" s="306" t="str">
        <f>IF(B2376=Stats!$E$6,Stats!$E$11,"")</f>
        <v/>
      </c>
    </row>
    <row r="2377" spans="2:4" hidden="1" x14ac:dyDescent="0.25">
      <c r="B2377" s="306" t="str">
        <f>IF((COUNTBLANK(G2377)=0),Stats!$E$7,IF((COUNTBLANK(E2377)=0),IF((COUNTBLANK(F2377)=0),IF((COUNTBLANK(U2377)=0),Stats!$E$6,Stats!$E$5),Stats!$E$4),""))</f>
        <v/>
      </c>
      <c r="C2377" s="41"/>
      <c r="D2377" s="306" t="str">
        <f>IF(B2377=Stats!$E$6,Stats!$E$11,"")</f>
        <v/>
      </c>
    </row>
    <row r="2378" spans="2:4" hidden="1" x14ac:dyDescent="0.25">
      <c r="B2378" s="306" t="str">
        <f>IF((COUNTBLANK(G2378)=0),Stats!$E$7,IF((COUNTBLANK(E2378)=0),IF((COUNTBLANK(F2378)=0),IF((COUNTBLANK(U2378)=0),Stats!$E$6,Stats!$E$5),Stats!$E$4),""))</f>
        <v/>
      </c>
      <c r="C2378" s="41"/>
      <c r="D2378" s="306" t="str">
        <f>IF(B2378=Stats!$E$6,Stats!$E$11,"")</f>
        <v/>
      </c>
    </row>
    <row r="2379" spans="2:4" hidden="1" x14ac:dyDescent="0.25">
      <c r="B2379" s="306" t="str">
        <f>IF((COUNTBLANK(G2379)=0),Stats!$E$7,IF((COUNTBLANK(E2379)=0),IF((COUNTBLANK(F2379)=0),IF((COUNTBLANK(U2379)=0),Stats!$E$6,Stats!$E$5),Stats!$E$4),""))</f>
        <v/>
      </c>
      <c r="C2379" s="41"/>
      <c r="D2379" s="306" t="str">
        <f>IF(B2379=Stats!$E$6,Stats!$E$11,"")</f>
        <v/>
      </c>
    </row>
    <row r="2380" spans="2:4" hidden="1" x14ac:dyDescent="0.25">
      <c r="B2380" s="306" t="str">
        <f>IF((COUNTBLANK(G2380)=0),Stats!$E$7,IF((COUNTBLANK(E2380)=0),IF((COUNTBLANK(F2380)=0),IF((COUNTBLANK(U2380)=0),Stats!$E$6,Stats!$E$5),Stats!$E$4),""))</f>
        <v/>
      </c>
      <c r="C2380" s="41"/>
      <c r="D2380" s="306" t="str">
        <f>IF(B2380=Stats!$E$6,Stats!$E$11,"")</f>
        <v/>
      </c>
    </row>
    <row r="2381" spans="2:4" hidden="1" x14ac:dyDescent="0.25">
      <c r="B2381" s="306" t="str">
        <f>IF((COUNTBLANK(G2381)=0),Stats!$E$7,IF((COUNTBLANK(E2381)=0),IF((COUNTBLANK(F2381)=0),IF((COUNTBLANK(U2381)=0),Stats!$E$6,Stats!$E$5),Stats!$E$4),""))</f>
        <v/>
      </c>
      <c r="C2381" s="41"/>
      <c r="D2381" s="306" t="str">
        <f>IF(B2381=Stats!$E$6,Stats!$E$11,"")</f>
        <v/>
      </c>
    </row>
    <row r="2382" spans="2:4" hidden="1" x14ac:dyDescent="0.25">
      <c r="B2382" s="306" t="str">
        <f>IF((COUNTBLANK(G2382)=0),Stats!$E$7,IF((COUNTBLANK(E2382)=0),IF((COUNTBLANK(F2382)=0),IF((COUNTBLANK(U2382)=0),Stats!$E$6,Stats!$E$5),Stats!$E$4),""))</f>
        <v/>
      </c>
      <c r="C2382" s="41"/>
      <c r="D2382" s="306" t="str">
        <f>IF(B2382=Stats!$E$6,Stats!$E$11,"")</f>
        <v/>
      </c>
    </row>
    <row r="2383" spans="2:4" hidden="1" x14ac:dyDescent="0.25">
      <c r="B2383" s="306" t="str">
        <f>IF((COUNTBLANK(G2383)=0),Stats!$E$7,IF((COUNTBLANK(E2383)=0),IF((COUNTBLANK(F2383)=0),IF((COUNTBLANK(U2383)=0),Stats!$E$6,Stats!$E$5),Stats!$E$4),""))</f>
        <v/>
      </c>
      <c r="C2383" s="41"/>
      <c r="D2383" s="306" t="str">
        <f>IF(B2383=Stats!$E$6,Stats!$E$11,"")</f>
        <v/>
      </c>
    </row>
    <row r="2384" spans="2:4" hidden="1" x14ac:dyDescent="0.25">
      <c r="B2384" s="306" t="str">
        <f>IF((COUNTBLANK(G2384)=0),Stats!$E$7,IF((COUNTBLANK(E2384)=0),IF((COUNTBLANK(F2384)=0),IF((COUNTBLANK(U2384)=0),Stats!$E$6,Stats!$E$5),Stats!$E$4),""))</f>
        <v/>
      </c>
      <c r="C2384" s="41"/>
      <c r="D2384" s="306" t="str">
        <f>IF(B2384=Stats!$E$6,Stats!$E$11,"")</f>
        <v/>
      </c>
    </row>
    <row r="2385" spans="2:4" hidden="1" x14ac:dyDescent="0.25">
      <c r="B2385" s="306" t="str">
        <f>IF((COUNTBLANK(G2385)=0),Stats!$E$7,IF((COUNTBLANK(E2385)=0),IF((COUNTBLANK(F2385)=0),IF((COUNTBLANK(U2385)=0),Stats!$E$6,Stats!$E$5),Stats!$E$4),""))</f>
        <v/>
      </c>
      <c r="C2385" s="41"/>
      <c r="D2385" s="306" t="str">
        <f>IF(B2385=Stats!$E$6,Stats!$E$11,"")</f>
        <v/>
      </c>
    </row>
    <row r="2386" spans="2:4" hidden="1" x14ac:dyDescent="0.25">
      <c r="B2386" s="306" t="str">
        <f>IF((COUNTBLANK(G2386)=0),Stats!$E$7,IF((COUNTBLANK(E2386)=0),IF((COUNTBLANK(F2386)=0),IF((COUNTBLANK(U2386)=0),Stats!$E$6,Stats!$E$5),Stats!$E$4),""))</f>
        <v/>
      </c>
      <c r="C2386" s="41"/>
      <c r="D2386" s="306" t="str">
        <f>IF(B2386=Stats!$E$6,Stats!$E$11,"")</f>
        <v/>
      </c>
    </row>
    <row r="2387" spans="2:4" hidden="1" x14ac:dyDescent="0.25">
      <c r="B2387" s="306" t="str">
        <f>IF((COUNTBLANK(G2387)=0),Stats!$E$7,IF((COUNTBLANK(E2387)=0),IF((COUNTBLANK(F2387)=0),IF((COUNTBLANK(U2387)=0),Stats!$E$6,Stats!$E$5),Stats!$E$4),""))</f>
        <v/>
      </c>
      <c r="C2387" s="41"/>
      <c r="D2387" s="306" t="str">
        <f>IF(B2387=Stats!$E$6,Stats!$E$11,"")</f>
        <v/>
      </c>
    </row>
    <row r="2388" spans="2:4" hidden="1" x14ac:dyDescent="0.25">
      <c r="B2388" s="306" t="str">
        <f>IF((COUNTBLANK(G2388)=0),Stats!$E$7,IF((COUNTBLANK(E2388)=0),IF((COUNTBLANK(F2388)=0),IF((COUNTBLANK(U2388)=0),Stats!$E$6,Stats!$E$5),Stats!$E$4),""))</f>
        <v/>
      </c>
      <c r="C2388" s="41"/>
      <c r="D2388" s="306" t="str">
        <f>IF(B2388=Stats!$E$6,Stats!$E$11,"")</f>
        <v/>
      </c>
    </row>
    <row r="2389" spans="2:4" hidden="1" x14ac:dyDescent="0.25">
      <c r="B2389" s="306" t="str">
        <f>IF((COUNTBLANK(G2389)=0),Stats!$E$7,IF((COUNTBLANK(E2389)=0),IF((COUNTBLANK(F2389)=0),IF((COUNTBLANK(U2389)=0),Stats!$E$6,Stats!$E$5),Stats!$E$4),""))</f>
        <v/>
      </c>
      <c r="C2389" s="41"/>
      <c r="D2389" s="306" t="str">
        <f>IF(B2389=Stats!$E$6,Stats!$E$11,"")</f>
        <v/>
      </c>
    </row>
    <row r="2390" spans="2:4" hidden="1" x14ac:dyDescent="0.25">
      <c r="B2390" s="306" t="str">
        <f>IF((COUNTBLANK(G2390)=0),Stats!$E$7,IF((COUNTBLANK(E2390)=0),IF((COUNTBLANK(F2390)=0),IF((COUNTBLANK(U2390)=0),Stats!$E$6,Stats!$E$5),Stats!$E$4),""))</f>
        <v/>
      </c>
      <c r="C2390" s="41"/>
      <c r="D2390" s="306" t="str">
        <f>IF(B2390=Stats!$E$6,Stats!$E$11,"")</f>
        <v/>
      </c>
    </row>
    <row r="2391" spans="2:4" hidden="1" x14ac:dyDescent="0.25">
      <c r="B2391" s="306" t="str">
        <f>IF((COUNTBLANK(G2391)=0),Stats!$E$7,IF((COUNTBLANK(E2391)=0),IF((COUNTBLANK(F2391)=0),IF((COUNTBLANK(U2391)=0),Stats!$E$6,Stats!$E$5),Stats!$E$4),""))</f>
        <v/>
      </c>
      <c r="C2391" s="41"/>
      <c r="D2391" s="306" t="str">
        <f>IF(B2391=Stats!$E$6,Stats!$E$11,"")</f>
        <v/>
      </c>
    </row>
    <row r="2392" spans="2:4" hidden="1" x14ac:dyDescent="0.25">
      <c r="B2392" s="306" t="str">
        <f>IF((COUNTBLANK(G2392)=0),Stats!$E$7,IF((COUNTBLANK(E2392)=0),IF((COUNTBLANK(F2392)=0),IF((COUNTBLANK(U2392)=0),Stats!$E$6,Stats!$E$5),Stats!$E$4),""))</f>
        <v/>
      </c>
      <c r="C2392" s="41"/>
      <c r="D2392" s="306" t="str">
        <f>IF(B2392=Stats!$E$6,Stats!$E$11,"")</f>
        <v/>
      </c>
    </row>
    <row r="2393" spans="2:4" hidden="1" x14ac:dyDescent="0.25">
      <c r="B2393" s="306" t="str">
        <f>IF((COUNTBLANK(G2393)=0),Stats!$E$7,IF((COUNTBLANK(E2393)=0),IF((COUNTBLANK(F2393)=0),IF((COUNTBLANK(U2393)=0),Stats!$E$6,Stats!$E$5),Stats!$E$4),""))</f>
        <v/>
      </c>
      <c r="C2393" s="41"/>
      <c r="D2393" s="306" t="str">
        <f>IF(B2393=Stats!$E$6,Stats!$E$11,"")</f>
        <v/>
      </c>
    </row>
    <row r="2394" spans="2:4" hidden="1" x14ac:dyDescent="0.25">
      <c r="B2394" s="306" t="str">
        <f>IF((COUNTBLANK(G2394)=0),Stats!$E$7,IF((COUNTBLANK(E2394)=0),IF((COUNTBLANK(F2394)=0),IF((COUNTBLANK(U2394)=0),Stats!$E$6,Stats!$E$5),Stats!$E$4),""))</f>
        <v/>
      </c>
      <c r="C2394" s="41"/>
      <c r="D2394" s="306" t="str">
        <f>IF(B2394=Stats!$E$6,Stats!$E$11,"")</f>
        <v/>
      </c>
    </row>
    <row r="2395" spans="2:4" hidden="1" x14ac:dyDescent="0.25">
      <c r="B2395" s="306" t="str">
        <f>IF((COUNTBLANK(G2395)=0),Stats!$E$7,IF((COUNTBLANK(E2395)=0),IF((COUNTBLANK(F2395)=0),IF((COUNTBLANK(U2395)=0),Stats!$E$6,Stats!$E$5),Stats!$E$4),""))</f>
        <v/>
      </c>
      <c r="C2395" s="41"/>
      <c r="D2395" s="306" t="str">
        <f>IF(B2395=Stats!$E$6,Stats!$E$11,"")</f>
        <v/>
      </c>
    </row>
    <row r="2396" spans="2:4" hidden="1" x14ac:dyDescent="0.25">
      <c r="B2396" s="306" t="str">
        <f>IF((COUNTBLANK(G2396)=0),Stats!$E$7,IF((COUNTBLANK(E2396)=0),IF((COUNTBLANK(F2396)=0),IF((COUNTBLANK(U2396)=0),Stats!$E$6,Stats!$E$5),Stats!$E$4),""))</f>
        <v/>
      </c>
      <c r="C2396" s="41"/>
      <c r="D2396" s="306" t="str">
        <f>IF(B2396=Stats!$E$6,Stats!$E$11,"")</f>
        <v/>
      </c>
    </row>
    <row r="2397" spans="2:4" hidden="1" x14ac:dyDescent="0.25">
      <c r="B2397" s="306" t="str">
        <f>IF((COUNTBLANK(G2397)=0),Stats!$E$7,IF((COUNTBLANK(E2397)=0),IF((COUNTBLANK(F2397)=0),IF((COUNTBLANK(U2397)=0),Stats!$E$6,Stats!$E$5),Stats!$E$4),""))</f>
        <v/>
      </c>
      <c r="C2397" s="41"/>
      <c r="D2397" s="306" t="str">
        <f>IF(B2397=Stats!$E$6,Stats!$E$11,"")</f>
        <v/>
      </c>
    </row>
    <row r="2398" spans="2:4" hidden="1" x14ac:dyDescent="0.25">
      <c r="B2398" s="306" t="str">
        <f>IF((COUNTBLANK(G2398)=0),Stats!$E$7,IF((COUNTBLANK(E2398)=0),IF((COUNTBLANK(F2398)=0),IF((COUNTBLANK(U2398)=0),Stats!$E$6,Stats!$E$5),Stats!$E$4),""))</f>
        <v/>
      </c>
      <c r="C2398" s="41"/>
      <c r="D2398" s="306" t="str">
        <f>IF(B2398=Stats!$E$6,Stats!$E$11,"")</f>
        <v/>
      </c>
    </row>
    <row r="2399" spans="2:4" hidden="1" x14ac:dyDescent="0.25">
      <c r="B2399" s="306" t="str">
        <f>IF((COUNTBLANK(G2399)=0),Stats!$E$7,IF((COUNTBLANK(E2399)=0),IF((COUNTBLANK(F2399)=0),IF((COUNTBLANK(U2399)=0),Stats!$E$6,Stats!$E$5),Stats!$E$4),""))</f>
        <v/>
      </c>
      <c r="C2399" s="41"/>
      <c r="D2399" s="306" t="str">
        <f>IF(B2399=Stats!$E$6,Stats!$E$11,"")</f>
        <v/>
      </c>
    </row>
    <row r="2400" spans="2:4" hidden="1" x14ac:dyDescent="0.25">
      <c r="B2400" s="306" t="str">
        <f>IF((COUNTBLANK(G2400)=0),Stats!$E$7,IF((COUNTBLANK(E2400)=0),IF((COUNTBLANK(F2400)=0),IF((COUNTBLANK(U2400)=0),Stats!$E$6,Stats!$E$5),Stats!$E$4),""))</f>
        <v/>
      </c>
      <c r="C2400" s="41"/>
      <c r="D2400" s="306" t="str">
        <f>IF(B2400=Stats!$E$6,Stats!$E$11,"")</f>
        <v/>
      </c>
    </row>
    <row r="2401" spans="2:4" hidden="1" x14ac:dyDescent="0.25">
      <c r="B2401" s="306" t="str">
        <f>IF((COUNTBLANK(G2401)=0),Stats!$E$7,IF((COUNTBLANK(E2401)=0),IF((COUNTBLANK(F2401)=0),IF((COUNTBLANK(U2401)=0),Stats!$E$6,Stats!$E$5),Stats!$E$4),""))</f>
        <v/>
      </c>
      <c r="C2401" s="41"/>
      <c r="D2401" s="306" t="str">
        <f>IF(B2401=Stats!$E$6,Stats!$E$11,"")</f>
        <v/>
      </c>
    </row>
    <row r="2402" spans="2:4" hidden="1" x14ac:dyDescent="0.25">
      <c r="B2402" s="306" t="str">
        <f>IF((COUNTBLANK(G2402)=0),Stats!$E$7,IF((COUNTBLANK(E2402)=0),IF((COUNTBLANK(F2402)=0),IF((COUNTBLANK(U2402)=0),Stats!$E$6,Stats!$E$5),Stats!$E$4),""))</f>
        <v/>
      </c>
      <c r="C2402" s="41"/>
      <c r="D2402" s="306" t="str">
        <f>IF(B2402=Stats!$E$6,Stats!$E$11,"")</f>
        <v/>
      </c>
    </row>
    <row r="2403" spans="2:4" hidden="1" x14ac:dyDescent="0.25">
      <c r="B2403" s="306" t="str">
        <f>IF((COUNTBLANK(G2403)=0),Stats!$E$7,IF((COUNTBLANK(E2403)=0),IF((COUNTBLANK(F2403)=0),IF((COUNTBLANK(U2403)=0),Stats!$E$6,Stats!$E$5),Stats!$E$4),""))</f>
        <v/>
      </c>
      <c r="C2403" s="41"/>
      <c r="D2403" s="306" t="str">
        <f>IF(B2403=Stats!$E$6,Stats!$E$11,"")</f>
        <v/>
      </c>
    </row>
    <row r="2404" spans="2:4" hidden="1" x14ac:dyDescent="0.25">
      <c r="B2404" s="306" t="str">
        <f>IF((COUNTBLANK(G2404)=0),Stats!$E$7,IF((COUNTBLANK(E2404)=0),IF((COUNTBLANK(F2404)=0),IF((COUNTBLANK(U2404)=0),Stats!$E$6,Stats!$E$5),Stats!$E$4),""))</f>
        <v/>
      </c>
      <c r="C2404" s="41"/>
      <c r="D2404" s="306" t="str">
        <f>IF(B2404=Stats!$E$6,Stats!$E$11,"")</f>
        <v/>
      </c>
    </row>
    <row r="2405" spans="2:4" hidden="1" x14ac:dyDescent="0.25">
      <c r="B2405" s="306" t="str">
        <f>IF((COUNTBLANK(G2405)=0),Stats!$E$7,IF((COUNTBLANK(E2405)=0),IF((COUNTBLANK(F2405)=0),IF((COUNTBLANK(U2405)=0),Stats!$E$6,Stats!$E$5),Stats!$E$4),""))</f>
        <v/>
      </c>
      <c r="C2405" s="41"/>
      <c r="D2405" s="306" t="str">
        <f>IF(B2405=Stats!$E$6,Stats!$E$11,"")</f>
        <v/>
      </c>
    </row>
    <row r="2406" spans="2:4" hidden="1" x14ac:dyDescent="0.25">
      <c r="B2406" s="306" t="str">
        <f>IF((COUNTBLANK(G2406)=0),Stats!$E$7,IF((COUNTBLANK(E2406)=0),IF((COUNTBLANK(F2406)=0),IF((COUNTBLANK(U2406)=0),Stats!$E$6,Stats!$E$5),Stats!$E$4),""))</f>
        <v/>
      </c>
      <c r="C2406" s="41"/>
      <c r="D2406" s="306" t="str">
        <f>IF(B2406=Stats!$E$6,Stats!$E$11,"")</f>
        <v/>
      </c>
    </row>
    <row r="2407" spans="2:4" hidden="1" x14ac:dyDescent="0.25">
      <c r="B2407" s="306" t="str">
        <f>IF((COUNTBLANK(G2407)=0),Stats!$E$7,IF((COUNTBLANK(E2407)=0),IF((COUNTBLANK(F2407)=0),IF((COUNTBLANK(U2407)=0),Stats!$E$6,Stats!$E$5),Stats!$E$4),""))</f>
        <v/>
      </c>
      <c r="C2407" s="41"/>
      <c r="D2407" s="306" t="str">
        <f>IF(B2407=Stats!$E$6,Stats!$E$11,"")</f>
        <v/>
      </c>
    </row>
    <row r="2408" spans="2:4" hidden="1" x14ac:dyDescent="0.25">
      <c r="B2408" s="306" t="str">
        <f>IF((COUNTBLANK(G2408)=0),Stats!$E$7,IF((COUNTBLANK(E2408)=0),IF((COUNTBLANK(F2408)=0),IF((COUNTBLANK(U2408)=0),Stats!$E$6,Stats!$E$5),Stats!$E$4),""))</f>
        <v/>
      </c>
      <c r="C2408" s="41"/>
      <c r="D2408" s="306" t="str">
        <f>IF(B2408=Stats!$E$6,Stats!$E$11,"")</f>
        <v/>
      </c>
    </row>
    <row r="2409" spans="2:4" hidden="1" x14ac:dyDescent="0.25">
      <c r="B2409" s="306" t="str">
        <f>IF((COUNTBLANK(G2409)=0),Stats!$E$7,IF((COUNTBLANK(E2409)=0),IF((COUNTBLANK(F2409)=0),IF((COUNTBLANK(U2409)=0),Stats!$E$6,Stats!$E$5),Stats!$E$4),""))</f>
        <v/>
      </c>
      <c r="C2409" s="41"/>
      <c r="D2409" s="306" t="str">
        <f>IF(B2409=Stats!$E$6,Stats!$E$11,"")</f>
        <v/>
      </c>
    </row>
    <row r="2410" spans="2:4" hidden="1" x14ac:dyDescent="0.25">
      <c r="B2410" s="306" t="str">
        <f>IF((COUNTBLANK(G2410)=0),Stats!$E$7,IF((COUNTBLANK(E2410)=0),IF((COUNTBLANK(F2410)=0),IF((COUNTBLANK(U2410)=0),Stats!$E$6,Stats!$E$5),Stats!$E$4),""))</f>
        <v/>
      </c>
      <c r="C2410" s="41"/>
      <c r="D2410" s="306" t="str">
        <f>IF(B2410=Stats!$E$6,Stats!$E$11,"")</f>
        <v/>
      </c>
    </row>
    <row r="2411" spans="2:4" hidden="1" x14ac:dyDescent="0.25">
      <c r="B2411" s="306" t="str">
        <f>IF((COUNTBLANK(G2411)=0),Stats!$E$7,IF((COUNTBLANK(E2411)=0),IF((COUNTBLANK(F2411)=0),IF((COUNTBLANK(U2411)=0),Stats!$E$6,Stats!$E$5),Stats!$E$4),""))</f>
        <v/>
      </c>
      <c r="C2411" s="41"/>
      <c r="D2411" s="306" t="str">
        <f>IF(B2411=Stats!$E$6,Stats!$E$11,"")</f>
        <v/>
      </c>
    </row>
    <row r="2412" spans="2:4" hidden="1" x14ac:dyDescent="0.25">
      <c r="B2412" s="306" t="str">
        <f>IF((COUNTBLANK(G2412)=0),Stats!$E$7,IF((COUNTBLANK(E2412)=0),IF((COUNTBLANK(F2412)=0),IF((COUNTBLANK(U2412)=0),Stats!$E$6,Stats!$E$5),Stats!$E$4),""))</f>
        <v/>
      </c>
      <c r="C2412" s="41"/>
      <c r="D2412" s="306" t="str">
        <f>IF(B2412=Stats!$E$6,Stats!$E$11,"")</f>
        <v/>
      </c>
    </row>
    <row r="2413" spans="2:4" hidden="1" x14ac:dyDescent="0.25">
      <c r="B2413" s="306" t="str">
        <f>IF((COUNTBLANK(G2413)=0),Stats!$E$7,IF((COUNTBLANK(E2413)=0),IF((COUNTBLANK(F2413)=0),IF((COUNTBLANK(U2413)=0),Stats!$E$6,Stats!$E$5),Stats!$E$4),""))</f>
        <v/>
      </c>
      <c r="C2413" s="41"/>
      <c r="D2413" s="306" t="str">
        <f>IF(B2413=Stats!$E$6,Stats!$E$11,"")</f>
        <v/>
      </c>
    </row>
    <row r="2414" spans="2:4" hidden="1" x14ac:dyDescent="0.25">
      <c r="B2414" s="306" t="str">
        <f>IF((COUNTBLANK(G2414)=0),Stats!$E$7,IF((COUNTBLANK(E2414)=0),IF((COUNTBLANK(F2414)=0),IF((COUNTBLANK(U2414)=0),Stats!$E$6,Stats!$E$5),Stats!$E$4),""))</f>
        <v/>
      </c>
      <c r="C2414" s="41"/>
      <c r="D2414" s="306" t="str">
        <f>IF(B2414=Stats!$E$6,Stats!$E$11,"")</f>
        <v/>
      </c>
    </row>
    <row r="2415" spans="2:4" hidden="1" x14ac:dyDescent="0.25">
      <c r="B2415" s="306" t="str">
        <f>IF((COUNTBLANK(G2415)=0),Stats!$E$7,IF((COUNTBLANK(E2415)=0),IF((COUNTBLANK(F2415)=0),IF((COUNTBLANK(U2415)=0),Stats!$E$6,Stats!$E$5),Stats!$E$4),""))</f>
        <v/>
      </c>
      <c r="C2415" s="41"/>
      <c r="D2415" s="306" t="str">
        <f>IF(B2415=Stats!$E$6,Stats!$E$11,"")</f>
        <v/>
      </c>
    </row>
    <row r="2416" spans="2:4" hidden="1" x14ac:dyDescent="0.25">
      <c r="B2416" s="306" t="str">
        <f>IF((COUNTBLANK(G2416)=0),Stats!$E$7,IF((COUNTBLANK(E2416)=0),IF((COUNTBLANK(F2416)=0),IF((COUNTBLANK(U2416)=0),Stats!$E$6,Stats!$E$5),Stats!$E$4),""))</f>
        <v/>
      </c>
      <c r="C2416" s="41"/>
      <c r="D2416" s="306" t="str">
        <f>IF(B2416=Stats!$E$6,Stats!$E$11,"")</f>
        <v/>
      </c>
    </row>
    <row r="2417" spans="2:4" hidden="1" x14ac:dyDescent="0.25">
      <c r="B2417" s="306" t="str">
        <f>IF((COUNTBLANK(G2417)=0),Stats!$E$7,IF((COUNTBLANK(E2417)=0),IF((COUNTBLANK(F2417)=0),IF((COUNTBLANK(U2417)=0),Stats!$E$6,Stats!$E$5),Stats!$E$4),""))</f>
        <v/>
      </c>
      <c r="C2417" s="41"/>
      <c r="D2417" s="306" t="str">
        <f>IF(B2417=Stats!$E$6,Stats!$E$11,"")</f>
        <v/>
      </c>
    </row>
    <row r="2418" spans="2:4" hidden="1" x14ac:dyDescent="0.25">
      <c r="B2418" s="306" t="str">
        <f>IF((COUNTBLANK(G2418)=0),Stats!$E$7,IF((COUNTBLANK(E2418)=0),IF((COUNTBLANK(F2418)=0),IF((COUNTBLANK(U2418)=0),Stats!$E$6,Stats!$E$5),Stats!$E$4),""))</f>
        <v/>
      </c>
      <c r="C2418" s="41"/>
      <c r="D2418" s="306" t="str">
        <f>IF(B2418=Stats!$E$6,Stats!$E$11,"")</f>
        <v/>
      </c>
    </row>
    <row r="2419" spans="2:4" hidden="1" x14ac:dyDescent="0.25">
      <c r="B2419" s="306" t="str">
        <f>IF((COUNTBLANK(G2419)=0),Stats!$E$7,IF((COUNTBLANK(E2419)=0),IF((COUNTBLANK(F2419)=0),IF((COUNTBLANK(U2419)=0),Stats!$E$6,Stats!$E$5),Stats!$E$4),""))</f>
        <v/>
      </c>
      <c r="C2419" s="41"/>
      <c r="D2419" s="306" t="str">
        <f>IF(B2419=Stats!$E$6,Stats!$E$11,"")</f>
        <v/>
      </c>
    </row>
    <row r="2420" spans="2:4" hidden="1" x14ac:dyDescent="0.25">
      <c r="B2420" s="306" t="str">
        <f>IF((COUNTBLANK(G2420)=0),Stats!$E$7,IF((COUNTBLANK(E2420)=0),IF((COUNTBLANK(F2420)=0),IF((COUNTBLANK(U2420)=0),Stats!$E$6,Stats!$E$5),Stats!$E$4),""))</f>
        <v/>
      </c>
      <c r="C2420" s="41"/>
      <c r="D2420" s="306" t="str">
        <f>IF(B2420=Stats!$E$6,Stats!$E$11,"")</f>
        <v/>
      </c>
    </row>
    <row r="2421" spans="2:4" hidden="1" x14ac:dyDescent="0.25">
      <c r="B2421" s="306" t="str">
        <f>IF((COUNTBLANK(G2421)=0),Stats!$E$7,IF((COUNTBLANK(E2421)=0),IF((COUNTBLANK(F2421)=0),IF((COUNTBLANK(U2421)=0),Stats!$E$6,Stats!$E$5),Stats!$E$4),""))</f>
        <v/>
      </c>
      <c r="C2421" s="41"/>
      <c r="D2421" s="306" t="str">
        <f>IF(B2421=Stats!$E$6,Stats!$E$11,"")</f>
        <v/>
      </c>
    </row>
    <row r="2422" spans="2:4" hidden="1" x14ac:dyDescent="0.25">
      <c r="B2422" s="306" t="str">
        <f>IF((COUNTBLANK(G2422)=0),Stats!$E$7,IF((COUNTBLANK(E2422)=0),IF((COUNTBLANK(F2422)=0),IF((COUNTBLANK(U2422)=0),Stats!$E$6,Stats!$E$5),Stats!$E$4),""))</f>
        <v/>
      </c>
      <c r="C2422" s="41"/>
      <c r="D2422" s="306" t="str">
        <f>IF(B2422=Stats!$E$6,Stats!$E$11,"")</f>
        <v/>
      </c>
    </row>
    <row r="2423" spans="2:4" hidden="1" x14ac:dyDescent="0.25">
      <c r="B2423" s="306" t="str">
        <f>IF((COUNTBLANK(G2423)=0),Stats!$E$7,IF((COUNTBLANK(E2423)=0),IF((COUNTBLANK(F2423)=0),IF((COUNTBLANK(U2423)=0),Stats!$E$6,Stats!$E$5),Stats!$E$4),""))</f>
        <v/>
      </c>
      <c r="C2423" s="41"/>
      <c r="D2423" s="306" t="str">
        <f>IF(B2423=Stats!$E$6,Stats!$E$11,"")</f>
        <v/>
      </c>
    </row>
    <row r="2424" spans="2:4" hidden="1" x14ac:dyDescent="0.25">
      <c r="B2424" s="306" t="str">
        <f>IF((COUNTBLANK(G2424)=0),Stats!$E$7,IF((COUNTBLANK(E2424)=0),IF((COUNTBLANK(F2424)=0),IF((COUNTBLANK(U2424)=0),Stats!$E$6,Stats!$E$5),Stats!$E$4),""))</f>
        <v/>
      </c>
      <c r="C2424" s="41"/>
      <c r="D2424" s="306" t="str">
        <f>IF(B2424=Stats!$E$6,Stats!$E$11,"")</f>
        <v/>
      </c>
    </row>
    <row r="2425" spans="2:4" hidden="1" x14ac:dyDescent="0.25">
      <c r="B2425" s="306" t="str">
        <f>IF((COUNTBLANK(G2425)=0),Stats!$E$7,IF((COUNTBLANK(E2425)=0),IF((COUNTBLANK(F2425)=0),IF((COUNTBLANK(U2425)=0),Stats!$E$6,Stats!$E$5),Stats!$E$4),""))</f>
        <v/>
      </c>
      <c r="C2425" s="41"/>
      <c r="D2425" s="306" t="str">
        <f>IF(B2425=Stats!$E$6,Stats!$E$11,"")</f>
        <v/>
      </c>
    </row>
    <row r="2426" spans="2:4" hidden="1" x14ac:dyDescent="0.25">
      <c r="B2426" s="306" t="str">
        <f>IF((COUNTBLANK(G2426)=0),Stats!$E$7,IF((COUNTBLANK(E2426)=0),IF((COUNTBLANK(F2426)=0),IF((COUNTBLANK(U2426)=0),Stats!$E$6,Stats!$E$5),Stats!$E$4),""))</f>
        <v/>
      </c>
      <c r="C2426" s="41"/>
      <c r="D2426" s="306" t="str">
        <f>IF(B2426=Stats!$E$6,Stats!$E$11,"")</f>
        <v/>
      </c>
    </row>
    <row r="2427" spans="2:4" hidden="1" x14ac:dyDescent="0.25">
      <c r="B2427" s="306" t="str">
        <f>IF((COUNTBLANK(G2427)=0),Stats!$E$7,IF((COUNTBLANK(E2427)=0),IF((COUNTBLANK(F2427)=0),IF((COUNTBLANK(U2427)=0),Stats!$E$6,Stats!$E$5),Stats!$E$4),""))</f>
        <v/>
      </c>
      <c r="C2427" s="41"/>
      <c r="D2427" s="306" t="str">
        <f>IF(B2427=Stats!$E$6,Stats!$E$11,"")</f>
        <v/>
      </c>
    </row>
    <row r="2428" spans="2:4" hidden="1" x14ac:dyDescent="0.25">
      <c r="B2428" s="306" t="str">
        <f>IF((COUNTBLANK(G2428)=0),Stats!$E$7,IF((COUNTBLANK(E2428)=0),IF((COUNTBLANK(F2428)=0),IF((COUNTBLANK(U2428)=0),Stats!$E$6,Stats!$E$5),Stats!$E$4),""))</f>
        <v/>
      </c>
      <c r="C2428" s="41"/>
      <c r="D2428" s="306" t="str">
        <f>IF(B2428=Stats!$E$6,Stats!$E$11,"")</f>
        <v/>
      </c>
    </row>
    <row r="2429" spans="2:4" hidden="1" x14ac:dyDescent="0.25">
      <c r="B2429" s="306" t="str">
        <f>IF((COUNTBLANK(G2429)=0),Stats!$E$7,IF((COUNTBLANK(E2429)=0),IF((COUNTBLANK(F2429)=0),IF((COUNTBLANK(U2429)=0),Stats!$E$6,Stats!$E$5),Stats!$E$4),""))</f>
        <v/>
      </c>
      <c r="C2429" s="41"/>
      <c r="D2429" s="306" t="str">
        <f>IF(B2429=Stats!$E$6,Stats!$E$11,"")</f>
        <v/>
      </c>
    </row>
    <row r="2430" spans="2:4" hidden="1" x14ac:dyDescent="0.25">
      <c r="B2430" s="306" t="str">
        <f>IF((COUNTBLANK(G2430)=0),Stats!$E$7,IF((COUNTBLANK(E2430)=0),IF((COUNTBLANK(F2430)=0),IF((COUNTBLANK(U2430)=0),Stats!$E$6,Stats!$E$5),Stats!$E$4),""))</f>
        <v/>
      </c>
      <c r="C2430" s="41"/>
      <c r="D2430" s="306" t="str">
        <f>IF(B2430=Stats!$E$6,Stats!$E$11,"")</f>
        <v/>
      </c>
    </row>
    <row r="2431" spans="2:4" hidden="1" x14ac:dyDescent="0.25">
      <c r="B2431" s="306" t="str">
        <f>IF((COUNTBLANK(G2431)=0),Stats!$E$7,IF((COUNTBLANK(E2431)=0),IF((COUNTBLANK(F2431)=0),IF((COUNTBLANK(U2431)=0),Stats!$E$6,Stats!$E$5),Stats!$E$4),""))</f>
        <v/>
      </c>
      <c r="C2431" s="41"/>
      <c r="D2431" s="306" t="str">
        <f>IF(B2431=Stats!$E$6,Stats!$E$11,"")</f>
        <v/>
      </c>
    </row>
    <row r="2432" spans="2:4" hidden="1" x14ac:dyDescent="0.25">
      <c r="B2432" s="306" t="str">
        <f>IF((COUNTBLANK(G2432)=0),Stats!$E$7,IF((COUNTBLANK(E2432)=0),IF((COUNTBLANK(F2432)=0),IF((COUNTBLANK(U2432)=0),Stats!$E$6,Stats!$E$5),Stats!$E$4),""))</f>
        <v/>
      </c>
      <c r="C2432" s="41"/>
      <c r="D2432" s="306" t="str">
        <f>IF(B2432=Stats!$E$6,Stats!$E$11,"")</f>
        <v/>
      </c>
    </row>
    <row r="2433" spans="2:4" hidden="1" x14ac:dyDescent="0.25">
      <c r="B2433" s="306" t="str">
        <f>IF((COUNTBLANK(G2433)=0),Stats!$E$7,IF((COUNTBLANK(E2433)=0),IF((COUNTBLANK(F2433)=0),IF((COUNTBLANK(U2433)=0),Stats!$E$6,Stats!$E$5),Stats!$E$4),""))</f>
        <v/>
      </c>
      <c r="C2433" s="41"/>
      <c r="D2433" s="306" t="str">
        <f>IF(B2433=Stats!$E$6,Stats!$E$11,"")</f>
        <v/>
      </c>
    </row>
    <row r="2434" spans="2:4" hidden="1" x14ac:dyDescent="0.25">
      <c r="B2434" s="306" t="str">
        <f>IF((COUNTBLANK(G2434)=0),Stats!$E$7,IF((COUNTBLANK(E2434)=0),IF((COUNTBLANK(F2434)=0),IF((COUNTBLANK(U2434)=0),Stats!$E$6,Stats!$E$5),Stats!$E$4),""))</f>
        <v/>
      </c>
      <c r="C2434" s="41"/>
      <c r="D2434" s="306" t="str">
        <f>IF(B2434=Stats!$E$6,Stats!$E$11,"")</f>
        <v/>
      </c>
    </row>
    <row r="2435" spans="2:4" hidden="1" x14ac:dyDescent="0.25">
      <c r="B2435" s="306" t="str">
        <f>IF((COUNTBLANK(G2435)=0),Stats!$E$7,IF((COUNTBLANK(E2435)=0),IF((COUNTBLANK(F2435)=0),IF((COUNTBLANK(U2435)=0),Stats!$E$6,Stats!$E$5),Stats!$E$4),""))</f>
        <v/>
      </c>
      <c r="C2435" s="41"/>
      <c r="D2435" s="306" t="str">
        <f>IF(B2435=Stats!$E$6,Stats!$E$11,"")</f>
        <v/>
      </c>
    </row>
    <row r="2436" spans="2:4" hidden="1" x14ac:dyDescent="0.25">
      <c r="B2436" s="306" t="str">
        <f>IF((COUNTBLANK(G2436)=0),Stats!$E$7,IF((COUNTBLANK(E2436)=0),IF((COUNTBLANK(F2436)=0),IF((COUNTBLANK(U2436)=0),Stats!$E$6,Stats!$E$5),Stats!$E$4),""))</f>
        <v/>
      </c>
      <c r="C2436" s="41"/>
      <c r="D2436" s="306" t="str">
        <f>IF(B2436=Stats!$E$6,Stats!$E$11,"")</f>
        <v/>
      </c>
    </row>
    <row r="2437" spans="2:4" hidden="1" x14ac:dyDescent="0.25">
      <c r="B2437" s="306" t="str">
        <f>IF((COUNTBLANK(G2437)=0),Stats!$E$7,IF((COUNTBLANK(E2437)=0),IF((COUNTBLANK(F2437)=0),IF((COUNTBLANK(U2437)=0),Stats!$E$6,Stats!$E$5),Stats!$E$4),""))</f>
        <v/>
      </c>
      <c r="C2437" s="41"/>
      <c r="D2437" s="306" t="str">
        <f>IF(B2437=Stats!$E$6,Stats!$E$11,"")</f>
        <v/>
      </c>
    </row>
    <row r="2438" spans="2:4" hidden="1" x14ac:dyDescent="0.25">
      <c r="B2438" s="306" t="str">
        <f>IF((COUNTBLANK(G2438)=0),Stats!$E$7,IF((COUNTBLANK(E2438)=0),IF((COUNTBLANK(F2438)=0),IF((COUNTBLANK(U2438)=0),Stats!$E$6,Stats!$E$5),Stats!$E$4),""))</f>
        <v/>
      </c>
      <c r="C2438" s="41"/>
      <c r="D2438" s="306" t="str">
        <f>IF(B2438=Stats!$E$6,Stats!$E$11,"")</f>
        <v/>
      </c>
    </row>
    <row r="2439" spans="2:4" hidden="1" x14ac:dyDescent="0.25">
      <c r="B2439" s="306" t="str">
        <f>IF((COUNTBLANK(G2439)=0),Stats!$E$7,IF((COUNTBLANK(E2439)=0),IF((COUNTBLANK(F2439)=0),IF((COUNTBLANK(U2439)=0),Stats!$E$6,Stats!$E$5),Stats!$E$4),""))</f>
        <v/>
      </c>
      <c r="C2439" s="41"/>
      <c r="D2439" s="306" t="str">
        <f>IF(B2439=Stats!$E$6,Stats!$E$11,"")</f>
        <v/>
      </c>
    </row>
    <row r="2440" spans="2:4" hidden="1" x14ac:dyDescent="0.25">
      <c r="B2440" s="306" t="str">
        <f>IF((COUNTBLANK(G2440)=0),Stats!$E$7,IF((COUNTBLANK(E2440)=0),IF((COUNTBLANK(F2440)=0),IF((COUNTBLANK(U2440)=0),Stats!$E$6,Stats!$E$5),Stats!$E$4),""))</f>
        <v/>
      </c>
      <c r="C2440" s="41"/>
      <c r="D2440" s="306" t="str">
        <f>IF(B2440=Stats!$E$6,Stats!$E$11,"")</f>
        <v/>
      </c>
    </row>
    <row r="2441" spans="2:4" hidden="1" x14ac:dyDescent="0.25">
      <c r="B2441" s="306" t="str">
        <f>IF((COUNTBLANK(G2441)=0),Stats!$E$7,IF((COUNTBLANK(E2441)=0),IF((COUNTBLANK(F2441)=0),IF((COUNTBLANK(U2441)=0),Stats!$E$6,Stats!$E$5),Stats!$E$4),""))</f>
        <v/>
      </c>
      <c r="C2441" s="41"/>
      <c r="D2441" s="306" t="str">
        <f>IF(B2441=Stats!$E$6,Stats!$E$11,"")</f>
        <v/>
      </c>
    </row>
    <row r="2442" spans="2:4" hidden="1" x14ac:dyDescent="0.25">
      <c r="B2442" s="306" t="str">
        <f>IF((COUNTBLANK(G2442)=0),Stats!$E$7,IF((COUNTBLANK(E2442)=0),IF((COUNTBLANK(F2442)=0),IF((COUNTBLANK(U2442)=0),Stats!$E$6,Stats!$E$5),Stats!$E$4),""))</f>
        <v/>
      </c>
      <c r="C2442" s="41"/>
      <c r="D2442" s="306" t="str">
        <f>IF(B2442=Stats!$E$6,Stats!$E$11,"")</f>
        <v/>
      </c>
    </row>
    <row r="2443" spans="2:4" hidden="1" x14ac:dyDescent="0.25">
      <c r="B2443" s="306" t="str">
        <f>IF((COUNTBLANK(G2443)=0),Stats!$E$7,IF((COUNTBLANK(E2443)=0),IF((COUNTBLANK(F2443)=0),IF((COUNTBLANK(U2443)=0),Stats!$E$6,Stats!$E$5),Stats!$E$4),""))</f>
        <v/>
      </c>
      <c r="C2443" s="41"/>
      <c r="D2443" s="306" t="str">
        <f>IF(B2443=Stats!$E$6,Stats!$E$11,"")</f>
        <v/>
      </c>
    </row>
    <row r="2444" spans="2:4" hidden="1" x14ac:dyDescent="0.25">
      <c r="B2444" s="306" t="str">
        <f>IF((COUNTBLANK(G2444)=0),Stats!$E$7,IF((COUNTBLANK(E2444)=0),IF((COUNTBLANK(F2444)=0),IF((COUNTBLANK(U2444)=0),Stats!$E$6,Stats!$E$5),Stats!$E$4),""))</f>
        <v/>
      </c>
      <c r="C2444" s="41"/>
      <c r="D2444" s="306" t="str">
        <f>IF(B2444=Stats!$E$6,Stats!$E$11,"")</f>
        <v/>
      </c>
    </row>
    <row r="2445" spans="2:4" hidden="1" x14ac:dyDescent="0.25">
      <c r="B2445" s="306" t="str">
        <f>IF((COUNTBLANK(G2445)=0),Stats!$E$7,IF((COUNTBLANK(E2445)=0),IF((COUNTBLANK(F2445)=0),IF((COUNTBLANK(U2445)=0),Stats!$E$6,Stats!$E$5),Stats!$E$4),""))</f>
        <v/>
      </c>
      <c r="C2445" s="41"/>
      <c r="D2445" s="306" t="str">
        <f>IF(B2445=Stats!$E$6,Stats!$E$11,"")</f>
        <v/>
      </c>
    </row>
    <row r="2446" spans="2:4" hidden="1" x14ac:dyDescent="0.25">
      <c r="B2446" s="306" t="str">
        <f>IF((COUNTBLANK(G2446)=0),Stats!$E$7,IF((COUNTBLANK(E2446)=0),IF((COUNTBLANK(F2446)=0),IF((COUNTBLANK(U2446)=0),Stats!$E$6,Stats!$E$5),Stats!$E$4),""))</f>
        <v/>
      </c>
      <c r="C2446" s="41"/>
      <c r="D2446" s="306" t="str">
        <f>IF(B2446=Stats!$E$6,Stats!$E$11,"")</f>
        <v/>
      </c>
    </row>
    <row r="2447" spans="2:4" hidden="1" x14ac:dyDescent="0.25">
      <c r="B2447" s="306" t="str">
        <f>IF((COUNTBLANK(G2447)=0),Stats!$E$7,IF((COUNTBLANK(E2447)=0),IF((COUNTBLANK(F2447)=0),IF((COUNTBLANK(U2447)=0),Stats!$E$6,Stats!$E$5),Stats!$E$4),""))</f>
        <v/>
      </c>
      <c r="C2447" s="41"/>
      <c r="D2447" s="306" t="str">
        <f>IF(B2447=Stats!$E$6,Stats!$E$11,"")</f>
        <v/>
      </c>
    </row>
    <row r="2448" spans="2:4" hidden="1" x14ac:dyDescent="0.25">
      <c r="B2448" s="306" t="str">
        <f>IF((COUNTBLANK(G2448)=0),Stats!$E$7,IF((COUNTBLANK(E2448)=0),IF((COUNTBLANK(F2448)=0),IF((COUNTBLANK(U2448)=0),Stats!$E$6,Stats!$E$5),Stats!$E$4),""))</f>
        <v/>
      </c>
      <c r="C2448" s="41"/>
      <c r="D2448" s="306" t="str">
        <f>IF(B2448=Stats!$E$6,Stats!$E$11,"")</f>
        <v/>
      </c>
    </row>
    <row r="2449" spans="2:4" hidden="1" x14ac:dyDescent="0.25">
      <c r="B2449" s="306" t="str">
        <f>IF((COUNTBLANK(G2449)=0),Stats!$E$7,IF((COUNTBLANK(E2449)=0),IF((COUNTBLANK(F2449)=0),IF((COUNTBLANK(U2449)=0),Stats!$E$6,Stats!$E$5),Stats!$E$4),""))</f>
        <v/>
      </c>
      <c r="C2449" s="41"/>
      <c r="D2449" s="306" t="str">
        <f>IF(B2449=Stats!$E$6,Stats!$E$11,"")</f>
        <v/>
      </c>
    </row>
    <row r="2450" spans="2:4" hidden="1" x14ac:dyDescent="0.25">
      <c r="B2450" s="306" t="str">
        <f>IF((COUNTBLANK(G2450)=0),Stats!$E$7,IF((COUNTBLANK(E2450)=0),IF((COUNTBLANK(F2450)=0),IF((COUNTBLANK(U2450)=0),Stats!$E$6,Stats!$E$5),Stats!$E$4),""))</f>
        <v/>
      </c>
      <c r="C2450" s="41"/>
      <c r="D2450" s="306" t="str">
        <f>IF(B2450=Stats!$E$6,Stats!$E$11,"")</f>
        <v/>
      </c>
    </row>
    <row r="2451" spans="2:4" hidden="1" x14ac:dyDescent="0.25">
      <c r="B2451" s="306" t="str">
        <f>IF((COUNTBLANK(G2451)=0),Stats!$E$7,IF((COUNTBLANK(E2451)=0),IF((COUNTBLANK(F2451)=0),IF((COUNTBLANK(U2451)=0),Stats!$E$6,Stats!$E$5),Stats!$E$4),""))</f>
        <v/>
      </c>
      <c r="C2451" s="41"/>
      <c r="D2451" s="306" t="str">
        <f>IF(B2451=Stats!$E$6,Stats!$E$11,"")</f>
        <v/>
      </c>
    </row>
    <row r="2452" spans="2:4" hidden="1" x14ac:dyDescent="0.25">
      <c r="B2452" s="306" t="str">
        <f>IF((COUNTBLANK(G2452)=0),Stats!$E$7,IF((COUNTBLANK(E2452)=0),IF((COUNTBLANK(F2452)=0),IF((COUNTBLANK(U2452)=0),Stats!$E$6,Stats!$E$5),Stats!$E$4),""))</f>
        <v/>
      </c>
      <c r="C2452" s="41"/>
      <c r="D2452" s="306" t="str">
        <f>IF(B2452=Stats!$E$6,Stats!$E$11,"")</f>
        <v/>
      </c>
    </row>
    <row r="2453" spans="2:4" hidden="1" x14ac:dyDescent="0.25">
      <c r="B2453" s="306" t="str">
        <f>IF((COUNTBLANK(G2453)=0),Stats!$E$7,IF((COUNTBLANK(E2453)=0),IF((COUNTBLANK(F2453)=0),IF((COUNTBLANK(U2453)=0),Stats!$E$6,Stats!$E$5),Stats!$E$4),""))</f>
        <v/>
      </c>
      <c r="C2453" s="41"/>
      <c r="D2453" s="306" t="str">
        <f>IF(B2453=Stats!$E$6,Stats!$E$11,"")</f>
        <v/>
      </c>
    </row>
    <row r="2454" spans="2:4" hidden="1" x14ac:dyDescent="0.25">
      <c r="B2454" s="306" t="str">
        <f>IF((COUNTBLANK(G2454)=0),Stats!$E$7,IF((COUNTBLANK(E2454)=0),IF((COUNTBLANK(F2454)=0),IF((COUNTBLANK(U2454)=0),Stats!$E$6,Stats!$E$5),Stats!$E$4),""))</f>
        <v/>
      </c>
      <c r="C2454" s="41"/>
      <c r="D2454" s="306" t="str">
        <f>IF(B2454=Stats!$E$6,Stats!$E$11,"")</f>
        <v/>
      </c>
    </row>
    <row r="2455" spans="2:4" hidden="1" x14ac:dyDescent="0.25">
      <c r="B2455" s="306" t="str">
        <f>IF((COUNTBLANK(G2455)=0),Stats!$E$7,IF((COUNTBLANK(E2455)=0),IF((COUNTBLANK(F2455)=0),IF((COUNTBLANK(U2455)=0),Stats!$E$6,Stats!$E$5),Stats!$E$4),""))</f>
        <v/>
      </c>
      <c r="C2455" s="41"/>
      <c r="D2455" s="306" t="str">
        <f>IF(B2455=Stats!$E$6,Stats!$E$11,"")</f>
        <v/>
      </c>
    </row>
    <row r="2456" spans="2:4" hidden="1" x14ac:dyDescent="0.25">
      <c r="B2456" s="306" t="str">
        <f>IF((COUNTBLANK(G2456)=0),Stats!$E$7,IF((COUNTBLANK(E2456)=0),IF((COUNTBLANK(F2456)=0),IF((COUNTBLANK(U2456)=0),Stats!$E$6,Stats!$E$5),Stats!$E$4),""))</f>
        <v/>
      </c>
      <c r="C2456" s="41"/>
      <c r="D2456" s="306" t="str">
        <f>IF(B2456=Stats!$E$6,Stats!$E$11,"")</f>
        <v/>
      </c>
    </row>
    <row r="2457" spans="2:4" hidden="1" x14ac:dyDescent="0.25">
      <c r="B2457" s="306" t="str">
        <f>IF((COUNTBLANK(G2457)=0),Stats!$E$7,IF((COUNTBLANK(E2457)=0),IF((COUNTBLANK(F2457)=0),IF((COUNTBLANK(U2457)=0),Stats!$E$6,Stats!$E$5),Stats!$E$4),""))</f>
        <v/>
      </c>
      <c r="C2457" s="41"/>
      <c r="D2457" s="306" t="str">
        <f>IF(B2457=Stats!$E$6,Stats!$E$11,"")</f>
        <v/>
      </c>
    </row>
    <row r="2458" spans="2:4" hidden="1" x14ac:dyDescent="0.25">
      <c r="B2458" s="306" t="str">
        <f>IF((COUNTBLANK(G2458)=0),Stats!$E$7,IF((COUNTBLANK(E2458)=0),IF((COUNTBLANK(F2458)=0),IF((COUNTBLANK(U2458)=0),Stats!$E$6,Stats!$E$5),Stats!$E$4),""))</f>
        <v/>
      </c>
      <c r="C2458" s="41"/>
      <c r="D2458" s="306" t="str">
        <f>IF(B2458=Stats!$E$6,Stats!$E$11,"")</f>
        <v/>
      </c>
    </row>
    <row r="2459" spans="2:4" hidden="1" x14ac:dyDescent="0.25">
      <c r="B2459" s="306" t="str">
        <f>IF((COUNTBLANK(G2459)=0),Stats!$E$7,IF((COUNTBLANK(E2459)=0),IF((COUNTBLANK(F2459)=0),IF((COUNTBLANK(U2459)=0),Stats!$E$6,Stats!$E$5),Stats!$E$4),""))</f>
        <v/>
      </c>
      <c r="C2459" s="41"/>
      <c r="D2459" s="306" t="str">
        <f>IF(B2459=Stats!$E$6,Stats!$E$11,"")</f>
        <v/>
      </c>
    </row>
    <row r="2460" spans="2:4" hidden="1" x14ac:dyDescent="0.25">
      <c r="B2460" s="306" t="str">
        <f>IF((COUNTBLANK(G2460)=0),Stats!$E$7,IF((COUNTBLANK(E2460)=0),IF((COUNTBLANK(F2460)=0),IF((COUNTBLANK(U2460)=0),Stats!$E$6,Stats!$E$5),Stats!$E$4),""))</f>
        <v/>
      </c>
      <c r="C2460" s="41"/>
      <c r="D2460" s="306" t="str">
        <f>IF(B2460=Stats!$E$6,Stats!$E$11,"")</f>
        <v/>
      </c>
    </row>
    <row r="2461" spans="2:4" hidden="1" x14ac:dyDescent="0.25">
      <c r="B2461" s="306" t="str">
        <f>IF((COUNTBLANK(G2461)=0),Stats!$E$7,IF((COUNTBLANK(E2461)=0),IF((COUNTBLANK(F2461)=0),IF((COUNTBLANK(U2461)=0),Stats!$E$6,Stats!$E$5),Stats!$E$4),""))</f>
        <v/>
      </c>
      <c r="C2461" s="41"/>
      <c r="D2461" s="306" t="str">
        <f>IF(B2461=Stats!$E$6,Stats!$E$11,"")</f>
        <v/>
      </c>
    </row>
    <row r="2462" spans="2:4" hidden="1" x14ac:dyDescent="0.25">
      <c r="B2462" s="306" t="str">
        <f>IF((COUNTBLANK(G2462)=0),Stats!$E$7,IF((COUNTBLANK(E2462)=0),IF((COUNTBLANK(F2462)=0),IF((COUNTBLANK(U2462)=0),Stats!$E$6,Stats!$E$5),Stats!$E$4),""))</f>
        <v/>
      </c>
      <c r="C2462" s="41"/>
      <c r="D2462" s="306" t="str">
        <f>IF(B2462=Stats!$E$6,Stats!$E$11,"")</f>
        <v/>
      </c>
    </row>
    <row r="2463" spans="2:4" hidden="1" x14ac:dyDescent="0.25">
      <c r="B2463" s="306" t="str">
        <f>IF((COUNTBLANK(G2463)=0),Stats!$E$7,IF((COUNTBLANK(E2463)=0),IF((COUNTBLANK(F2463)=0),IF((COUNTBLANK(U2463)=0),Stats!$E$6,Stats!$E$5),Stats!$E$4),""))</f>
        <v/>
      </c>
      <c r="C2463" s="41"/>
      <c r="D2463" s="306" t="str">
        <f>IF(B2463=Stats!$E$6,Stats!$E$11,"")</f>
        <v/>
      </c>
    </row>
    <row r="2464" spans="2:4" hidden="1" x14ac:dyDescent="0.25">
      <c r="B2464" s="306" t="str">
        <f>IF((COUNTBLANK(G2464)=0),Stats!$E$7,IF((COUNTBLANK(E2464)=0),IF((COUNTBLANK(F2464)=0),IF((COUNTBLANK(U2464)=0),Stats!$E$6,Stats!$E$5),Stats!$E$4),""))</f>
        <v/>
      </c>
      <c r="C2464" s="41"/>
      <c r="D2464" s="306" t="str">
        <f>IF(B2464=Stats!$E$6,Stats!$E$11,"")</f>
        <v/>
      </c>
    </row>
    <row r="2465" spans="2:4" hidden="1" x14ac:dyDescent="0.25">
      <c r="B2465" s="306" t="str">
        <f>IF((COUNTBLANK(G2465)=0),Stats!$E$7,IF((COUNTBLANK(E2465)=0),IF((COUNTBLANK(F2465)=0),IF((COUNTBLANK(U2465)=0),Stats!$E$6,Stats!$E$5),Stats!$E$4),""))</f>
        <v/>
      </c>
      <c r="C2465" s="41"/>
      <c r="D2465" s="306" t="str">
        <f>IF(B2465=Stats!$E$6,Stats!$E$11,"")</f>
        <v/>
      </c>
    </row>
    <row r="2466" spans="2:4" hidden="1" x14ac:dyDescent="0.25">
      <c r="B2466" s="306" t="str">
        <f>IF((COUNTBLANK(G2466)=0),Stats!$E$7,IF((COUNTBLANK(E2466)=0),IF((COUNTBLANK(F2466)=0),IF((COUNTBLANK(U2466)=0),Stats!$E$6,Stats!$E$5),Stats!$E$4),""))</f>
        <v/>
      </c>
      <c r="C2466" s="41"/>
      <c r="D2466" s="306" t="str">
        <f>IF(B2466=Stats!$E$6,Stats!$E$11,"")</f>
        <v/>
      </c>
    </row>
    <row r="2467" spans="2:4" hidden="1" x14ac:dyDescent="0.25">
      <c r="B2467" s="306" t="str">
        <f>IF((COUNTBLANK(G2467)=0),Stats!$E$7,IF((COUNTBLANK(E2467)=0),IF((COUNTBLANK(F2467)=0),IF((COUNTBLANK(U2467)=0),Stats!$E$6,Stats!$E$5),Stats!$E$4),""))</f>
        <v/>
      </c>
      <c r="C2467" s="41"/>
      <c r="D2467" s="306" t="str">
        <f>IF(B2467=Stats!$E$6,Stats!$E$11,"")</f>
        <v/>
      </c>
    </row>
    <row r="2468" spans="2:4" hidden="1" x14ac:dyDescent="0.25">
      <c r="B2468" s="306" t="str">
        <f>IF((COUNTBLANK(G2468)=0),Stats!$E$7,IF((COUNTBLANK(E2468)=0),IF((COUNTBLANK(F2468)=0),IF((COUNTBLANK(U2468)=0),Stats!$E$6,Stats!$E$5),Stats!$E$4),""))</f>
        <v/>
      </c>
      <c r="C2468" s="41"/>
      <c r="D2468" s="306" t="str">
        <f>IF(B2468=Stats!$E$6,Stats!$E$11,"")</f>
        <v/>
      </c>
    </row>
    <row r="2469" spans="2:4" hidden="1" x14ac:dyDescent="0.25">
      <c r="B2469" s="306" t="str">
        <f>IF((COUNTBLANK(G2469)=0),Stats!$E$7,IF((COUNTBLANK(E2469)=0),IF((COUNTBLANK(F2469)=0),IF((COUNTBLANK(U2469)=0),Stats!$E$6,Stats!$E$5),Stats!$E$4),""))</f>
        <v/>
      </c>
      <c r="C2469" s="41"/>
      <c r="D2469" s="306" t="str">
        <f>IF(B2469=Stats!$E$6,Stats!$E$11,"")</f>
        <v/>
      </c>
    </row>
    <row r="2470" spans="2:4" hidden="1" x14ac:dyDescent="0.25">
      <c r="B2470" s="306" t="str">
        <f>IF((COUNTBLANK(G2470)=0),Stats!$E$7,IF((COUNTBLANK(E2470)=0),IF((COUNTBLANK(F2470)=0),IF((COUNTBLANK(U2470)=0),Stats!$E$6,Stats!$E$5),Stats!$E$4),""))</f>
        <v/>
      </c>
      <c r="C2470" s="41"/>
      <c r="D2470" s="306" t="str">
        <f>IF(B2470=Stats!$E$6,Stats!$E$11,"")</f>
        <v/>
      </c>
    </row>
    <row r="2471" spans="2:4" hidden="1" x14ac:dyDescent="0.25">
      <c r="B2471" s="306" t="str">
        <f>IF((COUNTBLANK(G2471)=0),Stats!$E$7,IF((COUNTBLANK(E2471)=0),IF((COUNTBLANK(F2471)=0),IF((COUNTBLANK(U2471)=0),Stats!$E$6,Stats!$E$5),Stats!$E$4),""))</f>
        <v/>
      </c>
      <c r="C2471" s="41"/>
      <c r="D2471" s="306" t="str">
        <f>IF(B2471=Stats!$E$6,Stats!$E$11,"")</f>
        <v/>
      </c>
    </row>
    <row r="2472" spans="2:4" hidden="1" x14ac:dyDescent="0.25">
      <c r="B2472" s="306" t="str">
        <f>IF((COUNTBLANK(G2472)=0),Stats!$E$7,IF((COUNTBLANK(E2472)=0),IF((COUNTBLANK(F2472)=0),IF((COUNTBLANK(U2472)=0),Stats!$E$6,Stats!$E$5),Stats!$E$4),""))</f>
        <v/>
      </c>
      <c r="C2472" s="41"/>
      <c r="D2472" s="306" t="str">
        <f>IF(B2472=Stats!$E$6,Stats!$E$11,"")</f>
        <v/>
      </c>
    </row>
    <row r="2473" spans="2:4" hidden="1" x14ac:dyDescent="0.25">
      <c r="B2473" s="306" t="str">
        <f>IF((COUNTBLANK(G2473)=0),Stats!$E$7,IF((COUNTBLANK(E2473)=0),IF((COUNTBLANK(F2473)=0),IF((COUNTBLANK(U2473)=0),Stats!$E$6,Stats!$E$5),Stats!$E$4),""))</f>
        <v/>
      </c>
      <c r="C2473" s="41"/>
      <c r="D2473" s="306" t="str">
        <f>IF(B2473=Stats!$E$6,Stats!$E$11,"")</f>
        <v/>
      </c>
    </row>
    <row r="2474" spans="2:4" hidden="1" x14ac:dyDescent="0.25">
      <c r="B2474" s="306" t="str">
        <f>IF((COUNTBLANK(G2474)=0),Stats!$E$7,IF((COUNTBLANK(E2474)=0),IF((COUNTBLANK(F2474)=0),IF((COUNTBLANK(U2474)=0),Stats!$E$6,Stats!$E$5),Stats!$E$4),""))</f>
        <v/>
      </c>
      <c r="C2474" s="41"/>
      <c r="D2474" s="306" t="str">
        <f>IF(B2474=Stats!$E$6,Stats!$E$11,"")</f>
        <v/>
      </c>
    </row>
    <row r="2475" spans="2:4" hidden="1" x14ac:dyDescent="0.25">
      <c r="B2475" s="306" t="str">
        <f>IF((COUNTBLANK(G2475)=0),Stats!$E$7,IF((COUNTBLANK(E2475)=0),IF((COUNTBLANK(F2475)=0),IF((COUNTBLANK(U2475)=0),Stats!$E$6,Stats!$E$5),Stats!$E$4),""))</f>
        <v/>
      </c>
      <c r="C2475" s="41"/>
      <c r="D2475" s="306" t="str">
        <f>IF(B2475=Stats!$E$6,Stats!$E$11,"")</f>
        <v/>
      </c>
    </row>
    <row r="2476" spans="2:4" hidden="1" x14ac:dyDescent="0.25">
      <c r="B2476" s="306" t="str">
        <f>IF((COUNTBLANK(G2476)=0),Stats!$E$7,IF((COUNTBLANK(E2476)=0),IF((COUNTBLANK(F2476)=0),IF((COUNTBLANK(U2476)=0),Stats!$E$6,Stats!$E$5),Stats!$E$4),""))</f>
        <v/>
      </c>
      <c r="C2476" s="41"/>
      <c r="D2476" s="306" t="str">
        <f>IF(B2476=Stats!$E$6,Stats!$E$11,"")</f>
        <v/>
      </c>
    </row>
    <row r="2477" spans="2:4" hidden="1" x14ac:dyDescent="0.25">
      <c r="B2477" s="306" t="str">
        <f>IF((COUNTBLANK(G2477)=0),Stats!$E$7,IF((COUNTBLANK(E2477)=0),IF((COUNTBLANK(F2477)=0),IF((COUNTBLANK(U2477)=0),Stats!$E$6,Stats!$E$5),Stats!$E$4),""))</f>
        <v/>
      </c>
      <c r="C2477" s="41"/>
      <c r="D2477" s="306" t="str">
        <f>IF(B2477=Stats!$E$6,Stats!$E$11,"")</f>
        <v/>
      </c>
    </row>
    <row r="2478" spans="2:4" hidden="1" x14ac:dyDescent="0.25">
      <c r="B2478" s="306" t="str">
        <f>IF((COUNTBLANK(G2478)=0),Stats!$E$7,IF((COUNTBLANK(E2478)=0),IF((COUNTBLANK(F2478)=0),IF((COUNTBLANK(U2478)=0),Stats!$E$6,Stats!$E$5),Stats!$E$4),""))</f>
        <v/>
      </c>
      <c r="C2478" s="41"/>
      <c r="D2478" s="306" t="str">
        <f>IF(B2478=Stats!$E$6,Stats!$E$11,"")</f>
        <v/>
      </c>
    </row>
    <row r="2479" spans="2:4" hidden="1" x14ac:dyDescent="0.25">
      <c r="B2479" s="306" t="str">
        <f>IF((COUNTBLANK(G2479)=0),Stats!$E$7,IF((COUNTBLANK(E2479)=0),IF((COUNTBLANK(F2479)=0),IF((COUNTBLANK(U2479)=0),Stats!$E$6,Stats!$E$5),Stats!$E$4),""))</f>
        <v/>
      </c>
      <c r="C2479" s="41"/>
      <c r="D2479" s="306" t="str">
        <f>IF(B2479=Stats!$E$6,Stats!$E$11,"")</f>
        <v/>
      </c>
    </row>
    <row r="2480" spans="2:4" hidden="1" x14ac:dyDescent="0.25">
      <c r="B2480" s="306" t="str">
        <f>IF((COUNTBLANK(G2480)=0),Stats!$E$7,IF((COUNTBLANK(E2480)=0),IF((COUNTBLANK(F2480)=0),IF((COUNTBLANK(U2480)=0),Stats!$E$6,Stats!$E$5),Stats!$E$4),""))</f>
        <v/>
      </c>
      <c r="C2480" s="41"/>
      <c r="D2480" s="306" t="str">
        <f>IF(B2480=Stats!$E$6,Stats!$E$11,"")</f>
        <v/>
      </c>
    </row>
    <row r="2481" spans="2:4" hidden="1" x14ac:dyDescent="0.25">
      <c r="B2481" s="306" t="str">
        <f>IF((COUNTBLANK(G2481)=0),Stats!$E$7,IF((COUNTBLANK(E2481)=0),IF((COUNTBLANK(F2481)=0),IF((COUNTBLANK(U2481)=0),Stats!$E$6,Stats!$E$5),Stats!$E$4),""))</f>
        <v/>
      </c>
      <c r="C2481" s="41"/>
      <c r="D2481" s="306" t="str">
        <f>IF(B2481=Stats!$E$6,Stats!$E$11,"")</f>
        <v/>
      </c>
    </row>
    <row r="2482" spans="2:4" hidden="1" x14ac:dyDescent="0.25">
      <c r="B2482" s="306" t="str">
        <f>IF((COUNTBLANK(G2482)=0),Stats!$E$7,IF((COUNTBLANK(E2482)=0),IF((COUNTBLANK(F2482)=0),IF((COUNTBLANK(U2482)=0),Stats!$E$6,Stats!$E$5),Stats!$E$4),""))</f>
        <v/>
      </c>
      <c r="C2482" s="41"/>
      <c r="D2482" s="306" t="str">
        <f>IF(B2482=Stats!$E$6,Stats!$E$11,"")</f>
        <v/>
      </c>
    </row>
    <row r="2483" spans="2:4" hidden="1" x14ac:dyDescent="0.25">
      <c r="B2483" s="306" t="str">
        <f>IF((COUNTBLANK(G2483)=0),Stats!$E$7,IF((COUNTBLANK(E2483)=0),IF((COUNTBLANK(F2483)=0),IF((COUNTBLANK(U2483)=0),Stats!$E$6,Stats!$E$5),Stats!$E$4),""))</f>
        <v/>
      </c>
      <c r="C2483" s="41"/>
      <c r="D2483" s="306" t="str">
        <f>IF(B2483=Stats!$E$6,Stats!$E$11,"")</f>
        <v/>
      </c>
    </row>
    <row r="2484" spans="2:4" hidden="1" x14ac:dyDescent="0.25">
      <c r="B2484" s="306" t="str">
        <f>IF((COUNTBLANK(G2484)=0),Stats!$E$7,IF((COUNTBLANK(E2484)=0),IF((COUNTBLANK(F2484)=0),IF((COUNTBLANK(U2484)=0),Stats!$E$6,Stats!$E$5),Stats!$E$4),""))</f>
        <v/>
      </c>
      <c r="C2484" s="41"/>
      <c r="D2484" s="306" t="str">
        <f>IF(B2484=Stats!$E$6,Stats!$E$11,"")</f>
        <v/>
      </c>
    </row>
    <row r="2485" spans="2:4" hidden="1" x14ac:dyDescent="0.25">
      <c r="B2485" s="306" t="str">
        <f>IF((COUNTBLANK(G2485)=0),Stats!$E$7,IF((COUNTBLANK(E2485)=0),IF((COUNTBLANK(F2485)=0),IF((COUNTBLANK(U2485)=0),Stats!$E$6,Stats!$E$5),Stats!$E$4),""))</f>
        <v/>
      </c>
      <c r="C2485" s="41"/>
      <c r="D2485" s="306" t="str">
        <f>IF(B2485=Stats!$E$6,Stats!$E$11,"")</f>
        <v/>
      </c>
    </row>
    <row r="2486" spans="2:4" hidden="1" x14ac:dyDescent="0.25">
      <c r="B2486" s="306" t="str">
        <f>IF((COUNTBLANK(G2486)=0),Stats!$E$7,IF((COUNTBLANK(E2486)=0),IF((COUNTBLANK(F2486)=0),IF((COUNTBLANK(U2486)=0),Stats!$E$6,Stats!$E$5),Stats!$E$4),""))</f>
        <v/>
      </c>
      <c r="C2486" s="41"/>
      <c r="D2486" s="306" t="str">
        <f>IF(B2486=Stats!$E$6,Stats!$E$11,"")</f>
        <v/>
      </c>
    </row>
    <row r="2487" spans="2:4" hidden="1" x14ac:dyDescent="0.25">
      <c r="B2487" s="306" t="str">
        <f>IF((COUNTBLANK(G2487)=0),Stats!$E$7,IF((COUNTBLANK(E2487)=0),IF((COUNTBLANK(F2487)=0),IF((COUNTBLANK(U2487)=0),Stats!$E$6,Stats!$E$5),Stats!$E$4),""))</f>
        <v/>
      </c>
      <c r="C2487" s="41"/>
      <c r="D2487" s="306" t="str">
        <f>IF(B2487=Stats!$E$6,Stats!$E$11,"")</f>
        <v/>
      </c>
    </row>
    <row r="2488" spans="2:4" hidden="1" x14ac:dyDescent="0.25">
      <c r="B2488" s="306" t="str">
        <f>IF((COUNTBLANK(G2488)=0),Stats!$E$7,IF((COUNTBLANK(E2488)=0),IF((COUNTBLANK(F2488)=0),IF((COUNTBLANK(U2488)=0),Stats!$E$6,Stats!$E$5),Stats!$E$4),""))</f>
        <v/>
      </c>
      <c r="C2488" s="41"/>
      <c r="D2488" s="306" t="str">
        <f>IF(B2488=Stats!$E$6,Stats!$E$11,"")</f>
        <v/>
      </c>
    </row>
    <row r="2489" spans="2:4" hidden="1" x14ac:dyDescent="0.25">
      <c r="B2489" s="306" t="str">
        <f>IF((COUNTBLANK(G2489)=0),Stats!$E$7,IF((COUNTBLANK(E2489)=0),IF((COUNTBLANK(F2489)=0),IF((COUNTBLANK(U2489)=0),Stats!$E$6,Stats!$E$5),Stats!$E$4),""))</f>
        <v/>
      </c>
      <c r="C2489" s="41"/>
      <c r="D2489" s="306" t="str">
        <f>IF(B2489=Stats!$E$6,Stats!$E$11,"")</f>
        <v/>
      </c>
    </row>
    <row r="2490" spans="2:4" hidden="1" x14ac:dyDescent="0.25">
      <c r="B2490" s="306" t="str">
        <f>IF((COUNTBLANK(G2490)=0),Stats!$E$7,IF((COUNTBLANK(E2490)=0),IF((COUNTBLANK(F2490)=0),IF((COUNTBLANK(U2490)=0),Stats!$E$6,Stats!$E$5),Stats!$E$4),""))</f>
        <v/>
      </c>
      <c r="C2490" s="41"/>
      <c r="D2490" s="306" t="str">
        <f>IF(B2490=Stats!$E$6,Stats!$E$11,"")</f>
        <v/>
      </c>
    </row>
    <row r="2491" spans="2:4" hidden="1" x14ac:dyDescent="0.25">
      <c r="B2491" s="306" t="str">
        <f>IF((COUNTBLANK(G2491)=0),Stats!$E$7,IF((COUNTBLANK(E2491)=0),IF((COUNTBLANK(F2491)=0),IF((COUNTBLANK(U2491)=0),Stats!$E$6,Stats!$E$5),Stats!$E$4),""))</f>
        <v/>
      </c>
      <c r="C2491" s="41"/>
      <c r="D2491" s="306" t="str">
        <f>IF(B2491=Stats!$E$6,Stats!$E$11,"")</f>
        <v/>
      </c>
    </row>
    <row r="2492" spans="2:4" hidden="1" x14ac:dyDescent="0.25">
      <c r="B2492" s="306" t="str">
        <f>IF((COUNTBLANK(G2492)=0),Stats!$E$7,IF((COUNTBLANK(E2492)=0),IF((COUNTBLANK(F2492)=0),IF((COUNTBLANK(U2492)=0),Stats!$E$6,Stats!$E$5),Stats!$E$4),""))</f>
        <v/>
      </c>
      <c r="C2492" s="41"/>
      <c r="D2492" s="306" t="str">
        <f>IF(B2492=Stats!$E$6,Stats!$E$11,"")</f>
        <v/>
      </c>
    </row>
    <row r="2493" spans="2:4" hidden="1" x14ac:dyDescent="0.25">
      <c r="B2493" s="306" t="str">
        <f>IF((COUNTBLANK(G2493)=0),Stats!$E$7,IF((COUNTBLANK(E2493)=0),IF((COUNTBLANK(F2493)=0),IF((COUNTBLANK(U2493)=0),Stats!$E$6,Stats!$E$5),Stats!$E$4),""))</f>
        <v/>
      </c>
      <c r="C2493" s="41"/>
      <c r="D2493" s="306" t="str">
        <f>IF(B2493=Stats!$E$6,Stats!$E$11,"")</f>
        <v/>
      </c>
    </row>
    <row r="2494" spans="2:4" hidden="1" x14ac:dyDescent="0.25">
      <c r="B2494" s="306" t="str">
        <f>IF((COUNTBLANK(G2494)=0),Stats!$E$7,IF((COUNTBLANK(E2494)=0),IF((COUNTBLANK(F2494)=0),IF((COUNTBLANK(U2494)=0),Stats!$E$6,Stats!$E$5),Stats!$E$4),""))</f>
        <v/>
      </c>
      <c r="C2494" s="41"/>
      <c r="D2494" s="306" t="str">
        <f>IF(B2494=Stats!$E$6,Stats!$E$11,"")</f>
        <v/>
      </c>
    </row>
    <row r="2495" spans="2:4" hidden="1" x14ac:dyDescent="0.25">
      <c r="B2495" s="306" t="str">
        <f>IF((COUNTBLANK(G2495)=0),Stats!$E$7,IF((COUNTBLANK(E2495)=0),IF((COUNTBLANK(F2495)=0),IF((COUNTBLANK(U2495)=0),Stats!$E$6,Stats!$E$5),Stats!$E$4),""))</f>
        <v/>
      </c>
      <c r="C2495" s="41"/>
      <c r="D2495" s="306" t="str">
        <f>IF(B2495=Stats!$E$6,Stats!$E$11,"")</f>
        <v/>
      </c>
    </row>
    <row r="2496" spans="2:4" hidden="1" x14ac:dyDescent="0.25">
      <c r="B2496" s="306" t="str">
        <f>IF((COUNTBLANK(G2496)=0),Stats!$E$7,IF((COUNTBLANK(E2496)=0),IF((COUNTBLANK(F2496)=0),IF((COUNTBLANK(U2496)=0),Stats!$E$6,Stats!$E$5),Stats!$E$4),""))</f>
        <v/>
      </c>
      <c r="C2496" s="41"/>
      <c r="D2496" s="306" t="str">
        <f>IF(B2496=Stats!$E$6,Stats!$E$11,"")</f>
        <v/>
      </c>
    </row>
    <row r="2497" spans="2:4" hidden="1" x14ac:dyDescent="0.25">
      <c r="B2497" s="306" t="str">
        <f>IF((COUNTBLANK(G2497)=0),Stats!$E$7,IF((COUNTBLANK(E2497)=0),IF((COUNTBLANK(F2497)=0),IF((COUNTBLANK(U2497)=0),Stats!$E$6,Stats!$E$5),Stats!$E$4),""))</f>
        <v/>
      </c>
      <c r="C2497" s="41"/>
      <c r="D2497" s="306" t="str">
        <f>IF(B2497=Stats!$E$6,Stats!$E$11,"")</f>
        <v/>
      </c>
    </row>
    <row r="2498" spans="2:4" hidden="1" x14ac:dyDescent="0.25">
      <c r="B2498" s="306" t="str">
        <f>IF((COUNTBLANK(G2498)=0),Stats!$E$7,IF((COUNTBLANK(E2498)=0),IF((COUNTBLANK(F2498)=0),IF((COUNTBLANK(U2498)=0),Stats!$E$6,Stats!$E$5),Stats!$E$4),""))</f>
        <v/>
      </c>
      <c r="C2498" s="41"/>
      <c r="D2498" s="306" t="str">
        <f>IF(B2498=Stats!$E$6,Stats!$E$11,"")</f>
        <v/>
      </c>
    </row>
    <row r="2499" spans="2:4" hidden="1" x14ac:dyDescent="0.25">
      <c r="B2499" s="306" t="str">
        <f>IF((COUNTBLANK(G2499)=0),Stats!$E$7,IF((COUNTBLANK(E2499)=0),IF((COUNTBLANK(F2499)=0),IF((COUNTBLANK(U2499)=0),Stats!$E$6,Stats!$E$5),Stats!$E$4),""))</f>
        <v/>
      </c>
      <c r="C2499" s="41"/>
      <c r="D2499" s="306" t="str">
        <f>IF(B2499=Stats!$E$6,Stats!$E$11,"")</f>
        <v/>
      </c>
    </row>
    <row r="2500" spans="2:4" hidden="1" x14ac:dyDescent="0.25">
      <c r="B2500" s="306" t="str">
        <f>IF((COUNTBLANK(G2500)=0),Stats!$E$7,IF((COUNTBLANK(E2500)=0),IF((COUNTBLANK(F2500)=0),IF((COUNTBLANK(U2500)=0),Stats!$E$6,Stats!$E$5),Stats!$E$4),""))</f>
        <v/>
      </c>
      <c r="C2500" s="41"/>
      <c r="D2500" s="306" t="str">
        <f>IF(B2500=Stats!$E$6,Stats!$E$11,"")</f>
        <v/>
      </c>
    </row>
    <row r="2501" spans="2:4" hidden="1" x14ac:dyDescent="0.25">
      <c r="B2501" s="306" t="str">
        <f>IF((COUNTBLANK(G2501)=0),Stats!$E$7,IF((COUNTBLANK(E2501)=0),IF((COUNTBLANK(F2501)=0),IF((COUNTBLANK(U2501)=0),Stats!$E$6,Stats!$E$5),Stats!$E$4),""))</f>
        <v/>
      </c>
      <c r="C2501" s="41"/>
      <c r="D2501" s="306" t="str">
        <f>IF(B2501=Stats!$E$6,Stats!$E$11,"")</f>
        <v/>
      </c>
    </row>
    <row r="2502" spans="2:4" hidden="1" x14ac:dyDescent="0.25">
      <c r="B2502" s="306" t="str">
        <f>IF((COUNTBLANK(G2502)=0),Stats!$E$7,IF((COUNTBLANK(E2502)=0),IF((COUNTBLANK(F2502)=0),IF((COUNTBLANK(U2502)=0),Stats!$E$6,Stats!$E$5),Stats!$E$4),""))</f>
        <v/>
      </c>
      <c r="C2502" s="41"/>
      <c r="D2502" s="306" t="str">
        <f>IF(B2502=Stats!$E$6,Stats!$E$11,"")</f>
        <v/>
      </c>
    </row>
    <row r="2503" spans="2:4" hidden="1" x14ac:dyDescent="0.25">
      <c r="B2503" s="306" t="str">
        <f>IF((COUNTBLANK(G2503)=0),Stats!$E$7,IF((COUNTBLANK(E2503)=0),IF((COUNTBLANK(F2503)=0),IF((COUNTBLANK(U2503)=0),Stats!$E$6,Stats!$E$5),Stats!$E$4),""))</f>
        <v/>
      </c>
      <c r="C2503" s="41"/>
      <c r="D2503" s="306" t="str">
        <f>IF(B2503=Stats!$E$6,Stats!$E$11,"")</f>
        <v/>
      </c>
    </row>
    <row r="2504" spans="2:4" hidden="1" x14ac:dyDescent="0.25">
      <c r="B2504" s="306" t="str">
        <f>IF((COUNTBLANK(G2504)=0),Stats!$E$7,IF((COUNTBLANK(E2504)=0),IF((COUNTBLANK(F2504)=0),IF((COUNTBLANK(U2504)=0),Stats!$E$6,Stats!$E$5),Stats!$E$4),""))</f>
        <v/>
      </c>
      <c r="C2504" s="41"/>
      <c r="D2504" s="306" t="str">
        <f>IF(B2504=Stats!$E$6,Stats!$E$11,"")</f>
        <v/>
      </c>
    </row>
    <row r="2505" spans="2:4" hidden="1" x14ac:dyDescent="0.25">
      <c r="B2505" s="306" t="str">
        <f>IF((COUNTBLANK(G2505)=0),Stats!$E$7,IF((COUNTBLANK(E2505)=0),IF((COUNTBLANK(F2505)=0),IF((COUNTBLANK(U2505)=0),Stats!$E$6,Stats!$E$5),Stats!$E$4),""))</f>
        <v/>
      </c>
      <c r="C2505" s="41"/>
      <c r="D2505" s="306" t="str">
        <f>IF(B2505=Stats!$E$6,Stats!$E$11,"")</f>
        <v/>
      </c>
    </row>
    <row r="2506" spans="2:4" hidden="1" x14ac:dyDescent="0.25">
      <c r="B2506" s="306" t="str">
        <f>IF((COUNTBLANK(G2506)=0),Stats!$E$7,IF((COUNTBLANK(E2506)=0),IF((COUNTBLANK(F2506)=0),IF((COUNTBLANK(U2506)=0),Stats!$E$6,Stats!$E$5),Stats!$E$4),""))</f>
        <v/>
      </c>
      <c r="C2506" s="41"/>
      <c r="D2506" s="306" t="str">
        <f>IF(B2506=Stats!$E$6,Stats!$E$11,"")</f>
        <v/>
      </c>
    </row>
    <row r="2507" spans="2:4" hidden="1" x14ac:dyDescent="0.25">
      <c r="B2507" s="306" t="str">
        <f>IF((COUNTBLANK(G2507)=0),Stats!$E$7,IF((COUNTBLANK(E2507)=0),IF((COUNTBLANK(F2507)=0),IF((COUNTBLANK(U2507)=0),Stats!$E$6,Stats!$E$5),Stats!$E$4),""))</f>
        <v/>
      </c>
      <c r="C2507" s="41"/>
      <c r="D2507" s="306" t="str">
        <f>IF(B2507=Stats!$E$6,Stats!$E$11,"")</f>
        <v/>
      </c>
    </row>
    <row r="2508" spans="2:4" hidden="1" x14ac:dyDescent="0.25">
      <c r="B2508" s="306" t="str">
        <f>IF((COUNTBLANK(G2508)=0),Stats!$E$7,IF((COUNTBLANK(E2508)=0),IF((COUNTBLANK(F2508)=0),IF((COUNTBLANK(U2508)=0),Stats!$E$6,Stats!$E$5),Stats!$E$4),""))</f>
        <v/>
      </c>
      <c r="C2508" s="41"/>
      <c r="D2508" s="306" t="str">
        <f>IF(B2508=Stats!$E$6,Stats!$E$11,"")</f>
        <v/>
      </c>
    </row>
    <row r="2509" spans="2:4" hidden="1" x14ac:dyDescent="0.25">
      <c r="B2509" s="306" t="str">
        <f>IF((COUNTBLANK(G2509)=0),Stats!$E$7,IF((COUNTBLANK(E2509)=0),IF((COUNTBLANK(F2509)=0),IF((COUNTBLANK(U2509)=0),Stats!$E$6,Stats!$E$5),Stats!$E$4),""))</f>
        <v/>
      </c>
      <c r="C2509" s="41"/>
      <c r="D2509" s="306" t="str">
        <f>IF(B2509=Stats!$E$6,Stats!$E$11,"")</f>
        <v/>
      </c>
    </row>
    <row r="2510" spans="2:4" hidden="1" x14ac:dyDescent="0.25">
      <c r="B2510" s="306" t="str">
        <f>IF((COUNTBLANK(G2510)=0),Stats!$E$7,IF((COUNTBLANK(E2510)=0),IF((COUNTBLANK(F2510)=0),IF((COUNTBLANK(U2510)=0),Stats!$E$6,Stats!$E$5),Stats!$E$4),""))</f>
        <v/>
      </c>
      <c r="C2510" s="41"/>
      <c r="D2510" s="306" t="str">
        <f>IF(B2510=Stats!$E$6,Stats!$E$11,"")</f>
        <v/>
      </c>
    </row>
    <row r="2511" spans="2:4" hidden="1" x14ac:dyDescent="0.25">
      <c r="B2511" s="306" t="str">
        <f>IF((COUNTBLANK(G2511)=0),Stats!$E$7,IF((COUNTBLANK(E2511)=0),IF((COUNTBLANK(F2511)=0),IF((COUNTBLANK(U2511)=0),Stats!$E$6,Stats!$E$5),Stats!$E$4),""))</f>
        <v/>
      </c>
      <c r="C2511" s="41"/>
      <c r="D2511" s="306" t="str">
        <f>IF(B2511=Stats!$E$6,Stats!$E$11,"")</f>
        <v/>
      </c>
    </row>
    <row r="2512" spans="2:4" hidden="1" x14ac:dyDescent="0.25">
      <c r="B2512" s="306" t="str">
        <f>IF((COUNTBLANK(G2512)=0),Stats!$E$7,IF((COUNTBLANK(E2512)=0),IF((COUNTBLANK(F2512)=0),IF((COUNTBLANK(U2512)=0),Stats!$E$6,Stats!$E$5),Stats!$E$4),""))</f>
        <v/>
      </c>
      <c r="C2512" s="41"/>
      <c r="D2512" s="306" t="str">
        <f>IF(B2512=Stats!$E$6,Stats!$E$11,"")</f>
        <v/>
      </c>
    </row>
    <row r="2513" spans="2:4" hidden="1" x14ac:dyDescent="0.25">
      <c r="B2513" s="306" t="str">
        <f>IF((COUNTBLANK(G2513)=0),Stats!$E$7,IF((COUNTBLANK(E2513)=0),IF((COUNTBLANK(F2513)=0),IF((COUNTBLANK(U2513)=0),Stats!$E$6,Stats!$E$5),Stats!$E$4),""))</f>
        <v/>
      </c>
      <c r="C2513" s="41"/>
      <c r="D2513" s="306" t="str">
        <f>IF(B2513=Stats!$E$6,Stats!$E$11,"")</f>
        <v/>
      </c>
    </row>
    <row r="2514" spans="2:4" hidden="1" x14ac:dyDescent="0.25">
      <c r="B2514" s="306" t="str">
        <f>IF((COUNTBLANK(G2514)=0),Stats!$E$7,IF((COUNTBLANK(E2514)=0),IF((COUNTBLANK(F2514)=0),IF((COUNTBLANK(U2514)=0),Stats!$E$6,Stats!$E$5),Stats!$E$4),""))</f>
        <v/>
      </c>
      <c r="C2514" s="41"/>
      <c r="D2514" s="306" t="str">
        <f>IF(B2514=Stats!$E$6,Stats!$E$11,"")</f>
        <v/>
      </c>
    </row>
    <row r="2515" spans="2:4" hidden="1" x14ac:dyDescent="0.25">
      <c r="B2515" s="306" t="str">
        <f>IF((COUNTBLANK(G2515)=0),Stats!$E$7,IF((COUNTBLANK(E2515)=0),IF((COUNTBLANK(F2515)=0),IF((COUNTBLANK(U2515)=0),Stats!$E$6,Stats!$E$5),Stats!$E$4),""))</f>
        <v/>
      </c>
      <c r="C2515" s="41"/>
      <c r="D2515" s="306" t="str">
        <f>IF(B2515=Stats!$E$6,Stats!$E$11,"")</f>
        <v/>
      </c>
    </row>
    <row r="2516" spans="2:4" hidden="1" x14ac:dyDescent="0.25">
      <c r="B2516" s="306" t="str">
        <f>IF((COUNTBLANK(G2516)=0),Stats!$E$7,IF((COUNTBLANK(E2516)=0),IF((COUNTBLANK(F2516)=0),IF((COUNTBLANK(U2516)=0),Stats!$E$6,Stats!$E$5),Stats!$E$4),""))</f>
        <v/>
      </c>
      <c r="C2516" s="41"/>
      <c r="D2516" s="306" t="str">
        <f>IF(B2516=Stats!$E$6,Stats!$E$11,"")</f>
        <v/>
      </c>
    </row>
    <row r="2517" spans="2:4" hidden="1" x14ac:dyDescent="0.25">
      <c r="B2517" s="306" t="str">
        <f>IF((COUNTBLANK(G2517)=0),Stats!$E$7,IF((COUNTBLANK(E2517)=0),IF((COUNTBLANK(F2517)=0),IF((COUNTBLANK(U2517)=0),Stats!$E$6,Stats!$E$5),Stats!$E$4),""))</f>
        <v/>
      </c>
      <c r="C2517" s="41"/>
      <c r="D2517" s="306" t="str">
        <f>IF(B2517=Stats!$E$6,Stats!$E$11,"")</f>
        <v/>
      </c>
    </row>
    <row r="2518" spans="2:4" hidden="1" x14ac:dyDescent="0.25">
      <c r="B2518" s="306" t="str">
        <f>IF((COUNTBLANK(G2518)=0),Stats!$E$7,IF((COUNTBLANK(E2518)=0),IF((COUNTBLANK(F2518)=0),IF((COUNTBLANK(U2518)=0),Stats!$E$6,Stats!$E$5),Stats!$E$4),""))</f>
        <v/>
      </c>
      <c r="C2518" s="41"/>
      <c r="D2518" s="306" t="str">
        <f>IF(B2518=Stats!$E$6,Stats!$E$11,"")</f>
        <v/>
      </c>
    </row>
    <row r="2519" spans="2:4" hidden="1" x14ac:dyDescent="0.25">
      <c r="B2519" s="306" t="str">
        <f>IF((COUNTBLANK(G2519)=0),Stats!$E$7,IF((COUNTBLANK(E2519)=0),IF((COUNTBLANK(F2519)=0),IF((COUNTBLANK(U2519)=0),Stats!$E$6,Stats!$E$5),Stats!$E$4),""))</f>
        <v/>
      </c>
      <c r="C2519" s="41"/>
      <c r="D2519" s="306" t="str">
        <f>IF(B2519=Stats!$E$6,Stats!$E$11,"")</f>
        <v/>
      </c>
    </row>
    <row r="2520" spans="2:4" hidden="1" x14ac:dyDescent="0.25">
      <c r="B2520" s="306" t="str">
        <f>IF((COUNTBLANK(G2520)=0),Stats!$E$7,IF((COUNTBLANK(E2520)=0),IF((COUNTBLANK(F2520)=0),IF((COUNTBLANK(U2520)=0),Stats!$E$6,Stats!$E$5),Stats!$E$4),""))</f>
        <v/>
      </c>
      <c r="C2520" s="41"/>
      <c r="D2520" s="306" t="str">
        <f>IF(B2520=Stats!$E$6,Stats!$E$11,"")</f>
        <v/>
      </c>
    </row>
    <row r="2521" spans="2:4" hidden="1" x14ac:dyDescent="0.25">
      <c r="B2521" s="306" t="str">
        <f>IF((COUNTBLANK(G2521)=0),Stats!$E$7,IF((COUNTBLANK(E2521)=0),IF((COUNTBLANK(F2521)=0),IF((COUNTBLANK(U2521)=0),Stats!$E$6,Stats!$E$5),Stats!$E$4),""))</f>
        <v/>
      </c>
      <c r="C2521" s="41"/>
      <c r="D2521" s="306" t="str">
        <f>IF(B2521=Stats!$E$6,Stats!$E$11,"")</f>
        <v/>
      </c>
    </row>
    <row r="2522" spans="2:4" hidden="1" x14ac:dyDescent="0.25">
      <c r="B2522" s="306" t="str">
        <f>IF((COUNTBLANK(G2522)=0),Stats!$E$7,IF((COUNTBLANK(E2522)=0),IF((COUNTBLANK(F2522)=0),IF((COUNTBLANK(U2522)=0),Stats!$E$6,Stats!$E$5),Stats!$E$4),""))</f>
        <v/>
      </c>
      <c r="C2522" s="41"/>
      <c r="D2522" s="306" t="str">
        <f>IF(B2522=Stats!$E$6,Stats!$E$11,"")</f>
        <v/>
      </c>
    </row>
    <row r="2523" spans="2:4" hidden="1" x14ac:dyDescent="0.25">
      <c r="B2523" s="306" t="str">
        <f>IF((COUNTBLANK(G2523)=0),Stats!$E$7,IF((COUNTBLANK(E2523)=0),IF((COUNTBLANK(F2523)=0),IF((COUNTBLANK(U2523)=0),Stats!$E$6,Stats!$E$5),Stats!$E$4),""))</f>
        <v/>
      </c>
      <c r="C2523" s="41"/>
      <c r="D2523" s="306" t="str">
        <f>IF(B2523=Stats!$E$6,Stats!$E$11,"")</f>
        <v/>
      </c>
    </row>
    <row r="2524" spans="2:4" hidden="1" x14ac:dyDescent="0.25">
      <c r="B2524" s="306" t="str">
        <f>IF((COUNTBLANK(G2524)=0),Stats!$E$7,IF((COUNTBLANK(E2524)=0),IF((COUNTBLANK(F2524)=0),IF((COUNTBLANK(U2524)=0),Stats!$E$6,Stats!$E$5),Stats!$E$4),""))</f>
        <v/>
      </c>
      <c r="C2524" s="41"/>
      <c r="D2524" s="306" t="str">
        <f>IF(B2524=Stats!$E$6,Stats!$E$11,"")</f>
        <v/>
      </c>
    </row>
    <row r="2525" spans="2:4" hidden="1" x14ac:dyDescent="0.25">
      <c r="B2525" s="306" t="str">
        <f>IF((COUNTBLANK(G2525)=0),Stats!$E$7,IF((COUNTBLANK(E2525)=0),IF((COUNTBLANK(F2525)=0),IF((COUNTBLANK(U2525)=0),Stats!$E$6,Stats!$E$5),Stats!$E$4),""))</f>
        <v/>
      </c>
      <c r="C2525" s="41"/>
      <c r="D2525" s="306" t="str">
        <f>IF(B2525=Stats!$E$6,Stats!$E$11,"")</f>
        <v/>
      </c>
    </row>
    <row r="2526" spans="2:4" hidden="1" x14ac:dyDescent="0.25">
      <c r="B2526" s="306" t="str">
        <f>IF((COUNTBLANK(G2526)=0),Stats!$E$7,IF((COUNTBLANK(E2526)=0),IF((COUNTBLANK(F2526)=0),IF((COUNTBLANK(U2526)=0),Stats!$E$6,Stats!$E$5),Stats!$E$4),""))</f>
        <v/>
      </c>
      <c r="C2526" s="41"/>
      <c r="D2526" s="306" t="str">
        <f>IF(B2526=Stats!$E$6,Stats!$E$11,"")</f>
        <v/>
      </c>
    </row>
    <row r="2527" spans="2:4" hidden="1" x14ac:dyDescent="0.25">
      <c r="B2527" s="306" t="str">
        <f>IF((COUNTBLANK(G2527)=0),Stats!$E$7,IF((COUNTBLANK(E2527)=0),IF((COUNTBLANK(F2527)=0),IF((COUNTBLANK(U2527)=0),Stats!$E$6,Stats!$E$5),Stats!$E$4),""))</f>
        <v/>
      </c>
      <c r="C2527" s="41"/>
      <c r="D2527" s="306" t="str">
        <f>IF(B2527=Stats!$E$6,Stats!$E$11,"")</f>
        <v/>
      </c>
    </row>
    <row r="2528" spans="2:4" hidden="1" x14ac:dyDescent="0.25">
      <c r="B2528" s="306" t="str">
        <f>IF((COUNTBLANK(G2528)=0),Stats!$E$7,IF((COUNTBLANK(E2528)=0),IF((COUNTBLANK(F2528)=0),IF((COUNTBLANK(U2528)=0),Stats!$E$6,Stats!$E$5),Stats!$E$4),""))</f>
        <v/>
      </c>
      <c r="C2528" s="41"/>
      <c r="D2528" s="306" t="str">
        <f>IF(B2528=Stats!$E$6,Stats!$E$11,"")</f>
        <v/>
      </c>
    </row>
    <row r="2529" spans="2:4" hidden="1" x14ac:dyDescent="0.25">
      <c r="B2529" s="306" t="str">
        <f>IF((COUNTBLANK(G2529)=0),Stats!$E$7,IF((COUNTBLANK(E2529)=0),IF((COUNTBLANK(F2529)=0),IF((COUNTBLANK(U2529)=0),Stats!$E$6,Stats!$E$5),Stats!$E$4),""))</f>
        <v/>
      </c>
      <c r="C2529" s="41"/>
      <c r="D2529" s="306" t="str">
        <f>IF(B2529=Stats!$E$6,Stats!$E$11,"")</f>
        <v/>
      </c>
    </row>
    <row r="2530" spans="2:4" hidden="1" x14ac:dyDescent="0.25">
      <c r="B2530" s="306" t="str">
        <f>IF((COUNTBLANK(G2530)=0),Stats!$E$7,IF((COUNTBLANK(E2530)=0),IF((COUNTBLANK(F2530)=0),IF((COUNTBLANK(U2530)=0),Stats!$E$6,Stats!$E$5),Stats!$E$4),""))</f>
        <v/>
      </c>
      <c r="C2530" s="41"/>
      <c r="D2530" s="306" t="str">
        <f>IF(B2530=Stats!$E$6,Stats!$E$11,"")</f>
        <v/>
      </c>
    </row>
    <row r="2531" spans="2:4" hidden="1" x14ac:dyDescent="0.25">
      <c r="B2531" s="306" t="str">
        <f>IF((COUNTBLANK(G2531)=0),Stats!$E$7,IF((COUNTBLANK(E2531)=0),IF((COUNTBLANK(F2531)=0),IF((COUNTBLANK(U2531)=0),Stats!$E$6,Stats!$E$5),Stats!$E$4),""))</f>
        <v/>
      </c>
      <c r="C2531" s="41"/>
      <c r="D2531" s="306" t="str">
        <f>IF(B2531=Stats!$E$6,Stats!$E$11,"")</f>
        <v/>
      </c>
    </row>
    <row r="2532" spans="2:4" hidden="1" x14ac:dyDescent="0.25">
      <c r="B2532" s="306" t="str">
        <f>IF((COUNTBLANK(G2532)=0),Stats!$E$7,IF((COUNTBLANK(E2532)=0),IF((COUNTBLANK(F2532)=0),IF((COUNTBLANK(U2532)=0),Stats!$E$6,Stats!$E$5),Stats!$E$4),""))</f>
        <v/>
      </c>
      <c r="C2532" s="41"/>
      <c r="D2532" s="306" t="str">
        <f>IF(B2532=Stats!$E$6,Stats!$E$11,"")</f>
        <v/>
      </c>
    </row>
    <row r="2533" spans="2:4" hidden="1" x14ac:dyDescent="0.25">
      <c r="B2533" s="306" t="str">
        <f>IF((COUNTBLANK(G2533)=0),Stats!$E$7,IF((COUNTBLANK(E2533)=0),IF((COUNTBLANK(F2533)=0),IF((COUNTBLANK(U2533)=0),Stats!$E$6,Stats!$E$5),Stats!$E$4),""))</f>
        <v/>
      </c>
      <c r="C2533" s="41"/>
      <c r="D2533" s="306" t="str">
        <f>IF(B2533=Stats!$E$6,Stats!$E$11,"")</f>
        <v/>
      </c>
    </row>
    <row r="2534" spans="2:4" hidden="1" x14ac:dyDescent="0.25">
      <c r="B2534" s="306" t="str">
        <f>IF((COUNTBLANK(G2534)=0),Stats!$E$7,IF((COUNTBLANK(E2534)=0),IF((COUNTBLANK(F2534)=0),IF((COUNTBLANK(U2534)=0),Stats!$E$6,Stats!$E$5),Stats!$E$4),""))</f>
        <v/>
      </c>
      <c r="C2534" s="41"/>
      <c r="D2534" s="306" t="str">
        <f>IF(B2534=Stats!$E$6,Stats!$E$11,"")</f>
        <v/>
      </c>
    </row>
    <row r="2535" spans="2:4" hidden="1" x14ac:dyDescent="0.25">
      <c r="B2535" s="306" t="str">
        <f>IF((COUNTBLANK(G2535)=0),Stats!$E$7,IF((COUNTBLANK(E2535)=0),IF((COUNTBLANK(F2535)=0),IF((COUNTBLANK(U2535)=0),Stats!$E$6,Stats!$E$5),Stats!$E$4),""))</f>
        <v/>
      </c>
      <c r="C2535" s="41"/>
      <c r="D2535" s="306" t="str">
        <f>IF(B2535=Stats!$E$6,Stats!$E$11,"")</f>
        <v/>
      </c>
    </row>
    <row r="2536" spans="2:4" hidden="1" x14ac:dyDescent="0.25">
      <c r="B2536" s="306" t="str">
        <f>IF((COUNTBLANK(G2536)=0),Stats!$E$7,IF((COUNTBLANK(E2536)=0),IF((COUNTBLANK(F2536)=0),IF((COUNTBLANK(U2536)=0),Stats!$E$6,Stats!$E$5),Stats!$E$4),""))</f>
        <v/>
      </c>
      <c r="C2536" s="41"/>
      <c r="D2536" s="306" t="str">
        <f>IF(B2536=Stats!$E$6,Stats!$E$11,"")</f>
        <v/>
      </c>
    </row>
    <row r="2537" spans="2:4" hidden="1" x14ac:dyDescent="0.25">
      <c r="B2537" s="306" t="str">
        <f>IF((COUNTBLANK(G2537)=0),Stats!$E$7,IF((COUNTBLANK(E2537)=0),IF((COUNTBLANK(F2537)=0),IF((COUNTBLANK(U2537)=0),Stats!$E$6,Stats!$E$5),Stats!$E$4),""))</f>
        <v/>
      </c>
      <c r="C2537" s="41"/>
      <c r="D2537" s="306" t="str">
        <f>IF(B2537=Stats!$E$6,Stats!$E$11,"")</f>
        <v/>
      </c>
    </row>
    <row r="2538" spans="2:4" hidden="1" x14ac:dyDescent="0.25">
      <c r="B2538" s="306" t="str">
        <f>IF((COUNTBLANK(G2538)=0),Stats!$E$7,IF((COUNTBLANK(E2538)=0),IF((COUNTBLANK(F2538)=0),IF((COUNTBLANK(U2538)=0),Stats!$E$6,Stats!$E$5),Stats!$E$4),""))</f>
        <v/>
      </c>
      <c r="C2538" s="41"/>
      <c r="D2538" s="306" t="str">
        <f>IF(B2538=Stats!$E$6,Stats!$E$11,"")</f>
        <v/>
      </c>
    </row>
    <row r="2539" spans="2:4" hidden="1" x14ac:dyDescent="0.25">
      <c r="B2539" s="306" t="str">
        <f>IF((COUNTBLANK(G2539)=0),Stats!$E$7,IF((COUNTBLANK(E2539)=0),IF((COUNTBLANK(F2539)=0),IF((COUNTBLANK(U2539)=0),Stats!$E$6,Stats!$E$5),Stats!$E$4),""))</f>
        <v/>
      </c>
      <c r="C2539" s="41"/>
      <c r="D2539" s="306" t="str">
        <f>IF(B2539=Stats!$E$6,Stats!$E$11,"")</f>
        <v/>
      </c>
    </row>
    <row r="2540" spans="2:4" hidden="1" x14ac:dyDescent="0.25">
      <c r="B2540" s="306" t="str">
        <f>IF((COUNTBLANK(G2540)=0),Stats!$E$7,IF((COUNTBLANK(E2540)=0),IF((COUNTBLANK(F2540)=0),IF((COUNTBLANK(U2540)=0),Stats!$E$6,Stats!$E$5),Stats!$E$4),""))</f>
        <v/>
      </c>
      <c r="C2540" s="41"/>
      <c r="D2540" s="306" t="str">
        <f>IF(B2540=Stats!$E$6,Stats!$E$11,"")</f>
        <v/>
      </c>
    </row>
    <row r="2541" spans="2:4" hidden="1" x14ac:dyDescent="0.25">
      <c r="B2541" s="306" t="str">
        <f>IF((COUNTBLANK(G2541)=0),Stats!$E$7,IF((COUNTBLANK(E2541)=0),IF((COUNTBLANK(F2541)=0),IF((COUNTBLANK(U2541)=0),Stats!$E$6,Stats!$E$5),Stats!$E$4),""))</f>
        <v/>
      </c>
      <c r="C2541" s="41"/>
      <c r="D2541" s="306" t="str">
        <f>IF(B2541=Stats!$E$6,Stats!$E$11,"")</f>
        <v/>
      </c>
    </row>
    <row r="2542" spans="2:4" hidden="1" x14ac:dyDescent="0.25">
      <c r="B2542" s="306" t="str">
        <f>IF((COUNTBLANK(G2542)=0),Stats!$E$7,IF((COUNTBLANK(E2542)=0),IF((COUNTBLANK(F2542)=0),IF((COUNTBLANK(U2542)=0),Stats!$E$6,Stats!$E$5),Stats!$E$4),""))</f>
        <v/>
      </c>
      <c r="C2542" s="41"/>
      <c r="D2542" s="306" t="str">
        <f>IF(B2542=Stats!$E$6,Stats!$E$11,"")</f>
        <v/>
      </c>
    </row>
    <row r="2543" spans="2:4" hidden="1" x14ac:dyDescent="0.25">
      <c r="B2543" s="306" t="str">
        <f>IF((COUNTBLANK(G2543)=0),Stats!$E$7,IF((COUNTBLANK(E2543)=0),IF((COUNTBLANK(F2543)=0),IF((COUNTBLANK(U2543)=0),Stats!$E$6,Stats!$E$5),Stats!$E$4),""))</f>
        <v/>
      </c>
      <c r="C2543" s="41"/>
      <c r="D2543" s="306" t="str">
        <f>IF(B2543=Stats!$E$6,Stats!$E$11,"")</f>
        <v/>
      </c>
    </row>
    <row r="2544" spans="2:4" hidden="1" x14ac:dyDescent="0.25">
      <c r="B2544" s="306" t="str">
        <f>IF((COUNTBLANK(G2544)=0),Stats!$E$7,IF((COUNTBLANK(E2544)=0),IF((COUNTBLANK(F2544)=0),IF((COUNTBLANK(U2544)=0),Stats!$E$6,Stats!$E$5),Stats!$E$4),""))</f>
        <v/>
      </c>
      <c r="C2544" s="41"/>
      <c r="D2544" s="306" t="str">
        <f>IF(B2544=Stats!$E$6,Stats!$E$11,"")</f>
        <v/>
      </c>
    </row>
    <row r="2545" spans="2:4" hidden="1" x14ac:dyDescent="0.25">
      <c r="B2545" s="306" t="str">
        <f>IF((COUNTBLANK(G2545)=0),Stats!$E$7,IF((COUNTBLANK(E2545)=0),IF((COUNTBLANK(F2545)=0),IF((COUNTBLANK(U2545)=0),Stats!$E$6,Stats!$E$5),Stats!$E$4),""))</f>
        <v/>
      </c>
      <c r="C2545" s="41"/>
      <c r="D2545" s="306" t="str">
        <f>IF(B2545=Stats!$E$6,Stats!$E$11,"")</f>
        <v/>
      </c>
    </row>
    <row r="2546" spans="2:4" hidden="1" x14ac:dyDescent="0.25">
      <c r="B2546" s="306" t="str">
        <f>IF((COUNTBLANK(G2546)=0),Stats!$E$7,IF((COUNTBLANK(E2546)=0),IF((COUNTBLANK(F2546)=0),IF((COUNTBLANK(U2546)=0),Stats!$E$6,Stats!$E$5),Stats!$E$4),""))</f>
        <v/>
      </c>
      <c r="C2546" s="41"/>
      <c r="D2546" s="306" t="str">
        <f>IF(B2546=Stats!$E$6,Stats!$E$11,"")</f>
        <v/>
      </c>
    </row>
    <row r="2547" spans="2:4" hidden="1" x14ac:dyDescent="0.25">
      <c r="B2547" s="306" t="str">
        <f>IF((COUNTBLANK(G2547)=0),Stats!$E$7,IF((COUNTBLANK(E2547)=0),IF((COUNTBLANK(F2547)=0),IF((COUNTBLANK(U2547)=0),Stats!$E$6,Stats!$E$5),Stats!$E$4),""))</f>
        <v/>
      </c>
      <c r="C2547" s="41"/>
      <c r="D2547" s="306" t="str">
        <f>IF(B2547=Stats!$E$6,Stats!$E$11,"")</f>
        <v/>
      </c>
    </row>
    <row r="2548" spans="2:4" hidden="1" x14ac:dyDescent="0.25">
      <c r="B2548" s="306" t="str">
        <f>IF((COUNTBLANK(G2548)=0),Stats!$E$7,IF((COUNTBLANK(E2548)=0),IF((COUNTBLANK(F2548)=0),IF((COUNTBLANK(U2548)=0),Stats!$E$6,Stats!$E$5),Stats!$E$4),""))</f>
        <v/>
      </c>
      <c r="C2548" s="41"/>
      <c r="D2548" s="306" t="str">
        <f>IF(B2548=Stats!$E$6,Stats!$E$11,"")</f>
        <v/>
      </c>
    </row>
    <row r="2549" spans="2:4" hidden="1" x14ac:dyDescent="0.25">
      <c r="B2549" s="306" t="str">
        <f>IF((COUNTBLANK(G2549)=0),Stats!$E$7,IF((COUNTBLANK(E2549)=0),IF((COUNTBLANK(F2549)=0),IF((COUNTBLANK(U2549)=0),Stats!$E$6,Stats!$E$5),Stats!$E$4),""))</f>
        <v/>
      </c>
      <c r="C2549" s="41"/>
      <c r="D2549" s="306" t="str">
        <f>IF(B2549=Stats!$E$6,Stats!$E$11,"")</f>
        <v/>
      </c>
    </row>
    <row r="2550" spans="2:4" hidden="1" x14ac:dyDescent="0.25">
      <c r="B2550" s="306" t="str">
        <f>IF((COUNTBLANK(G2550)=0),Stats!$E$7,IF((COUNTBLANK(E2550)=0),IF((COUNTBLANK(F2550)=0),IF((COUNTBLANK(U2550)=0),Stats!$E$6,Stats!$E$5),Stats!$E$4),""))</f>
        <v/>
      </c>
      <c r="C2550" s="41"/>
      <c r="D2550" s="306" t="str">
        <f>IF(B2550=Stats!$E$6,Stats!$E$11,"")</f>
        <v/>
      </c>
    </row>
    <row r="2551" spans="2:4" hidden="1" x14ac:dyDescent="0.25">
      <c r="B2551" s="306" t="str">
        <f>IF((COUNTBLANK(G2551)=0),Stats!$E$7,IF((COUNTBLANK(E2551)=0),IF((COUNTBLANK(F2551)=0),IF((COUNTBLANK(U2551)=0),Stats!$E$6,Stats!$E$5),Stats!$E$4),""))</f>
        <v/>
      </c>
      <c r="C2551" s="41"/>
      <c r="D2551" s="306" t="str">
        <f>IF(B2551=Stats!$E$6,Stats!$E$11,"")</f>
        <v/>
      </c>
    </row>
    <row r="2552" spans="2:4" hidden="1" x14ac:dyDescent="0.25">
      <c r="B2552" s="306" t="str">
        <f>IF((COUNTBLANK(G2552)=0),Stats!$E$7,IF((COUNTBLANK(E2552)=0),IF((COUNTBLANK(F2552)=0),IF((COUNTBLANK(U2552)=0),Stats!$E$6,Stats!$E$5),Stats!$E$4),""))</f>
        <v/>
      </c>
      <c r="C2552" s="41"/>
      <c r="D2552" s="306" t="str">
        <f>IF(B2552=Stats!$E$6,Stats!$E$11,"")</f>
        <v/>
      </c>
    </row>
    <row r="2553" spans="2:4" hidden="1" x14ac:dyDescent="0.25">
      <c r="B2553" s="306" t="str">
        <f>IF((COUNTBLANK(G2553)=0),Stats!$E$7,IF((COUNTBLANK(E2553)=0),IF((COUNTBLANK(F2553)=0),IF((COUNTBLANK(U2553)=0),Stats!$E$6,Stats!$E$5),Stats!$E$4),""))</f>
        <v/>
      </c>
      <c r="C2553" s="41"/>
      <c r="D2553" s="306" t="str">
        <f>IF(B2553=Stats!$E$6,Stats!$E$11,"")</f>
        <v/>
      </c>
    </row>
    <row r="2554" spans="2:4" hidden="1" x14ac:dyDescent="0.25">
      <c r="B2554" s="306" t="str">
        <f>IF((COUNTBLANK(G2554)=0),Stats!$E$7,IF((COUNTBLANK(E2554)=0),IF((COUNTBLANK(F2554)=0),IF((COUNTBLANK(U2554)=0),Stats!$E$6,Stats!$E$5),Stats!$E$4),""))</f>
        <v/>
      </c>
      <c r="C2554" s="41"/>
      <c r="D2554" s="306" t="str">
        <f>IF(B2554=Stats!$E$6,Stats!$E$11,"")</f>
        <v/>
      </c>
    </row>
    <row r="2555" spans="2:4" hidden="1" x14ac:dyDescent="0.25">
      <c r="B2555" s="306" t="str">
        <f>IF((COUNTBLANK(G2555)=0),Stats!$E$7,IF((COUNTBLANK(E2555)=0),IF((COUNTBLANK(F2555)=0),IF((COUNTBLANK(U2555)=0),Stats!$E$6,Stats!$E$5),Stats!$E$4),""))</f>
        <v/>
      </c>
      <c r="C2555" s="41"/>
      <c r="D2555" s="306" t="str">
        <f>IF(B2555=Stats!$E$6,Stats!$E$11,"")</f>
        <v/>
      </c>
    </row>
    <row r="2556" spans="2:4" hidden="1" x14ac:dyDescent="0.25">
      <c r="B2556" s="306" t="str">
        <f>IF((COUNTBLANK(G2556)=0),Stats!$E$7,IF((COUNTBLANK(E2556)=0),IF((COUNTBLANK(F2556)=0),IF((COUNTBLANK(U2556)=0),Stats!$E$6,Stats!$E$5),Stats!$E$4),""))</f>
        <v/>
      </c>
      <c r="C2556" s="41"/>
      <c r="D2556" s="306" t="str">
        <f>IF(B2556=Stats!$E$6,Stats!$E$11,"")</f>
        <v/>
      </c>
    </row>
    <row r="2557" spans="2:4" hidden="1" x14ac:dyDescent="0.25">
      <c r="B2557" s="306" t="str">
        <f>IF((COUNTBLANK(G2557)=0),Stats!$E$7,IF((COUNTBLANK(E2557)=0),IF((COUNTBLANK(F2557)=0),IF((COUNTBLANK(U2557)=0),Stats!$E$6,Stats!$E$5),Stats!$E$4),""))</f>
        <v/>
      </c>
      <c r="C2557" s="41"/>
      <c r="D2557" s="306" t="str">
        <f>IF(B2557=Stats!$E$6,Stats!$E$11,"")</f>
        <v/>
      </c>
    </row>
    <row r="2558" spans="2:4" hidden="1" x14ac:dyDescent="0.25">
      <c r="B2558" s="306" t="str">
        <f>IF((COUNTBLANK(G2558)=0),Stats!$E$7,IF((COUNTBLANK(E2558)=0),IF((COUNTBLANK(F2558)=0),IF((COUNTBLANK(U2558)=0),Stats!$E$6,Stats!$E$5),Stats!$E$4),""))</f>
        <v/>
      </c>
      <c r="C2558" s="41"/>
      <c r="D2558" s="306" t="str">
        <f>IF(B2558=Stats!$E$6,Stats!$E$11,"")</f>
        <v/>
      </c>
    </row>
    <row r="2559" spans="2:4" hidden="1" x14ac:dyDescent="0.25">
      <c r="B2559" s="306" t="str">
        <f>IF((COUNTBLANK(G2559)=0),Stats!$E$7,IF((COUNTBLANK(E2559)=0),IF((COUNTBLANK(F2559)=0),IF((COUNTBLANK(U2559)=0),Stats!$E$6,Stats!$E$5),Stats!$E$4),""))</f>
        <v/>
      </c>
      <c r="C2559" s="41"/>
      <c r="D2559" s="306" t="str">
        <f>IF(B2559=Stats!$E$6,Stats!$E$11,"")</f>
        <v/>
      </c>
    </row>
    <row r="2560" spans="2:4" hidden="1" x14ac:dyDescent="0.25">
      <c r="B2560" s="306" t="str">
        <f>IF((COUNTBLANK(G2560)=0),Stats!$E$7,IF((COUNTBLANK(E2560)=0),IF((COUNTBLANK(F2560)=0),IF((COUNTBLANK(U2560)=0),Stats!$E$6,Stats!$E$5),Stats!$E$4),""))</f>
        <v/>
      </c>
      <c r="C2560" s="41"/>
      <c r="D2560" s="306" t="str">
        <f>IF(B2560=Stats!$E$6,Stats!$E$11,"")</f>
        <v/>
      </c>
    </row>
    <row r="2561" spans="2:4" hidden="1" x14ac:dyDescent="0.25">
      <c r="B2561" s="306" t="str">
        <f>IF((COUNTBLANK(G2561)=0),Stats!$E$7,IF((COUNTBLANK(E2561)=0),IF((COUNTBLANK(F2561)=0),IF((COUNTBLANK(U2561)=0),Stats!$E$6,Stats!$E$5),Stats!$E$4),""))</f>
        <v/>
      </c>
      <c r="C2561" s="41"/>
      <c r="D2561" s="306" t="str">
        <f>IF(B2561=Stats!$E$6,Stats!$E$11,"")</f>
        <v/>
      </c>
    </row>
    <row r="2562" spans="2:4" hidden="1" x14ac:dyDescent="0.25">
      <c r="B2562" s="306" t="str">
        <f>IF((COUNTBLANK(G2562)=0),Stats!$E$7,IF((COUNTBLANK(E2562)=0),IF((COUNTBLANK(F2562)=0),IF((COUNTBLANK(U2562)=0),Stats!$E$6,Stats!$E$5),Stats!$E$4),""))</f>
        <v/>
      </c>
      <c r="C2562" s="41"/>
      <c r="D2562" s="306" t="str">
        <f>IF(B2562=Stats!$E$6,Stats!$E$11,"")</f>
        <v/>
      </c>
    </row>
    <row r="2563" spans="2:4" hidden="1" x14ac:dyDescent="0.25">
      <c r="B2563" s="306" t="str">
        <f>IF((COUNTBLANK(G2563)=0),Stats!$E$7,IF((COUNTBLANK(E2563)=0),IF((COUNTBLANK(F2563)=0),IF((COUNTBLANK(U2563)=0),Stats!$E$6,Stats!$E$5),Stats!$E$4),""))</f>
        <v/>
      </c>
      <c r="C2563" s="41"/>
      <c r="D2563" s="306" t="str">
        <f>IF(B2563=Stats!$E$6,Stats!$E$11,"")</f>
        <v/>
      </c>
    </row>
    <row r="2564" spans="2:4" hidden="1" x14ac:dyDescent="0.25">
      <c r="B2564" s="306" t="str">
        <f>IF((COUNTBLANK(G2564)=0),Stats!$E$7,IF((COUNTBLANK(E2564)=0),IF((COUNTBLANK(F2564)=0),IF((COUNTBLANK(U2564)=0),Stats!$E$6,Stats!$E$5),Stats!$E$4),""))</f>
        <v/>
      </c>
      <c r="C2564" s="41"/>
      <c r="D2564" s="306" t="str">
        <f>IF(B2564=Stats!$E$6,Stats!$E$11,"")</f>
        <v/>
      </c>
    </row>
    <row r="2565" spans="2:4" hidden="1" x14ac:dyDescent="0.25">
      <c r="B2565" s="306" t="str">
        <f>IF((COUNTBLANK(G2565)=0),Stats!$E$7,IF((COUNTBLANK(E2565)=0),IF((COUNTBLANK(F2565)=0),IF((COUNTBLANK(U2565)=0),Stats!$E$6,Stats!$E$5),Stats!$E$4),""))</f>
        <v/>
      </c>
      <c r="C2565" s="41"/>
      <c r="D2565" s="306" t="str">
        <f>IF(B2565=Stats!$E$6,Stats!$E$11,"")</f>
        <v/>
      </c>
    </row>
    <row r="2566" spans="2:4" hidden="1" x14ac:dyDescent="0.25">
      <c r="B2566" s="306" t="str">
        <f>IF((COUNTBLANK(G2566)=0),Stats!$E$7,IF((COUNTBLANK(E2566)=0),IF((COUNTBLANK(F2566)=0),IF((COUNTBLANK(U2566)=0),Stats!$E$6,Stats!$E$5),Stats!$E$4),""))</f>
        <v/>
      </c>
      <c r="C2566" s="41"/>
      <c r="D2566" s="306" t="str">
        <f>IF(B2566=Stats!$E$6,Stats!$E$11,"")</f>
        <v/>
      </c>
    </row>
    <row r="2567" spans="2:4" hidden="1" x14ac:dyDescent="0.25">
      <c r="B2567" s="306" t="str">
        <f>IF((COUNTBLANK(G2567)=0),Stats!$E$7,IF((COUNTBLANK(E2567)=0),IF((COUNTBLANK(F2567)=0),IF((COUNTBLANK(U2567)=0),Stats!$E$6,Stats!$E$5),Stats!$E$4),""))</f>
        <v/>
      </c>
      <c r="C2567" s="41"/>
      <c r="D2567" s="306" t="str">
        <f>IF(B2567=Stats!$E$6,Stats!$E$11,"")</f>
        <v/>
      </c>
    </row>
    <row r="2568" spans="2:4" hidden="1" x14ac:dyDescent="0.25">
      <c r="B2568" s="306" t="str">
        <f>IF((COUNTBLANK(G2568)=0),Stats!$E$7,IF((COUNTBLANK(E2568)=0),IF((COUNTBLANK(F2568)=0),IF((COUNTBLANK(U2568)=0),Stats!$E$6,Stats!$E$5),Stats!$E$4),""))</f>
        <v/>
      </c>
      <c r="C2568" s="41"/>
      <c r="D2568" s="306" t="str">
        <f>IF(B2568=Stats!$E$6,Stats!$E$11,"")</f>
        <v/>
      </c>
    </row>
    <row r="2569" spans="2:4" hidden="1" x14ac:dyDescent="0.25">
      <c r="B2569" s="306" t="str">
        <f>IF((COUNTBLANK(G2569)=0),Stats!$E$7,IF((COUNTBLANK(E2569)=0),IF((COUNTBLANK(F2569)=0),IF((COUNTBLANK(U2569)=0),Stats!$E$6,Stats!$E$5),Stats!$E$4),""))</f>
        <v/>
      </c>
      <c r="C2569" s="41"/>
      <c r="D2569" s="306" t="str">
        <f>IF(B2569=Stats!$E$6,Stats!$E$11,"")</f>
        <v/>
      </c>
    </row>
    <row r="2570" spans="2:4" hidden="1" x14ac:dyDescent="0.25">
      <c r="B2570" s="306" t="str">
        <f>IF((COUNTBLANK(G2570)=0),Stats!$E$7,IF((COUNTBLANK(E2570)=0),IF((COUNTBLANK(F2570)=0),IF((COUNTBLANK(U2570)=0),Stats!$E$6,Stats!$E$5),Stats!$E$4),""))</f>
        <v/>
      </c>
      <c r="C2570" s="41"/>
      <c r="D2570" s="306" t="str">
        <f>IF(B2570=Stats!$E$6,Stats!$E$11,"")</f>
        <v/>
      </c>
    </row>
    <row r="2571" spans="2:4" hidden="1" x14ac:dyDescent="0.25">
      <c r="B2571" s="306" t="str">
        <f>IF((COUNTBLANK(G2571)=0),Stats!$E$7,IF((COUNTBLANK(E2571)=0),IF((COUNTBLANK(F2571)=0),IF((COUNTBLANK(U2571)=0),Stats!$E$6,Stats!$E$5),Stats!$E$4),""))</f>
        <v/>
      </c>
      <c r="C2571" s="41"/>
      <c r="D2571" s="306" t="str">
        <f>IF(B2571=Stats!$E$6,Stats!$E$11,"")</f>
        <v/>
      </c>
    </row>
    <row r="2572" spans="2:4" hidden="1" x14ac:dyDescent="0.25">
      <c r="B2572" s="306" t="str">
        <f>IF((COUNTBLANK(G2572)=0),Stats!$E$7,IF((COUNTBLANK(E2572)=0),IF((COUNTBLANK(F2572)=0),IF((COUNTBLANK(U2572)=0),Stats!$E$6,Stats!$E$5),Stats!$E$4),""))</f>
        <v/>
      </c>
      <c r="C2572" s="41"/>
      <c r="D2572" s="306" t="str">
        <f>IF(B2572=Stats!$E$6,Stats!$E$11,"")</f>
        <v/>
      </c>
    </row>
    <row r="2573" spans="2:4" hidden="1" x14ac:dyDescent="0.25">
      <c r="B2573" s="306" t="str">
        <f>IF((COUNTBLANK(G2573)=0),Stats!$E$7,IF((COUNTBLANK(E2573)=0),IF((COUNTBLANK(F2573)=0),IF((COUNTBLANK(U2573)=0),Stats!$E$6,Stats!$E$5),Stats!$E$4),""))</f>
        <v/>
      </c>
      <c r="C2573" s="41"/>
      <c r="D2573" s="306" t="str">
        <f>IF(B2573=Stats!$E$6,Stats!$E$11,"")</f>
        <v/>
      </c>
    </row>
    <row r="2574" spans="2:4" hidden="1" x14ac:dyDescent="0.25">
      <c r="B2574" s="306" t="str">
        <f>IF((COUNTBLANK(G2574)=0),Stats!$E$7,IF((COUNTBLANK(E2574)=0),IF((COUNTBLANK(F2574)=0),IF((COUNTBLANK(U2574)=0),Stats!$E$6,Stats!$E$5),Stats!$E$4),""))</f>
        <v/>
      </c>
      <c r="C2574" s="41"/>
      <c r="D2574" s="306" t="str">
        <f>IF(B2574=Stats!$E$6,Stats!$E$11,"")</f>
        <v/>
      </c>
    </row>
    <row r="2575" spans="2:4" hidden="1" x14ac:dyDescent="0.25">
      <c r="B2575" s="306" t="str">
        <f>IF((COUNTBLANK(G2575)=0),Stats!$E$7,IF((COUNTBLANK(E2575)=0),IF((COUNTBLANK(F2575)=0),IF((COUNTBLANK(U2575)=0),Stats!$E$6,Stats!$E$5),Stats!$E$4),""))</f>
        <v/>
      </c>
      <c r="C2575" s="41"/>
      <c r="D2575" s="306" t="str">
        <f>IF(B2575=Stats!$E$6,Stats!$E$11,"")</f>
        <v/>
      </c>
    </row>
    <row r="2576" spans="2:4" hidden="1" x14ac:dyDescent="0.25">
      <c r="B2576" s="306" t="str">
        <f>IF((COUNTBLANK(G2576)=0),Stats!$E$7,IF((COUNTBLANK(E2576)=0),IF((COUNTBLANK(F2576)=0),IF((COUNTBLANK(U2576)=0),Stats!$E$6,Stats!$E$5),Stats!$E$4),""))</f>
        <v/>
      </c>
      <c r="C2576" s="41"/>
      <c r="D2576" s="306" t="str">
        <f>IF(B2576=Stats!$E$6,Stats!$E$11,"")</f>
        <v/>
      </c>
    </row>
    <row r="2577" spans="2:4" hidden="1" x14ac:dyDescent="0.25">
      <c r="B2577" s="306" t="str">
        <f>IF((COUNTBLANK(G2577)=0),Stats!$E$7,IF((COUNTBLANK(E2577)=0),IF((COUNTBLANK(F2577)=0),IF((COUNTBLANK(U2577)=0),Stats!$E$6,Stats!$E$5),Stats!$E$4),""))</f>
        <v/>
      </c>
      <c r="C2577" s="41"/>
      <c r="D2577" s="306" t="str">
        <f>IF(B2577=Stats!$E$6,Stats!$E$11,"")</f>
        <v/>
      </c>
    </row>
    <row r="2578" spans="2:4" hidden="1" x14ac:dyDescent="0.25">
      <c r="B2578" s="306" t="str">
        <f>IF((COUNTBLANK(G2578)=0),Stats!$E$7,IF((COUNTBLANK(E2578)=0),IF((COUNTBLANK(F2578)=0),IF((COUNTBLANK(U2578)=0),Stats!$E$6,Stats!$E$5),Stats!$E$4),""))</f>
        <v/>
      </c>
      <c r="C2578" s="41"/>
      <c r="D2578" s="306" t="str">
        <f>IF(B2578=Stats!$E$6,Stats!$E$11,"")</f>
        <v/>
      </c>
    </row>
    <row r="2579" spans="2:4" hidden="1" x14ac:dyDescent="0.25">
      <c r="B2579" s="306" t="str">
        <f>IF((COUNTBLANK(G2579)=0),Stats!$E$7,IF((COUNTBLANK(E2579)=0),IF((COUNTBLANK(F2579)=0),IF((COUNTBLANK(U2579)=0),Stats!$E$6,Stats!$E$5),Stats!$E$4),""))</f>
        <v/>
      </c>
      <c r="C2579" s="41"/>
      <c r="D2579" s="306" t="str">
        <f>IF(B2579=Stats!$E$6,Stats!$E$11,"")</f>
        <v/>
      </c>
    </row>
    <row r="2580" spans="2:4" hidden="1" x14ac:dyDescent="0.25">
      <c r="B2580" s="306" t="str">
        <f>IF((COUNTBLANK(G2580)=0),Stats!$E$7,IF((COUNTBLANK(E2580)=0),IF((COUNTBLANK(F2580)=0),IF((COUNTBLANK(U2580)=0),Stats!$E$6,Stats!$E$5),Stats!$E$4),""))</f>
        <v/>
      </c>
      <c r="C2580" s="41"/>
      <c r="D2580" s="306" t="str">
        <f>IF(B2580=Stats!$E$6,Stats!$E$11,"")</f>
        <v/>
      </c>
    </row>
    <row r="2581" spans="2:4" hidden="1" x14ac:dyDescent="0.25">
      <c r="B2581" s="306" t="str">
        <f>IF((COUNTBLANK(G2581)=0),Stats!$E$7,IF((COUNTBLANK(E2581)=0),IF((COUNTBLANK(F2581)=0),IF((COUNTBLANK(U2581)=0),Stats!$E$6,Stats!$E$5),Stats!$E$4),""))</f>
        <v/>
      </c>
      <c r="C2581" s="41"/>
      <c r="D2581" s="306" t="str">
        <f>IF(B2581=Stats!$E$6,Stats!$E$11,"")</f>
        <v/>
      </c>
    </row>
    <row r="2582" spans="2:4" hidden="1" x14ac:dyDescent="0.25">
      <c r="B2582" s="306" t="str">
        <f>IF((COUNTBLANK(G2582)=0),Stats!$E$7,IF((COUNTBLANK(E2582)=0),IF((COUNTBLANK(F2582)=0),IF((COUNTBLANK(U2582)=0),Stats!$E$6,Stats!$E$5),Stats!$E$4),""))</f>
        <v/>
      </c>
      <c r="C2582" s="41"/>
      <c r="D2582" s="306" t="str">
        <f>IF(B2582=Stats!$E$6,Stats!$E$11,"")</f>
        <v/>
      </c>
    </row>
    <row r="2583" spans="2:4" hidden="1" x14ac:dyDescent="0.25">
      <c r="B2583" s="306" t="str">
        <f>IF((COUNTBLANK(G2583)=0),Stats!$E$7,IF((COUNTBLANK(E2583)=0),IF((COUNTBLANK(F2583)=0),IF((COUNTBLANK(U2583)=0),Stats!$E$6,Stats!$E$5),Stats!$E$4),""))</f>
        <v/>
      </c>
      <c r="C2583" s="41"/>
      <c r="D2583" s="306" t="str">
        <f>IF(B2583=Stats!$E$6,Stats!$E$11,"")</f>
        <v/>
      </c>
    </row>
    <row r="2584" spans="2:4" hidden="1" x14ac:dyDescent="0.25">
      <c r="B2584" s="306" t="str">
        <f>IF((COUNTBLANK(G2584)=0),Stats!$E$7,IF((COUNTBLANK(E2584)=0),IF((COUNTBLANK(F2584)=0),IF((COUNTBLANK(U2584)=0),Stats!$E$6,Stats!$E$5),Stats!$E$4),""))</f>
        <v/>
      </c>
      <c r="C2584" s="41"/>
      <c r="D2584" s="306" t="str">
        <f>IF(B2584=Stats!$E$6,Stats!$E$11,"")</f>
        <v/>
      </c>
    </row>
    <row r="2585" spans="2:4" hidden="1" x14ac:dyDescent="0.25">
      <c r="B2585" s="306" t="str">
        <f>IF((COUNTBLANK(G2585)=0),Stats!$E$7,IF((COUNTBLANK(E2585)=0),IF((COUNTBLANK(F2585)=0),IF((COUNTBLANK(U2585)=0),Stats!$E$6,Stats!$E$5),Stats!$E$4),""))</f>
        <v/>
      </c>
      <c r="C2585" s="41"/>
      <c r="D2585" s="306" t="str">
        <f>IF(B2585=Stats!$E$6,Stats!$E$11,"")</f>
        <v/>
      </c>
    </row>
    <row r="2586" spans="2:4" hidden="1" x14ac:dyDescent="0.25">
      <c r="B2586" s="306" t="str">
        <f>IF((COUNTBLANK(G2586)=0),Stats!$E$7,IF((COUNTBLANK(E2586)=0),IF((COUNTBLANK(F2586)=0),IF((COUNTBLANK(U2586)=0),Stats!$E$6,Stats!$E$5),Stats!$E$4),""))</f>
        <v/>
      </c>
      <c r="C2586" s="41"/>
      <c r="D2586" s="306" t="str">
        <f>IF(B2586=Stats!$E$6,Stats!$E$11,"")</f>
        <v/>
      </c>
    </row>
    <row r="2587" spans="2:4" hidden="1" x14ac:dyDescent="0.25">
      <c r="B2587" s="306" t="str">
        <f>IF((COUNTBLANK(G2587)=0),Stats!$E$7,IF((COUNTBLANK(E2587)=0),IF((COUNTBLANK(F2587)=0),IF((COUNTBLANK(U2587)=0),Stats!$E$6,Stats!$E$5),Stats!$E$4),""))</f>
        <v/>
      </c>
      <c r="C2587" s="41"/>
      <c r="D2587" s="306" t="str">
        <f>IF(B2587=Stats!$E$6,Stats!$E$11,"")</f>
        <v/>
      </c>
    </row>
    <row r="2588" spans="2:4" hidden="1" x14ac:dyDescent="0.25">
      <c r="B2588" s="306" t="str">
        <f>IF((COUNTBLANK(G2588)=0),Stats!$E$7,IF((COUNTBLANK(E2588)=0),IF((COUNTBLANK(F2588)=0),IF((COUNTBLANK(U2588)=0),Stats!$E$6,Stats!$E$5),Stats!$E$4),""))</f>
        <v/>
      </c>
      <c r="C2588" s="41"/>
      <c r="D2588" s="306" t="str">
        <f>IF(B2588=Stats!$E$6,Stats!$E$11,"")</f>
        <v/>
      </c>
    </row>
    <row r="2589" spans="2:4" hidden="1" x14ac:dyDescent="0.25">
      <c r="B2589" s="306" t="str">
        <f>IF((COUNTBLANK(G2589)=0),Stats!$E$7,IF((COUNTBLANK(E2589)=0),IF((COUNTBLANK(F2589)=0),IF((COUNTBLANK(U2589)=0),Stats!$E$6,Stats!$E$5),Stats!$E$4),""))</f>
        <v/>
      </c>
      <c r="C2589" s="41"/>
      <c r="D2589" s="306" t="str">
        <f>IF(B2589=Stats!$E$6,Stats!$E$11,"")</f>
        <v/>
      </c>
    </row>
    <row r="2590" spans="2:4" hidden="1" x14ac:dyDescent="0.25">
      <c r="B2590" s="306" t="str">
        <f>IF((COUNTBLANK(G2590)=0),Stats!$E$7,IF((COUNTBLANK(E2590)=0),IF((COUNTBLANK(F2590)=0),IF((COUNTBLANK(U2590)=0),Stats!$E$6,Stats!$E$5),Stats!$E$4),""))</f>
        <v/>
      </c>
      <c r="C2590" s="41"/>
      <c r="D2590" s="306" t="str">
        <f>IF(B2590=Stats!$E$6,Stats!$E$11,"")</f>
        <v/>
      </c>
    </row>
    <row r="2591" spans="2:4" hidden="1" x14ac:dyDescent="0.25">
      <c r="B2591" s="306" t="str">
        <f>IF((COUNTBLANK(G2591)=0),Stats!$E$7,IF((COUNTBLANK(E2591)=0),IF((COUNTBLANK(F2591)=0),IF((COUNTBLANK(U2591)=0),Stats!$E$6,Stats!$E$5),Stats!$E$4),""))</f>
        <v/>
      </c>
      <c r="C2591" s="41"/>
      <c r="D2591" s="306" t="str">
        <f>IF(B2591=Stats!$E$6,Stats!$E$11,"")</f>
        <v/>
      </c>
    </row>
    <row r="2592" spans="2:4" hidden="1" x14ac:dyDescent="0.25">
      <c r="B2592" s="306" t="str">
        <f>IF((COUNTBLANK(G2592)=0),Stats!$E$7,IF((COUNTBLANK(E2592)=0),IF((COUNTBLANK(F2592)=0),IF((COUNTBLANK(U2592)=0),Stats!$E$6,Stats!$E$5),Stats!$E$4),""))</f>
        <v/>
      </c>
      <c r="C2592" s="41"/>
      <c r="D2592" s="306" t="str">
        <f>IF(B2592=Stats!$E$6,Stats!$E$11,"")</f>
        <v/>
      </c>
    </row>
    <row r="2593" spans="2:4" hidden="1" x14ac:dyDescent="0.25">
      <c r="B2593" s="306" t="str">
        <f>IF((COUNTBLANK(G2593)=0),Stats!$E$7,IF((COUNTBLANK(E2593)=0),IF((COUNTBLANK(F2593)=0),IF((COUNTBLANK(U2593)=0),Stats!$E$6,Stats!$E$5),Stats!$E$4),""))</f>
        <v/>
      </c>
      <c r="C2593" s="41"/>
      <c r="D2593" s="306" t="str">
        <f>IF(B2593=Stats!$E$6,Stats!$E$11,"")</f>
        <v/>
      </c>
    </row>
    <row r="2594" spans="2:4" hidden="1" x14ac:dyDescent="0.25">
      <c r="B2594" s="306" t="str">
        <f>IF((COUNTBLANK(G2594)=0),Stats!$E$7,IF((COUNTBLANK(E2594)=0),IF((COUNTBLANK(F2594)=0),IF((COUNTBLANK(U2594)=0),Stats!$E$6,Stats!$E$5),Stats!$E$4),""))</f>
        <v/>
      </c>
      <c r="C2594" s="41"/>
      <c r="D2594" s="306" t="str">
        <f>IF(B2594=Stats!$E$6,Stats!$E$11,"")</f>
        <v/>
      </c>
    </row>
    <row r="2595" spans="2:4" hidden="1" x14ac:dyDescent="0.25">
      <c r="B2595" s="306" t="str">
        <f>IF((COUNTBLANK(G2595)=0),Stats!$E$7,IF((COUNTBLANK(E2595)=0),IF((COUNTBLANK(F2595)=0),IF((COUNTBLANK(U2595)=0),Stats!$E$6,Stats!$E$5),Stats!$E$4),""))</f>
        <v/>
      </c>
      <c r="C2595" s="41"/>
      <c r="D2595" s="306" t="str">
        <f>IF(B2595=Stats!$E$6,Stats!$E$11,"")</f>
        <v/>
      </c>
    </row>
    <row r="2596" spans="2:4" hidden="1" x14ac:dyDescent="0.25">
      <c r="B2596" s="306" t="str">
        <f>IF((COUNTBLANK(G2596)=0),Stats!$E$7,IF((COUNTBLANK(E2596)=0),IF((COUNTBLANK(F2596)=0),IF((COUNTBLANK(U2596)=0),Stats!$E$6,Stats!$E$5),Stats!$E$4),""))</f>
        <v/>
      </c>
      <c r="C2596" s="41"/>
      <c r="D2596" s="306" t="str">
        <f>IF(B2596=Stats!$E$6,Stats!$E$11,"")</f>
        <v/>
      </c>
    </row>
    <row r="2597" spans="2:4" hidden="1" x14ac:dyDescent="0.25">
      <c r="B2597" s="306" t="str">
        <f>IF((COUNTBLANK(G2597)=0),Stats!$E$7,IF((COUNTBLANK(E2597)=0),IF((COUNTBLANK(F2597)=0),IF((COUNTBLANK(U2597)=0),Stats!$E$6,Stats!$E$5),Stats!$E$4),""))</f>
        <v/>
      </c>
      <c r="C2597" s="41"/>
      <c r="D2597" s="306" t="str">
        <f>IF(B2597=Stats!$E$6,Stats!$E$11,"")</f>
        <v/>
      </c>
    </row>
    <row r="2598" spans="2:4" hidden="1" x14ac:dyDescent="0.25">
      <c r="B2598" s="306" t="str">
        <f>IF((COUNTBLANK(G2598)=0),Stats!$E$7,IF((COUNTBLANK(E2598)=0),IF((COUNTBLANK(F2598)=0),IF((COUNTBLANK(U2598)=0),Stats!$E$6,Stats!$E$5),Stats!$E$4),""))</f>
        <v/>
      </c>
      <c r="C2598" s="41"/>
      <c r="D2598" s="306" t="str">
        <f>IF(B2598=Stats!$E$6,Stats!$E$11,"")</f>
        <v/>
      </c>
    </row>
    <row r="2599" spans="2:4" hidden="1" x14ac:dyDescent="0.25">
      <c r="B2599" s="306" t="str">
        <f>IF((COUNTBLANK(G2599)=0),Stats!$E$7,IF((COUNTBLANK(E2599)=0),IF((COUNTBLANK(F2599)=0),IF((COUNTBLANK(U2599)=0),Stats!$E$6,Stats!$E$5),Stats!$E$4),""))</f>
        <v/>
      </c>
      <c r="C2599" s="41"/>
      <c r="D2599" s="306" t="str">
        <f>IF(B2599=Stats!$E$6,Stats!$E$11,"")</f>
        <v/>
      </c>
    </row>
    <row r="2600" spans="2:4" hidden="1" x14ac:dyDescent="0.25">
      <c r="B2600" s="306" t="str">
        <f>IF((COUNTBLANK(G2600)=0),Stats!$E$7,IF((COUNTBLANK(E2600)=0),IF((COUNTBLANK(F2600)=0),IF((COUNTBLANK(U2600)=0),Stats!$E$6,Stats!$E$5),Stats!$E$4),""))</f>
        <v/>
      </c>
      <c r="C2600" s="41"/>
      <c r="D2600" s="306" t="str">
        <f>IF(B2600=Stats!$E$6,Stats!$E$11,"")</f>
        <v/>
      </c>
    </row>
    <row r="2601" spans="2:4" hidden="1" x14ac:dyDescent="0.25">
      <c r="B2601" s="306" t="str">
        <f>IF((COUNTBLANK(G2601)=0),Stats!$E$7,IF((COUNTBLANK(E2601)=0),IF((COUNTBLANK(F2601)=0),IF((COUNTBLANK(U2601)=0),Stats!$E$6,Stats!$E$5),Stats!$E$4),""))</f>
        <v/>
      </c>
      <c r="C2601" s="41"/>
      <c r="D2601" s="306" t="str">
        <f>IF(B2601=Stats!$E$6,Stats!$E$11,"")</f>
        <v/>
      </c>
    </row>
    <row r="2602" spans="2:4" hidden="1" x14ac:dyDescent="0.25">
      <c r="B2602" s="306" t="str">
        <f>IF((COUNTBLANK(G2602)=0),Stats!$E$7,IF((COUNTBLANK(E2602)=0),IF((COUNTBLANK(F2602)=0),IF((COUNTBLANK(U2602)=0),Stats!$E$6,Stats!$E$5),Stats!$E$4),""))</f>
        <v/>
      </c>
      <c r="C2602" s="41"/>
      <c r="D2602" s="306" t="str">
        <f>IF(B2602=Stats!$E$6,Stats!$E$11,"")</f>
        <v/>
      </c>
    </row>
    <row r="2603" spans="2:4" hidden="1" x14ac:dyDescent="0.25">
      <c r="B2603" s="306" t="str">
        <f>IF((COUNTBLANK(G2603)=0),Stats!$E$7,IF((COUNTBLANK(E2603)=0),IF((COUNTBLANK(F2603)=0),IF((COUNTBLANK(U2603)=0),Stats!$E$6,Stats!$E$5),Stats!$E$4),""))</f>
        <v/>
      </c>
      <c r="C2603" s="41"/>
      <c r="D2603" s="306" t="str">
        <f>IF(B2603=Stats!$E$6,Stats!$E$11,"")</f>
        <v/>
      </c>
    </row>
    <row r="2604" spans="2:4" hidden="1" x14ac:dyDescent="0.25">
      <c r="B2604" s="306" t="str">
        <f>IF((COUNTBLANK(G2604)=0),Stats!$E$7,IF((COUNTBLANK(E2604)=0),IF((COUNTBLANK(F2604)=0),IF((COUNTBLANK(U2604)=0),Stats!$E$6,Stats!$E$5),Stats!$E$4),""))</f>
        <v/>
      </c>
      <c r="C2604" s="41"/>
      <c r="D2604" s="306" t="str">
        <f>IF(B2604=Stats!$E$6,Stats!$E$11,"")</f>
        <v/>
      </c>
    </row>
    <row r="2605" spans="2:4" hidden="1" x14ac:dyDescent="0.25">
      <c r="B2605" s="306" t="str">
        <f>IF((COUNTBLANK(G2605)=0),Stats!$E$7,IF((COUNTBLANK(E2605)=0),IF((COUNTBLANK(F2605)=0),IF((COUNTBLANK(U2605)=0),Stats!$E$6,Stats!$E$5),Stats!$E$4),""))</f>
        <v/>
      </c>
      <c r="C2605" s="41"/>
      <c r="D2605" s="306" t="str">
        <f>IF(B2605=Stats!$E$6,Stats!$E$11,"")</f>
        <v/>
      </c>
    </row>
    <row r="2606" spans="2:4" hidden="1" x14ac:dyDescent="0.25">
      <c r="B2606" s="306" t="str">
        <f>IF((COUNTBLANK(G2606)=0),Stats!$E$7,IF((COUNTBLANK(E2606)=0),IF((COUNTBLANK(F2606)=0),IF((COUNTBLANK(U2606)=0),Stats!$E$6,Stats!$E$5),Stats!$E$4),""))</f>
        <v/>
      </c>
      <c r="C2606" s="41"/>
      <c r="D2606" s="306" t="str">
        <f>IF(B2606=Stats!$E$6,Stats!$E$11,"")</f>
        <v/>
      </c>
    </row>
    <row r="2607" spans="2:4" hidden="1" x14ac:dyDescent="0.25">
      <c r="B2607" s="306" t="str">
        <f>IF((COUNTBLANK(G2607)=0),Stats!$E$7,IF((COUNTBLANK(E2607)=0),IF((COUNTBLANK(F2607)=0),IF((COUNTBLANK(U2607)=0),Stats!$E$6,Stats!$E$5),Stats!$E$4),""))</f>
        <v/>
      </c>
      <c r="C2607" s="41"/>
      <c r="D2607" s="306" t="str">
        <f>IF(B2607=Stats!$E$6,Stats!$E$11,"")</f>
        <v/>
      </c>
    </row>
    <row r="2608" spans="2:4" hidden="1" x14ac:dyDescent="0.25">
      <c r="B2608" s="306" t="str">
        <f>IF((COUNTBLANK(G2608)=0),Stats!$E$7,IF((COUNTBLANK(E2608)=0),IF((COUNTBLANK(F2608)=0),IF((COUNTBLANK(U2608)=0),Stats!$E$6,Stats!$E$5),Stats!$E$4),""))</f>
        <v/>
      </c>
      <c r="C2608" s="41"/>
      <c r="D2608" s="306" t="str">
        <f>IF(B2608=Stats!$E$6,Stats!$E$11,"")</f>
        <v/>
      </c>
    </row>
    <row r="2609" spans="2:4" hidden="1" x14ac:dyDescent="0.25">
      <c r="B2609" s="306" t="str">
        <f>IF((COUNTBLANK(G2609)=0),Stats!$E$7,IF((COUNTBLANK(E2609)=0),IF((COUNTBLANK(F2609)=0),IF((COUNTBLANK(U2609)=0),Stats!$E$6,Stats!$E$5),Stats!$E$4),""))</f>
        <v/>
      </c>
      <c r="C2609" s="41"/>
      <c r="D2609" s="306" t="str">
        <f>IF(B2609=Stats!$E$6,Stats!$E$11,"")</f>
        <v/>
      </c>
    </row>
    <row r="2610" spans="2:4" hidden="1" x14ac:dyDescent="0.25">
      <c r="B2610" s="306" t="str">
        <f>IF((COUNTBLANK(G2610)=0),Stats!$E$7,IF((COUNTBLANK(E2610)=0),IF((COUNTBLANK(F2610)=0),IF((COUNTBLANK(U2610)=0),Stats!$E$6,Stats!$E$5),Stats!$E$4),""))</f>
        <v/>
      </c>
      <c r="C2610" s="41"/>
      <c r="D2610" s="306" t="str">
        <f>IF(B2610=Stats!$E$6,Stats!$E$11,"")</f>
        <v/>
      </c>
    </row>
    <row r="2611" spans="2:4" hidden="1" x14ac:dyDescent="0.25">
      <c r="B2611" s="306" t="str">
        <f>IF((COUNTBLANK(G2611)=0),Stats!$E$7,IF((COUNTBLANK(E2611)=0),IF((COUNTBLANK(F2611)=0),IF((COUNTBLANK(U2611)=0),Stats!$E$6,Stats!$E$5),Stats!$E$4),""))</f>
        <v/>
      </c>
      <c r="C2611" s="41"/>
      <c r="D2611" s="306" t="str">
        <f>IF(B2611=Stats!$E$6,Stats!$E$11,"")</f>
        <v/>
      </c>
    </row>
    <row r="2612" spans="2:4" hidden="1" x14ac:dyDescent="0.25">
      <c r="B2612" s="306" t="str">
        <f>IF((COUNTBLANK(G2612)=0),Stats!$E$7,IF((COUNTBLANK(E2612)=0),IF((COUNTBLANK(F2612)=0),IF((COUNTBLANK(U2612)=0),Stats!$E$6,Stats!$E$5),Stats!$E$4),""))</f>
        <v/>
      </c>
      <c r="C2612" s="41"/>
      <c r="D2612" s="306" t="str">
        <f>IF(B2612=Stats!$E$6,Stats!$E$11,"")</f>
        <v/>
      </c>
    </row>
    <row r="2613" spans="2:4" hidden="1" x14ac:dyDescent="0.25">
      <c r="B2613" s="306" t="str">
        <f>IF((COUNTBLANK(G2613)=0),Stats!$E$7,IF((COUNTBLANK(E2613)=0),IF((COUNTBLANK(F2613)=0),IF((COUNTBLANK(U2613)=0),Stats!$E$6,Stats!$E$5),Stats!$E$4),""))</f>
        <v/>
      </c>
      <c r="C2613" s="41"/>
      <c r="D2613" s="306" t="str">
        <f>IF(B2613=Stats!$E$6,Stats!$E$11,"")</f>
        <v/>
      </c>
    </row>
    <row r="2614" spans="2:4" hidden="1" x14ac:dyDescent="0.25">
      <c r="B2614" s="306" t="str">
        <f>IF((COUNTBLANK(G2614)=0),Stats!$E$7,IF((COUNTBLANK(E2614)=0),IF((COUNTBLANK(F2614)=0),IF((COUNTBLANK(U2614)=0),Stats!$E$6,Stats!$E$5),Stats!$E$4),""))</f>
        <v/>
      </c>
      <c r="C2614" s="41"/>
      <c r="D2614" s="306" t="str">
        <f>IF(B2614=Stats!$E$6,Stats!$E$11,"")</f>
        <v/>
      </c>
    </row>
    <row r="2615" spans="2:4" hidden="1" x14ac:dyDescent="0.25">
      <c r="B2615" s="306" t="str">
        <f>IF((COUNTBLANK(G2615)=0),Stats!$E$7,IF((COUNTBLANK(E2615)=0),IF((COUNTBLANK(F2615)=0),IF((COUNTBLANK(U2615)=0),Stats!$E$6,Stats!$E$5),Stats!$E$4),""))</f>
        <v/>
      </c>
      <c r="C2615" s="41"/>
      <c r="D2615" s="306" t="str">
        <f>IF(B2615=Stats!$E$6,Stats!$E$11,"")</f>
        <v/>
      </c>
    </row>
    <row r="2616" spans="2:4" hidden="1" x14ac:dyDescent="0.25">
      <c r="B2616" s="306" t="str">
        <f>IF((COUNTBLANK(G2616)=0),Stats!$E$7,IF((COUNTBLANK(E2616)=0),IF((COUNTBLANK(F2616)=0),IF((COUNTBLANK(U2616)=0),Stats!$E$6,Stats!$E$5),Stats!$E$4),""))</f>
        <v/>
      </c>
      <c r="C2616" s="41"/>
      <c r="D2616" s="306" t="str">
        <f>IF(B2616=Stats!$E$6,Stats!$E$11,"")</f>
        <v/>
      </c>
    </row>
    <row r="2617" spans="2:4" hidden="1" x14ac:dyDescent="0.25">
      <c r="B2617" s="306" t="str">
        <f>IF((COUNTBLANK(G2617)=0),Stats!$E$7,IF((COUNTBLANK(E2617)=0),IF((COUNTBLANK(F2617)=0),IF((COUNTBLANK(U2617)=0),Stats!$E$6,Stats!$E$5),Stats!$E$4),""))</f>
        <v/>
      </c>
      <c r="C2617" s="41"/>
      <c r="D2617" s="306" t="str">
        <f>IF(B2617=Stats!$E$6,Stats!$E$11,"")</f>
        <v/>
      </c>
    </row>
    <row r="2618" spans="2:4" hidden="1" x14ac:dyDescent="0.25">
      <c r="B2618" s="306" t="str">
        <f>IF((COUNTBLANK(G2618)=0),Stats!$E$7,IF((COUNTBLANK(E2618)=0),IF((COUNTBLANK(F2618)=0),IF((COUNTBLANK(U2618)=0),Stats!$E$6,Stats!$E$5),Stats!$E$4),""))</f>
        <v/>
      </c>
      <c r="C2618" s="41"/>
      <c r="D2618" s="306" t="str">
        <f>IF(B2618=Stats!$E$6,Stats!$E$11,"")</f>
        <v/>
      </c>
    </row>
    <row r="2619" spans="2:4" hidden="1" x14ac:dyDescent="0.25">
      <c r="B2619" s="306" t="str">
        <f>IF((COUNTBLANK(G2619)=0),Stats!$E$7,IF((COUNTBLANK(E2619)=0),IF((COUNTBLANK(F2619)=0),IF((COUNTBLANK(U2619)=0),Stats!$E$6,Stats!$E$5),Stats!$E$4),""))</f>
        <v/>
      </c>
      <c r="C2619" s="41"/>
      <c r="D2619" s="306" t="str">
        <f>IF(B2619=Stats!$E$6,Stats!$E$11,"")</f>
        <v/>
      </c>
    </row>
    <row r="2620" spans="2:4" hidden="1" x14ac:dyDescent="0.25">
      <c r="B2620" s="306" t="str">
        <f>IF((COUNTBLANK(G2620)=0),Stats!$E$7,IF((COUNTBLANK(E2620)=0),IF((COUNTBLANK(F2620)=0),IF((COUNTBLANK(U2620)=0),Stats!$E$6,Stats!$E$5),Stats!$E$4),""))</f>
        <v/>
      </c>
      <c r="C2620" s="41"/>
      <c r="D2620" s="306" t="str">
        <f>IF(B2620=Stats!$E$6,Stats!$E$11,"")</f>
        <v/>
      </c>
    </row>
    <row r="2621" spans="2:4" hidden="1" x14ac:dyDescent="0.25">
      <c r="B2621" s="306" t="str">
        <f>IF((COUNTBLANK(G2621)=0),Stats!$E$7,IF((COUNTBLANK(E2621)=0),IF((COUNTBLANK(F2621)=0),IF((COUNTBLANK(U2621)=0),Stats!$E$6,Stats!$E$5),Stats!$E$4),""))</f>
        <v/>
      </c>
      <c r="C2621" s="41"/>
      <c r="D2621" s="306" t="str">
        <f>IF(B2621=Stats!$E$6,Stats!$E$11,"")</f>
        <v/>
      </c>
    </row>
    <row r="2622" spans="2:4" hidden="1" x14ac:dyDescent="0.25">
      <c r="B2622" s="306" t="str">
        <f>IF((COUNTBLANK(G2622)=0),Stats!$E$7,IF((COUNTBLANK(E2622)=0),IF((COUNTBLANK(F2622)=0),IF((COUNTBLANK(U2622)=0),Stats!$E$6,Stats!$E$5),Stats!$E$4),""))</f>
        <v/>
      </c>
      <c r="C2622" s="41"/>
      <c r="D2622" s="306" t="str">
        <f>IF(B2622=Stats!$E$6,Stats!$E$11,"")</f>
        <v/>
      </c>
    </row>
    <row r="2623" spans="2:4" hidden="1" x14ac:dyDescent="0.25">
      <c r="B2623" s="306" t="str">
        <f>IF((COUNTBLANK(G2623)=0),Stats!$E$7,IF((COUNTBLANK(E2623)=0),IF((COUNTBLANK(F2623)=0),IF((COUNTBLANK(U2623)=0),Stats!$E$6,Stats!$E$5),Stats!$E$4),""))</f>
        <v/>
      </c>
      <c r="C2623" s="41"/>
      <c r="D2623" s="306" t="str">
        <f>IF(B2623=Stats!$E$6,Stats!$E$11,"")</f>
        <v/>
      </c>
    </row>
    <row r="2624" spans="2:4" hidden="1" x14ac:dyDescent="0.25">
      <c r="B2624" s="306" t="str">
        <f>IF((COUNTBLANK(G2624)=0),Stats!$E$7,IF((COUNTBLANK(E2624)=0),IF((COUNTBLANK(F2624)=0),IF((COUNTBLANK(U2624)=0),Stats!$E$6,Stats!$E$5),Stats!$E$4),""))</f>
        <v/>
      </c>
      <c r="C2624" s="41"/>
      <c r="D2624" s="306" t="str">
        <f>IF(B2624=Stats!$E$6,Stats!$E$11,"")</f>
        <v/>
      </c>
    </row>
    <row r="2625" spans="2:4" hidden="1" x14ac:dyDescent="0.25">
      <c r="B2625" s="306" t="str">
        <f>IF((COUNTBLANK(G2625)=0),Stats!$E$7,IF((COUNTBLANK(E2625)=0),IF((COUNTBLANK(F2625)=0),IF((COUNTBLANK(U2625)=0),Stats!$E$6,Stats!$E$5),Stats!$E$4),""))</f>
        <v/>
      </c>
      <c r="C2625" s="41"/>
      <c r="D2625" s="306" t="str">
        <f>IF(B2625=Stats!$E$6,Stats!$E$11,"")</f>
        <v/>
      </c>
    </row>
    <row r="2626" spans="2:4" hidden="1" x14ac:dyDescent="0.25">
      <c r="B2626" s="306" t="str">
        <f>IF((COUNTBLANK(G2626)=0),Stats!$E$7,IF((COUNTBLANK(E2626)=0),IF((COUNTBLANK(F2626)=0),IF((COUNTBLANK(U2626)=0),Stats!$E$6,Stats!$E$5),Stats!$E$4),""))</f>
        <v/>
      </c>
      <c r="C2626" s="41"/>
      <c r="D2626" s="306" t="str">
        <f>IF(B2626=Stats!$E$6,Stats!$E$11,"")</f>
        <v/>
      </c>
    </row>
    <row r="2627" spans="2:4" hidden="1" x14ac:dyDescent="0.25">
      <c r="B2627" s="306" t="str">
        <f>IF((COUNTBLANK(G2627)=0),Stats!$E$7,IF((COUNTBLANK(E2627)=0),IF((COUNTBLANK(F2627)=0),IF((COUNTBLANK(U2627)=0),Stats!$E$6,Stats!$E$5),Stats!$E$4),""))</f>
        <v/>
      </c>
      <c r="C2627" s="41"/>
      <c r="D2627" s="306" t="str">
        <f>IF(B2627=Stats!$E$6,Stats!$E$11,"")</f>
        <v/>
      </c>
    </row>
    <row r="2628" spans="2:4" hidden="1" x14ac:dyDescent="0.25">
      <c r="B2628" s="306" t="str">
        <f>IF((COUNTBLANK(G2628)=0),Stats!$E$7,IF((COUNTBLANK(E2628)=0),IF((COUNTBLANK(F2628)=0),IF((COUNTBLANK(U2628)=0),Stats!$E$6,Stats!$E$5),Stats!$E$4),""))</f>
        <v/>
      </c>
      <c r="C2628" s="41"/>
      <c r="D2628" s="306" t="str">
        <f>IF(B2628=Stats!$E$6,Stats!$E$11,"")</f>
        <v/>
      </c>
    </row>
    <row r="2629" spans="2:4" hidden="1" x14ac:dyDescent="0.25">
      <c r="B2629" s="306" t="str">
        <f>IF((COUNTBLANK(G2629)=0),Stats!$E$7,IF((COUNTBLANK(E2629)=0),IF((COUNTBLANK(F2629)=0),IF((COUNTBLANK(U2629)=0),Stats!$E$6,Stats!$E$5),Stats!$E$4),""))</f>
        <v/>
      </c>
      <c r="C2629" s="41"/>
      <c r="D2629" s="306" t="str">
        <f>IF(B2629=Stats!$E$6,Stats!$E$11,"")</f>
        <v/>
      </c>
    </row>
    <row r="2630" spans="2:4" hidden="1" x14ac:dyDescent="0.25">
      <c r="B2630" s="306" t="str">
        <f>IF((COUNTBLANK(G2630)=0),Stats!$E$7,IF((COUNTBLANK(E2630)=0),IF((COUNTBLANK(F2630)=0),IF((COUNTBLANK(U2630)=0),Stats!$E$6,Stats!$E$5),Stats!$E$4),""))</f>
        <v/>
      </c>
      <c r="C2630" s="41"/>
      <c r="D2630" s="306" t="str">
        <f>IF(B2630=Stats!$E$6,Stats!$E$11,"")</f>
        <v/>
      </c>
    </row>
    <row r="2631" spans="2:4" hidden="1" x14ac:dyDescent="0.25">
      <c r="B2631" s="306" t="str">
        <f>IF((COUNTBLANK(G2631)=0),Stats!$E$7,IF((COUNTBLANK(E2631)=0),IF((COUNTBLANK(F2631)=0),IF((COUNTBLANK(U2631)=0),Stats!$E$6,Stats!$E$5),Stats!$E$4),""))</f>
        <v/>
      </c>
      <c r="C2631" s="41"/>
      <c r="D2631" s="306" t="str">
        <f>IF(B2631=Stats!$E$6,Stats!$E$11,"")</f>
        <v/>
      </c>
    </row>
    <row r="2632" spans="2:4" hidden="1" x14ac:dyDescent="0.25">
      <c r="B2632" s="306" t="str">
        <f>IF((COUNTBLANK(G2632)=0),Stats!$E$7,IF((COUNTBLANK(E2632)=0),IF((COUNTBLANK(F2632)=0),IF((COUNTBLANK(U2632)=0),Stats!$E$6,Stats!$E$5),Stats!$E$4),""))</f>
        <v/>
      </c>
      <c r="C2632" s="41"/>
      <c r="D2632" s="306" t="str">
        <f>IF(B2632=Stats!$E$6,Stats!$E$11,"")</f>
        <v/>
      </c>
    </row>
    <row r="2633" spans="2:4" hidden="1" x14ac:dyDescent="0.25">
      <c r="B2633" s="306" t="str">
        <f>IF((COUNTBLANK(G2633)=0),Stats!$E$7,IF((COUNTBLANK(E2633)=0),IF((COUNTBLANK(F2633)=0),IF((COUNTBLANK(U2633)=0),Stats!$E$6,Stats!$E$5),Stats!$E$4),""))</f>
        <v/>
      </c>
      <c r="C2633" s="41"/>
      <c r="D2633" s="306" t="str">
        <f>IF(B2633=Stats!$E$6,Stats!$E$11,"")</f>
        <v/>
      </c>
    </row>
    <row r="2634" spans="2:4" hidden="1" x14ac:dyDescent="0.25">
      <c r="B2634" s="306" t="str">
        <f>IF((COUNTBLANK(G2634)=0),Stats!$E$7,IF((COUNTBLANK(E2634)=0),IF((COUNTBLANK(F2634)=0),IF((COUNTBLANK(U2634)=0),Stats!$E$6,Stats!$E$5),Stats!$E$4),""))</f>
        <v/>
      </c>
      <c r="C2634" s="41"/>
      <c r="D2634" s="306" t="str">
        <f>IF(B2634=Stats!$E$6,Stats!$E$11,"")</f>
        <v/>
      </c>
    </row>
    <row r="2635" spans="2:4" hidden="1" x14ac:dyDescent="0.25">
      <c r="B2635" s="306" t="str">
        <f>IF((COUNTBLANK(G2635)=0),Stats!$E$7,IF((COUNTBLANK(E2635)=0),IF((COUNTBLANK(F2635)=0),IF((COUNTBLANK(U2635)=0),Stats!$E$6,Stats!$E$5),Stats!$E$4),""))</f>
        <v/>
      </c>
      <c r="C2635" s="41"/>
      <c r="D2635" s="306" t="str">
        <f>IF(B2635=Stats!$E$6,Stats!$E$11,"")</f>
        <v/>
      </c>
    </row>
    <row r="2636" spans="2:4" hidden="1" x14ac:dyDescent="0.25">
      <c r="B2636" s="306" t="str">
        <f>IF((COUNTBLANK(G2636)=0),Stats!$E$7,IF((COUNTBLANK(E2636)=0),IF((COUNTBLANK(F2636)=0),IF((COUNTBLANK(U2636)=0),Stats!$E$6,Stats!$E$5),Stats!$E$4),""))</f>
        <v/>
      </c>
      <c r="C2636" s="41"/>
      <c r="D2636" s="306" t="str">
        <f>IF(B2636=Stats!$E$6,Stats!$E$11,"")</f>
        <v/>
      </c>
    </row>
    <row r="2637" spans="2:4" hidden="1" x14ac:dyDescent="0.25">
      <c r="B2637" s="306" t="str">
        <f>IF((COUNTBLANK(G2637)=0),Stats!$E$7,IF((COUNTBLANK(E2637)=0),IF((COUNTBLANK(F2637)=0),IF((COUNTBLANK(U2637)=0),Stats!$E$6,Stats!$E$5),Stats!$E$4),""))</f>
        <v/>
      </c>
      <c r="C2637" s="41"/>
      <c r="D2637" s="306" t="str">
        <f>IF(B2637=Stats!$E$6,Stats!$E$11,"")</f>
        <v/>
      </c>
    </row>
    <row r="2638" spans="2:4" hidden="1" x14ac:dyDescent="0.25">
      <c r="B2638" s="306" t="str">
        <f>IF((COUNTBLANK(G2638)=0),Stats!$E$7,IF((COUNTBLANK(E2638)=0),IF((COUNTBLANK(F2638)=0),IF((COUNTBLANK(U2638)=0),Stats!$E$6,Stats!$E$5),Stats!$E$4),""))</f>
        <v/>
      </c>
      <c r="C2638" s="41"/>
      <c r="D2638" s="306" t="str">
        <f>IF(B2638=Stats!$E$6,Stats!$E$11,"")</f>
        <v/>
      </c>
    </row>
    <row r="2639" spans="2:4" hidden="1" x14ac:dyDescent="0.25">
      <c r="B2639" s="306" t="str">
        <f>IF((COUNTBLANK(G2639)=0),Stats!$E$7,IF((COUNTBLANK(E2639)=0),IF((COUNTBLANK(F2639)=0),IF((COUNTBLANK(U2639)=0),Stats!$E$6,Stats!$E$5),Stats!$E$4),""))</f>
        <v/>
      </c>
      <c r="C2639" s="41"/>
      <c r="D2639" s="306" t="str">
        <f>IF(B2639=Stats!$E$6,Stats!$E$11,"")</f>
        <v/>
      </c>
    </row>
    <row r="2640" spans="2:4" hidden="1" x14ac:dyDescent="0.25">
      <c r="B2640" s="306" t="str">
        <f>IF((COUNTBLANK(G2640)=0),Stats!$E$7,IF((COUNTBLANK(E2640)=0),IF((COUNTBLANK(F2640)=0),IF((COUNTBLANK(U2640)=0),Stats!$E$6,Stats!$E$5),Stats!$E$4),""))</f>
        <v/>
      </c>
      <c r="C2640" s="41"/>
      <c r="D2640" s="306" t="str">
        <f>IF(B2640=Stats!$E$6,Stats!$E$11,"")</f>
        <v/>
      </c>
    </row>
    <row r="2641" spans="2:4" hidden="1" x14ac:dyDescent="0.25">
      <c r="B2641" s="306" t="str">
        <f>IF((COUNTBLANK(G2641)=0),Stats!$E$7,IF((COUNTBLANK(E2641)=0),IF((COUNTBLANK(F2641)=0),IF((COUNTBLANK(U2641)=0),Stats!$E$6,Stats!$E$5),Stats!$E$4),""))</f>
        <v/>
      </c>
      <c r="C2641" s="41"/>
      <c r="D2641" s="306" t="str">
        <f>IF(B2641=Stats!$E$6,Stats!$E$11,"")</f>
        <v/>
      </c>
    </row>
    <row r="2642" spans="2:4" hidden="1" x14ac:dyDescent="0.25">
      <c r="B2642" s="306" t="str">
        <f>IF((COUNTBLANK(G2642)=0),Stats!$E$7,IF((COUNTBLANK(E2642)=0),IF((COUNTBLANK(F2642)=0),IF((COUNTBLANK(U2642)=0),Stats!$E$6,Stats!$E$5),Stats!$E$4),""))</f>
        <v/>
      </c>
      <c r="C2642" s="41"/>
      <c r="D2642" s="306" t="str">
        <f>IF(B2642=Stats!$E$6,Stats!$E$11,"")</f>
        <v/>
      </c>
    </row>
    <row r="2643" spans="2:4" hidden="1" x14ac:dyDescent="0.25">
      <c r="B2643" s="306" t="str">
        <f>IF((COUNTBLANK(G2643)=0),Stats!$E$7,IF((COUNTBLANK(E2643)=0),IF((COUNTBLANK(F2643)=0),IF((COUNTBLANK(U2643)=0),Stats!$E$6,Stats!$E$5),Stats!$E$4),""))</f>
        <v/>
      </c>
      <c r="C2643" s="41"/>
      <c r="D2643" s="306" t="str">
        <f>IF(B2643=Stats!$E$6,Stats!$E$11,"")</f>
        <v/>
      </c>
    </row>
    <row r="2644" spans="2:4" hidden="1" x14ac:dyDescent="0.25">
      <c r="B2644" s="306" t="str">
        <f>IF((COUNTBLANK(G2644)=0),Stats!$E$7,IF((COUNTBLANK(E2644)=0),IF((COUNTBLANK(F2644)=0),IF((COUNTBLANK(U2644)=0),Stats!$E$6,Stats!$E$5),Stats!$E$4),""))</f>
        <v/>
      </c>
      <c r="C2644" s="41"/>
      <c r="D2644" s="306" t="str">
        <f>IF(B2644=Stats!$E$6,Stats!$E$11,"")</f>
        <v/>
      </c>
    </row>
    <row r="2645" spans="2:4" hidden="1" x14ac:dyDescent="0.25">
      <c r="B2645" s="306" t="str">
        <f>IF((COUNTBLANK(G2645)=0),Stats!$E$7,IF((COUNTBLANK(E2645)=0),IF((COUNTBLANK(F2645)=0),IF((COUNTBLANK(U2645)=0),Stats!$E$6,Stats!$E$5),Stats!$E$4),""))</f>
        <v/>
      </c>
      <c r="C2645" s="41"/>
      <c r="D2645" s="306" t="str">
        <f>IF(B2645=Stats!$E$6,Stats!$E$11,"")</f>
        <v/>
      </c>
    </row>
    <row r="2646" spans="2:4" hidden="1" x14ac:dyDescent="0.25">
      <c r="B2646" s="306" t="str">
        <f>IF((COUNTBLANK(G2646)=0),Stats!$E$7,IF((COUNTBLANK(E2646)=0),IF((COUNTBLANK(F2646)=0),IF((COUNTBLANK(U2646)=0),Stats!$E$6,Stats!$E$5),Stats!$E$4),""))</f>
        <v/>
      </c>
      <c r="C2646" s="41"/>
      <c r="D2646" s="306" t="str">
        <f>IF(B2646=Stats!$E$6,Stats!$E$11,"")</f>
        <v/>
      </c>
    </row>
    <row r="2647" spans="2:4" hidden="1" x14ac:dyDescent="0.25">
      <c r="B2647" s="306" t="str">
        <f>IF((COUNTBLANK(G2647)=0),Stats!$E$7,IF((COUNTBLANK(E2647)=0),IF((COUNTBLANK(F2647)=0),IF((COUNTBLANK(U2647)=0),Stats!$E$6,Stats!$E$5),Stats!$E$4),""))</f>
        <v/>
      </c>
      <c r="C2647" s="41"/>
      <c r="D2647" s="306" t="str">
        <f>IF(B2647=Stats!$E$6,Stats!$E$11,"")</f>
        <v/>
      </c>
    </row>
    <row r="2648" spans="2:4" hidden="1" x14ac:dyDescent="0.25">
      <c r="B2648" s="306" t="str">
        <f>IF((COUNTBLANK(G2648)=0),Stats!$E$7,IF((COUNTBLANK(E2648)=0),IF((COUNTBLANK(F2648)=0),IF((COUNTBLANK(U2648)=0),Stats!$E$6,Stats!$E$5),Stats!$E$4),""))</f>
        <v/>
      </c>
      <c r="C2648" s="41"/>
      <c r="D2648" s="306" t="str">
        <f>IF(B2648=Stats!$E$6,Stats!$E$11,"")</f>
        <v/>
      </c>
    </row>
    <row r="2649" spans="2:4" hidden="1" x14ac:dyDescent="0.25">
      <c r="B2649" s="306" t="str">
        <f>IF((COUNTBLANK(G2649)=0),Stats!$E$7,IF((COUNTBLANK(E2649)=0),IF((COUNTBLANK(F2649)=0),IF((COUNTBLANK(U2649)=0),Stats!$E$6,Stats!$E$5),Stats!$E$4),""))</f>
        <v/>
      </c>
      <c r="C2649" s="41"/>
      <c r="D2649" s="306" t="str">
        <f>IF(B2649=Stats!$E$6,Stats!$E$11,"")</f>
        <v/>
      </c>
    </row>
    <row r="2650" spans="2:4" hidden="1" x14ac:dyDescent="0.25">
      <c r="B2650" s="306" t="str">
        <f>IF((COUNTBLANK(G2650)=0),Stats!$E$7,IF((COUNTBLANK(E2650)=0),IF((COUNTBLANK(F2650)=0),IF((COUNTBLANK(U2650)=0),Stats!$E$6,Stats!$E$5),Stats!$E$4),""))</f>
        <v/>
      </c>
      <c r="C2650" s="41"/>
      <c r="D2650" s="306" t="str">
        <f>IF(B2650=Stats!$E$6,Stats!$E$11,"")</f>
        <v/>
      </c>
    </row>
    <row r="2651" spans="2:4" hidden="1" x14ac:dyDescent="0.25">
      <c r="B2651" s="306" t="str">
        <f>IF((COUNTBLANK(G2651)=0),Stats!$E$7,IF((COUNTBLANK(E2651)=0),IF((COUNTBLANK(F2651)=0),IF((COUNTBLANK(U2651)=0),Stats!$E$6,Stats!$E$5),Stats!$E$4),""))</f>
        <v/>
      </c>
      <c r="C2651" s="41"/>
      <c r="D2651" s="306" t="str">
        <f>IF(B2651=Stats!$E$6,Stats!$E$11,"")</f>
        <v/>
      </c>
    </row>
    <row r="2652" spans="2:4" hidden="1" x14ac:dyDescent="0.25">
      <c r="B2652" s="306" t="str">
        <f>IF((COUNTBLANK(G2652)=0),Stats!$E$7,IF((COUNTBLANK(E2652)=0),IF((COUNTBLANK(F2652)=0),IF((COUNTBLANK(U2652)=0),Stats!$E$6,Stats!$E$5),Stats!$E$4),""))</f>
        <v/>
      </c>
      <c r="C2652" s="41"/>
      <c r="D2652" s="306" t="str">
        <f>IF(B2652=Stats!$E$6,Stats!$E$11,"")</f>
        <v/>
      </c>
    </row>
    <row r="2653" spans="2:4" hidden="1" x14ac:dyDescent="0.25">
      <c r="B2653" s="306" t="str">
        <f>IF((COUNTBLANK(G2653)=0),Stats!$E$7,IF((COUNTBLANK(E2653)=0),IF((COUNTBLANK(F2653)=0),IF((COUNTBLANK(U2653)=0),Stats!$E$6,Stats!$E$5),Stats!$E$4),""))</f>
        <v/>
      </c>
      <c r="C2653" s="41"/>
      <c r="D2653" s="306" t="str">
        <f>IF(B2653=Stats!$E$6,Stats!$E$11,"")</f>
        <v/>
      </c>
    </row>
    <row r="2654" spans="2:4" hidden="1" x14ac:dyDescent="0.25">
      <c r="B2654" s="306" t="str">
        <f>IF((COUNTBLANK(G2654)=0),Stats!$E$7,IF((COUNTBLANK(E2654)=0),IF((COUNTBLANK(F2654)=0),IF((COUNTBLANK(U2654)=0),Stats!$E$6,Stats!$E$5),Stats!$E$4),""))</f>
        <v/>
      </c>
      <c r="C2654" s="41"/>
      <c r="D2654" s="306" t="str">
        <f>IF(B2654=Stats!$E$6,Stats!$E$11,"")</f>
        <v/>
      </c>
    </row>
    <row r="2655" spans="2:4" hidden="1" x14ac:dyDescent="0.25">
      <c r="B2655" s="306" t="str">
        <f>IF((COUNTBLANK(G2655)=0),Stats!$E$7,IF((COUNTBLANK(E2655)=0),IF((COUNTBLANK(F2655)=0),IF((COUNTBLANK(U2655)=0),Stats!$E$6,Stats!$E$5),Stats!$E$4),""))</f>
        <v/>
      </c>
      <c r="C2655" s="41"/>
      <c r="D2655" s="306" t="str">
        <f>IF(B2655=Stats!$E$6,Stats!$E$11,"")</f>
        <v/>
      </c>
    </row>
    <row r="2656" spans="2:4" hidden="1" x14ac:dyDescent="0.25">
      <c r="B2656" s="306" t="str">
        <f>IF((COUNTBLANK(G2656)=0),Stats!$E$7,IF((COUNTBLANK(E2656)=0),IF((COUNTBLANK(F2656)=0),IF((COUNTBLANK(U2656)=0),Stats!$E$6,Stats!$E$5),Stats!$E$4),""))</f>
        <v/>
      </c>
      <c r="C2656" s="41"/>
      <c r="D2656" s="306" t="str">
        <f>IF(B2656=Stats!$E$6,Stats!$E$11,"")</f>
        <v/>
      </c>
    </row>
    <row r="2657" spans="2:4" hidden="1" x14ac:dyDescent="0.25">
      <c r="B2657" s="306" t="str">
        <f>IF((COUNTBLANK(G2657)=0),Stats!$E$7,IF((COUNTBLANK(E2657)=0),IF((COUNTBLANK(F2657)=0),IF((COUNTBLANK(U2657)=0),Stats!$E$6,Stats!$E$5),Stats!$E$4),""))</f>
        <v/>
      </c>
      <c r="C2657" s="41"/>
      <c r="D2657" s="306" t="str">
        <f>IF(B2657=Stats!$E$6,Stats!$E$11,"")</f>
        <v/>
      </c>
    </row>
    <row r="2658" spans="2:4" hidden="1" x14ac:dyDescent="0.25">
      <c r="B2658" s="306" t="str">
        <f>IF((COUNTBLANK(G2658)=0),Stats!$E$7,IF((COUNTBLANK(E2658)=0),IF((COUNTBLANK(F2658)=0),IF((COUNTBLANK(U2658)=0),Stats!$E$6,Stats!$E$5),Stats!$E$4),""))</f>
        <v/>
      </c>
      <c r="C2658" s="41"/>
      <c r="D2658" s="306" t="str">
        <f>IF(B2658=Stats!$E$6,Stats!$E$11,"")</f>
        <v/>
      </c>
    </row>
    <row r="2659" spans="2:4" hidden="1" x14ac:dyDescent="0.25">
      <c r="B2659" s="306" t="str">
        <f>IF((COUNTBLANK(G2659)=0),Stats!$E$7,IF((COUNTBLANK(E2659)=0),IF((COUNTBLANK(F2659)=0),IF((COUNTBLANK(U2659)=0),Stats!$E$6,Stats!$E$5),Stats!$E$4),""))</f>
        <v/>
      </c>
      <c r="C2659" s="41"/>
      <c r="D2659" s="306" t="str">
        <f>IF(B2659=Stats!$E$6,Stats!$E$11,"")</f>
        <v/>
      </c>
    </row>
    <row r="2660" spans="2:4" hidden="1" x14ac:dyDescent="0.25">
      <c r="B2660" s="306" t="str">
        <f>IF((COUNTBLANK(G2660)=0),Stats!$E$7,IF((COUNTBLANK(E2660)=0),IF((COUNTBLANK(F2660)=0),IF((COUNTBLANK(U2660)=0),Stats!$E$6,Stats!$E$5),Stats!$E$4),""))</f>
        <v/>
      </c>
      <c r="C2660" s="41"/>
      <c r="D2660" s="306" t="str">
        <f>IF(B2660=Stats!$E$6,Stats!$E$11,"")</f>
        <v/>
      </c>
    </row>
    <row r="2661" spans="2:4" hidden="1" x14ac:dyDescent="0.25">
      <c r="B2661" s="306" t="str">
        <f>IF((COUNTBLANK(G2661)=0),Stats!$E$7,IF((COUNTBLANK(E2661)=0),IF((COUNTBLANK(F2661)=0),IF((COUNTBLANK(U2661)=0),Stats!$E$6,Stats!$E$5),Stats!$E$4),""))</f>
        <v/>
      </c>
      <c r="C2661" s="41"/>
      <c r="D2661" s="306" t="str">
        <f>IF(B2661=Stats!$E$6,Stats!$E$11,"")</f>
        <v/>
      </c>
    </row>
    <row r="2662" spans="2:4" hidden="1" x14ac:dyDescent="0.25">
      <c r="B2662" s="306" t="str">
        <f>IF((COUNTBLANK(G2662)=0),Stats!$E$7,IF((COUNTBLANK(E2662)=0),IF((COUNTBLANK(F2662)=0),IF((COUNTBLANK(U2662)=0),Stats!$E$6,Stats!$E$5),Stats!$E$4),""))</f>
        <v/>
      </c>
      <c r="C2662" s="41"/>
      <c r="D2662" s="306" t="str">
        <f>IF(B2662=Stats!$E$6,Stats!$E$11,"")</f>
        <v/>
      </c>
    </row>
    <row r="2663" spans="2:4" hidden="1" x14ac:dyDescent="0.25">
      <c r="B2663" s="306" t="str">
        <f>IF((COUNTBLANK(G2663)=0),Stats!$E$7,IF((COUNTBLANK(E2663)=0),IF((COUNTBLANK(F2663)=0),IF((COUNTBLANK(U2663)=0),Stats!$E$6,Stats!$E$5),Stats!$E$4),""))</f>
        <v/>
      </c>
      <c r="C2663" s="41"/>
      <c r="D2663" s="306" t="str">
        <f>IF(B2663=Stats!$E$6,Stats!$E$11,"")</f>
        <v/>
      </c>
    </row>
    <row r="2664" spans="2:4" hidden="1" x14ac:dyDescent="0.25">
      <c r="B2664" s="306" t="str">
        <f>IF((COUNTBLANK(G2664)=0),Stats!$E$7,IF((COUNTBLANK(E2664)=0),IF((COUNTBLANK(F2664)=0),IF((COUNTBLANK(U2664)=0),Stats!$E$6,Stats!$E$5),Stats!$E$4),""))</f>
        <v/>
      </c>
      <c r="C2664" s="41"/>
      <c r="D2664" s="306" t="str">
        <f>IF(B2664=Stats!$E$6,Stats!$E$11,"")</f>
        <v/>
      </c>
    </row>
    <row r="2665" spans="2:4" hidden="1" x14ac:dyDescent="0.25">
      <c r="B2665" s="306" t="str">
        <f>IF((COUNTBLANK(G2665)=0),Stats!$E$7,IF((COUNTBLANK(E2665)=0),IF((COUNTBLANK(F2665)=0),IF((COUNTBLANK(U2665)=0),Stats!$E$6,Stats!$E$5),Stats!$E$4),""))</f>
        <v/>
      </c>
      <c r="C2665" s="41"/>
      <c r="D2665" s="306" t="str">
        <f>IF(B2665=Stats!$E$6,Stats!$E$11,"")</f>
        <v/>
      </c>
    </row>
    <row r="2666" spans="2:4" hidden="1" x14ac:dyDescent="0.25">
      <c r="B2666" s="306" t="str">
        <f>IF((COUNTBLANK(G2666)=0),Stats!$E$7,IF((COUNTBLANK(E2666)=0),IF((COUNTBLANK(F2666)=0),IF((COUNTBLANK(U2666)=0),Stats!$E$6,Stats!$E$5),Stats!$E$4),""))</f>
        <v/>
      </c>
      <c r="C2666" s="41"/>
      <c r="D2666" s="306" t="str">
        <f>IF(B2666=Stats!$E$6,Stats!$E$11,"")</f>
        <v/>
      </c>
    </row>
    <row r="2667" spans="2:4" hidden="1" x14ac:dyDescent="0.25">
      <c r="B2667" s="306" t="str">
        <f>IF((COUNTBLANK(G2667)=0),Stats!$E$7,IF((COUNTBLANK(E2667)=0),IF((COUNTBLANK(F2667)=0),IF((COUNTBLANK(U2667)=0),Stats!$E$6,Stats!$E$5),Stats!$E$4),""))</f>
        <v/>
      </c>
      <c r="C2667" s="41"/>
      <c r="D2667" s="306" t="str">
        <f>IF(B2667=Stats!$E$6,Stats!$E$11,"")</f>
        <v/>
      </c>
    </row>
    <row r="2668" spans="2:4" hidden="1" x14ac:dyDescent="0.25">
      <c r="B2668" s="306" t="str">
        <f>IF((COUNTBLANK(G2668)=0),Stats!$E$7,IF((COUNTBLANK(E2668)=0),IF((COUNTBLANK(F2668)=0),IF((COUNTBLANK(U2668)=0),Stats!$E$6,Stats!$E$5),Stats!$E$4),""))</f>
        <v/>
      </c>
      <c r="C2668" s="41"/>
      <c r="D2668" s="306" t="str">
        <f>IF(B2668=Stats!$E$6,Stats!$E$11,"")</f>
        <v/>
      </c>
    </row>
    <row r="2669" spans="2:4" hidden="1" x14ac:dyDescent="0.25">
      <c r="B2669" s="306" t="str">
        <f>IF((COUNTBLANK(G2669)=0),Stats!$E$7,IF((COUNTBLANK(E2669)=0),IF((COUNTBLANK(F2669)=0),IF((COUNTBLANK(U2669)=0),Stats!$E$6,Stats!$E$5),Stats!$E$4),""))</f>
        <v/>
      </c>
      <c r="C2669" s="41"/>
      <c r="D2669" s="306" t="str">
        <f>IF(B2669=Stats!$E$6,Stats!$E$11,"")</f>
        <v/>
      </c>
    </row>
    <row r="2670" spans="2:4" hidden="1" x14ac:dyDescent="0.25">
      <c r="B2670" s="306" t="str">
        <f>IF((COUNTBLANK(G2670)=0),Stats!$E$7,IF((COUNTBLANK(E2670)=0),IF((COUNTBLANK(F2670)=0),IF((COUNTBLANK(U2670)=0),Stats!$E$6,Stats!$E$5),Stats!$E$4),""))</f>
        <v/>
      </c>
      <c r="C2670" s="41"/>
      <c r="D2670" s="306" t="str">
        <f>IF(B2670=Stats!$E$6,Stats!$E$11,"")</f>
        <v/>
      </c>
    </row>
    <row r="2671" spans="2:4" hidden="1" x14ac:dyDescent="0.25">
      <c r="B2671" s="306" t="str">
        <f>IF((COUNTBLANK(G2671)=0),Stats!$E$7,IF((COUNTBLANK(E2671)=0),IF((COUNTBLANK(F2671)=0),IF((COUNTBLANK(U2671)=0),Stats!$E$6,Stats!$E$5),Stats!$E$4),""))</f>
        <v/>
      </c>
      <c r="C2671" s="41"/>
      <c r="D2671" s="306" t="str">
        <f>IF(B2671=Stats!$E$6,Stats!$E$11,"")</f>
        <v/>
      </c>
    </row>
    <row r="2672" spans="2:4" hidden="1" x14ac:dyDescent="0.25">
      <c r="B2672" s="306" t="str">
        <f>IF((COUNTBLANK(G2672)=0),Stats!$E$7,IF((COUNTBLANK(E2672)=0),IF((COUNTBLANK(F2672)=0),IF((COUNTBLANK(U2672)=0),Stats!$E$6,Stats!$E$5),Stats!$E$4),""))</f>
        <v/>
      </c>
      <c r="C2672" s="41"/>
      <c r="D2672" s="306" t="str">
        <f>IF(B2672=Stats!$E$6,Stats!$E$11,"")</f>
        <v/>
      </c>
    </row>
    <row r="2673" spans="2:4" hidden="1" x14ac:dyDescent="0.25">
      <c r="B2673" s="306" t="str">
        <f>IF((COUNTBLANK(G2673)=0),Stats!$E$7,IF((COUNTBLANK(E2673)=0),IF((COUNTBLANK(F2673)=0),IF((COUNTBLANK(U2673)=0),Stats!$E$6,Stats!$E$5),Stats!$E$4),""))</f>
        <v/>
      </c>
      <c r="C2673" s="41"/>
      <c r="D2673" s="306" t="str">
        <f>IF(B2673=Stats!$E$6,Stats!$E$11,"")</f>
        <v/>
      </c>
    </row>
    <row r="2674" spans="2:4" hidden="1" x14ac:dyDescent="0.25">
      <c r="B2674" s="306" t="str">
        <f>IF((COUNTBLANK(G2674)=0),Stats!$E$7,IF((COUNTBLANK(E2674)=0),IF((COUNTBLANK(F2674)=0),IF((COUNTBLANK(U2674)=0),Stats!$E$6,Stats!$E$5),Stats!$E$4),""))</f>
        <v/>
      </c>
      <c r="C2674" s="41"/>
      <c r="D2674" s="306" t="str">
        <f>IF(B2674=Stats!$E$6,Stats!$E$11,"")</f>
        <v/>
      </c>
    </row>
    <row r="2675" spans="2:4" hidden="1" x14ac:dyDescent="0.25">
      <c r="B2675" s="306" t="str">
        <f>IF((COUNTBLANK(G2675)=0),Stats!$E$7,IF((COUNTBLANK(E2675)=0),IF((COUNTBLANK(F2675)=0),IF((COUNTBLANK(U2675)=0),Stats!$E$6,Stats!$E$5),Stats!$E$4),""))</f>
        <v/>
      </c>
      <c r="C2675" s="41"/>
      <c r="D2675" s="306" t="str">
        <f>IF(B2675=Stats!$E$6,Stats!$E$11,"")</f>
        <v/>
      </c>
    </row>
    <row r="2676" spans="2:4" hidden="1" x14ac:dyDescent="0.25">
      <c r="B2676" s="306" t="str">
        <f>IF((COUNTBLANK(G2676)=0),Stats!$E$7,IF((COUNTBLANK(E2676)=0),IF((COUNTBLANK(F2676)=0),IF((COUNTBLANK(U2676)=0),Stats!$E$6,Stats!$E$5),Stats!$E$4),""))</f>
        <v/>
      </c>
      <c r="C2676" s="41"/>
      <c r="D2676" s="306" t="str">
        <f>IF(B2676=Stats!$E$6,Stats!$E$11,"")</f>
        <v/>
      </c>
    </row>
    <row r="2677" spans="2:4" hidden="1" x14ac:dyDescent="0.25">
      <c r="B2677" s="306" t="str">
        <f>IF((COUNTBLANK(G2677)=0),Stats!$E$7,IF((COUNTBLANK(E2677)=0),IF((COUNTBLANK(F2677)=0),IF((COUNTBLANK(U2677)=0),Stats!$E$6,Stats!$E$5),Stats!$E$4),""))</f>
        <v/>
      </c>
      <c r="C2677" s="41"/>
      <c r="D2677" s="306" t="str">
        <f>IF(B2677=Stats!$E$6,Stats!$E$11,"")</f>
        <v/>
      </c>
    </row>
    <row r="2678" spans="2:4" hidden="1" x14ac:dyDescent="0.25">
      <c r="B2678" s="306" t="str">
        <f>IF((COUNTBLANK(G2678)=0),Stats!$E$7,IF((COUNTBLANK(E2678)=0),IF((COUNTBLANK(F2678)=0),IF((COUNTBLANK(U2678)=0),Stats!$E$6,Stats!$E$5),Stats!$E$4),""))</f>
        <v/>
      </c>
      <c r="C2678" s="41"/>
      <c r="D2678" s="306" t="str">
        <f>IF(B2678=Stats!$E$6,Stats!$E$11,"")</f>
        <v/>
      </c>
    </row>
    <row r="2679" spans="2:4" hidden="1" x14ac:dyDescent="0.25">
      <c r="B2679" s="306" t="str">
        <f>IF((COUNTBLANK(G2679)=0),Stats!$E$7,IF((COUNTBLANK(E2679)=0),IF((COUNTBLANK(F2679)=0),IF((COUNTBLANK(U2679)=0),Stats!$E$6,Stats!$E$5),Stats!$E$4),""))</f>
        <v/>
      </c>
      <c r="C2679" s="41"/>
      <c r="D2679" s="306" t="str">
        <f>IF(B2679=Stats!$E$6,Stats!$E$11,"")</f>
        <v/>
      </c>
    </row>
    <row r="2680" spans="2:4" hidden="1" x14ac:dyDescent="0.25">
      <c r="B2680" s="306" t="str">
        <f>IF((COUNTBLANK(G2680)=0),Stats!$E$7,IF((COUNTBLANK(E2680)=0),IF((COUNTBLANK(F2680)=0),IF((COUNTBLANK(U2680)=0),Stats!$E$6,Stats!$E$5),Stats!$E$4),""))</f>
        <v/>
      </c>
      <c r="C2680" s="41"/>
      <c r="D2680" s="306" t="str">
        <f>IF(B2680=Stats!$E$6,Stats!$E$11,"")</f>
        <v/>
      </c>
    </row>
    <row r="2681" spans="2:4" hidden="1" x14ac:dyDescent="0.25">
      <c r="B2681" s="306" t="str">
        <f>IF((COUNTBLANK(G2681)=0),Stats!$E$7,IF((COUNTBLANK(E2681)=0),IF((COUNTBLANK(F2681)=0),IF((COUNTBLANK(U2681)=0),Stats!$E$6,Stats!$E$5),Stats!$E$4),""))</f>
        <v/>
      </c>
      <c r="C2681" s="41"/>
      <c r="D2681" s="306" t="str">
        <f>IF(B2681=Stats!$E$6,Stats!$E$11,"")</f>
        <v/>
      </c>
    </row>
    <row r="2682" spans="2:4" hidden="1" x14ac:dyDescent="0.25">
      <c r="B2682" s="306" t="str">
        <f>IF((COUNTBLANK(G2682)=0),Stats!$E$7,IF((COUNTBLANK(E2682)=0),IF((COUNTBLANK(F2682)=0),IF((COUNTBLANK(U2682)=0),Stats!$E$6,Stats!$E$5),Stats!$E$4),""))</f>
        <v/>
      </c>
      <c r="C2682" s="41"/>
      <c r="D2682" s="306" t="str">
        <f>IF(B2682=Stats!$E$6,Stats!$E$11,"")</f>
        <v/>
      </c>
    </row>
    <row r="2683" spans="2:4" hidden="1" x14ac:dyDescent="0.25">
      <c r="B2683" s="306" t="str">
        <f>IF((COUNTBLANK(G2683)=0),Stats!$E$7,IF((COUNTBLANK(E2683)=0),IF((COUNTBLANK(F2683)=0),IF((COUNTBLANK(U2683)=0),Stats!$E$6,Stats!$E$5),Stats!$E$4),""))</f>
        <v/>
      </c>
      <c r="C2683" s="41"/>
      <c r="D2683" s="306" t="str">
        <f>IF(B2683=Stats!$E$6,Stats!$E$11,"")</f>
        <v/>
      </c>
    </row>
    <row r="2684" spans="2:4" hidden="1" x14ac:dyDescent="0.25">
      <c r="B2684" s="306" t="str">
        <f>IF((COUNTBLANK(G2684)=0),Stats!$E$7,IF((COUNTBLANK(E2684)=0),IF((COUNTBLANK(F2684)=0),IF((COUNTBLANK(U2684)=0),Stats!$E$6,Stats!$E$5),Stats!$E$4),""))</f>
        <v/>
      </c>
      <c r="C2684" s="41"/>
      <c r="D2684" s="306" t="str">
        <f>IF(B2684=Stats!$E$6,Stats!$E$11,"")</f>
        <v/>
      </c>
    </row>
    <row r="2685" spans="2:4" hidden="1" x14ac:dyDescent="0.25">
      <c r="B2685" s="306" t="str">
        <f>IF((COUNTBLANK(G2685)=0),Stats!$E$7,IF((COUNTBLANK(E2685)=0),IF((COUNTBLANK(F2685)=0),IF((COUNTBLANK(U2685)=0),Stats!$E$6,Stats!$E$5),Stats!$E$4),""))</f>
        <v/>
      </c>
      <c r="C2685" s="41"/>
      <c r="D2685" s="306" t="str">
        <f>IF(B2685=Stats!$E$6,Stats!$E$11,"")</f>
        <v/>
      </c>
    </row>
    <row r="2686" spans="2:4" hidden="1" x14ac:dyDescent="0.25">
      <c r="B2686" s="306" t="str">
        <f>IF((COUNTBLANK(G2686)=0),Stats!$E$7,IF((COUNTBLANK(E2686)=0),IF((COUNTBLANK(F2686)=0),IF((COUNTBLANK(U2686)=0),Stats!$E$6,Stats!$E$5),Stats!$E$4),""))</f>
        <v/>
      </c>
      <c r="C2686" s="41"/>
      <c r="D2686" s="306" t="str">
        <f>IF(B2686=Stats!$E$6,Stats!$E$11,"")</f>
        <v/>
      </c>
    </row>
    <row r="2687" spans="2:4" hidden="1" x14ac:dyDescent="0.25">
      <c r="B2687" s="306" t="str">
        <f>IF((COUNTBLANK(G2687)=0),Stats!$E$7,IF((COUNTBLANK(E2687)=0),IF((COUNTBLANK(F2687)=0),IF((COUNTBLANK(U2687)=0),Stats!$E$6,Stats!$E$5),Stats!$E$4),""))</f>
        <v/>
      </c>
      <c r="C2687" s="41"/>
      <c r="D2687" s="306" t="str">
        <f>IF(B2687=Stats!$E$6,Stats!$E$11,"")</f>
        <v/>
      </c>
    </row>
    <row r="2688" spans="2:4" hidden="1" x14ac:dyDescent="0.25">
      <c r="B2688" s="306" t="str">
        <f>IF((COUNTBLANK(G2688)=0),Stats!$E$7,IF((COUNTBLANK(E2688)=0),IF((COUNTBLANK(F2688)=0),IF((COUNTBLANK(U2688)=0),Stats!$E$6,Stats!$E$5),Stats!$E$4),""))</f>
        <v/>
      </c>
      <c r="C2688" s="41"/>
      <c r="D2688" s="306" t="str">
        <f>IF(B2688=Stats!$E$6,Stats!$E$11,"")</f>
        <v/>
      </c>
    </row>
    <row r="2689" spans="2:4" hidden="1" x14ac:dyDescent="0.25">
      <c r="B2689" s="306" t="str">
        <f>IF((COUNTBLANK(G2689)=0),Stats!$E$7,IF((COUNTBLANK(E2689)=0),IF((COUNTBLANK(F2689)=0),IF((COUNTBLANK(U2689)=0),Stats!$E$6,Stats!$E$5),Stats!$E$4),""))</f>
        <v/>
      </c>
      <c r="C2689" s="41"/>
      <c r="D2689" s="306" t="str">
        <f>IF(B2689=Stats!$E$6,Stats!$E$11,"")</f>
        <v/>
      </c>
    </row>
    <row r="2690" spans="2:4" hidden="1" x14ac:dyDescent="0.25">
      <c r="B2690" s="306" t="str">
        <f>IF((COUNTBLANK(G2690)=0),Stats!$E$7,IF((COUNTBLANK(E2690)=0),IF((COUNTBLANK(F2690)=0),IF((COUNTBLANK(U2690)=0),Stats!$E$6,Stats!$E$5),Stats!$E$4),""))</f>
        <v/>
      </c>
      <c r="C2690" s="41"/>
      <c r="D2690" s="306" t="str">
        <f>IF(B2690=Stats!$E$6,Stats!$E$11,"")</f>
        <v/>
      </c>
    </row>
    <row r="2691" spans="2:4" hidden="1" x14ac:dyDescent="0.25">
      <c r="B2691" s="306" t="str">
        <f>IF((COUNTBLANK(G2691)=0),Stats!$E$7,IF((COUNTBLANK(E2691)=0),IF((COUNTBLANK(F2691)=0),IF((COUNTBLANK(U2691)=0),Stats!$E$6,Stats!$E$5),Stats!$E$4),""))</f>
        <v/>
      </c>
      <c r="C2691" s="41"/>
      <c r="D2691" s="306" t="str">
        <f>IF(B2691=Stats!$E$6,Stats!$E$11,"")</f>
        <v/>
      </c>
    </row>
    <row r="2692" spans="2:4" hidden="1" x14ac:dyDescent="0.25">
      <c r="B2692" s="306" t="str">
        <f>IF((COUNTBLANK(G2692)=0),Stats!$E$7,IF((COUNTBLANK(E2692)=0),IF((COUNTBLANK(F2692)=0),IF((COUNTBLANK(U2692)=0),Stats!$E$6,Stats!$E$5),Stats!$E$4),""))</f>
        <v/>
      </c>
      <c r="C2692" s="41"/>
      <c r="D2692" s="306" t="str">
        <f>IF(B2692=Stats!$E$6,Stats!$E$11,"")</f>
        <v/>
      </c>
    </row>
    <row r="2693" spans="2:4" hidden="1" x14ac:dyDescent="0.25">
      <c r="B2693" s="306" t="str">
        <f>IF((COUNTBLANK(G2693)=0),Stats!$E$7,IF((COUNTBLANK(E2693)=0),IF((COUNTBLANK(F2693)=0),IF((COUNTBLANK(U2693)=0),Stats!$E$6,Stats!$E$5),Stats!$E$4),""))</f>
        <v/>
      </c>
      <c r="C2693" s="41"/>
      <c r="D2693" s="306" t="str">
        <f>IF(B2693=Stats!$E$6,Stats!$E$11,"")</f>
        <v/>
      </c>
    </row>
    <row r="2694" spans="2:4" hidden="1" x14ac:dyDescent="0.25">
      <c r="B2694" s="306" t="str">
        <f>IF((COUNTBLANK(G2694)=0),Stats!$E$7,IF((COUNTBLANK(E2694)=0),IF((COUNTBLANK(F2694)=0),IF((COUNTBLANK(U2694)=0),Stats!$E$6,Stats!$E$5),Stats!$E$4),""))</f>
        <v/>
      </c>
      <c r="C2694" s="41"/>
      <c r="D2694" s="306" t="str">
        <f>IF(B2694=Stats!$E$6,Stats!$E$11,"")</f>
        <v/>
      </c>
    </row>
    <row r="2695" spans="2:4" hidden="1" x14ac:dyDescent="0.25">
      <c r="B2695" s="306" t="str">
        <f>IF((COUNTBLANK(G2695)=0),Stats!$E$7,IF((COUNTBLANK(E2695)=0),IF((COUNTBLANK(F2695)=0),IF((COUNTBLANK(U2695)=0),Stats!$E$6,Stats!$E$5),Stats!$E$4),""))</f>
        <v/>
      </c>
      <c r="C2695" s="41"/>
      <c r="D2695" s="306" t="str">
        <f>IF(B2695=Stats!$E$6,Stats!$E$11,"")</f>
        <v/>
      </c>
    </row>
    <row r="2696" spans="2:4" hidden="1" x14ac:dyDescent="0.25">
      <c r="B2696" s="306" t="str">
        <f>IF((COUNTBLANK(G2696)=0),Stats!$E$7,IF((COUNTBLANK(E2696)=0),IF((COUNTBLANK(F2696)=0),IF((COUNTBLANK(U2696)=0),Stats!$E$6,Stats!$E$5),Stats!$E$4),""))</f>
        <v/>
      </c>
      <c r="C2696" s="41"/>
      <c r="D2696" s="306" t="str">
        <f>IF(B2696=Stats!$E$6,Stats!$E$11,"")</f>
        <v/>
      </c>
    </row>
    <row r="2697" spans="2:4" hidden="1" x14ac:dyDescent="0.25">
      <c r="B2697" s="306" t="str">
        <f>IF((COUNTBLANK(G2697)=0),Stats!$E$7,IF((COUNTBLANK(E2697)=0),IF((COUNTBLANK(F2697)=0),IF((COUNTBLANK(U2697)=0),Stats!$E$6,Stats!$E$5),Stats!$E$4),""))</f>
        <v/>
      </c>
      <c r="C2697" s="41"/>
      <c r="D2697" s="306" t="str">
        <f>IF(B2697=Stats!$E$6,Stats!$E$11,"")</f>
        <v/>
      </c>
    </row>
    <row r="2698" spans="2:4" hidden="1" x14ac:dyDescent="0.25">
      <c r="B2698" s="306" t="str">
        <f>IF((COUNTBLANK(G2698)=0),Stats!$E$7,IF((COUNTBLANK(E2698)=0),IF((COUNTBLANK(F2698)=0),IF((COUNTBLANK(U2698)=0),Stats!$E$6,Stats!$E$5),Stats!$E$4),""))</f>
        <v/>
      </c>
      <c r="C2698" s="41"/>
      <c r="D2698" s="306" t="str">
        <f>IF(B2698=Stats!$E$6,Stats!$E$11,"")</f>
        <v/>
      </c>
    </row>
    <row r="2699" spans="2:4" hidden="1" x14ac:dyDescent="0.25">
      <c r="B2699" s="306" t="str">
        <f>IF((COUNTBLANK(G2699)=0),Stats!$E$7,IF((COUNTBLANK(E2699)=0),IF((COUNTBLANK(F2699)=0),IF((COUNTBLANK(U2699)=0),Stats!$E$6,Stats!$E$5),Stats!$E$4),""))</f>
        <v/>
      </c>
      <c r="C2699" s="41"/>
      <c r="D2699" s="306" t="str">
        <f>IF(B2699=Stats!$E$6,Stats!$E$11,"")</f>
        <v/>
      </c>
    </row>
    <row r="2700" spans="2:4" hidden="1" x14ac:dyDescent="0.25">
      <c r="B2700" s="306" t="str">
        <f>IF((COUNTBLANK(G2700)=0),Stats!$E$7,IF((COUNTBLANK(E2700)=0),IF((COUNTBLANK(F2700)=0),IF((COUNTBLANK(U2700)=0),Stats!$E$6,Stats!$E$5),Stats!$E$4),""))</f>
        <v/>
      </c>
      <c r="C2700" s="41"/>
      <c r="D2700" s="306" t="str">
        <f>IF(B2700=Stats!$E$6,Stats!$E$11,"")</f>
        <v/>
      </c>
    </row>
    <row r="2701" spans="2:4" hidden="1" x14ac:dyDescent="0.25">
      <c r="B2701" s="306" t="str">
        <f>IF((COUNTBLANK(G2701)=0),Stats!$E$7,IF((COUNTBLANK(E2701)=0),IF((COUNTBLANK(F2701)=0),IF((COUNTBLANK(U2701)=0),Stats!$E$6,Stats!$E$5),Stats!$E$4),""))</f>
        <v/>
      </c>
      <c r="C2701" s="41"/>
      <c r="D2701" s="306" t="str">
        <f>IF(B2701=Stats!$E$6,Stats!$E$11,"")</f>
        <v/>
      </c>
    </row>
    <row r="2702" spans="2:4" hidden="1" x14ac:dyDescent="0.25">
      <c r="B2702" s="306" t="str">
        <f>IF((COUNTBLANK(G2702)=0),Stats!$E$7,IF((COUNTBLANK(E2702)=0),IF((COUNTBLANK(F2702)=0),IF((COUNTBLANK(U2702)=0),Stats!$E$6,Stats!$E$5),Stats!$E$4),""))</f>
        <v/>
      </c>
      <c r="C2702" s="41"/>
      <c r="D2702" s="306" t="str">
        <f>IF(B2702=Stats!$E$6,Stats!$E$11,"")</f>
        <v/>
      </c>
    </row>
    <row r="2703" spans="2:4" hidden="1" x14ac:dyDescent="0.25">
      <c r="B2703" s="306" t="str">
        <f>IF((COUNTBLANK(G2703)=0),Stats!$E$7,IF((COUNTBLANK(E2703)=0),IF((COUNTBLANK(F2703)=0),IF((COUNTBLANK(U2703)=0),Stats!$E$6,Stats!$E$5),Stats!$E$4),""))</f>
        <v/>
      </c>
      <c r="C2703" s="41"/>
      <c r="D2703" s="306" t="str">
        <f>IF(B2703=Stats!$E$6,Stats!$E$11,"")</f>
        <v/>
      </c>
    </row>
    <row r="2704" spans="2:4" hidden="1" x14ac:dyDescent="0.25">
      <c r="B2704" s="306" t="str">
        <f>IF((COUNTBLANK(G2704)=0),Stats!$E$7,IF((COUNTBLANK(E2704)=0),IF((COUNTBLANK(F2704)=0),IF((COUNTBLANK(U2704)=0),Stats!$E$6,Stats!$E$5),Stats!$E$4),""))</f>
        <v/>
      </c>
      <c r="C2704" s="41"/>
      <c r="D2704" s="306" t="str">
        <f>IF(B2704=Stats!$E$6,Stats!$E$11,"")</f>
        <v/>
      </c>
    </row>
    <row r="2705" spans="2:4" hidden="1" x14ac:dyDescent="0.25">
      <c r="B2705" s="306" t="str">
        <f>IF((COUNTBLANK(G2705)=0),Stats!$E$7,IF((COUNTBLANK(E2705)=0),IF((COUNTBLANK(F2705)=0),IF((COUNTBLANK(U2705)=0),Stats!$E$6,Stats!$E$5),Stats!$E$4),""))</f>
        <v/>
      </c>
      <c r="C2705" s="41"/>
      <c r="D2705" s="306" t="str">
        <f>IF(B2705=Stats!$E$6,Stats!$E$11,"")</f>
        <v/>
      </c>
    </row>
    <row r="2706" spans="2:4" hidden="1" x14ac:dyDescent="0.25">
      <c r="B2706" s="306" t="str">
        <f>IF((COUNTBLANK(G2706)=0),Stats!$E$7,IF((COUNTBLANK(E2706)=0),IF((COUNTBLANK(F2706)=0),IF((COUNTBLANK(U2706)=0),Stats!$E$6,Stats!$E$5),Stats!$E$4),""))</f>
        <v/>
      </c>
      <c r="C2706" s="41"/>
      <c r="D2706" s="306" t="str">
        <f>IF(B2706=Stats!$E$6,Stats!$E$11,"")</f>
        <v/>
      </c>
    </row>
    <row r="2707" spans="2:4" hidden="1" x14ac:dyDescent="0.25">
      <c r="B2707" s="306" t="str">
        <f>IF((COUNTBLANK(G2707)=0),Stats!$E$7,IF((COUNTBLANK(E2707)=0),IF((COUNTBLANK(F2707)=0),IF((COUNTBLANK(U2707)=0),Stats!$E$6,Stats!$E$5),Stats!$E$4),""))</f>
        <v/>
      </c>
      <c r="C2707" s="41"/>
      <c r="D2707" s="306" t="str">
        <f>IF(B2707=Stats!$E$6,Stats!$E$11,"")</f>
        <v/>
      </c>
    </row>
    <row r="2708" spans="2:4" hidden="1" x14ac:dyDescent="0.25">
      <c r="B2708" s="306" t="str">
        <f>IF((COUNTBLANK(G2708)=0),Stats!$E$7,IF((COUNTBLANK(E2708)=0),IF((COUNTBLANK(F2708)=0),IF((COUNTBLANK(U2708)=0),Stats!$E$6,Stats!$E$5),Stats!$E$4),""))</f>
        <v/>
      </c>
      <c r="C2708" s="41"/>
      <c r="D2708" s="306" t="str">
        <f>IF(B2708=Stats!$E$6,Stats!$E$11,"")</f>
        <v/>
      </c>
    </row>
    <row r="2709" spans="2:4" hidden="1" x14ac:dyDescent="0.25">
      <c r="B2709" s="306" t="str">
        <f>IF((COUNTBLANK(G2709)=0),Stats!$E$7,IF((COUNTBLANK(E2709)=0),IF((COUNTBLANK(F2709)=0),IF((COUNTBLANK(U2709)=0),Stats!$E$6,Stats!$E$5),Stats!$E$4),""))</f>
        <v/>
      </c>
      <c r="C2709" s="41"/>
      <c r="D2709" s="306" t="str">
        <f>IF(B2709=Stats!$E$6,Stats!$E$11,"")</f>
        <v/>
      </c>
    </row>
    <row r="2710" spans="2:4" hidden="1" x14ac:dyDescent="0.25">
      <c r="B2710" s="306" t="str">
        <f>IF((COUNTBLANK(G2710)=0),Stats!$E$7,IF((COUNTBLANK(E2710)=0),IF((COUNTBLANK(F2710)=0),IF((COUNTBLANK(U2710)=0),Stats!$E$6,Stats!$E$5),Stats!$E$4),""))</f>
        <v/>
      </c>
      <c r="C2710" s="41"/>
      <c r="D2710" s="306" t="str">
        <f>IF(B2710=Stats!$E$6,Stats!$E$11,"")</f>
        <v/>
      </c>
    </row>
    <row r="2711" spans="2:4" hidden="1" x14ac:dyDescent="0.25">
      <c r="B2711" s="306" t="str">
        <f>IF((COUNTBLANK(G2711)=0),Stats!$E$7,IF((COUNTBLANK(E2711)=0),IF((COUNTBLANK(F2711)=0),IF((COUNTBLANK(U2711)=0),Stats!$E$6,Stats!$E$5),Stats!$E$4),""))</f>
        <v/>
      </c>
      <c r="C2711" s="41"/>
      <c r="D2711" s="306" t="str">
        <f>IF(B2711=Stats!$E$6,Stats!$E$11,"")</f>
        <v/>
      </c>
    </row>
    <row r="2712" spans="2:4" hidden="1" x14ac:dyDescent="0.25">
      <c r="B2712" s="306" t="str">
        <f>IF((COUNTBLANK(G2712)=0),Stats!$E$7,IF((COUNTBLANK(E2712)=0),IF((COUNTBLANK(F2712)=0),IF((COUNTBLANK(U2712)=0),Stats!$E$6,Stats!$E$5),Stats!$E$4),""))</f>
        <v/>
      </c>
      <c r="C2712" s="41"/>
      <c r="D2712" s="306" t="str">
        <f>IF(B2712=Stats!$E$6,Stats!$E$11,"")</f>
        <v/>
      </c>
    </row>
    <row r="2713" spans="2:4" hidden="1" x14ac:dyDescent="0.25">
      <c r="B2713" s="306" t="str">
        <f>IF((COUNTBLANK(G2713)=0),Stats!$E$7,IF((COUNTBLANK(E2713)=0),IF((COUNTBLANK(F2713)=0),IF((COUNTBLANK(U2713)=0),Stats!$E$6,Stats!$E$5),Stats!$E$4),""))</f>
        <v/>
      </c>
      <c r="C2713" s="41"/>
      <c r="D2713" s="306" t="str">
        <f>IF(B2713=Stats!$E$6,Stats!$E$11,"")</f>
        <v/>
      </c>
    </row>
    <row r="2714" spans="2:4" hidden="1" x14ac:dyDescent="0.25">
      <c r="B2714" s="306" t="str">
        <f>IF((COUNTBLANK(G2714)=0),Stats!$E$7,IF((COUNTBLANK(E2714)=0),IF((COUNTBLANK(F2714)=0),IF((COUNTBLANK(U2714)=0),Stats!$E$6,Stats!$E$5),Stats!$E$4),""))</f>
        <v/>
      </c>
      <c r="C2714" s="41"/>
      <c r="D2714" s="306" t="str">
        <f>IF(B2714=Stats!$E$6,Stats!$E$11,"")</f>
        <v/>
      </c>
    </row>
    <row r="2715" spans="2:4" hidden="1" x14ac:dyDescent="0.25">
      <c r="B2715" s="306" t="str">
        <f>IF((COUNTBLANK(G2715)=0),Stats!$E$7,IF((COUNTBLANK(E2715)=0),IF((COUNTBLANK(F2715)=0),IF((COUNTBLANK(U2715)=0),Stats!$E$6,Stats!$E$5),Stats!$E$4),""))</f>
        <v/>
      </c>
      <c r="C2715" s="41"/>
      <c r="D2715" s="306" t="str">
        <f>IF(B2715=Stats!$E$6,Stats!$E$11,"")</f>
        <v/>
      </c>
    </row>
    <row r="2716" spans="2:4" hidden="1" x14ac:dyDescent="0.25">
      <c r="B2716" s="306" t="str">
        <f>IF((COUNTBLANK(G2716)=0),Stats!$E$7,IF((COUNTBLANK(E2716)=0),IF((COUNTBLANK(F2716)=0),IF((COUNTBLANK(U2716)=0),Stats!$E$6,Stats!$E$5),Stats!$E$4),""))</f>
        <v/>
      </c>
      <c r="C2716" s="41"/>
      <c r="D2716" s="306" t="str">
        <f>IF(B2716=Stats!$E$6,Stats!$E$11,"")</f>
        <v/>
      </c>
    </row>
    <row r="2717" spans="2:4" hidden="1" x14ac:dyDescent="0.25">
      <c r="B2717" s="306" t="str">
        <f>IF((COUNTBLANK(G2717)=0),Stats!$E$7,IF((COUNTBLANK(E2717)=0),IF((COUNTBLANK(F2717)=0),IF((COUNTBLANK(U2717)=0),Stats!$E$6,Stats!$E$5),Stats!$E$4),""))</f>
        <v/>
      </c>
      <c r="C2717" s="41"/>
      <c r="D2717" s="306" t="str">
        <f>IF(B2717=Stats!$E$6,Stats!$E$11,"")</f>
        <v/>
      </c>
    </row>
    <row r="2718" spans="2:4" hidden="1" x14ac:dyDescent="0.25">
      <c r="B2718" s="306" t="str">
        <f>IF((COUNTBLANK(G2718)=0),Stats!$E$7,IF((COUNTBLANK(E2718)=0),IF((COUNTBLANK(F2718)=0),IF((COUNTBLANK(U2718)=0),Stats!$E$6,Stats!$E$5),Stats!$E$4),""))</f>
        <v/>
      </c>
      <c r="C2718" s="41"/>
      <c r="D2718" s="306" t="str">
        <f>IF(B2718=Stats!$E$6,Stats!$E$11,"")</f>
        <v/>
      </c>
    </row>
    <row r="2719" spans="2:4" hidden="1" x14ac:dyDescent="0.25">
      <c r="B2719" s="306" t="str">
        <f>IF((COUNTBLANK(G2719)=0),Stats!$E$7,IF((COUNTBLANK(E2719)=0),IF((COUNTBLANK(F2719)=0),IF((COUNTBLANK(U2719)=0),Stats!$E$6,Stats!$E$5),Stats!$E$4),""))</f>
        <v/>
      </c>
      <c r="C2719" s="41"/>
      <c r="D2719" s="306" t="str">
        <f>IF(B2719=Stats!$E$6,Stats!$E$11,"")</f>
        <v/>
      </c>
    </row>
    <row r="2720" spans="2:4" hidden="1" x14ac:dyDescent="0.25">
      <c r="B2720" s="306" t="str">
        <f>IF((COUNTBLANK(G2720)=0),Stats!$E$7,IF((COUNTBLANK(E2720)=0),IF((COUNTBLANK(F2720)=0),IF((COUNTBLANK(U2720)=0),Stats!$E$6,Stats!$E$5),Stats!$E$4),""))</f>
        <v/>
      </c>
      <c r="C2720" s="41"/>
      <c r="D2720" s="306" t="str">
        <f>IF(B2720=Stats!$E$6,Stats!$E$11,"")</f>
        <v/>
      </c>
    </row>
    <row r="2721" spans="2:4" hidden="1" x14ac:dyDescent="0.25">
      <c r="B2721" s="306" t="str">
        <f>IF((COUNTBLANK(G2721)=0),Stats!$E$7,IF((COUNTBLANK(E2721)=0),IF((COUNTBLANK(F2721)=0),IF((COUNTBLANK(U2721)=0),Stats!$E$6,Stats!$E$5),Stats!$E$4),""))</f>
        <v/>
      </c>
      <c r="C2721" s="41"/>
      <c r="D2721" s="306" t="str">
        <f>IF(B2721=Stats!$E$6,Stats!$E$11,"")</f>
        <v/>
      </c>
    </row>
    <row r="2722" spans="2:4" hidden="1" x14ac:dyDescent="0.25">
      <c r="B2722" s="306" t="str">
        <f>IF((COUNTBLANK(G2722)=0),Stats!$E$7,IF((COUNTBLANK(E2722)=0),IF((COUNTBLANK(F2722)=0),IF((COUNTBLANK(U2722)=0),Stats!$E$6,Stats!$E$5),Stats!$E$4),""))</f>
        <v/>
      </c>
      <c r="C2722" s="41"/>
      <c r="D2722" s="306" t="str">
        <f>IF(B2722=Stats!$E$6,Stats!$E$11,"")</f>
        <v/>
      </c>
    </row>
    <row r="2723" spans="2:4" hidden="1" x14ac:dyDescent="0.25">
      <c r="B2723" s="306" t="str">
        <f>IF((COUNTBLANK(G2723)=0),Stats!$E$7,IF((COUNTBLANK(E2723)=0),IF((COUNTBLANK(F2723)=0),IF((COUNTBLANK(U2723)=0),Stats!$E$6,Stats!$E$5),Stats!$E$4),""))</f>
        <v/>
      </c>
      <c r="C2723" s="41"/>
      <c r="D2723" s="306" t="str">
        <f>IF(B2723=Stats!$E$6,Stats!$E$11,"")</f>
        <v/>
      </c>
    </row>
    <row r="2724" spans="2:4" hidden="1" x14ac:dyDescent="0.25">
      <c r="B2724" s="306" t="str">
        <f>IF((COUNTBLANK(G2724)=0),Stats!$E$7,IF((COUNTBLANK(E2724)=0),IF((COUNTBLANK(F2724)=0),IF((COUNTBLANK(U2724)=0),Stats!$E$6,Stats!$E$5),Stats!$E$4),""))</f>
        <v/>
      </c>
      <c r="C2724" s="41"/>
      <c r="D2724" s="306" t="str">
        <f>IF(B2724=Stats!$E$6,Stats!$E$11,"")</f>
        <v/>
      </c>
    </row>
    <row r="2725" spans="2:4" hidden="1" x14ac:dyDescent="0.25">
      <c r="B2725" s="306" t="str">
        <f>IF((COUNTBLANK(G2725)=0),Stats!$E$7,IF((COUNTBLANK(E2725)=0),IF((COUNTBLANK(F2725)=0),IF((COUNTBLANK(U2725)=0),Stats!$E$6,Stats!$E$5),Stats!$E$4),""))</f>
        <v/>
      </c>
      <c r="C2725" s="41"/>
      <c r="D2725" s="306" t="str">
        <f>IF(B2725=Stats!$E$6,Stats!$E$11,"")</f>
        <v/>
      </c>
    </row>
    <row r="2726" spans="2:4" hidden="1" x14ac:dyDescent="0.25">
      <c r="B2726" s="306" t="str">
        <f>IF((COUNTBLANK(G2726)=0),Stats!$E$7,IF((COUNTBLANK(E2726)=0),IF((COUNTBLANK(F2726)=0),IF((COUNTBLANK(U2726)=0),Stats!$E$6,Stats!$E$5),Stats!$E$4),""))</f>
        <v/>
      </c>
      <c r="C2726" s="41"/>
      <c r="D2726" s="306" t="str">
        <f>IF(B2726=Stats!$E$6,Stats!$E$11,"")</f>
        <v/>
      </c>
    </row>
    <row r="2727" spans="2:4" hidden="1" x14ac:dyDescent="0.25">
      <c r="B2727" s="306" t="str">
        <f>IF((COUNTBLANK(G2727)=0),Stats!$E$7,IF((COUNTBLANK(E2727)=0),IF((COUNTBLANK(F2727)=0),IF((COUNTBLANK(U2727)=0),Stats!$E$6,Stats!$E$5),Stats!$E$4),""))</f>
        <v/>
      </c>
      <c r="C2727" s="41"/>
      <c r="D2727" s="306" t="str">
        <f>IF(B2727=Stats!$E$6,Stats!$E$11,"")</f>
        <v/>
      </c>
    </row>
    <row r="2728" spans="2:4" hidden="1" x14ac:dyDescent="0.25">
      <c r="B2728" s="306" t="str">
        <f>IF((COUNTBLANK(G2728)=0),Stats!$E$7,IF((COUNTBLANK(E2728)=0),IF((COUNTBLANK(F2728)=0),IF((COUNTBLANK(U2728)=0),Stats!$E$6,Stats!$E$5),Stats!$E$4),""))</f>
        <v/>
      </c>
      <c r="C2728" s="41"/>
      <c r="D2728" s="306" t="str">
        <f>IF(B2728=Stats!$E$6,Stats!$E$11,"")</f>
        <v/>
      </c>
    </row>
    <row r="2729" spans="2:4" hidden="1" x14ac:dyDescent="0.25">
      <c r="B2729" s="306" t="str">
        <f>IF((COUNTBLANK(G2729)=0),Stats!$E$7,IF((COUNTBLANK(E2729)=0),IF((COUNTBLANK(F2729)=0),IF((COUNTBLANK(U2729)=0),Stats!$E$6,Stats!$E$5),Stats!$E$4),""))</f>
        <v/>
      </c>
      <c r="C2729" s="41"/>
      <c r="D2729" s="306" t="str">
        <f>IF(B2729=Stats!$E$6,Stats!$E$11,"")</f>
        <v/>
      </c>
    </row>
    <row r="2730" spans="2:4" hidden="1" x14ac:dyDescent="0.25">
      <c r="B2730" s="306" t="str">
        <f>IF((COUNTBLANK(G2730)=0),Stats!$E$7,IF((COUNTBLANK(E2730)=0),IF((COUNTBLANK(F2730)=0),IF((COUNTBLANK(U2730)=0),Stats!$E$6,Stats!$E$5),Stats!$E$4),""))</f>
        <v/>
      </c>
      <c r="C2730" s="41"/>
      <c r="D2730" s="306" t="str">
        <f>IF(B2730=Stats!$E$6,Stats!$E$11,"")</f>
        <v/>
      </c>
    </row>
    <row r="2731" spans="2:4" hidden="1" x14ac:dyDescent="0.25">
      <c r="B2731" s="306" t="str">
        <f>IF((COUNTBLANK(G2731)=0),Stats!$E$7,IF((COUNTBLANK(E2731)=0),IF((COUNTBLANK(F2731)=0),IF((COUNTBLANK(U2731)=0),Stats!$E$6,Stats!$E$5),Stats!$E$4),""))</f>
        <v/>
      </c>
      <c r="C2731" s="41"/>
      <c r="D2731" s="306" t="str">
        <f>IF(B2731=Stats!$E$6,Stats!$E$11,"")</f>
        <v/>
      </c>
    </row>
    <row r="2732" spans="2:4" hidden="1" x14ac:dyDescent="0.25">
      <c r="B2732" s="306" t="str">
        <f>IF((COUNTBLANK(G2732)=0),Stats!$E$7,IF((COUNTBLANK(E2732)=0),IF((COUNTBLANK(F2732)=0),IF((COUNTBLANK(U2732)=0),Stats!$E$6,Stats!$E$5),Stats!$E$4),""))</f>
        <v/>
      </c>
      <c r="C2732" s="41"/>
      <c r="D2732" s="306" t="str">
        <f>IF(B2732=Stats!$E$6,Stats!$E$11,"")</f>
        <v/>
      </c>
    </row>
    <row r="2733" spans="2:4" hidden="1" x14ac:dyDescent="0.25">
      <c r="B2733" s="306" t="str">
        <f>IF((COUNTBLANK(G2733)=0),Stats!$E$7,IF((COUNTBLANK(E2733)=0),IF((COUNTBLANK(F2733)=0),IF((COUNTBLANK(U2733)=0),Stats!$E$6,Stats!$E$5),Stats!$E$4),""))</f>
        <v/>
      </c>
      <c r="C2733" s="41"/>
      <c r="D2733" s="306" t="str">
        <f>IF(B2733=Stats!$E$6,Stats!$E$11,"")</f>
        <v/>
      </c>
    </row>
    <row r="2734" spans="2:4" hidden="1" x14ac:dyDescent="0.25">
      <c r="B2734" s="306" t="str">
        <f>IF((COUNTBLANK(G2734)=0),Stats!$E$7,IF((COUNTBLANK(E2734)=0),IF((COUNTBLANK(F2734)=0),IF((COUNTBLANK(U2734)=0),Stats!$E$6,Stats!$E$5),Stats!$E$4),""))</f>
        <v/>
      </c>
      <c r="C2734" s="41"/>
      <c r="D2734" s="306" t="str">
        <f>IF(B2734=Stats!$E$6,Stats!$E$11,"")</f>
        <v/>
      </c>
    </row>
    <row r="2735" spans="2:4" hidden="1" x14ac:dyDescent="0.25">
      <c r="B2735" s="306" t="str">
        <f>IF((COUNTBLANK(G2735)=0),Stats!$E$7,IF((COUNTBLANK(E2735)=0),IF((COUNTBLANK(F2735)=0),IF((COUNTBLANK(U2735)=0),Stats!$E$6,Stats!$E$5),Stats!$E$4),""))</f>
        <v/>
      </c>
      <c r="C2735" s="41"/>
      <c r="D2735" s="306" t="str">
        <f>IF(B2735=Stats!$E$6,Stats!$E$11,"")</f>
        <v/>
      </c>
    </row>
    <row r="2736" spans="2:4" hidden="1" x14ac:dyDescent="0.25">
      <c r="B2736" s="306" t="str">
        <f>IF((COUNTBLANK(G2736)=0),Stats!$E$7,IF((COUNTBLANK(E2736)=0),IF((COUNTBLANK(F2736)=0),IF((COUNTBLANK(U2736)=0),Stats!$E$6,Stats!$E$5),Stats!$E$4),""))</f>
        <v/>
      </c>
      <c r="C2736" s="41"/>
      <c r="D2736" s="306" t="str">
        <f>IF(B2736=Stats!$E$6,Stats!$E$11,"")</f>
        <v/>
      </c>
    </row>
    <row r="2737" spans="2:4" hidden="1" x14ac:dyDescent="0.25">
      <c r="B2737" s="306" t="str">
        <f>IF((COUNTBLANK(G2737)=0),Stats!$E$7,IF((COUNTBLANK(E2737)=0),IF((COUNTBLANK(F2737)=0),IF((COUNTBLANK(U2737)=0),Stats!$E$6,Stats!$E$5),Stats!$E$4),""))</f>
        <v/>
      </c>
      <c r="C2737" s="41"/>
      <c r="D2737" s="306" t="str">
        <f>IF(B2737=Stats!$E$6,Stats!$E$11,"")</f>
        <v/>
      </c>
    </row>
    <row r="2738" spans="2:4" hidden="1" x14ac:dyDescent="0.25">
      <c r="B2738" s="306" t="str">
        <f>IF((COUNTBLANK(G2738)=0),Stats!$E$7,IF((COUNTBLANK(E2738)=0),IF((COUNTBLANK(F2738)=0),IF((COUNTBLANK(U2738)=0),Stats!$E$6,Stats!$E$5),Stats!$E$4),""))</f>
        <v/>
      </c>
      <c r="C2738" s="41"/>
      <c r="D2738" s="306" t="str">
        <f>IF(B2738=Stats!$E$6,Stats!$E$11,"")</f>
        <v/>
      </c>
    </row>
    <row r="2739" spans="2:4" hidden="1" x14ac:dyDescent="0.25">
      <c r="B2739" s="306" t="str">
        <f>IF((COUNTBLANK(G2739)=0),Stats!$E$7,IF((COUNTBLANK(E2739)=0),IF((COUNTBLANK(F2739)=0),IF((COUNTBLANK(U2739)=0),Stats!$E$6,Stats!$E$5),Stats!$E$4),""))</f>
        <v/>
      </c>
      <c r="C2739" s="41"/>
      <c r="D2739" s="306" t="str">
        <f>IF(B2739=Stats!$E$6,Stats!$E$11,"")</f>
        <v/>
      </c>
    </row>
    <row r="2740" spans="2:4" hidden="1" x14ac:dyDescent="0.25">
      <c r="B2740" s="306" t="str">
        <f>IF((COUNTBLANK(G2740)=0),Stats!$E$7,IF((COUNTBLANK(E2740)=0),IF((COUNTBLANK(F2740)=0),IF((COUNTBLANK(U2740)=0),Stats!$E$6,Stats!$E$5),Stats!$E$4),""))</f>
        <v/>
      </c>
      <c r="C2740" s="41"/>
      <c r="D2740" s="306" t="str">
        <f>IF(B2740=Stats!$E$6,Stats!$E$11,"")</f>
        <v/>
      </c>
    </row>
    <row r="2741" spans="2:4" hidden="1" x14ac:dyDescent="0.25">
      <c r="B2741" s="306" t="str">
        <f>IF((COUNTBLANK(G2741)=0),Stats!$E$7,IF((COUNTBLANK(E2741)=0),IF((COUNTBLANK(F2741)=0),IF((COUNTBLANK(U2741)=0),Stats!$E$6,Stats!$E$5),Stats!$E$4),""))</f>
        <v/>
      </c>
      <c r="C2741" s="41"/>
      <c r="D2741" s="306" t="str">
        <f>IF(B2741=Stats!$E$6,Stats!$E$11,"")</f>
        <v/>
      </c>
    </row>
    <row r="2742" spans="2:4" hidden="1" x14ac:dyDescent="0.25">
      <c r="B2742" s="306" t="str">
        <f>IF((COUNTBLANK(G2742)=0),Stats!$E$7,IF((COUNTBLANK(E2742)=0),IF((COUNTBLANK(F2742)=0),IF((COUNTBLANK(U2742)=0),Stats!$E$6,Stats!$E$5),Stats!$E$4),""))</f>
        <v/>
      </c>
      <c r="C2742" s="41"/>
      <c r="D2742" s="306" t="str">
        <f>IF(B2742=Stats!$E$6,Stats!$E$11,"")</f>
        <v/>
      </c>
    </row>
    <row r="2743" spans="2:4" hidden="1" x14ac:dyDescent="0.25">
      <c r="B2743" s="306" t="str">
        <f>IF((COUNTBLANK(G2743)=0),Stats!$E$7,IF((COUNTBLANK(E2743)=0),IF((COUNTBLANK(F2743)=0),IF((COUNTBLANK(U2743)=0),Stats!$E$6,Stats!$E$5),Stats!$E$4),""))</f>
        <v/>
      </c>
      <c r="C2743" s="41"/>
      <c r="D2743" s="306" t="str">
        <f>IF(B2743=Stats!$E$6,Stats!$E$11,"")</f>
        <v/>
      </c>
    </row>
    <row r="2744" spans="2:4" hidden="1" x14ac:dyDescent="0.25">
      <c r="B2744" s="306" t="str">
        <f>IF((COUNTBLANK(G2744)=0),Stats!$E$7,IF((COUNTBLANK(E2744)=0),IF((COUNTBLANK(F2744)=0),IF((COUNTBLANK(U2744)=0),Stats!$E$6,Stats!$E$5),Stats!$E$4),""))</f>
        <v/>
      </c>
      <c r="C2744" s="41"/>
      <c r="D2744" s="306" t="str">
        <f>IF(B2744=Stats!$E$6,Stats!$E$11,"")</f>
        <v/>
      </c>
    </row>
    <row r="2745" spans="2:4" hidden="1" x14ac:dyDescent="0.25">
      <c r="B2745" s="306" t="str">
        <f>IF((COUNTBLANK(G2745)=0),Stats!$E$7,IF((COUNTBLANK(E2745)=0),IF((COUNTBLANK(F2745)=0),IF((COUNTBLANK(U2745)=0),Stats!$E$6,Stats!$E$5),Stats!$E$4),""))</f>
        <v/>
      </c>
      <c r="C2745" s="41"/>
      <c r="D2745" s="306" t="str">
        <f>IF(B2745=Stats!$E$6,Stats!$E$11,"")</f>
        <v/>
      </c>
    </row>
    <row r="2746" spans="2:4" hidden="1" x14ac:dyDescent="0.25">
      <c r="B2746" s="306" t="str">
        <f>IF((COUNTBLANK(G2746)=0),Stats!$E$7,IF((COUNTBLANK(E2746)=0),IF((COUNTBLANK(F2746)=0),IF((COUNTBLANK(U2746)=0),Stats!$E$6,Stats!$E$5),Stats!$E$4),""))</f>
        <v/>
      </c>
      <c r="C2746" s="41"/>
      <c r="D2746" s="306" t="str">
        <f>IF(B2746=Stats!$E$6,Stats!$E$11,"")</f>
        <v/>
      </c>
    </row>
    <row r="2747" spans="2:4" hidden="1" x14ac:dyDescent="0.25">
      <c r="B2747" s="306" t="str">
        <f>IF((COUNTBLANK(G2747)=0),Stats!$E$7,IF((COUNTBLANK(E2747)=0),IF((COUNTBLANK(F2747)=0),IF((COUNTBLANK(U2747)=0),Stats!$E$6,Stats!$E$5),Stats!$E$4),""))</f>
        <v/>
      </c>
      <c r="C2747" s="41"/>
      <c r="D2747" s="306" t="str">
        <f>IF(B2747=Stats!$E$6,Stats!$E$11,"")</f>
        <v/>
      </c>
    </row>
    <row r="2748" spans="2:4" hidden="1" x14ac:dyDescent="0.25">
      <c r="B2748" s="306" t="str">
        <f>IF((COUNTBLANK(G2748)=0),Stats!$E$7,IF((COUNTBLANK(E2748)=0),IF((COUNTBLANK(F2748)=0),IF((COUNTBLANK(U2748)=0),Stats!$E$6,Stats!$E$5),Stats!$E$4),""))</f>
        <v/>
      </c>
      <c r="C2748" s="41"/>
      <c r="D2748" s="306" t="str">
        <f>IF(B2748=Stats!$E$6,Stats!$E$11,"")</f>
        <v/>
      </c>
    </row>
    <row r="2749" spans="2:4" hidden="1" x14ac:dyDescent="0.25">
      <c r="B2749" s="306" t="str">
        <f>IF((COUNTBLANK(G2749)=0),Stats!$E$7,IF((COUNTBLANK(E2749)=0),IF((COUNTBLANK(F2749)=0),IF((COUNTBLANK(U2749)=0),Stats!$E$6,Stats!$E$5),Stats!$E$4),""))</f>
        <v/>
      </c>
      <c r="C2749" s="41"/>
      <c r="D2749" s="306" t="str">
        <f>IF(B2749=Stats!$E$6,Stats!$E$11,"")</f>
        <v/>
      </c>
    </row>
    <row r="2750" spans="2:4" hidden="1" x14ac:dyDescent="0.25">
      <c r="B2750" s="306" t="str">
        <f>IF((COUNTBLANK(G2750)=0),Stats!$E$7,IF((COUNTBLANK(E2750)=0),IF((COUNTBLANK(F2750)=0),IF((COUNTBLANK(U2750)=0),Stats!$E$6,Stats!$E$5),Stats!$E$4),""))</f>
        <v/>
      </c>
      <c r="C2750" s="41"/>
      <c r="D2750" s="306" t="str">
        <f>IF(B2750=Stats!$E$6,Stats!$E$11,"")</f>
        <v/>
      </c>
    </row>
    <row r="2751" spans="2:4" hidden="1" x14ac:dyDescent="0.25">
      <c r="B2751" s="306" t="str">
        <f>IF((COUNTBLANK(G2751)=0),Stats!$E$7,IF((COUNTBLANK(E2751)=0),IF((COUNTBLANK(F2751)=0),IF((COUNTBLANK(U2751)=0),Stats!$E$6,Stats!$E$5),Stats!$E$4),""))</f>
        <v/>
      </c>
      <c r="C2751" s="41"/>
      <c r="D2751" s="306" t="str">
        <f>IF(B2751=Stats!$E$6,Stats!$E$11,"")</f>
        <v/>
      </c>
    </row>
    <row r="2752" spans="2:4" hidden="1" x14ac:dyDescent="0.25">
      <c r="B2752" s="306" t="str">
        <f>IF((COUNTBLANK(G2752)=0),Stats!$E$7,IF((COUNTBLANK(E2752)=0),IF((COUNTBLANK(F2752)=0),IF((COUNTBLANK(U2752)=0),Stats!$E$6,Stats!$E$5),Stats!$E$4),""))</f>
        <v/>
      </c>
      <c r="C2752" s="41"/>
      <c r="D2752" s="306" t="str">
        <f>IF(B2752=Stats!$E$6,Stats!$E$11,"")</f>
        <v/>
      </c>
    </row>
    <row r="2753" spans="2:4" hidden="1" x14ac:dyDescent="0.25">
      <c r="B2753" s="306" t="str">
        <f>IF((COUNTBLANK(G2753)=0),Stats!$E$7,IF((COUNTBLANK(E2753)=0),IF((COUNTBLANK(F2753)=0),IF((COUNTBLANK(U2753)=0),Stats!$E$6,Stats!$E$5),Stats!$E$4),""))</f>
        <v/>
      </c>
      <c r="C2753" s="41"/>
      <c r="D2753" s="306" t="str">
        <f>IF(B2753=Stats!$E$6,Stats!$E$11,"")</f>
        <v/>
      </c>
    </row>
    <row r="2754" spans="2:4" hidden="1" x14ac:dyDescent="0.25">
      <c r="B2754" s="306" t="str">
        <f>IF((COUNTBLANK(G2754)=0),Stats!$E$7,IF((COUNTBLANK(E2754)=0),IF((COUNTBLANK(F2754)=0),IF((COUNTBLANK(U2754)=0),Stats!$E$6,Stats!$E$5),Stats!$E$4),""))</f>
        <v/>
      </c>
      <c r="C2754" s="41"/>
      <c r="D2754" s="306" t="str">
        <f>IF(B2754=Stats!$E$6,Stats!$E$11,"")</f>
        <v/>
      </c>
    </row>
    <row r="2755" spans="2:4" hidden="1" x14ac:dyDescent="0.25">
      <c r="B2755" s="306" t="str">
        <f>IF((COUNTBLANK(G2755)=0),Stats!$E$7,IF((COUNTBLANK(E2755)=0),IF((COUNTBLANK(F2755)=0),IF((COUNTBLANK(U2755)=0),Stats!$E$6,Stats!$E$5),Stats!$E$4),""))</f>
        <v/>
      </c>
      <c r="C2755" s="41"/>
      <c r="D2755" s="306" t="str">
        <f>IF(B2755=Stats!$E$6,Stats!$E$11,"")</f>
        <v/>
      </c>
    </row>
    <row r="2756" spans="2:4" hidden="1" x14ac:dyDescent="0.25">
      <c r="B2756" s="306" t="str">
        <f>IF((COUNTBLANK(G2756)=0),Stats!$E$7,IF((COUNTBLANK(E2756)=0),IF((COUNTBLANK(F2756)=0),IF((COUNTBLANK(U2756)=0),Stats!$E$6,Stats!$E$5),Stats!$E$4),""))</f>
        <v/>
      </c>
      <c r="C2756" s="41"/>
      <c r="D2756" s="306" t="str">
        <f>IF(B2756=Stats!$E$6,Stats!$E$11,"")</f>
        <v/>
      </c>
    </row>
    <row r="2757" spans="2:4" hidden="1" x14ac:dyDescent="0.25">
      <c r="B2757" s="306" t="str">
        <f>IF((COUNTBLANK(G2757)=0),Stats!$E$7,IF((COUNTBLANK(E2757)=0),IF((COUNTBLANK(F2757)=0),IF((COUNTBLANK(U2757)=0),Stats!$E$6,Stats!$E$5),Stats!$E$4),""))</f>
        <v/>
      </c>
      <c r="C2757" s="41"/>
      <c r="D2757" s="306" t="str">
        <f>IF(B2757=Stats!$E$6,Stats!$E$11,"")</f>
        <v/>
      </c>
    </row>
    <row r="2758" spans="2:4" hidden="1" x14ac:dyDescent="0.25">
      <c r="B2758" s="306" t="str">
        <f>IF((COUNTBLANK(G2758)=0),Stats!$E$7,IF((COUNTBLANK(E2758)=0),IF((COUNTBLANK(F2758)=0),IF((COUNTBLANK(U2758)=0),Stats!$E$6,Stats!$E$5),Stats!$E$4),""))</f>
        <v/>
      </c>
      <c r="C2758" s="41"/>
      <c r="D2758" s="306" t="str">
        <f>IF(B2758=Stats!$E$6,Stats!$E$11,"")</f>
        <v/>
      </c>
    </row>
    <row r="2759" spans="2:4" hidden="1" x14ac:dyDescent="0.25">
      <c r="B2759" s="306" t="str">
        <f>IF((COUNTBLANK(G2759)=0),Stats!$E$7,IF((COUNTBLANK(E2759)=0),IF((COUNTBLANK(F2759)=0),IF((COUNTBLANK(U2759)=0),Stats!$E$6,Stats!$E$5),Stats!$E$4),""))</f>
        <v/>
      </c>
      <c r="C2759" s="41"/>
      <c r="D2759" s="306" t="str">
        <f>IF(B2759=Stats!$E$6,Stats!$E$11,"")</f>
        <v/>
      </c>
    </row>
    <row r="2760" spans="2:4" hidden="1" x14ac:dyDescent="0.25">
      <c r="B2760" s="306" t="str">
        <f>IF((COUNTBLANK(G2760)=0),Stats!$E$7,IF((COUNTBLANK(E2760)=0),IF((COUNTBLANK(F2760)=0),IF((COUNTBLANK(U2760)=0),Stats!$E$6,Stats!$E$5),Stats!$E$4),""))</f>
        <v/>
      </c>
      <c r="C2760" s="41"/>
      <c r="D2760" s="306" t="str">
        <f>IF(B2760=Stats!$E$6,Stats!$E$11,"")</f>
        <v/>
      </c>
    </row>
    <row r="2761" spans="2:4" hidden="1" x14ac:dyDescent="0.25">
      <c r="B2761" s="306" t="str">
        <f>IF((COUNTBLANK(G2761)=0),Stats!$E$7,IF((COUNTBLANK(E2761)=0),IF((COUNTBLANK(F2761)=0),IF((COUNTBLANK(U2761)=0),Stats!$E$6,Stats!$E$5),Stats!$E$4),""))</f>
        <v/>
      </c>
      <c r="C2761" s="41"/>
      <c r="D2761" s="306" t="str">
        <f>IF(B2761=Stats!$E$6,Stats!$E$11,"")</f>
        <v/>
      </c>
    </row>
    <row r="2762" spans="2:4" hidden="1" x14ac:dyDescent="0.25">
      <c r="B2762" s="306" t="str">
        <f>IF((COUNTBLANK(G2762)=0),Stats!$E$7,IF((COUNTBLANK(E2762)=0),IF((COUNTBLANK(F2762)=0),IF((COUNTBLANK(U2762)=0),Stats!$E$6,Stats!$E$5),Stats!$E$4),""))</f>
        <v/>
      </c>
      <c r="C2762" s="41"/>
      <c r="D2762" s="306" t="str">
        <f>IF(B2762=Stats!$E$6,Stats!$E$11,"")</f>
        <v/>
      </c>
    </row>
    <row r="2763" spans="2:4" hidden="1" x14ac:dyDescent="0.25">
      <c r="B2763" s="306" t="str">
        <f>IF((COUNTBLANK(G2763)=0),Stats!$E$7,IF((COUNTBLANK(E2763)=0),IF((COUNTBLANK(F2763)=0),IF((COUNTBLANK(U2763)=0),Stats!$E$6,Stats!$E$5),Stats!$E$4),""))</f>
        <v/>
      </c>
      <c r="C2763" s="41"/>
      <c r="D2763" s="306" t="str">
        <f>IF(B2763=Stats!$E$6,Stats!$E$11,"")</f>
        <v/>
      </c>
    </row>
    <row r="2764" spans="2:4" hidden="1" x14ac:dyDescent="0.25">
      <c r="B2764" s="306" t="str">
        <f>IF((COUNTBLANK(G2764)=0),Stats!$E$7,IF((COUNTBLANK(E2764)=0),IF((COUNTBLANK(F2764)=0),IF((COUNTBLANK(U2764)=0),Stats!$E$6,Stats!$E$5),Stats!$E$4),""))</f>
        <v/>
      </c>
      <c r="C2764" s="41"/>
      <c r="D2764" s="306" t="str">
        <f>IF(B2764=Stats!$E$6,Stats!$E$11,"")</f>
        <v/>
      </c>
    </row>
    <row r="2765" spans="2:4" hidden="1" x14ac:dyDescent="0.25">
      <c r="B2765" s="306" t="str">
        <f>IF((COUNTBLANK(G2765)=0),Stats!$E$7,IF((COUNTBLANK(E2765)=0),IF((COUNTBLANK(F2765)=0),IF((COUNTBLANK(U2765)=0),Stats!$E$6,Stats!$E$5),Stats!$E$4),""))</f>
        <v/>
      </c>
      <c r="C2765" s="41"/>
      <c r="D2765" s="306" t="str">
        <f>IF(B2765=Stats!$E$6,Stats!$E$11,"")</f>
        <v/>
      </c>
    </row>
    <row r="2766" spans="2:4" hidden="1" x14ac:dyDescent="0.25">
      <c r="B2766" s="306" t="str">
        <f>IF((COUNTBLANK(G2766)=0),Stats!$E$7,IF((COUNTBLANK(E2766)=0),IF((COUNTBLANK(F2766)=0),IF((COUNTBLANK(U2766)=0),Stats!$E$6,Stats!$E$5),Stats!$E$4),""))</f>
        <v/>
      </c>
      <c r="C2766" s="41"/>
      <c r="D2766" s="306" t="str">
        <f>IF(B2766=Stats!$E$6,Stats!$E$11,"")</f>
        <v/>
      </c>
    </row>
    <row r="2767" spans="2:4" hidden="1" x14ac:dyDescent="0.25">
      <c r="B2767" s="306" t="str">
        <f>IF((COUNTBLANK(G2767)=0),Stats!$E$7,IF((COUNTBLANK(E2767)=0),IF((COUNTBLANK(F2767)=0),IF((COUNTBLANK(U2767)=0),Stats!$E$6,Stats!$E$5),Stats!$E$4),""))</f>
        <v/>
      </c>
      <c r="C2767" s="41"/>
      <c r="D2767" s="306" t="str">
        <f>IF(B2767=Stats!$E$6,Stats!$E$11,"")</f>
        <v/>
      </c>
    </row>
    <row r="2768" spans="2:4" hidden="1" x14ac:dyDescent="0.25">
      <c r="B2768" s="306" t="str">
        <f>IF((COUNTBLANK(G2768)=0),Stats!$E$7,IF((COUNTBLANK(E2768)=0),IF((COUNTBLANK(F2768)=0),IF((COUNTBLANK(U2768)=0),Stats!$E$6,Stats!$E$5),Stats!$E$4),""))</f>
        <v/>
      </c>
      <c r="C2768" s="41"/>
      <c r="D2768" s="306" t="str">
        <f>IF(B2768=Stats!$E$6,Stats!$E$11,"")</f>
        <v/>
      </c>
    </row>
    <row r="2769" spans="2:4" hidden="1" x14ac:dyDescent="0.25">
      <c r="B2769" s="306" t="str">
        <f>IF((COUNTBLANK(G2769)=0),Stats!$E$7,IF((COUNTBLANK(E2769)=0),IF((COUNTBLANK(F2769)=0),IF((COUNTBLANK(U2769)=0),Stats!$E$6,Stats!$E$5),Stats!$E$4),""))</f>
        <v/>
      </c>
      <c r="C2769" s="41"/>
      <c r="D2769" s="306" t="str">
        <f>IF(B2769=Stats!$E$6,Stats!$E$11,"")</f>
        <v/>
      </c>
    </row>
    <row r="2770" spans="2:4" hidden="1" x14ac:dyDescent="0.25">
      <c r="B2770" s="306" t="str">
        <f>IF((COUNTBLANK(G2770)=0),Stats!$E$7,IF((COUNTBLANK(E2770)=0),IF((COUNTBLANK(F2770)=0),IF((COUNTBLANK(U2770)=0),Stats!$E$6,Stats!$E$5),Stats!$E$4),""))</f>
        <v/>
      </c>
      <c r="C2770" s="41"/>
      <c r="D2770" s="306" t="str">
        <f>IF(B2770=Stats!$E$6,Stats!$E$11,"")</f>
        <v/>
      </c>
    </row>
    <row r="2771" spans="2:4" hidden="1" x14ac:dyDescent="0.25">
      <c r="B2771" s="306" t="str">
        <f>IF((COUNTBLANK(G2771)=0),Stats!$E$7,IF((COUNTBLANK(E2771)=0),IF((COUNTBLANK(F2771)=0),IF((COUNTBLANK(U2771)=0),Stats!$E$6,Stats!$E$5),Stats!$E$4),""))</f>
        <v/>
      </c>
      <c r="C2771" s="41"/>
      <c r="D2771" s="306" t="str">
        <f>IF(B2771=Stats!$E$6,Stats!$E$11,"")</f>
        <v/>
      </c>
    </row>
    <row r="2772" spans="2:4" hidden="1" x14ac:dyDescent="0.25">
      <c r="B2772" s="306" t="str">
        <f>IF((COUNTBLANK(G2772)=0),Stats!$E$7,IF((COUNTBLANK(E2772)=0),IF((COUNTBLANK(F2772)=0),IF((COUNTBLANK(U2772)=0),Stats!$E$6,Stats!$E$5),Stats!$E$4),""))</f>
        <v/>
      </c>
      <c r="C2772" s="41"/>
      <c r="D2772" s="306" t="str">
        <f>IF(B2772=Stats!$E$6,Stats!$E$11,"")</f>
        <v/>
      </c>
    </row>
    <row r="2773" spans="2:4" hidden="1" x14ac:dyDescent="0.25">
      <c r="B2773" s="306" t="str">
        <f>IF((COUNTBLANK(G2773)=0),Stats!$E$7,IF((COUNTBLANK(E2773)=0),IF((COUNTBLANK(F2773)=0),IF((COUNTBLANK(U2773)=0),Stats!$E$6,Stats!$E$5),Stats!$E$4),""))</f>
        <v/>
      </c>
      <c r="C2773" s="41"/>
      <c r="D2773" s="306" t="str">
        <f>IF(B2773=Stats!$E$6,Stats!$E$11,"")</f>
        <v/>
      </c>
    </row>
    <row r="2774" spans="2:4" hidden="1" x14ac:dyDescent="0.25">
      <c r="B2774" s="306" t="str">
        <f>IF((COUNTBLANK(G2774)=0),Stats!$E$7,IF((COUNTBLANK(E2774)=0),IF((COUNTBLANK(F2774)=0),IF((COUNTBLANK(U2774)=0),Stats!$E$6,Stats!$E$5),Stats!$E$4),""))</f>
        <v/>
      </c>
      <c r="C2774" s="41"/>
      <c r="D2774" s="306" t="str">
        <f>IF(B2774=Stats!$E$6,Stats!$E$11,"")</f>
        <v/>
      </c>
    </row>
    <row r="2775" spans="2:4" hidden="1" x14ac:dyDescent="0.25">
      <c r="B2775" s="306" t="str">
        <f>IF((COUNTBLANK(G2775)=0),Stats!$E$7,IF((COUNTBLANK(E2775)=0),IF((COUNTBLANK(F2775)=0),IF((COUNTBLANK(U2775)=0),Stats!$E$6,Stats!$E$5),Stats!$E$4),""))</f>
        <v/>
      </c>
      <c r="C2775" s="41"/>
      <c r="D2775" s="306" t="str">
        <f>IF(B2775=Stats!$E$6,Stats!$E$11,"")</f>
        <v/>
      </c>
    </row>
    <row r="2776" spans="2:4" hidden="1" x14ac:dyDescent="0.25">
      <c r="B2776" s="306" t="str">
        <f>IF((COUNTBLANK(G2776)=0),Stats!$E$7,IF((COUNTBLANK(E2776)=0),IF((COUNTBLANK(F2776)=0),IF((COUNTBLANK(U2776)=0),Stats!$E$6,Stats!$E$5),Stats!$E$4),""))</f>
        <v/>
      </c>
      <c r="C2776" s="41"/>
      <c r="D2776" s="306" t="str">
        <f>IF(B2776=Stats!$E$6,Stats!$E$11,"")</f>
        <v/>
      </c>
    </row>
    <row r="2777" spans="2:4" hidden="1" x14ac:dyDescent="0.25">
      <c r="B2777" s="306" t="str">
        <f>IF((COUNTBLANK(G2777)=0),Stats!$E$7,IF((COUNTBLANK(E2777)=0),IF((COUNTBLANK(F2777)=0),IF((COUNTBLANK(U2777)=0),Stats!$E$6,Stats!$E$5),Stats!$E$4),""))</f>
        <v/>
      </c>
      <c r="C2777" s="41"/>
      <c r="D2777" s="306" t="str">
        <f>IF(B2777=Stats!$E$6,Stats!$E$11,"")</f>
        <v/>
      </c>
    </row>
    <row r="2778" spans="2:4" hidden="1" x14ac:dyDescent="0.25">
      <c r="B2778" s="306" t="str">
        <f>IF((COUNTBLANK(G2778)=0),Stats!$E$7,IF((COUNTBLANK(E2778)=0),IF((COUNTBLANK(F2778)=0),IF((COUNTBLANK(U2778)=0),Stats!$E$6,Stats!$E$5),Stats!$E$4),""))</f>
        <v/>
      </c>
      <c r="C2778" s="41"/>
      <c r="D2778" s="306" t="str">
        <f>IF(B2778=Stats!$E$6,Stats!$E$11,"")</f>
        <v/>
      </c>
    </row>
    <row r="2779" spans="2:4" hidden="1" x14ac:dyDescent="0.25">
      <c r="B2779" s="306" t="str">
        <f>IF((COUNTBLANK(G2779)=0),Stats!$E$7,IF((COUNTBLANK(E2779)=0),IF((COUNTBLANK(F2779)=0),IF((COUNTBLANK(U2779)=0),Stats!$E$6,Stats!$E$5),Stats!$E$4),""))</f>
        <v/>
      </c>
      <c r="C2779" s="41"/>
      <c r="D2779" s="306" t="str">
        <f>IF(B2779=Stats!$E$6,Stats!$E$11,"")</f>
        <v/>
      </c>
    </row>
    <row r="2780" spans="2:4" hidden="1" x14ac:dyDescent="0.25">
      <c r="B2780" s="306" t="str">
        <f>IF((COUNTBLANK(G2780)=0),Stats!$E$7,IF((COUNTBLANK(E2780)=0),IF((COUNTBLANK(F2780)=0),IF((COUNTBLANK(U2780)=0),Stats!$E$6,Stats!$E$5),Stats!$E$4),""))</f>
        <v/>
      </c>
      <c r="C2780" s="41"/>
      <c r="D2780" s="306" t="str">
        <f>IF(B2780=Stats!$E$6,Stats!$E$11,"")</f>
        <v/>
      </c>
    </row>
    <row r="2781" spans="2:4" hidden="1" x14ac:dyDescent="0.25">
      <c r="B2781" s="306" t="str">
        <f>IF((COUNTBLANK(G2781)=0),Stats!$E$7,IF((COUNTBLANK(E2781)=0),IF((COUNTBLANK(F2781)=0),IF((COUNTBLANK(U2781)=0),Stats!$E$6,Stats!$E$5),Stats!$E$4),""))</f>
        <v/>
      </c>
      <c r="C2781" s="41"/>
      <c r="D2781" s="306" t="str">
        <f>IF(B2781=Stats!$E$6,Stats!$E$11,"")</f>
        <v/>
      </c>
    </row>
    <row r="2782" spans="2:4" hidden="1" x14ac:dyDescent="0.25">
      <c r="B2782" s="306" t="str">
        <f>IF((COUNTBLANK(G2782)=0),Stats!$E$7,IF((COUNTBLANK(E2782)=0),IF((COUNTBLANK(F2782)=0),IF((COUNTBLANK(U2782)=0),Stats!$E$6,Stats!$E$5),Stats!$E$4),""))</f>
        <v/>
      </c>
      <c r="C2782" s="41"/>
      <c r="D2782" s="306" t="str">
        <f>IF(B2782=Stats!$E$6,Stats!$E$11,"")</f>
        <v/>
      </c>
    </row>
    <row r="2783" spans="2:4" hidden="1" x14ac:dyDescent="0.25">
      <c r="B2783" s="306" t="str">
        <f>IF((COUNTBLANK(G2783)=0),Stats!$E$7,IF((COUNTBLANK(E2783)=0),IF((COUNTBLANK(F2783)=0),IF((COUNTBLANK(U2783)=0),Stats!$E$6,Stats!$E$5),Stats!$E$4),""))</f>
        <v/>
      </c>
      <c r="C2783" s="41"/>
      <c r="D2783" s="306" t="str">
        <f>IF(B2783=Stats!$E$6,Stats!$E$11,"")</f>
        <v/>
      </c>
    </row>
    <row r="2784" spans="2:4" hidden="1" x14ac:dyDescent="0.25">
      <c r="B2784" s="306" t="str">
        <f>IF((COUNTBLANK(G2784)=0),Stats!$E$7,IF((COUNTBLANK(E2784)=0),IF((COUNTBLANK(F2784)=0),IF((COUNTBLANK(U2784)=0),Stats!$E$6,Stats!$E$5),Stats!$E$4),""))</f>
        <v/>
      </c>
      <c r="C2784" s="41"/>
      <c r="D2784" s="306" t="str">
        <f>IF(B2784=Stats!$E$6,Stats!$E$11,"")</f>
        <v/>
      </c>
    </row>
    <row r="2785" spans="2:4" hidden="1" x14ac:dyDescent="0.25">
      <c r="B2785" s="306" t="str">
        <f>IF((COUNTBLANK(G2785)=0),Stats!$E$7,IF((COUNTBLANK(E2785)=0),IF((COUNTBLANK(F2785)=0),IF((COUNTBLANK(U2785)=0),Stats!$E$6,Stats!$E$5),Stats!$E$4),""))</f>
        <v/>
      </c>
      <c r="C2785" s="41"/>
      <c r="D2785" s="306" t="str">
        <f>IF(B2785=Stats!$E$6,Stats!$E$11,"")</f>
        <v/>
      </c>
    </row>
    <row r="2786" spans="2:4" hidden="1" x14ac:dyDescent="0.25">
      <c r="B2786" s="306" t="str">
        <f>IF((COUNTBLANK(G2786)=0),Stats!$E$7,IF((COUNTBLANK(E2786)=0),IF((COUNTBLANK(F2786)=0),IF((COUNTBLANK(U2786)=0),Stats!$E$6,Stats!$E$5),Stats!$E$4),""))</f>
        <v/>
      </c>
      <c r="C2786" s="41"/>
      <c r="D2786" s="306" t="str">
        <f>IF(B2786=Stats!$E$6,Stats!$E$11,"")</f>
        <v/>
      </c>
    </row>
    <row r="2787" spans="2:4" hidden="1" x14ac:dyDescent="0.25">
      <c r="B2787" s="306" t="str">
        <f>IF((COUNTBLANK(G2787)=0),Stats!$E$7,IF((COUNTBLANK(E2787)=0),IF((COUNTBLANK(F2787)=0),IF((COUNTBLANK(U2787)=0),Stats!$E$6,Stats!$E$5),Stats!$E$4),""))</f>
        <v/>
      </c>
      <c r="C2787" s="41"/>
      <c r="D2787" s="306" t="str">
        <f>IF(B2787=Stats!$E$6,Stats!$E$11,"")</f>
        <v/>
      </c>
    </row>
    <row r="2788" spans="2:4" hidden="1" x14ac:dyDescent="0.25">
      <c r="B2788" s="306" t="str">
        <f>IF((COUNTBLANK(G2788)=0),Stats!$E$7,IF((COUNTBLANK(E2788)=0),IF((COUNTBLANK(F2788)=0),IF((COUNTBLANK(U2788)=0),Stats!$E$6,Stats!$E$5),Stats!$E$4),""))</f>
        <v/>
      </c>
      <c r="C2788" s="41"/>
      <c r="D2788" s="306" t="str">
        <f>IF(B2788=Stats!$E$6,Stats!$E$11,"")</f>
        <v/>
      </c>
    </row>
    <row r="2789" spans="2:4" hidden="1" x14ac:dyDescent="0.25">
      <c r="B2789" s="306" t="str">
        <f>IF((COUNTBLANK(G2789)=0),Stats!$E$7,IF((COUNTBLANK(E2789)=0),IF((COUNTBLANK(F2789)=0),IF((COUNTBLANK(U2789)=0),Stats!$E$6,Stats!$E$5),Stats!$E$4),""))</f>
        <v/>
      </c>
      <c r="C2789" s="41"/>
      <c r="D2789" s="306" t="str">
        <f>IF(B2789=Stats!$E$6,Stats!$E$11,"")</f>
        <v/>
      </c>
    </row>
    <row r="2790" spans="2:4" hidden="1" x14ac:dyDescent="0.25">
      <c r="B2790" s="306" t="str">
        <f>IF((COUNTBLANK(G2790)=0),Stats!$E$7,IF((COUNTBLANK(E2790)=0),IF((COUNTBLANK(F2790)=0),IF((COUNTBLANK(U2790)=0),Stats!$E$6,Stats!$E$5),Stats!$E$4),""))</f>
        <v/>
      </c>
      <c r="C2790" s="41"/>
      <c r="D2790" s="306" t="str">
        <f>IF(B2790=Stats!$E$6,Stats!$E$11,"")</f>
        <v/>
      </c>
    </row>
    <row r="2791" spans="2:4" hidden="1" x14ac:dyDescent="0.25">
      <c r="B2791" s="306" t="str">
        <f>IF((COUNTBLANK(G2791)=0),Stats!$E$7,IF((COUNTBLANK(E2791)=0),IF((COUNTBLANK(F2791)=0),IF((COUNTBLANK(U2791)=0),Stats!$E$6,Stats!$E$5),Stats!$E$4),""))</f>
        <v/>
      </c>
      <c r="C2791" s="41"/>
      <c r="D2791" s="306" t="str">
        <f>IF(B2791=Stats!$E$6,Stats!$E$11,"")</f>
        <v/>
      </c>
    </row>
    <row r="2792" spans="2:4" hidden="1" x14ac:dyDescent="0.25">
      <c r="B2792" s="306" t="str">
        <f>IF((COUNTBLANK(G2792)=0),Stats!$E$7,IF((COUNTBLANK(E2792)=0),IF((COUNTBLANK(F2792)=0),IF((COUNTBLANK(U2792)=0),Stats!$E$6,Stats!$E$5),Stats!$E$4),""))</f>
        <v/>
      </c>
      <c r="C2792" s="41"/>
      <c r="D2792" s="306" t="str">
        <f>IF(B2792=Stats!$E$6,Stats!$E$11,"")</f>
        <v/>
      </c>
    </row>
    <row r="2793" spans="2:4" hidden="1" x14ac:dyDescent="0.25">
      <c r="B2793" s="306" t="str">
        <f>IF((COUNTBLANK(G2793)=0),Stats!$E$7,IF((COUNTBLANK(E2793)=0),IF((COUNTBLANK(F2793)=0),IF((COUNTBLANK(U2793)=0),Stats!$E$6,Stats!$E$5),Stats!$E$4),""))</f>
        <v/>
      </c>
      <c r="C2793" s="41"/>
      <c r="D2793" s="306" t="str">
        <f>IF(B2793=Stats!$E$6,Stats!$E$11,"")</f>
        <v/>
      </c>
    </row>
    <row r="2794" spans="2:4" hidden="1" x14ac:dyDescent="0.25">
      <c r="B2794" s="306" t="str">
        <f>IF((COUNTBLANK(G2794)=0),Stats!$E$7,IF((COUNTBLANK(E2794)=0),IF((COUNTBLANK(F2794)=0),IF((COUNTBLANK(U2794)=0),Stats!$E$6,Stats!$E$5),Stats!$E$4),""))</f>
        <v/>
      </c>
      <c r="C2794" s="41"/>
      <c r="D2794" s="306" t="str">
        <f>IF(B2794=Stats!$E$6,Stats!$E$11,"")</f>
        <v/>
      </c>
    </row>
    <row r="2795" spans="2:4" hidden="1" x14ac:dyDescent="0.25">
      <c r="B2795" s="306" t="str">
        <f>IF((COUNTBLANK(G2795)=0),Stats!$E$7,IF((COUNTBLANK(E2795)=0),IF((COUNTBLANK(F2795)=0),IF((COUNTBLANK(U2795)=0),Stats!$E$6,Stats!$E$5),Stats!$E$4),""))</f>
        <v/>
      </c>
      <c r="C2795" s="41"/>
      <c r="D2795" s="306" t="str">
        <f>IF(B2795=Stats!$E$6,Stats!$E$11,"")</f>
        <v/>
      </c>
    </row>
    <row r="2796" spans="2:4" hidden="1" x14ac:dyDescent="0.25">
      <c r="B2796" s="306" t="str">
        <f>IF((COUNTBLANK(G2796)=0),Stats!$E$7,IF((COUNTBLANK(E2796)=0),IF((COUNTBLANK(F2796)=0),IF((COUNTBLANK(U2796)=0),Stats!$E$6,Stats!$E$5),Stats!$E$4),""))</f>
        <v/>
      </c>
      <c r="C2796" s="41"/>
      <c r="D2796" s="306" t="str">
        <f>IF(B2796=Stats!$E$6,Stats!$E$11,"")</f>
        <v/>
      </c>
    </row>
    <row r="2797" spans="2:4" hidden="1" x14ac:dyDescent="0.25">
      <c r="B2797" s="306" t="str">
        <f>IF((COUNTBLANK(G2797)=0),Stats!$E$7,IF((COUNTBLANK(E2797)=0),IF((COUNTBLANK(F2797)=0),IF((COUNTBLANK(U2797)=0),Stats!$E$6,Stats!$E$5),Stats!$E$4),""))</f>
        <v/>
      </c>
      <c r="C2797" s="41"/>
      <c r="D2797" s="306" t="str">
        <f>IF(B2797=Stats!$E$6,Stats!$E$11,"")</f>
        <v/>
      </c>
    </row>
    <row r="2798" spans="2:4" hidden="1" x14ac:dyDescent="0.25">
      <c r="B2798" s="306" t="str">
        <f>IF((COUNTBLANK(G2798)=0),Stats!$E$7,IF((COUNTBLANK(E2798)=0),IF((COUNTBLANK(F2798)=0),IF((COUNTBLANK(U2798)=0),Stats!$E$6,Stats!$E$5),Stats!$E$4),""))</f>
        <v/>
      </c>
      <c r="C2798" s="41"/>
      <c r="D2798" s="306" t="str">
        <f>IF(B2798=Stats!$E$6,Stats!$E$11,"")</f>
        <v/>
      </c>
    </row>
    <row r="2799" spans="2:4" hidden="1" x14ac:dyDescent="0.25">
      <c r="B2799" s="306" t="str">
        <f>IF((COUNTBLANK(G2799)=0),Stats!$E$7,IF((COUNTBLANK(E2799)=0),IF((COUNTBLANK(F2799)=0),IF((COUNTBLANK(U2799)=0),Stats!$E$6,Stats!$E$5),Stats!$E$4),""))</f>
        <v/>
      </c>
      <c r="C2799" s="41"/>
      <c r="D2799" s="306" t="str">
        <f>IF(B2799=Stats!$E$6,Stats!$E$11,"")</f>
        <v/>
      </c>
    </row>
    <row r="2800" spans="2:4" hidden="1" x14ac:dyDescent="0.25">
      <c r="B2800" s="306" t="str">
        <f>IF((COUNTBLANK(G2800)=0),Stats!$E$7,IF((COUNTBLANK(E2800)=0),IF((COUNTBLANK(F2800)=0),IF((COUNTBLANK(U2800)=0),Stats!$E$6,Stats!$E$5),Stats!$E$4),""))</f>
        <v/>
      </c>
      <c r="C2800" s="41"/>
      <c r="D2800" s="306" t="str">
        <f>IF(B2800=Stats!$E$6,Stats!$E$11,"")</f>
        <v/>
      </c>
    </row>
    <row r="2801" spans="2:4" hidden="1" x14ac:dyDescent="0.25">
      <c r="B2801" s="306" t="str">
        <f>IF((COUNTBLANK(G2801)=0),Stats!$E$7,IF((COUNTBLANK(E2801)=0),IF((COUNTBLANK(F2801)=0),IF((COUNTBLANK(U2801)=0),Stats!$E$6,Stats!$E$5),Stats!$E$4),""))</f>
        <v/>
      </c>
      <c r="C2801" s="41"/>
      <c r="D2801" s="306" t="str">
        <f>IF(B2801=Stats!$E$6,Stats!$E$11,"")</f>
        <v/>
      </c>
    </row>
    <row r="2802" spans="2:4" hidden="1" x14ac:dyDescent="0.25">
      <c r="B2802" s="306" t="str">
        <f>IF((COUNTBLANK(G2802)=0),Stats!$E$7,IF((COUNTBLANK(E2802)=0),IF((COUNTBLANK(F2802)=0),IF((COUNTBLANK(U2802)=0),Stats!$E$6,Stats!$E$5),Stats!$E$4),""))</f>
        <v/>
      </c>
      <c r="C2802" s="41"/>
      <c r="D2802" s="306" t="str">
        <f>IF(B2802=Stats!$E$6,Stats!$E$11,"")</f>
        <v/>
      </c>
    </row>
    <row r="2803" spans="2:4" hidden="1" x14ac:dyDescent="0.25">
      <c r="B2803" s="306" t="str">
        <f>IF((COUNTBLANK(G2803)=0),Stats!$E$7,IF((COUNTBLANK(E2803)=0),IF((COUNTBLANK(F2803)=0),IF((COUNTBLANK(U2803)=0),Stats!$E$6,Stats!$E$5),Stats!$E$4),""))</f>
        <v/>
      </c>
      <c r="C2803" s="41"/>
      <c r="D2803" s="306" t="str">
        <f>IF(B2803=Stats!$E$6,Stats!$E$11,"")</f>
        <v/>
      </c>
    </row>
    <row r="2804" spans="2:4" hidden="1" x14ac:dyDescent="0.25">
      <c r="B2804" s="306" t="str">
        <f>IF((COUNTBLANK(G2804)=0),Stats!$E$7,IF((COUNTBLANK(E2804)=0),IF((COUNTBLANK(F2804)=0),IF((COUNTBLANK(U2804)=0),Stats!$E$6,Stats!$E$5),Stats!$E$4),""))</f>
        <v/>
      </c>
      <c r="C2804" s="41"/>
      <c r="D2804" s="306" t="str">
        <f>IF(B2804=Stats!$E$6,Stats!$E$11,"")</f>
        <v/>
      </c>
    </row>
    <row r="2805" spans="2:4" hidden="1" x14ac:dyDescent="0.25">
      <c r="B2805" s="306" t="str">
        <f>IF((COUNTBLANK(G2805)=0),Stats!$E$7,IF((COUNTBLANK(E2805)=0),IF((COUNTBLANK(F2805)=0),IF((COUNTBLANK(U2805)=0),Stats!$E$6,Stats!$E$5),Stats!$E$4),""))</f>
        <v/>
      </c>
      <c r="C2805" s="41"/>
      <c r="D2805" s="306" t="str">
        <f>IF(B2805=Stats!$E$6,Stats!$E$11,"")</f>
        <v/>
      </c>
    </row>
    <row r="2806" spans="2:4" hidden="1" x14ac:dyDescent="0.25">
      <c r="B2806" s="306" t="str">
        <f>IF((COUNTBLANK(G2806)=0),Stats!$E$7,IF((COUNTBLANK(E2806)=0),IF((COUNTBLANK(F2806)=0),IF((COUNTBLANK(U2806)=0),Stats!$E$6,Stats!$E$5),Stats!$E$4),""))</f>
        <v/>
      </c>
      <c r="C2806" s="41"/>
      <c r="D2806" s="306" t="str">
        <f>IF(B2806=Stats!$E$6,Stats!$E$11,"")</f>
        <v/>
      </c>
    </row>
    <row r="2807" spans="2:4" hidden="1" x14ac:dyDescent="0.25">
      <c r="B2807" s="306" t="str">
        <f>IF((COUNTBLANK(G2807)=0),Stats!$E$7,IF((COUNTBLANK(E2807)=0),IF((COUNTBLANK(F2807)=0),IF((COUNTBLANK(U2807)=0),Stats!$E$6,Stats!$E$5),Stats!$E$4),""))</f>
        <v/>
      </c>
      <c r="C2807" s="41"/>
      <c r="D2807" s="306" t="str">
        <f>IF(B2807=Stats!$E$6,Stats!$E$11,"")</f>
        <v/>
      </c>
    </row>
    <row r="2808" spans="2:4" hidden="1" x14ac:dyDescent="0.25">
      <c r="B2808" s="306" t="str">
        <f>IF((COUNTBLANK(G2808)=0),Stats!$E$7,IF((COUNTBLANK(E2808)=0),IF((COUNTBLANK(F2808)=0),IF((COUNTBLANK(U2808)=0),Stats!$E$6,Stats!$E$5),Stats!$E$4),""))</f>
        <v/>
      </c>
      <c r="C2808" s="41"/>
      <c r="D2808" s="306" t="str">
        <f>IF(B2808=Stats!$E$6,Stats!$E$11,"")</f>
        <v/>
      </c>
    </row>
    <row r="2809" spans="2:4" hidden="1" x14ac:dyDescent="0.25">
      <c r="B2809" s="306" t="str">
        <f>IF((COUNTBLANK(G2809)=0),Stats!$E$7,IF((COUNTBLANK(E2809)=0),IF((COUNTBLANK(F2809)=0),IF((COUNTBLANK(U2809)=0),Stats!$E$6,Stats!$E$5),Stats!$E$4),""))</f>
        <v/>
      </c>
      <c r="C2809" s="41"/>
      <c r="D2809" s="306" t="str">
        <f>IF(B2809=Stats!$E$6,Stats!$E$11,"")</f>
        <v/>
      </c>
    </row>
    <row r="2810" spans="2:4" hidden="1" x14ac:dyDescent="0.25">
      <c r="B2810" s="306" t="str">
        <f>IF((COUNTBLANK(G2810)=0),Stats!$E$7,IF((COUNTBLANK(E2810)=0),IF((COUNTBLANK(F2810)=0),IF((COUNTBLANK(U2810)=0),Stats!$E$6,Stats!$E$5),Stats!$E$4),""))</f>
        <v/>
      </c>
      <c r="C2810" s="41"/>
      <c r="D2810" s="306" t="str">
        <f>IF(B2810=Stats!$E$6,Stats!$E$11,"")</f>
        <v/>
      </c>
    </row>
    <row r="2811" spans="2:4" hidden="1" x14ac:dyDescent="0.25">
      <c r="B2811" s="306" t="str">
        <f>IF((COUNTBLANK(G2811)=0),Stats!$E$7,IF((COUNTBLANK(E2811)=0),IF((COUNTBLANK(F2811)=0),IF((COUNTBLANK(U2811)=0),Stats!$E$6,Stats!$E$5),Stats!$E$4),""))</f>
        <v/>
      </c>
      <c r="C2811" s="41"/>
      <c r="D2811" s="306" t="str">
        <f>IF(B2811=Stats!$E$6,Stats!$E$11,"")</f>
        <v/>
      </c>
    </row>
    <row r="2812" spans="2:4" hidden="1" x14ac:dyDescent="0.25">
      <c r="B2812" s="306" t="str">
        <f>IF((COUNTBLANK(G2812)=0),Stats!$E$7,IF((COUNTBLANK(E2812)=0),IF((COUNTBLANK(F2812)=0),IF((COUNTBLANK(U2812)=0),Stats!$E$6,Stats!$E$5),Stats!$E$4),""))</f>
        <v/>
      </c>
      <c r="C2812" s="41"/>
      <c r="D2812" s="306" t="str">
        <f>IF(B2812=Stats!$E$6,Stats!$E$11,"")</f>
        <v/>
      </c>
    </row>
    <row r="2813" spans="2:4" hidden="1" x14ac:dyDescent="0.25">
      <c r="B2813" s="306" t="str">
        <f>IF((COUNTBLANK(G2813)=0),Stats!$E$7,IF((COUNTBLANK(E2813)=0),IF((COUNTBLANK(F2813)=0),IF((COUNTBLANK(U2813)=0),Stats!$E$6,Stats!$E$5),Stats!$E$4),""))</f>
        <v/>
      </c>
      <c r="C2813" s="41"/>
      <c r="D2813" s="306" t="str">
        <f>IF(B2813=Stats!$E$6,Stats!$E$11,"")</f>
        <v/>
      </c>
    </row>
    <row r="2814" spans="2:4" hidden="1" x14ac:dyDescent="0.25">
      <c r="B2814" s="306" t="str">
        <f>IF((COUNTBLANK(G2814)=0),Stats!$E$7,IF((COUNTBLANK(E2814)=0),IF((COUNTBLANK(F2814)=0),IF((COUNTBLANK(U2814)=0),Stats!$E$6,Stats!$E$5),Stats!$E$4),""))</f>
        <v/>
      </c>
      <c r="C2814" s="41"/>
      <c r="D2814" s="306" t="str">
        <f>IF(B2814=Stats!$E$6,Stats!$E$11,"")</f>
        <v/>
      </c>
    </row>
    <row r="2815" spans="2:4" hidden="1" x14ac:dyDescent="0.25">
      <c r="B2815" s="306" t="str">
        <f>IF((COUNTBLANK(G2815)=0),Stats!$E$7,IF((COUNTBLANK(E2815)=0),IF((COUNTBLANK(F2815)=0),IF((COUNTBLANK(U2815)=0),Stats!$E$6,Stats!$E$5),Stats!$E$4),""))</f>
        <v/>
      </c>
      <c r="C2815" s="41"/>
      <c r="D2815" s="306" t="str">
        <f>IF(B2815=Stats!$E$6,Stats!$E$11,"")</f>
        <v/>
      </c>
    </row>
    <row r="2816" spans="2:4" hidden="1" x14ac:dyDescent="0.25">
      <c r="B2816" s="306" t="str">
        <f>IF((COUNTBLANK(G2816)=0),Stats!$E$7,IF((COUNTBLANK(E2816)=0),IF((COUNTBLANK(F2816)=0),IF((COUNTBLANK(U2816)=0),Stats!$E$6,Stats!$E$5),Stats!$E$4),""))</f>
        <v/>
      </c>
      <c r="C2816" s="41"/>
      <c r="D2816" s="306" t="str">
        <f>IF(B2816=Stats!$E$6,Stats!$E$11,"")</f>
        <v/>
      </c>
    </row>
    <row r="2817" spans="2:4" hidden="1" x14ac:dyDescent="0.25">
      <c r="B2817" s="306" t="str">
        <f>IF((COUNTBLANK(G2817)=0),Stats!$E$7,IF((COUNTBLANK(E2817)=0),IF((COUNTBLANK(F2817)=0),IF((COUNTBLANK(U2817)=0),Stats!$E$6,Stats!$E$5),Stats!$E$4),""))</f>
        <v/>
      </c>
      <c r="C2817" s="41"/>
      <c r="D2817" s="306" t="str">
        <f>IF(B2817=Stats!$E$6,Stats!$E$11,"")</f>
        <v/>
      </c>
    </row>
    <row r="2818" spans="2:4" hidden="1" x14ac:dyDescent="0.25">
      <c r="B2818" s="306" t="str">
        <f>IF((COUNTBLANK(G2818)=0),Stats!$E$7,IF((COUNTBLANK(E2818)=0),IF((COUNTBLANK(F2818)=0),IF((COUNTBLANK(U2818)=0),Stats!$E$6,Stats!$E$5),Stats!$E$4),""))</f>
        <v/>
      </c>
      <c r="C2818" s="41"/>
      <c r="D2818" s="306" t="str">
        <f>IF(B2818=Stats!$E$6,Stats!$E$11,"")</f>
        <v/>
      </c>
    </row>
    <row r="2819" spans="2:4" hidden="1" x14ac:dyDescent="0.25">
      <c r="B2819" s="306" t="str">
        <f>IF((COUNTBLANK(G2819)=0),Stats!$E$7,IF((COUNTBLANK(E2819)=0),IF((COUNTBLANK(F2819)=0),IF((COUNTBLANK(U2819)=0),Stats!$E$6,Stats!$E$5),Stats!$E$4),""))</f>
        <v/>
      </c>
      <c r="C2819" s="41"/>
      <c r="D2819" s="306" t="str">
        <f>IF(B2819=Stats!$E$6,Stats!$E$11,"")</f>
        <v/>
      </c>
    </row>
    <row r="2820" spans="2:4" hidden="1" x14ac:dyDescent="0.25">
      <c r="B2820" s="306" t="str">
        <f>IF((COUNTBLANK(G2820)=0),Stats!$E$7,IF((COUNTBLANK(E2820)=0),IF((COUNTBLANK(F2820)=0),IF((COUNTBLANK(U2820)=0),Stats!$E$6,Stats!$E$5),Stats!$E$4),""))</f>
        <v/>
      </c>
      <c r="C2820" s="41"/>
      <c r="D2820" s="306" t="str">
        <f>IF(B2820=Stats!$E$6,Stats!$E$11,"")</f>
        <v/>
      </c>
    </row>
    <row r="2821" spans="2:4" hidden="1" x14ac:dyDescent="0.25">
      <c r="B2821" s="306" t="str">
        <f>IF((COUNTBLANK(G2821)=0),Stats!$E$7,IF((COUNTBLANK(E2821)=0),IF((COUNTBLANK(F2821)=0),IF((COUNTBLANK(U2821)=0),Stats!$E$6,Stats!$E$5),Stats!$E$4),""))</f>
        <v/>
      </c>
      <c r="C2821" s="41"/>
      <c r="D2821" s="306" t="str">
        <f>IF(B2821=Stats!$E$6,Stats!$E$11,"")</f>
        <v/>
      </c>
    </row>
    <row r="2822" spans="2:4" hidden="1" x14ac:dyDescent="0.25">
      <c r="B2822" s="306" t="str">
        <f>IF((COUNTBLANK(G2822)=0),Stats!$E$7,IF((COUNTBLANK(E2822)=0),IF((COUNTBLANK(F2822)=0),IF((COUNTBLANK(U2822)=0),Stats!$E$6,Stats!$E$5),Stats!$E$4),""))</f>
        <v/>
      </c>
      <c r="C2822" s="41"/>
      <c r="D2822" s="306" t="str">
        <f>IF(B2822=Stats!$E$6,Stats!$E$11,"")</f>
        <v/>
      </c>
    </row>
    <row r="2823" spans="2:4" hidden="1" x14ac:dyDescent="0.25">
      <c r="B2823" s="306" t="str">
        <f>IF((COUNTBLANK(G2823)=0),Stats!$E$7,IF((COUNTBLANK(E2823)=0),IF((COUNTBLANK(F2823)=0),IF((COUNTBLANK(U2823)=0),Stats!$E$6,Stats!$E$5),Stats!$E$4),""))</f>
        <v/>
      </c>
      <c r="C2823" s="41"/>
      <c r="D2823" s="306" t="str">
        <f>IF(B2823=Stats!$E$6,Stats!$E$11,"")</f>
        <v/>
      </c>
    </row>
    <row r="2824" spans="2:4" hidden="1" x14ac:dyDescent="0.25">
      <c r="B2824" s="306" t="str">
        <f>IF((COUNTBLANK(G2824)=0),Stats!$E$7,IF((COUNTBLANK(E2824)=0),IF((COUNTBLANK(F2824)=0),IF((COUNTBLANK(U2824)=0),Stats!$E$6,Stats!$E$5),Stats!$E$4),""))</f>
        <v/>
      </c>
      <c r="C2824" s="41"/>
      <c r="D2824" s="306" t="str">
        <f>IF(B2824=Stats!$E$6,Stats!$E$11,"")</f>
        <v/>
      </c>
    </row>
    <row r="2825" spans="2:4" hidden="1" x14ac:dyDescent="0.25">
      <c r="B2825" s="306" t="str">
        <f>IF((COUNTBLANK(G2825)=0),Stats!$E$7,IF((COUNTBLANK(E2825)=0),IF((COUNTBLANK(F2825)=0),IF((COUNTBLANK(U2825)=0),Stats!$E$6,Stats!$E$5),Stats!$E$4),""))</f>
        <v/>
      </c>
      <c r="C2825" s="41"/>
      <c r="D2825" s="306" t="str">
        <f>IF(B2825=Stats!$E$6,Stats!$E$11,"")</f>
        <v/>
      </c>
    </row>
    <row r="2826" spans="2:4" hidden="1" x14ac:dyDescent="0.25">
      <c r="B2826" s="306" t="str">
        <f>IF((COUNTBLANK(G2826)=0),Stats!$E$7,IF((COUNTBLANK(E2826)=0),IF((COUNTBLANK(F2826)=0),IF((COUNTBLANK(U2826)=0),Stats!$E$6,Stats!$E$5),Stats!$E$4),""))</f>
        <v/>
      </c>
      <c r="C2826" s="41"/>
      <c r="D2826" s="306" t="str">
        <f>IF(B2826=Stats!$E$6,Stats!$E$11,"")</f>
        <v/>
      </c>
    </row>
    <row r="2827" spans="2:4" hidden="1" x14ac:dyDescent="0.25">
      <c r="B2827" s="306" t="str">
        <f>IF((COUNTBLANK(G2827)=0),Stats!$E$7,IF((COUNTBLANK(E2827)=0),IF((COUNTBLANK(F2827)=0),IF((COUNTBLANK(U2827)=0),Stats!$E$6,Stats!$E$5),Stats!$E$4),""))</f>
        <v/>
      </c>
      <c r="C2827" s="41"/>
      <c r="D2827" s="306" t="str">
        <f>IF(B2827=Stats!$E$6,Stats!$E$11,"")</f>
        <v/>
      </c>
    </row>
    <row r="2828" spans="2:4" hidden="1" x14ac:dyDescent="0.25">
      <c r="B2828" s="306" t="str">
        <f>IF((COUNTBLANK(G2828)=0),Stats!$E$7,IF((COUNTBLANK(E2828)=0),IF((COUNTBLANK(F2828)=0),IF((COUNTBLANK(U2828)=0),Stats!$E$6,Stats!$E$5),Stats!$E$4),""))</f>
        <v/>
      </c>
      <c r="C2828" s="41"/>
      <c r="D2828" s="306" t="str">
        <f>IF(B2828=Stats!$E$6,Stats!$E$11,"")</f>
        <v/>
      </c>
    </row>
    <row r="2829" spans="2:4" hidden="1" x14ac:dyDescent="0.25">
      <c r="B2829" s="306" t="str">
        <f>IF((COUNTBLANK(G2829)=0),Stats!$E$7,IF((COUNTBLANK(E2829)=0),IF((COUNTBLANK(F2829)=0),IF((COUNTBLANK(U2829)=0),Stats!$E$6,Stats!$E$5),Stats!$E$4),""))</f>
        <v/>
      </c>
      <c r="C2829" s="41"/>
      <c r="D2829" s="306" t="str">
        <f>IF(B2829=Stats!$E$6,Stats!$E$11,"")</f>
        <v/>
      </c>
    </row>
    <row r="2830" spans="2:4" hidden="1" x14ac:dyDescent="0.25">
      <c r="B2830" s="306" t="str">
        <f>IF((COUNTBLANK(G2830)=0),Stats!$E$7,IF((COUNTBLANK(E2830)=0),IF((COUNTBLANK(F2830)=0),IF((COUNTBLANK(U2830)=0),Stats!$E$6,Stats!$E$5),Stats!$E$4),""))</f>
        <v/>
      </c>
      <c r="C2830" s="41"/>
      <c r="D2830" s="306" t="str">
        <f>IF(B2830=Stats!$E$6,Stats!$E$11,"")</f>
        <v/>
      </c>
    </row>
    <row r="2831" spans="2:4" hidden="1" x14ac:dyDescent="0.25">
      <c r="B2831" s="306" t="str">
        <f>IF((COUNTBLANK(G2831)=0),Stats!$E$7,IF((COUNTBLANK(E2831)=0),IF((COUNTBLANK(F2831)=0),IF((COUNTBLANK(U2831)=0),Stats!$E$6,Stats!$E$5),Stats!$E$4),""))</f>
        <v/>
      </c>
      <c r="C2831" s="41"/>
      <c r="D2831" s="306" t="str">
        <f>IF(B2831=Stats!$E$6,Stats!$E$11,"")</f>
        <v/>
      </c>
    </row>
    <row r="2832" spans="2:4" hidden="1" x14ac:dyDescent="0.25">
      <c r="B2832" s="306" t="str">
        <f>IF((COUNTBLANK(G2832)=0),Stats!$E$7,IF((COUNTBLANK(E2832)=0),IF((COUNTBLANK(F2832)=0),IF((COUNTBLANK(U2832)=0),Stats!$E$6,Stats!$E$5),Stats!$E$4),""))</f>
        <v/>
      </c>
      <c r="C2832" s="313"/>
      <c r="D2832" s="306" t="str">
        <f>IF(B2832=Stats!$E$6,Stats!$E$11,"")</f>
        <v/>
      </c>
    </row>
    <row r="2833" spans="2:4" hidden="1" x14ac:dyDescent="0.25">
      <c r="B2833" s="306" t="str">
        <f>IF((COUNTBLANK(G2833)=0),Stats!$E$7,IF((COUNTBLANK(E2833)=0),IF((COUNTBLANK(F2833)=0),IF((COUNTBLANK(U2833)=0),Stats!$E$6,Stats!$E$5),Stats!$E$4),""))</f>
        <v/>
      </c>
      <c r="C2833" s="313"/>
      <c r="D2833" s="306" t="str">
        <f>IF(B2833=Stats!$E$6,Stats!$E$11,"")</f>
        <v/>
      </c>
    </row>
    <row r="2834" spans="2:4" hidden="1" x14ac:dyDescent="0.25">
      <c r="B2834" s="306" t="str">
        <f>IF((COUNTBLANK(G2834)=0),Stats!$E$7,IF((COUNTBLANK(E2834)=0),IF((COUNTBLANK(F2834)=0),IF((COUNTBLANK(U2834)=0),Stats!$E$6,Stats!$E$5),Stats!$E$4),""))</f>
        <v/>
      </c>
      <c r="C2834" s="313"/>
      <c r="D2834" s="306" t="str">
        <f>IF(B2834=Stats!$E$6,Stats!$E$11,"")</f>
        <v/>
      </c>
    </row>
    <row r="2835" spans="2:4" hidden="1" x14ac:dyDescent="0.25">
      <c r="B2835" s="306" t="str">
        <f>IF((COUNTBLANK(G2835)=0),Stats!$E$7,IF((COUNTBLANK(E2835)=0),IF((COUNTBLANK(F2835)=0),IF((COUNTBLANK(U2835)=0),Stats!$E$6,Stats!$E$5),Stats!$E$4),""))</f>
        <v/>
      </c>
      <c r="C2835" s="313"/>
      <c r="D2835" s="306" t="str">
        <f>IF(B2835=Stats!$E$6,Stats!$E$11,"")</f>
        <v/>
      </c>
    </row>
    <row r="2836" spans="2:4" hidden="1" x14ac:dyDescent="0.25">
      <c r="B2836" s="306" t="str">
        <f>IF((COUNTBLANK(G2836)=0),Stats!$E$7,IF((COUNTBLANK(E2836)=0),IF((COUNTBLANK(F2836)=0),IF((COUNTBLANK(U2836)=0),Stats!$E$6,Stats!$E$5),Stats!$E$4),""))</f>
        <v/>
      </c>
      <c r="C2836" s="313"/>
      <c r="D2836" s="306" t="str">
        <f>IF(B2836=Stats!$E$6,Stats!$E$11,"")</f>
        <v/>
      </c>
    </row>
    <row r="2837" spans="2:4" hidden="1" x14ac:dyDescent="0.25">
      <c r="B2837" s="306" t="str">
        <f>IF((COUNTBLANK(G2837)=0),Stats!$E$7,IF((COUNTBLANK(E2837)=0),IF((COUNTBLANK(F2837)=0),IF((COUNTBLANK(U2837)=0),Stats!$E$6,Stats!$E$5),Stats!$E$4),""))</f>
        <v/>
      </c>
      <c r="C2837" s="313"/>
      <c r="D2837" s="306" t="str">
        <f>IF(B2837=Stats!$E$6,Stats!$E$11,"")</f>
        <v/>
      </c>
    </row>
    <row r="2838" spans="2:4" hidden="1" x14ac:dyDescent="0.25">
      <c r="B2838" s="306" t="str">
        <f>IF((COUNTBLANK(G2838)=0),Stats!$E$7,IF((COUNTBLANK(E2838)=0),IF((COUNTBLANK(F2838)=0),IF((COUNTBLANK(U2838)=0),Stats!$E$6,Stats!$E$5),Stats!$E$4),""))</f>
        <v/>
      </c>
      <c r="C2838" s="313"/>
      <c r="D2838" s="306" t="str">
        <f>IF(B2838=Stats!$E$6,Stats!$E$11,"")</f>
        <v/>
      </c>
    </row>
    <row r="2839" spans="2:4" hidden="1" x14ac:dyDescent="0.25">
      <c r="B2839" s="306" t="str">
        <f>IF((COUNTBLANK(G2839)=0),Stats!$E$7,IF((COUNTBLANK(E2839)=0),IF((COUNTBLANK(F2839)=0),IF((COUNTBLANK(U2839)=0),Stats!$E$6,Stats!$E$5),Stats!$E$4),""))</f>
        <v/>
      </c>
      <c r="C2839" s="313"/>
      <c r="D2839" s="306" t="str">
        <f>IF(B2839=Stats!$E$6,Stats!$E$11,"")</f>
        <v/>
      </c>
    </row>
    <row r="2840" spans="2:4" hidden="1" x14ac:dyDescent="0.25">
      <c r="B2840" s="306" t="str">
        <f>IF((COUNTBLANK(G2840)=0),Stats!$E$7,IF((COUNTBLANK(E2840)=0),IF((COUNTBLANK(F2840)=0),IF((COUNTBLANK(U2840)=0),Stats!$E$6,Stats!$E$5),Stats!$E$4),""))</f>
        <v/>
      </c>
      <c r="C2840" s="313"/>
      <c r="D2840" s="306" t="str">
        <f>IF(B2840=Stats!$E$6,Stats!$E$11,"")</f>
        <v/>
      </c>
    </row>
    <row r="2841" spans="2:4" hidden="1" x14ac:dyDescent="0.25">
      <c r="B2841" s="306" t="str">
        <f>IF((COUNTBLANK(G2841)=0),Stats!$E$7,IF((COUNTBLANK(E2841)=0),IF((COUNTBLANK(F2841)=0),IF((COUNTBLANK(U2841)=0),Stats!$E$6,Stats!$E$5),Stats!$E$4),""))</f>
        <v/>
      </c>
      <c r="C2841" s="313"/>
      <c r="D2841" s="306" t="str">
        <f>IF(B2841=Stats!$E$6,Stats!$E$11,"")</f>
        <v/>
      </c>
    </row>
    <row r="2842" spans="2:4" hidden="1" x14ac:dyDescent="0.25">
      <c r="B2842" s="306" t="str">
        <f>IF((COUNTBLANK(G2842)=0),Stats!$E$7,IF((COUNTBLANK(E2842)=0),IF((COUNTBLANK(F2842)=0),IF((COUNTBLANK(U2842)=0),Stats!$E$6,Stats!$E$5),Stats!$E$4),""))</f>
        <v/>
      </c>
      <c r="C2842" s="313"/>
      <c r="D2842" s="306" t="str">
        <f>IF(B2842=Stats!$E$6,Stats!$E$11,"")</f>
        <v/>
      </c>
    </row>
    <row r="2843" spans="2:4" hidden="1" x14ac:dyDescent="0.25">
      <c r="B2843" s="306" t="str">
        <f>IF((COUNTBLANK(G2843)=0),Stats!$E$7,IF((COUNTBLANK(E2843)=0),IF((COUNTBLANK(F2843)=0),IF((COUNTBLANK(U2843)=0),Stats!$E$6,Stats!$E$5),Stats!$E$4),""))</f>
        <v/>
      </c>
      <c r="C2843" s="313"/>
      <c r="D2843" s="306" t="str">
        <f>IF(B2843=Stats!$E$6,Stats!$E$11,"")</f>
        <v/>
      </c>
    </row>
    <row r="2844" spans="2:4" hidden="1" x14ac:dyDescent="0.25">
      <c r="B2844" s="306" t="str">
        <f>IF((COUNTBLANK(G2844)=0),Stats!$E$7,IF((COUNTBLANK(E2844)=0),IF((COUNTBLANK(F2844)=0),IF((COUNTBLANK(U2844)=0),Stats!$E$6,Stats!$E$5),Stats!$E$4),""))</f>
        <v/>
      </c>
      <c r="C2844" s="313"/>
      <c r="D2844" s="306" t="str">
        <f>IF(B2844=Stats!$E$6,Stats!$E$11,"")</f>
        <v/>
      </c>
    </row>
    <row r="2845" spans="2:4" hidden="1" x14ac:dyDescent="0.25">
      <c r="B2845" s="306" t="str">
        <f>IF((COUNTBLANK(G2845)=0),Stats!$E$7,IF((COUNTBLANK(E2845)=0),IF((COUNTBLANK(F2845)=0),IF((COUNTBLANK(U2845)=0),Stats!$E$6,Stats!$E$5),Stats!$E$4),""))</f>
        <v/>
      </c>
      <c r="C2845" s="313"/>
      <c r="D2845" s="306" t="str">
        <f>IF(B2845=Stats!$E$6,Stats!$E$11,"")</f>
        <v/>
      </c>
    </row>
    <row r="2846" spans="2:4" hidden="1" x14ac:dyDescent="0.25">
      <c r="B2846" s="306" t="str">
        <f>IF((COUNTBLANK(G2846)=0),Stats!$E$7,IF((COUNTBLANK(E2846)=0),IF((COUNTBLANK(F2846)=0),IF((COUNTBLANK(U2846)=0),Stats!$E$6,Stats!$E$5),Stats!$E$4),""))</f>
        <v/>
      </c>
      <c r="C2846" s="313"/>
      <c r="D2846" s="306" t="str">
        <f>IF(B2846=Stats!$E$6,Stats!$E$11,"")</f>
        <v/>
      </c>
    </row>
    <row r="2847" spans="2:4" hidden="1" x14ac:dyDescent="0.25">
      <c r="B2847" s="306" t="str">
        <f>IF((COUNTBLANK(G2847)=0),Stats!$E$7,IF((COUNTBLANK(E2847)=0),IF((COUNTBLANK(F2847)=0),IF((COUNTBLANK(U2847)=0),Stats!$E$6,Stats!$E$5),Stats!$E$4),""))</f>
        <v/>
      </c>
      <c r="C2847" s="313"/>
      <c r="D2847" s="306" t="str">
        <f>IF(B2847=Stats!$E$6,Stats!$E$11,"")</f>
        <v/>
      </c>
    </row>
    <row r="2848" spans="2:4" hidden="1" x14ac:dyDescent="0.25">
      <c r="B2848" s="306" t="str">
        <f>IF((COUNTBLANK(G2848)=0),Stats!$E$7,IF((COUNTBLANK(E2848)=0),IF((COUNTBLANK(F2848)=0),IF((COUNTBLANK(U2848)=0),Stats!$E$6,Stats!$E$5),Stats!$E$4),""))</f>
        <v/>
      </c>
      <c r="C2848" s="313"/>
      <c r="D2848" s="306" t="str">
        <f>IF(B2848=Stats!$E$6,Stats!$E$11,"")</f>
        <v/>
      </c>
    </row>
    <row r="2849" spans="2:4" hidden="1" x14ac:dyDescent="0.25">
      <c r="B2849" s="306" t="str">
        <f>IF((COUNTBLANK(G2849)=0),Stats!$E$7,IF((COUNTBLANK(E2849)=0),IF((COUNTBLANK(F2849)=0),IF((COUNTBLANK(U2849)=0),Stats!$E$6,Stats!$E$5),Stats!$E$4),""))</f>
        <v/>
      </c>
      <c r="C2849" s="313"/>
      <c r="D2849" s="306" t="str">
        <f>IF(B2849=Stats!$E$6,Stats!$E$11,"")</f>
        <v/>
      </c>
    </row>
    <row r="2850" spans="2:4" hidden="1" x14ac:dyDescent="0.25">
      <c r="B2850" s="306" t="str">
        <f>IF((COUNTBLANK(G2850)=0),Stats!$E$7,IF((COUNTBLANK(E2850)=0),IF((COUNTBLANK(F2850)=0),IF((COUNTBLANK(U2850)=0),Stats!$E$6,Stats!$E$5),Stats!$E$4),""))</f>
        <v/>
      </c>
      <c r="C2850" s="313"/>
      <c r="D2850" s="306" t="str">
        <f>IF(B2850=Stats!$E$6,Stats!$E$11,"")</f>
        <v/>
      </c>
    </row>
    <row r="2851" spans="2:4" hidden="1" x14ac:dyDescent="0.25">
      <c r="B2851" s="306" t="str">
        <f>IF((COUNTBLANK(G2851)=0),Stats!$E$7,IF((COUNTBLANK(E2851)=0),IF((COUNTBLANK(F2851)=0),IF((COUNTBLANK(U2851)=0),Stats!$E$6,Stats!$E$5),Stats!$E$4),""))</f>
        <v/>
      </c>
      <c r="C2851" s="313"/>
      <c r="D2851" s="306" t="str">
        <f>IF(B2851=Stats!$E$6,Stats!$E$11,"")</f>
        <v/>
      </c>
    </row>
    <row r="2852" spans="2:4" hidden="1" x14ac:dyDescent="0.25">
      <c r="B2852" s="306" t="str">
        <f>IF((COUNTBLANK(G2852)=0),Stats!$E$7,IF((COUNTBLANK(E2852)=0),IF((COUNTBLANK(F2852)=0),IF((COUNTBLANK(U2852)=0),Stats!$E$6,Stats!$E$5),Stats!$E$4),""))</f>
        <v/>
      </c>
      <c r="C2852" s="313"/>
      <c r="D2852" s="306" t="str">
        <f>IF(B2852=Stats!$E$6,Stats!$E$11,"")</f>
        <v/>
      </c>
    </row>
    <row r="2853" spans="2:4" hidden="1" x14ac:dyDescent="0.25">
      <c r="B2853" s="306" t="str">
        <f>IF((COUNTBLANK(G2853)=0),Stats!$E$7,IF((COUNTBLANK(E2853)=0),IF((COUNTBLANK(F2853)=0),IF((COUNTBLANK(U2853)=0),Stats!$E$6,Stats!$E$5),Stats!$E$4),""))</f>
        <v/>
      </c>
      <c r="C2853" s="313"/>
      <c r="D2853" s="306" t="str">
        <f>IF(B2853=Stats!$E$6,Stats!$E$11,"")</f>
        <v/>
      </c>
    </row>
    <row r="2854" spans="2:4" hidden="1" x14ac:dyDescent="0.25">
      <c r="B2854" s="306" t="str">
        <f>IF((COUNTBLANK(G2854)=0),Stats!$E$7,IF((COUNTBLANK(E2854)=0),IF((COUNTBLANK(F2854)=0),IF((COUNTBLANK(U2854)=0),Stats!$E$6,Stats!$E$5),Stats!$E$4),""))</f>
        <v/>
      </c>
      <c r="C2854" s="313"/>
      <c r="D2854" s="306" t="str">
        <f>IF(B2854=Stats!$E$6,Stats!$E$11,"")</f>
        <v/>
      </c>
    </row>
    <row r="2855" spans="2:4" hidden="1" x14ac:dyDescent="0.25">
      <c r="B2855" s="306" t="str">
        <f>IF((COUNTBLANK(G2855)=0),Stats!$E$7,IF((COUNTBLANK(E2855)=0),IF((COUNTBLANK(F2855)=0),IF((COUNTBLANK(U2855)=0),Stats!$E$6,Stats!$E$5),Stats!$E$4),""))</f>
        <v/>
      </c>
      <c r="C2855" s="313"/>
      <c r="D2855" s="306" t="str">
        <f>IF(B2855=Stats!$E$6,Stats!$E$11,"")</f>
        <v/>
      </c>
    </row>
    <row r="2856" spans="2:4" hidden="1" x14ac:dyDescent="0.25">
      <c r="B2856" s="306" t="str">
        <f>IF((COUNTBLANK(G2856)=0),Stats!$E$7,IF((COUNTBLANK(E2856)=0),IF((COUNTBLANK(F2856)=0),IF((COUNTBLANK(U2856)=0),Stats!$E$6,Stats!$E$5),Stats!$E$4),""))</f>
        <v/>
      </c>
      <c r="C2856" s="313"/>
      <c r="D2856" s="306" t="str">
        <f>IF(B2856=Stats!$E$6,Stats!$E$11,"")</f>
        <v/>
      </c>
    </row>
    <row r="2857" spans="2:4" hidden="1" x14ac:dyDescent="0.25">
      <c r="B2857" s="306" t="str">
        <f>IF((COUNTBLANK(G2857)=0),Stats!$E$7,IF((COUNTBLANK(E2857)=0),IF((COUNTBLANK(F2857)=0),IF((COUNTBLANK(U2857)=0),Stats!$E$6,Stats!$E$5),Stats!$E$4),""))</f>
        <v/>
      </c>
      <c r="C2857" s="313"/>
      <c r="D2857" s="306" t="str">
        <f>IF(B2857=Stats!$E$6,Stats!$E$11,"")</f>
        <v/>
      </c>
    </row>
    <row r="2858" spans="2:4" hidden="1" x14ac:dyDescent="0.25">
      <c r="B2858" s="306" t="str">
        <f>IF((COUNTBLANK(G2858)=0),Stats!$E$7,IF((COUNTBLANK(E2858)=0),IF((COUNTBLANK(F2858)=0),IF((COUNTBLANK(U2858)=0),Stats!$E$6,Stats!$E$5),Stats!$E$4),""))</f>
        <v/>
      </c>
      <c r="C2858" s="313"/>
      <c r="D2858" s="306" t="str">
        <f>IF(B2858=Stats!$E$6,Stats!$E$11,"")</f>
        <v/>
      </c>
    </row>
    <row r="2859" spans="2:4" hidden="1" x14ac:dyDescent="0.25">
      <c r="B2859" s="306" t="str">
        <f>IF((COUNTBLANK(G2859)=0),Stats!$E$7,IF((COUNTBLANK(E2859)=0),IF((COUNTBLANK(F2859)=0),IF((COUNTBLANK(U2859)=0),Stats!$E$6,Stats!$E$5),Stats!$E$4),""))</f>
        <v/>
      </c>
      <c r="C2859" s="313"/>
      <c r="D2859" s="306" t="str">
        <f>IF(B2859=Stats!$E$6,Stats!$E$11,"")</f>
        <v/>
      </c>
    </row>
    <row r="2860" spans="2:4" hidden="1" x14ac:dyDescent="0.25">
      <c r="B2860" s="306" t="str">
        <f>IF((COUNTBLANK(G2860)=0),Stats!$E$7,IF((COUNTBLANK(E2860)=0),IF((COUNTBLANK(F2860)=0),IF((COUNTBLANK(U2860)=0),Stats!$E$6,Stats!$E$5),Stats!$E$4),""))</f>
        <v/>
      </c>
      <c r="C2860" s="313"/>
      <c r="D2860" s="306" t="str">
        <f>IF(B2860=Stats!$E$6,Stats!$E$11,"")</f>
        <v/>
      </c>
    </row>
    <row r="2861" spans="2:4" hidden="1" x14ac:dyDescent="0.25">
      <c r="B2861" s="306" t="str">
        <f>IF((COUNTBLANK(G2861)=0),Stats!$E$7,IF((COUNTBLANK(E2861)=0),IF((COUNTBLANK(F2861)=0),IF((COUNTBLANK(U2861)=0),Stats!$E$6,Stats!$E$5),Stats!$E$4),""))</f>
        <v/>
      </c>
      <c r="C2861" s="313"/>
      <c r="D2861" s="306" t="str">
        <f>IF(B2861=Stats!$E$6,Stats!$E$11,"")</f>
        <v/>
      </c>
    </row>
    <row r="2862" spans="2:4" hidden="1" x14ac:dyDescent="0.25">
      <c r="B2862" s="306" t="str">
        <f>IF((COUNTBLANK(G2862)=0),Stats!$E$7,IF((COUNTBLANK(E2862)=0),IF((COUNTBLANK(F2862)=0),IF((COUNTBLANK(U2862)=0),Stats!$E$6,Stats!$E$5),Stats!$E$4),""))</f>
        <v/>
      </c>
      <c r="C2862" s="313"/>
      <c r="D2862" s="306" t="str">
        <f>IF(B2862=Stats!$E$6,Stats!$E$11,"")</f>
        <v/>
      </c>
    </row>
    <row r="2863" spans="2:4" hidden="1" x14ac:dyDescent="0.25">
      <c r="B2863" s="306" t="str">
        <f>IF((COUNTBLANK(G2863)=0),Stats!$E$7,IF((COUNTBLANK(E2863)=0),IF((COUNTBLANK(F2863)=0),IF((COUNTBLANK(U2863)=0),Stats!$E$6,Stats!$E$5),Stats!$E$4),""))</f>
        <v/>
      </c>
      <c r="C2863" s="313"/>
      <c r="D2863" s="306" t="str">
        <f>IF(B2863=Stats!$E$6,Stats!$E$11,"")</f>
        <v/>
      </c>
    </row>
    <row r="2864" spans="2:4" hidden="1" x14ac:dyDescent="0.25">
      <c r="B2864" s="306" t="str">
        <f>IF((COUNTBLANK(G2864)=0),Stats!$E$7,IF((COUNTBLANK(E2864)=0),IF((COUNTBLANK(F2864)=0),IF((COUNTBLANK(U2864)=0),Stats!$E$6,Stats!$E$5),Stats!$E$4),""))</f>
        <v/>
      </c>
      <c r="C2864" s="313"/>
      <c r="D2864" s="306" t="str">
        <f>IF(B2864=Stats!$E$6,Stats!$E$11,"")</f>
        <v/>
      </c>
    </row>
    <row r="2865" spans="2:4" hidden="1" x14ac:dyDescent="0.25">
      <c r="B2865" s="306" t="str">
        <f>IF((COUNTBLANK(G2865)=0),Stats!$E$7,IF((COUNTBLANK(E2865)=0),IF((COUNTBLANK(F2865)=0),IF((COUNTBLANK(U2865)=0),Stats!$E$6,Stats!$E$5),Stats!$E$4),""))</f>
        <v/>
      </c>
      <c r="C2865" s="313"/>
      <c r="D2865" s="306" t="str">
        <f>IF(B2865=Stats!$E$6,Stats!$E$11,"")</f>
        <v/>
      </c>
    </row>
    <row r="2866" spans="2:4" hidden="1" x14ac:dyDescent="0.25">
      <c r="B2866" s="306" t="str">
        <f>IF((COUNTBLANK(G2866)=0),Stats!$E$7,IF((COUNTBLANK(E2866)=0),IF((COUNTBLANK(F2866)=0),IF((COUNTBLANK(U2866)=0),Stats!$E$6,Stats!$E$5),Stats!$E$4),""))</f>
        <v/>
      </c>
      <c r="C2866" s="313"/>
      <c r="D2866" s="306" t="str">
        <f>IF(B2866=Stats!$E$6,Stats!$E$11,"")</f>
        <v/>
      </c>
    </row>
    <row r="2867" spans="2:4" hidden="1" x14ac:dyDescent="0.25">
      <c r="B2867" s="306" t="str">
        <f>IF((COUNTBLANK(G2867)=0),Stats!$E$7,IF((COUNTBLANK(E2867)=0),IF((COUNTBLANK(F2867)=0),IF((COUNTBLANK(U2867)=0),Stats!$E$6,Stats!$E$5),Stats!$E$4),""))</f>
        <v/>
      </c>
      <c r="C2867" s="313"/>
      <c r="D2867" s="306" t="str">
        <f>IF(B2867=Stats!$E$6,Stats!$E$11,"")</f>
        <v/>
      </c>
    </row>
    <row r="2868" spans="2:4" hidden="1" x14ac:dyDescent="0.25">
      <c r="B2868" s="306" t="str">
        <f>IF((COUNTBLANK(G2868)=0),Stats!$E$7,IF((COUNTBLANK(E2868)=0),IF((COUNTBLANK(F2868)=0),IF((COUNTBLANK(U2868)=0),Stats!$E$6,Stats!$E$5),Stats!$E$4),""))</f>
        <v/>
      </c>
      <c r="C2868" s="313"/>
      <c r="D2868" s="306" t="str">
        <f>IF(B2868=Stats!$E$6,Stats!$E$11,"")</f>
        <v/>
      </c>
    </row>
    <row r="2869" spans="2:4" hidden="1" x14ac:dyDescent="0.25">
      <c r="B2869" s="306" t="str">
        <f>IF((COUNTBLANK(G2869)=0),Stats!$E$7,IF((COUNTBLANK(E2869)=0),IF((COUNTBLANK(F2869)=0),IF((COUNTBLANK(U2869)=0),Stats!$E$6,Stats!$E$5),Stats!$E$4),""))</f>
        <v/>
      </c>
      <c r="C2869" s="313"/>
      <c r="D2869" s="306" t="str">
        <f>IF(B2869=Stats!$E$6,Stats!$E$11,"")</f>
        <v/>
      </c>
    </row>
    <row r="2870" spans="2:4" hidden="1" x14ac:dyDescent="0.25">
      <c r="B2870" s="306" t="str">
        <f>IF((COUNTBLANK(G2870)=0),Stats!$E$7,IF((COUNTBLANK(E2870)=0),IF((COUNTBLANK(F2870)=0),IF((COUNTBLANK(U2870)=0),Stats!$E$6,Stats!$E$5),Stats!$E$4),""))</f>
        <v/>
      </c>
      <c r="C2870" s="313"/>
      <c r="D2870" s="306" t="str">
        <f>IF(B2870=Stats!$E$6,Stats!$E$11,"")</f>
        <v/>
      </c>
    </row>
    <row r="2871" spans="2:4" hidden="1" x14ac:dyDescent="0.25">
      <c r="B2871" s="306" t="str">
        <f>IF((COUNTBLANK(G2871)=0),Stats!$E$7,IF((COUNTBLANK(E2871)=0),IF((COUNTBLANK(F2871)=0),IF((COUNTBLANK(U2871)=0),Stats!$E$6,Stats!$E$5),Stats!$E$4),""))</f>
        <v/>
      </c>
      <c r="C2871" s="313"/>
      <c r="D2871" s="306" t="str">
        <f>IF(B2871=Stats!$E$6,Stats!$E$11,"")</f>
        <v/>
      </c>
    </row>
    <row r="2872" spans="2:4" hidden="1" x14ac:dyDescent="0.25">
      <c r="B2872" s="306" t="str">
        <f>IF((COUNTBLANK(G2872)=0),Stats!$E$7,IF((COUNTBLANK(E2872)=0),IF((COUNTBLANK(F2872)=0),IF((COUNTBLANK(U2872)=0),Stats!$E$6,Stats!$E$5),Stats!$E$4),""))</f>
        <v/>
      </c>
      <c r="C2872" s="313"/>
      <c r="D2872" s="306" t="str">
        <f>IF(B2872=Stats!$E$6,Stats!$E$11,"")</f>
        <v/>
      </c>
    </row>
    <row r="2873" spans="2:4" hidden="1" x14ac:dyDescent="0.25">
      <c r="B2873" s="306" t="str">
        <f>IF((COUNTBLANK(G2873)=0),Stats!$E$7,IF((COUNTBLANK(E2873)=0),IF((COUNTBLANK(F2873)=0),IF((COUNTBLANK(U2873)=0),Stats!$E$6,Stats!$E$5),Stats!$E$4),""))</f>
        <v/>
      </c>
      <c r="C2873" s="313"/>
      <c r="D2873" s="306" t="str">
        <f>IF(B2873=Stats!$E$6,Stats!$E$11,"")</f>
        <v/>
      </c>
    </row>
    <row r="2874" spans="2:4" hidden="1" x14ac:dyDescent="0.25">
      <c r="B2874" s="306" t="str">
        <f>IF((COUNTBLANK(G2874)=0),Stats!$E$7,IF((COUNTBLANK(E2874)=0),IF((COUNTBLANK(F2874)=0),IF((COUNTBLANK(U2874)=0),Stats!$E$6,Stats!$E$5),Stats!$E$4),""))</f>
        <v/>
      </c>
      <c r="C2874" s="313"/>
      <c r="D2874" s="306" t="str">
        <f>IF(B2874=Stats!$E$6,Stats!$E$11,"")</f>
        <v/>
      </c>
    </row>
    <row r="2875" spans="2:4" hidden="1" x14ac:dyDescent="0.25">
      <c r="B2875" s="306" t="str">
        <f>IF((COUNTBLANK(G2875)=0),Stats!$E$7,IF((COUNTBLANK(E2875)=0),IF((COUNTBLANK(F2875)=0),IF((COUNTBLANK(U2875)=0),Stats!$E$6,Stats!$E$5),Stats!$E$4),""))</f>
        <v/>
      </c>
      <c r="C2875" s="313"/>
      <c r="D2875" s="306" t="str">
        <f>IF(B2875=Stats!$E$6,Stats!$E$11,"")</f>
        <v/>
      </c>
    </row>
    <row r="2876" spans="2:4" hidden="1" x14ac:dyDescent="0.25">
      <c r="B2876" s="306" t="str">
        <f>IF((COUNTBLANK(G2876)=0),Stats!$E$7,IF((COUNTBLANK(E2876)=0),IF((COUNTBLANK(F2876)=0),IF((COUNTBLANK(U2876)=0),Stats!$E$6,Stats!$E$5),Stats!$E$4),""))</f>
        <v/>
      </c>
      <c r="C2876" s="313"/>
      <c r="D2876" s="306" t="str">
        <f>IF(B2876=Stats!$E$6,Stats!$E$11,"")</f>
        <v/>
      </c>
    </row>
    <row r="2877" spans="2:4" hidden="1" x14ac:dyDescent="0.25">
      <c r="B2877" s="306" t="str">
        <f>IF((COUNTBLANK(G2877)=0),Stats!$E$7,IF((COUNTBLANK(E2877)=0),IF((COUNTBLANK(F2877)=0),IF((COUNTBLANK(U2877)=0),Stats!$E$6,Stats!$E$5),Stats!$E$4),""))</f>
        <v/>
      </c>
      <c r="C2877" s="313"/>
      <c r="D2877" s="306" t="str">
        <f>IF(B2877=Stats!$E$6,Stats!$E$11,"")</f>
        <v/>
      </c>
    </row>
    <row r="2878" spans="2:4" hidden="1" x14ac:dyDescent="0.25">
      <c r="B2878" s="306" t="str">
        <f>IF((COUNTBLANK(G2878)=0),Stats!$E$7,IF((COUNTBLANK(E2878)=0),IF((COUNTBLANK(F2878)=0),IF((COUNTBLANK(U2878)=0),Stats!$E$6,Stats!$E$5),Stats!$E$4),""))</f>
        <v/>
      </c>
      <c r="C2878" s="313"/>
      <c r="D2878" s="306" t="str">
        <f>IF(B2878=Stats!$E$6,Stats!$E$11,"")</f>
        <v/>
      </c>
    </row>
    <row r="2879" spans="2:4" hidden="1" x14ac:dyDescent="0.25">
      <c r="B2879" s="306" t="str">
        <f>IF((COUNTBLANK(G2879)=0),Stats!$E$7,IF((COUNTBLANK(E2879)=0),IF((COUNTBLANK(F2879)=0),IF((COUNTBLANK(U2879)=0),Stats!$E$6,Stats!$E$5),Stats!$E$4),""))</f>
        <v/>
      </c>
      <c r="C2879" s="313"/>
      <c r="D2879" s="306" t="str">
        <f>IF(B2879=Stats!$E$6,Stats!$E$11,"")</f>
        <v/>
      </c>
    </row>
    <row r="2880" spans="2:4" hidden="1" x14ac:dyDescent="0.25">
      <c r="B2880" s="306" t="str">
        <f>IF((COUNTBLANK(G2880)=0),Stats!$E$7,IF((COUNTBLANK(E2880)=0),IF((COUNTBLANK(F2880)=0),IF((COUNTBLANK(U2880)=0),Stats!$E$6,Stats!$E$5),Stats!$E$4),""))</f>
        <v/>
      </c>
      <c r="C2880" s="313"/>
      <c r="D2880" s="306" t="str">
        <f>IF(B2880=Stats!$E$6,Stats!$E$11,"")</f>
        <v/>
      </c>
    </row>
    <row r="2881" spans="2:4" hidden="1" x14ac:dyDescent="0.25">
      <c r="B2881" s="306" t="str">
        <f>IF((COUNTBLANK(G2881)=0),Stats!$E$7,IF((COUNTBLANK(E2881)=0),IF((COUNTBLANK(F2881)=0),IF((COUNTBLANK(U2881)=0),Stats!$E$6,Stats!$E$5),Stats!$E$4),""))</f>
        <v/>
      </c>
      <c r="C2881" s="313"/>
      <c r="D2881" s="306" t="str">
        <f>IF(B2881=Stats!$E$6,Stats!$E$11,"")</f>
        <v/>
      </c>
    </row>
    <row r="2882" spans="2:4" hidden="1" x14ac:dyDescent="0.25">
      <c r="B2882" s="306" t="str">
        <f>IF((COUNTBLANK(G2882)=0),Stats!$E$7,IF((COUNTBLANK(E2882)=0),IF((COUNTBLANK(F2882)=0),IF((COUNTBLANK(U2882)=0),Stats!$E$6,Stats!$E$5),Stats!$E$4),""))</f>
        <v/>
      </c>
      <c r="C2882" s="313"/>
      <c r="D2882" s="306" t="str">
        <f>IF(B2882=Stats!$E$6,Stats!$E$11,"")</f>
        <v/>
      </c>
    </row>
    <row r="2883" spans="2:4" hidden="1" x14ac:dyDescent="0.25">
      <c r="B2883" s="306" t="str">
        <f>IF((COUNTBLANK(G2883)=0),Stats!$E$7,IF((COUNTBLANK(E2883)=0),IF((COUNTBLANK(F2883)=0),IF((COUNTBLANK(U2883)=0),Stats!$E$6,Stats!$E$5),Stats!$E$4),""))</f>
        <v/>
      </c>
      <c r="C2883" s="313"/>
      <c r="D2883" s="306" t="str">
        <f>IF(B2883=Stats!$E$6,Stats!$E$11,"")</f>
        <v/>
      </c>
    </row>
    <row r="2884" spans="2:4" hidden="1" x14ac:dyDescent="0.25">
      <c r="B2884" s="306" t="str">
        <f>IF((COUNTBLANK(G2884)=0),Stats!$E$7,IF((COUNTBLANK(E2884)=0),IF((COUNTBLANK(F2884)=0),IF((COUNTBLANK(U2884)=0),Stats!$E$6,Stats!$E$5),Stats!$E$4),""))</f>
        <v/>
      </c>
      <c r="C2884" s="313"/>
      <c r="D2884" s="306" t="str">
        <f>IF(B2884=Stats!$E$6,Stats!$E$11,"")</f>
        <v/>
      </c>
    </row>
    <row r="2885" spans="2:4" hidden="1" x14ac:dyDescent="0.25">
      <c r="B2885" s="306" t="str">
        <f>IF((COUNTBLANK(G2885)=0),Stats!$E$7,IF((COUNTBLANK(E2885)=0),IF((COUNTBLANK(F2885)=0),IF((COUNTBLANK(U2885)=0),Stats!$E$6,Stats!$E$5),Stats!$E$4),""))</f>
        <v/>
      </c>
      <c r="C2885" s="313"/>
      <c r="D2885" s="306" t="str">
        <f>IF(B2885=Stats!$E$6,Stats!$E$11,"")</f>
        <v/>
      </c>
    </row>
    <row r="2886" spans="2:4" hidden="1" x14ac:dyDescent="0.25">
      <c r="B2886" s="306" t="str">
        <f>IF((COUNTBLANK(G2886)=0),Stats!$E$7,IF((COUNTBLANK(E2886)=0),IF((COUNTBLANK(F2886)=0),IF((COUNTBLANK(U2886)=0),Stats!$E$6,Stats!$E$5),Stats!$E$4),""))</f>
        <v/>
      </c>
      <c r="C2886" s="313"/>
      <c r="D2886" s="306" t="str">
        <f>IF(B2886=Stats!$E$6,Stats!$E$11,"")</f>
        <v/>
      </c>
    </row>
    <row r="2887" spans="2:4" hidden="1" x14ac:dyDescent="0.25">
      <c r="B2887" s="306" t="str">
        <f>IF((COUNTBLANK(G2887)=0),Stats!$E$7,IF((COUNTBLANK(E2887)=0),IF((COUNTBLANK(F2887)=0),IF((COUNTBLANK(U2887)=0),Stats!$E$6,Stats!$E$5),Stats!$E$4),""))</f>
        <v/>
      </c>
      <c r="C2887" s="313"/>
      <c r="D2887" s="306" t="str">
        <f>IF(B2887=Stats!$E$6,Stats!$E$11,"")</f>
        <v/>
      </c>
    </row>
    <row r="2888" spans="2:4" hidden="1" x14ac:dyDescent="0.25">
      <c r="B2888" s="306" t="str">
        <f>IF((COUNTBLANK(G2888)=0),Stats!$E$7,IF((COUNTBLANK(E2888)=0),IF((COUNTBLANK(F2888)=0),IF((COUNTBLANK(U2888)=0),Stats!$E$6,Stats!$E$5),Stats!$E$4),""))</f>
        <v/>
      </c>
      <c r="C2888" s="313"/>
      <c r="D2888" s="306" t="str">
        <f>IF(B2888=Stats!$E$6,Stats!$E$11,"")</f>
        <v/>
      </c>
    </row>
    <row r="2889" spans="2:4" hidden="1" x14ac:dyDescent="0.25">
      <c r="B2889" s="306" t="str">
        <f>IF((COUNTBLANK(G2889)=0),Stats!$E$7,IF((COUNTBLANK(E2889)=0),IF((COUNTBLANK(F2889)=0),IF((COUNTBLANK(U2889)=0),Stats!$E$6,Stats!$E$5),Stats!$E$4),""))</f>
        <v/>
      </c>
      <c r="C2889" s="313"/>
      <c r="D2889" s="306" t="str">
        <f>IF(B2889=Stats!$E$6,Stats!$E$11,"")</f>
        <v/>
      </c>
    </row>
    <row r="2890" spans="2:4" hidden="1" x14ac:dyDescent="0.25">
      <c r="B2890" s="306" t="str">
        <f>IF((COUNTBLANK(G2890)=0),Stats!$E$7,IF((COUNTBLANK(E2890)=0),IF((COUNTBLANK(F2890)=0),IF((COUNTBLANK(U2890)=0),Stats!$E$6,Stats!$E$5),Stats!$E$4),""))</f>
        <v/>
      </c>
      <c r="C2890" s="313"/>
      <c r="D2890" s="306" t="str">
        <f>IF(B2890=Stats!$E$6,Stats!$E$11,"")</f>
        <v/>
      </c>
    </row>
    <row r="2891" spans="2:4" hidden="1" x14ac:dyDescent="0.25">
      <c r="B2891" s="306" t="str">
        <f>IF((COUNTBLANK(G2891)=0),Stats!$E$7,IF((COUNTBLANK(E2891)=0),IF((COUNTBLANK(F2891)=0),IF((COUNTBLANK(U2891)=0),Stats!$E$6,Stats!$E$5),Stats!$E$4),""))</f>
        <v/>
      </c>
      <c r="C2891" s="313"/>
      <c r="D2891" s="306" t="str">
        <f>IF(B2891=Stats!$E$6,Stats!$E$11,"")</f>
        <v/>
      </c>
    </row>
    <row r="2892" spans="2:4" hidden="1" x14ac:dyDescent="0.25">
      <c r="B2892" s="306" t="str">
        <f>IF((COUNTBLANK(G2892)=0),Stats!$E$7,IF((COUNTBLANK(E2892)=0),IF((COUNTBLANK(F2892)=0),IF((COUNTBLANK(U2892)=0),Stats!$E$6,Stats!$E$5),Stats!$E$4),""))</f>
        <v/>
      </c>
      <c r="C2892" s="313"/>
      <c r="D2892" s="306" t="str">
        <f>IF(B2892=Stats!$E$6,Stats!$E$11,"")</f>
        <v/>
      </c>
    </row>
    <row r="2893" spans="2:4" hidden="1" x14ac:dyDescent="0.25">
      <c r="B2893" s="306" t="str">
        <f>IF((COUNTBLANK(G2893)=0),Stats!$E$7,IF((COUNTBLANK(E2893)=0),IF((COUNTBLANK(F2893)=0),IF((COUNTBLANK(U2893)=0),Stats!$E$6,Stats!$E$5),Stats!$E$4),""))</f>
        <v/>
      </c>
      <c r="C2893" s="313"/>
      <c r="D2893" s="306" t="str">
        <f>IF(B2893=Stats!$E$6,Stats!$E$11,"")</f>
        <v/>
      </c>
    </row>
    <row r="2894" spans="2:4" hidden="1" x14ac:dyDescent="0.25">
      <c r="B2894" s="306" t="str">
        <f>IF((COUNTBLANK(G2894)=0),Stats!$E$7,IF((COUNTBLANK(E2894)=0),IF((COUNTBLANK(F2894)=0),IF((COUNTBLANK(U2894)=0),Stats!$E$6,Stats!$E$5),Stats!$E$4),""))</f>
        <v/>
      </c>
      <c r="C2894" s="313"/>
      <c r="D2894" s="306" t="str">
        <f>IF(B2894=Stats!$E$6,Stats!$E$11,"")</f>
        <v/>
      </c>
    </row>
    <row r="2895" spans="2:4" hidden="1" x14ac:dyDescent="0.25">
      <c r="B2895" s="306" t="str">
        <f>IF((COUNTBLANK(G2895)=0),Stats!$E$7,IF((COUNTBLANK(E2895)=0),IF((COUNTBLANK(F2895)=0),IF((COUNTBLANK(U2895)=0),Stats!$E$6,Stats!$E$5),Stats!$E$4),""))</f>
        <v/>
      </c>
      <c r="C2895" s="313"/>
      <c r="D2895" s="306" t="str">
        <f>IF(B2895=Stats!$E$6,Stats!$E$11,"")</f>
        <v/>
      </c>
    </row>
    <row r="2896" spans="2:4" hidden="1" x14ac:dyDescent="0.25">
      <c r="B2896" s="306" t="str">
        <f>IF((COUNTBLANK(G2896)=0),Stats!$E$7,IF((COUNTBLANK(E2896)=0),IF((COUNTBLANK(F2896)=0),IF((COUNTBLANK(U2896)=0),Stats!$E$6,Stats!$E$5),Stats!$E$4),""))</f>
        <v/>
      </c>
      <c r="C2896" s="313"/>
      <c r="D2896" s="306" t="str">
        <f>IF(B2896=Stats!$E$6,Stats!$E$11,"")</f>
        <v/>
      </c>
    </row>
    <row r="2897" spans="2:4" hidden="1" x14ac:dyDescent="0.25">
      <c r="B2897" s="306" t="str">
        <f>IF((COUNTBLANK(G2897)=0),Stats!$E$7,IF((COUNTBLANK(E2897)=0),IF((COUNTBLANK(F2897)=0),IF((COUNTBLANK(U2897)=0),Stats!$E$6,Stats!$E$5),Stats!$E$4),""))</f>
        <v/>
      </c>
      <c r="C2897" s="313"/>
      <c r="D2897" s="306" t="str">
        <f>IF(B2897=Stats!$E$6,Stats!$E$11,"")</f>
        <v/>
      </c>
    </row>
    <row r="2898" spans="2:4" hidden="1" x14ac:dyDescent="0.25">
      <c r="B2898" s="306" t="str">
        <f>IF((COUNTBLANK(G2898)=0),Stats!$E$7,IF((COUNTBLANK(E2898)=0),IF((COUNTBLANK(F2898)=0),IF((COUNTBLANK(U2898)=0),Stats!$E$6,Stats!$E$5),Stats!$E$4),""))</f>
        <v/>
      </c>
      <c r="C2898" s="313"/>
      <c r="D2898" s="306" t="str">
        <f>IF(B2898=Stats!$E$6,Stats!$E$11,"")</f>
        <v/>
      </c>
    </row>
    <row r="2899" spans="2:4" hidden="1" x14ac:dyDescent="0.25">
      <c r="B2899" s="306" t="str">
        <f>IF((COUNTBLANK(G2899)=0),Stats!$E$7,IF((COUNTBLANK(E2899)=0),IF((COUNTBLANK(F2899)=0),IF((COUNTBLANK(U2899)=0),Stats!$E$6,Stats!$E$5),Stats!$E$4),""))</f>
        <v/>
      </c>
      <c r="C2899" s="313"/>
      <c r="D2899" s="306" t="str">
        <f>IF(B2899=Stats!$E$6,Stats!$E$11,"")</f>
        <v/>
      </c>
    </row>
    <row r="2900" spans="2:4" hidden="1" x14ac:dyDescent="0.25">
      <c r="B2900" s="306" t="str">
        <f>IF((COUNTBLANK(G2900)=0),Stats!$E$7,IF((COUNTBLANK(E2900)=0),IF((COUNTBLANK(F2900)=0),IF((COUNTBLANK(U2900)=0),Stats!$E$6,Stats!$E$5),Stats!$E$4),""))</f>
        <v/>
      </c>
      <c r="C2900" s="313"/>
      <c r="D2900" s="306" t="str">
        <f>IF(B2900=Stats!$E$6,Stats!$E$11,"")</f>
        <v/>
      </c>
    </row>
    <row r="2901" spans="2:4" hidden="1" x14ac:dyDescent="0.25">
      <c r="B2901" s="306" t="str">
        <f>IF((COUNTBLANK(G2901)=0),Stats!$E$7,IF((COUNTBLANK(E2901)=0),IF((COUNTBLANK(F2901)=0),IF((COUNTBLANK(U2901)=0),Stats!$E$6,Stats!$E$5),Stats!$E$4),""))</f>
        <v/>
      </c>
      <c r="C2901" s="313"/>
      <c r="D2901" s="306" t="str">
        <f>IF(B2901=Stats!$E$6,Stats!$E$11,"")</f>
        <v/>
      </c>
    </row>
    <row r="2902" spans="2:4" hidden="1" x14ac:dyDescent="0.25">
      <c r="B2902" s="306" t="str">
        <f>IF((COUNTBLANK(G2902)=0),Stats!$E$7,IF((COUNTBLANK(E2902)=0),IF((COUNTBLANK(F2902)=0),IF((COUNTBLANK(U2902)=0),Stats!$E$6,Stats!$E$5),Stats!$E$4),""))</f>
        <v/>
      </c>
      <c r="C2902" s="313"/>
      <c r="D2902" s="306" t="str">
        <f>IF(B2902=Stats!$E$6,Stats!$E$11,"")</f>
        <v/>
      </c>
    </row>
    <row r="2903" spans="2:4" hidden="1" x14ac:dyDescent="0.25">
      <c r="B2903" s="306" t="str">
        <f>IF((COUNTBLANK(G2903)=0),Stats!$E$7,IF((COUNTBLANK(E2903)=0),IF((COUNTBLANK(F2903)=0),IF((COUNTBLANK(U2903)=0),Stats!$E$6,Stats!$E$5),Stats!$E$4),""))</f>
        <v/>
      </c>
      <c r="C2903" s="313"/>
      <c r="D2903" s="306" t="str">
        <f>IF(B2903=Stats!$E$6,Stats!$E$11,"")</f>
        <v/>
      </c>
    </row>
    <row r="2904" spans="2:4" hidden="1" x14ac:dyDescent="0.25">
      <c r="B2904" s="306" t="str">
        <f>IF((COUNTBLANK(G2904)=0),Stats!$E$7,IF((COUNTBLANK(E2904)=0),IF((COUNTBLANK(F2904)=0),IF((COUNTBLANK(U2904)=0),Stats!$E$6,Stats!$E$5),Stats!$E$4),""))</f>
        <v/>
      </c>
      <c r="C2904" s="313"/>
      <c r="D2904" s="306" t="str">
        <f>IF(B2904=Stats!$E$6,Stats!$E$11,"")</f>
        <v/>
      </c>
    </row>
    <row r="2905" spans="2:4" hidden="1" x14ac:dyDescent="0.25">
      <c r="B2905" s="306" t="str">
        <f>IF((COUNTBLANK(G2905)=0),Stats!$E$7,IF((COUNTBLANK(E2905)=0),IF((COUNTBLANK(F2905)=0),IF((COUNTBLANK(U2905)=0),Stats!$E$6,Stats!$E$5),Stats!$E$4),""))</f>
        <v/>
      </c>
      <c r="C2905" s="313"/>
      <c r="D2905" s="306" t="str">
        <f>IF(B2905=Stats!$E$6,Stats!$E$11,"")</f>
        <v/>
      </c>
    </row>
    <row r="2906" spans="2:4" hidden="1" x14ac:dyDescent="0.25">
      <c r="B2906" s="306" t="str">
        <f>IF((COUNTBLANK(G2906)=0),Stats!$E$7,IF((COUNTBLANK(E2906)=0),IF((COUNTBLANK(F2906)=0),IF((COUNTBLANK(U2906)=0),Stats!$E$6,Stats!$E$5),Stats!$E$4),""))</f>
        <v/>
      </c>
      <c r="C2906" s="313"/>
      <c r="D2906" s="306" t="str">
        <f>IF(B2906=Stats!$E$6,Stats!$E$11,"")</f>
        <v/>
      </c>
    </row>
    <row r="2907" spans="2:4" hidden="1" x14ac:dyDescent="0.25">
      <c r="B2907" s="306" t="str">
        <f>IF((COUNTBLANK(G2907)=0),Stats!$E$7,IF((COUNTBLANK(E2907)=0),IF((COUNTBLANK(F2907)=0),IF((COUNTBLANK(U2907)=0),Stats!$E$6,Stats!$E$5),Stats!$E$4),""))</f>
        <v/>
      </c>
      <c r="C2907" s="313"/>
      <c r="D2907" s="306" t="str">
        <f>IF(B2907=Stats!$E$6,Stats!$E$11,"")</f>
        <v/>
      </c>
    </row>
    <row r="2908" spans="2:4" hidden="1" x14ac:dyDescent="0.25">
      <c r="B2908" s="306" t="str">
        <f>IF((COUNTBLANK(G2908)=0),Stats!$E$7,IF((COUNTBLANK(E2908)=0),IF((COUNTBLANK(F2908)=0),IF((COUNTBLANK(U2908)=0),Stats!$E$6,Stats!$E$5),Stats!$E$4),""))</f>
        <v/>
      </c>
      <c r="C2908" s="313"/>
      <c r="D2908" s="306" t="str">
        <f>IF(B2908=Stats!$E$6,Stats!$E$11,"")</f>
        <v/>
      </c>
    </row>
    <row r="2909" spans="2:4" hidden="1" x14ac:dyDescent="0.25">
      <c r="B2909" s="306" t="str">
        <f>IF((COUNTBLANK(G2909)=0),Stats!$E$7,IF((COUNTBLANK(E2909)=0),IF((COUNTBLANK(F2909)=0),IF((COUNTBLANK(U2909)=0),Stats!$E$6,Stats!$E$5),Stats!$E$4),""))</f>
        <v/>
      </c>
      <c r="C2909" s="313"/>
      <c r="D2909" s="306" t="str">
        <f>IF(B2909=Stats!$E$6,Stats!$E$11,"")</f>
        <v/>
      </c>
    </row>
    <row r="2910" spans="2:4" hidden="1" x14ac:dyDescent="0.25">
      <c r="B2910" s="306" t="str">
        <f>IF((COUNTBLANK(G2910)=0),Stats!$E$7,IF((COUNTBLANK(E2910)=0),IF((COUNTBLANK(F2910)=0),IF((COUNTBLANK(U2910)=0),Stats!$E$6,Stats!$E$5),Stats!$E$4),""))</f>
        <v/>
      </c>
      <c r="C2910" s="313"/>
      <c r="D2910" s="306" t="str">
        <f>IF(B2910=Stats!$E$6,Stats!$E$11,"")</f>
        <v/>
      </c>
    </row>
    <row r="2911" spans="2:4" hidden="1" x14ac:dyDescent="0.25">
      <c r="B2911" s="306" t="str">
        <f>IF((COUNTBLANK(G2911)=0),Stats!$E$7,IF((COUNTBLANK(E2911)=0),IF((COUNTBLANK(F2911)=0),IF((COUNTBLANK(U2911)=0),Stats!$E$6,Stats!$E$5),Stats!$E$4),""))</f>
        <v/>
      </c>
      <c r="C2911" s="313"/>
      <c r="D2911" s="306" t="str">
        <f>IF(B2911=Stats!$E$6,Stats!$E$11,"")</f>
        <v/>
      </c>
    </row>
    <row r="2912" spans="2:4" hidden="1" x14ac:dyDescent="0.25">
      <c r="B2912" s="306" t="str">
        <f>IF((COUNTBLANK(G2912)=0),Stats!$E$7,IF((COUNTBLANK(E2912)=0),IF((COUNTBLANK(F2912)=0),IF((COUNTBLANK(U2912)=0),Stats!$E$6,Stats!$E$5),Stats!$E$4),""))</f>
        <v/>
      </c>
      <c r="C2912" s="313"/>
      <c r="D2912" s="306" t="str">
        <f>IF(B2912=Stats!$E$6,Stats!$E$11,"")</f>
        <v/>
      </c>
    </row>
    <row r="2913" spans="2:4" hidden="1" x14ac:dyDescent="0.25">
      <c r="B2913" s="306" t="str">
        <f>IF((COUNTBLANK(G2913)=0),Stats!$E$7,IF((COUNTBLANK(E2913)=0),IF((COUNTBLANK(F2913)=0),IF((COUNTBLANK(U2913)=0),Stats!$E$6,Stats!$E$5),Stats!$E$4),""))</f>
        <v/>
      </c>
      <c r="C2913" s="313"/>
      <c r="D2913" s="306" t="str">
        <f>IF(B2913=Stats!$E$6,Stats!$E$11,"")</f>
        <v/>
      </c>
    </row>
    <row r="2914" spans="2:4" hidden="1" x14ac:dyDescent="0.25">
      <c r="B2914" s="306" t="str">
        <f>IF((COUNTBLANK(G2914)=0),Stats!$E$7,IF((COUNTBLANK(E2914)=0),IF((COUNTBLANK(F2914)=0),IF((COUNTBLANK(U2914)=0),Stats!$E$6,Stats!$E$5),Stats!$E$4),""))</f>
        <v/>
      </c>
      <c r="C2914" s="313"/>
      <c r="D2914" s="306" t="str">
        <f>IF(B2914=Stats!$E$6,Stats!$E$11,"")</f>
        <v/>
      </c>
    </row>
    <row r="2915" spans="2:4" hidden="1" x14ac:dyDescent="0.25">
      <c r="B2915" s="306" t="str">
        <f>IF((COUNTBLANK(G2915)=0),Stats!$E$7,IF((COUNTBLANK(E2915)=0),IF((COUNTBLANK(F2915)=0),IF((COUNTBLANK(U2915)=0),Stats!$E$6,Stats!$E$5),Stats!$E$4),""))</f>
        <v/>
      </c>
      <c r="C2915" s="313"/>
      <c r="D2915" s="306" t="str">
        <f>IF(B2915=Stats!$E$6,Stats!$E$11,"")</f>
        <v/>
      </c>
    </row>
    <row r="2916" spans="2:4" hidden="1" x14ac:dyDescent="0.25">
      <c r="B2916" s="306" t="str">
        <f>IF((COUNTBLANK(G2916)=0),Stats!$E$7,IF((COUNTBLANK(E2916)=0),IF((COUNTBLANK(F2916)=0),IF((COUNTBLANK(U2916)=0),Stats!$E$6,Stats!$E$5),Stats!$E$4),""))</f>
        <v/>
      </c>
      <c r="C2916" s="313"/>
      <c r="D2916" s="306" t="str">
        <f>IF(B2916=Stats!$E$6,Stats!$E$11,"")</f>
        <v/>
      </c>
    </row>
    <row r="2917" spans="2:4" hidden="1" x14ac:dyDescent="0.25">
      <c r="B2917" s="306" t="str">
        <f>IF((COUNTBLANK(G2917)=0),Stats!$E$7,IF((COUNTBLANK(E2917)=0),IF((COUNTBLANK(F2917)=0),IF((COUNTBLANK(U2917)=0),Stats!$E$6,Stats!$E$5),Stats!$E$4),""))</f>
        <v/>
      </c>
      <c r="C2917" s="313"/>
      <c r="D2917" s="306" t="str">
        <f>IF(B2917=Stats!$E$6,Stats!$E$11,"")</f>
        <v/>
      </c>
    </row>
    <row r="2918" spans="2:4" hidden="1" x14ac:dyDescent="0.25">
      <c r="B2918" s="306" t="str">
        <f>IF((COUNTBLANK(G2918)=0),Stats!$E$7,IF((COUNTBLANK(E2918)=0),IF((COUNTBLANK(F2918)=0),IF((COUNTBLANK(U2918)=0),Stats!$E$6,Stats!$E$5),Stats!$E$4),""))</f>
        <v/>
      </c>
      <c r="C2918" s="313"/>
      <c r="D2918" s="306" t="str">
        <f>IF(B2918=Stats!$E$6,Stats!$E$11,"")</f>
        <v/>
      </c>
    </row>
    <row r="2919" spans="2:4" hidden="1" x14ac:dyDescent="0.25">
      <c r="B2919" s="306" t="str">
        <f>IF((COUNTBLANK(G2919)=0),Stats!$E$7,IF((COUNTBLANK(E2919)=0),IF((COUNTBLANK(F2919)=0),IF((COUNTBLANK(U2919)=0),Stats!$E$6,Stats!$E$5),Stats!$E$4),""))</f>
        <v/>
      </c>
      <c r="C2919" s="313"/>
      <c r="D2919" s="306" t="str">
        <f>IF(B2919=Stats!$E$6,Stats!$E$11,"")</f>
        <v/>
      </c>
    </row>
    <row r="2920" spans="2:4" hidden="1" x14ac:dyDescent="0.25">
      <c r="B2920" s="306" t="str">
        <f>IF((COUNTBLANK(G2920)=0),Stats!$E$7,IF((COUNTBLANK(E2920)=0),IF((COUNTBLANK(F2920)=0),IF((COUNTBLANK(U2920)=0),Stats!$E$6,Stats!$E$5),Stats!$E$4),""))</f>
        <v/>
      </c>
      <c r="C2920" s="313"/>
      <c r="D2920" s="306" t="str">
        <f>IF(B2920=Stats!$E$6,Stats!$E$11,"")</f>
        <v/>
      </c>
    </row>
    <row r="2921" spans="2:4" hidden="1" x14ac:dyDescent="0.25">
      <c r="B2921" s="306" t="str">
        <f>IF((COUNTBLANK(G2921)=0),Stats!$E$7,IF((COUNTBLANK(E2921)=0),IF((COUNTBLANK(F2921)=0),IF((COUNTBLANK(U2921)=0),Stats!$E$6,Stats!$E$5),Stats!$E$4),""))</f>
        <v/>
      </c>
      <c r="C2921" s="313"/>
      <c r="D2921" s="306" t="str">
        <f>IF(B2921=Stats!$E$6,Stats!$E$11,"")</f>
        <v/>
      </c>
    </row>
    <row r="2922" spans="2:4" ht="14.25" hidden="1" customHeight="1" x14ac:dyDescent="0.25">
      <c r="B2922" s="306" t="str">
        <f>IF((COUNTBLANK(G2922)=0),Stats!$E$7,IF((COUNTBLANK(E2922)=0),IF((COUNTBLANK(F2922)=0),IF((COUNTBLANK(U2922)=0),Stats!$E$6,Stats!$E$5),Stats!$E$4),""))</f>
        <v/>
      </c>
      <c r="C2922" s="313"/>
      <c r="D2922" s="306" t="str">
        <f>IF(B2922=Stats!$E$6,Stats!$E$11,"")</f>
        <v/>
      </c>
    </row>
    <row r="2923" spans="2:4" hidden="1" x14ac:dyDescent="0.25">
      <c r="B2923" s="306" t="str">
        <f>IF((COUNTBLANK(G2923)=0),Stats!$E$7,IF((COUNTBLANK(E2923)=0),IF((COUNTBLANK(F2923)=0),IF((COUNTBLANK(U2923)=0),Stats!$E$6,Stats!$E$5),Stats!$E$4),""))</f>
        <v/>
      </c>
      <c r="C2923" s="313"/>
      <c r="D2923" s="306" t="str">
        <f>IF(B2923=Stats!$E$6,Stats!$E$11,"")</f>
        <v/>
      </c>
    </row>
    <row r="2924" spans="2:4" hidden="1" x14ac:dyDescent="0.25">
      <c r="B2924" s="306" t="str">
        <f>IF((COUNTBLANK(G2924)=0),Stats!$E$7,IF((COUNTBLANK(E2924)=0),IF((COUNTBLANK(F2924)=0),IF((COUNTBLANK(U2924)=0),Stats!$E$6,Stats!$E$5),Stats!$E$4),""))</f>
        <v/>
      </c>
      <c r="C2924" s="313"/>
      <c r="D2924" s="306" t="str">
        <f>IF(B2924=Stats!$E$6,Stats!$E$11,"")</f>
        <v/>
      </c>
    </row>
    <row r="2925" spans="2:4" hidden="1" x14ac:dyDescent="0.25">
      <c r="B2925" s="306" t="str">
        <f>IF((COUNTBLANK(G2925)=0),Stats!$E$7,IF((COUNTBLANK(E2925)=0),IF((COUNTBLANK(F2925)=0),IF((COUNTBLANK(U2925)=0),Stats!$E$6,Stats!$E$5),Stats!$E$4),""))</f>
        <v/>
      </c>
      <c r="C2925" s="313"/>
      <c r="D2925" s="306"/>
    </row>
    <row r="2926" spans="2:4" ht="18" hidden="1" customHeight="1" x14ac:dyDescent="0.25">
      <c r="B2926" s="306" t="str">
        <f>IF((COUNTBLANK(G2926)=0),Stats!$E$7,IF((COUNTBLANK(E2926)=0),IF((COUNTBLANK(F2926)=0),IF((COUNTBLANK(U2926)=0),Stats!$E$6,Stats!$E$5),Stats!$E$4),""))</f>
        <v/>
      </c>
      <c r="C2926" s="313"/>
      <c r="D2926" s="306"/>
    </row>
    <row r="2927" spans="2:4" ht="19.5" hidden="1" customHeight="1" x14ac:dyDescent="0.25">
      <c r="B2927" s="306"/>
      <c r="C2927" s="313"/>
      <c r="D2927" s="306"/>
    </row>
    <row r="2928" spans="2:4" ht="18" hidden="1" customHeight="1" x14ac:dyDescent="0.25">
      <c r="B2928" s="306"/>
      <c r="C2928" s="313"/>
      <c r="D2928" s="306"/>
    </row>
    <row r="2929" spans="2:19" hidden="1" x14ac:dyDescent="0.25">
      <c r="B2929" s="306"/>
      <c r="C2929" s="313"/>
      <c r="D2929" s="306"/>
    </row>
    <row r="2930" spans="2:19" ht="26.25" hidden="1" customHeight="1" x14ac:dyDescent="0.25">
      <c r="B2930" s="306"/>
      <c r="C2930" s="313"/>
      <c r="D2930" s="306"/>
      <c r="S2930" s="158"/>
    </row>
    <row r="2931" spans="2:19" ht="18.75" hidden="1" customHeight="1" x14ac:dyDescent="0.25">
      <c r="B2931" s="306"/>
      <c r="C2931" s="313"/>
      <c r="D2931" s="306"/>
      <c r="S2931" s="158"/>
    </row>
    <row r="2932" spans="2:19" ht="26.25" hidden="1" customHeight="1" x14ac:dyDescent="0.25">
      <c r="B2932" s="306"/>
      <c r="C2932" s="313"/>
      <c r="D2932" s="306"/>
      <c r="S2932" s="158"/>
    </row>
    <row r="2933" spans="2:19" x14ac:dyDescent="0.25">
      <c r="B2933" s="306"/>
      <c r="C2933" s="41"/>
      <c r="D2933" s="306"/>
      <c r="S2933" s="158"/>
    </row>
    <row r="2934" spans="2:19" x14ac:dyDescent="0.25">
      <c r="B2934" s="306"/>
      <c r="C2934" s="41"/>
      <c r="D2934" s="306"/>
      <c r="S2934" s="158"/>
    </row>
    <row r="2935" spans="2:19" x14ac:dyDescent="0.25">
      <c r="B2935" s="306"/>
      <c r="C2935" s="41"/>
      <c r="D2935" s="306"/>
      <c r="G2935" s="41"/>
      <c r="S2935" s="158"/>
    </row>
    <row r="2936" spans="2:19" x14ac:dyDescent="0.25">
      <c r="B2936" s="306"/>
      <c r="C2936" s="41"/>
      <c r="D2936" s="306"/>
      <c r="G2936" s="41"/>
      <c r="S2936" s="158"/>
    </row>
    <row r="2937" spans="2:19" x14ac:dyDescent="0.25">
      <c r="B2937" s="306"/>
      <c r="C2937" s="41"/>
      <c r="D2937" s="306"/>
      <c r="S2937" s="158"/>
    </row>
    <row r="2938" spans="2:19" x14ac:dyDescent="0.25">
      <c r="B2938" s="306"/>
      <c r="C2938" s="41"/>
      <c r="D2938" s="306"/>
      <c r="S2938" s="158"/>
    </row>
    <row r="2939" spans="2:19" x14ac:dyDescent="0.25">
      <c r="B2939" s="306"/>
      <c r="C2939" s="41"/>
      <c r="D2939" s="306"/>
      <c r="S2939" s="158"/>
    </row>
    <row r="2940" spans="2:19" x14ac:dyDescent="0.25">
      <c r="B2940" s="306"/>
      <c r="C2940" s="41"/>
      <c r="D2940" s="306"/>
      <c r="S2940" s="158"/>
    </row>
    <row r="2941" spans="2:19" x14ac:dyDescent="0.25">
      <c r="B2941" s="306"/>
      <c r="C2941" s="41"/>
      <c r="D2941" s="306"/>
      <c r="S2941" s="158"/>
    </row>
    <row r="2942" spans="2:19" x14ac:dyDescent="0.25">
      <c r="B2942" s="306"/>
      <c r="C2942" s="313"/>
      <c r="D2942" s="306"/>
      <c r="S2942" s="158"/>
    </row>
    <row r="2943" spans="2:19" x14ac:dyDescent="0.25">
      <c r="B2943" s="306"/>
      <c r="C2943" s="313"/>
      <c r="D2943" s="306"/>
      <c r="S2943" s="158"/>
    </row>
    <row r="2944" spans="2:19" x14ac:dyDescent="0.25">
      <c r="B2944" s="306"/>
      <c r="C2944" s="313"/>
      <c r="D2944" s="306"/>
      <c r="S2944" s="158"/>
    </row>
    <row r="2945" spans="2:19" x14ac:dyDescent="0.25">
      <c r="B2945" s="306"/>
      <c r="C2945" s="313"/>
      <c r="D2945" s="306"/>
      <c r="S2945" s="158"/>
    </row>
    <row r="2946" spans="2:19" x14ac:dyDescent="0.25">
      <c r="B2946" s="306"/>
      <c r="C2946" s="313"/>
      <c r="D2946" s="306"/>
      <c r="S2946" s="158"/>
    </row>
    <row r="2947" spans="2:19" x14ac:dyDescent="0.25">
      <c r="B2947" s="306"/>
      <c r="C2947" s="313"/>
      <c r="D2947" s="306"/>
      <c r="S2947" s="158"/>
    </row>
    <row r="2948" spans="2:19" x14ac:dyDescent="0.25">
      <c r="B2948" s="306"/>
      <c r="C2948" s="313"/>
      <c r="D2948" s="306"/>
      <c r="S2948" s="158"/>
    </row>
    <row r="2949" spans="2:19" x14ac:dyDescent="0.25">
      <c r="B2949" s="306"/>
      <c r="C2949" s="313"/>
      <c r="D2949" s="306"/>
      <c r="S2949" s="158"/>
    </row>
    <row r="2950" spans="2:19" x14ac:dyDescent="0.25">
      <c r="B2950" s="306"/>
      <c r="C2950" s="313"/>
      <c r="D2950" s="306"/>
      <c r="S2950" s="158"/>
    </row>
    <row r="2951" spans="2:19" x14ac:dyDescent="0.25">
      <c r="B2951" s="306"/>
      <c r="C2951" s="313"/>
      <c r="D2951" s="306"/>
      <c r="S2951" s="158"/>
    </row>
    <row r="2952" spans="2:19" x14ac:dyDescent="0.25">
      <c r="B2952" s="306"/>
      <c r="C2952" s="313"/>
      <c r="D2952" s="306"/>
      <c r="S2952" s="158"/>
    </row>
    <row r="2953" spans="2:19" x14ac:dyDescent="0.25">
      <c r="B2953" s="306"/>
      <c r="C2953" s="313"/>
      <c r="D2953" s="306"/>
      <c r="S2953" s="158"/>
    </row>
    <row r="2954" spans="2:19" x14ac:dyDescent="0.25">
      <c r="B2954" s="306"/>
      <c r="C2954" s="313"/>
      <c r="D2954" s="306"/>
      <c r="S2954" s="158"/>
    </row>
    <row r="2955" spans="2:19" x14ac:dyDescent="0.25">
      <c r="B2955" s="306"/>
      <c r="C2955" s="313"/>
      <c r="D2955" s="306"/>
      <c r="S2955" s="158"/>
    </row>
    <row r="2956" spans="2:19" x14ac:dyDescent="0.25">
      <c r="B2956" s="306"/>
      <c r="C2956" s="313"/>
      <c r="D2956" s="306"/>
      <c r="S2956" s="158"/>
    </row>
    <row r="2957" spans="2:19" x14ac:dyDescent="0.25">
      <c r="B2957" s="306"/>
      <c r="C2957" s="313"/>
      <c r="D2957" s="306"/>
      <c r="S2957" s="158"/>
    </row>
    <row r="2958" spans="2:19" x14ac:dyDescent="0.25">
      <c r="B2958" s="306"/>
      <c r="C2958" s="313"/>
      <c r="D2958" s="306"/>
      <c r="S2958" s="158"/>
    </row>
    <row r="2959" spans="2:19" x14ac:dyDescent="0.25">
      <c r="B2959" s="306"/>
      <c r="C2959" s="313"/>
      <c r="D2959" s="306"/>
      <c r="S2959" s="158"/>
    </row>
    <row r="2960" spans="2:19" x14ac:dyDescent="0.25">
      <c r="B2960" s="306"/>
      <c r="C2960" s="313"/>
      <c r="D2960" s="306"/>
    </row>
    <row r="2961" spans="2:4" x14ac:dyDescent="0.25">
      <c r="B2961" s="306"/>
      <c r="C2961" s="313"/>
      <c r="D2961" s="306"/>
    </row>
    <row r="2962" spans="2:4" x14ac:dyDescent="0.25">
      <c r="B2962" s="306"/>
      <c r="C2962" s="313"/>
      <c r="D2962" s="306"/>
    </row>
    <row r="2963" spans="2:4" x14ac:dyDescent="0.25">
      <c r="B2963" s="306"/>
      <c r="C2963" s="313"/>
      <c r="D2963" s="306"/>
    </row>
  </sheetData>
  <sheetProtection formatCells="0" formatColumns="0" formatRows="0" insertColumns="0" insertRows="0" insertHyperlinks="0" deleteColumns="0" deleteRows="0" autoFilter="0" pivotTables="0"/>
  <protectedRanges>
    <protectedRange sqref="C2:C3002" name="Tartomány1"/>
    <protectedRange sqref="E2:Y3002" name="Tartomány2"/>
    <protectedRange sqref="D2:D3002" name="Tartomány3"/>
  </protectedRanges>
  <autoFilter ref="A1:Y2932" xr:uid="{00000000-0001-0000-0000-000000000000}">
    <filterColumn colId="4">
      <filters>
        <dateGroupItem year="2024" dateTimeGrouping="year"/>
      </filters>
    </filterColumn>
  </autoFilter>
  <phoneticPr fontId="27" type="noConversion"/>
  <conditionalFormatting sqref="A2:A3006">
    <cfRule type="expression" dxfId="5" priority="31">
      <formula>COUNTA($E2)=0</formula>
    </cfRule>
  </conditionalFormatting>
  <dataValidations count="1">
    <dataValidation type="date" operator="greaterThan" allowBlank="1" showInputMessage="1" showErrorMessage="1" sqref="E2:G3284" xr:uid="{F0FB1A09-CAA3-4D91-9D44-9CC05EBBDF07}">
      <formula1>36526</formula1>
    </dataValidation>
  </dataValidations>
  <pageMargins left="0.7" right="0.7" top="0.75" bottom="0.75" header="0.3" footer="0.3"/>
  <pageSetup paperSize="9" scale="32" fitToHeight="0" orientation="landscape" r:id="rId1"/>
  <extLst>
    <ext xmlns:x14="http://schemas.microsoft.com/office/spreadsheetml/2009/9/main" uri="{78C0D931-6437-407d-A8EE-F0AAD7539E65}">
      <x14:conditionalFormattings>
        <x14:conditionalFormatting xmlns:xm="http://schemas.microsoft.com/office/excel/2006/main">
          <x14:cfRule type="expression" priority="45" id="{8350827B-A3E9-4314-84F1-B2F03F3A1FE1}">
            <xm:f>$B2=Stats!$E$7</xm:f>
            <x14:dxf>
              <fill>
                <patternFill>
                  <bgColor theme="5" tint="0.39994506668294322"/>
                </patternFill>
              </fill>
            </x14:dxf>
          </x14:cfRule>
          <x14:cfRule type="expression" priority="46" id="{7E5CD7C2-A16B-434D-92F9-2DD6514E3226}">
            <xm:f>$D2=Stats!$E$13</xm:f>
            <x14:dxf>
              <fill>
                <patternFill>
                  <bgColor theme="4" tint="0.39994506668294322"/>
                </patternFill>
              </fill>
            </x14:dxf>
          </x14:cfRule>
          <x14:cfRule type="expression" priority="47" id="{46AFE718-B8F4-4464-9E5D-08D2BB118048}">
            <xm:f>$B2=Stats!$E$5</xm:f>
            <x14:dxf>
              <fill>
                <patternFill>
                  <bgColor theme="7" tint="0.59996337778862885"/>
                </patternFill>
              </fill>
            </x14:dxf>
          </x14:cfRule>
          <x14:cfRule type="expression" priority="48" id="{275A02B3-F48F-4D9A-BC16-8CB416B6DBF2}">
            <xm:f>$D2=Stats!$E$12</xm:f>
            <x14:dxf>
              <fill>
                <patternFill>
                  <bgColor theme="9" tint="0.39994506668294322"/>
                </patternFill>
              </fill>
            </x14:dxf>
          </x14:cfRule>
          <x14:cfRule type="expression" priority="49" id="{A8EF9DDD-8338-4A9C-9EA0-1ECA52449CA9}">
            <xm:f>$D2=Stats!$E$14</xm:f>
            <x14:dxf>
              <fill>
                <patternFill>
                  <bgColor theme="8" tint="-0.499984740745262"/>
                </patternFill>
              </fill>
            </x14:dxf>
          </x14:cfRule>
          <xm:sqref>A2:Y3006</xm:sqref>
        </x14:conditionalFormatting>
      </x14:conditionalFormattings>
    </ext>
    <ext xmlns:x14="http://schemas.microsoft.com/office/spreadsheetml/2009/9/main" uri="{CCE6A557-97BC-4b89-ADB6-D9C93CAAB3DF}">
      <x14:dataValidations xmlns:xm="http://schemas.microsoft.com/office/excel/2006/main" count="21">
        <x14:dataValidation type="list" allowBlank="1" showInputMessage="1" showErrorMessage="1" xr:uid="{A5FCD379-4371-4837-A318-91F8EC2AE49E}">
          <x14:formula1>
            <xm:f>Stats!$I$4:$I$366</xm:f>
          </x14:formula1>
          <xm:sqref>L2013:L3133 K1972:K3133 L1972:L2011 M2:M3133</xm:sqref>
        </x14:dataValidation>
        <x14:dataValidation type="list" allowBlank="1" showInputMessage="1" showErrorMessage="1" xr:uid="{ED99CFBA-3653-4D3C-8883-64ED6C7A1AB9}">
          <x14:formula1>
            <xm:f>Stats!$A$4:$A$17</xm:f>
          </x14:formula1>
          <xm:sqref>I3129:I3386</xm:sqref>
        </x14:dataValidation>
        <x14:dataValidation type="list" allowBlank="1" showInputMessage="1" showErrorMessage="1" xr:uid="{4B1F883B-F33C-4C71-BEE3-D3AAB548FD9B}">
          <x14:formula1>
            <xm:f>Stats!$E$12:$E$14</xm:f>
          </x14:formula1>
          <xm:sqref>D2925:D2946</xm:sqref>
        </x14:dataValidation>
        <x14:dataValidation type="list" allowBlank="1" showInputMessage="1" showErrorMessage="1" xr:uid="{1962A287-5D80-4502-A248-BDE3C72AB4E4}">
          <x14:formula1>
            <xm:f>Stats!$E$3:$E$14</xm:f>
          </x14:formula1>
          <xm:sqref>D2947:D3120 B2930:B3120 C3013:C3120</xm:sqref>
        </x14:dataValidation>
        <x14:dataValidation type="list" allowBlank="1" showInputMessage="1" showErrorMessage="1" xr:uid="{BF954DE9-F8B4-4247-885E-8EA8480D8B65}">
          <x14:formula1>
            <xm:f>Stats!$I$4:$I$500</xm:f>
          </x14:formula1>
          <xm:sqref>L2012 K2:L1971</xm:sqref>
        </x14:dataValidation>
        <x14:dataValidation type="list" allowBlank="1" showInputMessage="1" showErrorMessage="1" xr:uid="{F0242A0E-16F9-4186-A5C8-50F72DCF6239}">
          <x14:formula1>
            <xm:f>Stats!$E$19:$E$42</xm:f>
          </x14:formula1>
          <xm:sqref>C2:C756</xm:sqref>
        </x14:dataValidation>
        <x14:dataValidation type="list" allowBlank="1" showInputMessage="1" showErrorMessage="1" xr:uid="{9F06EF1A-35D7-4376-87DC-FA9457BD2E0F}">
          <x14:formula1>
            <xm:f>Stats!$E$11:$E$15</xm:f>
          </x14:formula1>
          <xm:sqref>D2:D2924</xm:sqref>
        </x14:dataValidation>
        <x14:dataValidation type="list" allowBlank="1" showInputMessage="1" showErrorMessage="1" xr:uid="{50A9E8D6-3093-487F-83FC-C131968E2351}">
          <x14:formula1>
            <xm:f>Stats!$G$4:$G$16</xm:f>
          </x14:formula1>
          <xm:sqref>J2:J2433</xm:sqref>
        </x14:dataValidation>
        <x14:dataValidation type="list" allowBlank="1" showInputMessage="1" showErrorMessage="1" xr:uid="{DA35BC32-AEAE-4DF9-BF4A-81C1F002DA86}">
          <x14:formula1>
            <xm:f>Stats!$E$19:$E$40</xm:f>
          </x14:formula1>
          <xm:sqref>C757:C1587</xm:sqref>
        </x14:dataValidation>
        <x14:dataValidation type="list" allowBlank="1" showInputMessage="1" showErrorMessage="1" xr:uid="{33C9DDE9-1718-40BC-8C58-A0993BBDA65D}">
          <x14:formula1>
            <xm:f>Stats!$A$4:$A$53</xm:f>
          </x14:formula1>
          <xm:sqref>I2:I756 I2852:I3128</xm:sqref>
        </x14:dataValidation>
        <x14:dataValidation type="list" allowBlank="1" showInputMessage="1" showErrorMessage="1" xr:uid="{FF13623E-F38A-45DE-BEA8-E53988166CA9}">
          <x14:formula1>
            <xm:f>Stats!$B$3:$B$52</xm:f>
          </x14:formula1>
          <xm:sqref>H2:H2913</xm:sqref>
        </x14:dataValidation>
        <x14:dataValidation type="list" allowBlank="1" showInputMessage="1" showErrorMessage="1" xr:uid="{465F86DB-41D5-416D-811E-AF635F321963}">
          <x14:formula1>
            <xm:f>Stats!B4:B52</xm:f>
          </x14:formula1>
          <xm:sqref>H3011</xm:sqref>
        </x14:dataValidation>
        <x14:dataValidation type="list" allowBlank="1" showInputMessage="1" showErrorMessage="1" xr:uid="{BBAED3B2-7EF4-4016-A307-6BDDCCFD4E59}">
          <x14:formula1>
            <xm:f>Stats!E1940:E1956</xm:f>
          </x14:formula1>
          <xm:sqref>C2937:C3012</xm:sqref>
        </x14:dataValidation>
        <x14:dataValidation type="list" allowBlank="1" showInputMessage="1" showErrorMessage="1" xr:uid="{EFA0284C-E056-4730-B997-367D17DF1F2B}">
          <x14:formula1>
            <xm:f>Stats!E1939:E1955</xm:f>
          </x14:formula1>
          <xm:sqref>C2935:C2936</xm:sqref>
        </x14:dataValidation>
        <x14:dataValidation type="list" allowBlank="1" showInputMessage="1" showErrorMessage="1" xr:uid="{5D1B3CFC-2720-45A1-9F12-1DBA2EFAD95E}">
          <x14:formula1>
            <xm:f>Stats!E594:E610</xm:f>
          </x14:formula1>
          <xm:sqref>C1588:C2933</xm:sqref>
        </x14:dataValidation>
        <x14:dataValidation type="list" allowBlank="1" showInputMessage="1" showErrorMessage="1" xr:uid="{8E97DC94-5865-4213-9F1A-2FA1DD52D6D7}">
          <x14:formula1>
            <xm:f>Stats!E1939:E1955</xm:f>
          </x14:formula1>
          <xm:sqref>C2934</xm:sqref>
        </x14:dataValidation>
        <x14:dataValidation type="list" allowBlank="1" showInputMessage="1" showErrorMessage="1" xr:uid="{2C4553DB-F9F7-4F4A-BA5D-6B0B85781F61}">
          <x14:formula1>
            <xm:f>Stats!G2433:G2445</xm:f>
          </x14:formula1>
          <xm:sqref>J2434:J2813</xm:sqref>
        </x14:dataValidation>
        <x14:dataValidation type="list" allowBlank="1" showInputMessage="1" showErrorMessage="1" xr:uid="{75B09E59-FC24-4A9F-85AB-D15325FA3A82}">
          <x14:formula1>
            <xm:f>Stats!B545:B597</xm:f>
          </x14:formula1>
          <xm:sqref>I1436:I2851 I1302:I1322</xm:sqref>
        </x14:dataValidation>
        <x14:dataValidation type="list" allowBlank="1" showInputMessage="1" showErrorMessage="1" xr:uid="{A2CEE2DC-3DD3-42F7-A82C-07BB2387F72C}">
          <x14:formula1>
            <xm:f>Stats!B567:B619</xm:f>
          </x14:formula1>
          <xm:sqref>I1323:I1371</xm:sqref>
        </x14:dataValidation>
        <x14:dataValidation type="list" allowBlank="1" showInputMessage="1" showErrorMessage="1" xr:uid="{38ED8F3A-7F74-4215-8D64-10E821CEDF00}">
          <x14:formula1>
            <xm:f>Stats!B3:B55</xm:f>
          </x14:formula1>
          <xm:sqref>I1372:I1374 I757:I1301</xm:sqref>
        </x14:dataValidation>
        <x14:dataValidation type="list" allowBlank="1" showInputMessage="1" showErrorMessage="1" xr:uid="{7C652297-3615-4587-9C25-21C6CA5B62EC}">
          <x14:formula1>
            <xm:f>Stats!B622:B674</xm:f>
          </x14:formula1>
          <xm:sqref>I1375:I1435</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6994883604B894EB4414928DDBFE214" ma:contentTypeVersion="19" ma:contentTypeDescription="Create a new document." ma:contentTypeScope="" ma:versionID="13f70b7f47c2b566e98469d445b2626d">
  <xsd:schema xmlns:xsd="http://www.w3.org/2001/XMLSchema" xmlns:xs="http://www.w3.org/2001/XMLSchema" xmlns:p="http://schemas.microsoft.com/office/2006/metadata/properties" xmlns:ns2="5d104c45-74ec-480a-b7d6-e44eb27370b7" xmlns:ns3="c2b5f5ee-29ff-41c9-b07b-92be77f5e962" targetNamespace="http://schemas.microsoft.com/office/2006/metadata/properties" ma:root="true" ma:fieldsID="f331a6dc458c62a52c2b6660f38d7be2" ns2:_="" ns3:_="">
    <xsd:import namespace="5d104c45-74ec-480a-b7d6-e44eb27370b7"/>
    <xsd:import namespace="c2b5f5ee-29ff-41c9-b07b-92be77f5e96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Location" minOccurs="0"/>
                <xsd:element ref="ns2:MediaServiceAutoKeyPoints" minOccurs="0"/>
                <xsd:element ref="ns2:MediaServiceKeyPoints" minOccurs="0"/>
                <xsd:element ref="ns2:MediaServiceGenerationTime" minOccurs="0"/>
                <xsd:element ref="ns2:MediaServiceEventHashCode" minOccurs="0"/>
                <xsd:element ref="ns2:MediaServiceOCR" minOccurs="0"/>
                <xsd:element ref="ns2:lcf76f155ced4ddcb4097134ff3c332f" minOccurs="0"/>
                <xsd:element ref="ns3:TaxCatchAll" minOccurs="0"/>
                <xsd:element ref="ns2:MediaServiceSearchProperties" minOccurs="0"/>
                <xsd:element ref="ns2:MediaServiceObjectDetectorVersions"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d104c45-74ec-480a-b7d6-e44eb27370b7" elementFormDefault="qualified">
    <xsd:import namespace="http://schemas.microsoft.com/office/2006/documentManagement/types"/>
    <xsd:import namespace="http://schemas.microsoft.com/office/infopath/2007/PartnerControls"/>
    <xsd:element name="MediaServiceMetadata" ma:index="8" nillable="true" ma:displayName="MediaServiceMetadata" ma:description="" ma:hidden="true" ma:internalName="MediaServiceMetadata" ma:readOnly="true">
      <xsd:simpleType>
        <xsd:restriction base="dms:Note"/>
      </xsd:simpleType>
    </xsd:element>
    <xsd:element name="MediaServiceFastMetadata" ma:index="9" nillable="true" ma:displayName="MediaServiceFastMetadata" ma:description=""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Location" ma:internalName="MediaServiceLocation"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1aba1eb2-d3ac-44e1-9be0-ad5e4bb0396d" ma:termSetId="09814cd3-568e-fe90-9814-8d621ff8fb84" ma:anchorId="fba54fb3-c3e1-fe81-a776-ca4b69148c4d" ma:open="true" ma:isKeyword="false">
      <xsd:complexType>
        <xsd:sequence>
          <xsd:element ref="pc:Terms" minOccurs="0" maxOccurs="1"/>
        </xsd:sequence>
      </xsd:complex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LengthInSeconds" ma:index="24" nillable="true" ma:displayName="MediaLengthInSeconds" ma:hidden="true" ma:internalName="MediaLengthInSeconds" ma:readOnly="true">
      <xsd:simpleType>
        <xsd:restriction base="dms:Unknown"/>
      </xsd:simpleType>
    </xsd:element>
    <xsd:element name="MediaServiceBillingMetadata" ma:index="25"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2b5f5ee-29ff-41c9-b07b-92be77f5e96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dadc08aa-ce09-43a7-8862-657c29f98d69}" ma:internalName="TaxCatchAll" ma:showField="CatchAllData" ma:web="c2b5f5ee-29ff-41c9-b07b-92be77f5e96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c2b5f5ee-29ff-41c9-b07b-92be77f5e962" xsi:nil="true"/>
    <lcf76f155ced4ddcb4097134ff3c332f xmlns="5d104c45-74ec-480a-b7d6-e44eb27370b7">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AA1B085-7644-4EFC-AABE-9196F46BEFE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d104c45-74ec-480a-b7d6-e44eb27370b7"/>
    <ds:schemaRef ds:uri="c2b5f5ee-29ff-41c9-b07b-92be77f5e96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31C6E31-BE18-4B39-B423-0A5E91E8EE71}">
  <ds:schemaRefs>
    <ds:schemaRef ds:uri="http://schemas.microsoft.com/office/2006/metadata/properties"/>
    <ds:schemaRef ds:uri="http://schemas.microsoft.com/office/infopath/2007/PartnerControls"/>
    <ds:schemaRef ds:uri="c2b5f5ee-29ff-41c9-b07b-92be77f5e962"/>
    <ds:schemaRef ds:uri="5d104c45-74ec-480a-b7d6-e44eb27370b7"/>
  </ds:schemaRefs>
</ds:datastoreItem>
</file>

<file path=customXml/itemProps3.xml><?xml version="1.0" encoding="utf-8"?>
<ds:datastoreItem xmlns:ds="http://schemas.openxmlformats.org/officeDocument/2006/customXml" ds:itemID="{F52D5D17-1B30-4BF9-B70E-AA7E3F54939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All injections Liliom</vt:lpstr>
      <vt:lpstr>Summary Liliom</vt:lpstr>
      <vt:lpstr>Help</vt:lpstr>
      <vt:lpstr>old -- Summary Dobos</vt:lpstr>
      <vt:lpstr>Color coding</vt:lpstr>
      <vt:lpstr>Stats</vt:lpstr>
      <vt:lpstr>old -- All injections Dobos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tdk tdk</dc:creator>
  <cp:keywords/>
  <dc:description/>
  <cp:lastModifiedBy>Abhrajyoti Chakrabarti</cp:lastModifiedBy>
  <cp:revision/>
  <dcterms:created xsi:type="dcterms:W3CDTF">2017-10-30T10:09:20Z</dcterms:created>
  <dcterms:modified xsi:type="dcterms:W3CDTF">2026-02-12T13:17:42Z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0x01010026994883604B894EB4414928DDBFE214</vt:lpwstr>
  </property>
  <property fmtid="{D5CDD505-2E9C-101B-9397-08002B2CF9AE}" pid="3" name="AuthorIds_UIVersion_317440">
    <vt:lpwstr>21</vt:lpwstr>
  </property>
  <property fmtid="{D5CDD505-2E9C-101B-9397-08002B2CF9AE}" pid="4" name="AuthorIds_UIVersion_318976">
    <vt:lpwstr>169</vt:lpwstr>
  </property>
  <property fmtid="{D5CDD505-2E9C-101B-9397-08002B2CF9AE}" pid="5" name="AuthorIds_UIVersion_319488">
    <vt:lpwstr>171</vt:lpwstr>
  </property>
  <property fmtid="{D5CDD505-2E9C-101B-9397-08002B2CF9AE}" pid="6" name="AuthorIds_UIVersion_320000">
    <vt:lpwstr>169</vt:lpwstr>
  </property>
  <property fmtid="{D5CDD505-2E9C-101B-9397-08002B2CF9AE}" pid="7" name="AuthorIds_UIVersion_321536">
    <vt:lpwstr>171</vt:lpwstr>
  </property>
  <property fmtid="{D5CDD505-2E9C-101B-9397-08002B2CF9AE}" pid="8" name="AuthorIds_UIVersion_330240">
    <vt:lpwstr>171,61</vt:lpwstr>
  </property>
  <property fmtid="{D5CDD505-2E9C-101B-9397-08002B2CF9AE}" pid="9" name="AuthorIds_UIVersion_330752">
    <vt:lpwstr>61</vt:lpwstr>
  </property>
  <property fmtid="{D5CDD505-2E9C-101B-9397-08002B2CF9AE}" pid="10" name="AuthorIds_UIVersion_331776">
    <vt:lpwstr>6</vt:lpwstr>
  </property>
  <property fmtid="{D5CDD505-2E9C-101B-9397-08002B2CF9AE}" pid="11" name="AuthorIds_UIVersion_334848">
    <vt:lpwstr>61</vt:lpwstr>
  </property>
  <property fmtid="{D5CDD505-2E9C-101B-9397-08002B2CF9AE}" pid="12" name="AuthorIds_UIVersion_335872">
    <vt:lpwstr>171</vt:lpwstr>
  </property>
  <property fmtid="{D5CDD505-2E9C-101B-9397-08002B2CF9AE}" pid="13" name="AuthorIds_UIVersion_337920">
    <vt:lpwstr>13</vt:lpwstr>
  </property>
  <property fmtid="{D5CDD505-2E9C-101B-9397-08002B2CF9AE}" pid="14" name="AuthorIds_UIVersion_340480">
    <vt:lpwstr>171</vt:lpwstr>
  </property>
  <property fmtid="{D5CDD505-2E9C-101B-9397-08002B2CF9AE}" pid="15" name="AuthorIds_UIVersion_341504">
    <vt:lpwstr>61</vt:lpwstr>
  </property>
  <property fmtid="{D5CDD505-2E9C-101B-9397-08002B2CF9AE}" pid="16" name="AuthorIds_UIVersion_345600">
    <vt:lpwstr>21</vt:lpwstr>
  </property>
  <property fmtid="{D5CDD505-2E9C-101B-9397-08002B2CF9AE}" pid="17" name="AuthorIds_UIVersion_346112">
    <vt:lpwstr>13</vt:lpwstr>
  </property>
  <property fmtid="{D5CDD505-2E9C-101B-9397-08002B2CF9AE}" pid="18" name="AuthorIds_UIVersion_351744">
    <vt:lpwstr>62</vt:lpwstr>
  </property>
  <property fmtid="{D5CDD505-2E9C-101B-9397-08002B2CF9AE}" pid="19" name="AuthorIds_UIVersion_355840">
    <vt:lpwstr>21</vt:lpwstr>
  </property>
  <property fmtid="{D5CDD505-2E9C-101B-9397-08002B2CF9AE}" pid="20" name="AuthorIds_UIVersion_356864">
    <vt:lpwstr>13</vt:lpwstr>
  </property>
  <property fmtid="{D5CDD505-2E9C-101B-9397-08002B2CF9AE}" pid="21" name="AuthorIds_UIVersion_357888">
    <vt:lpwstr>171</vt:lpwstr>
  </property>
  <property fmtid="{D5CDD505-2E9C-101B-9397-08002B2CF9AE}" pid="22" name="AuthorIds_UIVersion_359936">
    <vt:lpwstr>61</vt:lpwstr>
  </property>
  <property fmtid="{D5CDD505-2E9C-101B-9397-08002B2CF9AE}" pid="23" name="AuthorIds_UIVersion_361984">
    <vt:lpwstr>6</vt:lpwstr>
  </property>
  <property fmtid="{D5CDD505-2E9C-101B-9397-08002B2CF9AE}" pid="24" name="AuthorIds_UIVersion_363520">
    <vt:lpwstr>13</vt:lpwstr>
  </property>
  <property fmtid="{D5CDD505-2E9C-101B-9397-08002B2CF9AE}" pid="25" name="AuthorIds_UIVersion_364032">
    <vt:lpwstr>171</vt:lpwstr>
  </property>
  <property fmtid="{D5CDD505-2E9C-101B-9397-08002B2CF9AE}" pid="26" name="AuthorIds_UIVersion_364544">
    <vt:lpwstr>169</vt:lpwstr>
  </property>
  <property fmtid="{D5CDD505-2E9C-101B-9397-08002B2CF9AE}" pid="27" name="AuthorIds_UIVersion_366592">
    <vt:lpwstr>13,171</vt:lpwstr>
  </property>
  <property fmtid="{D5CDD505-2E9C-101B-9397-08002B2CF9AE}" pid="28" name="AuthorIds_UIVersion_374272">
    <vt:lpwstr>169</vt:lpwstr>
  </property>
  <property fmtid="{D5CDD505-2E9C-101B-9397-08002B2CF9AE}" pid="29" name="AuthorIds_UIVersion_374784">
    <vt:lpwstr>6</vt:lpwstr>
  </property>
  <property fmtid="{D5CDD505-2E9C-101B-9397-08002B2CF9AE}" pid="30" name="AuthorIds_UIVersion_377344">
    <vt:lpwstr>169</vt:lpwstr>
  </property>
  <property fmtid="{D5CDD505-2E9C-101B-9397-08002B2CF9AE}" pid="31" name="AuthorIds_UIVersion_377856">
    <vt:lpwstr>21</vt:lpwstr>
  </property>
  <property fmtid="{D5CDD505-2E9C-101B-9397-08002B2CF9AE}" pid="32" name="AuthorIds_UIVersion_378368">
    <vt:lpwstr>169</vt:lpwstr>
  </property>
  <property fmtid="{D5CDD505-2E9C-101B-9397-08002B2CF9AE}" pid="33" name="AuthorIds_UIVersion_380416">
    <vt:lpwstr>6</vt:lpwstr>
  </property>
  <property fmtid="{D5CDD505-2E9C-101B-9397-08002B2CF9AE}" pid="34" name="AuthorIds_UIVersion_380928">
    <vt:lpwstr>169</vt:lpwstr>
  </property>
  <property fmtid="{D5CDD505-2E9C-101B-9397-08002B2CF9AE}" pid="35" name="AuthorIds_UIVersion_385024">
    <vt:lpwstr>6</vt:lpwstr>
  </property>
  <property fmtid="{D5CDD505-2E9C-101B-9397-08002B2CF9AE}" pid="36" name="MediaServiceImageTags">
    <vt:lpwstr/>
  </property>
</Properties>
</file>